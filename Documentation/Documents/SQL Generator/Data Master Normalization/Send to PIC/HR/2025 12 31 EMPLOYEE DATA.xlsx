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ation\Documents\SQL Generator\Data Master Normalization\Send to PIC\HR\"/>
    </mc:Choice>
  </mc:AlternateContent>
  <bookViews>
    <workbookView xWindow="-105" yWindow="-105" windowWidth="19425" windowHeight="10425"/>
  </bookViews>
  <sheets>
    <sheet name="12_Employee Data " sheetId="15" r:id="rId1"/>
    <sheet name="Sheet2" sheetId="3" state="hidden" r:id="rId2"/>
  </sheets>
  <definedNames>
    <definedName name="_xlnm._FilterDatabase" localSheetId="0" hidden="1">'12_Employee Data '!$A$1:$G$80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X61" i="15" l="1"/>
  <c r="FX65" i="15"/>
  <c r="FX64" i="15"/>
  <c r="FX72" i="15"/>
  <c r="FX76" i="15"/>
  <c r="FX74" i="15"/>
  <c r="FX63" i="15"/>
  <c r="FX67" i="15"/>
  <c r="FX71" i="15"/>
  <c r="FX73" i="15"/>
  <c r="FX77" i="15"/>
</calcChain>
</file>

<file path=xl/comments1.xml><?xml version="1.0" encoding="utf-8"?>
<comments xmlns="http://schemas.openxmlformats.org/spreadsheetml/2006/main">
  <authors>
    <author>Muhammad Khadafy</author>
    <author>ISO000127</author>
  </authors>
  <commentList>
    <comment ref="B38" authorId="0" shapeId="0">
      <text>
        <r>
          <rPr>
            <b/>
            <sz val="9"/>
            <rFont val="Tahoma"/>
            <family val="2"/>
          </rPr>
          <t>NIK BPJS TK:</t>
        </r>
        <r>
          <rPr>
            <sz val="9"/>
            <rFont val="Tahoma"/>
            <family val="2"/>
          </rPr>
          <t xml:space="preserve">
030521892</t>
        </r>
      </text>
    </comment>
    <comment ref="B39" authorId="1" shapeId="0">
      <text>
        <r>
          <rPr>
            <b/>
            <sz val="9"/>
            <rFont val="Tahoma"/>
            <family val="2"/>
          </rPr>
          <t>Sufie:</t>
        </r>
        <r>
          <rPr>
            <sz val="9"/>
            <rFont val="Tahoma"/>
            <family val="2"/>
          </rPr>
          <t xml:space="preserve">
update 130906272
sebelumnya 311019921
(update karena klaim jht)</t>
        </r>
      </text>
    </comment>
    <comment ref="D39" authorId="0" shapeId="0">
      <text>
        <r>
          <rPr>
            <b/>
            <sz val="9"/>
            <rFont val="Tahoma"/>
            <family val="2"/>
          </rPr>
          <t>Wendy Septiyan:</t>
        </r>
        <r>
          <rPr>
            <sz val="9"/>
            <rFont val="Tahoma"/>
            <family val="2"/>
          </rPr>
          <t xml:space="preserve">
IMD</t>
        </r>
      </text>
    </comment>
    <comment ref="B74" authorId="1" shapeId="0">
      <text>
        <r>
          <rPr>
            <b/>
            <sz val="9"/>
            <rFont val="Tahoma"/>
            <family val="2"/>
          </rPr>
          <t>ISO000127:</t>
        </r>
        <r>
          <rPr>
            <sz val="9"/>
            <rFont val="Tahoma"/>
            <family val="2"/>
          </rPr>
          <t xml:space="preserve">
ID awal : 040215019 
update ID setelah klaim JHT 
</t>
        </r>
      </text>
    </comment>
  </commentList>
</comments>
</file>

<file path=xl/sharedStrings.xml><?xml version="1.0" encoding="utf-8"?>
<sst xmlns="http://schemas.openxmlformats.org/spreadsheetml/2006/main" count="446" uniqueCount="225">
  <si>
    <t>Master Data Employee</t>
  </si>
  <si>
    <t>Per</t>
  </si>
  <si>
    <t>No</t>
  </si>
  <si>
    <t>ID</t>
  </si>
  <si>
    <t>Name</t>
  </si>
  <si>
    <t>Job Tittle</t>
  </si>
  <si>
    <t>Level</t>
  </si>
  <si>
    <t>Department</t>
  </si>
  <si>
    <t>Division</t>
  </si>
  <si>
    <t>BOD</t>
  </si>
  <si>
    <t>QDC</t>
  </si>
  <si>
    <t>Site Manager</t>
  </si>
  <si>
    <t>Project Management</t>
  </si>
  <si>
    <t>L</t>
  </si>
  <si>
    <t>P</t>
  </si>
  <si>
    <t>Finance &amp; Accounting</t>
  </si>
  <si>
    <t>CME Engineering</t>
  </si>
  <si>
    <t>Project Manager</t>
  </si>
  <si>
    <t>Procurement</t>
  </si>
  <si>
    <t>CME Supervisor</t>
  </si>
  <si>
    <t>SMA</t>
  </si>
  <si>
    <t>Bid and Sales Administrator</t>
  </si>
  <si>
    <t>Sales</t>
  </si>
  <si>
    <t>Executive Assisstant</t>
  </si>
  <si>
    <t>Site Supervisor</t>
  </si>
  <si>
    <t>Driver</t>
  </si>
  <si>
    <t>SMK</t>
  </si>
  <si>
    <t>S1</t>
  </si>
  <si>
    <t>Project Administrator</t>
  </si>
  <si>
    <t>-</t>
  </si>
  <si>
    <t>D3</t>
  </si>
  <si>
    <t>D4</t>
  </si>
  <si>
    <t>IT System Engineer</t>
  </si>
  <si>
    <t>IT</t>
  </si>
  <si>
    <t>IT Software Engineer</t>
  </si>
  <si>
    <t>Project Controller</t>
  </si>
  <si>
    <t>Jointer</t>
  </si>
  <si>
    <t>General</t>
  </si>
  <si>
    <t>President Director</t>
  </si>
  <si>
    <t>Construction</t>
  </si>
  <si>
    <t>Operation Director</t>
  </si>
  <si>
    <t>Operation</t>
  </si>
  <si>
    <t>Finance Director</t>
  </si>
  <si>
    <t>CME Drafter</t>
  </si>
  <si>
    <t>TAM &amp; WH</t>
  </si>
  <si>
    <t>HR Development &amp; Industrial Relation</t>
  </si>
  <si>
    <t>Security</t>
  </si>
  <si>
    <t>Accounting Staff</t>
  </si>
  <si>
    <t>S2</t>
  </si>
  <si>
    <t>STM</t>
  </si>
  <si>
    <t>Project Administration</t>
  </si>
  <si>
    <t>QA &amp; HSE Staff</t>
  </si>
  <si>
    <t>Finance Staff</t>
  </si>
  <si>
    <t>PMO</t>
  </si>
  <si>
    <t>Tax &amp; Accounting Staff</t>
  </si>
  <si>
    <t>Marketing &amp; Sales</t>
  </si>
  <si>
    <t>010703020</t>
  </si>
  <si>
    <t>Agnes Sutedja</t>
  </si>
  <si>
    <t>QHSE Manager</t>
  </si>
  <si>
    <t>QHSE</t>
  </si>
  <si>
    <t>OPR</t>
  </si>
  <si>
    <t>Ahmad Choerul</t>
  </si>
  <si>
    <t>100920934</t>
  </si>
  <si>
    <t>Belina Lindarwani</t>
  </si>
  <si>
    <t>060515769</t>
  </si>
  <si>
    <t>Budianto</t>
  </si>
  <si>
    <t>Plt Finance Manager</t>
  </si>
  <si>
    <t>031212631</t>
  </si>
  <si>
    <t>Darsito</t>
  </si>
  <si>
    <t>Dionesius Sostenist Duka</t>
  </si>
  <si>
    <t>Jointer/ RF Installer</t>
  </si>
  <si>
    <t>040803040</t>
  </si>
  <si>
    <t>Edi Waluyo</t>
  </si>
  <si>
    <t>SMEA</t>
  </si>
  <si>
    <t>200420932</t>
  </si>
  <si>
    <t>Eka Bagus Dwi Putra</t>
  </si>
  <si>
    <t>120324987</t>
  </si>
  <si>
    <t>Eka Kurniawan Hidayatullah</t>
  </si>
  <si>
    <t>Procurement Coordinator</t>
  </si>
  <si>
    <t>Procurement Specialist</t>
  </si>
  <si>
    <t>060121944</t>
  </si>
  <si>
    <t>Eka Purwanti</t>
  </si>
  <si>
    <t>010806250</t>
  </si>
  <si>
    <t>Endang Sutrisno</t>
  </si>
  <si>
    <t>070806256</t>
  </si>
  <si>
    <t>Gunawan</t>
  </si>
  <si>
    <t>Icha Mailinda</t>
  </si>
  <si>
    <t>040822965</t>
  </si>
  <si>
    <t>Irma Maulidawati</t>
  </si>
  <si>
    <t>Istikaro Fauziah</t>
  </si>
  <si>
    <t>Receptionist &amp; HRGA Administrator</t>
  </si>
  <si>
    <t>040515767</t>
  </si>
  <si>
    <t>Jimmywal</t>
  </si>
  <si>
    <t>Kornelius Sakan</t>
  </si>
  <si>
    <t>GA Staff</t>
  </si>
  <si>
    <t>Office Boy</t>
  </si>
  <si>
    <t>Lisma Natalia</t>
  </si>
  <si>
    <t>Excecutive Secretary</t>
  </si>
  <si>
    <t>M Fikri Caesarandi Hasibuan</t>
  </si>
  <si>
    <t>Admin &amp; Finance Site Project</t>
  </si>
  <si>
    <t>010513665</t>
  </si>
  <si>
    <t>Marthen Tabun</t>
  </si>
  <si>
    <t>030105116</t>
  </si>
  <si>
    <t>Mullan Tresna</t>
  </si>
  <si>
    <t>Accounting &amp; Tax Manager</t>
  </si>
  <si>
    <t>061106279</t>
  </si>
  <si>
    <t>Nandang Effendi</t>
  </si>
  <si>
    <t>051023981</t>
  </si>
  <si>
    <t>Restu Dwi Anjayani</t>
  </si>
  <si>
    <t>HSE Administrator</t>
  </si>
  <si>
    <t>Rahmata Novanisa</t>
  </si>
  <si>
    <t>Rhino Priawan</t>
  </si>
  <si>
    <t>141118892</t>
  </si>
  <si>
    <t>Seftiyan Hadi Maulana</t>
  </si>
  <si>
    <t>Sr. Estimator &amp; Bid Specialist</t>
  </si>
  <si>
    <t>Setiadi</t>
  </si>
  <si>
    <t>TAM &amp; Warehouse Coordinator</t>
  </si>
  <si>
    <t>240518874</t>
  </si>
  <si>
    <t>Sholehah</t>
  </si>
  <si>
    <t>010507354</t>
  </si>
  <si>
    <t>Sudarlan</t>
  </si>
  <si>
    <t>010210516</t>
  </si>
  <si>
    <t>T Marungkil U.S. Sagala</t>
  </si>
  <si>
    <t>Tegar Hersaputra</t>
  </si>
  <si>
    <t>CME Manager</t>
  </si>
  <si>
    <t>030717839</t>
  </si>
  <si>
    <t>Teguh Pratama Januzir</t>
  </si>
  <si>
    <t>IT System Manager</t>
  </si>
  <si>
    <t>090818879</t>
  </si>
  <si>
    <t>Turita Pramuning M</t>
  </si>
  <si>
    <t>Relation Manager</t>
  </si>
  <si>
    <t>Wardah Laily Khoiriyah</t>
  </si>
  <si>
    <t>Wisnu Trenggono Wirayuda</t>
  </si>
  <si>
    <t>Yogi Perbangkara</t>
  </si>
  <si>
    <t>Yuliandaru Suryoatmodjo</t>
  </si>
  <si>
    <t>Senior Relation Specialist</t>
  </si>
  <si>
    <t>090819915</t>
  </si>
  <si>
    <t>Zainudin Anwar</t>
  </si>
  <si>
    <t>GM Finance &amp; Accounting</t>
  </si>
  <si>
    <t>Redi Subekti</t>
  </si>
  <si>
    <t>010218858</t>
  </si>
  <si>
    <t>Grace Kurniawan</t>
  </si>
  <si>
    <t>GM Sales</t>
  </si>
  <si>
    <t>010224985</t>
  </si>
  <si>
    <t>Adhe Kurniawan</t>
  </si>
  <si>
    <t>Ahmad Faiz Haems Muda</t>
  </si>
  <si>
    <t>HRD Manager</t>
  </si>
  <si>
    <t>Riza Emir Subekti</t>
  </si>
  <si>
    <t>PMO General Manager</t>
  </si>
  <si>
    <t>IMD</t>
  </si>
  <si>
    <t>SMP</t>
  </si>
  <si>
    <t>Edy Syahputra Situmeang</t>
  </si>
  <si>
    <t>OPR &amp; Maintenance</t>
  </si>
  <si>
    <t>OPR &amp; BusDev</t>
  </si>
  <si>
    <t>Ares S. Mauboy</t>
  </si>
  <si>
    <t>Mechanic and Maintenance Warehouse</t>
  </si>
  <si>
    <t>Warehouse &amp; TAM</t>
  </si>
  <si>
    <t>010413650</t>
  </si>
  <si>
    <t>Burhan</t>
  </si>
  <si>
    <t>090821952</t>
  </si>
  <si>
    <t>Cahyana</t>
  </si>
  <si>
    <t>Sitac Coodinator</t>
  </si>
  <si>
    <t>Davit Lumban Gaol</t>
  </si>
  <si>
    <t>Operator Stringing &amp; Pilot Drone</t>
  </si>
  <si>
    <t>031022970</t>
  </si>
  <si>
    <t>Dian Tri Rahmawati</t>
  </si>
  <si>
    <t>Finance &amp; Accounting Staff</t>
  </si>
  <si>
    <t>GM Operation &amp; Business Development</t>
  </si>
  <si>
    <t>110523979</t>
  </si>
  <si>
    <t>Administratif Staff</t>
  </si>
  <si>
    <t>050422961</t>
  </si>
  <si>
    <t>Langgeng Eko Dwiantoro</t>
  </si>
  <si>
    <t>Roy Aditya</t>
  </si>
  <si>
    <t>Operational Building</t>
  </si>
  <si>
    <t>010413649</t>
  </si>
  <si>
    <t>Rustono</t>
  </si>
  <si>
    <t>020916798</t>
  </si>
  <si>
    <t>Solihin</t>
  </si>
  <si>
    <t>080822967</t>
  </si>
  <si>
    <t>Sugiarto</t>
  </si>
  <si>
    <t>020123976</t>
  </si>
  <si>
    <t>Sulaeman</t>
  </si>
  <si>
    <t>010413653</t>
  </si>
  <si>
    <t>Supriatna</t>
  </si>
  <si>
    <t>Timotius Tabun</t>
  </si>
  <si>
    <t>010906267</t>
  </si>
  <si>
    <t>Urbanus Boimau</t>
  </si>
  <si>
    <t>S3</t>
  </si>
  <si>
    <t>Muhammad Rizal</t>
  </si>
  <si>
    <t>Iman Faisal Abdurahman</t>
  </si>
  <si>
    <t>030225999</t>
  </si>
  <si>
    <t>Arief Yulianto</t>
  </si>
  <si>
    <t>Spv Warehouse &amp; Operator Stringing</t>
  </si>
  <si>
    <t>0701251000</t>
  </si>
  <si>
    <t>230125998</t>
  </si>
  <si>
    <t>Andi Mapasoro</t>
  </si>
  <si>
    <t>Ridwan Nur Muttaqin</t>
  </si>
  <si>
    <t>181124994</t>
  </si>
  <si>
    <t>0603251003</t>
  </si>
  <si>
    <t>0403251002</t>
  </si>
  <si>
    <t>Risty Alawiyah</t>
  </si>
  <si>
    <t>2703251004</t>
  </si>
  <si>
    <t>1206251007</t>
  </si>
  <si>
    <t>Mochamad Ulul Azmi Wira Utama</t>
  </si>
  <si>
    <t>HR Recruitment &amp; Personnel Administration</t>
  </si>
  <si>
    <t>3107251008</t>
  </si>
  <si>
    <t>Maintenance Building and Technician</t>
  </si>
  <si>
    <t>Material Handler</t>
  </si>
  <si>
    <t>0209251009</t>
  </si>
  <si>
    <t>Adi</t>
  </si>
  <si>
    <t>Driver Operational &amp; Ops Truck Crane</t>
  </si>
  <si>
    <t>Relation/Account Officer</t>
  </si>
  <si>
    <t>Rahmad Dwifar</t>
  </si>
  <si>
    <t>Dec-25</t>
  </si>
  <si>
    <t>Zulfikar K Siregar</t>
  </si>
  <si>
    <t>HRD</t>
  </si>
  <si>
    <t>CME Design Engineering</t>
  </si>
  <si>
    <t>Achmad Sandi Asyuri</t>
  </si>
  <si>
    <t>Fabrian Danang Destyara</t>
  </si>
  <si>
    <t>Procuremement</t>
  </si>
  <si>
    <t>BusDev Director</t>
  </si>
  <si>
    <t>Finance</t>
  </si>
  <si>
    <t>Finance &amp; Accounting Director</t>
  </si>
  <si>
    <t>Accounting</t>
  </si>
  <si>
    <t>Finance &amp; Accounting Director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</si>
</sst>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mmm\-yy;@"/>
  </numFmts>
  <fonts count="15" x14ac:knownFonts="1">
    <font>
      <sz val="10"/>
      <name val="Arial"/>
      <family val="2"/>
    </font>
    <font>
      <sz val="10"/>
      <color indexed="8"/>
      <name val="MS Sans Serif"/>
      <family val="2"/>
    </font>
    <font>
      <b/>
      <sz val="18"/>
      <color indexed="8"/>
      <name val="Tahoma"/>
      <family val="2"/>
    </font>
    <font>
      <sz val="10"/>
      <color indexed="8"/>
      <name val="Tahoma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b/>
      <sz val="10"/>
      <color indexed="9"/>
      <name val="Tahoma"/>
      <family val="2"/>
    </font>
    <font>
      <b/>
      <sz val="11"/>
      <color indexed="9"/>
      <name val="Trebuchet MS"/>
      <family val="2"/>
    </font>
    <font>
      <sz val="10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11" fillId="0" borderId="0"/>
    <xf numFmtId="0" fontId="4" fillId="0" borderId="0"/>
    <xf numFmtId="0" fontId="1" fillId="0" borderId="0"/>
    <xf numFmtId="0" fontId="12" fillId="0" borderId="0"/>
    <xf numFmtId="0" fontId="13" fillId="0" borderId="0"/>
    <xf numFmtId="0" fontId="4" fillId="0" borderId="0"/>
  </cellStyleXfs>
  <cellXfs count="53">
    <xf numFmtId="0" fontId="0" fillId="0" borderId="0" xfId="0"/>
    <xf numFmtId="0" fontId="2" fillId="0" borderId="0" xfId="4" applyFont="1" applyAlignment="1">
      <alignment horizontal="left" vertical="center"/>
    </xf>
    <xf numFmtId="0" fontId="3" fillId="0" borderId="0" xfId="4" applyFont="1" applyAlignment="1">
      <alignment vertical="center"/>
    </xf>
    <xf numFmtId="0" fontId="3" fillId="0" borderId="0" xfId="4" applyFont="1" applyAlignment="1">
      <alignment horizontal="center" vertical="center"/>
    </xf>
    <xf numFmtId="0" fontId="3" fillId="0" borderId="0" xfId="4" applyFont="1"/>
    <xf numFmtId="0" fontId="3" fillId="0" borderId="0" xfId="4" applyFont="1" applyAlignment="1">
      <alignment horizontal="left" vertical="center"/>
    </xf>
    <xf numFmtId="0" fontId="3" fillId="0" borderId="0" xfId="4" applyFont="1" applyAlignment="1">
      <alignment horizontal="left"/>
    </xf>
    <xf numFmtId="0" fontId="5" fillId="0" borderId="0" xfId="4" applyFont="1" applyAlignment="1">
      <alignment horizontal="right" vertical="center"/>
    </xf>
    <xf numFmtId="0" fontId="3" fillId="0" borderId="0" xfId="4" applyFont="1" applyAlignment="1">
      <alignment horizontal="right" vertical="center"/>
    </xf>
    <xf numFmtId="0" fontId="3" fillId="3" borderId="0" xfId="4" applyFont="1" applyFill="1" applyAlignment="1">
      <alignment vertical="center"/>
    </xf>
    <xf numFmtId="0" fontId="5" fillId="3" borderId="0" xfId="4" applyFont="1" applyFill="1" applyAlignment="1">
      <alignment horizontal="center" vertical="center"/>
    </xf>
    <xf numFmtId="0" fontId="3" fillId="3" borderId="0" xfId="4" applyFont="1" applyFill="1" applyAlignment="1">
      <alignment horizontal="center" vertical="center"/>
    </xf>
    <xf numFmtId="0" fontId="3" fillId="3" borderId="2" xfId="4" applyFont="1" applyFill="1" applyBorder="1" applyAlignment="1">
      <alignment horizontal="left" vertical="center" indent="1"/>
    </xf>
    <xf numFmtId="0" fontId="3" fillId="3" borderId="2" xfId="4" applyFont="1" applyFill="1" applyBorder="1" applyAlignment="1">
      <alignment horizontal="left" vertical="center"/>
    </xf>
    <xf numFmtId="0" fontId="3" fillId="0" borderId="1" xfId="4" applyFont="1" applyBorder="1" applyAlignment="1">
      <alignment horizontal="left" vertical="center"/>
    </xf>
    <xf numFmtId="0" fontId="3" fillId="0" borderId="1" xfId="4" applyFont="1" applyBorder="1" applyAlignment="1">
      <alignment horizontal="center" vertical="center"/>
    </xf>
    <xf numFmtId="0" fontId="3" fillId="5" borderId="1" xfId="4" applyFont="1" applyFill="1" applyBorder="1" applyAlignment="1">
      <alignment horizontal="left" vertical="center"/>
    </xf>
    <xf numFmtId="0" fontId="3" fillId="5" borderId="1" xfId="4" applyFont="1" applyFill="1" applyBorder="1" applyAlignment="1">
      <alignment horizontal="center" vertical="center"/>
    </xf>
    <xf numFmtId="0" fontId="3" fillId="0" borderId="1" xfId="4" applyFont="1" applyBorder="1" applyAlignment="1">
      <alignment vertical="center"/>
    </xf>
    <xf numFmtId="0" fontId="3" fillId="0" borderId="1" xfId="4" quotePrefix="1" applyFont="1" applyBorder="1" applyAlignment="1">
      <alignment horizontal="center" vertical="center"/>
    </xf>
    <xf numFmtId="0" fontId="14" fillId="0" borderId="1" xfId="4" applyFont="1" applyBorder="1" applyAlignment="1">
      <alignment horizontal="left" vertical="center"/>
    </xf>
    <xf numFmtId="0" fontId="3" fillId="0" borderId="4" xfId="4" applyFont="1" applyBorder="1" applyAlignment="1">
      <alignment horizontal="left" vertical="center"/>
    </xf>
    <xf numFmtId="3" fontId="3" fillId="0" borderId="0" xfId="4" applyNumberFormat="1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3" fontId="3" fillId="0" borderId="0" xfId="4" applyNumberFormat="1" applyFont="1" applyAlignment="1">
      <alignment horizontal="center" vertical="center"/>
    </xf>
    <xf numFmtId="0" fontId="3" fillId="0" borderId="2" xfId="4" applyFont="1" applyBorder="1" applyAlignment="1">
      <alignment horizontal="left" vertical="center"/>
    </xf>
    <xf numFmtId="0" fontId="3" fillId="3" borderId="2" xfId="4" applyFont="1" applyFill="1" applyBorder="1" applyAlignment="1">
      <alignment vertical="center"/>
    </xf>
    <xf numFmtId="0" fontId="3" fillId="0" borderId="4" xfId="4" applyFont="1" applyBorder="1" applyAlignment="1">
      <alignment vertical="center"/>
    </xf>
    <xf numFmtId="0" fontId="3" fillId="0" borderId="2" xfId="4" applyFont="1" applyBorder="1" applyAlignment="1">
      <alignment vertical="center"/>
    </xf>
    <xf numFmtId="0" fontId="0" fillId="0" borderId="1" xfId="0" applyBorder="1"/>
    <xf numFmtId="0" fontId="3" fillId="4" borderId="1" xfId="4" applyFont="1" applyFill="1" applyBorder="1" applyAlignment="1">
      <alignment horizontal="center" vertical="center"/>
    </xf>
    <xf numFmtId="0" fontId="3" fillId="0" borderId="3" xfId="4" applyFont="1" applyBorder="1" applyAlignment="1">
      <alignment horizontal="center" vertical="center"/>
    </xf>
    <xf numFmtId="0" fontId="3" fillId="0" borderId="3" xfId="4" applyFont="1" applyBorder="1" applyAlignment="1">
      <alignment horizontal="left" vertical="center"/>
    </xf>
    <xf numFmtId="0" fontId="3" fillId="0" borderId="3" xfId="4" applyFont="1" applyBorder="1" applyAlignment="1">
      <alignment vertical="center"/>
    </xf>
    <xf numFmtId="0" fontId="3" fillId="5" borderId="5" xfId="4" applyFont="1" applyFill="1" applyBorder="1" applyAlignment="1">
      <alignment horizontal="left" vertical="center"/>
    </xf>
    <xf numFmtId="0" fontId="3" fillId="5" borderId="0" xfId="4" applyFont="1" applyFill="1" applyAlignment="1">
      <alignment horizontal="left" vertical="center"/>
    </xf>
    <xf numFmtId="0" fontId="10" fillId="0" borderId="1" xfId="7" applyFont="1" applyBorder="1" applyAlignment="1">
      <alignment horizontal="left"/>
    </xf>
    <xf numFmtId="3" fontId="3" fillId="0" borderId="3" xfId="4" applyNumberFormat="1" applyFont="1" applyBorder="1" applyAlignment="1">
      <alignment horizontal="center" vertical="center"/>
    </xf>
    <xf numFmtId="164" fontId="5" fillId="0" borderId="0" xfId="4" quotePrefix="1" applyNumberFormat="1" applyFont="1" applyAlignment="1">
      <alignment horizontal="center" vertical="center"/>
    </xf>
    <xf numFmtId="0" fontId="6" fillId="3" borderId="0" xfId="4" applyFont="1" applyFill="1" applyAlignment="1">
      <alignment horizontal="center" vertical="center"/>
    </xf>
    <xf numFmtId="0" fontId="8" fillId="0" borderId="1" xfId="7" quotePrefix="1" applyFont="1" applyBorder="1" applyAlignment="1">
      <alignment horizontal="center"/>
    </xf>
    <xf numFmtId="49" fontId="8" fillId="0" borderId="1" xfId="7" quotePrefix="1" applyNumberFormat="1" applyFont="1" applyBorder="1" applyAlignment="1">
      <alignment horizontal="center"/>
    </xf>
    <xf numFmtId="49" fontId="8" fillId="0" borderId="1" xfId="7" applyNumberFormat="1" applyFont="1" applyBorder="1" applyAlignment="1">
      <alignment horizontal="center"/>
    </xf>
    <xf numFmtId="49" fontId="3" fillId="0" borderId="1" xfId="4" quotePrefix="1" applyNumberFormat="1" applyFont="1" applyBorder="1" applyAlignment="1">
      <alignment horizontal="center" vertical="center"/>
    </xf>
    <xf numFmtId="0" fontId="8" fillId="0" borderId="1" xfId="7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49" fontId="8" fillId="0" borderId="1" xfId="7" applyNumberFormat="1" applyFont="1" applyBorder="1" applyAlignment="1">
      <alignment horizontal="center" vertical="center"/>
    </xf>
    <xf numFmtId="0" fontId="3" fillId="0" borderId="3" xfId="4" applyFont="1" applyBorder="1" applyAlignment="1">
      <alignment horizontal="left" vertical="center" indent="1"/>
    </xf>
    <xf numFmtId="0" fontId="7" fillId="2" borderId="1" xfId="3" applyFont="1" applyFill="1" applyBorder="1" applyAlignment="1">
      <alignment horizontal="center" vertical="center"/>
    </xf>
    <xf numFmtId="0" fontId="7" fillId="2" borderId="1" xfId="3" applyFont="1" applyFill="1" applyBorder="1" applyAlignment="1">
      <alignment vertical="center"/>
    </xf>
    <xf numFmtId="0" fontId="7" fillId="2" borderId="1" xfId="3" applyFont="1" applyFill="1" applyBorder="1" applyAlignment="1">
      <alignment horizontal="left" vertical="center"/>
    </xf>
    <xf numFmtId="0" fontId="6" fillId="6" borderId="4" xfId="4" applyFont="1" applyFill="1" applyBorder="1" applyAlignment="1">
      <alignment horizontal="center" vertical="center" wrapText="1"/>
    </xf>
    <xf numFmtId="0" fontId="6" fillId="6" borderId="3" xfId="4" applyFont="1" applyFill="1" applyBorder="1" applyAlignment="1">
      <alignment horizontal="center" vertical="center" wrapText="1"/>
    </xf>
  </cellXfs>
  <cellStyles count="8">
    <cellStyle name="Comma 3" xfId="1"/>
    <cellStyle name="Normal" xfId="0" builtinId="0"/>
    <cellStyle name="Normal 2" xfId="2"/>
    <cellStyle name="Normal 2 2" xfId="3"/>
    <cellStyle name="Normal 2 3" xfId="4"/>
    <cellStyle name="Normal 2 4 2" xfId="5"/>
    <cellStyle name="Normal 3 2" xfId="6"/>
    <cellStyle name="Normal_Data of Employee (Up Date)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X86"/>
  <sheetViews>
    <sheetView tabSelected="1" zoomScaleNormal="100" zoomScaleSheetLayoutView="100" workbookViewId="0">
      <pane xSplit="3" ySplit="4" topLeftCell="D63" activePane="bottomRight" state="frozen"/>
      <selection pane="topRight"/>
      <selection pane="bottomLeft"/>
      <selection pane="bottomRight" activeCell="D66" sqref="D66"/>
    </sheetView>
  </sheetViews>
  <sheetFormatPr defaultColWidth="18.5703125" defaultRowHeight="12.75" x14ac:dyDescent="0.2"/>
  <cols>
    <col min="1" max="1" width="5.140625" style="2" customWidth="1"/>
    <col min="2" max="2" width="11" style="3" bestFit="1" customWidth="1"/>
    <col min="3" max="3" width="28.85546875" style="2" bestFit="1" customWidth="1"/>
    <col min="4" max="4" width="35.5703125" style="2" bestFit="1" customWidth="1"/>
    <col min="5" max="5" width="5.85546875" style="3" bestFit="1" customWidth="1"/>
    <col min="6" max="6" width="20.5703125" style="6" bestFit="1" customWidth="1"/>
    <col min="7" max="7" width="21.140625" style="4" customWidth="1"/>
    <col min="8" max="8" width="32.5703125" style="2" bestFit="1" customWidth="1"/>
    <col min="9" max="179" width="11.42578125" style="2" customWidth="1"/>
    <col min="180" max="16384" width="18.5703125" style="2"/>
  </cols>
  <sheetData>
    <row r="1" spans="1:45" ht="22.5" x14ac:dyDescent="0.2">
      <c r="A1" s="1" t="s">
        <v>0</v>
      </c>
    </row>
    <row r="2" spans="1:45" s="8" customFormat="1" x14ac:dyDescent="0.2">
      <c r="A2" s="7" t="s">
        <v>1</v>
      </c>
      <c r="B2" s="38" t="s">
        <v>213</v>
      </c>
      <c r="E2" s="3"/>
      <c r="F2" s="5"/>
      <c r="G2" s="2"/>
    </row>
    <row r="3" spans="1:45" ht="19.5" customHeight="1" x14ac:dyDescent="0.2">
      <c r="A3" s="51" t="s">
        <v>2</v>
      </c>
      <c r="B3" s="51" t="s">
        <v>3</v>
      </c>
      <c r="C3" s="51" t="s">
        <v>4</v>
      </c>
      <c r="D3" s="51" t="s">
        <v>5</v>
      </c>
      <c r="E3" s="51" t="s">
        <v>6</v>
      </c>
      <c r="F3" s="50" t="s">
        <v>7</v>
      </c>
      <c r="G3" s="49" t="s">
        <v>8</v>
      </c>
      <c r="H3" s="48" t="s">
        <v>9</v>
      </c>
    </row>
    <row r="4" spans="1:45" ht="17.25" customHeight="1" x14ac:dyDescent="0.2">
      <c r="A4" s="52"/>
      <c r="B4" s="52"/>
      <c r="C4" s="52"/>
      <c r="D4" s="52"/>
      <c r="E4" s="52"/>
      <c r="F4" s="50"/>
      <c r="G4" s="49"/>
      <c r="H4" s="48"/>
    </row>
    <row r="5" spans="1:45" x14ac:dyDescent="0.2">
      <c r="A5" s="9"/>
      <c r="B5" s="39" t="s">
        <v>10</v>
      </c>
      <c r="C5" s="10"/>
      <c r="D5" s="10"/>
      <c r="E5" s="11"/>
      <c r="F5" s="12"/>
      <c r="G5" s="10"/>
      <c r="H5" s="10"/>
    </row>
    <row r="6" spans="1:45" s="16" customFormat="1" x14ac:dyDescent="0.2">
      <c r="A6" s="17">
        <v>1</v>
      </c>
      <c r="B6" s="19" t="s">
        <v>199</v>
      </c>
      <c r="C6" s="14" t="s">
        <v>195</v>
      </c>
      <c r="D6" s="16" t="s">
        <v>17</v>
      </c>
      <c r="E6" s="15">
        <v>4</v>
      </c>
      <c r="F6" s="16" t="s">
        <v>12</v>
      </c>
      <c r="G6" s="16" t="s">
        <v>39</v>
      </c>
      <c r="H6" s="16" t="s">
        <v>40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4"/>
    </row>
    <row r="7" spans="1:45" x14ac:dyDescent="0.2">
      <c r="A7" s="17">
        <v>2</v>
      </c>
      <c r="B7" s="15" t="s">
        <v>197</v>
      </c>
      <c r="C7" s="14" t="s">
        <v>217</v>
      </c>
      <c r="D7" s="14" t="s">
        <v>43</v>
      </c>
      <c r="E7" s="15">
        <v>6</v>
      </c>
      <c r="F7" s="18" t="s">
        <v>216</v>
      </c>
      <c r="G7" s="4" t="s">
        <v>53</v>
      </c>
      <c r="H7" s="16" t="s">
        <v>40</v>
      </c>
    </row>
    <row r="8" spans="1:45" ht="12.75" customHeight="1" x14ac:dyDescent="0.2">
      <c r="A8" s="17">
        <v>3</v>
      </c>
      <c r="B8" s="15" t="s">
        <v>56</v>
      </c>
      <c r="C8" s="14" t="s">
        <v>57</v>
      </c>
      <c r="D8" s="14" t="s">
        <v>58</v>
      </c>
      <c r="E8" s="15">
        <v>4</v>
      </c>
      <c r="F8" s="18" t="s">
        <v>59</v>
      </c>
      <c r="G8" s="14" t="s">
        <v>29</v>
      </c>
      <c r="H8" s="16" t="s">
        <v>38</v>
      </c>
    </row>
    <row r="9" spans="1:45" ht="12.75" customHeight="1" x14ac:dyDescent="0.2">
      <c r="A9" s="17">
        <v>4</v>
      </c>
      <c r="B9" s="15">
        <v>191022969</v>
      </c>
      <c r="C9" s="20" t="s">
        <v>61</v>
      </c>
      <c r="D9" s="14" t="s">
        <v>211</v>
      </c>
      <c r="E9" s="15">
        <v>5</v>
      </c>
      <c r="F9" s="18" t="s">
        <v>55</v>
      </c>
      <c r="G9" s="14" t="s">
        <v>22</v>
      </c>
      <c r="H9" s="14" t="s">
        <v>220</v>
      </c>
    </row>
    <row r="10" spans="1:45" ht="12.75" customHeight="1" x14ac:dyDescent="0.2">
      <c r="A10" s="17">
        <v>5</v>
      </c>
      <c r="B10" s="19" t="s">
        <v>62</v>
      </c>
      <c r="C10" s="14" t="s">
        <v>63</v>
      </c>
      <c r="D10" s="14" t="s">
        <v>47</v>
      </c>
      <c r="E10" s="15">
        <v>6</v>
      </c>
      <c r="F10" s="18" t="s">
        <v>221</v>
      </c>
      <c r="G10" s="18" t="s">
        <v>15</v>
      </c>
      <c r="H10" s="18" t="s">
        <v>222</v>
      </c>
    </row>
    <row r="11" spans="1:45" ht="12.75" customHeight="1" x14ac:dyDescent="0.2">
      <c r="A11" s="17">
        <v>6</v>
      </c>
      <c r="B11" s="19" t="s">
        <v>64</v>
      </c>
      <c r="C11" s="14" t="s">
        <v>65</v>
      </c>
      <c r="D11" s="14" t="s">
        <v>66</v>
      </c>
      <c r="E11" s="15">
        <v>4</v>
      </c>
      <c r="F11" s="18" t="s">
        <v>221</v>
      </c>
      <c r="G11" s="18" t="s">
        <v>15</v>
      </c>
      <c r="H11" s="18" t="s">
        <v>222</v>
      </c>
    </row>
    <row r="12" spans="1:45" ht="12.75" customHeight="1" x14ac:dyDescent="0.2">
      <c r="A12" s="17">
        <v>7</v>
      </c>
      <c r="B12" s="15" t="s">
        <v>67</v>
      </c>
      <c r="C12" s="14" t="s">
        <v>68</v>
      </c>
      <c r="D12" s="14" t="s">
        <v>11</v>
      </c>
      <c r="E12" s="15">
        <v>5</v>
      </c>
      <c r="F12" s="16" t="s">
        <v>12</v>
      </c>
      <c r="G12" s="16" t="s">
        <v>39</v>
      </c>
      <c r="H12" s="16" t="s">
        <v>40</v>
      </c>
    </row>
    <row r="13" spans="1:45" ht="12.75" customHeight="1" x14ac:dyDescent="0.2">
      <c r="A13" s="17">
        <v>8</v>
      </c>
      <c r="B13" s="15">
        <v>10605133</v>
      </c>
      <c r="C13" s="14" t="s">
        <v>69</v>
      </c>
      <c r="D13" s="14" t="s">
        <v>70</v>
      </c>
      <c r="E13" s="15">
        <v>7</v>
      </c>
      <c r="F13" s="16" t="s">
        <v>12</v>
      </c>
      <c r="G13" s="16" t="s">
        <v>39</v>
      </c>
      <c r="H13" s="16" t="s">
        <v>40</v>
      </c>
    </row>
    <row r="14" spans="1:45" ht="12.75" customHeight="1" x14ac:dyDescent="0.2">
      <c r="A14" s="17">
        <v>9</v>
      </c>
      <c r="B14" s="19" t="s">
        <v>71</v>
      </c>
      <c r="C14" s="14" t="s">
        <v>72</v>
      </c>
      <c r="D14" s="14" t="s">
        <v>24</v>
      </c>
      <c r="E14" s="15">
        <v>7</v>
      </c>
      <c r="F14" s="16" t="s">
        <v>12</v>
      </c>
      <c r="G14" s="16" t="s">
        <v>39</v>
      </c>
      <c r="H14" s="16" t="s">
        <v>40</v>
      </c>
    </row>
    <row r="15" spans="1:45" ht="12.75" customHeight="1" x14ac:dyDescent="0.2">
      <c r="A15" s="17">
        <v>10</v>
      </c>
      <c r="B15" s="19" t="s">
        <v>74</v>
      </c>
      <c r="C15" s="14" t="s">
        <v>75</v>
      </c>
      <c r="D15" s="14" t="s">
        <v>35</v>
      </c>
      <c r="E15" s="15">
        <v>6</v>
      </c>
      <c r="F15" s="16" t="s">
        <v>12</v>
      </c>
      <c r="G15" s="16" t="s">
        <v>39</v>
      </c>
      <c r="H15" s="16" t="s">
        <v>40</v>
      </c>
    </row>
    <row r="16" spans="1:45" ht="12.75" customHeight="1" x14ac:dyDescent="0.2">
      <c r="A16" s="17">
        <v>11</v>
      </c>
      <c r="B16" s="40" t="s">
        <v>76</v>
      </c>
      <c r="C16" s="14" t="s">
        <v>77</v>
      </c>
      <c r="D16" s="14" t="s">
        <v>78</v>
      </c>
      <c r="E16" s="15">
        <v>5</v>
      </c>
      <c r="F16" s="16" t="s">
        <v>219</v>
      </c>
      <c r="G16" s="4" t="s">
        <v>53</v>
      </c>
      <c r="H16" s="16" t="s">
        <v>40</v>
      </c>
    </row>
    <row r="17" spans="1:8" ht="12.75" customHeight="1" x14ac:dyDescent="0.2">
      <c r="A17" s="17">
        <v>12</v>
      </c>
      <c r="B17" s="19" t="s">
        <v>80</v>
      </c>
      <c r="C17" s="14" t="s">
        <v>81</v>
      </c>
      <c r="D17" s="14" t="s">
        <v>50</v>
      </c>
      <c r="E17" s="15">
        <v>6</v>
      </c>
      <c r="F17" s="16" t="s">
        <v>12</v>
      </c>
      <c r="G17" s="16" t="s">
        <v>39</v>
      </c>
      <c r="H17" s="16" t="s">
        <v>40</v>
      </c>
    </row>
    <row r="18" spans="1:8" x14ac:dyDescent="0.2">
      <c r="A18" s="17">
        <v>13</v>
      </c>
      <c r="B18" s="19" t="s">
        <v>82</v>
      </c>
      <c r="C18" s="14" t="s">
        <v>83</v>
      </c>
      <c r="D18" s="14" t="s">
        <v>36</v>
      </c>
      <c r="E18" s="15">
        <v>7</v>
      </c>
      <c r="F18" s="16" t="s">
        <v>12</v>
      </c>
      <c r="G18" s="16" t="s">
        <v>39</v>
      </c>
      <c r="H18" s="16" t="s">
        <v>40</v>
      </c>
    </row>
    <row r="19" spans="1:8" ht="12.75" customHeight="1" x14ac:dyDescent="0.2">
      <c r="A19" s="17">
        <v>14</v>
      </c>
      <c r="B19" s="19" t="s">
        <v>84</v>
      </c>
      <c r="C19" s="14" t="s">
        <v>85</v>
      </c>
      <c r="D19" s="14" t="s">
        <v>51</v>
      </c>
      <c r="E19" s="15">
        <v>6</v>
      </c>
      <c r="F19" s="18" t="s">
        <v>59</v>
      </c>
      <c r="G19" s="16" t="s">
        <v>41</v>
      </c>
      <c r="H19" s="16" t="s">
        <v>38</v>
      </c>
    </row>
    <row r="20" spans="1:8" ht="12.75" customHeight="1" x14ac:dyDescent="0.2">
      <c r="A20" s="17">
        <v>15</v>
      </c>
      <c r="B20" s="15">
        <v>191015786</v>
      </c>
      <c r="C20" s="14" t="s">
        <v>86</v>
      </c>
      <c r="D20" s="14" t="s">
        <v>34</v>
      </c>
      <c r="E20" s="15">
        <v>5</v>
      </c>
      <c r="F20" s="18" t="s">
        <v>33</v>
      </c>
      <c r="G20" s="14" t="s">
        <v>29</v>
      </c>
      <c r="H20" s="16" t="s">
        <v>38</v>
      </c>
    </row>
    <row r="21" spans="1:8" ht="12.75" customHeight="1" x14ac:dyDescent="0.2">
      <c r="A21" s="17">
        <v>16</v>
      </c>
      <c r="B21" s="15" t="s">
        <v>87</v>
      </c>
      <c r="C21" s="14" t="s">
        <v>88</v>
      </c>
      <c r="D21" s="14" t="s">
        <v>54</v>
      </c>
      <c r="E21" s="15">
        <v>6</v>
      </c>
      <c r="F21" s="18" t="s">
        <v>15</v>
      </c>
      <c r="G21" s="18" t="s">
        <v>15</v>
      </c>
      <c r="H21" s="18" t="s">
        <v>222</v>
      </c>
    </row>
    <row r="22" spans="1:8" ht="12.75" customHeight="1" x14ac:dyDescent="0.2">
      <c r="A22" s="17">
        <v>17</v>
      </c>
      <c r="B22" s="15">
        <v>170322960</v>
      </c>
      <c r="C22" s="14" t="s">
        <v>89</v>
      </c>
      <c r="D22" s="14" t="s">
        <v>90</v>
      </c>
      <c r="E22" s="15">
        <v>7</v>
      </c>
      <c r="F22" s="18" t="s">
        <v>215</v>
      </c>
      <c r="G22" s="14" t="s">
        <v>29</v>
      </c>
      <c r="H22" s="16" t="s">
        <v>38</v>
      </c>
    </row>
    <row r="23" spans="1:8" ht="12.75" customHeight="1" x14ac:dyDescent="0.2">
      <c r="A23" s="17">
        <v>18</v>
      </c>
      <c r="B23" s="19" t="s">
        <v>91</v>
      </c>
      <c r="C23" s="14" t="s">
        <v>92</v>
      </c>
      <c r="D23" s="14" t="s">
        <v>17</v>
      </c>
      <c r="E23" s="15">
        <v>3</v>
      </c>
      <c r="F23" s="16" t="s">
        <v>12</v>
      </c>
      <c r="G23" s="16" t="s">
        <v>39</v>
      </c>
      <c r="H23" s="16" t="s">
        <v>40</v>
      </c>
    </row>
    <row r="24" spans="1:8" ht="12.75" customHeight="1" x14ac:dyDescent="0.2">
      <c r="A24" s="17">
        <v>19</v>
      </c>
      <c r="B24" s="15">
        <v>190803044</v>
      </c>
      <c r="C24" s="14" t="s">
        <v>93</v>
      </c>
      <c r="D24" s="14" t="s">
        <v>94</v>
      </c>
      <c r="E24" s="15">
        <v>7</v>
      </c>
      <c r="F24" s="18" t="s">
        <v>215</v>
      </c>
      <c r="G24" s="14" t="s">
        <v>29</v>
      </c>
      <c r="H24" s="16" t="s">
        <v>40</v>
      </c>
    </row>
    <row r="25" spans="1:8" ht="12.75" customHeight="1" x14ac:dyDescent="0.2">
      <c r="A25" s="17">
        <v>20</v>
      </c>
      <c r="B25" s="15">
        <v>170918883</v>
      </c>
      <c r="C25" s="14" t="s">
        <v>96</v>
      </c>
      <c r="D25" s="14" t="s">
        <v>97</v>
      </c>
      <c r="E25" s="15">
        <v>5</v>
      </c>
      <c r="F25" s="18" t="s">
        <v>29</v>
      </c>
      <c r="G25" s="18" t="s">
        <v>29</v>
      </c>
      <c r="H25" s="16" t="s">
        <v>38</v>
      </c>
    </row>
    <row r="26" spans="1:8" ht="12.75" customHeight="1" x14ac:dyDescent="0.2">
      <c r="A26" s="17">
        <v>21</v>
      </c>
      <c r="B26" s="15">
        <v>160916799</v>
      </c>
      <c r="C26" s="14" t="s">
        <v>98</v>
      </c>
      <c r="D26" s="14" t="s">
        <v>99</v>
      </c>
      <c r="E26" s="15">
        <v>7</v>
      </c>
      <c r="F26" s="18" t="s">
        <v>12</v>
      </c>
      <c r="G26" s="16" t="s">
        <v>39</v>
      </c>
      <c r="H26" s="16" t="s">
        <v>40</v>
      </c>
    </row>
    <row r="27" spans="1:8" ht="12.6" customHeight="1" x14ac:dyDescent="0.2">
      <c r="A27" s="17">
        <v>22</v>
      </c>
      <c r="B27" s="19" t="s">
        <v>100</v>
      </c>
      <c r="C27" s="14" t="s">
        <v>101</v>
      </c>
      <c r="D27" s="14" t="s">
        <v>207</v>
      </c>
      <c r="E27" s="15">
        <v>8</v>
      </c>
      <c r="F27" s="18" t="s">
        <v>156</v>
      </c>
      <c r="G27" s="16" t="s">
        <v>29</v>
      </c>
      <c r="H27" s="16" t="s">
        <v>29</v>
      </c>
    </row>
    <row r="28" spans="1:8" ht="12.6" customHeight="1" x14ac:dyDescent="0.2">
      <c r="A28" s="17">
        <v>23</v>
      </c>
      <c r="B28" s="41" t="s">
        <v>202</v>
      </c>
      <c r="C28" s="14" t="s">
        <v>203</v>
      </c>
      <c r="D28" s="36" t="s">
        <v>204</v>
      </c>
      <c r="E28" s="15">
        <v>6</v>
      </c>
      <c r="F28" s="18" t="s">
        <v>215</v>
      </c>
      <c r="G28" s="14" t="s">
        <v>29</v>
      </c>
      <c r="H28" s="16" t="s">
        <v>38</v>
      </c>
    </row>
    <row r="29" spans="1:8" ht="12.75" customHeight="1" x14ac:dyDescent="0.2">
      <c r="A29" s="17">
        <v>24</v>
      </c>
      <c r="B29" s="19" t="s">
        <v>194</v>
      </c>
      <c r="C29" s="14" t="s">
        <v>188</v>
      </c>
      <c r="D29" s="14" t="s">
        <v>34</v>
      </c>
      <c r="E29" s="15">
        <v>6</v>
      </c>
      <c r="F29" s="18" t="s">
        <v>33</v>
      </c>
      <c r="G29" s="14" t="s">
        <v>29</v>
      </c>
      <c r="H29" s="16" t="s">
        <v>38</v>
      </c>
    </row>
    <row r="30" spans="1:8" ht="12.75" customHeight="1" x14ac:dyDescent="0.2">
      <c r="A30" s="17">
        <v>25</v>
      </c>
      <c r="B30" s="19" t="s">
        <v>102</v>
      </c>
      <c r="C30" s="14" t="s">
        <v>103</v>
      </c>
      <c r="D30" s="14" t="s">
        <v>104</v>
      </c>
      <c r="E30" s="15">
        <v>4</v>
      </c>
      <c r="F30" s="18" t="s">
        <v>223</v>
      </c>
      <c r="G30" s="18" t="s">
        <v>15</v>
      </c>
      <c r="H30" s="18" t="s">
        <v>222</v>
      </c>
    </row>
    <row r="31" spans="1:8" ht="12.75" customHeight="1" x14ac:dyDescent="0.2">
      <c r="A31" s="17">
        <v>26</v>
      </c>
      <c r="B31" s="19" t="s">
        <v>105</v>
      </c>
      <c r="C31" s="14" t="s">
        <v>106</v>
      </c>
      <c r="D31" s="14" t="s">
        <v>19</v>
      </c>
      <c r="E31" s="15">
        <v>7</v>
      </c>
      <c r="F31" s="18" t="s">
        <v>12</v>
      </c>
      <c r="G31" s="16" t="s">
        <v>39</v>
      </c>
      <c r="H31" s="16" t="s">
        <v>40</v>
      </c>
    </row>
    <row r="32" spans="1:8" x14ac:dyDescent="0.2">
      <c r="A32" s="17">
        <v>27</v>
      </c>
      <c r="B32" s="15">
        <v>230924993</v>
      </c>
      <c r="C32" s="16" t="s">
        <v>110</v>
      </c>
      <c r="D32" s="14" t="s">
        <v>52</v>
      </c>
      <c r="E32" s="15">
        <v>7</v>
      </c>
      <c r="F32" s="18" t="s">
        <v>221</v>
      </c>
      <c r="G32" s="18" t="s">
        <v>15</v>
      </c>
      <c r="H32" s="18" t="s">
        <v>222</v>
      </c>
    </row>
    <row r="33" spans="1:8" x14ac:dyDescent="0.2">
      <c r="A33" s="17">
        <v>28</v>
      </c>
      <c r="B33" s="15">
        <v>2011251012</v>
      </c>
      <c r="C33" s="16" t="s">
        <v>212</v>
      </c>
      <c r="D33" s="14" t="s">
        <v>35</v>
      </c>
      <c r="E33" s="15">
        <v>6</v>
      </c>
      <c r="F33" s="18" t="s">
        <v>12</v>
      </c>
      <c r="G33" s="16" t="s">
        <v>39</v>
      </c>
      <c r="H33" s="16" t="s">
        <v>40</v>
      </c>
    </row>
    <row r="34" spans="1:8" ht="12.75" customHeight="1" x14ac:dyDescent="0.2">
      <c r="A34" s="17">
        <v>29</v>
      </c>
      <c r="B34" s="15" t="s">
        <v>107</v>
      </c>
      <c r="C34" s="14" t="s">
        <v>108</v>
      </c>
      <c r="D34" s="14" t="s">
        <v>109</v>
      </c>
      <c r="E34" s="15">
        <v>7</v>
      </c>
      <c r="F34" s="18" t="s">
        <v>59</v>
      </c>
      <c r="G34" s="14" t="s">
        <v>29</v>
      </c>
      <c r="H34" s="16" t="s">
        <v>38</v>
      </c>
    </row>
    <row r="35" spans="1:8" x14ac:dyDescent="0.2">
      <c r="A35" s="17">
        <v>30</v>
      </c>
      <c r="B35" s="19" t="s">
        <v>198</v>
      </c>
      <c r="C35" s="14" t="s">
        <v>196</v>
      </c>
      <c r="D35" s="14" t="s">
        <v>79</v>
      </c>
      <c r="E35" s="15">
        <v>5</v>
      </c>
      <c r="F35" s="18" t="s">
        <v>18</v>
      </c>
      <c r="G35" s="4" t="s">
        <v>53</v>
      </c>
      <c r="H35" s="16" t="s">
        <v>40</v>
      </c>
    </row>
    <row r="36" spans="1:8" x14ac:dyDescent="0.2">
      <c r="A36" s="17">
        <v>31</v>
      </c>
      <c r="B36" s="19" t="s">
        <v>201</v>
      </c>
      <c r="C36" s="14" t="s">
        <v>200</v>
      </c>
      <c r="D36" s="14" t="s">
        <v>28</v>
      </c>
      <c r="E36" s="15">
        <v>6</v>
      </c>
      <c r="F36" s="18" t="s">
        <v>12</v>
      </c>
      <c r="G36" s="16" t="s">
        <v>39</v>
      </c>
      <c r="H36" s="16" t="s">
        <v>40</v>
      </c>
    </row>
    <row r="37" spans="1:8" x14ac:dyDescent="0.2">
      <c r="A37" s="17">
        <v>32</v>
      </c>
      <c r="B37" s="15">
        <v>221110557</v>
      </c>
      <c r="C37" s="14" t="s">
        <v>111</v>
      </c>
      <c r="D37" s="14" t="s">
        <v>11</v>
      </c>
      <c r="E37" s="15">
        <v>5</v>
      </c>
      <c r="F37" s="18" t="s">
        <v>12</v>
      </c>
      <c r="G37" s="16" t="s">
        <v>39</v>
      </c>
      <c r="H37" s="16" t="s">
        <v>40</v>
      </c>
    </row>
    <row r="38" spans="1:8" ht="12.75" customHeight="1" x14ac:dyDescent="0.2">
      <c r="A38" s="17">
        <v>33</v>
      </c>
      <c r="B38" s="19" t="s">
        <v>112</v>
      </c>
      <c r="C38" s="14" t="s">
        <v>113</v>
      </c>
      <c r="D38" s="14" t="s">
        <v>114</v>
      </c>
      <c r="E38" s="15">
        <v>5</v>
      </c>
      <c r="F38" s="18" t="s">
        <v>55</v>
      </c>
      <c r="G38" s="14" t="s">
        <v>22</v>
      </c>
      <c r="H38" s="14" t="s">
        <v>220</v>
      </c>
    </row>
    <row r="39" spans="1:8" ht="12.75" customHeight="1" x14ac:dyDescent="0.2">
      <c r="A39" s="17">
        <v>34</v>
      </c>
      <c r="B39" s="15">
        <v>130906272</v>
      </c>
      <c r="C39" s="14" t="s">
        <v>115</v>
      </c>
      <c r="D39" s="14" t="s">
        <v>116</v>
      </c>
      <c r="E39" s="15">
        <v>5</v>
      </c>
      <c r="F39" s="18" t="s">
        <v>156</v>
      </c>
      <c r="G39" s="14" t="s">
        <v>29</v>
      </c>
      <c r="H39" s="16" t="s">
        <v>29</v>
      </c>
    </row>
    <row r="40" spans="1:8" ht="12.75" customHeight="1" x14ac:dyDescent="0.2">
      <c r="A40" s="17">
        <v>35</v>
      </c>
      <c r="B40" s="42" t="s">
        <v>117</v>
      </c>
      <c r="C40" s="14" t="s">
        <v>118</v>
      </c>
      <c r="D40" s="14" t="s">
        <v>45</v>
      </c>
      <c r="E40" s="15">
        <v>5</v>
      </c>
      <c r="F40" s="18" t="s">
        <v>215</v>
      </c>
      <c r="G40" s="14" t="s">
        <v>29</v>
      </c>
      <c r="H40" s="16" t="s">
        <v>38</v>
      </c>
    </row>
    <row r="41" spans="1:8" ht="12.75" customHeight="1" x14ac:dyDescent="0.2">
      <c r="A41" s="17">
        <v>36</v>
      </c>
      <c r="B41" s="43" t="s">
        <v>119</v>
      </c>
      <c r="C41" s="14" t="s">
        <v>120</v>
      </c>
      <c r="D41" s="14" t="s">
        <v>24</v>
      </c>
      <c r="E41" s="15">
        <v>7</v>
      </c>
      <c r="F41" s="18" t="s">
        <v>12</v>
      </c>
      <c r="G41" s="16" t="s">
        <v>39</v>
      </c>
      <c r="H41" s="16" t="s">
        <v>40</v>
      </c>
    </row>
    <row r="42" spans="1:8" ht="12" customHeight="1" x14ac:dyDescent="0.2">
      <c r="A42" s="17">
        <v>37</v>
      </c>
      <c r="B42" s="19" t="s">
        <v>121</v>
      </c>
      <c r="C42" s="14" t="s">
        <v>122</v>
      </c>
      <c r="D42" s="14" t="s">
        <v>17</v>
      </c>
      <c r="E42" s="15">
        <v>4</v>
      </c>
      <c r="F42" s="18" t="s">
        <v>12</v>
      </c>
      <c r="G42" s="16" t="s">
        <v>39</v>
      </c>
      <c r="H42" s="16" t="s">
        <v>40</v>
      </c>
    </row>
    <row r="43" spans="1:8" ht="12.75" customHeight="1" x14ac:dyDescent="0.2">
      <c r="A43" s="17">
        <v>38</v>
      </c>
      <c r="B43" s="44">
        <v>280324989</v>
      </c>
      <c r="C43" s="14" t="s">
        <v>123</v>
      </c>
      <c r="D43" s="14" t="s">
        <v>124</v>
      </c>
      <c r="E43" s="15">
        <v>4</v>
      </c>
      <c r="F43" s="18" t="s">
        <v>216</v>
      </c>
      <c r="G43" s="4" t="s">
        <v>53</v>
      </c>
      <c r="H43" s="16" t="s">
        <v>40</v>
      </c>
    </row>
    <row r="44" spans="1:8" ht="12.75" customHeight="1" x14ac:dyDescent="0.2">
      <c r="A44" s="17">
        <v>39</v>
      </c>
      <c r="B44" s="19" t="s">
        <v>125</v>
      </c>
      <c r="C44" s="14" t="s">
        <v>126</v>
      </c>
      <c r="D44" s="14" t="s">
        <v>127</v>
      </c>
      <c r="E44" s="15">
        <v>4</v>
      </c>
      <c r="F44" s="18" t="s">
        <v>33</v>
      </c>
      <c r="G44" s="14" t="s">
        <v>29</v>
      </c>
      <c r="H44" s="16" t="s">
        <v>38</v>
      </c>
    </row>
    <row r="45" spans="1:8" ht="12.75" customHeight="1" x14ac:dyDescent="0.2">
      <c r="A45" s="17">
        <v>40</v>
      </c>
      <c r="B45" s="45" t="s">
        <v>128</v>
      </c>
      <c r="C45" s="14" t="s">
        <v>129</v>
      </c>
      <c r="D45" s="14" t="s">
        <v>130</v>
      </c>
      <c r="E45" s="15">
        <v>3</v>
      </c>
      <c r="F45" s="18" t="s">
        <v>55</v>
      </c>
      <c r="G45" s="14" t="s">
        <v>22</v>
      </c>
      <c r="H45" s="14" t="s">
        <v>220</v>
      </c>
    </row>
    <row r="46" spans="1:8" ht="12.75" customHeight="1" x14ac:dyDescent="0.2">
      <c r="A46" s="17">
        <v>41</v>
      </c>
      <c r="B46" s="15">
        <v>240122958</v>
      </c>
      <c r="C46" s="14" t="s">
        <v>131</v>
      </c>
      <c r="D46" s="14" t="s">
        <v>28</v>
      </c>
      <c r="E46" s="15">
        <v>7</v>
      </c>
      <c r="F46" s="18" t="s">
        <v>12</v>
      </c>
      <c r="G46" s="16" t="s">
        <v>39</v>
      </c>
      <c r="H46" s="16" t="s">
        <v>40</v>
      </c>
    </row>
    <row r="47" spans="1:8" ht="12.75" customHeight="1" x14ac:dyDescent="0.2">
      <c r="A47" s="17">
        <v>42</v>
      </c>
      <c r="B47" s="15">
        <v>150724991</v>
      </c>
      <c r="C47" s="14" t="s">
        <v>132</v>
      </c>
      <c r="D47" s="14" t="s">
        <v>34</v>
      </c>
      <c r="E47" s="15">
        <v>6</v>
      </c>
      <c r="F47" s="18" t="s">
        <v>33</v>
      </c>
      <c r="G47" s="14" t="s">
        <v>29</v>
      </c>
      <c r="H47" s="16" t="s">
        <v>38</v>
      </c>
    </row>
    <row r="48" spans="1:8" ht="12.75" customHeight="1" x14ac:dyDescent="0.2">
      <c r="A48" s="17">
        <v>43</v>
      </c>
      <c r="B48" s="15">
        <v>260123977</v>
      </c>
      <c r="C48" s="14" t="s">
        <v>133</v>
      </c>
      <c r="D48" s="14" t="s">
        <v>21</v>
      </c>
      <c r="E48" s="15">
        <v>6</v>
      </c>
      <c r="F48" s="18" t="s">
        <v>55</v>
      </c>
      <c r="G48" s="14" t="s">
        <v>22</v>
      </c>
      <c r="H48" s="14" t="s">
        <v>220</v>
      </c>
    </row>
    <row r="49" spans="1:180" ht="12.75" customHeight="1" x14ac:dyDescent="0.2">
      <c r="A49" s="17">
        <v>44</v>
      </c>
      <c r="B49" s="15">
        <v>160714734</v>
      </c>
      <c r="C49" s="14" t="s">
        <v>134</v>
      </c>
      <c r="D49" s="14" t="s">
        <v>135</v>
      </c>
      <c r="E49" s="15">
        <v>5</v>
      </c>
      <c r="F49" s="18" t="s">
        <v>55</v>
      </c>
      <c r="G49" s="14" t="s">
        <v>22</v>
      </c>
      <c r="H49" s="14" t="s">
        <v>220</v>
      </c>
    </row>
    <row r="50" spans="1:180" ht="12.75" customHeight="1" x14ac:dyDescent="0.2">
      <c r="A50" s="17">
        <v>45</v>
      </c>
      <c r="B50" s="19" t="s">
        <v>136</v>
      </c>
      <c r="C50" s="14" t="s">
        <v>137</v>
      </c>
      <c r="D50" s="14" t="s">
        <v>32</v>
      </c>
      <c r="E50" s="15">
        <v>6</v>
      </c>
      <c r="F50" s="18" t="s">
        <v>33</v>
      </c>
      <c r="G50" s="14" t="s">
        <v>29</v>
      </c>
      <c r="H50" s="16" t="s">
        <v>38</v>
      </c>
    </row>
    <row r="51" spans="1:180" ht="12.75" customHeight="1" x14ac:dyDescent="0.2">
      <c r="A51" s="17">
        <v>46</v>
      </c>
      <c r="B51" s="19" t="s">
        <v>205</v>
      </c>
      <c r="C51" s="14" t="s">
        <v>214</v>
      </c>
      <c r="D51" s="14" t="s">
        <v>17</v>
      </c>
      <c r="E51" s="15">
        <v>4</v>
      </c>
      <c r="F51" s="18" t="s">
        <v>12</v>
      </c>
      <c r="G51" s="16" t="s">
        <v>39</v>
      </c>
      <c r="H51" s="16" t="s">
        <v>40</v>
      </c>
    </row>
    <row r="52" spans="1:180" x14ac:dyDescent="0.2">
      <c r="A52" s="37"/>
      <c r="B52" s="31"/>
      <c r="C52" s="32"/>
      <c r="D52" s="32"/>
      <c r="E52" s="31"/>
      <c r="F52" s="32"/>
      <c r="G52" s="33"/>
      <c r="H52" s="47"/>
    </row>
    <row r="53" spans="1:180" x14ac:dyDescent="0.2">
      <c r="A53" s="11"/>
      <c r="B53" s="39" t="s">
        <v>9</v>
      </c>
      <c r="C53" s="10"/>
      <c r="D53" s="10"/>
      <c r="E53" s="30"/>
      <c r="F53" s="13"/>
      <c r="G53" s="26"/>
      <c r="H53" s="12"/>
    </row>
    <row r="54" spans="1:180" s="5" customFormat="1" x14ac:dyDescent="0.2">
      <c r="A54" s="15">
        <v>1</v>
      </c>
      <c r="B54" s="46">
        <v>160603000</v>
      </c>
      <c r="C54" s="21" t="s">
        <v>139</v>
      </c>
      <c r="D54" s="21" t="s">
        <v>38</v>
      </c>
      <c r="E54" s="15">
        <v>1</v>
      </c>
      <c r="F54" s="21" t="s">
        <v>29</v>
      </c>
      <c r="G54" s="27" t="s">
        <v>29</v>
      </c>
      <c r="H54" s="21" t="s">
        <v>38</v>
      </c>
    </row>
    <row r="55" spans="1:180" s="5" customFormat="1" x14ac:dyDescent="0.2">
      <c r="A55" s="15">
        <v>2</v>
      </c>
      <c r="B55" s="46" t="s">
        <v>140</v>
      </c>
      <c r="C55" s="21" t="s">
        <v>141</v>
      </c>
      <c r="D55" s="21" t="s">
        <v>142</v>
      </c>
      <c r="E55" s="15">
        <v>2</v>
      </c>
      <c r="F55" s="21" t="s">
        <v>29</v>
      </c>
      <c r="G55" s="27" t="s">
        <v>22</v>
      </c>
      <c r="H55" s="21" t="s">
        <v>220</v>
      </c>
    </row>
    <row r="56" spans="1:180" s="5" customFormat="1" x14ac:dyDescent="0.2">
      <c r="A56" s="15">
        <v>3</v>
      </c>
      <c r="B56" s="19" t="s">
        <v>143</v>
      </c>
      <c r="C56" s="14" t="s">
        <v>144</v>
      </c>
      <c r="D56" s="14" t="s">
        <v>138</v>
      </c>
      <c r="E56" s="15">
        <v>2</v>
      </c>
      <c r="F56" s="14" t="s">
        <v>29</v>
      </c>
      <c r="G56" s="27" t="s">
        <v>15</v>
      </c>
      <c r="H56" s="14" t="s">
        <v>224</v>
      </c>
    </row>
    <row r="57" spans="1:180" s="5" customFormat="1" ht="12.75" customHeight="1" x14ac:dyDescent="0.2">
      <c r="A57" s="15">
        <v>4</v>
      </c>
      <c r="B57" s="15">
        <v>280314716</v>
      </c>
      <c r="C57" s="14" t="s">
        <v>145</v>
      </c>
      <c r="D57" s="14" t="s">
        <v>146</v>
      </c>
      <c r="E57" s="15">
        <v>3</v>
      </c>
      <c r="F57" s="14" t="s">
        <v>215</v>
      </c>
      <c r="G57" s="18" t="s">
        <v>29</v>
      </c>
      <c r="H57" s="14" t="s">
        <v>38</v>
      </c>
    </row>
    <row r="58" spans="1:180" x14ac:dyDescent="0.2">
      <c r="A58" s="15">
        <v>5</v>
      </c>
      <c r="B58" s="15">
        <v>260716795</v>
      </c>
      <c r="C58" s="14" t="s">
        <v>147</v>
      </c>
      <c r="D58" s="14" t="s">
        <v>148</v>
      </c>
      <c r="E58" s="15">
        <v>2</v>
      </c>
      <c r="F58" s="14" t="s">
        <v>29</v>
      </c>
      <c r="G58" s="27" t="s">
        <v>53</v>
      </c>
      <c r="H58" s="14" t="s">
        <v>40</v>
      </c>
    </row>
    <row r="59" spans="1:180" x14ac:dyDescent="0.2">
      <c r="A59" s="3"/>
      <c r="E59" s="15"/>
      <c r="H59" s="4"/>
    </row>
    <row r="60" spans="1:180" x14ac:dyDescent="0.2">
      <c r="A60" s="11"/>
      <c r="B60" s="39" t="s">
        <v>149</v>
      </c>
      <c r="C60" s="10"/>
      <c r="D60" s="10"/>
      <c r="E60" s="30"/>
      <c r="F60" s="13"/>
      <c r="G60" s="26"/>
      <c r="H60" s="12"/>
    </row>
    <row r="61" spans="1:180" s="5" customFormat="1" x14ac:dyDescent="0.2">
      <c r="A61" s="15">
        <v>1</v>
      </c>
      <c r="B61" s="15">
        <v>160313008</v>
      </c>
      <c r="C61" s="14" t="s">
        <v>154</v>
      </c>
      <c r="D61" s="14" t="s">
        <v>25</v>
      </c>
      <c r="E61" s="15">
        <v>8</v>
      </c>
      <c r="F61" s="14" t="s">
        <v>152</v>
      </c>
      <c r="G61" s="18" t="s">
        <v>153</v>
      </c>
      <c r="H61" s="14" t="s">
        <v>38</v>
      </c>
      <c r="FX61" s="22">
        <f>SUM(A61:FW61)</f>
        <v>160313017</v>
      </c>
    </row>
    <row r="62" spans="1:180" s="5" customFormat="1" x14ac:dyDescent="0.2">
      <c r="A62" s="15">
        <v>2</v>
      </c>
      <c r="B62" s="15">
        <v>120124984</v>
      </c>
      <c r="C62" s="14" t="s">
        <v>191</v>
      </c>
      <c r="D62" s="14" t="s">
        <v>155</v>
      </c>
      <c r="E62" s="15">
        <v>8</v>
      </c>
      <c r="F62" s="18" t="s">
        <v>156</v>
      </c>
      <c r="G62" s="18" t="s">
        <v>153</v>
      </c>
      <c r="H62" s="14" t="s">
        <v>38</v>
      </c>
      <c r="FX62" s="22"/>
    </row>
    <row r="63" spans="1:180" s="5" customFormat="1" x14ac:dyDescent="0.2">
      <c r="A63" s="15">
        <v>3</v>
      </c>
      <c r="B63" s="19" t="s">
        <v>157</v>
      </c>
      <c r="C63" s="14" t="s">
        <v>158</v>
      </c>
      <c r="D63" s="14" t="s">
        <v>46</v>
      </c>
      <c r="E63" s="15">
        <v>8</v>
      </c>
      <c r="F63" s="14" t="s">
        <v>152</v>
      </c>
      <c r="G63" s="18" t="s">
        <v>153</v>
      </c>
      <c r="H63" s="14" t="s">
        <v>38</v>
      </c>
      <c r="FX63" s="22">
        <f>SUM(A63:FW63)</f>
        <v>11</v>
      </c>
    </row>
    <row r="64" spans="1:180" s="5" customFormat="1" x14ac:dyDescent="0.2">
      <c r="A64" s="15">
        <v>4</v>
      </c>
      <c r="B64" s="19" t="s">
        <v>159</v>
      </c>
      <c r="C64" s="14" t="s">
        <v>160</v>
      </c>
      <c r="D64" s="14" t="s">
        <v>161</v>
      </c>
      <c r="E64" s="15">
        <v>5</v>
      </c>
      <c r="F64" s="14" t="s">
        <v>22</v>
      </c>
      <c r="G64" s="18" t="s">
        <v>153</v>
      </c>
      <c r="H64" s="14" t="s">
        <v>38</v>
      </c>
      <c r="FX64" s="22">
        <f>SUM(A64:FW64)</f>
        <v>9</v>
      </c>
    </row>
    <row r="65" spans="1:180" s="5" customFormat="1" x14ac:dyDescent="0.2">
      <c r="A65" s="15">
        <v>5</v>
      </c>
      <c r="B65" s="15">
        <v>170417832</v>
      </c>
      <c r="C65" s="14" t="s">
        <v>162</v>
      </c>
      <c r="D65" s="14" t="s">
        <v>163</v>
      </c>
      <c r="E65" s="15">
        <v>6</v>
      </c>
      <c r="F65" s="18" t="s">
        <v>156</v>
      </c>
      <c r="G65" s="18" t="s">
        <v>153</v>
      </c>
      <c r="H65" s="14" t="s">
        <v>38</v>
      </c>
      <c r="FX65" s="22">
        <f>SUM(A65:FW65)</f>
        <v>170417843</v>
      </c>
    </row>
    <row r="66" spans="1:180" s="5" customFormat="1" x14ac:dyDescent="0.2">
      <c r="A66" s="15">
        <v>6</v>
      </c>
      <c r="B66" s="15" t="s">
        <v>164</v>
      </c>
      <c r="C66" s="14" t="s">
        <v>165</v>
      </c>
      <c r="D66" s="14" t="s">
        <v>166</v>
      </c>
      <c r="E66" s="15">
        <v>7</v>
      </c>
      <c r="F66" s="14" t="s">
        <v>15</v>
      </c>
      <c r="G66" s="18" t="s">
        <v>15</v>
      </c>
      <c r="H66" s="14" t="s">
        <v>38</v>
      </c>
      <c r="FX66" s="22"/>
    </row>
    <row r="67" spans="1:180" s="5" customFormat="1" x14ac:dyDescent="0.2">
      <c r="A67" s="15">
        <v>7</v>
      </c>
      <c r="B67" s="19" t="s">
        <v>193</v>
      </c>
      <c r="C67" s="14" t="s">
        <v>151</v>
      </c>
      <c r="D67" s="14" t="s">
        <v>192</v>
      </c>
      <c r="E67" s="15">
        <v>6</v>
      </c>
      <c r="F67" s="18" t="s">
        <v>156</v>
      </c>
      <c r="G67" s="18" t="s">
        <v>153</v>
      </c>
      <c r="H67" s="14" t="s">
        <v>38</v>
      </c>
      <c r="FX67" s="22">
        <f>SUM(A67:FW67)</f>
        <v>13</v>
      </c>
    </row>
    <row r="68" spans="1:180" s="5" customFormat="1" x14ac:dyDescent="0.2">
      <c r="A68" s="15">
        <v>8</v>
      </c>
      <c r="B68" s="19" t="s">
        <v>168</v>
      </c>
      <c r="C68" s="14" t="s">
        <v>218</v>
      </c>
      <c r="D68" s="14" t="s">
        <v>169</v>
      </c>
      <c r="E68" s="15">
        <v>6</v>
      </c>
      <c r="F68" s="18" t="s">
        <v>153</v>
      </c>
      <c r="G68" s="18" t="s">
        <v>153</v>
      </c>
      <c r="H68" s="14" t="s">
        <v>38</v>
      </c>
      <c r="FX68" s="22"/>
    </row>
    <row r="69" spans="1:180" s="5" customFormat="1" x14ac:dyDescent="0.2">
      <c r="A69" s="15">
        <v>9</v>
      </c>
      <c r="B69" s="19" t="s">
        <v>190</v>
      </c>
      <c r="C69" s="14" t="s">
        <v>189</v>
      </c>
      <c r="D69" s="14" t="s">
        <v>167</v>
      </c>
      <c r="E69" s="15">
        <v>2</v>
      </c>
      <c r="F69" s="18" t="s">
        <v>153</v>
      </c>
      <c r="G69" s="18" t="s">
        <v>153</v>
      </c>
      <c r="H69" s="14" t="s">
        <v>38</v>
      </c>
      <c r="FX69" s="22"/>
    </row>
    <row r="70" spans="1:180" s="5" customFormat="1" x14ac:dyDescent="0.2">
      <c r="A70" s="15">
        <v>10</v>
      </c>
      <c r="B70" s="19" t="s">
        <v>170</v>
      </c>
      <c r="C70" s="23" t="s">
        <v>171</v>
      </c>
      <c r="D70" s="14" t="s">
        <v>206</v>
      </c>
      <c r="E70" s="15">
        <v>7</v>
      </c>
      <c r="F70" s="14" t="s">
        <v>152</v>
      </c>
      <c r="G70" s="18" t="s">
        <v>153</v>
      </c>
      <c r="H70" s="14" t="s">
        <v>38</v>
      </c>
      <c r="FX70" s="22"/>
    </row>
    <row r="71" spans="1:180" s="5" customFormat="1" x14ac:dyDescent="0.2">
      <c r="A71" s="15">
        <v>11</v>
      </c>
      <c r="B71" s="15">
        <v>160921954</v>
      </c>
      <c r="C71" s="14" t="s">
        <v>172</v>
      </c>
      <c r="D71" s="14" t="s">
        <v>173</v>
      </c>
      <c r="E71" s="15">
        <v>5</v>
      </c>
      <c r="F71" s="14" t="s">
        <v>152</v>
      </c>
      <c r="G71" s="18" t="s">
        <v>153</v>
      </c>
      <c r="H71" s="14" t="s">
        <v>38</v>
      </c>
      <c r="FX71" s="22">
        <f>SUM(A71:FW71)</f>
        <v>160921970</v>
      </c>
    </row>
    <row r="72" spans="1:180" s="5" customFormat="1" x14ac:dyDescent="0.2">
      <c r="A72" s="15">
        <v>12</v>
      </c>
      <c r="B72" s="15" t="s">
        <v>174</v>
      </c>
      <c r="C72" s="14" t="s">
        <v>175</v>
      </c>
      <c r="D72" s="14" t="s">
        <v>46</v>
      </c>
      <c r="E72" s="15">
        <v>8</v>
      </c>
      <c r="F72" s="14" t="s">
        <v>152</v>
      </c>
      <c r="G72" s="18" t="s">
        <v>153</v>
      </c>
      <c r="H72" s="14" t="s">
        <v>38</v>
      </c>
      <c r="FX72" s="22">
        <f>SUM(A72:FW72)</f>
        <v>20</v>
      </c>
    </row>
    <row r="73" spans="1:180" s="5" customFormat="1" x14ac:dyDescent="0.2">
      <c r="A73" s="15">
        <v>13</v>
      </c>
      <c r="B73" s="15" t="s">
        <v>176</v>
      </c>
      <c r="C73" s="14" t="s">
        <v>177</v>
      </c>
      <c r="D73" s="14" t="s">
        <v>46</v>
      </c>
      <c r="E73" s="15">
        <v>8</v>
      </c>
      <c r="F73" s="14" t="s">
        <v>152</v>
      </c>
      <c r="G73" s="18" t="s">
        <v>153</v>
      </c>
      <c r="H73" s="14" t="s">
        <v>38</v>
      </c>
      <c r="FX73" s="22">
        <f>SUM(A73:FW73)</f>
        <v>21</v>
      </c>
    </row>
    <row r="74" spans="1:180" s="5" customFormat="1" x14ac:dyDescent="0.2">
      <c r="A74" s="15">
        <v>14</v>
      </c>
      <c r="B74" s="19" t="s">
        <v>178</v>
      </c>
      <c r="C74" s="14" t="s">
        <v>179</v>
      </c>
      <c r="D74" s="14" t="s">
        <v>25</v>
      </c>
      <c r="E74" s="15">
        <v>8</v>
      </c>
      <c r="F74" s="14" t="s">
        <v>152</v>
      </c>
      <c r="G74" s="18" t="s">
        <v>153</v>
      </c>
      <c r="H74" s="14" t="s">
        <v>38</v>
      </c>
      <c r="FX74" s="22">
        <f>SUM(A74:FW74)</f>
        <v>22</v>
      </c>
    </row>
    <row r="75" spans="1:180" s="5" customFormat="1" x14ac:dyDescent="0.2">
      <c r="A75" s="15">
        <v>15</v>
      </c>
      <c r="B75" s="19" t="s">
        <v>180</v>
      </c>
      <c r="C75" s="14" t="s">
        <v>181</v>
      </c>
      <c r="D75" s="14" t="s">
        <v>95</v>
      </c>
      <c r="E75" s="15">
        <v>9</v>
      </c>
      <c r="F75" s="14" t="s">
        <v>152</v>
      </c>
      <c r="G75" s="18" t="s">
        <v>153</v>
      </c>
      <c r="H75" s="14" t="s">
        <v>38</v>
      </c>
      <c r="FX75" s="22"/>
    </row>
    <row r="76" spans="1:180" s="5" customFormat="1" x14ac:dyDescent="0.2">
      <c r="A76" s="15">
        <v>16</v>
      </c>
      <c r="B76" s="15" t="s">
        <v>182</v>
      </c>
      <c r="C76" s="14" t="s">
        <v>183</v>
      </c>
      <c r="D76" s="14" t="s">
        <v>46</v>
      </c>
      <c r="E76" s="15">
        <v>8</v>
      </c>
      <c r="F76" s="14" t="s">
        <v>152</v>
      </c>
      <c r="G76" s="18" t="s">
        <v>153</v>
      </c>
      <c r="H76" s="14" t="s">
        <v>38</v>
      </c>
      <c r="FX76" s="22">
        <f>SUM(A76:FW76)</f>
        <v>24</v>
      </c>
    </row>
    <row r="77" spans="1:180" s="5" customFormat="1" x14ac:dyDescent="0.2">
      <c r="A77" s="15">
        <v>17</v>
      </c>
      <c r="B77" s="15">
        <v>300913696</v>
      </c>
      <c r="C77" s="14" t="s">
        <v>184</v>
      </c>
      <c r="D77" s="14" t="s">
        <v>46</v>
      </c>
      <c r="E77" s="15">
        <v>8</v>
      </c>
      <c r="F77" s="14" t="s">
        <v>152</v>
      </c>
      <c r="G77" s="18" t="s">
        <v>153</v>
      </c>
      <c r="H77" s="14" t="s">
        <v>38</v>
      </c>
      <c r="FX77" s="22">
        <f>SUM(A77:FW77)</f>
        <v>300913721</v>
      </c>
    </row>
    <row r="78" spans="1:180" s="5" customFormat="1" x14ac:dyDescent="0.2">
      <c r="A78" s="15">
        <v>18</v>
      </c>
      <c r="B78" s="19" t="s">
        <v>185</v>
      </c>
      <c r="C78" s="14" t="s">
        <v>186</v>
      </c>
      <c r="D78" s="14" t="s">
        <v>25</v>
      </c>
      <c r="E78" s="15">
        <v>8</v>
      </c>
      <c r="F78" s="14" t="s">
        <v>152</v>
      </c>
      <c r="G78" s="18" t="s">
        <v>153</v>
      </c>
      <c r="H78" s="14" t="s">
        <v>38</v>
      </c>
      <c r="FX78" s="22"/>
    </row>
    <row r="79" spans="1:180" s="5" customFormat="1" x14ac:dyDescent="0.2">
      <c r="A79" s="15">
        <v>19</v>
      </c>
      <c r="B79" s="19" t="s">
        <v>208</v>
      </c>
      <c r="C79" s="14" t="s">
        <v>209</v>
      </c>
      <c r="D79" s="14" t="s">
        <v>210</v>
      </c>
      <c r="E79" s="15">
        <v>8</v>
      </c>
      <c r="F79" s="14" t="s">
        <v>152</v>
      </c>
      <c r="G79" s="18" t="s">
        <v>153</v>
      </c>
      <c r="H79" s="14" t="s">
        <v>38</v>
      </c>
      <c r="FX79" s="22"/>
    </row>
    <row r="80" spans="1:180" x14ac:dyDescent="0.2">
      <c r="A80" s="24"/>
      <c r="C80" s="5"/>
      <c r="D80" s="5"/>
      <c r="F80" s="25"/>
      <c r="G80" s="28"/>
    </row>
    <row r="81" spans="3:7" x14ac:dyDescent="0.2">
      <c r="C81" s="6"/>
      <c r="D81" s="4"/>
      <c r="E81" s="4"/>
      <c r="F81" s="3"/>
      <c r="G81" s="2"/>
    </row>
    <row r="82" spans="3:7" x14ac:dyDescent="0.2">
      <c r="C82" s="6"/>
      <c r="D82" s="4"/>
      <c r="E82" s="4"/>
      <c r="F82" s="3"/>
      <c r="G82" s="2"/>
    </row>
    <row r="83" spans="3:7" x14ac:dyDescent="0.2">
      <c r="C83" s="6"/>
      <c r="D83" s="4"/>
      <c r="E83" s="4"/>
      <c r="F83" s="3"/>
      <c r="G83" s="2"/>
    </row>
    <row r="84" spans="3:7" x14ac:dyDescent="0.2">
      <c r="C84" s="6"/>
      <c r="D84" s="4"/>
      <c r="E84" s="4"/>
      <c r="F84" s="3"/>
      <c r="G84" s="2"/>
    </row>
    <row r="85" spans="3:7" x14ac:dyDescent="0.2">
      <c r="C85" s="6"/>
      <c r="D85" s="4"/>
      <c r="E85" s="4"/>
      <c r="F85" s="3"/>
      <c r="G85" s="2"/>
    </row>
    <row r="86" spans="3:7" x14ac:dyDescent="0.2">
      <c r="C86" s="6"/>
      <c r="D86" s="4"/>
      <c r="E86" s="4"/>
      <c r="F86" s="3"/>
      <c r="G86" s="2"/>
    </row>
  </sheetData>
  <mergeCells count="8">
    <mergeCell ref="H3:H4"/>
    <mergeCell ref="G3:G4"/>
    <mergeCell ref="F3:F4"/>
    <mergeCell ref="A3:A4"/>
    <mergeCell ref="B3:B4"/>
    <mergeCell ref="C3:C4"/>
    <mergeCell ref="D3:D4"/>
    <mergeCell ref="E3:E4"/>
  </mergeCells>
  <pageMargins left="0.75" right="0.75" top="1" bottom="1" header="0.5" footer="0.5"/>
  <pageSetup paperSize="9" scale="9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13"/>
  <sheetViews>
    <sheetView workbookViewId="0">
      <selection activeCell="D1" sqref="D1"/>
    </sheetView>
  </sheetViews>
  <sheetFormatPr defaultRowHeight="12.75" x14ac:dyDescent="0.2"/>
  <cols>
    <col min="1" max="1" width="16.5703125" bestFit="1" customWidth="1"/>
    <col min="4" max="5" width="18.140625" bestFit="1" customWidth="1"/>
  </cols>
  <sheetData>
    <row r="1" spans="1:6" x14ac:dyDescent="0.2">
      <c r="A1" s="29" t="s">
        <v>150</v>
      </c>
      <c r="B1" s="29" t="s">
        <v>13</v>
      </c>
      <c r="C1" s="29">
        <v>1</v>
      </c>
      <c r="D1" s="29" t="s">
        <v>9</v>
      </c>
      <c r="E1" s="29" t="s">
        <v>22</v>
      </c>
      <c r="F1" s="14" t="s">
        <v>38</v>
      </c>
    </row>
    <row r="2" spans="1:6" x14ac:dyDescent="0.2">
      <c r="A2" s="29" t="s">
        <v>20</v>
      </c>
      <c r="B2" s="29" t="s">
        <v>14</v>
      </c>
      <c r="C2" s="29">
        <v>2</v>
      </c>
      <c r="D2" s="29" t="s">
        <v>22</v>
      </c>
      <c r="E2" s="29" t="s">
        <v>15</v>
      </c>
      <c r="F2" s="14" t="s">
        <v>40</v>
      </c>
    </row>
    <row r="3" spans="1:6" x14ac:dyDescent="0.2">
      <c r="A3" s="29" t="s">
        <v>26</v>
      </c>
      <c r="B3" s="29"/>
      <c r="C3" s="29">
        <v>3</v>
      </c>
      <c r="D3" s="29" t="s">
        <v>15</v>
      </c>
      <c r="E3" s="29" t="s">
        <v>37</v>
      </c>
      <c r="F3" s="14" t="s">
        <v>42</v>
      </c>
    </row>
    <row r="4" spans="1:6" x14ac:dyDescent="0.2">
      <c r="A4" s="29" t="s">
        <v>49</v>
      </c>
      <c r="B4" s="29"/>
      <c r="C4" s="29">
        <v>5</v>
      </c>
      <c r="D4" s="29" t="s">
        <v>53</v>
      </c>
      <c r="E4" s="18" t="s">
        <v>153</v>
      </c>
      <c r="F4" s="29"/>
    </row>
    <row r="5" spans="1:6" x14ac:dyDescent="0.2">
      <c r="A5" s="29" t="s">
        <v>73</v>
      </c>
      <c r="B5" s="29"/>
      <c r="C5" s="29">
        <v>6</v>
      </c>
      <c r="D5" s="29" t="s">
        <v>33</v>
      </c>
      <c r="E5" s="18" t="s">
        <v>16</v>
      </c>
      <c r="F5" s="14"/>
    </row>
    <row r="6" spans="1:6" x14ac:dyDescent="0.2">
      <c r="A6" s="29" t="s">
        <v>30</v>
      </c>
      <c r="B6" s="29"/>
      <c r="C6" s="29">
        <v>7</v>
      </c>
      <c r="D6" s="14" t="s">
        <v>44</v>
      </c>
      <c r="E6" s="18" t="s">
        <v>39</v>
      </c>
      <c r="F6" s="29"/>
    </row>
    <row r="7" spans="1:6" x14ac:dyDescent="0.2">
      <c r="A7" s="29" t="s">
        <v>31</v>
      </c>
      <c r="B7" s="29"/>
      <c r="C7" s="29">
        <v>8</v>
      </c>
      <c r="D7" s="29" t="s">
        <v>16</v>
      </c>
      <c r="E7" s="29" t="s">
        <v>60</v>
      </c>
      <c r="F7" s="29"/>
    </row>
    <row r="8" spans="1:6" x14ac:dyDescent="0.2">
      <c r="A8" s="29" t="s">
        <v>27</v>
      </c>
      <c r="B8" s="29"/>
      <c r="C8" s="29">
        <v>9</v>
      </c>
      <c r="D8" s="29" t="s">
        <v>12</v>
      </c>
      <c r="E8" s="29" t="s">
        <v>55</v>
      </c>
      <c r="F8" s="29"/>
    </row>
    <row r="9" spans="1:6" x14ac:dyDescent="0.2">
      <c r="A9" s="29" t="s">
        <v>48</v>
      </c>
      <c r="B9" s="29"/>
      <c r="C9" s="29"/>
      <c r="D9" s="29" t="s">
        <v>18</v>
      </c>
      <c r="E9" s="29"/>
      <c r="F9" s="29"/>
    </row>
    <row r="10" spans="1:6" x14ac:dyDescent="0.2">
      <c r="A10" s="29" t="s">
        <v>187</v>
      </c>
      <c r="B10" s="29"/>
      <c r="C10" s="29"/>
      <c r="D10" s="14" t="s">
        <v>152</v>
      </c>
      <c r="E10" s="29"/>
      <c r="F10" s="29"/>
    </row>
    <row r="11" spans="1:6" x14ac:dyDescent="0.2">
      <c r="A11" s="29"/>
      <c r="B11" s="29"/>
      <c r="C11" s="29"/>
      <c r="D11" s="14" t="s">
        <v>156</v>
      </c>
      <c r="E11" s="29"/>
      <c r="F11" s="29"/>
    </row>
    <row r="12" spans="1:6" x14ac:dyDescent="0.2">
      <c r="A12" s="29"/>
      <c r="B12" s="29"/>
      <c r="C12" s="29"/>
      <c r="D12" s="14" t="s">
        <v>23</v>
      </c>
      <c r="E12" s="29"/>
      <c r="F12" s="29"/>
    </row>
    <row r="13" spans="1:6" x14ac:dyDescent="0.2">
      <c r="A13" s="29"/>
      <c r="B13" s="29"/>
      <c r="C13" s="29"/>
      <c r="D13" s="14" t="s">
        <v>59</v>
      </c>
      <c r="E13" s="29"/>
      <c r="F13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12_Employee Data 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ISO000129</dc:creator>
  <cp:lastModifiedBy>Zheta</cp:lastModifiedBy>
  <dcterms:created xsi:type="dcterms:W3CDTF">2024-12-26T03:39:18Z</dcterms:created>
  <dcterms:modified xsi:type="dcterms:W3CDTF">2025-12-31T12:19:13Z</dcterms:modified>
</cp:coreProperties>
</file>