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MAIN" sheetId="1" r:id="rId1"/>
    <sheet name="Sheet1" sheetId="2" r:id="rId2"/>
  </sheets>
  <externalReferences>
    <externalReference r:id="rId3"/>
  </externalReferences>
  <calcPr calcId="152511"/>
</workbook>
</file>

<file path=xl/calcChain.xml><?xml version="1.0" encoding="utf-8"?>
<calcChain xmlns="http://schemas.openxmlformats.org/spreadsheetml/2006/main">
  <c r="P5" i="1" l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4" i="1"/>
  <c r="F9" i="1" l="1"/>
  <c r="F8" i="1"/>
  <c r="F7" i="1"/>
  <c r="F6" i="1"/>
  <c r="F5" i="1"/>
  <c r="F4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10" i="1"/>
  <c r="B4" i="1" l="1"/>
  <c r="D4" i="1" l="1"/>
  <c r="C4" i="1"/>
  <c r="B5" i="1" l="1"/>
  <c r="B6" i="1" l="1"/>
  <c r="D5" i="1"/>
  <c r="C5" i="1"/>
  <c r="B7" i="1" l="1"/>
  <c r="D6" i="1"/>
  <c r="C6" i="1"/>
  <c r="B8" i="1" l="1"/>
  <c r="D7" i="1"/>
  <c r="C7" i="1"/>
  <c r="B9" i="1" l="1"/>
  <c r="D8" i="1"/>
  <c r="C8" i="1"/>
  <c r="B10" i="1" l="1"/>
  <c r="D9" i="1"/>
  <c r="C9" i="1"/>
  <c r="B11" i="1" l="1"/>
  <c r="D10" i="1"/>
  <c r="C10" i="1"/>
  <c r="B12" i="1" l="1"/>
  <c r="D11" i="1"/>
  <c r="C11" i="1"/>
  <c r="B13" i="1" l="1"/>
  <c r="D12" i="1"/>
  <c r="C12" i="1"/>
  <c r="B14" i="1" l="1"/>
  <c r="D13" i="1"/>
  <c r="C13" i="1"/>
  <c r="B15" i="1" l="1"/>
  <c r="D14" i="1"/>
  <c r="C14" i="1"/>
  <c r="B16" i="1" l="1"/>
  <c r="D15" i="1"/>
  <c r="C15" i="1"/>
  <c r="B17" i="1" l="1"/>
  <c r="D16" i="1"/>
  <c r="C16" i="1"/>
  <c r="B18" i="1" l="1"/>
  <c r="D17" i="1"/>
  <c r="C17" i="1"/>
  <c r="B19" i="1" l="1"/>
  <c r="D18" i="1"/>
  <c r="C18" i="1"/>
  <c r="B20" i="1" l="1"/>
  <c r="D19" i="1"/>
  <c r="C19" i="1"/>
  <c r="B21" i="1" l="1"/>
  <c r="D20" i="1"/>
  <c r="C20" i="1"/>
  <c r="B22" i="1" l="1"/>
  <c r="D21" i="1"/>
  <c r="C21" i="1"/>
  <c r="B23" i="1" l="1"/>
  <c r="D22" i="1"/>
  <c r="C22" i="1"/>
  <c r="B24" i="1" l="1"/>
  <c r="C23" i="1"/>
  <c r="D23" i="1"/>
  <c r="B25" i="1" l="1"/>
  <c r="C24" i="1"/>
  <c r="D24" i="1"/>
  <c r="B26" i="1" l="1"/>
  <c r="C25" i="1"/>
  <c r="D25" i="1"/>
  <c r="B27" i="1" l="1"/>
  <c r="C26" i="1"/>
  <c r="D26" i="1"/>
  <c r="B28" i="1" l="1"/>
  <c r="C27" i="1"/>
  <c r="D27" i="1"/>
  <c r="B29" i="1" l="1"/>
  <c r="C28" i="1"/>
  <c r="D28" i="1"/>
  <c r="B30" i="1" l="1"/>
  <c r="C29" i="1"/>
  <c r="D29" i="1"/>
  <c r="B31" i="1" l="1"/>
  <c r="C30" i="1"/>
  <c r="D30" i="1"/>
  <c r="B32" i="1" l="1"/>
  <c r="C31" i="1"/>
  <c r="D31" i="1"/>
  <c r="B33" i="1" l="1"/>
  <c r="C32" i="1"/>
  <c r="D32" i="1"/>
  <c r="B34" i="1" l="1"/>
  <c r="C33" i="1"/>
  <c r="D33" i="1"/>
  <c r="B35" i="1" l="1"/>
  <c r="C34" i="1"/>
  <c r="D34" i="1"/>
  <c r="B36" i="1" l="1"/>
  <c r="C35" i="1"/>
  <c r="D35" i="1"/>
  <c r="B37" i="1" l="1"/>
  <c r="C36" i="1"/>
  <c r="D36" i="1"/>
  <c r="B38" i="1" l="1"/>
  <c r="C37" i="1"/>
  <c r="D37" i="1"/>
  <c r="B39" i="1" l="1"/>
  <c r="C38" i="1"/>
  <c r="D38" i="1"/>
  <c r="B40" i="1" l="1"/>
  <c r="C39" i="1"/>
  <c r="D39" i="1"/>
  <c r="B41" i="1" l="1"/>
  <c r="C40" i="1"/>
  <c r="D40" i="1"/>
  <c r="B42" i="1" l="1"/>
  <c r="C41" i="1"/>
  <c r="D41" i="1"/>
  <c r="B43" i="1" l="1"/>
  <c r="C42" i="1"/>
  <c r="D42" i="1"/>
  <c r="B44" i="1" l="1"/>
  <c r="C43" i="1"/>
  <c r="D43" i="1"/>
  <c r="B45" i="1" l="1"/>
  <c r="C44" i="1"/>
  <c r="D44" i="1"/>
  <c r="B46" i="1" l="1"/>
  <c r="C45" i="1"/>
  <c r="D45" i="1"/>
  <c r="B47" i="1" l="1"/>
  <c r="C46" i="1"/>
  <c r="D46" i="1"/>
  <c r="B48" i="1" l="1"/>
  <c r="C47" i="1"/>
  <c r="D47" i="1"/>
  <c r="B49" i="1" l="1"/>
  <c r="C48" i="1"/>
  <c r="D48" i="1"/>
  <c r="B50" i="1" l="1"/>
  <c r="C49" i="1"/>
  <c r="D49" i="1"/>
  <c r="B51" i="1" l="1"/>
  <c r="C50" i="1"/>
  <c r="D50" i="1"/>
  <c r="B52" i="1" l="1"/>
  <c r="C51" i="1"/>
  <c r="D51" i="1"/>
  <c r="B53" i="1" l="1"/>
  <c r="C52" i="1"/>
  <c r="D52" i="1"/>
  <c r="B54" i="1" l="1"/>
  <c r="C53" i="1"/>
  <c r="D53" i="1"/>
  <c r="B55" i="1" l="1"/>
  <c r="C54" i="1"/>
  <c r="D54" i="1"/>
  <c r="B56" i="1" l="1"/>
  <c r="C55" i="1"/>
  <c r="D55" i="1"/>
  <c r="B57" i="1" l="1"/>
  <c r="C56" i="1"/>
  <c r="D56" i="1"/>
  <c r="B58" i="1" l="1"/>
  <c r="C57" i="1"/>
  <c r="D57" i="1"/>
  <c r="B59" i="1" l="1"/>
  <c r="C58" i="1"/>
  <c r="D58" i="1"/>
  <c r="B60" i="1" l="1"/>
  <c r="C59" i="1"/>
  <c r="D59" i="1"/>
  <c r="B61" i="1" l="1"/>
  <c r="C60" i="1"/>
  <c r="D60" i="1"/>
  <c r="B62" i="1" l="1"/>
  <c r="C61" i="1"/>
  <c r="D61" i="1"/>
  <c r="B63" i="1" l="1"/>
  <c r="C62" i="1"/>
  <c r="D62" i="1"/>
  <c r="B64" i="1" l="1"/>
  <c r="C63" i="1"/>
  <c r="D63" i="1"/>
  <c r="B65" i="1" l="1"/>
  <c r="C64" i="1"/>
  <c r="D64" i="1"/>
  <c r="B66" i="1" l="1"/>
  <c r="C65" i="1"/>
  <c r="D65" i="1"/>
  <c r="B67" i="1" l="1"/>
  <c r="C66" i="1"/>
  <c r="D66" i="1"/>
  <c r="B68" i="1" l="1"/>
  <c r="C67" i="1"/>
  <c r="D67" i="1"/>
  <c r="B69" i="1" l="1"/>
  <c r="C68" i="1"/>
  <c r="D68" i="1"/>
  <c r="B70" i="1" l="1"/>
  <c r="C69" i="1"/>
  <c r="D69" i="1"/>
  <c r="B71" i="1" l="1"/>
  <c r="C70" i="1"/>
  <c r="D70" i="1"/>
  <c r="B72" i="1" l="1"/>
  <c r="C71" i="1"/>
  <c r="D71" i="1"/>
  <c r="B73" i="1" l="1"/>
  <c r="C72" i="1"/>
  <c r="D72" i="1"/>
  <c r="B74" i="1" l="1"/>
  <c r="C73" i="1"/>
  <c r="D73" i="1"/>
  <c r="B75" i="1" l="1"/>
  <c r="C74" i="1"/>
  <c r="D74" i="1"/>
  <c r="B76" i="1" l="1"/>
  <c r="C75" i="1"/>
  <c r="D75" i="1"/>
  <c r="B77" i="1" l="1"/>
  <c r="C76" i="1"/>
  <c r="D76" i="1"/>
  <c r="B78" i="1" l="1"/>
  <c r="C77" i="1"/>
  <c r="D77" i="1"/>
  <c r="B79" i="1" l="1"/>
  <c r="C78" i="1"/>
  <c r="D78" i="1"/>
  <c r="B80" i="1" l="1"/>
  <c r="C79" i="1"/>
  <c r="D79" i="1"/>
  <c r="B81" i="1" l="1"/>
  <c r="C80" i="1"/>
  <c r="D80" i="1"/>
  <c r="B82" i="1" l="1"/>
  <c r="C81" i="1"/>
  <c r="D81" i="1"/>
  <c r="B83" i="1" l="1"/>
  <c r="C82" i="1"/>
  <c r="D82" i="1"/>
  <c r="B84" i="1" l="1"/>
  <c r="C83" i="1"/>
  <c r="D83" i="1"/>
  <c r="B85" i="1" l="1"/>
  <c r="C84" i="1"/>
  <c r="D84" i="1"/>
  <c r="B86" i="1" l="1"/>
  <c r="C85" i="1"/>
  <c r="D85" i="1"/>
  <c r="B87" i="1" l="1"/>
  <c r="C86" i="1"/>
  <c r="D86" i="1"/>
  <c r="B88" i="1" l="1"/>
  <c r="C87" i="1"/>
  <c r="D87" i="1"/>
  <c r="B89" i="1" l="1"/>
  <c r="C88" i="1"/>
  <c r="D88" i="1"/>
  <c r="B90" i="1" l="1"/>
  <c r="C89" i="1"/>
  <c r="D89" i="1"/>
  <c r="B91" i="1" l="1"/>
  <c r="C90" i="1"/>
  <c r="D90" i="1"/>
  <c r="B92" i="1" l="1"/>
  <c r="C91" i="1"/>
  <c r="D91" i="1"/>
  <c r="B93" i="1" l="1"/>
  <c r="C92" i="1"/>
  <c r="D92" i="1"/>
  <c r="B94" i="1" l="1"/>
  <c r="C93" i="1"/>
  <c r="D93" i="1"/>
  <c r="B95" i="1" l="1"/>
  <c r="C94" i="1"/>
  <c r="D94" i="1"/>
  <c r="B96" i="1" l="1"/>
  <c r="C95" i="1"/>
  <c r="D95" i="1"/>
  <c r="B97" i="1" l="1"/>
  <c r="C96" i="1"/>
  <c r="D96" i="1"/>
  <c r="B98" i="1" l="1"/>
  <c r="C97" i="1"/>
  <c r="D97" i="1"/>
  <c r="B99" i="1" l="1"/>
  <c r="C98" i="1"/>
  <c r="D98" i="1"/>
  <c r="B100" i="1" l="1"/>
  <c r="C99" i="1"/>
  <c r="D99" i="1"/>
  <c r="B101" i="1" l="1"/>
  <c r="C100" i="1"/>
  <c r="D100" i="1"/>
  <c r="B102" i="1" l="1"/>
  <c r="C101" i="1"/>
  <c r="D101" i="1"/>
  <c r="B103" i="1" l="1"/>
  <c r="C102" i="1"/>
  <c r="D102" i="1"/>
  <c r="B104" i="1" l="1"/>
  <c r="C103" i="1"/>
  <c r="D103" i="1"/>
  <c r="B105" i="1" l="1"/>
  <c r="C104" i="1"/>
  <c r="D104" i="1"/>
  <c r="B106" i="1" l="1"/>
  <c r="C105" i="1"/>
  <c r="D105" i="1"/>
  <c r="B107" i="1" l="1"/>
  <c r="C106" i="1"/>
  <c r="D106" i="1"/>
  <c r="B108" i="1" l="1"/>
  <c r="C107" i="1"/>
  <c r="D107" i="1"/>
  <c r="B109" i="1" l="1"/>
  <c r="C108" i="1"/>
  <c r="D108" i="1"/>
  <c r="B110" i="1" l="1"/>
  <c r="C109" i="1"/>
  <c r="D109" i="1"/>
  <c r="B111" i="1" l="1"/>
  <c r="C110" i="1"/>
  <c r="D110" i="1"/>
  <c r="B112" i="1" l="1"/>
  <c r="C111" i="1"/>
  <c r="D111" i="1"/>
  <c r="B113" i="1" l="1"/>
  <c r="C112" i="1"/>
  <c r="D112" i="1"/>
  <c r="B114" i="1" l="1"/>
  <c r="C113" i="1"/>
  <c r="D113" i="1"/>
  <c r="B115" i="1" l="1"/>
  <c r="C114" i="1"/>
  <c r="D114" i="1"/>
  <c r="B116" i="1" l="1"/>
  <c r="C115" i="1"/>
  <c r="D115" i="1"/>
  <c r="B117" i="1" l="1"/>
  <c r="C116" i="1"/>
  <c r="D116" i="1"/>
  <c r="B118" i="1" l="1"/>
  <c r="C117" i="1"/>
  <c r="D117" i="1"/>
  <c r="B119" i="1" l="1"/>
  <c r="C118" i="1"/>
  <c r="D118" i="1"/>
  <c r="B120" i="1" l="1"/>
  <c r="C119" i="1"/>
  <c r="D119" i="1"/>
  <c r="B121" i="1" l="1"/>
  <c r="C120" i="1"/>
  <c r="D120" i="1"/>
  <c r="B122" i="1" l="1"/>
  <c r="C121" i="1"/>
  <c r="D121" i="1"/>
  <c r="B123" i="1" l="1"/>
  <c r="C122" i="1"/>
  <c r="D122" i="1"/>
  <c r="B124" i="1" l="1"/>
  <c r="C123" i="1"/>
  <c r="D123" i="1"/>
  <c r="B125" i="1" l="1"/>
  <c r="C124" i="1"/>
  <c r="D124" i="1"/>
  <c r="B126" i="1" l="1"/>
  <c r="C125" i="1"/>
  <c r="D125" i="1"/>
  <c r="B127" i="1" l="1"/>
  <c r="C126" i="1"/>
  <c r="D126" i="1"/>
  <c r="B128" i="1" l="1"/>
  <c r="C127" i="1"/>
  <c r="D127" i="1"/>
  <c r="B129" i="1" l="1"/>
  <c r="C128" i="1"/>
  <c r="D128" i="1"/>
  <c r="B130" i="1" l="1"/>
  <c r="C129" i="1"/>
  <c r="D129" i="1"/>
  <c r="B131" i="1" l="1"/>
  <c r="C130" i="1"/>
  <c r="D130" i="1"/>
  <c r="B132" i="1" l="1"/>
  <c r="C131" i="1"/>
  <c r="D131" i="1"/>
  <c r="B133" i="1" l="1"/>
  <c r="C132" i="1"/>
  <c r="D132" i="1"/>
  <c r="B134" i="1" l="1"/>
  <c r="C133" i="1"/>
  <c r="D133" i="1"/>
  <c r="B135" i="1" l="1"/>
  <c r="C134" i="1"/>
  <c r="D134" i="1"/>
  <c r="B136" i="1" l="1"/>
  <c r="C135" i="1"/>
  <c r="D135" i="1"/>
  <c r="B137" i="1" l="1"/>
  <c r="C136" i="1"/>
  <c r="D136" i="1"/>
  <c r="B138" i="1" l="1"/>
  <c r="C137" i="1"/>
  <c r="D137" i="1"/>
  <c r="B139" i="1" l="1"/>
  <c r="C138" i="1"/>
  <c r="D138" i="1"/>
  <c r="B140" i="1" l="1"/>
  <c r="C139" i="1"/>
  <c r="D139" i="1"/>
  <c r="B141" i="1" l="1"/>
  <c r="C140" i="1"/>
  <c r="D140" i="1"/>
  <c r="B142" i="1" l="1"/>
  <c r="C141" i="1"/>
  <c r="D141" i="1"/>
  <c r="B143" i="1" l="1"/>
  <c r="C142" i="1"/>
  <c r="D142" i="1"/>
  <c r="B144" i="1" l="1"/>
  <c r="C143" i="1"/>
  <c r="D143" i="1"/>
  <c r="B145" i="1" l="1"/>
  <c r="C144" i="1"/>
  <c r="D144" i="1"/>
  <c r="B146" i="1" l="1"/>
  <c r="C145" i="1"/>
  <c r="D145" i="1"/>
  <c r="B147" i="1" l="1"/>
  <c r="C146" i="1"/>
  <c r="D146" i="1"/>
  <c r="B148" i="1" l="1"/>
  <c r="C147" i="1"/>
  <c r="D147" i="1"/>
  <c r="B149" i="1" l="1"/>
  <c r="C148" i="1"/>
  <c r="D148" i="1"/>
  <c r="B150" i="1" l="1"/>
  <c r="C149" i="1"/>
  <c r="D149" i="1"/>
  <c r="B151" i="1" l="1"/>
  <c r="C150" i="1"/>
  <c r="D150" i="1"/>
  <c r="B152" i="1" l="1"/>
  <c r="C151" i="1"/>
  <c r="D151" i="1"/>
  <c r="B153" i="1" l="1"/>
  <c r="C152" i="1"/>
  <c r="D152" i="1"/>
  <c r="B154" i="1" l="1"/>
  <c r="C153" i="1"/>
  <c r="D153" i="1"/>
  <c r="B155" i="1" l="1"/>
  <c r="C154" i="1"/>
  <c r="D154" i="1"/>
  <c r="B156" i="1" l="1"/>
  <c r="C155" i="1"/>
  <c r="D155" i="1"/>
  <c r="B157" i="1" l="1"/>
  <c r="C156" i="1"/>
  <c r="D156" i="1"/>
  <c r="B158" i="1" l="1"/>
  <c r="C157" i="1"/>
  <c r="D157" i="1"/>
  <c r="B159" i="1" l="1"/>
  <c r="C158" i="1"/>
  <c r="D158" i="1"/>
  <c r="B160" i="1" l="1"/>
  <c r="C159" i="1"/>
  <c r="D159" i="1"/>
  <c r="B161" i="1" l="1"/>
  <c r="C160" i="1"/>
  <c r="D160" i="1"/>
  <c r="B162" i="1" l="1"/>
  <c r="C161" i="1"/>
  <c r="D161" i="1"/>
  <c r="B163" i="1" l="1"/>
  <c r="C162" i="1"/>
  <c r="D162" i="1"/>
  <c r="B164" i="1" l="1"/>
  <c r="C163" i="1"/>
  <c r="D163" i="1"/>
  <c r="B165" i="1" l="1"/>
  <c r="C164" i="1"/>
  <c r="D164" i="1"/>
  <c r="B166" i="1" l="1"/>
  <c r="C165" i="1"/>
  <c r="D165" i="1"/>
  <c r="B167" i="1" l="1"/>
  <c r="C166" i="1"/>
  <c r="D166" i="1"/>
  <c r="B168" i="1" l="1"/>
  <c r="C167" i="1"/>
  <c r="D167" i="1"/>
  <c r="B169" i="1" l="1"/>
  <c r="C168" i="1"/>
  <c r="D168" i="1"/>
  <c r="B170" i="1" l="1"/>
  <c r="C169" i="1"/>
  <c r="D169" i="1"/>
  <c r="B171" i="1" l="1"/>
  <c r="C170" i="1"/>
  <c r="D170" i="1"/>
  <c r="B172" i="1" l="1"/>
  <c r="C171" i="1"/>
  <c r="D171" i="1"/>
  <c r="B173" i="1" l="1"/>
  <c r="C172" i="1"/>
  <c r="D172" i="1"/>
  <c r="B174" i="1" l="1"/>
  <c r="C173" i="1"/>
  <c r="D173" i="1"/>
  <c r="B175" i="1" l="1"/>
  <c r="C174" i="1"/>
  <c r="D174" i="1"/>
  <c r="B176" i="1" l="1"/>
  <c r="C175" i="1"/>
  <c r="D175" i="1"/>
  <c r="B177" i="1" l="1"/>
  <c r="C176" i="1"/>
  <c r="D176" i="1"/>
  <c r="B178" i="1" l="1"/>
  <c r="C177" i="1"/>
  <c r="D177" i="1"/>
  <c r="B179" i="1" l="1"/>
  <c r="C178" i="1"/>
  <c r="D178" i="1"/>
  <c r="B180" i="1" l="1"/>
  <c r="C179" i="1"/>
  <c r="D179" i="1"/>
  <c r="B181" i="1" l="1"/>
  <c r="C180" i="1"/>
  <c r="D180" i="1"/>
  <c r="B182" i="1" l="1"/>
  <c r="C181" i="1"/>
  <c r="D181" i="1"/>
  <c r="B183" i="1" l="1"/>
  <c r="C182" i="1"/>
  <c r="D182" i="1"/>
  <c r="B184" i="1" l="1"/>
  <c r="C183" i="1"/>
  <c r="D183" i="1"/>
  <c r="B185" i="1" l="1"/>
  <c r="C184" i="1"/>
  <c r="D184" i="1"/>
  <c r="B186" i="1" l="1"/>
  <c r="C185" i="1"/>
  <c r="D185" i="1"/>
  <c r="B187" i="1" l="1"/>
  <c r="C186" i="1"/>
  <c r="D186" i="1"/>
  <c r="B188" i="1" l="1"/>
  <c r="C187" i="1"/>
  <c r="D187" i="1"/>
  <c r="B189" i="1" l="1"/>
  <c r="C188" i="1"/>
  <c r="D188" i="1"/>
  <c r="B190" i="1" l="1"/>
  <c r="C189" i="1"/>
  <c r="D189" i="1"/>
  <c r="B191" i="1" l="1"/>
  <c r="C190" i="1"/>
  <c r="D190" i="1"/>
  <c r="B192" i="1" l="1"/>
  <c r="C191" i="1"/>
  <c r="D191" i="1"/>
  <c r="B193" i="1" l="1"/>
  <c r="C192" i="1"/>
  <c r="D192" i="1"/>
  <c r="B194" i="1" l="1"/>
  <c r="C193" i="1"/>
  <c r="D193" i="1"/>
  <c r="B195" i="1" l="1"/>
  <c r="C194" i="1"/>
  <c r="D194" i="1"/>
  <c r="B196" i="1" l="1"/>
  <c r="C195" i="1"/>
  <c r="D195" i="1"/>
  <c r="B197" i="1" l="1"/>
  <c r="C196" i="1"/>
  <c r="D196" i="1"/>
  <c r="B198" i="1" l="1"/>
  <c r="C197" i="1"/>
  <c r="D197" i="1"/>
  <c r="B199" i="1" l="1"/>
  <c r="C198" i="1"/>
  <c r="D198" i="1"/>
  <c r="B200" i="1" l="1"/>
  <c r="C199" i="1"/>
  <c r="D199" i="1"/>
  <c r="B201" i="1" l="1"/>
  <c r="C200" i="1"/>
  <c r="D200" i="1"/>
  <c r="B202" i="1" l="1"/>
  <c r="C201" i="1"/>
  <c r="D201" i="1"/>
  <c r="B203" i="1" l="1"/>
  <c r="C202" i="1"/>
  <c r="D202" i="1"/>
  <c r="B204" i="1" l="1"/>
  <c r="C203" i="1"/>
  <c r="D203" i="1"/>
  <c r="B205" i="1" l="1"/>
  <c r="C204" i="1"/>
  <c r="D204" i="1"/>
  <c r="B206" i="1" l="1"/>
  <c r="C205" i="1"/>
  <c r="D205" i="1"/>
  <c r="B207" i="1" l="1"/>
  <c r="C206" i="1"/>
  <c r="D206" i="1"/>
  <c r="B208" i="1" l="1"/>
  <c r="C207" i="1"/>
  <c r="D207" i="1"/>
  <c r="B209" i="1" l="1"/>
  <c r="C208" i="1"/>
  <c r="D208" i="1"/>
  <c r="B210" i="1" l="1"/>
  <c r="C209" i="1"/>
  <c r="D209" i="1"/>
  <c r="B211" i="1" l="1"/>
  <c r="C210" i="1"/>
  <c r="D210" i="1"/>
  <c r="B212" i="1" l="1"/>
  <c r="C211" i="1"/>
  <c r="D211" i="1"/>
  <c r="B213" i="1" l="1"/>
  <c r="C212" i="1"/>
  <c r="D212" i="1"/>
  <c r="B214" i="1" l="1"/>
  <c r="C213" i="1"/>
  <c r="D213" i="1"/>
  <c r="B215" i="1" l="1"/>
  <c r="C214" i="1"/>
  <c r="D214" i="1"/>
  <c r="B216" i="1" l="1"/>
  <c r="C215" i="1"/>
  <c r="D215" i="1"/>
  <c r="B217" i="1" l="1"/>
  <c r="C216" i="1"/>
  <c r="D216" i="1"/>
  <c r="B218" i="1" l="1"/>
  <c r="C217" i="1"/>
  <c r="D217" i="1"/>
  <c r="B219" i="1" l="1"/>
  <c r="C218" i="1"/>
  <c r="D218" i="1"/>
  <c r="B220" i="1" l="1"/>
  <c r="C219" i="1"/>
  <c r="D219" i="1"/>
  <c r="B221" i="1" l="1"/>
  <c r="C220" i="1"/>
  <c r="D220" i="1"/>
  <c r="B222" i="1" l="1"/>
  <c r="C221" i="1"/>
  <c r="D221" i="1"/>
  <c r="B223" i="1" l="1"/>
  <c r="C222" i="1"/>
  <c r="D222" i="1"/>
  <c r="B224" i="1" l="1"/>
  <c r="C223" i="1"/>
  <c r="D223" i="1"/>
  <c r="B225" i="1" l="1"/>
  <c r="C224" i="1"/>
  <c r="D224" i="1"/>
  <c r="B226" i="1" l="1"/>
  <c r="C225" i="1"/>
  <c r="D225" i="1"/>
  <c r="B227" i="1" l="1"/>
  <c r="C226" i="1"/>
  <c r="D226" i="1"/>
  <c r="B228" i="1" l="1"/>
  <c r="C227" i="1"/>
  <c r="D227" i="1"/>
  <c r="B229" i="1" l="1"/>
  <c r="C228" i="1"/>
  <c r="D228" i="1"/>
  <c r="B230" i="1" l="1"/>
  <c r="C229" i="1"/>
  <c r="D229" i="1"/>
  <c r="B231" i="1" l="1"/>
  <c r="C230" i="1"/>
  <c r="D230" i="1"/>
  <c r="B232" i="1" l="1"/>
  <c r="C231" i="1"/>
  <c r="D231" i="1"/>
  <c r="B233" i="1" l="1"/>
  <c r="C232" i="1"/>
  <c r="D232" i="1"/>
  <c r="B234" i="1" l="1"/>
  <c r="C233" i="1"/>
  <c r="D233" i="1"/>
  <c r="B235" i="1" l="1"/>
  <c r="C234" i="1"/>
  <c r="D234" i="1"/>
  <c r="B236" i="1" l="1"/>
  <c r="C235" i="1"/>
  <c r="D235" i="1"/>
  <c r="B237" i="1" l="1"/>
  <c r="C236" i="1"/>
  <c r="D236" i="1"/>
  <c r="B238" i="1" l="1"/>
  <c r="C237" i="1"/>
  <c r="D237" i="1"/>
  <c r="B239" i="1" l="1"/>
  <c r="C238" i="1"/>
  <c r="D238" i="1"/>
  <c r="B240" i="1" l="1"/>
  <c r="C239" i="1"/>
  <c r="D239" i="1"/>
  <c r="B241" i="1" l="1"/>
  <c r="C240" i="1"/>
  <c r="D240" i="1"/>
  <c r="B242" i="1" l="1"/>
  <c r="C241" i="1"/>
  <c r="D241" i="1"/>
  <c r="B243" i="1" l="1"/>
  <c r="C242" i="1"/>
  <c r="D242" i="1"/>
  <c r="B244" i="1" l="1"/>
  <c r="C243" i="1"/>
  <c r="D243" i="1"/>
  <c r="B245" i="1" l="1"/>
  <c r="C244" i="1"/>
  <c r="D244" i="1"/>
  <c r="B246" i="1" l="1"/>
  <c r="C245" i="1"/>
  <c r="D245" i="1"/>
  <c r="B247" i="1" l="1"/>
  <c r="C246" i="1"/>
  <c r="D246" i="1"/>
  <c r="B248" i="1" l="1"/>
  <c r="C247" i="1"/>
  <c r="D247" i="1"/>
  <c r="B249" i="1" l="1"/>
  <c r="C248" i="1"/>
  <c r="D248" i="1"/>
  <c r="B250" i="1" l="1"/>
  <c r="C249" i="1"/>
  <c r="D249" i="1"/>
  <c r="B251" i="1" l="1"/>
  <c r="C250" i="1"/>
  <c r="D250" i="1"/>
  <c r="B252" i="1" l="1"/>
  <c r="C251" i="1"/>
  <c r="D251" i="1"/>
  <c r="B253" i="1" l="1"/>
  <c r="C252" i="1"/>
  <c r="D252" i="1"/>
  <c r="B254" i="1" l="1"/>
  <c r="C253" i="1"/>
  <c r="D253" i="1"/>
  <c r="B255" i="1" l="1"/>
  <c r="C254" i="1"/>
  <c r="D254" i="1"/>
  <c r="B256" i="1" l="1"/>
  <c r="C255" i="1"/>
  <c r="D255" i="1"/>
  <c r="B257" i="1" l="1"/>
  <c r="C256" i="1"/>
  <c r="D256" i="1"/>
  <c r="B258" i="1" l="1"/>
  <c r="C257" i="1"/>
  <c r="D257" i="1"/>
  <c r="B259" i="1" l="1"/>
  <c r="C258" i="1"/>
  <c r="D258" i="1"/>
  <c r="B260" i="1" l="1"/>
  <c r="C259" i="1"/>
  <c r="D259" i="1"/>
  <c r="B261" i="1" l="1"/>
  <c r="C260" i="1"/>
  <c r="D260" i="1"/>
  <c r="B262" i="1" l="1"/>
  <c r="C261" i="1"/>
  <c r="D261" i="1"/>
  <c r="B263" i="1" l="1"/>
  <c r="C262" i="1"/>
  <c r="D262" i="1"/>
  <c r="B264" i="1" l="1"/>
  <c r="C263" i="1"/>
  <c r="D263" i="1"/>
  <c r="B265" i="1" l="1"/>
  <c r="C264" i="1"/>
  <c r="D264" i="1"/>
  <c r="B266" i="1" l="1"/>
  <c r="C265" i="1"/>
  <c r="D265" i="1"/>
  <c r="B267" i="1" l="1"/>
  <c r="C266" i="1"/>
  <c r="D266" i="1"/>
  <c r="B268" i="1" l="1"/>
  <c r="C267" i="1"/>
  <c r="D267" i="1"/>
  <c r="B269" i="1" l="1"/>
  <c r="C268" i="1"/>
  <c r="D268" i="1"/>
  <c r="B270" i="1" l="1"/>
  <c r="C269" i="1"/>
  <c r="D269" i="1"/>
  <c r="B271" i="1" l="1"/>
  <c r="C270" i="1"/>
  <c r="D270" i="1"/>
  <c r="B272" i="1" l="1"/>
  <c r="C271" i="1"/>
  <c r="D271" i="1"/>
  <c r="B273" i="1" l="1"/>
  <c r="C272" i="1"/>
  <c r="D272" i="1"/>
  <c r="B274" i="1" l="1"/>
  <c r="C273" i="1"/>
  <c r="D273" i="1"/>
  <c r="B275" i="1" l="1"/>
  <c r="C274" i="1"/>
  <c r="D274" i="1"/>
  <c r="B276" i="1" l="1"/>
  <c r="C275" i="1"/>
  <c r="D275" i="1"/>
  <c r="B277" i="1" l="1"/>
  <c r="C276" i="1"/>
  <c r="D276" i="1"/>
  <c r="B278" i="1" l="1"/>
  <c r="C277" i="1"/>
  <c r="D277" i="1"/>
  <c r="B279" i="1" l="1"/>
  <c r="C278" i="1"/>
  <c r="D278" i="1"/>
  <c r="B280" i="1" l="1"/>
  <c r="C279" i="1"/>
  <c r="D279" i="1"/>
  <c r="B281" i="1" l="1"/>
  <c r="C280" i="1"/>
  <c r="D280" i="1"/>
  <c r="B282" i="1" l="1"/>
  <c r="C281" i="1"/>
  <c r="D281" i="1"/>
  <c r="B283" i="1" l="1"/>
  <c r="C282" i="1"/>
  <c r="D282" i="1"/>
  <c r="B284" i="1" l="1"/>
  <c r="C283" i="1"/>
  <c r="D283" i="1"/>
  <c r="B285" i="1" l="1"/>
  <c r="C284" i="1"/>
  <c r="D284" i="1"/>
  <c r="B286" i="1" l="1"/>
  <c r="C285" i="1"/>
  <c r="D285" i="1"/>
  <c r="B287" i="1" l="1"/>
  <c r="C286" i="1"/>
  <c r="D286" i="1"/>
  <c r="B288" i="1" l="1"/>
  <c r="C287" i="1"/>
  <c r="D287" i="1"/>
  <c r="B289" i="1" l="1"/>
  <c r="C288" i="1"/>
  <c r="D288" i="1"/>
  <c r="B290" i="1" l="1"/>
  <c r="C289" i="1"/>
  <c r="D289" i="1"/>
  <c r="B291" i="1" l="1"/>
  <c r="C290" i="1"/>
  <c r="D290" i="1"/>
  <c r="B292" i="1" l="1"/>
  <c r="C291" i="1"/>
  <c r="D291" i="1"/>
  <c r="B293" i="1" l="1"/>
  <c r="C292" i="1"/>
  <c r="D292" i="1"/>
  <c r="B294" i="1" l="1"/>
  <c r="C293" i="1"/>
  <c r="D293" i="1"/>
  <c r="B295" i="1" l="1"/>
  <c r="C294" i="1"/>
  <c r="D294" i="1"/>
  <c r="B296" i="1" l="1"/>
  <c r="C295" i="1"/>
  <c r="D295" i="1"/>
  <c r="B297" i="1" l="1"/>
  <c r="C296" i="1"/>
  <c r="D296" i="1"/>
  <c r="B298" i="1" l="1"/>
  <c r="C297" i="1"/>
  <c r="D297" i="1"/>
  <c r="B299" i="1" l="1"/>
  <c r="C298" i="1"/>
  <c r="D298" i="1"/>
  <c r="B300" i="1" l="1"/>
  <c r="C299" i="1"/>
  <c r="D299" i="1"/>
  <c r="B301" i="1" l="1"/>
  <c r="C300" i="1"/>
  <c r="D300" i="1"/>
  <c r="B302" i="1" l="1"/>
  <c r="C301" i="1"/>
  <c r="D301" i="1"/>
  <c r="B303" i="1" l="1"/>
  <c r="C302" i="1"/>
  <c r="D302" i="1"/>
  <c r="B304" i="1" l="1"/>
  <c r="C303" i="1"/>
  <c r="D303" i="1"/>
  <c r="B305" i="1" l="1"/>
  <c r="C304" i="1"/>
  <c r="D304" i="1"/>
  <c r="B306" i="1" l="1"/>
  <c r="C305" i="1"/>
  <c r="D305" i="1"/>
  <c r="B307" i="1" l="1"/>
  <c r="C306" i="1"/>
  <c r="D306" i="1"/>
  <c r="B308" i="1" l="1"/>
  <c r="C307" i="1"/>
  <c r="D307" i="1"/>
  <c r="B309" i="1" l="1"/>
  <c r="C308" i="1"/>
  <c r="D308" i="1"/>
  <c r="B310" i="1" l="1"/>
  <c r="C309" i="1"/>
  <c r="D309" i="1"/>
  <c r="B311" i="1" l="1"/>
  <c r="C310" i="1"/>
  <c r="D310" i="1"/>
  <c r="B312" i="1" l="1"/>
  <c r="C311" i="1"/>
  <c r="D311" i="1"/>
  <c r="B313" i="1" l="1"/>
  <c r="C312" i="1"/>
  <c r="D312" i="1"/>
  <c r="B314" i="1" l="1"/>
  <c r="C313" i="1"/>
  <c r="D313" i="1"/>
  <c r="B315" i="1" l="1"/>
  <c r="C314" i="1"/>
  <c r="D314" i="1"/>
  <c r="B316" i="1" l="1"/>
  <c r="C315" i="1"/>
  <c r="D315" i="1"/>
  <c r="B317" i="1" l="1"/>
  <c r="C316" i="1"/>
  <c r="D316" i="1"/>
  <c r="B318" i="1" l="1"/>
  <c r="C317" i="1"/>
  <c r="D317" i="1"/>
  <c r="B319" i="1" l="1"/>
  <c r="C318" i="1"/>
  <c r="D318" i="1"/>
  <c r="B320" i="1" l="1"/>
  <c r="C319" i="1"/>
  <c r="D319" i="1"/>
  <c r="B321" i="1" l="1"/>
  <c r="C320" i="1"/>
  <c r="D320" i="1"/>
  <c r="B322" i="1" l="1"/>
  <c r="C321" i="1"/>
  <c r="D321" i="1"/>
  <c r="B323" i="1" l="1"/>
  <c r="C322" i="1"/>
  <c r="D322" i="1"/>
  <c r="B324" i="1" l="1"/>
  <c r="C323" i="1"/>
  <c r="D323" i="1"/>
  <c r="B325" i="1" l="1"/>
  <c r="C324" i="1"/>
  <c r="D324" i="1"/>
  <c r="B326" i="1" l="1"/>
  <c r="C325" i="1"/>
  <c r="D325" i="1"/>
  <c r="B327" i="1" l="1"/>
  <c r="C326" i="1"/>
  <c r="D326" i="1"/>
  <c r="B328" i="1" l="1"/>
  <c r="C327" i="1"/>
  <c r="D327" i="1"/>
  <c r="B329" i="1" l="1"/>
  <c r="C328" i="1"/>
  <c r="D328" i="1"/>
  <c r="B330" i="1" l="1"/>
  <c r="C329" i="1"/>
  <c r="D329" i="1"/>
  <c r="B331" i="1" l="1"/>
  <c r="C330" i="1"/>
  <c r="D330" i="1"/>
  <c r="B332" i="1" l="1"/>
  <c r="C331" i="1"/>
  <c r="D331" i="1"/>
  <c r="B333" i="1" l="1"/>
  <c r="C332" i="1"/>
  <c r="D332" i="1"/>
  <c r="B334" i="1" l="1"/>
  <c r="C333" i="1"/>
  <c r="D333" i="1"/>
  <c r="B335" i="1" l="1"/>
  <c r="C334" i="1"/>
  <c r="D334" i="1"/>
  <c r="B336" i="1" l="1"/>
  <c r="C335" i="1"/>
  <c r="D335" i="1"/>
  <c r="B337" i="1" l="1"/>
  <c r="C336" i="1"/>
  <c r="D336" i="1"/>
  <c r="B338" i="1" l="1"/>
  <c r="C337" i="1"/>
  <c r="D337" i="1"/>
  <c r="B339" i="1" l="1"/>
  <c r="C338" i="1"/>
  <c r="D338" i="1"/>
  <c r="B340" i="1" l="1"/>
  <c r="C339" i="1"/>
  <c r="D339" i="1"/>
  <c r="B341" i="1" l="1"/>
  <c r="C340" i="1"/>
  <c r="D340" i="1"/>
  <c r="B342" i="1" l="1"/>
  <c r="C341" i="1"/>
  <c r="D341" i="1"/>
  <c r="B343" i="1" l="1"/>
  <c r="C342" i="1"/>
  <c r="D342" i="1"/>
  <c r="B344" i="1" l="1"/>
  <c r="C343" i="1"/>
  <c r="D343" i="1"/>
  <c r="B345" i="1" l="1"/>
  <c r="C344" i="1"/>
  <c r="D344" i="1"/>
  <c r="B346" i="1" l="1"/>
  <c r="C345" i="1"/>
  <c r="D345" i="1"/>
  <c r="B347" i="1" l="1"/>
  <c r="C346" i="1"/>
  <c r="D346" i="1"/>
  <c r="B348" i="1" l="1"/>
  <c r="C347" i="1"/>
  <c r="D347" i="1"/>
  <c r="B349" i="1" l="1"/>
  <c r="C348" i="1"/>
  <c r="D348" i="1"/>
  <c r="B350" i="1" l="1"/>
  <c r="C349" i="1"/>
  <c r="D349" i="1"/>
  <c r="B351" i="1" l="1"/>
  <c r="C350" i="1"/>
  <c r="D350" i="1"/>
  <c r="B352" i="1" l="1"/>
  <c r="C351" i="1"/>
  <c r="D351" i="1"/>
  <c r="B353" i="1" l="1"/>
  <c r="C352" i="1"/>
  <c r="D352" i="1"/>
  <c r="B354" i="1" l="1"/>
  <c r="C353" i="1"/>
  <c r="D353" i="1"/>
  <c r="B355" i="1" l="1"/>
  <c r="C354" i="1"/>
  <c r="D354" i="1"/>
  <c r="B356" i="1" l="1"/>
  <c r="C355" i="1"/>
  <c r="D355" i="1"/>
  <c r="B357" i="1" l="1"/>
  <c r="C356" i="1"/>
  <c r="D356" i="1"/>
  <c r="B358" i="1" l="1"/>
  <c r="C357" i="1"/>
  <c r="D357" i="1"/>
  <c r="B359" i="1" l="1"/>
  <c r="C358" i="1"/>
  <c r="D358" i="1"/>
  <c r="B360" i="1" l="1"/>
  <c r="C359" i="1"/>
  <c r="D359" i="1"/>
  <c r="B361" i="1" l="1"/>
  <c r="C360" i="1"/>
  <c r="D360" i="1"/>
  <c r="B362" i="1" l="1"/>
  <c r="C361" i="1"/>
  <c r="D361" i="1"/>
  <c r="B363" i="1" l="1"/>
  <c r="C362" i="1"/>
  <c r="D362" i="1"/>
  <c r="B364" i="1" l="1"/>
  <c r="C363" i="1"/>
  <c r="D363" i="1"/>
  <c r="B365" i="1" l="1"/>
  <c r="C364" i="1"/>
  <c r="D364" i="1"/>
  <c r="B366" i="1" l="1"/>
  <c r="C365" i="1"/>
  <c r="D365" i="1"/>
  <c r="B367" i="1" l="1"/>
  <c r="C366" i="1"/>
  <c r="D366" i="1"/>
  <c r="B368" i="1" l="1"/>
  <c r="C367" i="1"/>
  <c r="D367" i="1"/>
  <c r="B369" i="1" l="1"/>
  <c r="C368" i="1"/>
  <c r="D368" i="1"/>
  <c r="B370" i="1" l="1"/>
  <c r="C369" i="1"/>
  <c r="D369" i="1"/>
  <c r="B371" i="1" l="1"/>
  <c r="C370" i="1"/>
  <c r="D370" i="1"/>
  <c r="B372" i="1" l="1"/>
  <c r="C371" i="1"/>
  <c r="D371" i="1"/>
  <c r="B373" i="1" l="1"/>
  <c r="C372" i="1"/>
  <c r="D372" i="1"/>
  <c r="B374" i="1" l="1"/>
  <c r="C373" i="1"/>
  <c r="D373" i="1"/>
  <c r="B375" i="1" l="1"/>
  <c r="C374" i="1"/>
  <c r="D374" i="1"/>
  <c r="B376" i="1" l="1"/>
  <c r="C375" i="1"/>
  <c r="D375" i="1"/>
  <c r="B377" i="1" l="1"/>
  <c r="C376" i="1"/>
  <c r="D376" i="1"/>
  <c r="B378" i="1" l="1"/>
  <c r="C377" i="1"/>
  <c r="D377" i="1"/>
  <c r="B379" i="1" l="1"/>
  <c r="C378" i="1"/>
  <c r="D378" i="1"/>
  <c r="B380" i="1" l="1"/>
  <c r="C379" i="1"/>
  <c r="D379" i="1"/>
  <c r="B381" i="1" l="1"/>
  <c r="C380" i="1"/>
  <c r="D380" i="1"/>
  <c r="B382" i="1" l="1"/>
  <c r="C381" i="1"/>
  <c r="D381" i="1"/>
  <c r="B383" i="1" l="1"/>
  <c r="C382" i="1"/>
  <c r="D382" i="1"/>
  <c r="B384" i="1" l="1"/>
  <c r="C383" i="1"/>
  <c r="D383" i="1"/>
  <c r="B385" i="1" l="1"/>
  <c r="C384" i="1"/>
  <c r="D384" i="1"/>
  <c r="B386" i="1" l="1"/>
  <c r="C385" i="1"/>
  <c r="D385" i="1"/>
  <c r="B387" i="1" l="1"/>
  <c r="C386" i="1"/>
  <c r="D386" i="1"/>
  <c r="B388" i="1" l="1"/>
  <c r="C387" i="1"/>
  <c r="D387" i="1"/>
  <c r="B389" i="1" l="1"/>
  <c r="C388" i="1"/>
  <c r="D388" i="1"/>
  <c r="B390" i="1" l="1"/>
  <c r="C389" i="1"/>
  <c r="D389" i="1"/>
  <c r="B391" i="1" l="1"/>
  <c r="C390" i="1"/>
  <c r="D390" i="1"/>
  <c r="B392" i="1" l="1"/>
  <c r="C391" i="1"/>
  <c r="D391" i="1"/>
  <c r="B393" i="1" l="1"/>
  <c r="C392" i="1"/>
  <c r="D392" i="1"/>
  <c r="B394" i="1" l="1"/>
  <c r="C393" i="1"/>
  <c r="D393" i="1"/>
  <c r="B395" i="1" l="1"/>
  <c r="C394" i="1"/>
  <c r="D394" i="1"/>
  <c r="B396" i="1" l="1"/>
  <c r="C395" i="1"/>
  <c r="D395" i="1"/>
  <c r="B397" i="1" l="1"/>
  <c r="C396" i="1"/>
  <c r="D396" i="1"/>
  <c r="B398" i="1" l="1"/>
  <c r="C397" i="1"/>
  <c r="D397" i="1"/>
  <c r="B399" i="1" l="1"/>
  <c r="C398" i="1"/>
  <c r="D398" i="1"/>
  <c r="B400" i="1" l="1"/>
  <c r="C399" i="1"/>
  <c r="D399" i="1"/>
  <c r="B401" i="1" l="1"/>
  <c r="C400" i="1"/>
  <c r="D400" i="1"/>
  <c r="B402" i="1" l="1"/>
  <c r="C401" i="1"/>
  <c r="D401" i="1"/>
  <c r="B403" i="1" l="1"/>
  <c r="C402" i="1"/>
  <c r="D402" i="1"/>
  <c r="B404" i="1" l="1"/>
  <c r="C403" i="1"/>
  <c r="D403" i="1"/>
  <c r="B405" i="1" l="1"/>
  <c r="C404" i="1"/>
  <c r="D404" i="1"/>
  <c r="B406" i="1" l="1"/>
  <c r="C405" i="1"/>
  <c r="D405" i="1"/>
  <c r="B407" i="1" l="1"/>
  <c r="C406" i="1"/>
  <c r="D406" i="1"/>
  <c r="B408" i="1" l="1"/>
  <c r="C407" i="1"/>
  <c r="D407" i="1"/>
  <c r="B409" i="1" l="1"/>
  <c r="C408" i="1"/>
  <c r="D408" i="1"/>
  <c r="B410" i="1" l="1"/>
  <c r="C409" i="1"/>
  <c r="D409" i="1"/>
  <c r="B411" i="1" l="1"/>
  <c r="C410" i="1"/>
  <c r="D410" i="1"/>
  <c r="B412" i="1" l="1"/>
  <c r="C411" i="1"/>
  <c r="D411" i="1"/>
  <c r="B413" i="1" l="1"/>
  <c r="C412" i="1"/>
  <c r="D412" i="1"/>
  <c r="B414" i="1" l="1"/>
  <c r="C413" i="1"/>
  <c r="D413" i="1"/>
  <c r="B415" i="1" l="1"/>
  <c r="C414" i="1"/>
  <c r="D414" i="1"/>
  <c r="B416" i="1" l="1"/>
  <c r="C415" i="1"/>
  <c r="D415" i="1"/>
  <c r="B417" i="1" l="1"/>
  <c r="C416" i="1"/>
  <c r="D416" i="1"/>
  <c r="B418" i="1" l="1"/>
  <c r="C417" i="1"/>
  <c r="D417" i="1"/>
  <c r="B419" i="1" l="1"/>
  <c r="C418" i="1"/>
  <c r="D418" i="1"/>
  <c r="B420" i="1" l="1"/>
  <c r="C419" i="1"/>
  <c r="D419" i="1"/>
  <c r="B421" i="1" l="1"/>
  <c r="C420" i="1"/>
  <c r="D420" i="1"/>
  <c r="B422" i="1" l="1"/>
  <c r="C421" i="1"/>
  <c r="D421" i="1"/>
  <c r="B423" i="1" l="1"/>
  <c r="C422" i="1"/>
  <c r="D422" i="1"/>
  <c r="B424" i="1" l="1"/>
  <c r="C423" i="1"/>
  <c r="D423" i="1"/>
  <c r="B425" i="1" l="1"/>
  <c r="C424" i="1"/>
  <c r="D424" i="1"/>
  <c r="B426" i="1" l="1"/>
  <c r="C425" i="1"/>
  <c r="D425" i="1"/>
  <c r="B427" i="1" l="1"/>
  <c r="C426" i="1"/>
  <c r="D426" i="1"/>
  <c r="B428" i="1" l="1"/>
  <c r="C427" i="1"/>
  <c r="D427" i="1"/>
  <c r="B429" i="1" l="1"/>
  <c r="C428" i="1"/>
  <c r="D428" i="1"/>
  <c r="B430" i="1" l="1"/>
  <c r="C429" i="1"/>
  <c r="D429" i="1"/>
  <c r="B431" i="1" l="1"/>
  <c r="C430" i="1"/>
  <c r="D430" i="1"/>
  <c r="B432" i="1" l="1"/>
  <c r="C431" i="1"/>
  <c r="D431" i="1"/>
  <c r="B433" i="1" l="1"/>
  <c r="C432" i="1"/>
  <c r="D432" i="1"/>
  <c r="B434" i="1" l="1"/>
  <c r="C433" i="1"/>
  <c r="D433" i="1"/>
  <c r="B435" i="1" l="1"/>
  <c r="C434" i="1"/>
  <c r="D434" i="1"/>
  <c r="B436" i="1" l="1"/>
  <c r="C435" i="1"/>
  <c r="D435" i="1"/>
  <c r="B437" i="1" l="1"/>
  <c r="C436" i="1"/>
  <c r="D436" i="1"/>
  <c r="B438" i="1" l="1"/>
  <c r="C437" i="1"/>
  <c r="D437" i="1"/>
  <c r="B439" i="1" l="1"/>
  <c r="C438" i="1"/>
  <c r="D438" i="1"/>
  <c r="B440" i="1" l="1"/>
  <c r="C439" i="1"/>
  <c r="D439" i="1"/>
  <c r="B441" i="1" l="1"/>
  <c r="C440" i="1"/>
  <c r="D440" i="1"/>
  <c r="B442" i="1" l="1"/>
  <c r="C441" i="1"/>
  <c r="D441" i="1"/>
  <c r="B443" i="1" l="1"/>
  <c r="C442" i="1"/>
  <c r="D442" i="1"/>
  <c r="B444" i="1" l="1"/>
  <c r="C443" i="1"/>
  <c r="D443" i="1"/>
  <c r="B445" i="1" l="1"/>
  <c r="C444" i="1"/>
  <c r="D444" i="1"/>
  <c r="B446" i="1" l="1"/>
  <c r="C445" i="1"/>
  <c r="D445" i="1"/>
  <c r="B447" i="1" l="1"/>
  <c r="C446" i="1"/>
  <c r="D446" i="1"/>
  <c r="B448" i="1" l="1"/>
  <c r="C447" i="1"/>
  <c r="D447" i="1"/>
  <c r="B449" i="1" l="1"/>
  <c r="C448" i="1"/>
  <c r="D448" i="1"/>
  <c r="B450" i="1" l="1"/>
  <c r="C449" i="1"/>
  <c r="D449" i="1"/>
  <c r="B451" i="1" l="1"/>
  <c r="C450" i="1"/>
  <c r="D450" i="1"/>
  <c r="B452" i="1" l="1"/>
  <c r="C451" i="1"/>
  <c r="D451" i="1"/>
  <c r="B453" i="1" l="1"/>
  <c r="C452" i="1"/>
  <c r="D452" i="1"/>
  <c r="B454" i="1" l="1"/>
  <c r="C453" i="1"/>
  <c r="D453" i="1"/>
  <c r="B455" i="1" l="1"/>
  <c r="C454" i="1"/>
  <c r="D454" i="1"/>
  <c r="B456" i="1" l="1"/>
  <c r="C455" i="1"/>
  <c r="D455" i="1"/>
  <c r="B457" i="1" l="1"/>
  <c r="C456" i="1"/>
  <c r="D456" i="1"/>
  <c r="B458" i="1" l="1"/>
  <c r="C457" i="1"/>
  <c r="D457" i="1"/>
  <c r="B459" i="1" l="1"/>
  <c r="C458" i="1"/>
  <c r="D458" i="1"/>
  <c r="B460" i="1" l="1"/>
  <c r="C459" i="1"/>
  <c r="D459" i="1"/>
  <c r="B461" i="1" l="1"/>
  <c r="C460" i="1"/>
  <c r="D460" i="1"/>
  <c r="B462" i="1" l="1"/>
  <c r="C461" i="1"/>
  <c r="D461" i="1"/>
  <c r="B463" i="1" l="1"/>
  <c r="C462" i="1"/>
  <c r="D462" i="1"/>
  <c r="B464" i="1" l="1"/>
  <c r="C463" i="1"/>
  <c r="D463" i="1"/>
  <c r="B465" i="1" l="1"/>
  <c r="C464" i="1"/>
  <c r="D464" i="1"/>
  <c r="B466" i="1" l="1"/>
  <c r="C465" i="1"/>
  <c r="D465" i="1"/>
  <c r="B467" i="1" l="1"/>
  <c r="C466" i="1"/>
  <c r="D466" i="1"/>
  <c r="B468" i="1" l="1"/>
  <c r="C467" i="1"/>
  <c r="D467" i="1"/>
  <c r="B469" i="1" l="1"/>
  <c r="C468" i="1"/>
  <c r="D468" i="1"/>
  <c r="B470" i="1" l="1"/>
  <c r="C469" i="1"/>
  <c r="D469" i="1"/>
  <c r="B471" i="1" l="1"/>
  <c r="C470" i="1"/>
  <c r="D470" i="1"/>
  <c r="B472" i="1" l="1"/>
  <c r="C471" i="1"/>
  <c r="D471" i="1"/>
  <c r="B473" i="1" l="1"/>
  <c r="C472" i="1"/>
  <c r="D472" i="1"/>
  <c r="B474" i="1" l="1"/>
  <c r="C473" i="1"/>
  <c r="D473" i="1"/>
  <c r="B475" i="1" l="1"/>
  <c r="C474" i="1"/>
  <c r="D474" i="1"/>
  <c r="B476" i="1" l="1"/>
  <c r="C475" i="1"/>
  <c r="D475" i="1"/>
  <c r="B477" i="1" l="1"/>
  <c r="C476" i="1"/>
  <c r="D476" i="1"/>
  <c r="B478" i="1" l="1"/>
  <c r="C477" i="1"/>
  <c r="D477" i="1"/>
  <c r="B479" i="1" l="1"/>
  <c r="C478" i="1"/>
  <c r="D478" i="1"/>
  <c r="B480" i="1" l="1"/>
  <c r="C479" i="1"/>
  <c r="D479" i="1"/>
  <c r="B481" i="1" l="1"/>
  <c r="C480" i="1"/>
  <c r="D480" i="1"/>
  <c r="B482" i="1" l="1"/>
  <c r="C481" i="1"/>
  <c r="D481" i="1"/>
  <c r="B483" i="1" l="1"/>
  <c r="C482" i="1"/>
  <c r="D482" i="1"/>
  <c r="B484" i="1" l="1"/>
  <c r="C483" i="1"/>
  <c r="D483" i="1"/>
  <c r="B485" i="1" l="1"/>
  <c r="C484" i="1"/>
  <c r="D484" i="1"/>
  <c r="B486" i="1" l="1"/>
  <c r="C485" i="1"/>
  <c r="D485" i="1"/>
  <c r="B487" i="1" l="1"/>
  <c r="C486" i="1"/>
  <c r="D486" i="1"/>
  <c r="B488" i="1" l="1"/>
  <c r="C487" i="1"/>
  <c r="D487" i="1"/>
  <c r="B489" i="1" l="1"/>
  <c r="C488" i="1"/>
  <c r="D488" i="1"/>
  <c r="B490" i="1" l="1"/>
  <c r="C489" i="1"/>
  <c r="D489" i="1"/>
  <c r="B491" i="1" l="1"/>
  <c r="C490" i="1"/>
  <c r="D490" i="1"/>
  <c r="B492" i="1" l="1"/>
  <c r="C491" i="1"/>
  <c r="D491" i="1"/>
  <c r="B493" i="1" l="1"/>
  <c r="C492" i="1"/>
  <c r="D492" i="1"/>
  <c r="B494" i="1" l="1"/>
  <c r="C493" i="1"/>
  <c r="D493" i="1"/>
  <c r="B495" i="1" l="1"/>
  <c r="C494" i="1"/>
  <c r="D494" i="1"/>
  <c r="B496" i="1" l="1"/>
  <c r="C495" i="1"/>
  <c r="D495" i="1"/>
  <c r="B497" i="1" l="1"/>
  <c r="C496" i="1"/>
  <c r="D496" i="1"/>
  <c r="B498" i="1" l="1"/>
  <c r="C497" i="1"/>
  <c r="D497" i="1"/>
  <c r="B499" i="1" l="1"/>
  <c r="C498" i="1"/>
  <c r="D498" i="1"/>
  <c r="B500" i="1" l="1"/>
  <c r="C499" i="1"/>
  <c r="D499" i="1"/>
  <c r="B501" i="1" l="1"/>
  <c r="C500" i="1"/>
  <c r="D500" i="1"/>
  <c r="B502" i="1" l="1"/>
  <c r="C501" i="1"/>
  <c r="D501" i="1"/>
  <c r="B503" i="1" l="1"/>
  <c r="C502" i="1"/>
  <c r="D502" i="1"/>
  <c r="B504" i="1" l="1"/>
  <c r="C503" i="1"/>
  <c r="D503" i="1"/>
  <c r="B505" i="1" l="1"/>
  <c r="C504" i="1"/>
  <c r="D504" i="1"/>
  <c r="B506" i="1" l="1"/>
  <c r="C505" i="1"/>
  <c r="D505" i="1"/>
  <c r="B507" i="1" l="1"/>
  <c r="C506" i="1"/>
  <c r="D506" i="1"/>
  <c r="B508" i="1" l="1"/>
  <c r="C507" i="1"/>
  <c r="D507" i="1"/>
  <c r="B509" i="1" l="1"/>
  <c r="C508" i="1"/>
  <c r="D508" i="1"/>
  <c r="B510" i="1" l="1"/>
  <c r="C509" i="1"/>
  <c r="D509" i="1"/>
  <c r="B511" i="1" l="1"/>
  <c r="C510" i="1"/>
  <c r="D510" i="1"/>
  <c r="B512" i="1" l="1"/>
  <c r="C511" i="1"/>
  <c r="D511" i="1"/>
  <c r="B513" i="1" l="1"/>
  <c r="C512" i="1"/>
  <c r="D512" i="1"/>
  <c r="B514" i="1" l="1"/>
  <c r="C513" i="1"/>
  <c r="D513" i="1"/>
  <c r="B515" i="1" l="1"/>
  <c r="C514" i="1"/>
  <c r="D514" i="1"/>
  <c r="B516" i="1" l="1"/>
  <c r="C515" i="1"/>
  <c r="D515" i="1"/>
  <c r="B517" i="1" l="1"/>
  <c r="C516" i="1"/>
  <c r="D516" i="1"/>
  <c r="B518" i="1" l="1"/>
  <c r="C517" i="1"/>
  <c r="D517" i="1"/>
  <c r="B519" i="1" l="1"/>
  <c r="C518" i="1"/>
  <c r="D518" i="1"/>
  <c r="B520" i="1" l="1"/>
  <c r="C519" i="1"/>
  <c r="D519" i="1"/>
  <c r="B521" i="1" l="1"/>
  <c r="C520" i="1"/>
  <c r="D520" i="1"/>
  <c r="B522" i="1" l="1"/>
  <c r="C521" i="1"/>
  <c r="D521" i="1"/>
  <c r="B523" i="1" l="1"/>
  <c r="C522" i="1"/>
  <c r="D522" i="1"/>
  <c r="B524" i="1" l="1"/>
  <c r="C523" i="1"/>
  <c r="D523" i="1"/>
  <c r="B525" i="1" l="1"/>
  <c r="C524" i="1"/>
  <c r="D524" i="1"/>
  <c r="B526" i="1" l="1"/>
  <c r="C525" i="1"/>
  <c r="D525" i="1"/>
  <c r="B527" i="1" l="1"/>
  <c r="C526" i="1"/>
  <c r="D526" i="1"/>
  <c r="B528" i="1" l="1"/>
  <c r="C527" i="1"/>
  <c r="D527" i="1"/>
  <c r="B529" i="1" l="1"/>
  <c r="C528" i="1"/>
  <c r="D528" i="1"/>
  <c r="B530" i="1" l="1"/>
  <c r="C529" i="1"/>
  <c r="D529" i="1"/>
  <c r="B531" i="1" l="1"/>
  <c r="C530" i="1"/>
  <c r="D530" i="1"/>
  <c r="B532" i="1" l="1"/>
  <c r="C531" i="1"/>
  <c r="D531" i="1"/>
  <c r="B533" i="1" l="1"/>
  <c r="C532" i="1"/>
  <c r="D532" i="1"/>
  <c r="B534" i="1" l="1"/>
  <c r="C533" i="1"/>
  <c r="D533" i="1"/>
  <c r="B535" i="1" l="1"/>
  <c r="C534" i="1"/>
  <c r="D534" i="1"/>
  <c r="B536" i="1" l="1"/>
  <c r="C535" i="1"/>
  <c r="D535" i="1"/>
  <c r="B537" i="1" l="1"/>
  <c r="C536" i="1"/>
  <c r="D536" i="1"/>
  <c r="B538" i="1" l="1"/>
  <c r="C537" i="1"/>
  <c r="D537" i="1"/>
  <c r="B539" i="1" l="1"/>
  <c r="C538" i="1"/>
  <c r="D538" i="1"/>
  <c r="B540" i="1" l="1"/>
  <c r="C539" i="1"/>
  <c r="D539" i="1"/>
  <c r="B541" i="1" l="1"/>
  <c r="C540" i="1"/>
  <c r="D540" i="1"/>
  <c r="B542" i="1" l="1"/>
  <c r="C541" i="1"/>
  <c r="D541" i="1"/>
  <c r="B543" i="1" l="1"/>
  <c r="C542" i="1"/>
  <c r="D542" i="1"/>
  <c r="B544" i="1" l="1"/>
  <c r="C543" i="1"/>
  <c r="D543" i="1"/>
  <c r="B545" i="1" l="1"/>
  <c r="C544" i="1"/>
  <c r="D544" i="1"/>
  <c r="B546" i="1" l="1"/>
  <c r="C545" i="1"/>
  <c r="D545" i="1"/>
  <c r="B547" i="1" l="1"/>
  <c r="C546" i="1"/>
  <c r="D546" i="1"/>
  <c r="B548" i="1" l="1"/>
  <c r="C547" i="1"/>
  <c r="D547" i="1"/>
  <c r="B549" i="1" l="1"/>
  <c r="C548" i="1"/>
  <c r="D548" i="1"/>
  <c r="B550" i="1" l="1"/>
  <c r="C549" i="1"/>
  <c r="D549" i="1"/>
  <c r="B551" i="1" l="1"/>
  <c r="C550" i="1"/>
  <c r="D550" i="1"/>
  <c r="B552" i="1" l="1"/>
  <c r="C551" i="1"/>
  <c r="D551" i="1"/>
  <c r="B553" i="1" l="1"/>
  <c r="C552" i="1"/>
  <c r="D552" i="1"/>
  <c r="B554" i="1" l="1"/>
  <c r="C553" i="1"/>
  <c r="D553" i="1"/>
  <c r="B555" i="1" l="1"/>
  <c r="C554" i="1"/>
  <c r="D554" i="1"/>
  <c r="B556" i="1" l="1"/>
  <c r="C555" i="1"/>
  <c r="D555" i="1"/>
  <c r="B557" i="1" l="1"/>
  <c r="C556" i="1"/>
  <c r="D556" i="1"/>
  <c r="B558" i="1" l="1"/>
  <c r="C557" i="1"/>
  <c r="D557" i="1"/>
  <c r="B559" i="1" l="1"/>
  <c r="C558" i="1"/>
  <c r="D558" i="1"/>
  <c r="B560" i="1" l="1"/>
  <c r="C559" i="1"/>
  <c r="D559" i="1"/>
  <c r="B561" i="1" l="1"/>
  <c r="C560" i="1"/>
  <c r="D560" i="1"/>
  <c r="B562" i="1" l="1"/>
  <c r="C561" i="1"/>
  <c r="D561" i="1"/>
  <c r="B563" i="1" l="1"/>
  <c r="C562" i="1"/>
  <c r="D562" i="1"/>
  <c r="B564" i="1" l="1"/>
  <c r="C563" i="1"/>
  <c r="D563" i="1"/>
  <c r="B565" i="1" l="1"/>
  <c r="C564" i="1"/>
  <c r="D564" i="1"/>
  <c r="B566" i="1" l="1"/>
  <c r="C565" i="1"/>
  <c r="D565" i="1"/>
  <c r="B567" i="1" l="1"/>
  <c r="C566" i="1"/>
  <c r="D566" i="1"/>
  <c r="B568" i="1" l="1"/>
  <c r="C567" i="1"/>
  <c r="D567" i="1"/>
  <c r="B569" i="1" l="1"/>
  <c r="C568" i="1"/>
  <c r="D568" i="1"/>
  <c r="B570" i="1" l="1"/>
  <c r="C569" i="1"/>
  <c r="D569" i="1"/>
  <c r="B571" i="1" l="1"/>
  <c r="C570" i="1"/>
  <c r="D570" i="1"/>
  <c r="B572" i="1" l="1"/>
  <c r="C571" i="1"/>
  <c r="D571" i="1"/>
  <c r="B573" i="1" l="1"/>
  <c r="C572" i="1"/>
  <c r="D572" i="1"/>
  <c r="B574" i="1" l="1"/>
  <c r="C573" i="1"/>
  <c r="D573" i="1"/>
  <c r="B575" i="1" l="1"/>
  <c r="C574" i="1"/>
  <c r="D574" i="1"/>
  <c r="B576" i="1" l="1"/>
  <c r="C575" i="1"/>
  <c r="D575" i="1"/>
  <c r="B577" i="1" l="1"/>
  <c r="C576" i="1"/>
  <c r="D576" i="1"/>
  <c r="B578" i="1" l="1"/>
  <c r="C577" i="1"/>
  <c r="D577" i="1"/>
  <c r="B579" i="1" l="1"/>
  <c r="C578" i="1"/>
  <c r="D578" i="1"/>
  <c r="B580" i="1" l="1"/>
  <c r="C579" i="1"/>
  <c r="D579" i="1"/>
  <c r="B581" i="1" l="1"/>
  <c r="C580" i="1"/>
  <c r="D580" i="1"/>
  <c r="B582" i="1" l="1"/>
  <c r="C581" i="1"/>
  <c r="D581" i="1"/>
  <c r="B583" i="1" l="1"/>
  <c r="C582" i="1"/>
  <c r="D582" i="1"/>
  <c r="B584" i="1" l="1"/>
  <c r="C583" i="1"/>
  <c r="D583" i="1"/>
  <c r="B585" i="1" l="1"/>
  <c r="C584" i="1"/>
  <c r="D584" i="1"/>
  <c r="B586" i="1" l="1"/>
  <c r="C585" i="1"/>
  <c r="D585" i="1"/>
  <c r="B587" i="1" l="1"/>
  <c r="B588" i="1"/>
  <c r="C586" i="1"/>
  <c r="D586" i="1"/>
  <c r="B589" i="1" l="1"/>
  <c r="B595" i="1"/>
  <c r="C588" i="1"/>
  <c r="D588" i="1"/>
  <c r="C587" i="1"/>
  <c r="D587" i="1"/>
  <c r="B590" i="1" l="1"/>
  <c r="B596" i="1"/>
  <c r="C589" i="1"/>
  <c r="D589" i="1"/>
  <c r="B591" i="1" l="1"/>
  <c r="B599" i="1"/>
  <c r="C590" i="1"/>
  <c r="D590" i="1"/>
  <c r="B592" i="1" l="1"/>
  <c r="B597" i="1"/>
  <c r="B600" i="1"/>
  <c r="C591" i="1"/>
  <c r="D591" i="1"/>
  <c r="B593" i="1" l="1"/>
  <c r="B594" i="1"/>
  <c r="B598" i="1"/>
  <c r="B614" i="1"/>
  <c r="D599" i="1"/>
  <c r="C599" i="1"/>
  <c r="D595" i="1"/>
  <c r="C595" i="1"/>
  <c r="C596" i="1"/>
  <c r="D596" i="1"/>
  <c r="C600" i="1"/>
  <c r="D600" i="1"/>
  <c r="C597" i="1"/>
  <c r="D597" i="1"/>
  <c r="C592" i="1"/>
  <c r="D592" i="1"/>
  <c r="B601" i="1" l="1"/>
  <c r="B615" i="1"/>
  <c r="C598" i="1"/>
  <c r="D598" i="1"/>
  <c r="C594" i="1"/>
  <c r="D594" i="1"/>
  <c r="C593" i="1"/>
  <c r="D593" i="1"/>
  <c r="B602" i="1" l="1"/>
  <c r="B616" i="1"/>
  <c r="C601" i="1"/>
  <c r="D601" i="1"/>
  <c r="B603" i="1" l="1"/>
  <c r="B619" i="1"/>
  <c r="C602" i="1"/>
  <c r="D602" i="1"/>
  <c r="B604" i="1" l="1"/>
  <c r="C603" i="1"/>
  <c r="D603" i="1"/>
  <c r="B605" i="1" l="1"/>
  <c r="C604" i="1"/>
  <c r="D604" i="1"/>
  <c r="B606" i="1" l="1"/>
  <c r="C605" i="1"/>
  <c r="D605" i="1"/>
  <c r="B607" i="1" l="1"/>
  <c r="C606" i="1"/>
  <c r="D606" i="1"/>
  <c r="B608" i="1" l="1"/>
  <c r="C607" i="1"/>
  <c r="D607" i="1"/>
  <c r="B609" i="1" l="1"/>
  <c r="C608" i="1"/>
  <c r="D608" i="1"/>
  <c r="B610" i="1" l="1"/>
  <c r="C609" i="1"/>
  <c r="D609" i="1"/>
  <c r="B611" i="1" l="1"/>
  <c r="C610" i="1"/>
  <c r="D610" i="1"/>
  <c r="B612" i="1" l="1"/>
  <c r="C611" i="1"/>
  <c r="D611" i="1"/>
  <c r="B613" i="1" l="1"/>
  <c r="C612" i="1"/>
  <c r="D612" i="1"/>
  <c r="B617" i="1" l="1"/>
  <c r="C613" i="1"/>
  <c r="D613" i="1"/>
  <c r="B618" i="1" l="1"/>
  <c r="B620" i="1"/>
  <c r="C617" i="1"/>
  <c r="D617" i="1"/>
  <c r="C614" i="1" l="1"/>
  <c r="D614" i="1"/>
  <c r="C615" i="1"/>
  <c r="D615" i="1"/>
  <c r="C616" i="1"/>
  <c r="D616" i="1"/>
  <c r="C619" i="1"/>
  <c r="D619" i="1"/>
  <c r="C620" i="1"/>
  <c r="D620" i="1"/>
  <c r="C618" i="1"/>
  <c r="D618" i="1"/>
</calcChain>
</file>

<file path=xl/sharedStrings.xml><?xml version="1.0" encoding="utf-8"?>
<sst xmlns="http://schemas.openxmlformats.org/spreadsheetml/2006/main" count="1210" uniqueCount="482">
  <si>
    <t>NIK</t>
  </si>
  <si>
    <t>ID Person</t>
  </si>
  <si>
    <t>Nama</t>
  </si>
  <si>
    <t>Soe Kupang</t>
  </si>
  <si>
    <t>Depok</t>
  </si>
  <si>
    <t>Cilacap</t>
  </si>
  <si>
    <t>Jakarta</t>
  </si>
  <si>
    <t>Bogor</t>
  </si>
  <si>
    <t>Magelang</t>
  </si>
  <si>
    <t>Padang</t>
  </si>
  <si>
    <t>Kebumen</t>
  </si>
  <si>
    <t>Ujung Pandang</t>
  </si>
  <si>
    <t>Bekasi</t>
  </si>
  <si>
    <t xml:space="preserve">Bandung </t>
  </si>
  <si>
    <t>Surabaya</t>
  </si>
  <si>
    <t>Palembang</t>
  </si>
  <si>
    <t>Lhokseumawe</t>
  </si>
  <si>
    <t>Ngawi</t>
  </si>
  <si>
    <t xml:space="preserve">Jakarta </t>
  </si>
  <si>
    <t>Tangerang</t>
  </si>
  <si>
    <t>Medan</t>
  </si>
  <si>
    <t>Balikpapan</t>
  </si>
  <si>
    <t>Kupang</t>
  </si>
  <si>
    <t>Klaten</t>
  </si>
  <si>
    <t>Indramayu</t>
  </si>
  <si>
    <t>Tulungagung</t>
  </si>
  <si>
    <t>Sumedang</t>
  </si>
  <si>
    <t>Galung</t>
  </si>
  <si>
    <t>Soe</t>
  </si>
  <si>
    <t>Bandung</t>
  </si>
  <si>
    <t>Nakfunu</t>
  </si>
  <si>
    <t>Paraman Ampalu</t>
  </si>
  <si>
    <t>Alor</t>
  </si>
  <si>
    <t>Sukasari</t>
  </si>
  <si>
    <t>Karanganyar</t>
  </si>
  <si>
    <t>Nakfuno</t>
  </si>
  <si>
    <t>Semarang</t>
  </si>
  <si>
    <t>Tanggal Kelahiran</t>
  </si>
  <si>
    <t>Tempat Kelahiran</t>
  </si>
  <si>
    <t>Alamat</t>
  </si>
  <si>
    <t>Jl. Lorong 1C No.12A RT 001 RW 013, Kel Semper Barat Kec Cilincing Jakarta Utara</t>
  </si>
  <si>
    <t>Jl. Arrahmah RT 03 RW 03 No.29 Kelurahan Medan Satria, Pondok Ungu Bekasi , Jawa Barat</t>
  </si>
  <si>
    <t>Taman Ratu Indah Blok B 4/10 RT 003 / RW 005, Kel. Duri Kepa, Kec. Kebon Jeruk, Jakarta Barat, DKI Jakarta</t>
  </si>
  <si>
    <t>Jl. Gempol No. 22 RT. 006/002, Kel. Bambu Apus, Kec.Cipayung, Jakarta Timur, DKI Jakarta</t>
  </si>
  <si>
    <t>Perum. Taman Griya Kencana Blok B 12 No. 05 RT 002 / RW 012, Kel. Kencana, Kec. Tanah Sereal, Bogor, Jawa Barat</t>
  </si>
  <si>
    <t>Jl. Kalibata Selatan II No. 53 RT 003 / RW 004, Kel. Kalibata, Kec. Pancoran, Jakarta Selatan, DKI Jakarta</t>
  </si>
  <si>
    <t>Teken RT 001 / RW 004, Kel. Kaliwuluh, Kec. Kebak Kramat, Kab. Karanganyar, Jawa Tengah</t>
  </si>
  <si>
    <t>Jl. Warga No. 6 RT 011 / RW 006, Kel. Pondok Ranggon, Kec. Cipayung, Jakarta Timur, DKI Jakarta</t>
  </si>
  <si>
    <t>Pedongkelan RT 006 / RW 006, Kel. Kapuk, Kec. Cengkareng, Jakarta Barat, DKI Jakarta</t>
  </si>
  <si>
    <t>Pondok Ungu Permai Blok AN 5 No. 27 RT 011 / RW 011, Kel. Kaliabang Tengah, Kec. Bekasi Utara, Bekasi, Jawa Barat</t>
  </si>
  <si>
    <t>Jl. Merpati No.36 Ciputat Kel Sawah Besar Kec Ciputat Kota Tangerang Selatan</t>
  </si>
  <si>
    <t>Jl. Damai No. 12 RT 002 / RW 019, Kel. Rangkapan Jaya, Kec. Pancoran Mas, Depok, Jawa Barat</t>
  </si>
  <si>
    <t>Kp. Gaga RT 006 / RW 009, Kel. Semanan, Kec. Kalideres, Jakarta Barat, DKI Jakarta</t>
  </si>
  <si>
    <t>Jl. Bhineka Gg. Rambutan RT 005 / RW 003, Kel. Jatimurni, Kec. Pondok Melati, Bekasi, Jawa Barat</t>
  </si>
  <si>
    <t>Jl. Remaja 3 Gg. Betok No. 42A, Kel. Cempaka Baru, Kec. Kemayoran, Jakarta Pusat, DKI Jakarta</t>
  </si>
  <si>
    <t>Jl. Nangka Gg. Masjid Nurul Huda No.14 RT 004 RW 006, Jakarta Selatan</t>
  </si>
  <si>
    <t>Jl. Bangka,VIII, Gang Manggis RT 8 RW 12 No.5, Pela Mampang, Jakarta Selatan</t>
  </si>
  <si>
    <t>Perum Pesona Cilebut 2 Blok EB.3 No. 6 RT 013 / RW 015, Kel. Cilebut Barat, Kec. Sukaraja, Kab. Bogor, Jawa Barat</t>
  </si>
  <si>
    <t>Jl. K.H. Wahid Hasim Gg. Muha No. 52 RT 004 / RW 006, Kel. Cipadu, Kec. Larangan, Tangerang, Banten</t>
  </si>
  <si>
    <t>Jl. Caman Raya Gg. Masjid Al Ihsan, Perum. Green Palace No. B2, Kel. Jatibening, Kec. Pondok Gede, Bekasi, Jawa Barat</t>
  </si>
  <si>
    <t>Jl. Marelan Raya Tanah 600 Gg. Rasmi No. 22, Kel. Terjun, Kec. Medan Marelan, Medan, Sumatera Utara</t>
  </si>
  <si>
    <t>Jl. Komp. Bpn Tonjong Gg. V No. 16 RT 002 / RW 001, Kel. Tonjong, Kec. Tajur Halang, Kab. Bogor, Jawa Barat</t>
  </si>
  <si>
    <t>Pesona Anggrek Blok F 17/21, RT 003/RW 024, Kel. Harapan Jaya, Kec. Bekasi Utara, Kota Bekasi</t>
  </si>
  <si>
    <t>Jl. Beo G-57 Komp Hankam RT 007 RW 002 Kel Palmerah Kec Palmerah Jakarta Barat, Prov DKI Jakarta</t>
  </si>
  <si>
    <t>Bumi Menteng Asri, Jl. Komplek Gizi No. 22 RT 005 / RW 019, Kel. Menteng, Kec. Bogor Barat, Bogor, Jawa Barat</t>
  </si>
  <si>
    <t>Kp. Samparwadi RT 002 / RW 001, Kel. Puser, Kec. Tirtayasa, Serang, Banten</t>
  </si>
  <si>
    <t>Sarirejo No 138 Meguwo RT 006 RW 004 Kel Maguwoharjo Kec Depok Kab Sleman DIY Yogyakarta</t>
  </si>
  <si>
    <t>JL. H. Mustofa No. 32 RT 005/RW 004 Kel. Kukusan, Kec. Beji, Depok</t>
  </si>
  <si>
    <t>Jalan Amal Gang Muit No. 32 RT. 002/RW. 006, Cipadu Jaya, Larangan, Kota Tangerang - Banten</t>
  </si>
  <si>
    <t>Griya Mulia Cisauk Blok D No.37</t>
  </si>
  <si>
    <t>Jl. Panti Asuhan A/6, RT. 013/ RW. 001, Kel. Cipinang, Kec. Jatinegara, Jakarta Timur</t>
  </si>
  <si>
    <t>Bontoduri 5 STP I No. 3 RT 002 / RW 010, Kel. Parang Tambung, Kec. Tamalate, Makassar, Sulawesi Selatan</t>
  </si>
  <si>
    <t>Kp. Palsigunung, Jl. H Ichang No.15 RT 09 RW 01 Tugu Cimanggis Depok</t>
  </si>
  <si>
    <t>Bangka Buntu II No. 4 RT 010 RW 005 Kel. Pela Mampang Kec. Mampang, Prapatan Jakarta Selatan</t>
  </si>
  <si>
    <t>Jl. Rusa V RT 002 / RW 004, Kel. Pondok Ranji, Kec. Ciputat Timur, Tangerang, Banten</t>
  </si>
  <si>
    <t>Jl. Tanjung Pura No. 44 RT 03 / RW 08, Pegadungan Kali Deres, Jakarta Barat</t>
  </si>
  <si>
    <t>Jl. N. No.16B RT008/RW007 Kel. Slipi, Kec. Pal Merah, Jakarta Barat, Kode pos 11410</t>
  </si>
  <si>
    <t>Perum Puri Arsana A15, Jl. Raya Ciputat Sawangan RT 001 / RW 007 Kel Bojongsari Baru, Kec Bojongsari Kota Depok Jawa Barat</t>
  </si>
  <si>
    <t>Jalan Rancho Indah No 26F RT 002 RW 002, Tanjung Barat, Jagakarsa, Jakarta Selatan, DKI Jakarta</t>
  </si>
  <si>
    <t>Jl. Puri Mediteran I PB 3D No.28 Puri Bintaro Sektor 9 , Bintaro Jaya, Tangerang</t>
  </si>
  <si>
    <t>Jl. Matahari gg Sulaeman RT 002/RW 006 Kel, Sudimara Kec Pinang Tangerang Banten</t>
  </si>
  <si>
    <t>Jl. Batu Sari 1 RT/RW 010/002 Kel Batu Ampar, Kec Kramat Jati, Jakarta Timur, DKI Jakarta</t>
  </si>
  <si>
    <t>Ciomas Hills Cluster Pangrango, Blok A5 No. 17, RT 004 RW 001, Kel. Sukamakmur, Kec. Ciomas, Bogor, Jawa Barat</t>
  </si>
  <si>
    <t>Komp Dosen IKIP Blok II No.115 Kramat Jati, Bekasi, Jawa Barat</t>
  </si>
  <si>
    <t>Jl. Jagakarsa I No. 6 RT 002 / RW 007, Kel. Jagakarsa, Kec. Jagakarsa, Jakarta Selatan, DKI Jakarta</t>
  </si>
  <si>
    <t>Jl. Intertip No. 14, Kel. Pulo Brayan Darat II, Kec. Medan Timur Kota Medan</t>
  </si>
  <si>
    <t>Jl. Kavling Polri Blok E No. 29 Ragunan, Jakarta Selatan</t>
  </si>
  <si>
    <t>Golf Estate Raya, Cluster Helinium H3 No.27 Kel.Sukaraja Kec.Sukaraja, Bogor, Jawa Barat</t>
  </si>
  <si>
    <t>Bumi Anggrek Blok M No.153, Kel.Karangsatria, Kec.Tambun Utara, Kab.Bekasi, Jawa Barat</t>
  </si>
  <si>
    <t>Jl Bunga Rampai IV Gang 1 no. 124 , rt. 010/ 009, kel. Malaka Jaya, kec. Duren Sawit Jakarta Timur</t>
  </si>
  <si>
    <t>Kp Rancak Kromong RT 003 RW 003 Kel Cihowe Kec Ciseeng Kab Bogor</t>
  </si>
  <si>
    <t xml:space="preserve">Kp Talaga RT 003 RW 003 Kec Cikupa, Kab Tangerang, Provinsi Banten </t>
  </si>
  <si>
    <t>Gg. Damai RT 003 RW 007, Pela Mampang, Mampang Prapatan, Jakarta Selatan, DKI Jakarta</t>
  </si>
  <si>
    <t>Komp Pelita Air Service Blok H4 No.9 RT 005/ RW 015 Kel Rangkapan Jaya Baru Kec Pancoran Mas, Kota Depok</t>
  </si>
  <si>
    <t>Jalan PTP RT 001 RW 002, Kandis Kota, Kandis, Siak, Riau</t>
  </si>
  <si>
    <t>Jl. Kebantenan 3 RT 005/ RW 002 No.42 Semper Timur, Cilincing, Jakarta Utara</t>
  </si>
  <si>
    <t>Jl. Kangkung No. 86 Jakarta Selatan</t>
  </si>
  <si>
    <t>Jl. Poncol Jaya RT 014/ RW 005, Kuningan Barat, Mampang Prapatan, Jakarta Selatan</t>
  </si>
  <si>
    <t>Kp. Cigorowong RT 001 RW 011 Kel Cileungsi Kec Cileungsi Kab Bogor, Jawa Barat</t>
  </si>
  <si>
    <t>Perum Puri Persada Indah Blok CA No.33 Cibarusah, Bekasi</t>
  </si>
  <si>
    <t>Jl. Pucung Raya No. 17 RT 011 / RW 002, Kel. Balekambang, Kec. Kramat Jati, Jakarta Timur, DKI Jakarta</t>
  </si>
  <si>
    <t xml:space="preserve">Kp. Ciketing RT 012 RW 003 Kel Mustikajaya Kota Bekasi </t>
  </si>
  <si>
    <t>Jl. Kapt. Tendean Gg. Jati RT 010 / RW 001, Kel. Mampang Prapatan, Kec. Mampang Prapatan, Jakarta Selatan, DKI Jakarta</t>
  </si>
  <si>
    <t>Jl. Haji Gaim Gg. H. Tohir No.35 RT004 / RW010 Kel. Petukangan Utara, Kec. Pesanggrahan, Jakarta Selatan, Kodepos 12260</t>
  </si>
  <si>
    <t>KP. Situdaun, Kel. Situdaun, Bogor, Jawa Barat</t>
  </si>
  <si>
    <t>Jl. Mandar No. 1 RT 004 RW 002, Kel. Beji Timur, Kec. Beji, Depok, Jawa Barat</t>
  </si>
  <si>
    <t>Cingkareng</t>
  </si>
  <si>
    <t>Jl. Jatinegara Kaum No. 18 A RT 01 / RW 03, Pulo Gadung, Jakarta Timur, DKI Jakarta</t>
  </si>
  <si>
    <t>JL. BB II RT 007/RW 005 Kel. Tegal Parang, Kec. Mampang Prapatan, Jakarta Selatan</t>
  </si>
  <si>
    <t>Andi Mapasoro</t>
  </si>
  <si>
    <t>Ahmad Sandi Asyuri</t>
  </si>
  <si>
    <t>Agnes Sutedja</t>
  </si>
  <si>
    <t>Ahmad Choerul</t>
  </si>
  <si>
    <t>Belina Lindarwani</t>
  </si>
  <si>
    <t>Budianto</t>
  </si>
  <si>
    <t>Darsito</t>
  </si>
  <si>
    <t>Dionesius Sostenist Duka</t>
  </si>
  <si>
    <t>Edi Waluyo</t>
  </si>
  <si>
    <t>Eka Bagus Dwi Putra</t>
  </si>
  <si>
    <t>Eka Kurniawan Hidayatullah</t>
  </si>
  <si>
    <t>Eka Purwanti</t>
  </si>
  <si>
    <t>Endang Sutrisno</t>
  </si>
  <si>
    <t>Gunawan</t>
  </si>
  <si>
    <t>Icha Mailinda</t>
  </si>
  <si>
    <t>Irma Maulidawati</t>
  </si>
  <si>
    <t>Istikaro Fauziah</t>
  </si>
  <si>
    <t>Jimmywal</t>
  </si>
  <si>
    <t>Kornelius Sakan</t>
  </si>
  <si>
    <t>Lisma Natalia</t>
  </si>
  <si>
    <t>M Fikri Caesarandi Hasibuan</t>
  </si>
  <si>
    <t>Marthen Tabun</t>
  </si>
  <si>
    <t>Mochamad Ulul Azmi Wira Utama</t>
  </si>
  <si>
    <t>Muhammad Rizal</t>
  </si>
  <si>
    <t>Mullan Tresna</t>
  </si>
  <si>
    <t>Nandang Effendi</t>
  </si>
  <si>
    <t>Rahmata Novanisa</t>
  </si>
  <si>
    <t>Rahmad Dwifar</t>
  </si>
  <si>
    <t>Restu Dwi Anjayani</t>
  </si>
  <si>
    <t>Ridwan Nur Muttaqin</t>
  </si>
  <si>
    <t>Risty Alawiyah</t>
  </si>
  <si>
    <t>Rhino Priawan</t>
  </si>
  <si>
    <t>Seftiyan Hadi Maulana</t>
  </si>
  <si>
    <t>Setiadi</t>
  </si>
  <si>
    <t>Sholehah</t>
  </si>
  <si>
    <t>Sudarlan</t>
  </si>
  <si>
    <t>T Marungkil U.S. Sagala</t>
  </si>
  <si>
    <t>Tegar Hersaputra</t>
  </si>
  <si>
    <t>Teguh Pratama Januzir</t>
  </si>
  <si>
    <t>Turita Pramuning M</t>
  </si>
  <si>
    <t>Wardah Laily Khoiriyah</t>
  </si>
  <si>
    <t>Wisnu Trenggono Wirayuda</t>
  </si>
  <si>
    <t>Yogi Perbangkara</t>
  </si>
  <si>
    <t>Yuliandaru Suryoatmodjo</t>
  </si>
  <si>
    <t>Zainudin Anwar</t>
  </si>
  <si>
    <t>Zulfikar K Siregar IR</t>
  </si>
  <si>
    <t>Redi Subekti</t>
  </si>
  <si>
    <t>Grace Kurniawan</t>
  </si>
  <si>
    <t>Adhe Kurniawan</t>
  </si>
  <si>
    <t>Ahmad Faiz Haems Muda</t>
  </si>
  <si>
    <t>Riza Emir Subekti</t>
  </si>
  <si>
    <t>Ares S. Mauboy</t>
  </si>
  <si>
    <t>Arief Yulianto</t>
  </si>
  <si>
    <t>Burhan</t>
  </si>
  <si>
    <t>Cahyana</t>
  </si>
  <si>
    <t>Davit Lumban Gaol</t>
  </si>
  <si>
    <t>Dian Tri Rahmawati</t>
  </si>
  <si>
    <t>Edy Syahputra Situmeang</t>
  </si>
  <si>
    <t>Fabrian Danang Destiyara</t>
  </si>
  <si>
    <t>Iman Faisal Abdurahman</t>
  </si>
  <si>
    <t>Langgeng Eko Dwiantoro</t>
  </si>
  <si>
    <t>Roy Aditya</t>
  </si>
  <si>
    <t>Rustono</t>
  </si>
  <si>
    <t>Solihin</t>
  </si>
  <si>
    <t>Sugiarto</t>
  </si>
  <si>
    <t>Sulaeman</t>
  </si>
  <si>
    <t>Supriatna</t>
  </si>
  <si>
    <t>Timotius Tabun</t>
  </si>
  <si>
    <t>Urbanus Boimau</t>
  </si>
  <si>
    <t>Adi</t>
  </si>
  <si>
    <t>L</t>
  </si>
  <si>
    <t>P</t>
  </si>
  <si>
    <t>RT</t>
  </si>
  <si>
    <t>RW</t>
  </si>
  <si>
    <t>001</t>
  </si>
  <si>
    <t>013</t>
  </si>
  <si>
    <t>Kel Semper Barat Kec Cilincing Jakarta Utara</t>
  </si>
  <si>
    <t>003</t>
  </si>
  <si>
    <t>005</t>
  </si>
  <si>
    <t>006</t>
  </si>
  <si>
    <t>007</t>
  </si>
  <si>
    <t>008</t>
  </si>
  <si>
    <t>009</t>
  </si>
  <si>
    <t>002</t>
  </si>
  <si>
    <t xml:space="preserve">Jl. Arrahmah No. 29 </t>
  </si>
  <si>
    <t>Jl. Lorong 1C No. 12A</t>
  </si>
  <si>
    <t>Kelurahan Medan Satria, Pondok Ungu Bekasi , Jawa Barat</t>
  </si>
  <si>
    <t>Kode Pos</t>
  </si>
  <si>
    <t>Kel. Duri Kepa, Kec. Kebon Jeruk, Jakarta Barat, DKI Jakarta</t>
  </si>
  <si>
    <t>Taman Ratu Indah Blok B4/10</t>
  </si>
  <si>
    <t>Jl. Gempol No. 22</t>
  </si>
  <si>
    <t>Kel. Bambu Apus, Kec.Cipayung, Jakarta Timur, DKI Jakarta</t>
  </si>
  <si>
    <t>012</t>
  </si>
  <si>
    <t>Kel. Kencana, Kec. Tanah Sereal, Bogor, Jawa Barat</t>
  </si>
  <si>
    <t>Perum. Taman Griya Kencana Blok B 12 No. 05</t>
  </si>
  <si>
    <t>004</t>
  </si>
  <si>
    <t>Kel. Kalibata, Kec. Pancoran, Jakarta Selatan, DKI Jakarta</t>
  </si>
  <si>
    <t>Jl. Kalibata Selatan II No. 53</t>
  </si>
  <si>
    <t>Kel. Kaliwuluh, Kec. Kebak Kramat, Kab. Karanganyar, Jawa Tengah</t>
  </si>
  <si>
    <t>Teken</t>
  </si>
  <si>
    <t>011</t>
  </si>
  <si>
    <t>Kel. Pondok Ranggon, Kec. Cipayung, Jakarta Timur, DKI Jakarta</t>
  </si>
  <si>
    <t>Jl. Warga No. 6</t>
  </si>
  <si>
    <t>Kel. Kapuk, Kec. Cengkareng, Jakarta Barat, DKI Jakarta</t>
  </si>
  <si>
    <t>Pedongkelan</t>
  </si>
  <si>
    <t>Kel. Kaliabang Tengah, Kec. Bekasi Utara, Bekasi, Jawa Barat</t>
  </si>
  <si>
    <t>Pondok Ungu Permai Blok AN 5 No. 27</t>
  </si>
  <si>
    <t>Kel. Rangkapan Jaya, Kec. Pancoran Mas, Depok, Jawa Barat</t>
  </si>
  <si>
    <t>019</t>
  </si>
  <si>
    <t>Jl. Damai No. 12</t>
  </si>
  <si>
    <t>Jl. Merpati No. 36</t>
  </si>
  <si>
    <t>Kel. Semanan, Kec. Kalideres, Jakarta Barat, DKI Jakarta</t>
  </si>
  <si>
    <t>Kp. Gaga</t>
  </si>
  <si>
    <t>Kel. Jatimurni, Kec. Pondok Melati, Bekasi, Jawa Barat</t>
  </si>
  <si>
    <t>Jl. Bhineka Gg. Rambutan</t>
  </si>
  <si>
    <t>Kel. Cempaka Baru, Kec. Kemayoran, Jakarta Pusat, DKI Jakarta</t>
  </si>
  <si>
    <t>Jl. Remaja 3 Gg. Betok No. 42A</t>
  </si>
  <si>
    <t>Jakarta Selatan</t>
  </si>
  <si>
    <t>Jl. Nangka Gg. Masjid Nurul Huda No.14</t>
  </si>
  <si>
    <t>Pela Mampang, Jakarta Selatan</t>
  </si>
  <si>
    <t>Kel. Cilebut Barat, Kec. Sukaraja, Kab. Bogor, Jawa Barat</t>
  </si>
  <si>
    <t>015</t>
  </si>
  <si>
    <t>Perum Pesona Cilebut 2 Blok EB.3 No. 6</t>
  </si>
  <si>
    <t>Kel. Cipadu, Kec. Larangan, Tangerang, Banten</t>
  </si>
  <si>
    <t>Jl. K.H. Wahid Hasim Gg. Muha No. 52</t>
  </si>
  <si>
    <t>Kel. Jatibening, Kec. Pondok Gede, Bekasi, Jawa Barat</t>
  </si>
  <si>
    <t>Jl. Caman Raya Gg. Masjid Al Ihsan Perum. Green Palace No. B2</t>
  </si>
  <si>
    <t>Kel. Terjun, Kec. Medan Marelan, Medan, Sumatera Utara</t>
  </si>
  <si>
    <t>Jl. Marelan Raya Tanah 600 Gg. Rasmi No. 22</t>
  </si>
  <si>
    <t>Kel. Tonjong, Kec. Tajur Halang, Kab. Bogor, Jawa Barat</t>
  </si>
  <si>
    <t>Jl. Komp. BPN Tonjong Gg. V No. 16</t>
  </si>
  <si>
    <t>Kel. Harapan Jaya, Kec. Bekasi Utara, Kota Bekasi</t>
  </si>
  <si>
    <t>024</t>
  </si>
  <si>
    <t>Pesona Anggrek Blok F 17/21</t>
  </si>
  <si>
    <t>Kel Palmerah Kec Palmerah Jakarta Barat, Prov DKI Jakarta</t>
  </si>
  <si>
    <t xml:space="preserve">Komp. HANKAM Jl. Beo G-57 </t>
  </si>
  <si>
    <t>Kel. Menteng, Kec. Bogor Barat, Bogor, Jawa Barat</t>
  </si>
  <si>
    <t>Bumi Menteng Asri Jl. Komplek Gizi No. 22</t>
  </si>
  <si>
    <t>Kel. Puser, Kec. Tirtayasa, Serang, Banten</t>
  </si>
  <si>
    <t>Kp. Samparwadi</t>
  </si>
  <si>
    <t>Kel Maguwoharjo Kec Depok Kab Sleman DIY Yogyakarta</t>
  </si>
  <si>
    <t>Sarirejo No. 138 Meguwo</t>
  </si>
  <si>
    <t>Kel. Kukusan, Kec. Beji, Depok</t>
  </si>
  <si>
    <t>JL. H. Mustofa No. 32</t>
  </si>
  <si>
    <t>Cipadu Jaya, Larangan, Kota Tangerang - Banten</t>
  </si>
  <si>
    <t>Jl. Amal Gang Muit No. 32</t>
  </si>
  <si>
    <t>Griya Mulia Cisauk Blok D No. 37</t>
  </si>
  <si>
    <t>Kel. Cipinang, Kec. Jatinegara, Jakarta Timur</t>
  </si>
  <si>
    <t>Jl. Panti Asuhan A/6</t>
  </si>
  <si>
    <t>Kel. Parang Tambung, Kec. Tamalate, Makassar, Sulawesi Selatan</t>
  </si>
  <si>
    <t>010</t>
  </si>
  <si>
    <t>Bontoduri 5 STP I No. 3</t>
  </si>
  <si>
    <t>Tugu Cimanggis Depok</t>
  </si>
  <si>
    <t>Kp. Palsigunung, Jl. H Ichang No.15</t>
  </si>
  <si>
    <t>Kel. Pela Mampang Kec. Mampang, Prapatan Jakarta Selatan</t>
  </si>
  <si>
    <t>Jl. Bangka Buntu II No. 4</t>
  </si>
  <si>
    <t>Kel. Pondok Ranji, Kec. Ciputat Timur, Tangerang, Banten</t>
  </si>
  <si>
    <t>Jl. Rusa V</t>
  </si>
  <si>
    <t>Pegadungan Kali Deres, Jakarta Barat</t>
  </si>
  <si>
    <t>Jl. Tanjung Pura No. 44</t>
  </si>
  <si>
    <t>Kel. Slipi, Kec. Pal Merah, Jakarta Barat</t>
  </si>
  <si>
    <t>Jl. N. No.16B</t>
  </si>
  <si>
    <t>Kel Bojongsari Baru, Kec Bojongsari Kota Depok Jawa Barat</t>
  </si>
  <si>
    <t>Perum Puri Arsana, Jl. Raya Ciputat Sawangan No. A15</t>
  </si>
  <si>
    <t>Tanjung Barat, Jagakarsa, Jakarta Selatan, DKI Jakarta</t>
  </si>
  <si>
    <t>Jl. Rancho Indah No. 26F</t>
  </si>
  <si>
    <t>Kel, Sudimara Kec Pinang Tangerang Banten</t>
  </si>
  <si>
    <t>Jl. Matahari Gg. Sulaeman</t>
  </si>
  <si>
    <t>Kel Batu Ampar, Kec Kramat Jati, Jakarta Timur, DKI Jakarta</t>
  </si>
  <si>
    <t>Jl. Batu Sari 1</t>
  </si>
  <si>
    <t>Kel. Sukamakmur, Kec. Ciomas, Bogor, Jawa Barat</t>
  </si>
  <si>
    <t>Ciomas Hills Cluster Pangrango, Blok A5 No. 17</t>
  </si>
  <si>
    <t>Kramat Jati, Bekasi, Jawa Barat</t>
  </si>
  <si>
    <t>Komp. Dosen IKIP Blok II No. 115</t>
  </si>
  <si>
    <t>Kel. Jagakarsa, Kec. Jagakarsa, Jakarta Selatan, DKI Jakarta</t>
  </si>
  <si>
    <t>Jl. Jagakarsa I No. 6</t>
  </si>
  <si>
    <t>Kel. Pulo Brayan Darat II Kec. Medan Timur Kota Medan</t>
  </si>
  <si>
    <t>Jl. Intertip No. 14</t>
  </si>
  <si>
    <t>Jl. Kavling Polri Blok E No. 29</t>
  </si>
  <si>
    <t>Ragunan, Jakarta Selatan</t>
  </si>
  <si>
    <t>Golf Estate Raya, Cluster Helinium H3 No. 27</t>
  </si>
  <si>
    <t>Bumi Anggrek Blok M No.153</t>
  </si>
  <si>
    <t>Kel.Karangsatria, Kec.Tambun Utara, Kab.Bekasi, Jawa Barat</t>
  </si>
  <si>
    <t>kel. Malaka Jaya, kec. Duren Sawit Jakarta Timur</t>
  </si>
  <si>
    <t>Jl. Bunga Rampai IV Gang 1 No. 124</t>
  </si>
  <si>
    <t>Kel Cihowe Kec Ciseeng Kab Bogor</t>
  </si>
  <si>
    <t>Kp. Rancak Kromong</t>
  </si>
  <si>
    <t xml:space="preserve">Kec Cikupa, Kab Tangerang, Provinsi Banten </t>
  </si>
  <si>
    <t>Kp. Talaga</t>
  </si>
  <si>
    <t>Pela Mampang, Mampang Prapatan, Jakarta Selatan, DKI Jakarta</t>
  </si>
  <si>
    <t>Gg. Damai</t>
  </si>
  <si>
    <t>Kel Rangkapan Jaya Baru Kec Pancoran Mas, Kota Depok</t>
  </si>
  <si>
    <t>Komp. Pelita Air Service Blok H4 No. 9</t>
  </si>
  <si>
    <t>Kandis Kota, Kandis, Siak, Riau</t>
  </si>
  <si>
    <t>Jl. PTP</t>
  </si>
  <si>
    <t>Semper Timur, Cilincing, Jakarta Utara</t>
  </si>
  <si>
    <t xml:space="preserve">Jl. Kebantenan 3 No.42 </t>
  </si>
  <si>
    <t>Jl. Kangkung No. 86</t>
  </si>
  <si>
    <t>Kuningan Barat, Mampang Prapatan, Jakarta Selatan</t>
  </si>
  <si>
    <t>014</t>
  </si>
  <si>
    <t>Jl. Poncol Jaya</t>
  </si>
  <si>
    <t>Jl. Bangka VIII Gg. Manggis No.5</t>
  </si>
  <si>
    <t>Kel Cileungsi Kec Cileungsi Kab Bogor, Jawa Barat</t>
  </si>
  <si>
    <t>Kp. Cigorowong</t>
  </si>
  <si>
    <t>Cibarusah, Bekasi</t>
  </si>
  <si>
    <t xml:space="preserve">Perum Puri Persada Indah Blok CA No. 33 </t>
  </si>
  <si>
    <t>Kel. Balekambang, Kec. Kramat Jati, Jakarta Timur, DKI Jakarta</t>
  </si>
  <si>
    <t>Jl. Pucung Raya No. 17</t>
  </si>
  <si>
    <t>Kp. Ciketing</t>
  </si>
  <si>
    <t>Kel. Mampang Prapatan, Kec. Mampang Prapatan, Jakarta Selatan, DKI Jakarta</t>
  </si>
  <si>
    <t>Jl. Kapten Tendean Gg. Jati</t>
  </si>
  <si>
    <t>Kel. Petukangan Utara, Kec. Pesanggrahan, Jakarta Selatan</t>
  </si>
  <si>
    <t>Jl. Haji Gaim Gg. H. Tohir No. 35</t>
  </si>
  <si>
    <t>Kel. Situdaun, Bogor, Jawa Barat</t>
  </si>
  <si>
    <t>Kp. Situdaun</t>
  </si>
  <si>
    <t>Kel. Beji Timur, Kec. Beji, Depok, Jawa Barat</t>
  </si>
  <si>
    <t>Jl. Mandar No. 1</t>
  </si>
  <si>
    <t>Cengkareng</t>
  </si>
  <si>
    <t>Pulo Gadung, Jakarta Timur, DKI Jakarta</t>
  </si>
  <si>
    <t>Jl. Jatinegara Kaum No. 18A</t>
  </si>
  <si>
    <t>Kel. Tegal Parang, Kec. Mampang Prapatan, Jakarta Selatan</t>
  </si>
  <si>
    <t>JL. BB II</t>
  </si>
  <si>
    <t>Geder</t>
  </si>
  <si>
    <t>Gender RefID</t>
  </si>
  <si>
    <t>Address Area</t>
  </si>
  <si>
    <t>Address Area
RefID</t>
  </si>
  <si>
    <t>Kel Sawah Besar Kec Ciputat Kota Tangerang Selatan</t>
  </si>
  <si>
    <t>Kel. Sukaraja Kec.Sukaraja, Bogor, Jawa Barat</t>
  </si>
  <si>
    <t>SELECT</t>
  </si>
  <si>
    <t>SubSQL."Sys_ID",</t>
  </si>
  <si>
    <t>SubSQL."Sys_PID",</t>
  </si>
  <si>
    <t>SubSQL."Sys_SID",</t>
  </si>
  <si>
    <t>SubSQL."Sys_RPK",</t>
  </si>
  <si>
    <t>SubSQL."Sys_Branch_RefID",</t>
  </si>
  <si>
    <t>SubSQL."Sys_BaseBranch_RefID",</t>
  </si>
  <si>
    <t>SubSQL."Sys_BaseCurrency_RefID",</t>
  </si>
  <si>
    <t>SubSQL."Sys_BaseCurrencyISOCode",</t>
  </si>
  <si>
    <t>SubSQL."Sys_BaseCurrencySymbol",</t>
  </si>
  <si>
    <t>------------------------------</t>
  </si>
  <si>
    <t>SubSQL."Name",</t>
  </si>
  <si>
    <t>SubSQL."OrderSequence",</t>
  </si>
  <si>
    <t>SubSQL."Env_Pagination_ItemSequence",</t>
  </si>
  <si>
    <t>SubSQL."Env_Information"</t>
  </si>
  <si>
    <t>FROM</t>
  </si>
  <si>
    <t>(</t>
  </si>
  <si>
    <t>CASE</t>
  </si>
  <si>
    <t>WHEN ("SubSQL"."OrderSequence" = 1) THEN</t>
  </si>
  <si>
    <t>('{"general" : {"dataCount" : 1, "pagination" : {"pageSize" : 1, "pageCount" : 1, "pageShow" : 1}, "dataCustomize" : {"filterString" : null, "sortString" : null}}}'::json)::json</t>
  </si>
  <si>
    <t>ELSE</t>
  </si>
  <si>
    <t>NULL</t>
  </si>
  <si>
    <t>END</t>
  </si>
  <si>
    <t>) AS "Env_Information",</t>
  </si>
  <si>
    <t>SubSQL."OrderSequence" +</t>
  </si>
  <si>
    <t>((('{"general" : {"dataCount" : 1, "pagination" : {"pageSize" : 1, "pageCount" : 1, "pageShow" : 1}, "dataCustomize" : {"filterString" : null, "sortString" : null}}}'::json)-&gt;'general'-&gt;'pagination'-&gt;&gt;'pageShow')::bigint - 1) *</t>
  </si>
  <si>
    <t>(('{"general" : {"dataCount" : 1, "pagination" : {"pageSize" : 1, "pageCount" : 1, "pageShow" : 1}, "dataCustomize" : {"filterString" : null, "sortString" : null}}}'::json)-&gt;'general'-&gt;'pagination'-&gt;&gt;'pageSize')::bigint</t>
  </si>
  <si>
    <t>)</t>
  </si>
  <si>
    <t>) AS "Env_Pagination_ItemSequence",</t>
  </si>
  <si>
    <t>SubSQL."OrderSequence"</t>
  </si>
  <si>
    <t>SubSQLBaseCurrency."Sys_ID" AS "Sys_BaseCurrency_RefID",</t>
  </si>
  <si>
    <t>SubSQLBaseCurrency."ISOCode" AS "Sys_BaseCurrencyISOCode",</t>
  </si>
  <si>
    <t>SubSQLBaseCurrency."Symbol" AS "Sys_BaseCurrencySymbol",</t>
  </si>
  <si>
    <t>ROW_NUMBER () OVER (</t>
  </si>
  <si>
    <t>ORDER BY</t>
  </si>
  <si>
    <t>SubSQL."OrderSequence" ASC</t>
  </si>
  <si>
    <t>) AS "OrderSequence"</t>
  </si>
  <si>
    <t>----[ MAIN CORE DATA ]-----(  END  )-----</t>
  </si>
  <si>
    <t>SubSQLBaseBranch."BaseInstitutionBranch_RefID" AS "Sys_BaseBranch_RefID",</t>
  </si>
  <si>
    <t>COALESCE (</t>
  </si>
  <si>
    <t>SubSQL2."Sys_PID",</t>
  </si>
  <si>
    <t>SubSQL2."Sys_SID"</t>
  </si>
  <si>
    <t>) AS "Sys_ID",</t>
  </si>
  <si>
    <t>SubSQL2."Sys_SID",</t>
  </si>
  <si>
    <t>SubSQL2."Sys_RPK",</t>
  </si>
  <si>
    <t>SubSQL2."Sys_Branch_RefID",</t>
  </si>
  <si>
    <t>SubSQL2."Sys_BaseCurrency_RefID",</t>
  </si>
  <si>
    <t>SubSQL2."Name",</t>
  </si>
  <si>
    <t>SubSQL1."OrderSequence"</t>
  </si>
  <si>
    <t>SubSQL."Sys_IDLink",</t>
  </si>
  <si>
    <t>ROW_NUMBER () OVER () AS "OrderSequence"</t>
  </si>
  <si>
    <t>UNNEST (('{24000000032499}')::bigint[]) AS "Sys_IDLink"</t>
  </si>
  <si>
    <t>) AS "SubSQL"</t>
  </si>
  <si>
    <t>) AS "SubSQL1"</t>
  </si>
  <si>
    <t>LEFT JOIN</t>
  </si>
  <si>
    <t>SubSQL."Name"</t>
  </si>
  <si>
    <t>SubSQL."Sys_RefIDLink",</t>
  </si>
  <si>
    <t>SubSQL."Name" ||</t>
  </si>
  <si>
    <t>' Negara ' ||</t>
  </si>
  <si>
    <t>VirtTblCountry_PID."IndonesianName",</t>
  </si>
  <si>
    <t>VirtTblCountry_PID."InternationalName",</t>
  </si>
  <si>
    <t>VirtTblCountry_SID."IndonesianName",</t>
  </si>
  <si>
    <t>VirtTblCountry_PID."InternationalName"</t>
  </si>
  <si>
    <t>)::varchar AS "Name"</t>
  </si>
  <si>
    <t>VirtTblCountryAdministrativeAreaLevel1_PID."Country_RefID",</t>
  </si>
  <si>
    <t>VirtTblCountryAdministrativeAreaLevel1_SID."Country_RefID"</t>
  </si>
  <si>
    <t>) AS "Country_RefIDLink",</t>
  </si>
  <si>
    <t>' Provinsi ' ||</t>
  </si>
  <si>
    <t>VirtTblCountryAdministrativeAreaLevel1_PID."Name",</t>
  </si>
  <si>
    <t>VirtTblCountryAdministrativeAreaLevel1_SID."Name"</t>
  </si>
  <si>
    <t>VirtTblCountryAdministrativeAreaLevel2_PID."CountryAdministrativeAreaLevel1_RefID",</t>
  </si>
  <si>
    <t>VirtTblCountryAdministrativeAreaLevel2_SID."CountryAdministrativeAreaLevel1_RefID"</t>
  </si>
  <si>
    <t>) AS "CountryAdministrativeAreaLevel1_RefIDLink",</t>
  </si>
  <si>
    <t>' ' ||</t>
  </si>
  <si>
    <t>VirtTblCountryAdministrativeAreaLevel2_PID."Name",</t>
  </si>
  <si>
    <t>VirtTblCountryAdministrativeAreaLevel2_SID."Name"</t>
  </si>
  <si>
    <t>SubSQL."CountryAdministrativeAreaLevel2_RefIDLink",</t>
  </si>
  <si>
    <t>VirtTblCountryAdministrativeAreaLevel3_PID."CountryAdministrativeAreaLevel2_RefID",</t>
  </si>
  <si>
    <t>VirtTblCountryAdministrativeAreaLevel3_SID."CountryAdministrativeAreaLevel2_RefID"</t>
  </si>
  <si>
    <t>) AS "CountryAdministrativeAreaLevel2_RefIDLink",</t>
  </si>
  <si>
    <t>' Kecamatan ' ||</t>
  </si>
  <si>
    <t>VirtTblCountryAdministrativeAreaLevel3_PID."Name",</t>
  </si>
  <si>
    <t>VirtTblCountryAdministrativeAreaLevel3_SID."Name"</t>
  </si>
  <si>
    <t>Sys_PID AS "Sys_RefIDLink",</t>
  </si>
  <si>
    <t>Sys_PID,</t>
  </si>
  <si>
    <t>Sys_SID</t>
  </si>
  <si>
    <t>Sys_SID,</t>
  </si>
  <si>
    <t>Sys_RPK,</t>
  </si>
  <si>
    <t>Sys_Branch_RefID,</t>
  </si>
  <si>
    <t>NULL::bigint AS "Sys_BaseCurrency_RefID",</t>
  </si>
  <si>
    <t>CountryAdministrativeAreaLevel3_RefID AS "CountryAdministrativeAreaLevel3_RefIDLink",</t>
  </si>
  <si>
    <t>Name</t>
  </si>
  <si>
    <t>SchMaster."TblCountryAdministrativeAreaLevel4"</t>
  </si>
  <si>
    <t>WHERE</t>
  </si>
  <si>
    <t>Sys_PID IN (</t>
  </si>
  <si>
    <t>SELECT DISTINCT</t>
  </si>
  <si>
    <t>UNNEST (('{24000000032499}')::bigint[])</t>
  </si>
  <si>
    <t>UNION ALL</t>
  </si>
  <si>
    <t>Sys_SID AS "Sys_RefIDLink",</t>
  </si>
  <si>
    <t>Sys_SID IN (</t>
  </si>
  <si>
    <t>SchMaster."TblCountryAdministrativeAreaLevel3" AS "VirtTblCountryAdministrativeAreaLevel3_PID"</t>
  </si>
  <si>
    <t>ON</t>
  </si>
  <si>
    <t>SubSQL."CountryAdministrativeAreaLevel3_RefIDLink" = "VirtTblCountryAdministrativeAreaLevel3_PID"."Sys_PID"</t>
  </si>
  <si>
    <t>SchMaster."TblCountryAdministrativeAreaLevel3" AS "VirtTblCountryAdministrativeAreaLevel3_SID"</t>
  </si>
  <si>
    <t>SubSQL."CountryAdministrativeAreaLevel3_RefIDLink" = "VirtTblCountryAdministrativeAreaLevel3_SID"."Sys_PID"</t>
  </si>
  <si>
    <t>CountryAdministrativeAreaLevel2_RefID AS "CountryAdministrativeAreaLevel2_RefIDLink",</t>
  </si>
  <si>
    <t>('Kecamatan ' || "Name")::varchar AS "Name"</t>
  </si>
  <si>
    <t>SchMaster."TblCountryAdministrativeAreaLevel3"</t>
  </si>
  <si>
    <t>SchMaster."TblCountryAdministrativeAreaLevel2" AS "VirtTblCountryAdministrativeAreaLevel2_PID"</t>
  </si>
  <si>
    <t>SubSQL."CountryAdministrativeAreaLevel2_RefIDLink" = "VirtTblCountryAdministrativeAreaLevel2_PID"."Sys_PID"</t>
  </si>
  <si>
    <t>SchMaster."TblCountryAdministrativeAreaLevel2" AS "VirtTblCountryAdministrativeAreaLevel2_SID"</t>
  </si>
  <si>
    <t>SubSQL."CountryAdministrativeAreaLevel2_RefIDLink" = "VirtTblCountryAdministrativeAreaLevel2_SID"."Sys_PID"</t>
  </si>
  <si>
    <t>SubSQL."CountryAdministrativeAreaLevel1_RefIDLink",</t>
  </si>
  <si>
    <t>CountryAdministrativeAreaLevel1_RefID AS "CountryAdministrativeAreaLevel1_RefIDLink",</t>
  </si>
  <si>
    <t>('' || "Name")::varchar AS "Name"</t>
  </si>
  <si>
    <t>SchMaster."TblCountryAdministrativeAreaLevel2"</t>
  </si>
  <si>
    <t>SchMaster."TblCountryAdministrativeAreaLevel1" AS "VirtTblCountryAdministrativeAreaLevel1_PID"</t>
  </si>
  <si>
    <t>SubSQL."CountryAdministrativeAreaLevel1_RefIDLink" = "VirtTblCountryAdministrativeAreaLevel1_PID"."Sys_PID"</t>
  </si>
  <si>
    <t>SchMaster."TblCountryAdministrativeAreaLevel1" AS "VirtTblCountryAdministrativeAreaLevel1_SID"</t>
  </si>
  <si>
    <t>SubSQL."CountryAdministrativeAreaLevel1_RefIDLink" = "VirtTblCountryAdministrativeAreaLevel1_SID"."Sys_PID"</t>
  </si>
  <si>
    <t>SubSQL."Country_RefIDLink",</t>
  </si>
  <si>
    <t>Country_RefID AS "Country_RefIDLink",</t>
  </si>
  <si>
    <t>('Provinsi ' || "Name")::varchar AS "Name"</t>
  </si>
  <si>
    <t>SchMaster."TblCountryAdministrativeAreaLevel1"</t>
  </si>
  <si>
    <t>SchMaster."TblCountry" AS "VirtTblCountry_PID"</t>
  </si>
  <si>
    <t>SubSQL."Country_RefIDLink" = "VirtTblCountry_PID"."Sys_PID"</t>
  </si>
  <si>
    <t>SchMaster."TblCountry" AS "VirtTblCountry_SID"</t>
  </si>
  <si>
    <t>SubSQL."Country_RefIDLink" = "VirtTblCountry_SID"."Sys_PID"</t>
  </si>
  <si>
    <t>('Negara ' || COALESCE("IndonesianName", "InternationalName"))::varchar AS "Name"</t>
  </si>
  <si>
    <t>SchMaster."TblCountry"</t>
  </si>
  <si>
    <t>) AS "SubSQL2"</t>
  </si>
  <si>
    <t>SubSQL1."Sys_IDLink" = "SubSQL2"."Sys_PID"</t>
  </si>
  <si>
    <t>OR</t>
  </si>
  <si>
    <t>SubSQL1."Sys_IDLink" = "SubSQL2"."Sys_SID"</t>
  </si>
  <si>
    <t>UNNEST('{11000000000001,10011000000000001,11000000000002,10011000000000002,11000000000003,10011000000000003,11000000000004,10011000000000004}'::bigint[])::bigint AS "InstitutionBranch_RefID",</t>
  </si>
  <si>
    <t>UNNEST('{11000000000004,11000000000004,11000000000004,11000000000004,11000000000004,11000000000004,11000000000004,11000000000004}'::bigint[])::bigint AS "BaseInstitutionBranch_RefID"</t>
  </si>
  <si>
    <t>) AS "SubSQLBaseBranch"</t>
  </si>
  <si>
    <t>SubSQL."Sys_Branch_RefID" = "SubSQLBaseBranch"."InstitutionBranch_RefID"</t>
  </si>
  <si>
    <t>UNNEST(('{62000000000001,10062000000000001,62000000000002,10062000000000002,62000000000003,10062000000000003,62000000000004,10062000000000004,62000000000005,10062000000000005,62000000000006,10062000000000006,62000000000007,10062000000000007,62000000000008,10062000000000008,62000000000009,10062000000000009,62000000000010,10062000000000010,62000000000011,10062000000000011,62000000000012,10062000000000012,62000000000013,10062000000000013,62000000000014,10062000000000014,62000000000015,10062000000000015,62000000000016,10062000000000016,62000000000017,10062000000000017,62000000000018,10062000000000018,62000000000019,10062000000000019,62000000000020,10062000000000020,62000000000021,10062000000000021,62000000000022,10062000000000022,62000000000023,10062000000000023,62000000000024,10062000000000024,62000000000025,10062000000000025,62000000000026,10062000000000026,62000000000027,10062000000000027,62000000000028,10062000000000028,62000000000029,10062000000000029,62000000000030,10062000000000030,62000000000031,10062000000000031,62000000000032,10062000000000032,62000000000033,10062000000000033,62000000000034,10062000000000034,62000000000035,10062000000000035,62000000000036,10062000000000036,62000000000037,10062000000000037,62000000000038,10062000000000038,62000000000039,10062000000000039,62000000000040,10062000000000040,62000000000041,10062000000000041,62000000000042,10062000000000042,62000000000043,10062000000000043,62000000000044,10062000000000044,62000000000045,10062000000000045,62000000000046,10062000000000046,62000000000047,10062000000000047,62000000000048,10062000000000048,62000000000049,10062000000000049,62000000000050,10062000000000050,62000000000051,10062000000000051,62000000000052,10062000000000052,62000000000053,10062000000000053,62000000000054,10062000000000054,62000000000055,10062000000000055,62000000000056,10062000000000056,62000000000057,10062000000000057,62000000000058,10062000000000058,62000000000059,10062000000000059,62000000000060,10062000000000060,62000000000061,10062000000000061,62000000000062,10062000000000062,62000000000063,10062000000000063,62000000000064,10062000000000064,62000000000065,10062000000000065,62000000000066,10062000000000066,62000000000067,10062000000000067,62000000000068,10062000000000068,62000000000069,10062000000000069,62000000000070,10062000000000070,62000000000071,10062000000000071,62000000000072,10062000000000072,62000000000073,10062000000000073,62000000000074,10062000000000074,62000000000075,10062000000000075,62000000000076,10062000000000076,62000000000077,10062000000000077,62000000000078,10062000000000078,62000000000079,10062000000000079,62000000000080,10062000000000080,62000000000081,10062000000000081,62000000000082,10062000000000082,62000000000083,10062000000000083,62000000000084,10062000000000084,62000000000085,10062000000000085,62000000000086,10062000000000086,62000000000087,10062000000000087,62000000000088,10062000000000088,62000000000089,10062000000000089,62000000000090,10062000000000090,62000000000091,10062000000000091,62000000000092,10062000000000092,62000000000093,10062000000000093,62000000000094,10062000000000094,62000000000095,10062000000000095,62000000000096,10062000000000096,62000000000097,10062000000000097,62000000000098,10062000000000098,62000000000099,10062000000000099,62000000000100,10062000000000100,62000000000101,10062000000000101,62000000000102,10062000000000102,62000000000103,10062000000000103,62000000000104,10062000000000104,62000000000105,10062000000000105,62000000000106,10062000000000106,62000000000107,10062000000000107,62000000000108,10062000000000108,62000000000109,10062000000000109,62000000000110,10062000000000110,62000000000111,10062000000000111,62000000000112,10062000000000112,62000000000113,10062000000000113,62000000000114,10062000000000114,62000000000115,10062000000000115,62000000000116,10062000000000116,62000000000117,10062000000000117,62000000000118,10062000000000118,62000000000119,10062000000000119,62000000000120,10062000000000120}')::bigint[]) AS "Sys_ID",</t>
  </si>
  <si>
    <t>UNNEST(('{IDR,IDR,USD,USD,AUD,AUD,CAD,CAD,DKK,DKK,HKD,HKD,MYR,MYR,NZD,NZD,NOK,NOK,GBP,GBP,SGD,SGD,SEK,SEK,CHF,CHF,JPY,JPY,MMK,MMK,INR,INR,KWD,KWD,PKR,PKR,PHP,PHP,SAR,SAR,LKR,LKR,THB,THB,BND,BND,EUR,EUR,CNY,CNY,KRW,KRW,CNH,CNH,LAK,LAK,PGK,PGK,VND,VND,ID2,ID2,ALL,ALL,AFN,AFN,ARS,ARS,AWG,AWG,AZN,AZN,BSD,BSD,BBD,BBD,BYR,BYR,BZD,BZD,BMD,BMD,BOB,BOB,BAM,BAM,BWP,BWP,BGN,BGN,BRL,BRL,KHR,KHR,KYD,KYD,CLP,CLP,COP,COP,CRC,CRC,HRK,HRK,CUP,CUP,CZK,CZK,DOP,DOP,XCD,XCD,EGP,EGP,SVC,SVC,EEK,EEK,FKP,FKP,FJD,FJD,GHC,GHC,GIP,GIP,GTQ,GTQ,GGP,GGP,GYD,GYD,HNL,HNL,HUF,HUF,ISK,ISK,IRR,IRR,IMP,IMP,ILS,ILS,JMD,JMD,JEP,JEP,KZT,KZT,KPW,KPW,KGS,KGS,LVL,LVL,LBP,LBP,LRD,LRD,LTL,LTL,MKD,MKD,MUR,MUR,MXN,MXN,MNT,MNT,MZN,MZN,NAD,NAD,NPR,NPR,ANG,ANG,NIO,NIO,NGN,NGN,KPW,KPW,OMR,OMR,PAB,PAB,PYG,PYG,PEN,PEN,PLN,PLN,QAR,QAR,RON,RON,RUB,RUB,SHP,SHP,RSD,RSD,SCR,SCR,SBD,SBD,SOS,SOS,ZAR,ZAR,KRW,KRW,SRD,SRD,SYP,SYP,TWD,TWD,TTD,TTD,TRY,TRY,TRL,TRL,TVD,TVD,UAH,UAH,UYU,UYU,UZS,UZS,VEF,VEF,YER,YER,ZWD,ZWD}')::varchar[]) AS "ISOCode",</t>
  </si>
  <si>
    <t>UNNEST(('{Rp,Rp,$,$,$,$,$,$,kr,kr,$,$,RM,RM,$,$,kr,kr,£,£,$,$,kr,kr,₣,₣,¥,¥,K,K,NULL,NULL,NULL,NULL,₨,₨,₱,₱,﷼,﷼,රු,රු,฿,฿,$,$,€,€,¥,¥,₩,₩,¥,¥,₭,₭,K,K,₫,₫,Rp,Rp,Lek,Lek,؋,؋,$,$,ƒ,ƒ,ман,ман,$,$,$,$,p.,p.,BZ$,BZ$,$,$,$b,$b,KM,KM,P,P,лв,лв,R$,R$,៛,៛,$,$,$,$,$,$,₡,₡,kn,kn,₱,₱,Kč,Kč,RD$,RD$,$,$,£,£,$,$,kr,kr,£,£,$,$,¢,¢,£,£,Q,Q,£,£,$,$,L,L,Ft,Ft,kr,kr,﷼,﷼,£,£,₪,₪,J$,J$,£,£,лв,лв,₩,₩,лв,лв,Ls,Ls,£,£,$,$,Lt,Lt,ден,ден,₨,₨,$,$,₮,₮,MT,MT,$,$,₨,₨,ƒ,ƒ,C$,C$,₦,₦,₩,₩,﷼,﷼,B/.,B/.,Gs,Gs,S/.,S/.,zł,zł,﷼,﷼,lei,lei,руб,руб,£,£,Дин.,Дин.,₨,₨,$,$,S,S,R,R,₩,₩,$,$,£,£,NT$,NT$,TT$,TT$,TL,TL,₤,₤,$,$,₴,₴,$U,$U,лв,лв,Bs,Bs,﷼,﷼,Z$,Z$}')::varchar[]) AS "Symbol"</t>
  </si>
  <si>
    <t>) AS "SubSQLBaseCurrency"</t>
  </si>
  <si>
    <t>SubSQL."Sys_BaseCurrency_RefID" = "SubSQLBaseCurrency"."Sys_ID"</t>
  </si>
  <si>
    <t>Jl. Puri Mediteran I PB 3D No. 28 Puri Bintaro Sektor 9 Kawasan Bintaro Jaya</t>
  </si>
  <si>
    <t xml:space="preserve">Kel. Mustikajaya Kota Bekasi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</si>
</sst>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21]dd\ mmmm\ yyyy;@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sz val="10"/>
      <color indexed="8"/>
      <name val="MS Sans Serif"/>
      <family val="2"/>
    </font>
    <font>
      <b/>
      <sz val="10"/>
      <color indexed="8"/>
      <name val="Tahoma"/>
      <family val="2"/>
    </font>
    <font>
      <sz val="10"/>
      <color indexed="8"/>
      <name val="Tahoma"/>
      <family val="2"/>
    </font>
    <font>
      <sz val="10"/>
      <color theme="1"/>
      <name val="Tahoma"/>
      <family val="2"/>
    </font>
    <font>
      <i/>
      <sz val="10"/>
      <color rgb="FF0070C0"/>
      <name val="Arial Narrow"/>
      <family val="2"/>
    </font>
  </fonts>
  <fills count="7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56">
    <xf numFmtId="0" fontId="0" fillId="0" borderId="0" xfId="0"/>
    <xf numFmtId="0" fontId="4" fillId="5" borderId="0" xfId="1" applyFont="1" applyFill="1" applyAlignment="1">
      <alignment horizontal="center" vertical="center"/>
    </xf>
    <xf numFmtId="0" fontId="5" fillId="6" borderId="4" xfId="1" applyFont="1" applyFill="1" applyBorder="1" applyAlignment="1">
      <alignment horizontal="left" vertical="center"/>
    </xf>
    <xf numFmtId="0" fontId="5" fillId="0" borderId="4" xfId="1" applyFont="1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5" fillId="0" borderId="3" xfId="1" applyFont="1" applyBorder="1" applyAlignment="1">
      <alignment horizontal="left" vertical="center"/>
    </xf>
    <xf numFmtId="0" fontId="5" fillId="0" borderId="0" xfId="1" applyFont="1" applyAlignment="1">
      <alignment vertical="center"/>
    </xf>
    <xf numFmtId="0" fontId="6" fillId="0" borderId="4" xfId="1" applyFont="1" applyBorder="1" applyAlignment="1">
      <alignment horizontal="left" vertical="center"/>
    </xf>
    <xf numFmtId="0" fontId="5" fillId="0" borderId="5" xfId="1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2" fillId="2" borderId="6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164" fontId="2" fillId="2" borderId="7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vertical="top"/>
    </xf>
    <xf numFmtId="49" fontId="1" fillId="0" borderId="0" xfId="0" applyNumberFormat="1" applyFont="1" applyAlignment="1">
      <alignment horizontal="left" vertical="top"/>
    </xf>
    <xf numFmtId="164" fontId="1" fillId="0" borderId="0" xfId="0" applyNumberFormat="1" applyFont="1" applyAlignment="1">
      <alignment horizontal="center" vertical="top"/>
    </xf>
    <xf numFmtId="49" fontId="1" fillId="0" borderId="0" xfId="0" applyNumberFormat="1" applyFont="1" applyAlignment="1">
      <alignment horizontal="center" vertical="top"/>
    </xf>
    <xf numFmtId="0" fontId="1" fillId="0" borderId="0" xfId="0" applyFont="1" applyAlignment="1">
      <alignment vertical="top" wrapText="1"/>
    </xf>
    <xf numFmtId="0" fontId="1" fillId="3" borderId="8" xfId="0" applyFont="1" applyFill="1" applyBorder="1" applyAlignment="1">
      <alignment vertical="top"/>
    </xf>
    <xf numFmtId="0" fontId="1" fillId="3" borderId="9" xfId="0" applyFont="1" applyFill="1" applyBorder="1" applyAlignment="1">
      <alignment vertical="top"/>
    </xf>
    <xf numFmtId="49" fontId="1" fillId="3" borderId="9" xfId="0" applyNumberFormat="1" applyFont="1" applyFill="1" applyBorder="1" applyAlignment="1">
      <alignment horizontal="center" vertical="top"/>
    </xf>
    <xf numFmtId="49" fontId="1" fillId="3" borderId="9" xfId="0" applyNumberFormat="1" applyFont="1" applyFill="1" applyBorder="1" applyAlignment="1">
      <alignment horizontal="left" vertical="top"/>
    </xf>
    <xf numFmtId="164" fontId="1" fillId="3" borderId="9" xfId="0" applyNumberFormat="1" applyFont="1" applyFill="1" applyBorder="1" applyAlignment="1">
      <alignment horizontal="center" vertical="top"/>
    </xf>
    <xf numFmtId="164" fontId="2" fillId="3" borderId="9" xfId="0" applyNumberFormat="1" applyFont="1" applyFill="1" applyBorder="1" applyAlignment="1">
      <alignment horizontal="center" vertical="top"/>
    </xf>
    <xf numFmtId="49" fontId="2" fillId="3" borderId="9" xfId="0" applyNumberFormat="1" applyFont="1" applyFill="1" applyBorder="1" applyAlignment="1">
      <alignment horizontal="center" vertical="top"/>
    </xf>
    <xf numFmtId="164" fontId="2" fillId="3" borderId="10" xfId="0" applyNumberFormat="1" applyFont="1" applyFill="1" applyBorder="1" applyAlignment="1">
      <alignment horizontal="center" vertical="top" wrapText="1"/>
    </xf>
    <xf numFmtId="1" fontId="1" fillId="4" borderId="2" xfId="0" applyNumberFormat="1" applyFont="1" applyFill="1" applyBorder="1" applyAlignment="1">
      <alignment vertical="top"/>
    </xf>
    <xf numFmtId="0" fontId="1" fillId="4" borderId="2" xfId="0" applyFont="1" applyFill="1" applyBorder="1" applyAlignment="1">
      <alignment vertical="top"/>
    </xf>
    <xf numFmtId="49" fontId="1" fillId="0" borderId="2" xfId="0" applyNumberFormat="1" applyFont="1" applyBorder="1" applyAlignment="1">
      <alignment horizontal="left" vertical="top"/>
    </xf>
    <xf numFmtId="164" fontId="1" fillId="0" borderId="2" xfId="0" applyNumberFormat="1" applyFont="1" applyBorder="1" applyAlignment="1">
      <alignment horizontal="center" vertical="top"/>
    </xf>
    <xf numFmtId="1" fontId="1" fillId="0" borderId="3" xfId="0" applyNumberFormat="1" applyFont="1" applyBorder="1" applyAlignment="1">
      <alignment vertical="top"/>
    </xf>
    <xf numFmtId="0" fontId="1" fillId="0" borderId="3" xfId="0" applyFont="1" applyBorder="1" applyAlignment="1">
      <alignment vertical="top"/>
    </xf>
    <xf numFmtId="49" fontId="1" fillId="0" borderId="3" xfId="0" applyNumberFormat="1" applyFont="1" applyBorder="1" applyAlignment="1">
      <alignment horizontal="left" vertical="top"/>
    </xf>
    <xf numFmtId="164" fontId="1" fillId="0" borderId="3" xfId="0" applyNumberFormat="1" applyFont="1" applyBorder="1" applyAlignment="1">
      <alignment horizontal="center" vertical="top"/>
    </xf>
    <xf numFmtId="1" fontId="1" fillId="0" borderId="0" xfId="0" applyNumberFormat="1" applyFont="1" applyAlignment="1">
      <alignment vertical="top"/>
    </xf>
    <xf numFmtId="0" fontId="1" fillId="0" borderId="0" xfId="0" applyFont="1" applyAlignment="1">
      <alignment horizontal="center" vertical="center"/>
    </xf>
    <xf numFmtId="164" fontId="2" fillId="2" borderId="11" xfId="0" applyNumberFormat="1" applyFont="1" applyFill="1" applyBorder="1" applyAlignment="1">
      <alignment horizontal="center" vertical="center" wrapText="1"/>
    </xf>
    <xf numFmtId="164" fontId="2" fillId="3" borderId="12" xfId="0" applyNumberFormat="1" applyFont="1" applyFill="1" applyBorder="1" applyAlignment="1">
      <alignment horizontal="center" vertical="top" wrapText="1"/>
    </xf>
    <xf numFmtId="49" fontId="1" fillId="0" borderId="2" xfId="0" applyNumberFormat="1" applyFont="1" applyBorder="1" applyAlignment="1">
      <alignment horizontal="center" vertical="top"/>
    </xf>
    <xf numFmtId="49" fontId="1" fillId="0" borderId="3" xfId="0" applyNumberFormat="1" applyFont="1" applyBorder="1" applyAlignment="1">
      <alignment horizontal="center" vertical="top"/>
    </xf>
    <xf numFmtId="1" fontId="1" fillId="0" borderId="0" xfId="0" applyNumberFormat="1" applyFont="1" applyAlignment="1">
      <alignment horizontal="center" vertical="top"/>
    </xf>
    <xf numFmtId="1" fontId="2" fillId="2" borderId="1" xfId="0" applyNumberFormat="1" applyFont="1" applyFill="1" applyBorder="1" applyAlignment="1">
      <alignment horizontal="center" vertical="center" wrapText="1"/>
    </xf>
    <xf numFmtId="1" fontId="1" fillId="3" borderId="9" xfId="0" applyNumberFormat="1" applyFont="1" applyFill="1" applyBorder="1" applyAlignment="1">
      <alignment horizontal="center" vertical="top"/>
    </xf>
    <xf numFmtId="1" fontId="1" fillId="0" borderId="2" xfId="0" applyNumberFormat="1" applyFont="1" applyBorder="1" applyAlignment="1">
      <alignment horizontal="center" vertical="top"/>
    </xf>
    <xf numFmtId="1" fontId="1" fillId="0" borderId="3" xfId="0" applyNumberFormat="1" applyFont="1" applyBorder="1" applyAlignment="1">
      <alignment horizontal="center" vertical="top"/>
    </xf>
    <xf numFmtId="1" fontId="1" fillId="0" borderId="0" xfId="0" applyNumberFormat="1" applyFont="1" applyAlignment="1">
      <alignment vertical="top" wrapText="1"/>
    </xf>
    <xf numFmtId="1" fontId="2" fillId="2" borderId="11" xfId="0" applyNumberFormat="1" applyFont="1" applyFill="1" applyBorder="1" applyAlignment="1">
      <alignment horizontal="center" vertical="center" wrapText="1"/>
    </xf>
    <xf numFmtId="1" fontId="2" fillId="3" borderId="12" xfId="0" applyNumberFormat="1" applyFont="1" applyFill="1" applyBorder="1" applyAlignment="1">
      <alignment horizontal="center" vertical="top" wrapText="1"/>
    </xf>
    <xf numFmtId="0" fontId="1" fillId="0" borderId="2" xfId="0" applyFont="1" applyBorder="1" applyAlignment="1">
      <alignment vertical="top"/>
    </xf>
    <xf numFmtId="0" fontId="1" fillId="0" borderId="2" xfId="0" applyFont="1" applyBorder="1" applyAlignment="1">
      <alignment vertical="top" wrapText="1"/>
    </xf>
    <xf numFmtId="1" fontId="1" fillId="0" borderId="2" xfId="0" applyNumberFormat="1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1" fontId="1" fillId="0" borderId="3" xfId="0" applyNumberFormat="1" applyFont="1" applyBorder="1" applyAlignment="1">
      <alignment vertical="top" wrapText="1"/>
    </xf>
    <xf numFmtId="0" fontId="7" fillId="0" borderId="0" xfId="0" applyFont="1" applyAlignment="1">
      <alignment vertical="top"/>
    </xf>
  </cellXfs>
  <cellStyles count="2">
    <cellStyle name="Normal" xfId="0" builtinId="0"/>
    <cellStyle name="Normal 2 3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aster.TblPers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ource"/>
      <sheetName val="MAIN"/>
      <sheetName val="DataLookUp"/>
      <sheetName val="Pindahan dari DB ERP Live"/>
      <sheetName val="Sheet1"/>
    </sheetNames>
    <sheetDataSet>
      <sheetData sheetId="0"/>
      <sheetData sheetId="1"/>
      <sheetData sheetId="2">
        <row r="4">
          <cell r="B4">
            <v>25000000000001</v>
          </cell>
          <cell r="C4" t="str">
            <v>Abdollah Syani Siregar</v>
          </cell>
          <cell r="D4" t="str">
            <v/>
          </cell>
        </row>
        <row r="5">
          <cell r="B5">
            <v>25000000000002</v>
          </cell>
          <cell r="C5" t="str">
            <v>Abdul Karim</v>
          </cell>
          <cell r="D5" t="str">
            <v/>
          </cell>
        </row>
        <row r="6">
          <cell r="B6">
            <v>25000000000003</v>
          </cell>
          <cell r="C6" t="str">
            <v>Abdul Rahman Sitompul</v>
          </cell>
          <cell r="D6" t="str">
            <v/>
          </cell>
        </row>
        <row r="7">
          <cell r="B7">
            <v>25000000000004</v>
          </cell>
          <cell r="C7" t="str">
            <v>Abdul Risan</v>
          </cell>
          <cell r="D7" t="str">
            <v/>
          </cell>
        </row>
        <row r="8">
          <cell r="B8">
            <v>25000000000005</v>
          </cell>
          <cell r="C8" t="str">
            <v>Abdullah Nabil</v>
          </cell>
          <cell r="D8" t="str">
            <v/>
          </cell>
        </row>
        <row r="9">
          <cell r="B9">
            <v>25000000000006</v>
          </cell>
          <cell r="C9" t="str">
            <v>Adhitya Danar</v>
          </cell>
          <cell r="D9" t="str">
            <v/>
          </cell>
        </row>
        <row r="10">
          <cell r="B10">
            <v>25000000000007</v>
          </cell>
          <cell r="C10" t="str">
            <v>Adi Ruswandi</v>
          </cell>
          <cell r="D10" t="str">
            <v>3171060503000001</v>
          </cell>
        </row>
        <row r="11">
          <cell r="B11">
            <v>25000000000008</v>
          </cell>
          <cell r="C11" t="str">
            <v>Adietya Dharmawan</v>
          </cell>
          <cell r="D11" t="str">
            <v/>
          </cell>
        </row>
        <row r="12">
          <cell r="B12">
            <v>25000000000009</v>
          </cell>
          <cell r="C12" t="str">
            <v>Aditya Yudha Prawira</v>
          </cell>
          <cell r="D12" t="str">
            <v/>
          </cell>
        </row>
        <row r="13">
          <cell r="B13">
            <v>25000000000010</v>
          </cell>
          <cell r="C13" t="str">
            <v>Adli Margie</v>
          </cell>
          <cell r="D13" t="str">
            <v/>
          </cell>
        </row>
        <row r="14">
          <cell r="B14">
            <v>25000000000011</v>
          </cell>
          <cell r="C14" t="str">
            <v>Afrida Eka Putri</v>
          </cell>
          <cell r="D14" t="str">
            <v/>
          </cell>
        </row>
        <row r="15">
          <cell r="B15">
            <v>25000000000012</v>
          </cell>
          <cell r="C15" t="str">
            <v>Agnes Sutedja</v>
          </cell>
          <cell r="D15" t="str">
            <v>3173054608700001</v>
          </cell>
        </row>
        <row r="16">
          <cell r="B16">
            <v>25000000000013</v>
          </cell>
          <cell r="C16" t="str">
            <v>Agung Hendarto</v>
          </cell>
          <cell r="D16" t="str">
            <v/>
          </cell>
        </row>
        <row r="17">
          <cell r="B17">
            <v>25000000000014</v>
          </cell>
          <cell r="C17" t="str">
            <v>Agus Priyatno Mahmudo</v>
          </cell>
          <cell r="D17" t="str">
            <v/>
          </cell>
        </row>
        <row r="18">
          <cell r="B18">
            <v>25000000000015</v>
          </cell>
          <cell r="C18" t="str">
            <v>Agus Salim</v>
          </cell>
          <cell r="D18" t="str">
            <v/>
          </cell>
        </row>
        <row r="19">
          <cell r="B19">
            <v>25000000000016</v>
          </cell>
          <cell r="C19" t="str">
            <v>Agus Tanto</v>
          </cell>
          <cell r="D19" t="str">
            <v/>
          </cell>
        </row>
        <row r="20">
          <cell r="B20">
            <v>25000000000017</v>
          </cell>
          <cell r="C20" t="str">
            <v>Ahmad Faiz Haems Muda</v>
          </cell>
          <cell r="D20" t="str">
            <v>3171041801820004</v>
          </cell>
        </row>
        <row r="21">
          <cell r="B21">
            <v>25000000000018</v>
          </cell>
          <cell r="C21" t="str">
            <v>Ahmad Faza</v>
          </cell>
          <cell r="D21" t="str">
            <v/>
          </cell>
        </row>
        <row r="22">
          <cell r="B22">
            <v>25000000000019</v>
          </cell>
          <cell r="C22" t="str">
            <v>Ahmad Syaifulloh</v>
          </cell>
          <cell r="D22" t="str">
            <v/>
          </cell>
        </row>
        <row r="23">
          <cell r="B23">
            <v>25000000000020</v>
          </cell>
          <cell r="C23" t="str">
            <v>Ahmad Zulkarnaen</v>
          </cell>
          <cell r="D23" t="str">
            <v/>
          </cell>
        </row>
        <row r="24">
          <cell r="B24">
            <v>25000000000021</v>
          </cell>
          <cell r="C24" t="str">
            <v>Ajan</v>
          </cell>
          <cell r="D24" t="str">
            <v/>
          </cell>
        </row>
        <row r="25">
          <cell r="B25">
            <v>25000000000022</v>
          </cell>
          <cell r="C25" t="str">
            <v>Al Amin</v>
          </cell>
          <cell r="D25" t="str">
            <v/>
          </cell>
        </row>
        <row r="26">
          <cell r="B26">
            <v>25000000000023</v>
          </cell>
          <cell r="C26" t="str">
            <v>Aldi Mulyadi</v>
          </cell>
          <cell r="D26" t="str">
            <v/>
          </cell>
        </row>
        <row r="27">
          <cell r="B27">
            <v>25000000000024</v>
          </cell>
          <cell r="C27" t="str">
            <v>Alexandri</v>
          </cell>
          <cell r="D27" t="str">
            <v/>
          </cell>
        </row>
        <row r="28">
          <cell r="B28">
            <v>25000000000025</v>
          </cell>
          <cell r="C28" t="str">
            <v>Alfaedi</v>
          </cell>
          <cell r="D28" t="str">
            <v/>
          </cell>
        </row>
        <row r="29">
          <cell r="B29">
            <v>25000000000026</v>
          </cell>
          <cell r="C29" t="str">
            <v>Ali Wahono</v>
          </cell>
          <cell r="D29" t="str">
            <v/>
          </cell>
        </row>
        <row r="30">
          <cell r="B30">
            <v>25000000000027</v>
          </cell>
          <cell r="C30" t="str">
            <v>Alphaliyanri Lasria</v>
          </cell>
          <cell r="D30" t="str">
            <v/>
          </cell>
        </row>
        <row r="31">
          <cell r="B31">
            <v>25000000000028</v>
          </cell>
          <cell r="C31" t="str">
            <v>Ambon Rumalean</v>
          </cell>
          <cell r="D31" t="str">
            <v/>
          </cell>
        </row>
        <row r="32">
          <cell r="B32">
            <v>25000000000029</v>
          </cell>
          <cell r="C32" t="str">
            <v>Amir Sofyan Hadi</v>
          </cell>
          <cell r="D32" t="str">
            <v/>
          </cell>
        </row>
        <row r="33">
          <cell r="B33">
            <v>25000000000030</v>
          </cell>
          <cell r="C33" t="str">
            <v>Anak Agung Netti Ariani</v>
          </cell>
          <cell r="D33" t="str">
            <v/>
          </cell>
        </row>
        <row r="34">
          <cell r="B34">
            <v>25000000000031</v>
          </cell>
          <cell r="C34" t="str">
            <v>Andri Gunawan</v>
          </cell>
          <cell r="D34" t="str">
            <v/>
          </cell>
        </row>
        <row r="35">
          <cell r="B35">
            <v>25000000000032</v>
          </cell>
          <cell r="C35" t="str">
            <v>Andri Herdiansyah</v>
          </cell>
          <cell r="D35" t="str">
            <v/>
          </cell>
        </row>
        <row r="36">
          <cell r="B36">
            <v>25000000000033</v>
          </cell>
          <cell r="C36" t="str">
            <v>Andrie</v>
          </cell>
          <cell r="D36" t="str">
            <v/>
          </cell>
        </row>
        <row r="37">
          <cell r="B37">
            <v>25000000000034</v>
          </cell>
          <cell r="C37" t="str">
            <v>Anggina Tri Yudandi</v>
          </cell>
          <cell r="D37" t="str">
            <v/>
          </cell>
        </row>
        <row r="38">
          <cell r="B38">
            <v>25000000000035</v>
          </cell>
          <cell r="C38" t="str">
            <v>Anggit Ismiyanto</v>
          </cell>
          <cell r="D38" t="str">
            <v/>
          </cell>
        </row>
        <row r="39">
          <cell r="B39">
            <v>25000000000036</v>
          </cell>
          <cell r="C39" t="str">
            <v>Anika Setyowati</v>
          </cell>
          <cell r="D39" t="str">
            <v/>
          </cell>
        </row>
        <row r="40">
          <cell r="B40">
            <v>25000000000037</v>
          </cell>
          <cell r="C40" t="str">
            <v>Anisah</v>
          </cell>
          <cell r="D40" t="str">
            <v/>
          </cell>
        </row>
        <row r="41">
          <cell r="B41">
            <v>25000000000038</v>
          </cell>
          <cell r="C41" t="str">
            <v>Anna Savitrie</v>
          </cell>
          <cell r="D41" t="str">
            <v/>
          </cell>
        </row>
        <row r="42">
          <cell r="B42">
            <v>25000000000039</v>
          </cell>
          <cell r="C42" t="str">
            <v>Annisa Dewi Arumsari</v>
          </cell>
          <cell r="D42" t="str">
            <v/>
          </cell>
        </row>
        <row r="43">
          <cell r="B43">
            <v>25000000000040</v>
          </cell>
          <cell r="C43" t="str">
            <v>Annyes Sri Maristi</v>
          </cell>
          <cell r="D43" t="str">
            <v/>
          </cell>
        </row>
        <row r="44">
          <cell r="B44">
            <v>25000000000041</v>
          </cell>
          <cell r="C44" t="str">
            <v>Antok</v>
          </cell>
          <cell r="D44" t="str">
            <v/>
          </cell>
        </row>
        <row r="45">
          <cell r="B45">
            <v>25000000000042</v>
          </cell>
          <cell r="C45" t="str">
            <v>Anton Iryanto</v>
          </cell>
          <cell r="D45" t="str">
            <v/>
          </cell>
        </row>
        <row r="46">
          <cell r="B46">
            <v>25000000000043</v>
          </cell>
          <cell r="C46" t="str">
            <v>Antony Pakpahan</v>
          </cell>
          <cell r="D46" t="str">
            <v/>
          </cell>
        </row>
        <row r="47">
          <cell r="B47">
            <v>25000000000044</v>
          </cell>
          <cell r="C47" t="str">
            <v>Anugerah Januariansyah</v>
          </cell>
          <cell r="D47" t="str">
            <v/>
          </cell>
        </row>
        <row r="48">
          <cell r="B48">
            <v>25000000000045</v>
          </cell>
          <cell r="C48" t="str">
            <v>Anwar Purnomo</v>
          </cell>
          <cell r="D48" t="str">
            <v/>
          </cell>
        </row>
        <row r="49">
          <cell r="B49">
            <v>25000000000046</v>
          </cell>
          <cell r="C49" t="str">
            <v>Ardhi Swasono</v>
          </cell>
          <cell r="D49" t="str">
            <v/>
          </cell>
        </row>
        <row r="50">
          <cell r="B50">
            <v>25000000000047</v>
          </cell>
          <cell r="C50" t="str">
            <v>Ardi</v>
          </cell>
          <cell r="D50" t="str">
            <v/>
          </cell>
        </row>
        <row r="51">
          <cell r="B51">
            <v>25000000000048</v>
          </cell>
          <cell r="C51" t="str">
            <v>Ardiansyah</v>
          </cell>
          <cell r="D51" t="str">
            <v/>
          </cell>
        </row>
        <row r="52">
          <cell r="B52">
            <v>25000000000049</v>
          </cell>
          <cell r="C52" t="str">
            <v>Ardisam</v>
          </cell>
          <cell r="D52" t="str">
            <v/>
          </cell>
        </row>
        <row r="53">
          <cell r="B53">
            <v>25000000000050</v>
          </cell>
          <cell r="C53" t="str">
            <v>Ardita</v>
          </cell>
          <cell r="D53" t="str">
            <v/>
          </cell>
        </row>
        <row r="54">
          <cell r="B54">
            <v>25000000000051</v>
          </cell>
          <cell r="C54" t="str">
            <v>Ares S. Mauboi</v>
          </cell>
          <cell r="D54" t="str">
            <v>3175081108800013</v>
          </cell>
        </row>
        <row r="55">
          <cell r="B55">
            <v>25000000000052</v>
          </cell>
          <cell r="C55" t="str">
            <v>Arfah Hanum</v>
          </cell>
          <cell r="D55" t="str">
            <v/>
          </cell>
        </row>
        <row r="56">
          <cell r="B56">
            <v>25000000000053</v>
          </cell>
          <cell r="C56" t="str">
            <v>Arfianti Haryani</v>
          </cell>
          <cell r="D56" t="str">
            <v/>
          </cell>
        </row>
        <row r="57">
          <cell r="B57">
            <v>25000000000054</v>
          </cell>
          <cell r="C57" t="str">
            <v>Ari Priwarsono</v>
          </cell>
          <cell r="D57" t="str">
            <v/>
          </cell>
        </row>
        <row r="58">
          <cell r="B58">
            <v>25000000000055</v>
          </cell>
          <cell r="C58" t="str">
            <v>Ari Yuniasmono</v>
          </cell>
          <cell r="D58" t="str">
            <v/>
          </cell>
        </row>
        <row r="59">
          <cell r="B59">
            <v>25000000000056</v>
          </cell>
          <cell r="C59" t="str">
            <v>Arif Gunawan</v>
          </cell>
          <cell r="D59" t="str">
            <v/>
          </cell>
        </row>
        <row r="60">
          <cell r="B60">
            <v>25000000000057</v>
          </cell>
          <cell r="C60" t="str">
            <v>Arif Prasetyo</v>
          </cell>
          <cell r="D60" t="str">
            <v/>
          </cell>
        </row>
        <row r="61">
          <cell r="B61">
            <v>25000000000058</v>
          </cell>
          <cell r="C61" t="str">
            <v>Arini</v>
          </cell>
          <cell r="D61" t="str">
            <v/>
          </cell>
        </row>
        <row r="62">
          <cell r="B62">
            <v>25000000000059</v>
          </cell>
          <cell r="C62" t="str">
            <v>Ario Setyo Gunawan</v>
          </cell>
          <cell r="D62" t="str">
            <v/>
          </cell>
        </row>
        <row r="63">
          <cell r="B63">
            <v>25000000000060</v>
          </cell>
          <cell r="C63" t="str">
            <v>Ario Yulianto Wibowo</v>
          </cell>
          <cell r="D63" t="str">
            <v/>
          </cell>
        </row>
        <row r="64">
          <cell r="B64">
            <v>25000000000061</v>
          </cell>
          <cell r="C64" t="str">
            <v>Aris Widodo Pamungkas</v>
          </cell>
          <cell r="D64" t="str">
            <v/>
          </cell>
        </row>
        <row r="65">
          <cell r="B65">
            <v>25000000000062</v>
          </cell>
          <cell r="C65" t="str">
            <v>Arjiyanto</v>
          </cell>
          <cell r="D65" t="str">
            <v/>
          </cell>
        </row>
        <row r="66">
          <cell r="B66">
            <v>25000000000063</v>
          </cell>
          <cell r="C66" t="str">
            <v>Arman</v>
          </cell>
          <cell r="D66" t="str">
            <v/>
          </cell>
        </row>
        <row r="67">
          <cell r="B67">
            <v>25000000000064</v>
          </cell>
          <cell r="C67" t="str">
            <v>Aryoko Sudiro</v>
          </cell>
          <cell r="D67" t="str">
            <v/>
          </cell>
        </row>
        <row r="68">
          <cell r="B68">
            <v>25000000000065</v>
          </cell>
          <cell r="C68" t="str">
            <v>Astamyugo</v>
          </cell>
          <cell r="D68" t="str">
            <v/>
          </cell>
        </row>
        <row r="69">
          <cell r="B69">
            <v>25000000000066</v>
          </cell>
          <cell r="C69" t="str">
            <v>Atmo Sastro Dinoto</v>
          </cell>
          <cell r="D69" t="str">
            <v/>
          </cell>
        </row>
        <row r="70">
          <cell r="B70">
            <v>25000000000067</v>
          </cell>
          <cell r="C70" t="str">
            <v>Awaludin</v>
          </cell>
          <cell r="D70" t="str">
            <v/>
          </cell>
        </row>
        <row r="71">
          <cell r="B71">
            <v>25000000000068</v>
          </cell>
          <cell r="C71" t="str">
            <v>Bachtiar</v>
          </cell>
          <cell r="D71" t="str">
            <v/>
          </cell>
        </row>
        <row r="72">
          <cell r="B72">
            <v>25000000000069</v>
          </cell>
          <cell r="C72" t="str">
            <v>Bambang Irawan</v>
          </cell>
          <cell r="D72" t="str">
            <v/>
          </cell>
        </row>
        <row r="73">
          <cell r="B73">
            <v>25000000000070</v>
          </cell>
          <cell r="C73" t="str">
            <v>Bambang Prihatin</v>
          </cell>
          <cell r="D73" t="str">
            <v/>
          </cell>
        </row>
        <row r="74">
          <cell r="B74">
            <v>25000000000071</v>
          </cell>
          <cell r="C74" t="str">
            <v>Bani Mustazeni</v>
          </cell>
          <cell r="D74" t="str">
            <v/>
          </cell>
        </row>
        <row r="75">
          <cell r="B75">
            <v>25000000000072</v>
          </cell>
          <cell r="C75" t="str">
            <v>Bardai</v>
          </cell>
          <cell r="D75" t="str">
            <v/>
          </cell>
        </row>
        <row r="76">
          <cell r="B76">
            <v>25000000000073</v>
          </cell>
          <cell r="C76" t="str">
            <v>Barika</v>
          </cell>
          <cell r="D76" t="str">
            <v/>
          </cell>
        </row>
        <row r="77">
          <cell r="B77">
            <v>25000000000074</v>
          </cell>
          <cell r="C77" t="str">
            <v>Bela Retmalantika</v>
          </cell>
          <cell r="D77" t="str">
            <v/>
          </cell>
        </row>
        <row r="78">
          <cell r="B78">
            <v>25000000000075</v>
          </cell>
          <cell r="C78" t="str">
            <v>Belina Lindarwani</v>
          </cell>
          <cell r="D78" t="str">
            <v>3276045103940005</v>
          </cell>
        </row>
        <row r="79">
          <cell r="B79">
            <v>25000000000076</v>
          </cell>
          <cell r="C79" t="str">
            <v>Benita Sofia</v>
          </cell>
          <cell r="D79" t="str">
            <v/>
          </cell>
        </row>
        <row r="80">
          <cell r="B80">
            <v>25000000000077</v>
          </cell>
          <cell r="C80" t="str">
            <v>Bherly Novrandy</v>
          </cell>
          <cell r="D80" t="str">
            <v/>
          </cell>
        </row>
        <row r="81">
          <cell r="B81">
            <v>25000000000078</v>
          </cell>
          <cell r="C81" t="str">
            <v>Binsar</v>
          </cell>
          <cell r="D81" t="str">
            <v/>
          </cell>
        </row>
        <row r="82">
          <cell r="B82">
            <v>25000000000079</v>
          </cell>
          <cell r="C82" t="str">
            <v>Bondhan Sosiarta</v>
          </cell>
          <cell r="D82" t="str">
            <v/>
          </cell>
        </row>
        <row r="83">
          <cell r="B83">
            <v>25000000000080</v>
          </cell>
          <cell r="C83" t="str">
            <v>Budi Pranata Sinaga</v>
          </cell>
          <cell r="D83" t="str">
            <v/>
          </cell>
        </row>
        <row r="84">
          <cell r="B84">
            <v>25000000000081</v>
          </cell>
          <cell r="C84" t="str">
            <v>Budi Satrio</v>
          </cell>
          <cell r="D84" t="str">
            <v/>
          </cell>
        </row>
        <row r="85">
          <cell r="B85">
            <v>25000000000082</v>
          </cell>
          <cell r="C85" t="str">
            <v>Budianto</v>
          </cell>
          <cell r="D85" t="str">
            <v>3174040705860015</v>
          </cell>
        </row>
        <row r="86">
          <cell r="B86">
            <v>25000000000083</v>
          </cell>
          <cell r="C86" t="str">
            <v>Budiman</v>
          </cell>
          <cell r="D86" t="str">
            <v/>
          </cell>
        </row>
        <row r="87">
          <cell r="B87">
            <v>25000000000084</v>
          </cell>
          <cell r="C87" t="str">
            <v>Cahyaning Annisa</v>
          </cell>
          <cell r="D87" t="str">
            <v/>
          </cell>
        </row>
        <row r="88">
          <cell r="B88">
            <v>25000000000085</v>
          </cell>
          <cell r="C88" t="str">
            <v>Cahyaningrum Widiastuti</v>
          </cell>
          <cell r="D88" t="str">
            <v/>
          </cell>
        </row>
        <row r="89">
          <cell r="B89">
            <v>25000000000086</v>
          </cell>
          <cell r="C89" t="str">
            <v>Cecep Maulana</v>
          </cell>
          <cell r="D89" t="str">
            <v/>
          </cell>
        </row>
        <row r="90">
          <cell r="B90">
            <v>25000000000087</v>
          </cell>
          <cell r="C90" t="str">
            <v>Chairul Musaddat</v>
          </cell>
          <cell r="D90" t="str">
            <v/>
          </cell>
        </row>
        <row r="91">
          <cell r="B91">
            <v>25000000000088</v>
          </cell>
          <cell r="C91" t="str">
            <v>Christianto</v>
          </cell>
          <cell r="D91" t="str">
            <v/>
          </cell>
        </row>
        <row r="92">
          <cell r="B92">
            <v>25000000000089</v>
          </cell>
          <cell r="C92" t="str">
            <v>Dadan Hermawan</v>
          </cell>
          <cell r="D92" t="str">
            <v/>
          </cell>
        </row>
        <row r="93">
          <cell r="B93">
            <v>25000000000090</v>
          </cell>
          <cell r="C93" t="str">
            <v>Dadan Suhendar</v>
          </cell>
          <cell r="D93" t="str">
            <v/>
          </cell>
        </row>
        <row r="94">
          <cell r="B94">
            <v>25000000000091</v>
          </cell>
          <cell r="C94" t="str">
            <v>Dadi Anda Zuchradi</v>
          </cell>
          <cell r="D94" t="str">
            <v/>
          </cell>
        </row>
        <row r="95">
          <cell r="B95">
            <v>25000000000092</v>
          </cell>
          <cell r="C95" t="str">
            <v>Darsito</v>
          </cell>
          <cell r="D95" t="str">
            <v>3313141612730001</v>
          </cell>
        </row>
        <row r="96">
          <cell r="B96">
            <v>25000000000093</v>
          </cell>
          <cell r="C96" t="str">
            <v>Davit Lumban Gaol</v>
          </cell>
          <cell r="D96" t="str">
            <v>1408102502900001</v>
          </cell>
        </row>
        <row r="97">
          <cell r="B97">
            <v>25000000000094</v>
          </cell>
          <cell r="C97" t="str">
            <v>Deddy Rochman</v>
          </cell>
          <cell r="D97" t="str">
            <v/>
          </cell>
        </row>
        <row r="98">
          <cell r="B98">
            <v>25000000000095</v>
          </cell>
          <cell r="C98" t="str">
            <v>Dedi Kusnadi</v>
          </cell>
          <cell r="D98" t="str">
            <v/>
          </cell>
        </row>
        <row r="99">
          <cell r="B99">
            <v>25000000000096</v>
          </cell>
          <cell r="C99" t="str">
            <v>Dedi Marciano Rizanur</v>
          </cell>
          <cell r="D99" t="str">
            <v/>
          </cell>
        </row>
        <row r="100">
          <cell r="B100">
            <v>25000000000097</v>
          </cell>
          <cell r="C100" t="str">
            <v>Dedi Rianto</v>
          </cell>
          <cell r="D100" t="str">
            <v/>
          </cell>
        </row>
        <row r="101">
          <cell r="B101">
            <v>25000000000098</v>
          </cell>
          <cell r="C101" t="str">
            <v>Dedi Syahputra</v>
          </cell>
          <cell r="D101" t="str">
            <v/>
          </cell>
        </row>
        <row r="102">
          <cell r="B102">
            <v>25000000000099</v>
          </cell>
          <cell r="C102" t="str">
            <v>Deni Setiawan</v>
          </cell>
          <cell r="D102" t="str">
            <v/>
          </cell>
        </row>
        <row r="103">
          <cell r="B103">
            <v>25000000000100</v>
          </cell>
          <cell r="C103" t="str">
            <v>Deny Adi Purnama</v>
          </cell>
          <cell r="D103" t="str">
            <v/>
          </cell>
        </row>
        <row r="104">
          <cell r="B104">
            <v>25000000000101</v>
          </cell>
          <cell r="C104" t="str">
            <v>Desi Herawati</v>
          </cell>
          <cell r="D104" t="str">
            <v/>
          </cell>
        </row>
        <row r="105">
          <cell r="B105">
            <v>25000000000102</v>
          </cell>
          <cell r="C105" t="str">
            <v>Desi Setiowati</v>
          </cell>
          <cell r="D105" t="str">
            <v/>
          </cell>
        </row>
        <row r="106">
          <cell r="B106">
            <v>25000000000103</v>
          </cell>
          <cell r="C106" t="str">
            <v>Dian Firdaus</v>
          </cell>
          <cell r="D106" t="str">
            <v/>
          </cell>
        </row>
        <row r="107">
          <cell r="B107">
            <v>25000000000104</v>
          </cell>
          <cell r="C107" t="str">
            <v>Dian Hariyana</v>
          </cell>
          <cell r="D107" t="str">
            <v/>
          </cell>
        </row>
        <row r="108">
          <cell r="B108">
            <v>25000000000105</v>
          </cell>
          <cell r="C108" t="str">
            <v>Dinnar Budiarti</v>
          </cell>
          <cell r="D108" t="str">
            <v/>
          </cell>
        </row>
        <row r="109">
          <cell r="B109">
            <v>25000000000106</v>
          </cell>
          <cell r="C109" t="str">
            <v>Dionesius Sostenist Duka</v>
          </cell>
          <cell r="D109" t="str">
            <v>3175102908760008</v>
          </cell>
        </row>
        <row r="110">
          <cell r="B110">
            <v>25000000000107</v>
          </cell>
          <cell r="C110" t="str">
            <v>Diyah Martina</v>
          </cell>
          <cell r="D110" t="str">
            <v/>
          </cell>
        </row>
        <row r="111">
          <cell r="B111">
            <v>25000000000108</v>
          </cell>
          <cell r="C111" t="str">
            <v>Djuang Tampubolon</v>
          </cell>
          <cell r="D111" t="str">
            <v/>
          </cell>
        </row>
        <row r="112">
          <cell r="B112">
            <v>25000000000109</v>
          </cell>
          <cell r="C112" t="str">
            <v>Dodit Widiarto</v>
          </cell>
          <cell r="D112" t="str">
            <v/>
          </cell>
        </row>
        <row r="113">
          <cell r="B113">
            <v>25000000000110</v>
          </cell>
          <cell r="C113" t="str">
            <v>Dony Darmawan</v>
          </cell>
          <cell r="D113" t="str">
            <v/>
          </cell>
        </row>
        <row r="114">
          <cell r="B114">
            <v>25000000000111</v>
          </cell>
          <cell r="C114" t="str">
            <v>Dony Setiawan</v>
          </cell>
          <cell r="D114" t="str">
            <v/>
          </cell>
        </row>
        <row r="115">
          <cell r="B115">
            <v>25000000000112</v>
          </cell>
          <cell r="C115" t="str">
            <v>Dudi Rustandi</v>
          </cell>
          <cell r="D115" t="str">
            <v/>
          </cell>
        </row>
        <row r="116">
          <cell r="B116">
            <v>25000000000113</v>
          </cell>
          <cell r="C116" t="str">
            <v>Dudung</v>
          </cell>
          <cell r="D116" t="str">
            <v/>
          </cell>
        </row>
        <row r="117">
          <cell r="B117">
            <v>25000000000114</v>
          </cell>
          <cell r="C117" t="str">
            <v>Dwi Joko</v>
          </cell>
          <cell r="D117" t="str">
            <v/>
          </cell>
        </row>
        <row r="118">
          <cell r="B118">
            <v>25000000000115</v>
          </cell>
          <cell r="C118" t="str">
            <v>Dwinanto Prabowo</v>
          </cell>
          <cell r="D118" t="str">
            <v/>
          </cell>
        </row>
        <row r="119">
          <cell r="B119">
            <v>25000000000116</v>
          </cell>
          <cell r="C119" t="str">
            <v>Edi Waluyo</v>
          </cell>
          <cell r="D119" t="str">
            <v>3173012409690006</v>
          </cell>
        </row>
        <row r="120">
          <cell r="B120">
            <v>25000000000117</v>
          </cell>
          <cell r="C120" t="str">
            <v>Edi Siswanto</v>
          </cell>
          <cell r="D120" t="str">
            <v/>
          </cell>
        </row>
        <row r="121">
          <cell r="B121">
            <v>25000000000118</v>
          </cell>
          <cell r="C121" t="str">
            <v>Edi Turnip</v>
          </cell>
          <cell r="D121" t="str">
            <v/>
          </cell>
        </row>
        <row r="122">
          <cell r="B122">
            <v>25000000000119</v>
          </cell>
          <cell r="C122" t="str">
            <v>Edy Putra Waskita</v>
          </cell>
          <cell r="D122" t="str">
            <v/>
          </cell>
        </row>
        <row r="123">
          <cell r="B123">
            <v>25000000000120</v>
          </cell>
          <cell r="C123" t="str">
            <v>Edy Syahputra Situmeang</v>
          </cell>
          <cell r="D123" t="str">
            <v>1208301611900003</v>
          </cell>
        </row>
        <row r="124">
          <cell r="B124">
            <v>25000000000121</v>
          </cell>
          <cell r="C124" t="str">
            <v>Effendi fendi</v>
          </cell>
          <cell r="D124" t="str">
            <v/>
          </cell>
        </row>
        <row r="125">
          <cell r="B125">
            <v>25000000000122</v>
          </cell>
          <cell r="C125" t="str">
            <v>Efrina Dwililia</v>
          </cell>
          <cell r="D125" t="str">
            <v/>
          </cell>
        </row>
        <row r="126">
          <cell r="B126">
            <v>25000000000123</v>
          </cell>
          <cell r="C126" t="str">
            <v>Eka Bagus Dwi Putra</v>
          </cell>
          <cell r="D126" t="str">
            <v>3275030108950030</v>
          </cell>
        </row>
        <row r="127">
          <cell r="B127">
            <v>25000000000124</v>
          </cell>
          <cell r="C127" t="str">
            <v>Eka Hamidah</v>
          </cell>
          <cell r="D127" t="str">
            <v/>
          </cell>
        </row>
        <row r="128">
          <cell r="B128">
            <v>25000000000125</v>
          </cell>
          <cell r="C128" t="str">
            <v>Eka Purwanti</v>
          </cell>
          <cell r="D128" t="str">
            <v>3171076608940003</v>
          </cell>
        </row>
        <row r="129">
          <cell r="B129">
            <v>25000000000126</v>
          </cell>
          <cell r="C129" t="str">
            <v>Eka Kurniawan Hidayatullah</v>
          </cell>
          <cell r="D129" t="str">
            <v>3276051707880004</v>
          </cell>
        </row>
        <row r="130">
          <cell r="B130">
            <v>25000000000127</v>
          </cell>
          <cell r="C130" t="str">
            <v>Eko Laksono</v>
          </cell>
          <cell r="D130" t="str">
            <v/>
          </cell>
        </row>
        <row r="131">
          <cell r="B131">
            <v>25000000000128</v>
          </cell>
          <cell r="C131" t="str">
            <v>Eko Syambudi</v>
          </cell>
          <cell r="D131" t="str">
            <v/>
          </cell>
        </row>
        <row r="132">
          <cell r="B132">
            <v>25000000000129</v>
          </cell>
          <cell r="C132" t="str">
            <v>Elieser Ferdy P.</v>
          </cell>
          <cell r="D132" t="str">
            <v/>
          </cell>
        </row>
        <row r="133">
          <cell r="B133">
            <v>25000000000130</v>
          </cell>
          <cell r="C133" t="str">
            <v>Elisa</v>
          </cell>
          <cell r="D133" t="str">
            <v/>
          </cell>
        </row>
        <row r="134">
          <cell r="B134">
            <v>25000000000131</v>
          </cell>
          <cell r="C134" t="str">
            <v>Elsa Jayanti</v>
          </cell>
          <cell r="D134" t="str">
            <v/>
          </cell>
        </row>
        <row r="135">
          <cell r="B135">
            <v>25000000000132</v>
          </cell>
          <cell r="C135" t="str">
            <v>Elsa Mardian</v>
          </cell>
          <cell r="D135" t="str">
            <v/>
          </cell>
        </row>
        <row r="136">
          <cell r="B136">
            <v>25000000000133</v>
          </cell>
          <cell r="C136" t="str">
            <v>Emir Paranita Nasution</v>
          </cell>
          <cell r="D136" t="str">
            <v/>
          </cell>
        </row>
        <row r="137">
          <cell r="B137">
            <v>25000000000134</v>
          </cell>
          <cell r="C137" t="str">
            <v>Enceng Hemawan</v>
          </cell>
          <cell r="D137" t="str">
            <v/>
          </cell>
        </row>
        <row r="138">
          <cell r="B138">
            <v>25000000000135</v>
          </cell>
          <cell r="C138" t="str">
            <v>Endang</v>
          </cell>
          <cell r="D138" t="str">
            <v/>
          </cell>
        </row>
        <row r="139">
          <cell r="B139">
            <v>25000000000136</v>
          </cell>
          <cell r="C139" t="str">
            <v>Endang Lestari</v>
          </cell>
          <cell r="D139" t="str">
            <v/>
          </cell>
        </row>
        <row r="140">
          <cell r="B140">
            <v>25000000000137</v>
          </cell>
          <cell r="C140" t="str">
            <v>Endang Sobari</v>
          </cell>
          <cell r="D140" t="str">
            <v/>
          </cell>
        </row>
        <row r="141">
          <cell r="B141">
            <v>25000000000138</v>
          </cell>
          <cell r="C141" t="str">
            <v>Endang Sutrisna</v>
          </cell>
          <cell r="D141" t="str">
            <v>3173063012700005</v>
          </cell>
        </row>
        <row r="142">
          <cell r="B142">
            <v>25000000000139</v>
          </cell>
          <cell r="C142" t="str">
            <v>Erfananda Rasyid</v>
          </cell>
          <cell r="D142" t="str">
            <v/>
          </cell>
        </row>
        <row r="143">
          <cell r="B143">
            <v>25000000000140</v>
          </cell>
          <cell r="C143" t="str">
            <v>Ernawati</v>
          </cell>
          <cell r="D143" t="str">
            <v/>
          </cell>
        </row>
        <row r="144">
          <cell r="B144">
            <v>25000000000141</v>
          </cell>
          <cell r="C144" t="str">
            <v>Erwin Firmansyah</v>
          </cell>
          <cell r="D144" t="str">
            <v/>
          </cell>
        </row>
        <row r="145">
          <cell r="B145">
            <v>25000000000142</v>
          </cell>
          <cell r="C145" t="str">
            <v>Erwin Said</v>
          </cell>
          <cell r="D145" t="str">
            <v/>
          </cell>
        </row>
        <row r="146">
          <cell r="B146">
            <v>25000000000143</v>
          </cell>
          <cell r="C146" t="str">
            <v>Esa Annahar</v>
          </cell>
          <cell r="D146" t="str">
            <v/>
          </cell>
        </row>
        <row r="147">
          <cell r="B147">
            <v>25000000000144</v>
          </cell>
          <cell r="C147" t="str">
            <v>Faiz Horifal</v>
          </cell>
          <cell r="D147" t="str">
            <v/>
          </cell>
        </row>
        <row r="148">
          <cell r="B148">
            <v>25000000000145</v>
          </cell>
          <cell r="C148" t="str">
            <v>Fani Dwi Astutik</v>
          </cell>
          <cell r="D148" t="str">
            <v/>
          </cell>
        </row>
        <row r="149">
          <cell r="B149">
            <v>25000000000146</v>
          </cell>
          <cell r="C149" t="str">
            <v>Fardi Nauli R</v>
          </cell>
          <cell r="D149" t="str">
            <v/>
          </cell>
        </row>
        <row r="150">
          <cell r="B150">
            <v>25000000000147</v>
          </cell>
          <cell r="C150" t="str">
            <v>Farekh Huzair</v>
          </cell>
          <cell r="D150" t="str">
            <v/>
          </cell>
        </row>
        <row r="151">
          <cell r="B151">
            <v>25000000000148</v>
          </cell>
          <cell r="C151" t="str">
            <v>Farhana</v>
          </cell>
          <cell r="D151" t="str">
            <v/>
          </cell>
        </row>
        <row r="152">
          <cell r="B152">
            <v>25000000000149</v>
          </cell>
          <cell r="C152" t="str">
            <v>Febriyanto Ahdiat</v>
          </cell>
          <cell r="D152" t="str">
            <v/>
          </cell>
        </row>
        <row r="153">
          <cell r="B153">
            <v>25000000000150</v>
          </cell>
          <cell r="C153" t="str">
            <v>Febryan Mahsyar</v>
          </cell>
          <cell r="D153" t="str">
            <v/>
          </cell>
        </row>
        <row r="154">
          <cell r="B154">
            <v>25000000000151</v>
          </cell>
          <cell r="C154" t="str">
            <v>Felpy</v>
          </cell>
          <cell r="D154" t="str">
            <v/>
          </cell>
        </row>
        <row r="155">
          <cell r="B155">
            <v>25000000000152</v>
          </cell>
          <cell r="C155" t="str">
            <v>Feri Priyanto</v>
          </cell>
          <cell r="D155" t="str">
            <v/>
          </cell>
        </row>
        <row r="156">
          <cell r="B156">
            <v>25000000000153</v>
          </cell>
          <cell r="C156" t="str">
            <v>Ferry P Simanjuntak</v>
          </cell>
          <cell r="D156" t="str">
            <v/>
          </cell>
        </row>
        <row r="157">
          <cell r="B157">
            <v>25000000000154</v>
          </cell>
          <cell r="C157" t="str">
            <v>Fikri</v>
          </cell>
          <cell r="D157" t="str">
            <v/>
          </cell>
        </row>
        <row r="158">
          <cell r="B158">
            <v>25000000000155</v>
          </cell>
          <cell r="C158" t="str">
            <v>M. Fikri Caesarandi Hasibuan</v>
          </cell>
          <cell r="D158" t="str">
            <v>1271050107980002</v>
          </cell>
        </row>
        <row r="159">
          <cell r="B159">
            <v>25000000000156</v>
          </cell>
          <cell r="C159" t="str">
            <v>Firman Akbar</v>
          </cell>
          <cell r="D159" t="str">
            <v/>
          </cell>
        </row>
        <row r="160">
          <cell r="B160">
            <v>25000000000157</v>
          </cell>
          <cell r="C160" t="str">
            <v>Fitriastuti Kurnia</v>
          </cell>
          <cell r="D160" t="str">
            <v/>
          </cell>
        </row>
        <row r="161">
          <cell r="B161">
            <v>25000000000158</v>
          </cell>
          <cell r="C161" t="str">
            <v>Francis Imanuel</v>
          </cell>
          <cell r="D161" t="str">
            <v/>
          </cell>
        </row>
        <row r="162">
          <cell r="B162">
            <v>25000000000159</v>
          </cell>
          <cell r="C162" t="str">
            <v>Frando Judi Siahaan</v>
          </cell>
          <cell r="D162" t="str">
            <v/>
          </cell>
        </row>
        <row r="163">
          <cell r="B163">
            <v>25000000000160</v>
          </cell>
          <cell r="C163" t="str">
            <v>Frederika Intan</v>
          </cell>
          <cell r="D163" t="str">
            <v/>
          </cell>
        </row>
        <row r="164">
          <cell r="B164">
            <v>25000000000161</v>
          </cell>
          <cell r="C164" t="str">
            <v>Fuad Febrian</v>
          </cell>
          <cell r="D164" t="str">
            <v/>
          </cell>
        </row>
        <row r="165">
          <cell r="B165">
            <v>25000000000162</v>
          </cell>
          <cell r="C165" t="str">
            <v>Fuzi Mafhrozi</v>
          </cell>
          <cell r="D165" t="str">
            <v/>
          </cell>
        </row>
        <row r="166">
          <cell r="B166">
            <v>25000000000163</v>
          </cell>
          <cell r="C166" t="str">
            <v>Galuh Swastika</v>
          </cell>
          <cell r="D166" t="str">
            <v/>
          </cell>
        </row>
        <row r="167">
          <cell r="B167">
            <v>25000000000164</v>
          </cell>
          <cell r="C167" t="str">
            <v>Ganda Yuharis R.</v>
          </cell>
          <cell r="D167" t="str">
            <v/>
          </cell>
        </row>
        <row r="168">
          <cell r="B168">
            <v>25000000000165</v>
          </cell>
          <cell r="C168" t="str">
            <v>Gatot Harsono</v>
          </cell>
          <cell r="D168" t="str">
            <v/>
          </cell>
        </row>
        <row r="169">
          <cell r="B169">
            <v>25000000000166</v>
          </cell>
          <cell r="C169" t="str">
            <v>Gina Septa</v>
          </cell>
          <cell r="D169" t="str">
            <v/>
          </cell>
        </row>
        <row r="170">
          <cell r="B170">
            <v>25000000000167</v>
          </cell>
          <cell r="C170" t="str">
            <v>Grace Kurniawan</v>
          </cell>
          <cell r="D170" t="str">
            <v>3271026603650001</v>
          </cell>
        </row>
        <row r="171">
          <cell r="B171">
            <v>25000000000168</v>
          </cell>
          <cell r="C171" t="str">
            <v>Gunawan</v>
          </cell>
          <cell r="D171" t="str">
            <v>3275122807710004</v>
          </cell>
        </row>
        <row r="172">
          <cell r="B172">
            <v>25000000000169</v>
          </cell>
          <cell r="C172" t="str">
            <v>Gustia Rakhmanita</v>
          </cell>
          <cell r="D172" t="str">
            <v/>
          </cell>
        </row>
        <row r="173">
          <cell r="B173">
            <v>25000000000170</v>
          </cell>
          <cell r="C173" t="str">
            <v>Habib Abdullah</v>
          </cell>
          <cell r="D173" t="str">
            <v/>
          </cell>
        </row>
        <row r="174">
          <cell r="B174">
            <v>25000000000171</v>
          </cell>
          <cell r="C174" t="str">
            <v>Hadi Kasmuri</v>
          </cell>
          <cell r="D174" t="str">
            <v/>
          </cell>
        </row>
        <row r="175">
          <cell r="B175">
            <v>25000000000172</v>
          </cell>
          <cell r="C175" t="str">
            <v>Haikal</v>
          </cell>
          <cell r="D175" t="str">
            <v/>
          </cell>
        </row>
        <row r="176">
          <cell r="B176">
            <v>25000000000173</v>
          </cell>
          <cell r="C176" t="str">
            <v>Hanantowiryo Tamtama</v>
          </cell>
          <cell r="D176" t="str">
            <v/>
          </cell>
        </row>
        <row r="177">
          <cell r="B177">
            <v>25000000000174</v>
          </cell>
          <cell r="C177" t="str">
            <v>Handoko</v>
          </cell>
          <cell r="D177" t="str">
            <v/>
          </cell>
        </row>
        <row r="178">
          <cell r="B178">
            <v>25000000000175</v>
          </cell>
          <cell r="C178" t="str">
            <v>Hanif Ashari</v>
          </cell>
          <cell r="D178" t="str">
            <v/>
          </cell>
        </row>
        <row r="179">
          <cell r="B179">
            <v>25000000000176</v>
          </cell>
          <cell r="C179" t="str">
            <v>Hanif Eko Saputro</v>
          </cell>
          <cell r="D179" t="str">
            <v/>
          </cell>
        </row>
        <row r="180">
          <cell r="B180">
            <v>25000000000177</v>
          </cell>
          <cell r="C180" t="str">
            <v>Hardianto</v>
          </cell>
          <cell r="D180" t="str">
            <v/>
          </cell>
        </row>
        <row r="181">
          <cell r="B181">
            <v>25000000000178</v>
          </cell>
          <cell r="C181" t="str">
            <v>Harlen Amudi Purba</v>
          </cell>
          <cell r="D181" t="str">
            <v/>
          </cell>
        </row>
        <row r="182">
          <cell r="B182">
            <v>25000000000179</v>
          </cell>
          <cell r="C182" t="str">
            <v>Harry Isnaeni</v>
          </cell>
          <cell r="D182" t="str">
            <v/>
          </cell>
        </row>
        <row r="183">
          <cell r="B183">
            <v>25000000000180</v>
          </cell>
          <cell r="C183" t="str">
            <v>Hasan Gani</v>
          </cell>
          <cell r="D183" t="str">
            <v/>
          </cell>
        </row>
        <row r="184">
          <cell r="B184">
            <v>25000000000181</v>
          </cell>
          <cell r="C184" t="str">
            <v>Hasrul</v>
          </cell>
          <cell r="D184" t="str">
            <v/>
          </cell>
        </row>
        <row r="185">
          <cell r="B185">
            <v>25000000000182</v>
          </cell>
          <cell r="C185" t="str">
            <v>Hendar Pambudi</v>
          </cell>
          <cell r="D185" t="str">
            <v/>
          </cell>
        </row>
        <row r="186">
          <cell r="B186">
            <v>25000000000183</v>
          </cell>
          <cell r="C186" t="str">
            <v>Hendri Kustian</v>
          </cell>
          <cell r="D186" t="str">
            <v/>
          </cell>
        </row>
        <row r="187">
          <cell r="B187">
            <v>25000000000184</v>
          </cell>
          <cell r="C187" t="str">
            <v>Hendrik</v>
          </cell>
          <cell r="D187" t="str">
            <v/>
          </cell>
        </row>
        <row r="188">
          <cell r="B188">
            <v>25000000000185</v>
          </cell>
          <cell r="C188" t="str">
            <v>Herdi Yulia Rohmana</v>
          </cell>
          <cell r="D188" t="str">
            <v/>
          </cell>
        </row>
        <row r="189">
          <cell r="B189">
            <v>25000000000186</v>
          </cell>
          <cell r="C189" t="str">
            <v>Heri Susanto</v>
          </cell>
          <cell r="D189" t="str">
            <v/>
          </cell>
        </row>
        <row r="190">
          <cell r="B190">
            <v>25000000000187</v>
          </cell>
          <cell r="C190" t="str">
            <v>Herlin Juli Asri</v>
          </cell>
          <cell r="D190" t="str">
            <v/>
          </cell>
        </row>
        <row r="191">
          <cell r="B191">
            <v>25000000000188</v>
          </cell>
          <cell r="C191" t="str">
            <v>Herman Budoyo</v>
          </cell>
          <cell r="D191" t="str">
            <v/>
          </cell>
        </row>
        <row r="192">
          <cell r="B192">
            <v>25000000000189</v>
          </cell>
          <cell r="C192" t="str">
            <v>Herni Yuliati</v>
          </cell>
          <cell r="D192" t="str">
            <v/>
          </cell>
        </row>
        <row r="193">
          <cell r="B193">
            <v>25000000000190</v>
          </cell>
          <cell r="C193" t="str">
            <v>Hernita Dwi</v>
          </cell>
          <cell r="D193" t="str">
            <v/>
          </cell>
        </row>
        <row r="194">
          <cell r="B194">
            <v>25000000000191</v>
          </cell>
          <cell r="C194" t="str">
            <v>Herri Setyawan</v>
          </cell>
          <cell r="D194" t="str">
            <v/>
          </cell>
        </row>
        <row r="195">
          <cell r="B195">
            <v>25000000000192</v>
          </cell>
          <cell r="C195" t="str">
            <v>Heru Sugiri</v>
          </cell>
          <cell r="D195" t="str">
            <v/>
          </cell>
        </row>
        <row r="196">
          <cell r="B196">
            <v>25000000000193</v>
          </cell>
          <cell r="C196" t="str">
            <v>Hervian Bagus Saputra</v>
          </cell>
          <cell r="D196" t="str">
            <v/>
          </cell>
        </row>
        <row r="197">
          <cell r="B197">
            <v>25000000000194</v>
          </cell>
          <cell r="C197" t="str">
            <v>H.R. Marlina S. T. R.</v>
          </cell>
          <cell r="D197" t="str">
            <v/>
          </cell>
        </row>
        <row r="198">
          <cell r="B198">
            <v>25000000000195</v>
          </cell>
          <cell r="C198" t="str">
            <v>Ibrahim Soukani</v>
          </cell>
          <cell r="D198" t="str">
            <v/>
          </cell>
        </row>
        <row r="199">
          <cell r="B199">
            <v>25000000000196</v>
          </cell>
          <cell r="C199" t="str">
            <v>Icha Mailinda Syamsoedin</v>
          </cell>
          <cell r="D199" t="str">
            <v>3305134603960002</v>
          </cell>
        </row>
        <row r="200">
          <cell r="B200">
            <v>25000000000197</v>
          </cell>
          <cell r="C200" t="str">
            <v>Ichsanudin</v>
          </cell>
          <cell r="D200" t="str">
            <v/>
          </cell>
        </row>
        <row r="201">
          <cell r="B201">
            <v>25000000000198</v>
          </cell>
          <cell r="C201" t="str">
            <v>Ida Tri Wulaningsih</v>
          </cell>
          <cell r="D201" t="str">
            <v/>
          </cell>
        </row>
        <row r="202">
          <cell r="B202">
            <v>25000000000199</v>
          </cell>
          <cell r="C202" t="str">
            <v>Idham</v>
          </cell>
          <cell r="D202" t="str">
            <v/>
          </cell>
        </row>
        <row r="203">
          <cell r="B203">
            <v>25000000000200</v>
          </cell>
          <cell r="C203" t="str">
            <v>Idham Nasution</v>
          </cell>
          <cell r="D203" t="str">
            <v/>
          </cell>
        </row>
        <row r="204">
          <cell r="B204">
            <v>25000000000201</v>
          </cell>
          <cell r="C204" t="str">
            <v>Idian</v>
          </cell>
          <cell r="D204" t="str">
            <v/>
          </cell>
        </row>
        <row r="205">
          <cell r="B205">
            <v>25000000000202</v>
          </cell>
          <cell r="C205" t="str">
            <v>Ikun M. Soedrajat</v>
          </cell>
          <cell r="D205" t="str">
            <v/>
          </cell>
        </row>
        <row r="206">
          <cell r="B206">
            <v>25000000000203</v>
          </cell>
          <cell r="C206" t="str">
            <v>Ilham Arisyandy</v>
          </cell>
          <cell r="D206" t="str">
            <v/>
          </cell>
        </row>
        <row r="207">
          <cell r="B207">
            <v>25000000000204</v>
          </cell>
          <cell r="C207" t="str">
            <v>Ilham Akbar</v>
          </cell>
          <cell r="D207" t="str">
            <v/>
          </cell>
        </row>
        <row r="208">
          <cell r="B208">
            <v>25000000000205</v>
          </cell>
          <cell r="C208" t="str">
            <v>Imam Basuki</v>
          </cell>
          <cell r="D208" t="str">
            <v/>
          </cell>
        </row>
        <row r="209">
          <cell r="B209">
            <v>25000000000206</v>
          </cell>
          <cell r="C209" t="str">
            <v>Imam Mustofa</v>
          </cell>
          <cell r="D209" t="str">
            <v/>
          </cell>
        </row>
        <row r="210">
          <cell r="B210">
            <v>25000000000207</v>
          </cell>
          <cell r="C210" t="str">
            <v>Imam Safiiy</v>
          </cell>
          <cell r="D210" t="str">
            <v/>
          </cell>
        </row>
        <row r="211">
          <cell r="B211">
            <v>25000000000208</v>
          </cell>
          <cell r="C211" t="str">
            <v>Iman Hakiki</v>
          </cell>
          <cell r="D211" t="str">
            <v/>
          </cell>
        </row>
        <row r="212">
          <cell r="B212">
            <v>25000000000209</v>
          </cell>
          <cell r="C212" t="str">
            <v>Imelda Claudia</v>
          </cell>
          <cell r="D212" t="str">
            <v/>
          </cell>
        </row>
        <row r="213">
          <cell r="B213">
            <v>25000000000210</v>
          </cell>
          <cell r="C213" t="str">
            <v>Indawan Haryadi</v>
          </cell>
          <cell r="D213" t="str">
            <v/>
          </cell>
        </row>
        <row r="214">
          <cell r="B214">
            <v>25000000000211</v>
          </cell>
          <cell r="C214" t="str">
            <v>Indra Jaya</v>
          </cell>
          <cell r="D214" t="str">
            <v/>
          </cell>
        </row>
        <row r="215">
          <cell r="B215">
            <v>25000000000212</v>
          </cell>
          <cell r="C215" t="str">
            <v>Indra Muchtar</v>
          </cell>
          <cell r="D215" t="str">
            <v/>
          </cell>
        </row>
        <row r="216">
          <cell r="B216">
            <v>25000000000213</v>
          </cell>
          <cell r="C216" t="str">
            <v>Irvan</v>
          </cell>
          <cell r="D216" t="str">
            <v/>
          </cell>
        </row>
        <row r="217">
          <cell r="B217">
            <v>25000000000214</v>
          </cell>
          <cell r="C217" t="str">
            <v>Irvan Agus Dharma Eka Putra</v>
          </cell>
          <cell r="D217" t="str">
            <v/>
          </cell>
        </row>
        <row r="218">
          <cell r="B218">
            <v>25000000000215</v>
          </cell>
          <cell r="C218" t="str">
            <v>Irwan</v>
          </cell>
          <cell r="D218" t="str">
            <v/>
          </cell>
        </row>
        <row r="219">
          <cell r="B219">
            <v>25000000000216</v>
          </cell>
          <cell r="C219" t="str">
            <v>Isa Anshori</v>
          </cell>
          <cell r="D219" t="str">
            <v/>
          </cell>
        </row>
        <row r="220">
          <cell r="B220">
            <v>25000000000217</v>
          </cell>
          <cell r="C220" t="str">
            <v>Isa Taufiq</v>
          </cell>
          <cell r="D220" t="str">
            <v/>
          </cell>
        </row>
        <row r="221">
          <cell r="B221">
            <v>25000000000218</v>
          </cell>
          <cell r="C221" t="str">
            <v>Iskandarsyah</v>
          </cell>
          <cell r="D221" t="str">
            <v/>
          </cell>
        </row>
        <row r="222">
          <cell r="B222">
            <v>25000000000219</v>
          </cell>
          <cell r="C222" t="str">
            <v>Istanto Istanto</v>
          </cell>
          <cell r="D222" t="str">
            <v/>
          </cell>
        </row>
        <row r="223">
          <cell r="B223">
            <v>25000000000220</v>
          </cell>
          <cell r="C223" t="str">
            <v>Iswahyuni</v>
          </cell>
          <cell r="D223" t="str">
            <v/>
          </cell>
        </row>
        <row r="224">
          <cell r="B224">
            <v>25000000000221</v>
          </cell>
          <cell r="C224" t="str">
            <v>Iva Nurvahayati</v>
          </cell>
          <cell r="D224" t="str">
            <v/>
          </cell>
        </row>
        <row r="225">
          <cell r="B225">
            <v>25000000000222</v>
          </cell>
          <cell r="C225" t="str">
            <v>Iwan Setiawan</v>
          </cell>
          <cell r="D225" t="str">
            <v/>
          </cell>
        </row>
        <row r="226">
          <cell r="B226">
            <v>25000000000223</v>
          </cell>
          <cell r="C226" t="str">
            <v>Iwan Sumantri</v>
          </cell>
          <cell r="D226" t="str">
            <v/>
          </cell>
        </row>
        <row r="227">
          <cell r="B227">
            <v>25000000000224</v>
          </cell>
          <cell r="C227" t="str">
            <v>Iwan Wibawa</v>
          </cell>
          <cell r="D227" t="str">
            <v/>
          </cell>
        </row>
        <row r="228">
          <cell r="B228">
            <v>25000000000225</v>
          </cell>
          <cell r="C228" t="str">
            <v>Iyus Darwin</v>
          </cell>
          <cell r="D228" t="str">
            <v/>
          </cell>
        </row>
        <row r="229">
          <cell r="B229">
            <v>25000000000226</v>
          </cell>
          <cell r="C229" t="str">
            <v>Jaenudin</v>
          </cell>
          <cell r="D229" t="str">
            <v/>
          </cell>
        </row>
        <row r="230">
          <cell r="B230">
            <v>25000000000227</v>
          </cell>
          <cell r="C230" t="str">
            <v>Jaruli Samosir</v>
          </cell>
          <cell r="D230" t="str">
            <v/>
          </cell>
        </row>
        <row r="231">
          <cell r="B231">
            <v>25000000000228</v>
          </cell>
          <cell r="C231" t="str">
            <v>Jaya Ganef</v>
          </cell>
          <cell r="D231" t="str">
            <v/>
          </cell>
        </row>
        <row r="232">
          <cell r="B232">
            <v>25000000000229</v>
          </cell>
          <cell r="C232" t="str">
            <v>Jaya Sitepu</v>
          </cell>
          <cell r="D232" t="str">
            <v/>
          </cell>
        </row>
        <row r="233">
          <cell r="B233">
            <v>25000000000230</v>
          </cell>
          <cell r="C233" t="str">
            <v>Jeefrianda H. P. Sigalingging</v>
          </cell>
          <cell r="D233" t="str">
            <v/>
          </cell>
        </row>
        <row r="234">
          <cell r="B234">
            <v>25000000000231</v>
          </cell>
          <cell r="C234" t="str">
            <v>Jerry Djajasaputra</v>
          </cell>
          <cell r="D234" t="str">
            <v/>
          </cell>
        </row>
        <row r="235">
          <cell r="B235">
            <v>25000000000232</v>
          </cell>
          <cell r="C235" t="str">
            <v>Jimmywal</v>
          </cell>
          <cell r="D235" t="str">
            <v>3201042302780003</v>
          </cell>
        </row>
        <row r="236">
          <cell r="B236">
            <v>25000000000233</v>
          </cell>
          <cell r="C236" t="str">
            <v>Jodie Satria</v>
          </cell>
          <cell r="D236" t="str">
            <v/>
          </cell>
        </row>
        <row r="237">
          <cell r="B237">
            <v>25000000000234</v>
          </cell>
          <cell r="C237" t="str">
            <v>Johannes Silalahi</v>
          </cell>
          <cell r="D237" t="str">
            <v/>
          </cell>
        </row>
        <row r="238">
          <cell r="B238">
            <v>25000000000235</v>
          </cell>
          <cell r="C238" t="str">
            <v>Joko Wiyono</v>
          </cell>
          <cell r="D238" t="str">
            <v/>
          </cell>
        </row>
        <row r="239">
          <cell r="B239">
            <v>25000000000236</v>
          </cell>
          <cell r="C239" t="str">
            <v>Jondril Hantoni</v>
          </cell>
          <cell r="D239" t="str">
            <v/>
          </cell>
        </row>
        <row r="240">
          <cell r="B240">
            <v>25000000000237</v>
          </cell>
          <cell r="C240" t="str">
            <v>Jonhar Aziz</v>
          </cell>
          <cell r="D240" t="str">
            <v/>
          </cell>
        </row>
        <row r="241">
          <cell r="B241">
            <v>25000000000238</v>
          </cell>
          <cell r="C241" t="str">
            <v>Juan Talitha</v>
          </cell>
          <cell r="D241" t="str">
            <v/>
          </cell>
        </row>
        <row r="242">
          <cell r="B242">
            <v>25000000000239</v>
          </cell>
          <cell r="C242" t="str">
            <v>Juharja Juharja</v>
          </cell>
          <cell r="D242" t="str">
            <v/>
          </cell>
        </row>
        <row r="243">
          <cell r="B243">
            <v>25000000000240</v>
          </cell>
          <cell r="C243" t="str">
            <v>Juminar</v>
          </cell>
          <cell r="D243" t="str">
            <v/>
          </cell>
        </row>
        <row r="244">
          <cell r="B244">
            <v>25000000000241</v>
          </cell>
          <cell r="C244" t="str">
            <v>Jumino</v>
          </cell>
          <cell r="D244" t="str">
            <v/>
          </cell>
        </row>
        <row r="245">
          <cell r="B245">
            <v>25000000000242</v>
          </cell>
          <cell r="C245" t="str">
            <v>Junaedi</v>
          </cell>
          <cell r="D245" t="str">
            <v/>
          </cell>
        </row>
        <row r="246">
          <cell r="B246">
            <v>25000000000243</v>
          </cell>
          <cell r="C246" t="str">
            <v>Junaidi</v>
          </cell>
          <cell r="D246" t="str">
            <v/>
          </cell>
        </row>
        <row r="247">
          <cell r="B247">
            <v>25000000000244</v>
          </cell>
          <cell r="C247" t="str">
            <v>Jusuf Bobby Putra</v>
          </cell>
          <cell r="D247" t="str">
            <v/>
          </cell>
        </row>
        <row r="248">
          <cell r="B248">
            <v>25000000000245</v>
          </cell>
          <cell r="C248" t="str">
            <v>Jusuf Gandi</v>
          </cell>
          <cell r="D248" t="str">
            <v/>
          </cell>
        </row>
        <row r="249">
          <cell r="B249">
            <v>25000000000246</v>
          </cell>
          <cell r="C249" t="str">
            <v>Kahar Triyono</v>
          </cell>
          <cell r="D249" t="str">
            <v/>
          </cell>
        </row>
        <row r="250">
          <cell r="B250">
            <v>25000000000247</v>
          </cell>
          <cell r="C250" t="str">
            <v>Keila</v>
          </cell>
          <cell r="D250" t="str">
            <v/>
          </cell>
        </row>
        <row r="251">
          <cell r="B251">
            <v>25000000000248</v>
          </cell>
          <cell r="C251" t="str">
            <v>Kendra Daniswara</v>
          </cell>
          <cell r="D251" t="str">
            <v/>
          </cell>
        </row>
        <row r="252">
          <cell r="B252">
            <v>25000000000249</v>
          </cell>
          <cell r="C252" t="str">
            <v>Kevin Henokh Tambunan</v>
          </cell>
          <cell r="D252" t="str">
            <v/>
          </cell>
        </row>
        <row r="253">
          <cell r="B253">
            <v>25000000000250</v>
          </cell>
          <cell r="C253" t="str">
            <v>Khafid Fahrurrozi</v>
          </cell>
          <cell r="D253" t="str">
            <v/>
          </cell>
        </row>
        <row r="254">
          <cell r="B254">
            <v>25000000000251</v>
          </cell>
          <cell r="C254" t="str">
            <v>Kholik</v>
          </cell>
          <cell r="D254" t="str">
            <v/>
          </cell>
        </row>
        <row r="255">
          <cell r="B255">
            <v>25000000000252</v>
          </cell>
          <cell r="C255" t="str">
            <v>Kiki Mustikawati</v>
          </cell>
          <cell r="D255" t="str">
            <v/>
          </cell>
        </row>
        <row r="256">
          <cell r="B256">
            <v>25000000000253</v>
          </cell>
          <cell r="C256" t="str">
            <v>Kornelius Sakan</v>
          </cell>
          <cell r="D256" t="str">
            <v>3671130303690004</v>
          </cell>
        </row>
        <row r="257">
          <cell r="B257">
            <v>25000000000254</v>
          </cell>
          <cell r="C257" t="str">
            <v>Kosasih</v>
          </cell>
          <cell r="D257" t="str">
            <v/>
          </cell>
        </row>
        <row r="258">
          <cell r="B258">
            <v>25000000000255</v>
          </cell>
          <cell r="C258" t="str">
            <v>Krisnawan</v>
          </cell>
          <cell r="D258" t="str">
            <v/>
          </cell>
        </row>
        <row r="259">
          <cell r="B259">
            <v>25000000000256</v>
          </cell>
          <cell r="C259" t="str">
            <v>Kurniadi</v>
          </cell>
          <cell r="D259" t="str">
            <v/>
          </cell>
        </row>
        <row r="260">
          <cell r="B260">
            <v>25000000000257</v>
          </cell>
          <cell r="C260" t="str">
            <v>Kurniawan</v>
          </cell>
          <cell r="D260" t="str">
            <v/>
          </cell>
        </row>
        <row r="261">
          <cell r="B261">
            <v>25000000000258</v>
          </cell>
          <cell r="C261" t="str">
            <v>Laode</v>
          </cell>
          <cell r="D261" t="str">
            <v/>
          </cell>
        </row>
        <row r="262">
          <cell r="B262">
            <v>25000000000259</v>
          </cell>
          <cell r="C262" t="str">
            <v>Leo Nababan</v>
          </cell>
          <cell r="D262" t="str">
            <v/>
          </cell>
        </row>
        <row r="263">
          <cell r="B263">
            <v>25000000000260</v>
          </cell>
          <cell r="C263" t="str">
            <v>Liani Atmaningrum</v>
          </cell>
          <cell r="D263" t="str">
            <v/>
          </cell>
        </row>
        <row r="264">
          <cell r="B264">
            <v>25000000000261</v>
          </cell>
          <cell r="C264" t="str">
            <v>Liaseptriani Liaseptriani</v>
          </cell>
          <cell r="D264" t="str">
            <v/>
          </cell>
        </row>
        <row r="265">
          <cell r="B265">
            <v>25000000000262</v>
          </cell>
          <cell r="C265" t="str">
            <v>Lisma Natalia</v>
          </cell>
          <cell r="D265" t="str">
            <v>3175085112800001</v>
          </cell>
        </row>
        <row r="266">
          <cell r="B266">
            <v>25000000000263</v>
          </cell>
          <cell r="C266" t="str">
            <v>Listyo Hartanto</v>
          </cell>
          <cell r="D266" t="str">
            <v/>
          </cell>
        </row>
        <row r="267">
          <cell r="B267">
            <v>25000000000264</v>
          </cell>
          <cell r="C267" t="str">
            <v>M. Ari Ardizah Nasution</v>
          </cell>
          <cell r="D267" t="str">
            <v/>
          </cell>
        </row>
        <row r="268">
          <cell r="B268">
            <v>25000000000265</v>
          </cell>
          <cell r="C268" t="str">
            <v>M. Denny  Micrazudin</v>
          </cell>
          <cell r="D268" t="str">
            <v/>
          </cell>
        </row>
        <row r="269">
          <cell r="B269">
            <v>25000000000266</v>
          </cell>
          <cell r="C269" t="str">
            <v>M. Ridho Pramudia</v>
          </cell>
          <cell r="D269" t="str">
            <v/>
          </cell>
        </row>
        <row r="270">
          <cell r="B270">
            <v>25000000000267</v>
          </cell>
          <cell r="C270" t="str">
            <v>M. Rusdi</v>
          </cell>
          <cell r="D270" t="str">
            <v/>
          </cell>
        </row>
        <row r="271">
          <cell r="B271">
            <v>25000000000268</v>
          </cell>
          <cell r="C271" t="str">
            <v>M. Ervan Isyawal Akbar</v>
          </cell>
          <cell r="D271" t="str">
            <v/>
          </cell>
        </row>
        <row r="272">
          <cell r="B272">
            <v>25000000000269</v>
          </cell>
          <cell r="C272" t="str">
            <v>Maharani Tanjungsari</v>
          </cell>
          <cell r="D272" t="str">
            <v/>
          </cell>
        </row>
        <row r="273">
          <cell r="B273">
            <v>25000000000270</v>
          </cell>
          <cell r="C273" t="str">
            <v>Maharani Uthmaniah</v>
          </cell>
          <cell r="D273" t="str">
            <v/>
          </cell>
        </row>
        <row r="274">
          <cell r="B274">
            <v>25000000000271</v>
          </cell>
          <cell r="C274" t="str">
            <v>Manotar Tamba</v>
          </cell>
          <cell r="D274" t="str">
            <v/>
          </cell>
        </row>
        <row r="275">
          <cell r="B275">
            <v>25000000000272</v>
          </cell>
          <cell r="C275" t="str">
            <v>Maradona Manurung</v>
          </cell>
          <cell r="D275" t="str">
            <v/>
          </cell>
        </row>
        <row r="276">
          <cell r="B276">
            <v>25000000000273</v>
          </cell>
          <cell r="C276" t="str">
            <v>Pantas Banjarnahor Marbun</v>
          </cell>
          <cell r="D276" t="str">
            <v/>
          </cell>
        </row>
        <row r="277">
          <cell r="B277">
            <v>25000000000274</v>
          </cell>
          <cell r="C277" t="str">
            <v>Marcella Avia Ramadhinaningrum</v>
          </cell>
          <cell r="D277" t="str">
            <v/>
          </cell>
        </row>
        <row r="278">
          <cell r="B278">
            <v>25000000000275</v>
          </cell>
          <cell r="C278" t="str">
            <v>Marissa Watak</v>
          </cell>
          <cell r="D278" t="str">
            <v/>
          </cell>
        </row>
        <row r="279">
          <cell r="B279">
            <v>25000000000276</v>
          </cell>
          <cell r="C279" t="str">
            <v>Marten Tabun</v>
          </cell>
          <cell r="D279" t="str">
            <v>3603121210820014</v>
          </cell>
        </row>
        <row r="280">
          <cell r="B280">
            <v>25000000000277</v>
          </cell>
          <cell r="C280" t="str">
            <v>Martimbul Rahman</v>
          </cell>
          <cell r="D280" t="str">
            <v/>
          </cell>
        </row>
        <row r="281">
          <cell r="B281">
            <v>25000000000278</v>
          </cell>
          <cell r="C281" t="str">
            <v>T. Marungkil U. S. Sagala</v>
          </cell>
          <cell r="D281" t="str">
            <v>3175101206750016</v>
          </cell>
        </row>
        <row r="282">
          <cell r="B282">
            <v>25000000000279</v>
          </cell>
          <cell r="C282" t="str">
            <v>Marzuki</v>
          </cell>
          <cell r="D282" t="str">
            <v/>
          </cell>
        </row>
        <row r="283">
          <cell r="B283">
            <v>25000000000280</v>
          </cell>
          <cell r="C283" t="str">
            <v>Mashuri Mashuri</v>
          </cell>
          <cell r="D283" t="str">
            <v/>
          </cell>
        </row>
        <row r="284">
          <cell r="B284">
            <v>25000000000281</v>
          </cell>
          <cell r="C284" t="str">
            <v>Mat Soleh</v>
          </cell>
          <cell r="D284" t="str">
            <v/>
          </cell>
        </row>
        <row r="285">
          <cell r="B285">
            <v>25000000000282</v>
          </cell>
          <cell r="C285" t="str">
            <v>Mhd Syahputra</v>
          </cell>
          <cell r="D285" t="str">
            <v/>
          </cell>
        </row>
        <row r="286">
          <cell r="B286">
            <v>25000000000283</v>
          </cell>
          <cell r="C286" t="str">
            <v>Mia Puspitasari</v>
          </cell>
          <cell r="D286" t="str">
            <v/>
          </cell>
        </row>
        <row r="287">
          <cell r="B287">
            <v>25000000000284</v>
          </cell>
          <cell r="C287" t="str">
            <v>Midin Ena</v>
          </cell>
          <cell r="D287" t="str">
            <v/>
          </cell>
        </row>
        <row r="288">
          <cell r="B288">
            <v>25000000000285</v>
          </cell>
          <cell r="C288" t="str">
            <v>Miftakhul Muzakky</v>
          </cell>
          <cell r="D288" t="str">
            <v/>
          </cell>
        </row>
        <row r="289">
          <cell r="B289">
            <v>25000000000286</v>
          </cell>
          <cell r="C289" t="str">
            <v>Mista</v>
          </cell>
          <cell r="D289" t="str">
            <v/>
          </cell>
        </row>
        <row r="290">
          <cell r="B290">
            <v>25000000000287</v>
          </cell>
          <cell r="C290" t="str">
            <v>Mochamad Samman</v>
          </cell>
          <cell r="D290" t="str">
            <v/>
          </cell>
        </row>
        <row r="291">
          <cell r="B291">
            <v>25000000000288</v>
          </cell>
          <cell r="C291" t="str">
            <v>Moh. Afif</v>
          </cell>
          <cell r="D291" t="str">
            <v/>
          </cell>
        </row>
        <row r="292">
          <cell r="B292">
            <v>25000000000289</v>
          </cell>
          <cell r="C292" t="str">
            <v>Mohammad Arman Tompo</v>
          </cell>
          <cell r="D292" t="str">
            <v/>
          </cell>
        </row>
        <row r="293">
          <cell r="B293">
            <v>25000000000290</v>
          </cell>
          <cell r="C293" t="str">
            <v>Mohd. Elfan Pratama</v>
          </cell>
          <cell r="D293" t="str">
            <v/>
          </cell>
        </row>
        <row r="294">
          <cell r="B294">
            <v>25000000000291</v>
          </cell>
          <cell r="C294" t="str">
            <v>Monang Simarmata</v>
          </cell>
          <cell r="D294" t="str">
            <v/>
          </cell>
        </row>
        <row r="295">
          <cell r="B295">
            <v>25000000000292</v>
          </cell>
          <cell r="C295" t="str">
            <v>Moritz Thomsen Marbun</v>
          </cell>
          <cell r="D295" t="str">
            <v/>
          </cell>
        </row>
        <row r="296">
          <cell r="B296">
            <v>25000000000293</v>
          </cell>
          <cell r="C296" t="str">
            <v>Muhamad Hamdan Rifai</v>
          </cell>
          <cell r="D296" t="str">
            <v/>
          </cell>
        </row>
        <row r="297">
          <cell r="B297">
            <v>25000000000294</v>
          </cell>
          <cell r="C297" t="str">
            <v>Muhamad Ikhsan</v>
          </cell>
          <cell r="D297" t="str">
            <v/>
          </cell>
        </row>
        <row r="298">
          <cell r="B298">
            <v>25000000000295</v>
          </cell>
          <cell r="C298" t="str">
            <v>Muhamad Nurhamsach</v>
          </cell>
          <cell r="D298" t="str">
            <v/>
          </cell>
        </row>
        <row r="299">
          <cell r="B299">
            <v>25000000000296</v>
          </cell>
          <cell r="C299" t="str">
            <v>Muhammad Ardiansyah</v>
          </cell>
          <cell r="D299" t="str">
            <v/>
          </cell>
        </row>
        <row r="300">
          <cell r="B300">
            <v>25000000000297</v>
          </cell>
          <cell r="C300" t="str">
            <v>Muhammad Khadafy</v>
          </cell>
          <cell r="D300" t="str">
            <v/>
          </cell>
        </row>
        <row r="301">
          <cell r="B301">
            <v>25000000000298</v>
          </cell>
          <cell r="C301" t="str">
            <v>Muhammad Taufan</v>
          </cell>
          <cell r="D301" t="str">
            <v/>
          </cell>
        </row>
        <row r="302">
          <cell r="B302">
            <v>25000000000299</v>
          </cell>
          <cell r="C302" t="str">
            <v>Muklis</v>
          </cell>
          <cell r="D302" t="str">
            <v/>
          </cell>
        </row>
        <row r="303">
          <cell r="B303">
            <v>25000000000300</v>
          </cell>
          <cell r="C303" t="str">
            <v>Mulia Rohanson Harahap</v>
          </cell>
          <cell r="D303" t="str">
            <v/>
          </cell>
        </row>
        <row r="304">
          <cell r="B304">
            <v>25000000000301</v>
          </cell>
          <cell r="C304" t="str">
            <v>Mullan Tresna</v>
          </cell>
          <cell r="D304" t="str">
            <v>3271046502760003</v>
          </cell>
        </row>
        <row r="305">
          <cell r="B305">
            <v>25000000000302</v>
          </cell>
          <cell r="C305" t="str">
            <v>Mulyadi</v>
          </cell>
          <cell r="D305" t="str">
            <v/>
          </cell>
        </row>
        <row r="306">
          <cell r="B306">
            <v>25000000000303</v>
          </cell>
          <cell r="C306" t="str">
            <v>Mulyono</v>
          </cell>
          <cell r="D306" t="str">
            <v/>
          </cell>
        </row>
        <row r="307">
          <cell r="B307">
            <v>25000000000304</v>
          </cell>
          <cell r="C307" t="str">
            <v>Murdiansyah</v>
          </cell>
          <cell r="D307" t="str">
            <v/>
          </cell>
        </row>
        <row r="308">
          <cell r="B308">
            <v>25000000000305</v>
          </cell>
          <cell r="C308" t="str">
            <v>Mursalim</v>
          </cell>
          <cell r="D308" t="str">
            <v/>
          </cell>
        </row>
        <row r="309">
          <cell r="B309">
            <v>25000000000306</v>
          </cell>
          <cell r="C309" t="str">
            <v>Nancy Meriana Sinaga</v>
          </cell>
          <cell r="D309" t="str">
            <v/>
          </cell>
        </row>
        <row r="310">
          <cell r="B310">
            <v>25000000000307</v>
          </cell>
          <cell r="C310" t="str">
            <v>Nandang Effendi</v>
          </cell>
          <cell r="D310" t="str">
            <v>3604131405710001</v>
          </cell>
        </row>
        <row r="311">
          <cell r="B311">
            <v>25000000000308</v>
          </cell>
          <cell r="C311" t="str">
            <v>Narno</v>
          </cell>
          <cell r="D311" t="str">
            <v/>
          </cell>
        </row>
        <row r="312">
          <cell r="B312">
            <v>25000000000309</v>
          </cell>
          <cell r="C312" t="str">
            <v>Nasrul Anwar P.</v>
          </cell>
          <cell r="D312" t="str">
            <v/>
          </cell>
        </row>
        <row r="313">
          <cell r="B313">
            <v>25000000000310</v>
          </cell>
          <cell r="C313" t="str">
            <v>Nawal</v>
          </cell>
          <cell r="D313" t="str">
            <v/>
          </cell>
        </row>
        <row r="314">
          <cell r="B314">
            <v>25000000000311</v>
          </cell>
          <cell r="C314" t="str">
            <v>Nawir Lahamutu</v>
          </cell>
          <cell r="D314" t="str">
            <v/>
          </cell>
        </row>
        <row r="315">
          <cell r="B315">
            <v>25000000000312</v>
          </cell>
          <cell r="C315" t="str">
            <v>Nicky Kurnia</v>
          </cell>
          <cell r="D315" t="str">
            <v/>
          </cell>
        </row>
        <row r="316">
          <cell r="B316">
            <v>25000000000313</v>
          </cell>
          <cell r="C316" t="str">
            <v>Noercholis Firmansyah</v>
          </cell>
          <cell r="D316" t="str">
            <v/>
          </cell>
        </row>
        <row r="317">
          <cell r="B317">
            <v>25000000000314</v>
          </cell>
          <cell r="C317" t="str">
            <v>Nopitasari</v>
          </cell>
          <cell r="D317" t="str">
            <v/>
          </cell>
        </row>
        <row r="318">
          <cell r="B318">
            <v>25000000000315</v>
          </cell>
          <cell r="C318" t="str">
            <v>Nora Meilissa</v>
          </cell>
          <cell r="D318" t="str">
            <v/>
          </cell>
        </row>
        <row r="319">
          <cell r="B319">
            <v>25000000000316</v>
          </cell>
          <cell r="C319" t="str">
            <v>Novalia</v>
          </cell>
          <cell r="D319" t="str">
            <v/>
          </cell>
        </row>
        <row r="320">
          <cell r="B320">
            <v>25000000000317</v>
          </cell>
          <cell r="C320" t="str">
            <v>Novan Nugraha</v>
          </cell>
          <cell r="D320" t="str">
            <v/>
          </cell>
        </row>
        <row r="321">
          <cell r="B321">
            <v>25000000000318</v>
          </cell>
          <cell r="C321" t="str">
            <v>Nugraha</v>
          </cell>
          <cell r="D321" t="str">
            <v/>
          </cell>
        </row>
        <row r="322">
          <cell r="B322">
            <v>25000000000319</v>
          </cell>
          <cell r="C322" t="str">
            <v>Nugroho Putranto</v>
          </cell>
          <cell r="D322" t="str">
            <v/>
          </cell>
        </row>
        <row r="323">
          <cell r="B323">
            <v>25000000000320</v>
          </cell>
          <cell r="C323" t="str">
            <v>Nur Indra Sri Melati</v>
          </cell>
          <cell r="D323" t="str">
            <v/>
          </cell>
        </row>
        <row r="324">
          <cell r="B324">
            <v>25000000000321</v>
          </cell>
          <cell r="C324" t="str">
            <v>Nur Kusumowati</v>
          </cell>
          <cell r="D324" t="str">
            <v/>
          </cell>
        </row>
        <row r="325">
          <cell r="B325">
            <v>25000000000322</v>
          </cell>
          <cell r="C325" t="str">
            <v>Nurhidayat</v>
          </cell>
          <cell r="D325" t="str">
            <v/>
          </cell>
        </row>
        <row r="326">
          <cell r="B326">
            <v>25000000000323</v>
          </cell>
          <cell r="C326" t="str">
            <v>Otong Bustori</v>
          </cell>
          <cell r="D326" t="str">
            <v/>
          </cell>
        </row>
        <row r="327">
          <cell r="B327">
            <v>25000000000324</v>
          </cell>
          <cell r="C327" t="str">
            <v>Paino Suprayinto</v>
          </cell>
          <cell r="D327" t="str">
            <v/>
          </cell>
        </row>
        <row r="328">
          <cell r="B328">
            <v>25000000000325</v>
          </cell>
          <cell r="C328" t="str">
            <v>Panca Yudi Baskoro</v>
          </cell>
          <cell r="D328" t="str">
            <v/>
          </cell>
        </row>
        <row r="329">
          <cell r="B329">
            <v>25000000000326</v>
          </cell>
          <cell r="C329" t="str">
            <v>Panji Bima Santri</v>
          </cell>
          <cell r="D329" t="str">
            <v/>
          </cell>
        </row>
        <row r="330">
          <cell r="B330">
            <v>25000000000327</v>
          </cell>
          <cell r="C330" t="str">
            <v>Parulian Napitupulu</v>
          </cell>
          <cell r="D330" t="str">
            <v/>
          </cell>
        </row>
        <row r="331">
          <cell r="B331">
            <v>25000000000328</v>
          </cell>
          <cell r="C331" t="str">
            <v>Paryanto</v>
          </cell>
          <cell r="D331" t="str">
            <v/>
          </cell>
        </row>
        <row r="332">
          <cell r="B332">
            <v>25000000000329</v>
          </cell>
          <cell r="C332" t="str">
            <v>Pikri Hidayat</v>
          </cell>
          <cell r="D332" t="str">
            <v/>
          </cell>
        </row>
        <row r="333">
          <cell r="B333">
            <v>25000000000330</v>
          </cell>
          <cell r="C333" t="str">
            <v>Prayanti Dewi Anggraini</v>
          </cell>
          <cell r="D333" t="str">
            <v/>
          </cell>
        </row>
        <row r="334">
          <cell r="B334">
            <v>25000000000331</v>
          </cell>
          <cell r="C334" t="str">
            <v>Prayati Zai</v>
          </cell>
          <cell r="D334" t="str">
            <v/>
          </cell>
        </row>
        <row r="335">
          <cell r="B335">
            <v>25000000000332</v>
          </cell>
          <cell r="C335" t="str">
            <v>Pristu Andonoto</v>
          </cell>
          <cell r="D335" t="str">
            <v/>
          </cell>
        </row>
        <row r="336">
          <cell r="B336">
            <v>25000000000333</v>
          </cell>
          <cell r="C336" t="str">
            <v>Putra Perdana Tirtomoyo</v>
          </cell>
          <cell r="D336" t="str">
            <v/>
          </cell>
        </row>
        <row r="337">
          <cell r="B337">
            <v>25000000000334</v>
          </cell>
          <cell r="C337" t="str">
            <v>R. Lar Kumalaning Tresno</v>
          </cell>
          <cell r="D337" t="str">
            <v/>
          </cell>
        </row>
        <row r="338">
          <cell r="B338">
            <v>25000000000335</v>
          </cell>
          <cell r="C338" t="str">
            <v>Rachmad</v>
          </cell>
          <cell r="D338" t="str">
            <v/>
          </cell>
        </row>
        <row r="339">
          <cell r="B339">
            <v>25000000000336</v>
          </cell>
          <cell r="C339" t="str">
            <v>Radjiman</v>
          </cell>
          <cell r="D339" t="str">
            <v/>
          </cell>
        </row>
        <row r="340">
          <cell r="B340">
            <v>25000000000337</v>
          </cell>
          <cell r="C340" t="str">
            <v>Rafi Firman Saputra</v>
          </cell>
          <cell r="D340" t="str">
            <v/>
          </cell>
        </row>
        <row r="341">
          <cell r="B341">
            <v>25000000000338</v>
          </cell>
          <cell r="C341" t="str">
            <v>Rahmat Riyadi</v>
          </cell>
          <cell r="D341" t="str">
            <v/>
          </cell>
        </row>
        <row r="342">
          <cell r="B342">
            <v>25000000000339</v>
          </cell>
          <cell r="C342" t="str">
            <v>Rahmat Sirfano</v>
          </cell>
          <cell r="D342" t="str">
            <v/>
          </cell>
        </row>
        <row r="343">
          <cell r="B343">
            <v>25000000000340</v>
          </cell>
          <cell r="C343" t="str">
            <v>Rais Indra Noor</v>
          </cell>
          <cell r="D343" t="str">
            <v/>
          </cell>
        </row>
        <row r="344">
          <cell r="B344">
            <v>25000000000341</v>
          </cell>
          <cell r="C344" t="str">
            <v>Rakman A. Hadi</v>
          </cell>
          <cell r="D344" t="str">
            <v/>
          </cell>
        </row>
        <row r="345">
          <cell r="B345">
            <v>25000000000342</v>
          </cell>
          <cell r="C345" t="str">
            <v>Ramaizon</v>
          </cell>
          <cell r="D345" t="str">
            <v/>
          </cell>
        </row>
        <row r="346">
          <cell r="B346">
            <v>25000000000343</v>
          </cell>
          <cell r="C346" t="str">
            <v>Rangga Darmawan</v>
          </cell>
          <cell r="D346" t="str">
            <v/>
          </cell>
        </row>
        <row r="347">
          <cell r="B347">
            <v>25000000000344</v>
          </cell>
          <cell r="C347" t="str">
            <v>Raoli Nainggolan</v>
          </cell>
          <cell r="D347" t="str">
            <v/>
          </cell>
        </row>
        <row r="348">
          <cell r="B348">
            <v>25000000000345</v>
          </cell>
          <cell r="C348" t="str">
            <v>Rayan Suryadikara</v>
          </cell>
          <cell r="D348" t="str">
            <v/>
          </cell>
        </row>
        <row r="349">
          <cell r="B349">
            <v>25000000000346</v>
          </cell>
          <cell r="C349" t="str">
            <v>Redi Setiadi</v>
          </cell>
          <cell r="D349" t="str">
            <v/>
          </cell>
        </row>
        <row r="350">
          <cell r="B350">
            <v>25000000000347</v>
          </cell>
          <cell r="C350" t="str">
            <v>Redi Subekti</v>
          </cell>
          <cell r="D350" t="str">
            <v>3275050308620012</v>
          </cell>
        </row>
        <row r="351">
          <cell r="B351">
            <v>25000000000348</v>
          </cell>
          <cell r="C351" t="str">
            <v>Rendy Prananta Purba</v>
          </cell>
          <cell r="D351" t="str">
            <v/>
          </cell>
        </row>
        <row r="352">
          <cell r="B352">
            <v>25000000000349</v>
          </cell>
          <cell r="C352" t="str">
            <v>Reni Septiana</v>
          </cell>
          <cell r="D352" t="str">
            <v/>
          </cell>
        </row>
        <row r="353">
          <cell r="B353">
            <v>25000000000350</v>
          </cell>
          <cell r="C353" t="str">
            <v>Rere Ronggolawe</v>
          </cell>
          <cell r="D353" t="str">
            <v/>
          </cell>
        </row>
        <row r="354">
          <cell r="B354">
            <v>25000000000351</v>
          </cell>
          <cell r="C354" t="str">
            <v>Retnasha Gameswari</v>
          </cell>
          <cell r="D354" t="str">
            <v/>
          </cell>
        </row>
        <row r="355">
          <cell r="B355">
            <v>25000000000352</v>
          </cell>
          <cell r="C355" t="str">
            <v>Rhino Priawan</v>
          </cell>
          <cell r="D355" t="str">
            <v>7371101110870009</v>
          </cell>
        </row>
        <row r="356">
          <cell r="B356">
            <v>25000000000353</v>
          </cell>
          <cell r="C356" t="str">
            <v>Rian Yushak</v>
          </cell>
          <cell r="D356" t="str">
            <v/>
          </cell>
        </row>
        <row r="357">
          <cell r="B357">
            <v>25000000000354</v>
          </cell>
          <cell r="C357" t="str">
            <v>Riandi</v>
          </cell>
          <cell r="D357" t="str">
            <v/>
          </cell>
        </row>
        <row r="358">
          <cell r="B358">
            <v>25000000000355</v>
          </cell>
          <cell r="C358" t="str">
            <v>Ricky Samuel</v>
          </cell>
          <cell r="D358" t="str">
            <v/>
          </cell>
        </row>
        <row r="359">
          <cell r="B359">
            <v>25000000000356</v>
          </cell>
          <cell r="C359" t="str">
            <v>Ridwan Nurhadi</v>
          </cell>
          <cell r="D359" t="str">
            <v/>
          </cell>
        </row>
        <row r="360">
          <cell r="B360">
            <v>25000000000357</v>
          </cell>
          <cell r="C360" t="str">
            <v>Rifki</v>
          </cell>
          <cell r="D360" t="str">
            <v/>
          </cell>
        </row>
        <row r="361">
          <cell r="B361">
            <v>25000000000358</v>
          </cell>
          <cell r="C361" t="str">
            <v>Rika Ginting</v>
          </cell>
          <cell r="D361" t="str">
            <v/>
          </cell>
        </row>
        <row r="362">
          <cell r="B362">
            <v>25000000000359</v>
          </cell>
          <cell r="C362" t="str">
            <v>Riki Chairul Anwar</v>
          </cell>
          <cell r="D362" t="str">
            <v/>
          </cell>
        </row>
        <row r="363">
          <cell r="B363">
            <v>25000000000360</v>
          </cell>
          <cell r="C363" t="str">
            <v>Riki Evindra</v>
          </cell>
          <cell r="D363" t="str">
            <v/>
          </cell>
        </row>
        <row r="364">
          <cell r="B364">
            <v>25000000000361</v>
          </cell>
          <cell r="C364" t="str">
            <v>Rinaldi Asrin</v>
          </cell>
          <cell r="D364" t="str">
            <v/>
          </cell>
        </row>
        <row r="365">
          <cell r="B365">
            <v>25000000000362</v>
          </cell>
          <cell r="C365" t="str">
            <v>Rio Hakim</v>
          </cell>
          <cell r="D365" t="str">
            <v/>
          </cell>
        </row>
        <row r="366">
          <cell r="B366">
            <v>25000000000363</v>
          </cell>
          <cell r="C366" t="str">
            <v>Rio Martha</v>
          </cell>
          <cell r="D366" t="str">
            <v/>
          </cell>
        </row>
        <row r="367">
          <cell r="B367">
            <v>25000000000364</v>
          </cell>
          <cell r="C367" t="str">
            <v>Risdyanto Risdyanto</v>
          </cell>
          <cell r="D367" t="str">
            <v/>
          </cell>
        </row>
        <row r="368">
          <cell r="B368">
            <v>25000000000365</v>
          </cell>
          <cell r="C368" t="str">
            <v>Rizak Tri Septian</v>
          </cell>
          <cell r="D368" t="str">
            <v/>
          </cell>
        </row>
        <row r="369">
          <cell r="B369">
            <v>25000000000366</v>
          </cell>
          <cell r="C369" t="str">
            <v>Rizki Akbar</v>
          </cell>
          <cell r="D369" t="str">
            <v/>
          </cell>
        </row>
        <row r="370">
          <cell r="B370">
            <v>25000000000367</v>
          </cell>
          <cell r="C370" t="str">
            <v>Rizky Fauzy</v>
          </cell>
          <cell r="D370" t="str">
            <v/>
          </cell>
        </row>
        <row r="371">
          <cell r="B371">
            <v>25000000000368</v>
          </cell>
          <cell r="C371" t="str">
            <v>Rizky Reza Pradipta</v>
          </cell>
          <cell r="D371" t="str">
            <v/>
          </cell>
        </row>
        <row r="372">
          <cell r="B372">
            <v>25000000000369</v>
          </cell>
          <cell r="C372" t="str">
            <v>Rohendi Rohendi</v>
          </cell>
          <cell r="D372" t="str">
            <v/>
          </cell>
        </row>
        <row r="373">
          <cell r="B373">
            <v>25000000000370</v>
          </cell>
          <cell r="C373" t="str">
            <v>Rohmani</v>
          </cell>
          <cell r="D373" t="str">
            <v/>
          </cell>
        </row>
        <row r="374">
          <cell r="B374">
            <v>25000000000371</v>
          </cell>
          <cell r="C374" t="str">
            <v>Rommel Hutapea</v>
          </cell>
          <cell r="D374" t="str">
            <v/>
          </cell>
        </row>
        <row r="375">
          <cell r="B375">
            <v>25000000000372</v>
          </cell>
          <cell r="C375" t="str">
            <v>Roy Aditya</v>
          </cell>
          <cell r="D375" t="str">
            <v>3175042308790007</v>
          </cell>
        </row>
        <row r="376">
          <cell r="B376">
            <v>25000000000373</v>
          </cell>
          <cell r="C376" t="str">
            <v>Rubah</v>
          </cell>
          <cell r="D376" t="str">
            <v/>
          </cell>
        </row>
        <row r="377">
          <cell r="B377">
            <v>25000000000374</v>
          </cell>
          <cell r="C377" t="str">
            <v>Rudi Junaedi</v>
          </cell>
          <cell r="D377" t="str">
            <v/>
          </cell>
        </row>
        <row r="378">
          <cell r="B378">
            <v>25000000000375</v>
          </cell>
          <cell r="C378" t="str">
            <v>Ruswandi</v>
          </cell>
          <cell r="D378" t="str">
            <v/>
          </cell>
        </row>
        <row r="379">
          <cell r="B379">
            <v>25000000000376</v>
          </cell>
          <cell r="C379" t="str">
            <v>Ryan Bagus Sasminta</v>
          </cell>
          <cell r="D379" t="str">
            <v/>
          </cell>
        </row>
        <row r="380">
          <cell r="B380">
            <v>25000000000377</v>
          </cell>
          <cell r="C380" t="str">
            <v>Saarah Andriani</v>
          </cell>
          <cell r="D380" t="str">
            <v/>
          </cell>
        </row>
        <row r="381">
          <cell r="B381">
            <v>25000000000378</v>
          </cell>
          <cell r="C381" t="str">
            <v>Safira Nurbaiti</v>
          </cell>
          <cell r="D381" t="str">
            <v/>
          </cell>
        </row>
        <row r="382">
          <cell r="B382">
            <v>25000000000379</v>
          </cell>
          <cell r="C382" t="str">
            <v>Saifulloh</v>
          </cell>
          <cell r="D382" t="str">
            <v/>
          </cell>
        </row>
        <row r="383">
          <cell r="B383">
            <v>25000000000380</v>
          </cell>
          <cell r="C383" t="str">
            <v>Saifuloh</v>
          </cell>
          <cell r="D383" t="str">
            <v/>
          </cell>
        </row>
        <row r="384">
          <cell r="B384">
            <v>25000000000381</v>
          </cell>
          <cell r="C384" t="str">
            <v>Sakinah Tantriani Lubis</v>
          </cell>
          <cell r="D384" t="str">
            <v/>
          </cell>
        </row>
        <row r="385">
          <cell r="B385">
            <v>25000000000382</v>
          </cell>
          <cell r="C385" t="str">
            <v>Abdul Samad</v>
          </cell>
          <cell r="D385" t="str">
            <v/>
          </cell>
        </row>
        <row r="386">
          <cell r="B386">
            <v>25000000000383</v>
          </cell>
          <cell r="C386" t="str">
            <v>Samsul Hadi</v>
          </cell>
          <cell r="D386" t="str">
            <v/>
          </cell>
        </row>
        <row r="387">
          <cell r="B387">
            <v>25000000000384</v>
          </cell>
          <cell r="C387" t="str">
            <v>Sandika</v>
          </cell>
          <cell r="D387" t="str">
            <v/>
          </cell>
        </row>
        <row r="388">
          <cell r="B388">
            <v>25000000000385</v>
          </cell>
          <cell r="C388" t="str">
            <v>Sang Toga Sitompul</v>
          </cell>
          <cell r="D388" t="str">
            <v/>
          </cell>
        </row>
        <row r="389">
          <cell r="B389">
            <v>25000000000386</v>
          </cell>
          <cell r="C389" t="str">
            <v>Santi Dewi R. W.</v>
          </cell>
          <cell r="D389" t="str">
            <v/>
          </cell>
        </row>
        <row r="390">
          <cell r="B390">
            <v>25000000000387</v>
          </cell>
          <cell r="C390" t="str">
            <v>Sarah Sibarani</v>
          </cell>
          <cell r="D390" t="str">
            <v/>
          </cell>
        </row>
        <row r="391">
          <cell r="B391">
            <v>25000000000388</v>
          </cell>
          <cell r="C391" t="str">
            <v>Sarif Hidayatul Umah</v>
          </cell>
          <cell r="D391" t="str">
            <v/>
          </cell>
        </row>
        <row r="392">
          <cell r="B392">
            <v>25000000000389</v>
          </cell>
          <cell r="C392" t="str">
            <v>Satria Budi Raharja</v>
          </cell>
          <cell r="D392" t="str">
            <v/>
          </cell>
        </row>
        <row r="393">
          <cell r="B393">
            <v>25000000000390</v>
          </cell>
          <cell r="C393" t="str">
            <v>Saut M. P. L. Tobing</v>
          </cell>
          <cell r="D393" t="str">
            <v/>
          </cell>
        </row>
        <row r="394">
          <cell r="B394">
            <v>25000000000391</v>
          </cell>
          <cell r="C394" t="str">
            <v>Seftiyan Hadi Maulana</v>
          </cell>
          <cell r="D394" t="str">
            <v>3276022909900017</v>
          </cell>
        </row>
        <row r="395">
          <cell r="B395">
            <v>25000000000392</v>
          </cell>
          <cell r="C395" t="str">
            <v>Sena Andi Satria</v>
          </cell>
          <cell r="D395" t="str">
            <v/>
          </cell>
        </row>
        <row r="396">
          <cell r="B396">
            <v>25000000000393</v>
          </cell>
          <cell r="C396" t="str">
            <v>Setiadi</v>
          </cell>
          <cell r="D396" t="str">
            <v>3174030112750005</v>
          </cell>
        </row>
        <row r="397">
          <cell r="B397">
            <v>25000000000394</v>
          </cell>
          <cell r="C397" t="str">
            <v>Sherly Tamira</v>
          </cell>
          <cell r="D397" t="str">
            <v/>
          </cell>
        </row>
        <row r="398">
          <cell r="B398">
            <v>25000000000395</v>
          </cell>
          <cell r="C398" t="str">
            <v>Shihab</v>
          </cell>
          <cell r="D398" t="str">
            <v/>
          </cell>
        </row>
        <row r="399">
          <cell r="B399">
            <v>25000000000396</v>
          </cell>
          <cell r="C399" t="str">
            <v>Shobarin Jabar</v>
          </cell>
          <cell r="D399" t="str">
            <v/>
          </cell>
        </row>
        <row r="400">
          <cell r="B400">
            <v>25000000000397</v>
          </cell>
          <cell r="C400" t="str">
            <v>Sholehah</v>
          </cell>
          <cell r="D400" t="str">
            <v>3674056205940005</v>
          </cell>
        </row>
        <row r="401">
          <cell r="B401">
            <v>25000000000398</v>
          </cell>
          <cell r="C401" t="str">
            <v>Sigit Rudiantono</v>
          </cell>
          <cell r="D401" t="str">
            <v/>
          </cell>
        </row>
        <row r="402">
          <cell r="B402">
            <v>25000000000399</v>
          </cell>
          <cell r="C402" t="str">
            <v>Silvia Putri</v>
          </cell>
          <cell r="D402" t="str">
            <v/>
          </cell>
        </row>
        <row r="403">
          <cell r="B403">
            <v>25000000000400</v>
          </cell>
          <cell r="C403" t="str">
            <v>Simron Ronaldi Nasution</v>
          </cell>
          <cell r="D403" t="str">
            <v/>
          </cell>
        </row>
        <row r="404">
          <cell r="B404">
            <v>25000000000401</v>
          </cell>
          <cell r="C404" t="str">
            <v>Sinta Vera Trikawati</v>
          </cell>
          <cell r="D404" t="str">
            <v/>
          </cell>
        </row>
        <row r="405">
          <cell r="B405">
            <v>25000000000402</v>
          </cell>
          <cell r="C405" t="str">
            <v>Sir Muhammad Zafrulloh Khan</v>
          </cell>
          <cell r="D405" t="str">
            <v/>
          </cell>
        </row>
        <row r="406">
          <cell r="B406">
            <v>25000000000403</v>
          </cell>
          <cell r="C406" t="str">
            <v>Siska Marlina</v>
          </cell>
          <cell r="D406" t="str">
            <v/>
          </cell>
        </row>
        <row r="407">
          <cell r="B407">
            <v>25000000000404</v>
          </cell>
          <cell r="C407" t="str">
            <v>Siswanto</v>
          </cell>
          <cell r="D407" t="str">
            <v/>
          </cell>
        </row>
        <row r="408">
          <cell r="B408">
            <v>25000000000405</v>
          </cell>
          <cell r="C408" t="str">
            <v>Siti Mulyani</v>
          </cell>
          <cell r="D408" t="str">
            <v/>
          </cell>
        </row>
        <row r="409">
          <cell r="B409">
            <v>25000000000406</v>
          </cell>
          <cell r="C409" t="str">
            <v>Sjanti Devi</v>
          </cell>
          <cell r="D409" t="str">
            <v/>
          </cell>
        </row>
        <row r="410">
          <cell r="B410">
            <v>25000000000407</v>
          </cell>
          <cell r="C410" t="str">
            <v>Slamet Budi Setiawan</v>
          </cell>
          <cell r="D410" t="str">
            <v/>
          </cell>
        </row>
        <row r="411">
          <cell r="B411">
            <v>25000000000408</v>
          </cell>
          <cell r="C411" t="str">
            <v>Sofyan Maulana</v>
          </cell>
          <cell r="D411" t="str">
            <v/>
          </cell>
        </row>
        <row r="412">
          <cell r="B412">
            <v>25000000000409</v>
          </cell>
          <cell r="C412" t="str">
            <v>Subagio</v>
          </cell>
          <cell r="D412" t="str">
            <v/>
          </cell>
        </row>
        <row r="413">
          <cell r="B413">
            <v>25000000000410</v>
          </cell>
          <cell r="C413" t="str">
            <v>Suci Mardiana</v>
          </cell>
          <cell r="D413" t="str">
            <v/>
          </cell>
        </row>
        <row r="414">
          <cell r="B414">
            <v>25000000000411</v>
          </cell>
          <cell r="C414" t="str">
            <v>Suci Rachma Sari</v>
          </cell>
          <cell r="D414" t="str">
            <v/>
          </cell>
        </row>
        <row r="415">
          <cell r="B415">
            <v>25000000000412</v>
          </cell>
          <cell r="C415" t="str">
            <v>Sudarlan</v>
          </cell>
          <cell r="D415" t="str">
            <v>3173061206730012</v>
          </cell>
        </row>
        <row r="416">
          <cell r="B416">
            <v>25000000000413</v>
          </cell>
          <cell r="C416" t="str">
            <v>Sufie Amalia</v>
          </cell>
          <cell r="D416" t="str">
            <v/>
          </cell>
        </row>
        <row r="417">
          <cell r="B417">
            <v>25000000000414</v>
          </cell>
          <cell r="C417" t="str">
            <v>Sugeng Ismanto</v>
          </cell>
          <cell r="D417" t="str">
            <v/>
          </cell>
        </row>
        <row r="418">
          <cell r="B418">
            <v>25000000000415</v>
          </cell>
          <cell r="C418" t="str">
            <v>Sugiarto</v>
          </cell>
          <cell r="D418" t="str">
            <v>3174071006860011</v>
          </cell>
        </row>
        <row r="419">
          <cell r="B419">
            <v>25000000000416</v>
          </cell>
          <cell r="C419" t="str">
            <v>Sulih</v>
          </cell>
          <cell r="D419" t="str">
            <v/>
          </cell>
        </row>
        <row r="420">
          <cell r="B420">
            <v>25000000000417</v>
          </cell>
          <cell r="C420" t="str">
            <v>Sumadi</v>
          </cell>
          <cell r="D420" t="str">
            <v/>
          </cell>
        </row>
        <row r="421">
          <cell r="B421">
            <v>25000000000418</v>
          </cell>
          <cell r="C421" t="str">
            <v>Sumirat</v>
          </cell>
          <cell r="D421" t="str">
            <v/>
          </cell>
        </row>
        <row r="422">
          <cell r="B422">
            <v>25000000000419</v>
          </cell>
          <cell r="C422" t="str">
            <v>Sunaryati</v>
          </cell>
          <cell r="D422" t="str">
            <v/>
          </cell>
        </row>
        <row r="423">
          <cell r="B423">
            <v>25000000000420</v>
          </cell>
          <cell r="C423" t="str">
            <v>Supriyadi</v>
          </cell>
          <cell r="D423" t="str">
            <v/>
          </cell>
        </row>
        <row r="424">
          <cell r="B424">
            <v>25000000000421</v>
          </cell>
          <cell r="C424" t="str">
            <v>Suriono Suriono</v>
          </cell>
          <cell r="D424" t="str">
            <v/>
          </cell>
        </row>
        <row r="425">
          <cell r="B425">
            <v>25000000000422</v>
          </cell>
          <cell r="C425" t="str">
            <v>Surono</v>
          </cell>
          <cell r="D425" t="str">
            <v/>
          </cell>
        </row>
        <row r="426">
          <cell r="B426">
            <v>25000000000423</v>
          </cell>
          <cell r="C426" t="str">
            <v>Surtoyo Syukri</v>
          </cell>
          <cell r="D426" t="str">
            <v/>
          </cell>
        </row>
        <row r="427">
          <cell r="B427">
            <v>25000000000424</v>
          </cell>
          <cell r="C427" t="str">
            <v>Suryadi</v>
          </cell>
          <cell r="D427" t="str">
            <v/>
          </cell>
        </row>
        <row r="428">
          <cell r="B428">
            <v>25000000000425</v>
          </cell>
          <cell r="C428" t="str">
            <v>Susilawati</v>
          </cell>
          <cell r="D428" t="str">
            <v/>
          </cell>
        </row>
        <row r="429">
          <cell r="B429">
            <v>25000000000426</v>
          </cell>
          <cell r="C429" t="str">
            <v>Sutarno</v>
          </cell>
          <cell r="D429" t="str">
            <v/>
          </cell>
        </row>
        <row r="430">
          <cell r="B430">
            <v>25000000000427</v>
          </cell>
          <cell r="C430" t="str">
            <v>Sutra Riandi</v>
          </cell>
          <cell r="D430" t="str">
            <v/>
          </cell>
        </row>
        <row r="431">
          <cell r="B431">
            <v>25000000000428</v>
          </cell>
          <cell r="C431" t="str">
            <v>Suyanto</v>
          </cell>
          <cell r="D431" t="str">
            <v/>
          </cell>
        </row>
        <row r="432">
          <cell r="B432">
            <v>25000000000429</v>
          </cell>
          <cell r="C432" t="str">
            <v>Swar Jono</v>
          </cell>
          <cell r="D432" t="str">
            <v/>
          </cell>
        </row>
        <row r="433">
          <cell r="B433">
            <v>25000000000430</v>
          </cell>
          <cell r="C433" t="str">
            <v>Syafruddin</v>
          </cell>
          <cell r="D433" t="str">
            <v/>
          </cell>
        </row>
        <row r="434">
          <cell r="B434">
            <v>25000000000431</v>
          </cell>
          <cell r="C434" t="str">
            <v>Syafrudin Machmud</v>
          </cell>
          <cell r="D434" t="str">
            <v/>
          </cell>
        </row>
        <row r="435">
          <cell r="B435">
            <v>25000000000432</v>
          </cell>
          <cell r="C435" t="str">
            <v>Syahrizal</v>
          </cell>
          <cell r="D435" t="str">
            <v/>
          </cell>
        </row>
        <row r="436">
          <cell r="B436">
            <v>25000000000433</v>
          </cell>
          <cell r="C436" t="str">
            <v>Syaiful Idjam</v>
          </cell>
          <cell r="D436" t="str">
            <v/>
          </cell>
        </row>
        <row r="437">
          <cell r="B437">
            <v>25000000000434</v>
          </cell>
          <cell r="C437" t="str">
            <v>Tajuddin Assubki Ismail</v>
          </cell>
          <cell r="D437" t="str">
            <v/>
          </cell>
        </row>
        <row r="438">
          <cell r="B438">
            <v>25000000000435</v>
          </cell>
          <cell r="C438" t="str">
            <v>Taslim</v>
          </cell>
          <cell r="D438" t="str">
            <v/>
          </cell>
        </row>
        <row r="439">
          <cell r="B439">
            <v>25000000000436</v>
          </cell>
          <cell r="C439" t="str">
            <v>Taufik Mulia Pane</v>
          </cell>
          <cell r="D439" t="str">
            <v/>
          </cell>
        </row>
        <row r="440">
          <cell r="B440">
            <v>25000000000437</v>
          </cell>
          <cell r="C440" t="str">
            <v>Tedy Harseno</v>
          </cell>
          <cell r="D440" t="str">
            <v/>
          </cell>
        </row>
        <row r="441">
          <cell r="B441">
            <v>25000000000438</v>
          </cell>
          <cell r="C441" t="str">
            <v>Teguh Joko Pamuji</v>
          </cell>
          <cell r="D441" t="str">
            <v/>
          </cell>
        </row>
        <row r="442">
          <cell r="B442">
            <v>25000000000439</v>
          </cell>
          <cell r="C442" t="str">
            <v>Teguh Pratama Januzir Sukin</v>
          </cell>
          <cell r="D442" t="str">
            <v>3174092710810006</v>
          </cell>
        </row>
        <row r="443">
          <cell r="B443">
            <v>25000000000440</v>
          </cell>
          <cell r="C443" t="str">
            <v>Teguh Susanto</v>
          </cell>
          <cell r="D443" t="str">
            <v/>
          </cell>
        </row>
        <row r="444">
          <cell r="B444">
            <v>25000000000441</v>
          </cell>
          <cell r="C444" t="str">
            <v>Tenri Sumange</v>
          </cell>
          <cell r="D444" t="str">
            <v/>
          </cell>
        </row>
        <row r="445">
          <cell r="B445">
            <v>25000000000442</v>
          </cell>
          <cell r="C445" t="str">
            <v>Teuku Zulkifli</v>
          </cell>
          <cell r="D445" t="str">
            <v/>
          </cell>
        </row>
        <row r="446">
          <cell r="B446">
            <v>25000000000443</v>
          </cell>
          <cell r="C446" t="str">
            <v>Tiara Kemalasari</v>
          </cell>
          <cell r="D446" t="str">
            <v/>
          </cell>
        </row>
        <row r="447">
          <cell r="B447">
            <v>25000000000444</v>
          </cell>
          <cell r="C447" t="str">
            <v>Tjhang Linawati</v>
          </cell>
          <cell r="D447" t="str">
            <v/>
          </cell>
        </row>
        <row r="448">
          <cell r="B448">
            <v>25000000000445</v>
          </cell>
          <cell r="C448" t="str">
            <v>Totok Kristianto</v>
          </cell>
          <cell r="D448" t="str">
            <v/>
          </cell>
        </row>
        <row r="449">
          <cell r="B449">
            <v>25000000000446</v>
          </cell>
          <cell r="C449" t="str">
            <v>Tri Aji</v>
          </cell>
          <cell r="D449" t="str">
            <v/>
          </cell>
        </row>
        <row r="450">
          <cell r="B450">
            <v>25000000000447</v>
          </cell>
          <cell r="C450" t="str">
            <v>Tri M. Saputra</v>
          </cell>
          <cell r="D450" t="str">
            <v/>
          </cell>
        </row>
        <row r="451">
          <cell r="B451">
            <v>25000000000448</v>
          </cell>
          <cell r="C451" t="str">
            <v>Triani Irma</v>
          </cell>
          <cell r="D451" t="str">
            <v/>
          </cell>
        </row>
        <row r="452">
          <cell r="B452">
            <v>25000000000449</v>
          </cell>
          <cell r="C452" t="str">
            <v>Trisyanto</v>
          </cell>
          <cell r="D452" t="str">
            <v/>
          </cell>
        </row>
        <row r="453">
          <cell r="B453">
            <v>25000000000450</v>
          </cell>
          <cell r="C453" t="str">
            <v>Triwiarti Dibya</v>
          </cell>
          <cell r="D453" t="str">
            <v/>
          </cell>
        </row>
        <row r="454">
          <cell r="B454">
            <v>25000000000451</v>
          </cell>
          <cell r="C454" t="str">
            <v>Triyono</v>
          </cell>
          <cell r="D454" t="str">
            <v/>
          </cell>
        </row>
        <row r="455">
          <cell r="B455">
            <v>25000000000452</v>
          </cell>
          <cell r="C455" t="str">
            <v>Turita Pramuning Marantina</v>
          </cell>
          <cell r="D455" t="str">
            <v>3174074303660008</v>
          </cell>
        </row>
        <row r="456">
          <cell r="B456">
            <v>25000000000453</v>
          </cell>
          <cell r="C456" t="str">
            <v>Tutus Ary</v>
          </cell>
          <cell r="D456" t="str">
            <v/>
          </cell>
        </row>
        <row r="457">
          <cell r="B457">
            <v>25000000000454</v>
          </cell>
          <cell r="C457" t="str">
            <v>Ubaidillah</v>
          </cell>
          <cell r="D457" t="str">
            <v/>
          </cell>
        </row>
        <row r="458">
          <cell r="B458">
            <v>25000000000455</v>
          </cell>
          <cell r="C458" t="str">
            <v>Ujang Barma</v>
          </cell>
          <cell r="D458" t="str">
            <v/>
          </cell>
        </row>
        <row r="459">
          <cell r="B459">
            <v>25000000000456</v>
          </cell>
          <cell r="C459" t="str">
            <v>Ujang Suryana</v>
          </cell>
          <cell r="D459" t="str">
            <v/>
          </cell>
        </row>
        <row r="460">
          <cell r="B460">
            <v>25000000000457</v>
          </cell>
          <cell r="C460" t="str">
            <v>Ulman Juanda</v>
          </cell>
          <cell r="D460" t="str">
            <v/>
          </cell>
        </row>
        <row r="461">
          <cell r="B461">
            <v>25000000000458</v>
          </cell>
          <cell r="C461" t="str">
            <v>Urbanus Boimau</v>
          </cell>
          <cell r="D461" t="str">
            <v>3175022605760013</v>
          </cell>
        </row>
        <row r="462">
          <cell r="B462">
            <v>25000000000459</v>
          </cell>
          <cell r="C462" t="str">
            <v>Uswatun Hasamah</v>
          </cell>
          <cell r="D462" t="str">
            <v/>
          </cell>
        </row>
        <row r="463">
          <cell r="B463">
            <v>25000000000460</v>
          </cell>
          <cell r="C463" t="str">
            <v>Uswatun Khasanah</v>
          </cell>
          <cell r="D463" t="str">
            <v/>
          </cell>
        </row>
        <row r="464">
          <cell r="B464">
            <v>25000000000461</v>
          </cell>
          <cell r="C464" t="str">
            <v>Utami Dewi</v>
          </cell>
          <cell r="D464" t="str">
            <v/>
          </cell>
        </row>
        <row r="465">
          <cell r="B465">
            <v>25000000000462</v>
          </cell>
          <cell r="C465" t="str">
            <v>Utanto</v>
          </cell>
          <cell r="D465" t="str">
            <v/>
          </cell>
        </row>
        <row r="466">
          <cell r="B466">
            <v>25000000000463</v>
          </cell>
          <cell r="C466" t="str">
            <v>Veradita Yulanda</v>
          </cell>
          <cell r="D466" t="str">
            <v/>
          </cell>
        </row>
        <row r="467">
          <cell r="B467">
            <v>25000000000464</v>
          </cell>
          <cell r="C467" t="str">
            <v>Vidhy Kartika Putri</v>
          </cell>
          <cell r="D467" t="str">
            <v/>
          </cell>
        </row>
        <row r="468">
          <cell r="B468">
            <v>25000000000465</v>
          </cell>
          <cell r="C468" t="str">
            <v>Vonny Agram</v>
          </cell>
          <cell r="D468" t="str">
            <v/>
          </cell>
        </row>
        <row r="469">
          <cell r="B469">
            <v>25000000000466</v>
          </cell>
          <cell r="C469" t="str">
            <v>Wahyu</v>
          </cell>
          <cell r="D469" t="str">
            <v/>
          </cell>
        </row>
        <row r="470">
          <cell r="B470">
            <v>25000000000467</v>
          </cell>
          <cell r="C470" t="str">
            <v>Wahyu Ramadhani</v>
          </cell>
          <cell r="D470" t="str">
            <v/>
          </cell>
        </row>
        <row r="471">
          <cell r="B471">
            <v>25000000000468</v>
          </cell>
          <cell r="C471" t="str">
            <v>Wahyu Widodo</v>
          </cell>
          <cell r="D471" t="str">
            <v/>
          </cell>
        </row>
        <row r="472">
          <cell r="B472">
            <v>25000000000469</v>
          </cell>
          <cell r="C472" t="str">
            <v>Warsito Edy Saputra</v>
          </cell>
          <cell r="D472" t="str">
            <v/>
          </cell>
        </row>
        <row r="473">
          <cell r="B473">
            <v>25000000000470</v>
          </cell>
          <cell r="C473" t="str">
            <v>Weldi Wimar</v>
          </cell>
          <cell r="D473" t="str">
            <v/>
          </cell>
        </row>
        <row r="474">
          <cell r="B474">
            <v>25000000000471</v>
          </cell>
          <cell r="C474" t="str">
            <v>Wendy Septiyan</v>
          </cell>
          <cell r="D474" t="str">
            <v/>
          </cell>
        </row>
        <row r="475">
          <cell r="B475">
            <v>25000000000472</v>
          </cell>
          <cell r="C475" t="str">
            <v>Willy Indarto</v>
          </cell>
          <cell r="D475" t="str">
            <v/>
          </cell>
        </row>
        <row r="476">
          <cell r="B476">
            <v>25000000000473</v>
          </cell>
          <cell r="C476" t="str">
            <v>Winda Suherman</v>
          </cell>
          <cell r="D476" t="str">
            <v/>
          </cell>
        </row>
        <row r="477">
          <cell r="B477">
            <v>25000000000474</v>
          </cell>
          <cell r="C477" t="str">
            <v>Wisnu Ardian</v>
          </cell>
          <cell r="D477" t="str">
            <v/>
          </cell>
        </row>
        <row r="478">
          <cell r="B478">
            <v>25000000000475</v>
          </cell>
          <cell r="C478" t="str">
            <v>Wisudanto C. Suntoyo</v>
          </cell>
          <cell r="D478" t="str">
            <v/>
          </cell>
        </row>
        <row r="479">
          <cell r="B479">
            <v>25000000000476</v>
          </cell>
          <cell r="C479" t="str">
            <v>Yahya Adyasa Febriansyah</v>
          </cell>
          <cell r="D479" t="str">
            <v/>
          </cell>
        </row>
        <row r="480">
          <cell r="B480">
            <v>25000000000477</v>
          </cell>
          <cell r="C480" t="str">
            <v>Yakup Sunaryo</v>
          </cell>
          <cell r="D480" t="str">
            <v/>
          </cell>
        </row>
        <row r="481">
          <cell r="B481">
            <v>25000000000478</v>
          </cell>
          <cell r="C481" t="str">
            <v>Yanuar Tri Ananda</v>
          </cell>
          <cell r="D481" t="str">
            <v/>
          </cell>
        </row>
        <row r="482">
          <cell r="B482">
            <v>25000000000479</v>
          </cell>
          <cell r="C482" t="str">
            <v>Yasir Liem</v>
          </cell>
          <cell r="D482" t="str">
            <v/>
          </cell>
        </row>
        <row r="483">
          <cell r="B483">
            <v>25000000000480</v>
          </cell>
          <cell r="C483" t="str">
            <v>Yefri Hendrayani</v>
          </cell>
          <cell r="D483" t="str">
            <v/>
          </cell>
        </row>
        <row r="484">
          <cell r="B484">
            <v>25000000000481</v>
          </cell>
          <cell r="C484" t="str">
            <v>Yessi Setiarini</v>
          </cell>
          <cell r="D484" t="str">
            <v/>
          </cell>
        </row>
        <row r="485">
          <cell r="B485">
            <v>25000000000482</v>
          </cell>
          <cell r="C485" t="str">
            <v>Yorid Fae</v>
          </cell>
          <cell r="D485" t="str">
            <v/>
          </cell>
        </row>
        <row r="486">
          <cell r="B486">
            <v>25000000000483</v>
          </cell>
          <cell r="C486" t="str">
            <v>Yosef Hang Wan</v>
          </cell>
          <cell r="D486" t="str">
            <v/>
          </cell>
        </row>
        <row r="487">
          <cell r="B487">
            <v>25000000000484</v>
          </cell>
          <cell r="C487" t="str">
            <v>Yossie Deliana</v>
          </cell>
          <cell r="D487" t="str">
            <v/>
          </cell>
        </row>
        <row r="488">
          <cell r="B488">
            <v>25000000000485</v>
          </cell>
          <cell r="C488" t="str">
            <v>Yudi Rahmadi</v>
          </cell>
          <cell r="D488" t="str">
            <v/>
          </cell>
        </row>
        <row r="489">
          <cell r="B489">
            <v>25000000000486</v>
          </cell>
          <cell r="C489" t="str">
            <v>Yudo Jati Rahmat Satrio</v>
          </cell>
          <cell r="D489" t="str">
            <v/>
          </cell>
        </row>
        <row r="490">
          <cell r="B490">
            <v>25000000000487</v>
          </cell>
          <cell r="C490" t="str">
            <v>Yuliandaru Suryoatmodjo</v>
          </cell>
          <cell r="D490" t="str">
            <v>3275090407740011</v>
          </cell>
        </row>
        <row r="491">
          <cell r="B491">
            <v>25000000000488</v>
          </cell>
          <cell r="C491" t="str">
            <v>Yulianta</v>
          </cell>
          <cell r="D491" t="str">
            <v/>
          </cell>
        </row>
        <row r="492">
          <cell r="B492">
            <v>25000000000489</v>
          </cell>
          <cell r="C492" t="str">
            <v>Yulianti</v>
          </cell>
          <cell r="D492" t="str">
            <v/>
          </cell>
        </row>
        <row r="493">
          <cell r="B493">
            <v>25000000000490</v>
          </cell>
          <cell r="C493" t="str">
            <v>Yulius</v>
          </cell>
          <cell r="D493" t="str">
            <v/>
          </cell>
        </row>
        <row r="494">
          <cell r="B494">
            <v>25000000000491</v>
          </cell>
          <cell r="C494" t="str">
            <v>Yunni Sazili</v>
          </cell>
          <cell r="D494" t="str">
            <v/>
          </cell>
        </row>
        <row r="495">
          <cell r="B495">
            <v>25000000000492</v>
          </cell>
          <cell r="C495" t="str">
            <v>Yusman</v>
          </cell>
          <cell r="D495" t="str">
            <v/>
          </cell>
        </row>
        <row r="496">
          <cell r="B496">
            <v>25000000000493</v>
          </cell>
          <cell r="C496" t="str">
            <v>Yusri Azhar</v>
          </cell>
          <cell r="D496" t="str">
            <v/>
          </cell>
        </row>
        <row r="497">
          <cell r="B497">
            <v>25000000000494</v>
          </cell>
          <cell r="C497" t="str">
            <v>Zafrizal</v>
          </cell>
          <cell r="D497" t="str">
            <v/>
          </cell>
        </row>
        <row r="498">
          <cell r="B498">
            <v>25000000000495</v>
          </cell>
          <cell r="C498" t="str">
            <v>Zafrizal Rifla (Ucok)</v>
          </cell>
          <cell r="D498" t="str">
            <v/>
          </cell>
        </row>
        <row r="499">
          <cell r="B499">
            <v>25000000000496</v>
          </cell>
          <cell r="C499" t="str">
            <v>Zainuddin</v>
          </cell>
          <cell r="D499" t="str">
            <v/>
          </cell>
        </row>
        <row r="500">
          <cell r="B500">
            <v>25000000000497</v>
          </cell>
          <cell r="C500" t="str">
            <v>Zainudin Anwar</v>
          </cell>
          <cell r="D500" t="str">
            <v>3174090601960003</v>
          </cell>
        </row>
        <row r="501">
          <cell r="B501">
            <v>25000000000498</v>
          </cell>
          <cell r="C501" t="str">
            <v>Zaire Dite Biscaya</v>
          </cell>
          <cell r="D501" t="str">
            <v/>
          </cell>
        </row>
        <row r="502">
          <cell r="B502">
            <v>25000000000499</v>
          </cell>
          <cell r="C502" t="str">
            <v>Zalfi Yandri</v>
          </cell>
          <cell r="D502" t="str">
            <v/>
          </cell>
        </row>
        <row r="503">
          <cell r="B503">
            <v>25000000000500</v>
          </cell>
          <cell r="C503" t="str">
            <v>Zam Roji</v>
          </cell>
          <cell r="D503" t="str">
            <v/>
          </cell>
        </row>
        <row r="504">
          <cell r="B504">
            <v>25000000000501</v>
          </cell>
          <cell r="C504" t="str">
            <v>Zulfikar K. Siregar</v>
          </cell>
          <cell r="D504" t="str">
            <v>1271201607700004</v>
          </cell>
        </row>
        <row r="505">
          <cell r="B505">
            <v>25000000000502</v>
          </cell>
          <cell r="C505" t="str">
            <v>Adythia Adikara</v>
          </cell>
          <cell r="D505" t="str">
            <v/>
          </cell>
        </row>
        <row r="506">
          <cell r="B506">
            <v>25000000000503</v>
          </cell>
          <cell r="C506" t="str">
            <v>Agus Sopyan Hadi</v>
          </cell>
          <cell r="D506" t="str">
            <v/>
          </cell>
        </row>
        <row r="507">
          <cell r="B507">
            <v>25000000000504</v>
          </cell>
          <cell r="C507" t="str">
            <v>Azis Purwandana</v>
          </cell>
          <cell r="D507" t="str">
            <v/>
          </cell>
        </row>
        <row r="508">
          <cell r="B508">
            <v>25000000000505</v>
          </cell>
          <cell r="C508" t="str">
            <v>Heryanto</v>
          </cell>
          <cell r="D508" t="str">
            <v/>
          </cell>
        </row>
        <row r="509">
          <cell r="B509">
            <v>25000000000506</v>
          </cell>
          <cell r="C509" t="str">
            <v>Imran</v>
          </cell>
          <cell r="D509" t="str">
            <v/>
          </cell>
        </row>
        <row r="510">
          <cell r="B510">
            <v>25000000000507</v>
          </cell>
          <cell r="C510" t="str">
            <v>Khamim Taryono</v>
          </cell>
          <cell r="D510" t="str">
            <v/>
          </cell>
        </row>
        <row r="511">
          <cell r="B511">
            <v>25000000000508</v>
          </cell>
          <cell r="C511" t="str">
            <v>Rafi Artman Siddiq</v>
          </cell>
          <cell r="D511" t="str">
            <v/>
          </cell>
        </row>
        <row r="512">
          <cell r="B512">
            <v>25000000000509</v>
          </cell>
          <cell r="C512" t="str">
            <v>Riza Emir Subekti</v>
          </cell>
          <cell r="D512" t="str">
            <v>3275053003920010</v>
          </cell>
        </row>
        <row r="513">
          <cell r="B513">
            <v>25000000000510</v>
          </cell>
          <cell r="C513" t="str">
            <v>Slamet Riadi</v>
          </cell>
          <cell r="D513" t="str">
            <v/>
          </cell>
        </row>
        <row r="514">
          <cell r="B514">
            <v>25000000000511</v>
          </cell>
          <cell r="C514" t="str">
            <v>Wisnu Andra Isdianto</v>
          </cell>
          <cell r="D514" t="str">
            <v/>
          </cell>
        </row>
        <row r="515">
          <cell r="B515">
            <v>25000000000512</v>
          </cell>
          <cell r="C515" t="str">
            <v>Agus Budi Setiawan</v>
          </cell>
          <cell r="D515" t="str">
            <v/>
          </cell>
        </row>
        <row r="516">
          <cell r="B516">
            <v>25000000000513</v>
          </cell>
          <cell r="C516" t="str">
            <v>Ahmad Choerul</v>
          </cell>
          <cell r="D516" t="str">
            <v>3175101105950001</v>
          </cell>
        </row>
        <row r="517">
          <cell r="B517">
            <v>25000000000514</v>
          </cell>
          <cell r="C517" t="str">
            <v>Achmad Yunadi</v>
          </cell>
          <cell r="D517" t="str">
            <v/>
          </cell>
        </row>
        <row r="518">
          <cell r="B518">
            <v>25000000000515</v>
          </cell>
          <cell r="C518" t="str">
            <v>Asep mulyana</v>
          </cell>
          <cell r="D518" t="str">
            <v/>
          </cell>
        </row>
        <row r="519">
          <cell r="B519">
            <v>25000000000516</v>
          </cell>
          <cell r="C519" t="str">
            <v>Bagus Isdiantara</v>
          </cell>
          <cell r="D519" t="str">
            <v/>
          </cell>
        </row>
        <row r="520">
          <cell r="B520">
            <v>25000000000517</v>
          </cell>
          <cell r="C520" t="str">
            <v>Cahyana</v>
          </cell>
          <cell r="D520" t="str">
            <v>3273250505830006</v>
          </cell>
        </row>
        <row r="521">
          <cell r="B521">
            <v>25000000000518</v>
          </cell>
          <cell r="C521" t="str">
            <v>Dede Hartanto</v>
          </cell>
          <cell r="D521" t="str">
            <v/>
          </cell>
        </row>
        <row r="522">
          <cell r="B522">
            <v>25000000000519</v>
          </cell>
          <cell r="C522" t="str">
            <v>Denny Achmad Ferlando</v>
          </cell>
          <cell r="D522" t="str">
            <v/>
          </cell>
        </row>
        <row r="523">
          <cell r="B523">
            <v>25000000000520</v>
          </cell>
          <cell r="C523" t="str">
            <v>Dian Setiawan</v>
          </cell>
          <cell r="D523" t="str">
            <v/>
          </cell>
        </row>
        <row r="524">
          <cell r="B524">
            <v>25000000000521</v>
          </cell>
          <cell r="C524" t="str">
            <v>Fabrian Danang Destiyara</v>
          </cell>
          <cell r="D524" t="str">
            <v>3174030112980003</v>
          </cell>
        </row>
        <row r="525">
          <cell r="B525">
            <v>25000000000522</v>
          </cell>
          <cell r="C525" t="str">
            <v>Ferdian Kriswantoro</v>
          </cell>
          <cell r="D525" t="str">
            <v/>
          </cell>
        </row>
        <row r="526">
          <cell r="B526">
            <v>25000000000523</v>
          </cell>
          <cell r="C526" t="str">
            <v>Fuzi Mafrozi</v>
          </cell>
          <cell r="D526" t="str">
            <v/>
          </cell>
        </row>
        <row r="527">
          <cell r="B527">
            <v>25000000000524</v>
          </cell>
          <cell r="C527" t="str">
            <v>Gilang Setiawan</v>
          </cell>
          <cell r="D527" t="str">
            <v/>
          </cell>
        </row>
        <row r="528">
          <cell r="B528">
            <v>25000000000525</v>
          </cell>
          <cell r="C528" t="str">
            <v>Idris Affandi</v>
          </cell>
          <cell r="D528" t="str">
            <v/>
          </cell>
        </row>
        <row r="529">
          <cell r="B529">
            <v>25000000000526</v>
          </cell>
          <cell r="C529" t="str">
            <v>Indra Wijaya</v>
          </cell>
          <cell r="D529" t="str">
            <v/>
          </cell>
        </row>
        <row r="530">
          <cell r="B530">
            <v>25000000000527</v>
          </cell>
          <cell r="C530" t="str">
            <v>Irma Maulidawati</v>
          </cell>
          <cell r="D530" t="str">
            <v>3174096508970001</v>
          </cell>
        </row>
        <row r="531">
          <cell r="B531">
            <v>25000000000528</v>
          </cell>
          <cell r="C531" t="str">
            <v>Istikaro Fauziah</v>
          </cell>
          <cell r="D531" t="str">
            <v>3174054210980004</v>
          </cell>
        </row>
        <row r="532">
          <cell r="B532">
            <v>25000000000529</v>
          </cell>
          <cell r="C532" t="str">
            <v>Muhammad Lukbani</v>
          </cell>
          <cell r="D532" t="str">
            <v/>
          </cell>
        </row>
        <row r="533">
          <cell r="B533">
            <v>25000000000530</v>
          </cell>
          <cell r="C533" t="str">
            <v>Muhammad Sholikhun</v>
          </cell>
          <cell r="D533" t="str">
            <v/>
          </cell>
        </row>
        <row r="534">
          <cell r="B534">
            <v>25000000000531</v>
          </cell>
          <cell r="C534" t="str">
            <v>Muhammad Syarifudin</v>
          </cell>
          <cell r="D534" t="str">
            <v/>
          </cell>
        </row>
        <row r="535">
          <cell r="B535">
            <v>25000000000532</v>
          </cell>
          <cell r="C535" t="str">
            <v>Nadia Rizkiah</v>
          </cell>
          <cell r="D535" t="str">
            <v/>
          </cell>
        </row>
        <row r="536">
          <cell r="B536">
            <v>25000000000533</v>
          </cell>
          <cell r="C536" t="str">
            <v>Nikko Septian</v>
          </cell>
          <cell r="D536" t="str">
            <v/>
          </cell>
        </row>
        <row r="537">
          <cell r="B537">
            <v>25000000000534</v>
          </cell>
          <cell r="C537" t="str">
            <v>Novizan</v>
          </cell>
          <cell r="D537" t="str">
            <v/>
          </cell>
        </row>
        <row r="538">
          <cell r="B538">
            <v>25000000000535</v>
          </cell>
          <cell r="C538" t="str">
            <v>Oqi Suhaqi Yunus</v>
          </cell>
          <cell r="D538" t="str">
            <v/>
          </cell>
        </row>
        <row r="539">
          <cell r="B539">
            <v>25000000000536</v>
          </cell>
          <cell r="C539" t="str">
            <v>Restu Dwi Anjayani</v>
          </cell>
          <cell r="D539" t="str">
            <v>3216085507950007</v>
          </cell>
        </row>
        <row r="540">
          <cell r="B540">
            <v>25000000000537</v>
          </cell>
          <cell r="C540" t="str">
            <v>Rizal Amri</v>
          </cell>
          <cell r="D540" t="str">
            <v/>
          </cell>
        </row>
        <row r="541">
          <cell r="B541">
            <v>25000000000538</v>
          </cell>
          <cell r="C541" t="str">
            <v>Ronny Anindika Arnold</v>
          </cell>
          <cell r="D541" t="str">
            <v/>
          </cell>
        </row>
        <row r="542">
          <cell r="B542">
            <v>25000000000539</v>
          </cell>
          <cell r="C542" t="str">
            <v>Samta Harahap</v>
          </cell>
          <cell r="D542" t="str">
            <v/>
          </cell>
        </row>
        <row r="543">
          <cell r="B543">
            <v>25000000000540</v>
          </cell>
          <cell r="C543" t="str">
            <v>Vingky Hendriek Yomerlin</v>
          </cell>
          <cell r="D543" t="str">
            <v/>
          </cell>
        </row>
        <row r="544">
          <cell r="B544">
            <v>25000000000541</v>
          </cell>
          <cell r="C544" t="str">
            <v>Wahyu Teluk Naga</v>
          </cell>
          <cell r="D544" t="str">
            <v/>
          </cell>
        </row>
        <row r="545">
          <cell r="B545">
            <v>25000000000542</v>
          </cell>
          <cell r="C545" t="str">
            <v>Wardah Laily Khoiriyah</v>
          </cell>
          <cell r="D545" t="str">
            <v>3671065910970003</v>
          </cell>
        </row>
        <row r="546">
          <cell r="B546">
            <v>25000000000543</v>
          </cell>
          <cell r="C546" t="str">
            <v>Wawan Kusworo</v>
          </cell>
          <cell r="D546" t="str">
            <v/>
          </cell>
        </row>
        <row r="547">
          <cell r="B547">
            <v>25000000000544</v>
          </cell>
          <cell r="C547" t="str">
            <v>Wulanraniasih</v>
          </cell>
          <cell r="D547" t="str">
            <v/>
          </cell>
        </row>
        <row r="548">
          <cell r="B548">
            <v>25000000000545</v>
          </cell>
          <cell r="C548" t="str">
            <v>Yogi Perbangkara</v>
          </cell>
          <cell r="D548" t="str">
            <v>3201290804850007</v>
          </cell>
        </row>
        <row r="549">
          <cell r="B549">
            <v>25000000000546</v>
          </cell>
          <cell r="C549" t="str">
            <v>Yusuf Fathurahman</v>
          </cell>
          <cell r="D549" t="str">
            <v/>
          </cell>
        </row>
        <row r="550">
          <cell r="B550">
            <v>25000000000547</v>
          </cell>
          <cell r="C550" t="str">
            <v>Zeinurani</v>
          </cell>
          <cell r="D550" t="str">
            <v/>
          </cell>
        </row>
        <row r="551">
          <cell r="B551">
            <v>25000000000548</v>
          </cell>
          <cell r="C551" t="str">
            <v>Sulaeman</v>
          </cell>
          <cell r="D551" t="str">
            <v>3201301508830001</v>
          </cell>
        </row>
        <row r="552">
          <cell r="B552">
            <v>25000000000549</v>
          </cell>
          <cell r="C552" t="str">
            <v>Agus Nuryadi</v>
          </cell>
          <cell r="D552" t="str">
            <v/>
          </cell>
        </row>
        <row r="553">
          <cell r="B553">
            <v>25000000000550</v>
          </cell>
          <cell r="C553" t="str">
            <v>Dian Tri Rahmawati</v>
          </cell>
          <cell r="D553" t="str">
            <v>3172046605010007</v>
          </cell>
        </row>
        <row r="554">
          <cell r="B554">
            <v>25000000000551</v>
          </cell>
          <cell r="C554" t="str">
            <v>Langgeng Eko Dwiantoro</v>
          </cell>
          <cell r="D554" t="str">
            <v>3173081411840012</v>
          </cell>
        </row>
        <row r="555">
          <cell r="B555">
            <v>25000000000552</v>
          </cell>
          <cell r="C555" t="str">
            <v>Aldi Rizaldi</v>
          </cell>
          <cell r="D555" t="str">
            <v/>
          </cell>
        </row>
        <row r="556">
          <cell r="B556">
            <v>25000000000553</v>
          </cell>
          <cell r="C556" t="str">
            <v>Masimin</v>
          </cell>
          <cell r="D556" t="str">
            <v/>
          </cell>
        </row>
        <row r="557">
          <cell r="B557">
            <v>25000000000554</v>
          </cell>
          <cell r="C557" t="str">
            <v>Santoso Dwi Cahyo</v>
          </cell>
          <cell r="D557" t="str">
            <v/>
          </cell>
        </row>
        <row r="558">
          <cell r="B558">
            <v>25000000000555</v>
          </cell>
          <cell r="C558" t="str">
            <v>Wartono</v>
          </cell>
          <cell r="D558" t="str">
            <v/>
          </cell>
        </row>
        <row r="559">
          <cell r="B559">
            <v>25000000000556</v>
          </cell>
          <cell r="C559" t="str">
            <v>Yusarman</v>
          </cell>
          <cell r="D559" t="str">
            <v/>
          </cell>
        </row>
        <row r="560">
          <cell r="B560">
            <v>25000000000557</v>
          </cell>
          <cell r="C560" t="str">
            <v>Abdul Rachman</v>
          </cell>
          <cell r="D560" t="str">
            <v/>
          </cell>
        </row>
        <row r="561">
          <cell r="B561">
            <v>25000000000558</v>
          </cell>
          <cell r="C561" t="str">
            <v>Aden Bagus</v>
          </cell>
          <cell r="D561" t="str">
            <v/>
          </cell>
        </row>
        <row r="562">
          <cell r="B562">
            <v>25000000000559</v>
          </cell>
          <cell r="C562" t="str">
            <v>Adhe Kurniawan</v>
          </cell>
          <cell r="D562" t="str">
            <v>3216050912800006</v>
          </cell>
        </row>
        <row r="563">
          <cell r="B563">
            <v>25000000000560</v>
          </cell>
          <cell r="C563" t="str">
            <v>Ahmad Fauzi</v>
          </cell>
          <cell r="D563" t="str">
            <v/>
          </cell>
        </row>
        <row r="564">
          <cell r="B564">
            <v>25000000000561</v>
          </cell>
          <cell r="C564" t="str">
            <v>Ahmad Gunawan</v>
          </cell>
          <cell r="D564" t="str">
            <v/>
          </cell>
        </row>
        <row r="565">
          <cell r="B565">
            <v>25000000000562</v>
          </cell>
          <cell r="C565" t="str">
            <v>Andri Andriyan</v>
          </cell>
          <cell r="D565" t="str">
            <v/>
          </cell>
        </row>
        <row r="566">
          <cell r="B566">
            <v>25000000000563</v>
          </cell>
          <cell r="C566" t="str">
            <v>Budi Sulistianto</v>
          </cell>
          <cell r="D566" t="str">
            <v/>
          </cell>
        </row>
        <row r="567">
          <cell r="B567">
            <v>25000000000564</v>
          </cell>
          <cell r="C567" t="str">
            <v>Eka Budi</v>
          </cell>
          <cell r="D567" t="str">
            <v/>
          </cell>
        </row>
        <row r="568">
          <cell r="B568">
            <v>25000000000565</v>
          </cell>
          <cell r="C568" t="str">
            <v>Eka Kurniawan</v>
          </cell>
          <cell r="D568" t="str">
            <v/>
          </cell>
        </row>
        <row r="569">
          <cell r="B569">
            <v>25000000000566</v>
          </cell>
          <cell r="C569" t="str">
            <v>Haerul Gunawan</v>
          </cell>
          <cell r="D569" t="str">
            <v/>
          </cell>
        </row>
        <row r="570">
          <cell r="B570">
            <v>25000000000567</v>
          </cell>
          <cell r="C570" t="str">
            <v>Irvan Agus</v>
          </cell>
          <cell r="D570" t="str">
            <v/>
          </cell>
        </row>
        <row r="571">
          <cell r="B571">
            <v>25000000000568</v>
          </cell>
          <cell r="C571" t="str">
            <v>Joshika Pradirga</v>
          </cell>
          <cell r="D571" t="str">
            <v/>
          </cell>
        </row>
        <row r="572">
          <cell r="B572">
            <v>25000000000569</v>
          </cell>
          <cell r="C572" t="str">
            <v>Khaidir</v>
          </cell>
          <cell r="D572" t="str">
            <v/>
          </cell>
        </row>
        <row r="573">
          <cell r="B573">
            <v>25000000000570</v>
          </cell>
          <cell r="C573" t="str">
            <v>Latip Muhlanto</v>
          </cell>
          <cell r="D573" t="str">
            <v/>
          </cell>
        </row>
        <row r="574">
          <cell r="B574">
            <v>25000000000571</v>
          </cell>
          <cell r="C574" t="str">
            <v>Leonardo Putra</v>
          </cell>
          <cell r="D574" t="str">
            <v/>
          </cell>
        </row>
        <row r="575">
          <cell r="B575">
            <v>25000000000572</v>
          </cell>
          <cell r="C575" t="str">
            <v>Muhammad Ramadani</v>
          </cell>
          <cell r="D575" t="str">
            <v/>
          </cell>
        </row>
        <row r="576">
          <cell r="B576">
            <v>25000000000573</v>
          </cell>
          <cell r="C576" t="str">
            <v>Musdalipa</v>
          </cell>
          <cell r="D576" t="str">
            <v/>
          </cell>
        </row>
        <row r="577">
          <cell r="B577">
            <v>25000000000574</v>
          </cell>
          <cell r="C577" t="str">
            <v>Nico Melky</v>
          </cell>
          <cell r="D577" t="str">
            <v/>
          </cell>
        </row>
        <row r="578">
          <cell r="B578">
            <v>25000000000575</v>
          </cell>
          <cell r="C578" t="str">
            <v>Rahmata Novanisa</v>
          </cell>
          <cell r="D578" t="str">
            <v>3404026711900001</v>
          </cell>
        </row>
        <row r="579">
          <cell r="B579">
            <v>25000000000576</v>
          </cell>
          <cell r="C579" t="str">
            <v>Satrio Dhiaputra</v>
          </cell>
          <cell r="D579" t="str">
            <v/>
          </cell>
        </row>
        <row r="580">
          <cell r="B580">
            <v>25000000000577</v>
          </cell>
          <cell r="C580" t="str">
            <v>Sudirman</v>
          </cell>
          <cell r="D580" t="str">
            <v/>
          </cell>
        </row>
        <row r="581">
          <cell r="B581">
            <v>25000000000578</v>
          </cell>
          <cell r="C581" t="str">
            <v>Suparji</v>
          </cell>
          <cell r="D581" t="str">
            <v/>
          </cell>
        </row>
        <row r="582">
          <cell r="B582">
            <v>25000000000579</v>
          </cell>
          <cell r="C582" t="str">
            <v>Taufik Iskandar</v>
          </cell>
          <cell r="D582" t="str">
            <v/>
          </cell>
        </row>
        <row r="583">
          <cell r="B583">
            <v>25000000000580</v>
          </cell>
          <cell r="C583" t="str">
            <v>Tegar Hersaputra</v>
          </cell>
          <cell r="D583" t="str">
            <v>3578032706850002</v>
          </cell>
        </row>
        <row r="584">
          <cell r="B584">
            <v>25000000000581</v>
          </cell>
          <cell r="C584" t="str">
            <v>Togar Sihombing</v>
          </cell>
          <cell r="D584" t="str">
            <v/>
          </cell>
        </row>
        <row r="585">
          <cell r="B585">
            <v>25000000000582</v>
          </cell>
          <cell r="C585" t="str">
            <v>Wisnu Trenggono Wirayuda</v>
          </cell>
          <cell r="D585" t="str">
            <v>3175042505000006</v>
          </cell>
        </row>
        <row r="586">
          <cell r="B586">
            <v>25000000000583</v>
          </cell>
          <cell r="C586" t="str">
            <v>Yogo</v>
          </cell>
          <cell r="D586" t="str">
            <v/>
          </cell>
        </row>
        <row r="587">
          <cell r="B587">
            <v>25000000000584</v>
          </cell>
          <cell r="C587" t="str">
            <v>Yustiana Firda</v>
          </cell>
          <cell r="D587" t="str">
            <v/>
          </cell>
        </row>
        <row r="588">
          <cell r="B588">
            <v>25000000000585</v>
          </cell>
          <cell r="C588" t="str">
            <v>Zainal Abidin</v>
          </cell>
          <cell r="D588" t="str">
            <v/>
          </cell>
        </row>
        <row r="589">
          <cell r="B589">
            <v>25000000000586</v>
          </cell>
          <cell r="C589" t="str">
            <v>Budi Sandika</v>
          </cell>
          <cell r="D589" t="str">
            <v/>
          </cell>
        </row>
        <row r="590">
          <cell r="B590">
            <v>25000000000587</v>
          </cell>
          <cell r="C590" t="str">
            <v>Fachri Azhar</v>
          </cell>
          <cell r="D590" t="str">
            <v/>
          </cell>
        </row>
        <row r="591">
          <cell r="B591">
            <v>25000000000588</v>
          </cell>
          <cell r="C591" t="str">
            <v>Firmansyah Awaludin</v>
          </cell>
          <cell r="D591" t="str">
            <v/>
          </cell>
        </row>
        <row r="592">
          <cell r="B592">
            <v>25000000000589</v>
          </cell>
          <cell r="C592" t="str">
            <v>Iman Faisal Abdurahman</v>
          </cell>
          <cell r="D592" t="str">
            <v>3201070101760014</v>
          </cell>
        </row>
        <row r="593">
          <cell r="B593">
            <v>25000000000590</v>
          </cell>
          <cell r="C593" t="str">
            <v>Muhammad Irfan Alfikri Rayana</v>
          </cell>
          <cell r="D593" t="str">
            <v/>
          </cell>
        </row>
        <row r="594">
          <cell r="B594">
            <v>25000000000591</v>
          </cell>
          <cell r="C594" t="str">
            <v>Syafri Johansah</v>
          </cell>
          <cell r="D594" t="str">
            <v/>
          </cell>
        </row>
        <row r="595">
          <cell r="B595">
            <v>25000000000592</v>
          </cell>
          <cell r="C595" t="str">
            <v>Agus Sobar</v>
          </cell>
          <cell r="D595" t="str">
            <v/>
          </cell>
        </row>
        <row r="596">
          <cell r="B596">
            <v>25000000000593</v>
          </cell>
          <cell r="C596" t="str">
            <v>Ahmad Sandi Asyuri</v>
          </cell>
          <cell r="D596" t="str">
            <v>3275063007960011</v>
          </cell>
        </row>
        <row r="597">
          <cell r="B597">
            <v>25000000000594</v>
          </cell>
          <cell r="C597" t="str">
            <v>Andi Mapasoro</v>
          </cell>
          <cell r="D597" t="str">
            <v>3172030304730004</v>
          </cell>
        </row>
        <row r="598">
          <cell r="B598">
            <v>25000000000595</v>
          </cell>
          <cell r="C598" t="str">
            <v>Arie Gustaman</v>
          </cell>
          <cell r="D598" t="str">
            <v/>
          </cell>
        </row>
        <row r="599">
          <cell r="B599">
            <v>25000000000596</v>
          </cell>
          <cell r="C599" t="str">
            <v>Arief Yulianto</v>
          </cell>
          <cell r="D599" t="str">
            <v>3305170207940005</v>
          </cell>
        </row>
        <row r="600">
          <cell r="B600">
            <v>25000000000597</v>
          </cell>
          <cell r="C600" t="str">
            <v>Burhan</v>
          </cell>
          <cell r="D600" t="str">
            <v>3174031404610002</v>
          </cell>
        </row>
        <row r="601">
          <cell r="B601">
            <v>25000000000598</v>
          </cell>
          <cell r="C601" t="str">
            <v>Deby Syahputa</v>
          </cell>
          <cell r="D601" t="str">
            <v/>
          </cell>
        </row>
        <row r="602">
          <cell r="B602">
            <v>25000000000599</v>
          </cell>
          <cell r="C602" t="str">
            <v>Ibrahim Arya Yuda</v>
          </cell>
          <cell r="D602" t="str">
            <v/>
          </cell>
        </row>
        <row r="603">
          <cell r="B603">
            <v>25000000000600</v>
          </cell>
          <cell r="C603" t="str">
            <v>Jamil</v>
          </cell>
          <cell r="D603" t="str">
            <v/>
          </cell>
        </row>
        <row r="604">
          <cell r="B604">
            <v>25000000000601</v>
          </cell>
          <cell r="C604" t="str">
            <v>Kiki Prasetyo</v>
          </cell>
          <cell r="D604" t="str">
            <v/>
          </cell>
        </row>
        <row r="605">
          <cell r="B605">
            <v>25000000000602</v>
          </cell>
          <cell r="C605" t="str">
            <v>Mochamad Ulul Azmi Wira Utama</v>
          </cell>
          <cell r="D605" t="str">
            <v>3201022807940001</v>
          </cell>
        </row>
        <row r="606">
          <cell r="B606">
            <v>25000000000603</v>
          </cell>
          <cell r="C606" t="str">
            <v>Muhammad Bilal Sharony</v>
          </cell>
          <cell r="D606" t="str">
            <v/>
          </cell>
        </row>
        <row r="607">
          <cell r="B607">
            <v>25000000000604</v>
          </cell>
          <cell r="C607" t="str">
            <v>Muhammad Hairul</v>
          </cell>
          <cell r="D607" t="str">
            <v/>
          </cell>
        </row>
        <row r="608">
          <cell r="B608">
            <v>25000000000605</v>
          </cell>
          <cell r="C608" t="str">
            <v>Muhammad Rizal</v>
          </cell>
          <cell r="D608" t="str">
            <v>3173070507890002</v>
          </cell>
        </row>
        <row r="609">
          <cell r="B609">
            <v>25000000000606</v>
          </cell>
          <cell r="C609" t="str">
            <v>Rahmad Dwifar</v>
          </cell>
          <cell r="D609" t="str">
            <v>1371102805980004</v>
          </cell>
        </row>
        <row r="610">
          <cell r="B610">
            <v>25000000000607</v>
          </cell>
          <cell r="C610" t="str">
            <v>Reza Sanjaya</v>
          </cell>
          <cell r="D610" t="str">
            <v/>
          </cell>
        </row>
        <row r="611">
          <cell r="B611">
            <v>25000000000608</v>
          </cell>
          <cell r="C611" t="str">
            <v>Ridwan Nur Muttaqin</v>
          </cell>
          <cell r="D611" t="str">
            <v>3308102707940002</v>
          </cell>
        </row>
        <row r="612">
          <cell r="B612">
            <v>25000000000609</v>
          </cell>
          <cell r="C612" t="str">
            <v xml:space="preserve">Risaldi </v>
          </cell>
          <cell r="D612" t="str">
            <v/>
          </cell>
        </row>
        <row r="613">
          <cell r="B613">
            <v>25000000000610</v>
          </cell>
          <cell r="C613" t="str">
            <v>Risty Alawiyah</v>
          </cell>
          <cell r="D613" t="str">
            <v>3201305605900001</v>
          </cell>
        </row>
        <row r="614">
          <cell r="B614">
            <v>25000000000611</v>
          </cell>
          <cell r="C614" t="str">
            <v>Rustono</v>
          </cell>
          <cell r="D614" t="str">
            <v>3174032511700006</v>
          </cell>
        </row>
        <row r="615">
          <cell r="B615">
            <v>25000000000612</v>
          </cell>
          <cell r="C615" t="str">
            <v>Solihin</v>
          </cell>
          <cell r="D615" t="str">
            <v>3174030307740005</v>
          </cell>
        </row>
        <row r="616">
          <cell r="B616">
            <v>25000000000613</v>
          </cell>
          <cell r="C616" t="str">
            <v>Supriatna</v>
          </cell>
          <cell r="D616" t="str">
            <v>3276062106750003</v>
          </cell>
        </row>
        <row r="617">
          <cell r="B617">
            <v>25000000000614</v>
          </cell>
          <cell r="C617" t="str">
            <v>Taufik Aminudin</v>
          </cell>
          <cell r="D617" t="str">
            <v/>
          </cell>
        </row>
        <row r="618">
          <cell r="B618">
            <v>25000000000615</v>
          </cell>
          <cell r="C618" t="str">
            <v>Taufiq Aminudin</v>
          </cell>
          <cell r="D618" t="str">
            <v/>
          </cell>
        </row>
        <row r="619">
          <cell r="B619">
            <v>25000000000616</v>
          </cell>
          <cell r="C619" t="str">
            <v>Timotius Tabun</v>
          </cell>
          <cell r="D619" t="str">
            <v>3603121805810006</v>
          </cell>
        </row>
        <row r="620">
          <cell r="B620">
            <v>25000000000617</v>
          </cell>
          <cell r="C620" t="str">
            <v>Wiyadianto</v>
          </cell>
          <cell r="D620" t="str">
            <v/>
          </cell>
        </row>
      </sheetData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B1:AK1023"/>
  <sheetViews>
    <sheetView tabSelected="1" workbookViewId="0">
      <pane xSplit="4" ySplit="3" topLeftCell="L4" activePane="bottomRight" state="frozen"/>
      <selection pane="topRight" activeCell="E1" sqref="E1"/>
      <selection pane="bottomLeft" activeCell="A4" sqref="A4"/>
      <selection pane="bottomRight" activeCell="P4" sqref="P4:P620"/>
    </sheetView>
  </sheetViews>
  <sheetFormatPr defaultRowHeight="12.75" x14ac:dyDescent="0.25"/>
  <cols>
    <col min="1" max="1" width="9.140625" style="15"/>
    <col min="2" max="2" width="13.140625" style="15" bestFit="1" customWidth="1"/>
    <col min="3" max="3" width="24.140625" style="15" bestFit="1" customWidth="1"/>
    <col min="4" max="4" width="14.85546875" style="15" bestFit="1" customWidth="1"/>
    <col min="5" max="5" width="5.42578125" style="18" bestFit="1" customWidth="1"/>
    <col min="6" max="6" width="14" style="42" bestFit="1" customWidth="1"/>
    <col min="7" max="7" width="12.5703125" style="16" bestFit="1" customWidth="1"/>
    <col min="8" max="8" width="14.42578125" style="17" bestFit="1" customWidth="1"/>
    <col min="9" max="9" width="34.28515625" style="15" bestFit="1" customWidth="1"/>
    <col min="10" max="10" width="3.5703125" style="18" bestFit="1" customWidth="1"/>
    <col min="11" max="11" width="3.7109375" style="18" bestFit="1" customWidth="1"/>
    <col min="12" max="12" width="43.5703125" style="19" customWidth="1"/>
    <col min="13" max="13" width="13.140625" style="47" bestFit="1" customWidth="1"/>
    <col min="14" max="16384" width="9.140625" style="15"/>
  </cols>
  <sheetData>
    <row r="1" spans="2:16" ht="13.5" thickBot="1" x14ac:dyDescent="0.3"/>
    <row r="2" spans="2:16" s="37" customFormat="1" ht="25.5" x14ac:dyDescent="0.25">
      <c r="B2" s="10" t="s">
        <v>1</v>
      </c>
      <c r="C2" s="11" t="s">
        <v>2</v>
      </c>
      <c r="D2" s="12" t="s">
        <v>0</v>
      </c>
      <c r="E2" s="12" t="s">
        <v>331</v>
      </c>
      <c r="F2" s="43" t="s">
        <v>332</v>
      </c>
      <c r="G2" s="12" t="s">
        <v>38</v>
      </c>
      <c r="H2" s="13" t="s">
        <v>37</v>
      </c>
      <c r="I2" s="13" t="s">
        <v>39</v>
      </c>
      <c r="J2" s="12" t="s">
        <v>181</v>
      </c>
      <c r="K2" s="12" t="s">
        <v>182</v>
      </c>
      <c r="L2" s="38" t="s">
        <v>333</v>
      </c>
      <c r="M2" s="48" t="s">
        <v>334</v>
      </c>
      <c r="N2" s="14" t="s">
        <v>196</v>
      </c>
    </row>
    <row r="3" spans="2:16" ht="13.5" thickBot="1" x14ac:dyDescent="0.3">
      <c r="B3" s="20"/>
      <c r="C3" s="21"/>
      <c r="D3" s="22"/>
      <c r="E3" s="22"/>
      <c r="F3" s="44"/>
      <c r="G3" s="23"/>
      <c r="H3" s="24"/>
      <c r="I3" s="25"/>
      <c r="J3" s="26"/>
      <c r="K3" s="26"/>
      <c r="L3" s="39"/>
      <c r="M3" s="49"/>
      <c r="N3" s="27"/>
    </row>
    <row r="4" spans="2:16" x14ac:dyDescent="0.25">
      <c r="B4" s="28">
        <f>[1]DataLookUp!$B4</f>
        <v>25000000000001</v>
      </c>
      <c r="C4" s="29" t="str">
        <f>VLOOKUP(B4, [1]DataLookUp!$B$4:$D$621, 2, FALSE)</f>
        <v>Abdollah Syani Siregar</v>
      </c>
      <c r="D4" s="29" t="str">
        <f>VLOOKUP(B4, [1]DataLookUp!$B$4:$D$621, 3, FALSE)</f>
        <v/>
      </c>
      <c r="E4" s="40"/>
      <c r="F4" s="45" t="str">
        <f t="shared" ref="F4:F9" si="0">IF(EXACT(E4, ""), "", IF(EXACT(E4, "L"), 156000000000001, 156000000000002))</f>
        <v/>
      </c>
      <c r="G4" s="30"/>
      <c r="H4" s="31"/>
      <c r="I4" s="50"/>
      <c r="J4" s="40"/>
      <c r="K4" s="40"/>
      <c r="L4" s="51"/>
      <c r="M4" s="52"/>
      <c r="N4" s="50"/>
      <c r="P4" s="55" t="str">
        <f>IF(EXACT(D4, ""), "", CONCATENATE("PERFORM ""SchData-OLTP-Master"".""Func_TblCitizenIdentity_SET""(varSystemLoginSession, null, null, null, varInstitutionBranchID, ",  IF(EXACT(B4, ""), "NULL", B4), "::bigint, '", C4, "'::varchar, '", D4, "'::varchar, ", IF(EXACT(F4, ""), "NULL", F4), "::bigint, ", "NULL", "::bigint, '", TEXT(H4, "YYYY-MM-DD"), "'::timestamp, ", "NULL", "::bigint, ", "NULL", "::bigint, ", "NULL", "::bigint, ", "NULL", "::bigint,  ", IF(EXACT(M4, ""), "NULL", M4), "::bigint, ", "NULL", "::bigint, ", "NULL", "::bigint, ", "NULL", "::bigint, '", CONCATENATE(I4, IF(EXACT(M4, ""), " "&amp;L4, "")), "'::varchar, ", IF(EXACT(J4, ""), "NULL", J4*1), "::smallint, ", IF(EXACT(K4, ""), "NULL", K4*1), "::smallint);
"))</f>
        <v/>
      </c>
    </row>
    <row r="5" spans="2:16" x14ac:dyDescent="0.25">
      <c r="B5" s="28">
        <f>[1]DataLookUp!$B5</f>
        <v>25000000000002</v>
      </c>
      <c r="C5" s="29" t="str">
        <f>VLOOKUP(B5, [1]DataLookUp!$B$4:$D$621, 2, FALSE)</f>
        <v>Abdul Karim</v>
      </c>
      <c r="D5" s="29" t="str">
        <f>VLOOKUP(B5, [1]DataLookUp!$B$4:$D$621, 3, FALSE)</f>
        <v/>
      </c>
      <c r="E5" s="40"/>
      <c r="F5" s="45" t="str">
        <f t="shared" si="0"/>
        <v/>
      </c>
      <c r="G5" s="30"/>
      <c r="H5" s="31"/>
      <c r="I5" s="50"/>
      <c r="J5" s="40"/>
      <c r="K5" s="40"/>
      <c r="L5" s="51"/>
      <c r="M5" s="52"/>
      <c r="N5" s="50"/>
      <c r="P5" s="55" t="str">
        <f t="shared" ref="P5:P68" si="1">IF(EXACT(D5, ""), "", CONCATENATE("PERFORM ""SchData-OLTP-Master"".""Func_TblCitizenIdentity_SET""(varSystemLoginSession, null, null, null, varInstitutionBranchID, ",  IF(EXACT(B5, ""), "NULL", B5), "::bigint, '", C5, "'::varchar, '", D5, "'::varchar, ", IF(EXACT(F5, ""), "NULL", F5), "::bigint, ", "NULL", "::bigint, '", TEXT(H5, "YYYY-MM-DD"), "'::timestamp, ", "NULL", "::bigint, ", "NULL", "::bigint, ", "NULL", "::bigint, ", "NULL", "::bigint,  ", IF(EXACT(M5, ""), "NULL", M5), "::bigint, ", "NULL", "::bigint, ", "NULL", "::bigint, ", "NULL", "::bigint, '", CONCATENATE(I5, IF(EXACT(M5, ""), " "&amp;L5, "")), "'::varchar, ", IF(EXACT(J5, ""), "NULL", J5*1), "::smallint, ", IF(EXACT(K5, ""), "NULL", K5*1), "::smallint);
"))</f>
        <v/>
      </c>
    </row>
    <row r="6" spans="2:16" x14ac:dyDescent="0.25">
      <c r="B6" s="28">
        <f>[1]DataLookUp!$B6</f>
        <v>25000000000003</v>
      </c>
      <c r="C6" s="29" t="str">
        <f>VLOOKUP(B6, [1]DataLookUp!$B$4:$D$621, 2, FALSE)</f>
        <v>Abdul Rahman Sitompul</v>
      </c>
      <c r="D6" s="29" t="str">
        <f>VLOOKUP(B6, [1]DataLookUp!$B$4:$D$621, 3, FALSE)</f>
        <v/>
      </c>
      <c r="E6" s="40"/>
      <c r="F6" s="45" t="str">
        <f t="shared" si="0"/>
        <v/>
      </c>
      <c r="G6" s="30"/>
      <c r="H6" s="31"/>
      <c r="I6" s="50"/>
      <c r="J6" s="40"/>
      <c r="K6" s="40"/>
      <c r="L6" s="51"/>
      <c r="M6" s="52"/>
      <c r="N6" s="50"/>
      <c r="P6" s="55" t="str">
        <f t="shared" si="1"/>
        <v/>
      </c>
    </row>
    <row r="7" spans="2:16" x14ac:dyDescent="0.25">
      <c r="B7" s="28">
        <f>[1]DataLookUp!$B7</f>
        <v>25000000000004</v>
      </c>
      <c r="C7" s="29" t="str">
        <f>VLOOKUP(B7, [1]DataLookUp!$B$4:$D$621, 2, FALSE)</f>
        <v>Abdul Risan</v>
      </c>
      <c r="D7" s="29" t="str">
        <f>VLOOKUP(B7, [1]DataLookUp!$B$4:$D$621, 3, FALSE)</f>
        <v/>
      </c>
      <c r="E7" s="40"/>
      <c r="F7" s="45" t="str">
        <f t="shared" si="0"/>
        <v/>
      </c>
      <c r="G7" s="30"/>
      <c r="H7" s="31"/>
      <c r="I7" s="50"/>
      <c r="J7" s="40"/>
      <c r="K7" s="40"/>
      <c r="L7" s="51"/>
      <c r="M7" s="52"/>
      <c r="N7" s="50"/>
      <c r="P7" s="55" t="str">
        <f t="shared" si="1"/>
        <v/>
      </c>
    </row>
    <row r="8" spans="2:16" x14ac:dyDescent="0.25">
      <c r="B8" s="28">
        <f>[1]DataLookUp!$B8</f>
        <v>25000000000005</v>
      </c>
      <c r="C8" s="29" t="str">
        <f>VLOOKUP(B8, [1]DataLookUp!$B$4:$D$621, 2, FALSE)</f>
        <v>Abdullah Nabil</v>
      </c>
      <c r="D8" s="29" t="str">
        <f>VLOOKUP(B8, [1]DataLookUp!$B$4:$D$621, 3, FALSE)</f>
        <v/>
      </c>
      <c r="E8" s="40"/>
      <c r="F8" s="45" t="str">
        <f t="shared" si="0"/>
        <v/>
      </c>
      <c r="G8" s="30"/>
      <c r="H8" s="31"/>
      <c r="I8" s="50"/>
      <c r="J8" s="40"/>
      <c r="K8" s="40"/>
      <c r="L8" s="51"/>
      <c r="M8" s="52"/>
      <c r="N8" s="50"/>
      <c r="P8" s="55" t="str">
        <f t="shared" si="1"/>
        <v/>
      </c>
    </row>
    <row r="9" spans="2:16" x14ac:dyDescent="0.25">
      <c r="B9" s="28">
        <f>[1]DataLookUp!$B9</f>
        <v>25000000000006</v>
      </c>
      <c r="C9" s="29" t="str">
        <f>VLOOKUP(B9, [1]DataLookUp!$B$4:$D$621, 2, FALSE)</f>
        <v>Adhitya Danar</v>
      </c>
      <c r="D9" s="29" t="str">
        <f>VLOOKUP(B9, [1]DataLookUp!$B$4:$D$621, 3, FALSE)</f>
        <v/>
      </c>
      <c r="E9" s="40"/>
      <c r="F9" s="45" t="str">
        <f t="shared" si="0"/>
        <v/>
      </c>
      <c r="G9" s="30"/>
      <c r="H9" s="31"/>
      <c r="I9" s="50"/>
      <c r="J9" s="40"/>
      <c r="K9" s="40"/>
      <c r="L9" s="51"/>
      <c r="M9" s="52"/>
      <c r="N9" s="50"/>
      <c r="P9" s="55" t="str">
        <f t="shared" si="1"/>
        <v/>
      </c>
    </row>
    <row r="10" spans="2:16" x14ac:dyDescent="0.25">
      <c r="B10" s="28">
        <f>[1]DataLookUp!$B10</f>
        <v>25000000000007</v>
      </c>
      <c r="C10" s="29" t="str">
        <f>VLOOKUP(B10, [1]DataLookUp!$B$4:$D$621, 2, FALSE)</f>
        <v>Adi Ruswandi</v>
      </c>
      <c r="D10" s="29" t="str">
        <f>VLOOKUP(B10, [1]DataLookUp!$B$4:$D$621, 3, FALSE)</f>
        <v>3171060503000001</v>
      </c>
      <c r="E10" s="40" t="s">
        <v>179</v>
      </c>
      <c r="F10" s="45">
        <f>IF(EXACT(E10, ""), "", IF(EXACT(E10, "L"), 156000000000001, 156000000000002))</f>
        <v>156000000000001</v>
      </c>
      <c r="G10" s="30" t="s">
        <v>6</v>
      </c>
      <c r="H10" s="31">
        <v>36590</v>
      </c>
      <c r="I10" s="50" t="s">
        <v>330</v>
      </c>
      <c r="J10" s="40" t="s">
        <v>189</v>
      </c>
      <c r="K10" s="40" t="s">
        <v>187</v>
      </c>
      <c r="L10" s="51" t="s">
        <v>329</v>
      </c>
      <c r="M10" s="52">
        <v>24000000032482</v>
      </c>
      <c r="N10" s="50"/>
      <c r="P10" s="55" t="str">
        <f t="shared" si="1"/>
        <v xml:space="preserve">PERFORM "SchData-OLTP-Master"."Func_TblCitizenIdentity_SET"(varSystemLoginSession, null, null, null, varInstitutionBranchID, 25000000000007::bigint, 'Adi Ruswandi'::varchar, '3171060503000001'::varchar, 156000000000001::bigint, NULL::bigint, '2000-03-05'::timestamp, NULL::bigint, NULL::bigint, NULL::bigint, NULL::bigint,  24000000032482::bigint, NULL::bigint, NULL::bigint, NULL::bigint, 'JL. BB II'::varchar, 7::smallint, 5::smallint);
</v>
      </c>
    </row>
    <row r="11" spans="2:16" x14ac:dyDescent="0.25">
      <c r="B11" s="28">
        <f>[1]DataLookUp!$B11</f>
        <v>25000000000008</v>
      </c>
      <c r="C11" s="29" t="str">
        <f>VLOOKUP(B11, [1]DataLookUp!$B$4:$D$621, 2, FALSE)</f>
        <v>Adietya Dharmawan</v>
      </c>
      <c r="D11" s="29" t="str">
        <f>VLOOKUP(B11, [1]DataLookUp!$B$4:$D$621, 3, FALSE)</f>
        <v/>
      </c>
      <c r="E11" s="40"/>
      <c r="F11" s="45" t="str">
        <f t="shared" ref="F11:F74" si="2">IF(EXACT(E11, ""), "", IF(EXACT(E11, "L"), 156000000000001, 156000000000002))</f>
        <v/>
      </c>
      <c r="G11" s="30"/>
      <c r="H11" s="31"/>
      <c r="I11" s="50"/>
      <c r="J11" s="40"/>
      <c r="K11" s="40"/>
      <c r="L11" s="51"/>
      <c r="M11" s="52"/>
      <c r="N11" s="50"/>
      <c r="P11" s="55" t="str">
        <f t="shared" si="1"/>
        <v/>
      </c>
    </row>
    <row r="12" spans="2:16" x14ac:dyDescent="0.25">
      <c r="B12" s="28">
        <f>[1]DataLookUp!$B12</f>
        <v>25000000000009</v>
      </c>
      <c r="C12" s="29" t="str">
        <f>VLOOKUP(B12, [1]DataLookUp!$B$4:$D$621, 2, FALSE)</f>
        <v>Aditya Yudha Prawira</v>
      </c>
      <c r="D12" s="29" t="str">
        <f>VLOOKUP(B12, [1]DataLookUp!$B$4:$D$621, 3, FALSE)</f>
        <v/>
      </c>
      <c r="E12" s="40"/>
      <c r="F12" s="45" t="str">
        <f t="shared" si="2"/>
        <v/>
      </c>
      <c r="G12" s="30"/>
      <c r="H12" s="31"/>
      <c r="I12" s="50"/>
      <c r="J12" s="40"/>
      <c r="K12" s="40"/>
      <c r="L12" s="51"/>
      <c r="M12" s="52"/>
      <c r="N12" s="50"/>
      <c r="P12" s="55" t="str">
        <f t="shared" si="1"/>
        <v/>
      </c>
    </row>
    <row r="13" spans="2:16" x14ac:dyDescent="0.25">
      <c r="B13" s="28">
        <f>[1]DataLookUp!$B13</f>
        <v>25000000000010</v>
      </c>
      <c r="C13" s="29" t="str">
        <f>VLOOKUP(B13, [1]DataLookUp!$B$4:$D$621, 2, FALSE)</f>
        <v>Adli Margie</v>
      </c>
      <c r="D13" s="29" t="str">
        <f>VLOOKUP(B13, [1]DataLookUp!$B$4:$D$621, 3, FALSE)</f>
        <v/>
      </c>
      <c r="E13" s="40"/>
      <c r="F13" s="45" t="str">
        <f t="shared" si="2"/>
        <v/>
      </c>
      <c r="G13" s="30"/>
      <c r="H13" s="31"/>
      <c r="I13" s="50"/>
      <c r="J13" s="40"/>
      <c r="K13" s="40"/>
      <c r="L13" s="51"/>
      <c r="M13" s="52"/>
      <c r="N13" s="50"/>
      <c r="P13" s="55" t="str">
        <f t="shared" si="1"/>
        <v/>
      </c>
    </row>
    <row r="14" spans="2:16" x14ac:dyDescent="0.25">
      <c r="B14" s="28">
        <f>[1]DataLookUp!$B14</f>
        <v>25000000000011</v>
      </c>
      <c r="C14" s="29" t="str">
        <f>VLOOKUP(B14, [1]DataLookUp!$B$4:$D$621, 2, FALSE)</f>
        <v>Afrida Eka Putri</v>
      </c>
      <c r="D14" s="29" t="str">
        <f>VLOOKUP(B14, [1]DataLookUp!$B$4:$D$621, 3, FALSE)</f>
        <v/>
      </c>
      <c r="E14" s="40"/>
      <c r="F14" s="45" t="str">
        <f t="shared" si="2"/>
        <v/>
      </c>
      <c r="G14" s="30"/>
      <c r="H14" s="31"/>
      <c r="I14" s="50"/>
      <c r="J14" s="40"/>
      <c r="K14" s="40"/>
      <c r="L14" s="51"/>
      <c r="M14" s="52"/>
      <c r="N14" s="50"/>
      <c r="P14" s="55" t="str">
        <f t="shared" si="1"/>
        <v/>
      </c>
    </row>
    <row r="15" spans="2:16" x14ac:dyDescent="0.25">
      <c r="B15" s="28">
        <f>[1]DataLookUp!$B15</f>
        <v>25000000000012</v>
      </c>
      <c r="C15" s="29" t="str">
        <f>VLOOKUP(B15, [1]DataLookUp!$B$4:$D$621, 2, FALSE)</f>
        <v>Agnes Sutedja</v>
      </c>
      <c r="D15" s="29" t="str">
        <f>VLOOKUP(B15, [1]DataLookUp!$B$4:$D$621, 3, FALSE)</f>
        <v>3173054608700001</v>
      </c>
      <c r="E15" s="40" t="s">
        <v>180</v>
      </c>
      <c r="F15" s="45">
        <f t="shared" si="2"/>
        <v>156000000000002</v>
      </c>
      <c r="G15" s="30" t="s">
        <v>36</v>
      </c>
      <c r="H15" s="31">
        <v>25786</v>
      </c>
      <c r="I15" s="50" t="s">
        <v>198</v>
      </c>
      <c r="J15" s="40" t="s">
        <v>186</v>
      </c>
      <c r="K15" s="40" t="s">
        <v>187</v>
      </c>
      <c r="L15" s="51" t="s">
        <v>197</v>
      </c>
      <c r="M15" s="52">
        <v>24000000032369</v>
      </c>
      <c r="N15" s="50"/>
      <c r="P15" s="55" t="str">
        <f t="shared" si="1"/>
        <v xml:space="preserve">PERFORM "SchData-OLTP-Master"."Func_TblCitizenIdentity_SET"(varSystemLoginSession, null, null, null, varInstitutionBranchID, 25000000000012::bigint, 'Agnes Sutedja'::varchar, '3173054608700001'::varchar, 156000000000002::bigint, NULL::bigint, '1970-08-06'::timestamp, NULL::bigint, NULL::bigint, NULL::bigint, NULL::bigint,  24000000032369::bigint, NULL::bigint, NULL::bigint, NULL::bigint, 'Taman Ratu Indah Blok B4/10'::varchar, 3::smallint, 5::smallint);
</v>
      </c>
    </row>
    <row r="16" spans="2:16" x14ac:dyDescent="0.25">
      <c r="B16" s="28">
        <f>[1]DataLookUp!$B16</f>
        <v>25000000000013</v>
      </c>
      <c r="C16" s="29" t="str">
        <f>VLOOKUP(B16, [1]DataLookUp!$B$4:$D$621, 2, FALSE)</f>
        <v>Agung Hendarto</v>
      </c>
      <c r="D16" s="29" t="str">
        <f>VLOOKUP(B16, [1]DataLookUp!$B$4:$D$621, 3, FALSE)</f>
        <v/>
      </c>
      <c r="E16" s="40"/>
      <c r="F16" s="45" t="str">
        <f t="shared" si="2"/>
        <v/>
      </c>
      <c r="G16" s="30"/>
      <c r="H16" s="31"/>
      <c r="I16" s="50"/>
      <c r="J16" s="40"/>
      <c r="K16" s="40"/>
      <c r="L16" s="51"/>
      <c r="M16" s="52"/>
      <c r="N16" s="50"/>
      <c r="P16" s="55" t="str">
        <f t="shared" si="1"/>
        <v/>
      </c>
    </row>
    <row r="17" spans="2:16" x14ac:dyDescent="0.25">
      <c r="B17" s="28">
        <f>[1]DataLookUp!$B17</f>
        <v>25000000000014</v>
      </c>
      <c r="C17" s="29" t="str">
        <f>VLOOKUP(B17, [1]DataLookUp!$B$4:$D$621, 2, FALSE)</f>
        <v>Agus Priyatno Mahmudo</v>
      </c>
      <c r="D17" s="29" t="str">
        <f>VLOOKUP(B17, [1]DataLookUp!$B$4:$D$621, 3, FALSE)</f>
        <v/>
      </c>
      <c r="E17" s="40"/>
      <c r="F17" s="45" t="str">
        <f t="shared" si="2"/>
        <v/>
      </c>
      <c r="G17" s="30"/>
      <c r="H17" s="31"/>
      <c r="I17" s="50"/>
      <c r="J17" s="40"/>
      <c r="K17" s="40"/>
      <c r="L17" s="51"/>
      <c r="M17" s="52"/>
      <c r="N17" s="50"/>
      <c r="P17" s="55" t="str">
        <f t="shared" si="1"/>
        <v/>
      </c>
    </row>
    <row r="18" spans="2:16" x14ac:dyDescent="0.25">
      <c r="B18" s="28">
        <f>[1]DataLookUp!$B18</f>
        <v>25000000000015</v>
      </c>
      <c r="C18" s="29" t="str">
        <f>VLOOKUP(B18, [1]DataLookUp!$B$4:$D$621, 2, FALSE)</f>
        <v>Agus Salim</v>
      </c>
      <c r="D18" s="29" t="str">
        <f>VLOOKUP(B18, [1]DataLookUp!$B$4:$D$621, 3, FALSE)</f>
        <v/>
      </c>
      <c r="E18" s="40"/>
      <c r="F18" s="45" t="str">
        <f t="shared" si="2"/>
        <v/>
      </c>
      <c r="G18" s="30"/>
      <c r="H18" s="31"/>
      <c r="I18" s="50"/>
      <c r="J18" s="40"/>
      <c r="K18" s="40"/>
      <c r="L18" s="51"/>
      <c r="M18" s="52"/>
      <c r="N18" s="50"/>
      <c r="P18" s="55" t="str">
        <f t="shared" si="1"/>
        <v/>
      </c>
    </row>
    <row r="19" spans="2:16" x14ac:dyDescent="0.25">
      <c r="B19" s="28">
        <f>[1]DataLookUp!$B19</f>
        <v>25000000000016</v>
      </c>
      <c r="C19" s="29" t="str">
        <f>VLOOKUP(B19, [1]DataLookUp!$B$4:$D$621, 2, FALSE)</f>
        <v>Agus Tanto</v>
      </c>
      <c r="D19" s="29" t="str">
        <f>VLOOKUP(B19, [1]DataLookUp!$B$4:$D$621, 3, FALSE)</f>
        <v/>
      </c>
      <c r="E19" s="40"/>
      <c r="F19" s="45" t="str">
        <f t="shared" si="2"/>
        <v/>
      </c>
      <c r="G19" s="30"/>
      <c r="H19" s="31"/>
      <c r="I19" s="50"/>
      <c r="J19" s="40"/>
      <c r="K19" s="40"/>
      <c r="L19" s="51"/>
      <c r="M19" s="52"/>
      <c r="N19" s="50"/>
      <c r="P19" s="55" t="str">
        <f t="shared" si="1"/>
        <v/>
      </c>
    </row>
    <row r="20" spans="2:16" x14ac:dyDescent="0.25">
      <c r="B20" s="28">
        <f>[1]DataLookUp!$B20</f>
        <v>25000000000017</v>
      </c>
      <c r="C20" s="29" t="str">
        <f>VLOOKUP(B20, [1]DataLookUp!$B$4:$D$621, 2, FALSE)</f>
        <v>Ahmad Faiz Haems Muda</v>
      </c>
      <c r="D20" s="29" t="str">
        <f>VLOOKUP(B20, [1]DataLookUp!$B$4:$D$621, 3, FALSE)</f>
        <v>3171041801820004</v>
      </c>
      <c r="E20" s="40" t="s">
        <v>179</v>
      </c>
      <c r="F20" s="45">
        <f t="shared" si="2"/>
        <v>156000000000001</v>
      </c>
      <c r="G20" s="30" t="s">
        <v>6</v>
      </c>
      <c r="H20" s="31">
        <v>29969</v>
      </c>
      <c r="I20" s="50" t="s">
        <v>293</v>
      </c>
      <c r="J20" s="40" t="s">
        <v>259</v>
      </c>
      <c r="K20" s="40" t="s">
        <v>191</v>
      </c>
      <c r="L20" s="51" t="s">
        <v>292</v>
      </c>
      <c r="M20" s="52">
        <v>24000000032538</v>
      </c>
      <c r="N20" s="50"/>
      <c r="P20" s="55" t="str">
        <f t="shared" si="1"/>
        <v xml:space="preserve">PERFORM "SchData-OLTP-Master"."Func_TblCitizenIdentity_SET"(varSystemLoginSession, null, null, null, varInstitutionBranchID, 25000000000017::bigint, 'Ahmad Faiz Haems Muda'::varchar, '3171041801820004'::varchar, 156000000000001::bigint, NULL::bigint, '1982-01-18'::timestamp, NULL::bigint, NULL::bigint, NULL::bigint, NULL::bigint,  24000000032538::bigint, NULL::bigint, NULL::bigint, NULL::bigint, 'Jl. Bunga Rampai IV Gang 1 No. 124'::varchar, 10::smallint, 9::smallint);
</v>
      </c>
    </row>
    <row r="21" spans="2:16" x14ac:dyDescent="0.25">
      <c r="B21" s="28">
        <f>[1]DataLookUp!$B21</f>
        <v>25000000000018</v>
      </c>
      <c r="C21" s="29" t="str">
        <f>VLOOKUP(B21, [1]DataLookUp!$B$4:$D$621, 2, FALSE)</f>
        <v>Ahmad Faza</v>
      </c>
      <c r="D21" s="29" t="str">
        <f>VLOOKUP(B21, [1]DataLookUp!$B$4:$D$621, 3, FALSE)</f>
        <v/>
      </c>
      <c r="E21" s="40"/>
      <c r="F21" s="45" t="str">
        <f t="shared" si="2"/>
        <v/>
      </c>
      <c r="G21" s="30"/>
      <c r="H21" s="31"/>
      <c r="I21" s="50"/>
      <c r="J21" s="40"/>
      <c r="K21" s="40"/>
      <c r="L21" s="51"/>
      <c r="M21" s="52"/>
      <c r="N21" s="50"/>
      <c r="P21" s="55" t="str">
        <f t="shared" si="1"/>
        <v/>
      </c>
    </row>
    <row r="22" spans="2:16" x14ac:dyDescent="0.25">
      <c r="B22" s="28">
        <f>[1]DataLookUp!$B22</f>
        <v>25000000000019</v>
      </c>
      <c r="C22" s="29" t="str">
        <f>VLOOKUP(B22, [1]DataLookUp!$B$4:$D$621, 2, FALSE)</f>
        <v>Ahmad Syaifulloh</v>
      </c>
      <c r="D22" s="29" t="str">
        <f>VLOOKUP(B22, [1]DataLookUp!$B$4:$D$621, 3, FALSE)</f>
        <v/>
      </c>
      <c r="E22" s="40"/>
      <c r="F22" s="45" t="str">
        <f t="shared" si="2"/>
        <v/>
      </c>
      <c r="G22" s="30"/>
      <c r="H22" s="31"/>
      <c r="I22" s="50"/>
      <c r="J22" s="40"/>
      <c r="K22" s="40"/>
      <c r="L22" s="51"/>
      <c r="M22" s="52"/>
      <c r="N22" s="50"/>
      <c r="P22" s="55" t="str">
        <f t="shared" si="1"/>
        <v/>
      </c>
    </row>
    <row r="23" spans="2:16" x14ac:dyDescent="0.25">
      <c r="B23" s="28">
        <f>[1]DataLookUp!$B23</f>
        <v>25000000000020</v>
      </c>
      <c r="C23" s="29" t="str">
        <f>VLOOKUP(B23, [1]DataLookUp!$B$4:$D$621, 2, FALSE)</f>
        <v>Ahmad Zulkarnaen</v>
      </c>
      <c r="D23" s="29" t="str">
        <f>VLOOKUP(B23, [1]DataLookUp!$B$4:$D$621, 3, FALSE)</f>
        <v/>
      </c>
      <c r="E23" s="40"/>
      <c r="F23" s="45" t="str">
        <f t="shared" si="2"/>
        <v/>
      </c>
      <c r="G23" s="30"/>
      <c r="H23" s="31"/>
      <c r="I23" s="50"/>
      <c r="J23" s="40"/>
      <c r="K23" s="40"/>
      <c r="L23" s="51"/>
      <c r="M23" s="52"/>
      <c r="N23" s="50"/>
      <c r="P23" s="55" t="str">
        <f t="shared" si="1"/>
        <v/>
      </c>
    </row>
    <row r="24" spans="2:16" x14ac:dyDescent="0.25">
      <c r="B24" s="28">
        <f>[1]DataLookUp!$B24</f>
        <v>25000000000021</v>
      </c>
      <c r="C24" s="29" t="str">
        <f>VLOOKUP(B24, [1]DataLookUp!$B$4:$D$621, 2, FALSE)</f>
        <v>Ajan</v>
      </c>
      <c r="D24" s="29" t="str">
        <f>VLOOKUP(B24, [1]DataLookUp!$B$4:$D$621, 3, FALSE)</f>
        <v/>
      </c>
      <c r="E24" s="40"/>
      <c r="F24" s="45" t="str">
        <f t="shared" si="2"/>
        <v/>
      </c>
      <c r="G24" s="30"/>
      <c r="H24" s="31"/>
      <c r="I24" s="50"/>
      <c r="J24" s="40"/>
      <c r="K24" s="40"/>
      <c r="L24" s="51"/>
      <c r="M24" s="52"/>
      <c r="N24" s="50"/>
      <c r="P24" s="55" t="str">
        <f t="shared" si="1"/>
        <v/>
      </c>
    </row>
    <row r="25" spans="2:16" x14ac:dyDescent="0.25">
      <c r="B25" s="28">
        <f>[1]DataLookUp!$B25</f>
        <v>25000000000022</v>
      </c>
      <c r="C25" s="29" t="str">
        <f>VLOOKUP(B25, [1]DataLookUp!$B$4:$D$621, 2, FALSE)</f>
        <v>Al Amin</v>
      </c>
      <c r="D25" s="29" t="str">
        <f>VLOOKUP(B25, [1]DataLookUp!$B$4:$D$621, 3, FALSE)</f>
        <v/>
      </c>
      <c r="E25" s="40"/>
      <c r="F25" s="45" t="str">
        <f t="shared" si="2"/>
        <v/>
      </c>
      <c r="G25" s="30"/>
      <c r="H25" s="31"/>
      <c r="I25" s="50"/>
      <c r="J25" s="40"/>
      <c r="K25" s="40"/>
      <c r="L25" s="51"/>
      <c r="M25" s="52"/>
      <c r="N25" s="50"/>
      <c r="P25" s="55" t="str">
        <f t="shared" si="1"/>
        <v/>
      </c>
    </row>
    <row r="26" spans="2:16" x14ac:dyDescent="0.25">
      <c r="B26" s="28">
        <f>[1]DataLookUp!$B26</f>
        <v>25000000000023</v>
      </c>
      <c r="C26" s="29" t="str">
        <f>VLOOKUP(B26, [1]DataLookUp!$B$4:$D$621, 2, FALSE)</f>
        <v>Aldi Mulyadi</v>
      </c>
      <c r="D26" s="29" t="str">
        <f>VLOOKUP(B26, [1]DataLookUp!$B$4:$D$621, 3, FALSE)</f>
        <v/>
      </c>
      <c r="E26" s="40"/>
      <c r="F26" s="45" t="str">
        <f t="shared" si="2"/>
        <v/>
      </c>
      <c r="G26" s="30"/>
      <c r="H26" s="31"/>
      <c r="I26" s="50"/>
      <c r="J26" s="40"/>
      <c r="K26" s="40"/>
      <c r="L26" s="51"/>
      <c r="M26" s="52"/>
      <c r="N26" s="50"/>
      <c r="P26" s="55" t="str">
        <f t="shared" si="1"/>
        <v/>
      </c>
    </row>
    <row r="27" spans="2:16" x14ac:dyDescent="0.25">
      <c r="B27" s="28">
        <f>[1]DataLookUp!$B27</f>
        <v>25000000000024</v>
      </c>
      <c r="C27" s="29" t="str">
        <f>VLOOKUP(B27, [1]DataLookUp!$B$4:$D$621, 2, FALSE)</f>
        <v>Alexandri</v>
      </c>
      <c r="D27" s="29" t="str">
        <f>VLOOKUP(B27, [1]DataLookUp!$B$4:$D$621, 3, FALSE)</f>
        <v/>
      </c>
      <c r="E27" s="40"/>
      <c r="F27" s="45" t="str">
        <f t="shared" si="2"/>
        <v/>
      </c>
      <c r="G27" s="30"/>
      <c r="H27" s="31"/>
      <c r="I27" s="50"/>
      <c r="J27" s="40"/>
      <c r="K27" s="40"/>
      <c r="L27" s="51"/>
      <c r="M27" s="52"/>
      <c r="N27" s="50"/>
      <c r="P27" s="55" t="str">
        <f t="shared" si="1"/>
        <v/>
      </c>
    </row>
    <row r="28" spans="2:16" x14ac:dyDescent="0.25">
      <c r="B28" s="28">
        <f>[1]DataLookUp!$B28</f>
        <v>25000000000025</v>
      </c>
      <c r="C28" s="29" t="str">
        <f>VLOOKUP(B28, [1]DataLookUp!$B$4:$D$621, 2, FALSE)</f>
        <v>Alfaedi</v>
      </c>
      <c r="D28" s="29" t="str">
        <f>VLOOKUP(B28, [1]DataLookUp!$B$4:$D$621, 3, FALSE)</f>
        <v/>
      </c>
      <c r="E28" s="40"/>
      <c r="F28" s="45" t="str">
        <f t="shared" si="2"/>
        <v/>
      </c>
      <c r="G28" s="30"/>
      <c r="H28" s="31"/>
      <c r="I28" s="50"/>
      <c r="J28" s="40"/>
      <c r="K28" s="40"/>
      <c r="L28" s="51"/>
      <c r="M28" s="52"/>
      <c r="N28" s="50"/>
      <c r="P28" s="55" t="str">
        <f t="shared" si="1"/>
        <v/>
      </c>
    </row>
    <row r="29" spans="2:16" x14ac:dyDescent="0.25">
      <c r="B29" s="28">
        <f>[1]DataLookUp!$B29</f>
        <v>25000000000026</v>
      </c>
      <c r="C29" s="29" t="str">
        <f>VLOOKUP(B29, [1]DataLookUp!$B$4:$D$621, 2, FALSE)</f>
        <v>Ali Wahono</v>
      </c>
      <c r="D29" s="29" t="str">
        <f>VLOOKUP(B29, [1]DataLookUp!$B$4:$D$621, 3, FALSE)</f>
        <v/>
      </c>
      <c r="E29" s="40"/>
      <c r="F29" s="45" t="str">
        <f t="shared" si="2"/>
        <v/>
      </c>
      <c r="G29" s="30"/>
      <c r="H29" s="31"/>
      <c r="I29" s="50"/>
      <c r="J29" s="40"/>
      <c r="K29" s="40"/>
      <c r="L29" s="51"/>
      <c r="M29" s="52"/>
      <c r="N29" s="50"/>
      <c r="P29" s="55" t="str">
        <f t="shared" si="1"/>
        <v/>
      </c>
    </row>
    <row r="30" spans="2:16" x14ac:dyDescent="0.25">
      <c r="B30" s="28">
        <f>[1]DataLookUp!$B30</f>
        <v>25000000000027</v>
      </c>
      <c r="C30" s="29" t="str">
        <f>VLOOKUP(B30, [1]DataLookUp!$B$4:$D$621, 2, FALSE)</f>
        <v>Alphaliyanri Lasria</v>
      </c>
      <c r="D30" s="29" t="str">
        <f>VLOOKUP(B30, [1]DataLookUp!$B$4:$D$621, 3, FALSE)</f>
        <v/>
      </c>
      <c r="E30" s="40"/>
      <c r="F30" s="45" t="str">
        <f t="shared" si="2"/>
        <v/>
      </c>
      <c r="G30" s="30"/>
      <c r="H30" s="31"/>
      <c r="I30" s="50"/>
      <c r="J30" s="40"/>
      <c r="K30" s="40"/>
      <c r="L30" s="51"/>
      <c r="M30" s="52"/>
      <c r="N30" s="50"/>
      <c r="P30" s="55" t="str">
        <f t="shared" si="1"/>
        <v/>
      </c>
    </row>
    <row r="31" spans="2:16" x14ac:dyDescent="0.25">
      <c r="B31" s="28">
        <f>[1]DataLookUp!$B31</f>
        <v>25000000000028</v>
      </c>
      <c r="C31" s="29" t="str">
        <f>VLOOKUP(B31, [1]DataLookUp!$B$4:$D$621, 2, FALSE)</f>
        <v>Ambon Rumalean</v>
      </c>
      <c r="D31" s="29" t="str">
        <f>VLOOKUP(B31, [1]DataLookUp!$B$4:$D$621, 3, FALSE)</f>
        <v/>
      </c>
      <c r="E31" s="40"/>
      <c r="F31" s="45" t="str">
        <f t="shared" si="2"/>
        <v/>
      </c>
      <c r="G31" s="30"/>
      <c r="H31" s="31"/>
      <c r="I31" s="50"/>
      <c r="J31" s="40"/>
      <c r="K31" s="40"/>
      <c r="L31" s="51"/>
      <c r="M31" s="52"/>
      <c r="N31" s="50"/>
      <c r="P31" s="55" t="str">
        <f t="shared" si="1"/>
        <v/>
      </c>
    </row>
    <row r="32" spans="2:16" x14ac:dyDescent="0.25">
      <c r="B32" s="28">
        <f>[1]DataLookUp!$B32</f>
        <v>25000000000029</v>
      </c>
      <c r="C32" s="29" t="str">
        <f>VLOOKUP(B32, [1]DataLookUp!$B$4:$D$621, 2, FALSE)</f>
        <v>Amir Sofyan Hadi</v>
      </c>
      <c r="D32" s="29" t="str">
        <f>VLOOKUP(B32, [1]DataLookUp!$B$4:$D$621, 3, FALSE)</f>
        <v/>
      </c>
      <c r="E32" s="40"/>
      <c r="F32" s="45" t="str">
        <f t="shared" si="2"/>
        <v/>
      </c>
      <c r="G32" s="30"/>
      <c r="H32" s="31"/>
      <c r="I32" s="50"/>
      <c r="J32" s="40"/>
      <c r="K32" s="40"/>
      <c r="L32" s="51"/>
      <c r="M32" s="52"/>
      <c r="N32" s="50"/>
      <c r="P32" s="55" t="str">
        <f t="shared" si="1"/>
        <v/>
      </c>
    </row>
    <row r="33" spans="2:16" x14ac:dyDescent="0.25">
      <c r="B33" s="28">
        <f>[1]DataLookUp!$B33</f>
        <v>25000000000030</v>
      </c>
      <c r="C33" s="29" t="str">
        <f>VLOOKUP(B33, [1]DataLookUp!$B$4:$D$621, 2, FALSE)</f>
        <v>Anak Agung Netti Ariani</v>
      </c>
      <c r="D33" s="29" t="str">
        <f>VLOOKUP(B33, [1]DataLookUp!$B$4:$D$621, 3, FALSE)</f>
        <v/>
      </c>
      <c r="E33" s="40"/>
      <c r="F33" s="45" t="str">
        <f t="shared" si="2"/>
        <v/>
      </c>
      <c r="G33" s="30"/>
      <c r="H33" s="31"/>
      <c r="I33" s="50"/>
      <c r="J33" s="40"/>
      <c r="K33" s="40"/>
      <c r="L33" s="51"/>
      <c r="M33" s="52"/>
      <c r="N33" s="50"/>
      <c r="P33" s="55" t="str">
        <f t="shared" si="1"/>
        <v/>
      </c>
    </row>
    <row r="34" spans="2:16" x14ac:dyDescent="0.25">
      <c r="B34" s="28">
        <f>[1]DataLookUp!$B34</f>
        <v>25000000000031</v>
      </c>
      <c r="C34" s="29" t="str">
        <f>VLOOKUP(B34, [1]DataLookUp!$B$4:$D$621, 2, FALSE)</f>
        <v>Andri Gunawan</v>
      </c>
      <c r="D34" s="29" t="str">
        <f>VLOOKUP(B34, [1]DataLookUp!$B$4:$D$621, 3, FALSE)</f>
        <v/>
      </c>
      <c r="E34" s="40"/>
      <c r="F34" s="45" t="str">
        <f t="shared" si="2"/>
        <v/>
      </c>
      <c r="G34" s="30"/>
      <c r="H34" s="31"/>
      <c r="I34" s="50"/>
      <c r="J34" s="40"/>
      <c r="K34" s="40"/>
      <c r="L34" s="51"/>
      <c r="M34" s="52"/>
      <c r="N34" s="50"/>
      <c r="P34" s="55" t="str">
        <f t="shared" si="1"/>
        <v/>
      </c>
    </row>
    <row r="35" spans="2:16" x14ac:dyDescent="0.25">
      <c r="B35" s="28">
        <f>[1]DataLookUp!$B35</f>
        <v>25000000000032</v>
      </c>
      <c r="C35" s="29" t="str">
        <f>VLOOKUP(B35, [1]DataLookUp!$B$4:$D$621, 2, FALSE)</f>
        <v>Andri Herdiansyah</v>
      </c>
      <c r="D35" s="29" t="str">
        <f>VLOOKUP(B35, [1]DataLookUp!$B$4:$D$621, 3, FALSE)</f>
        <v/>
      </c>
      <c r="E35" s="40"/>
      <c r="F35" s="45" t="str">
        <f t="shared" si="2"/>
        <v/>
      </c>
      <c r="G35" s="30"/>
      <c r="H35" s="31"/>
      <c r="I35" s="50"/>
      <c r="J35" s="40"/>
      <c r="K35" s="40"/>
      <c r="L35" s="51"/>
      <c r="M35" s="52"/>
      <c r="N35" s="50"/>
      <c r="P35" s="55" t="str">
        <f t="shared" si="1"/>
        <v/>
      </c>
    </row>
    <row r="36" spans="2:16" x14ac:dyDescent="0.25">
      <c r="B36" s="28">
        <f>[1]DataLookUp!$B36</f>
        <v>25000000000033</v>
      </c>
      <c r="C36" s="29" t="str">
        <f>VLOOKUP(B36, [1]DataLookUp!$B$4:$D$621, 2, FALSE)</f>
        <v>Andrie</v>
      </c>
      <c r="D36" s="29" t="str">
        <f>VLOOKUP(B36, [1]DataLookUp!$B$4:$D$621, 3, FALSE)</f>
        <v/>
      </c>
      <c r="E36" s="40"/>
      <c r="F36" s="45" t="str">
        <f t="shared" si="2"/>
        <v/>
      </c>
      <c r="G36" s="30"/>
      <c r="H36" s="31"/>
      <c r="I36" s="50"/>
      <c r="J36" s="40"/>
      <c r="K36" s="40"/>
      <c r="L36" s="51"/>
      <c r="M36" s="52"/>
      <c r="N36" s="50"/>
      <c r="P36" s="55" t="str">
        <f t="shared" si="1"/>
        <v/>
      </c>
    </row>
    <row r="37" spans="2:16" x14ac:dyDescent="0.25">
      <c r="B37" s="28">
        <f>[1]DataLookUp!$B37</f>
        <v>25000000000034</v>
      </c>
      <c r="C37" s="29" t="str">
        <f>VLOOKUP(B37, [1]DataLookUp!$B$4:$D$621, 2, FALSE)</f>
        <v>Anggina Tri Yudandi</v>
      </c>
      <c r="D37" s="29" t="str">
        <f>VLOOKUP(B37, [1]DataLookUp!$B$4:$D$621, 3, FALSE)</f>
        <v/>
      </c>
      <c r="E37" s="40"/>
      <c r="F37" s="45" t="str">
        <f t="shared" si="2"/>
        <v/>
      </c>
      <c r="G37" s="30"/>
      <c r="H37" s="31"/>
      <c r="I37" s="50"/>
      <c r="J37" s="40"/>
      <c r="K37" s="40"/>
      <c r="L37" s="51"/>
      <c r="M37" s="52"/>
      <c r="N37" s="50"/>
      <c r="P37" s="55" t="str">
        <f t="shared" si="1"/>
        <v/>
      </c>
    </row>
    <row r="38" spans="2:16" x14ac:dyDescent="0.25">
      <c r="B38" s="28">
        <f>[1]DataLookUp!$B38</f>
        <v>25000000000035</v>
      </c>
      <c r="C38" s="29" t="str">
        <f>VLOOKUP(B38, [1]DataLookUp!$B$4:$D$621, 2, FALSE)</f>
        <v>Anggit Ismiyanto</v>
      </c>
      <c r="D38" s="29" t="str">
        <f>VLOOKUP(B38, [1]DataLookUp!$B$4:$D$621, 3, FALSE)</f>
        <v/>
      </c>
      <c r="E38" s="40"/>
      <c r="F38" s="45" t="str">
        <f t="shared" si="2"/>
        <v/>
      </c>
      <c r="G38" s="30"/>
      <c r="H38" s="31"/>
      <c r="I38" s="50"/>
      <c r="J38" s="40"/>
      <c r="K38" s="40"/>
      <c r="L38" s="51"/>
      <c r="M38" s="52"/>
      <c r="N38" s="50"/>
      <c r="P38" s="55" t="str">
        <f t="shared" si="1"/>
        <v/>
      </c>
    </row>
    <row r="39" spans="2:16" x14ac:dyDescent="0.25">
      <c r="B39" s="28">
        <f>[1]DataLookUp!$B39</f>
        <v>25000000000036</v>
      </c>
      <c r="C39" s="29" t="str">
        <f>VLOOKUP(B39, [1]DataLookUp!$B$4:$D$621, 2, FALSE)</f>
        <v>Anika Setyowati</v>
      </c>
      <c r="D39" s="29" t="str">
        <f>VLOOKUP(B39, [1]DataLookUp!$B$4:$D$621, 3, FALSE)</f>
        <v/>
      </c>
      <c r="E39" s="40"/>
      <c r="F39" s="45" t="str">
        <f t="shared" si="2"/>
        <v/>
      </c>
      <c r="G39" s="30"/>
      <c r="H39" s="31"/>
      <c r="I39" s="50"/>
      <c r="J39" s="40"/>
      <c r="K39" s="40"/>
      <c r="L39" s="51"/>
      <c r="M39" s="52"/>
      <c r="N39" s="50"/>
      <c r="P39" s="55" t="str">
        <f t="shared" si="1"/>
        <v/>
      </c>
    </row>
    <row r="40" spans="2:16" x14ac:dyDescent="0.25">
      <c r="B40" s="28">
        <f>[1]DataLookUp!$B40</f>
        <v>25000000000037</v>
      </c>
      <c r="C40" s="29" t="str">
        <f>VLOOKUP(B40, [1]DataLookUp!$B$4:$D$621, 2, FALSE)</f>
        <v>Anisah</v>
      </c>
      <c r="D40" s="29" t="str">
        <f>VLOOKUP(B40, [1]DataLookUp!$B$4:$D$621, 3, FALSE)</f>
        <v/>
      </c>
      <c r="E40" s="40"/>
      <c r="F40" s="45" t="str">
        <f t="shared" si="2"/>
        <v/>
      </c>
      <c r="G40" s="30"/>
      <c r="H40" s="31"/>
      <c r="I40" s="50"/>
      <c r="J40" s="40"/>
      <c r="K40" s="40"/>
      <c r="L40" s="51"/>
      <c r="M40" s="52"/>
      <c r="N40" s="50"/>
      <c r="P40" s="55" t="str">
        <f t="shared" si="1"/>
        <v/>
      </c>
    </row>
    <row r="41" spans="2:16" x14ac:dyDescent="0.25">
      <c r="B41" s="28">
        <f>[1]DataLookUp!$B41</f>
        <v>25000000000038</v>
      </c>
      <c r="C41" s="29" t="str">
        <f>VLOOKUP(B41, [1]DataLookUp!$B$4:$D$621, 2, FALSE)</f>
        <v>Anna Savitrie</v>
      </c>
      <c r="D41" s="29" t="str">
        <f>VLOOKUP(B41, [1]DataLookUp!$B$4:$D$621, 3, FALSE)</f>
        <v/>
      </c>
      <c r="E41" s="40"/>
      <c r="F41" s="45" t="str">
        <f t="shared" si="2"/>
        <v/>
      </c>
      <c r="G41" s="30"/>
      <c r="H41" s="31"/>
      <c r="I41" s="50"/>
      <c r="J41" s="40"/>
      <c r="K41" s="40"/>
      <c r="L41" s="51"/>
      <c r="M41" s="52"/>
      <c r="N41" s="50"/>
      <c r="P41" s="55" t="str">
        <f t="shared" si="1"/>
        <v/>
      </c>
    </row>
    <row r="42" spans="2:16" x14ac:dyDescent="0.25">
      <c r="B42" s="28">
        <f>[1]DataLookUp!$B42</f>
        <v>25000000000039</v>
      </c>
      <c r="C42" s="29" t="str">
        <f>VLOOKUP(B42, [1]DataLookUp!$B$4:$D$621, 2, FALSE)</f>
        <v>Annisa Dewi Arumsari</v>
      </c>
      <c r="D42" s="29" t="str">
        <f>VLOOKUP(B42, [1]DataLookUp!$B$4:$D$621, 3, FALSE)</f>
        <v/>
      </c>
      <c r="E42" s="40"/>
      <c r="F42" s="45" t="str">
        <f t="shared" si="2"/>
        <v/>
      </c>
      <c r="G42" s="30"/>
      <c r="H42" s="31"/>
      <c r="I42" s="50"/>
      <c r="J42" s="40"/>
      <c r="K42" s="40"/>
      <c r="L42" s="51"/>
      <c r="M42" s="52"/>
      <c r="N42" s="50"/>
      <c r="P42" s="55" t="str">
        <f t="shared" si="1"/>
        <v/>
      </c>
    </row>
    <row r="43" spans="2:16" x14ac:dyDescent="0.25">
      <c r="B43" s="28">
        <f>[1]DataLookUp!$B43</f>
        <v>25000000000040</v>
      </c>
      <c r="C43" s="29" t="str">
        <f>VLOOKUP(B43, [1]DataLookUp!$B$4:$D$621, 2, FALSE)</f>
        <v>Annyes Sri Maristi</v>
      </c>
      <c r="D43" s="29" t="str">
        <f>VLOOKUP(B43, [1]DataLookUp!$B$4:$D$621, 3, FALSE)</f>
        <v/>
      </c>
      <c r="E43" s="40"/>
      <c r="F43" s="45" t="str">
        <f t="shared" si="2"/>
        <v/>
      </c>
      <c r="G43" s="30"/>
      <c r="H43" s="31"/>
      <c r="I43" s="50"/>
      <c r="J43" s="40"/>
      <c r="K43" s="40"/>
      <c r="L43" s="51"/>
      <c r="M43" s="52"/>
      <c r="N43" s="50"/>
      <c r="P43" s="55" t="str">
        <f t="shared" si="1"/>
        <v/>
      </c>
    </row>
    <row r="44" spans="2:16" x14ac:dyDescent="0.25">
      <c r="B44" s="28">
        <f>[1]DataLookUp!$B44</f>
        <v>25000000000041</v>
      </c>
      <c r="C44" s="29" t="str">
        <f>VLOOKUP(B44, [1]DataLookUp!$B$4:$D$621, 2, FALSE)</f>
        <v>Antok</v>
      </c>
      <c r="D44" s="29" t="str">
        <f>VLOOKUP(B44, [1]DataLookUp!$B$4:$D$621, 3, FALSE)</f>
        <v/>
      </c>
      <c r="E44" s="40"/>
      <c r="F44" s="45" t="str">
        <f t="shared" si="2"/>
        <v/>
      </c>
      <c r="G44" s="30"/>
      <c r="H44" s="31"/>
      <c r="I44" s="50"/>
      <c r="J44" s="40"/>
      <c r="K44" s="40"/>
      <c r="L44" s="51"/>
      <c r="M44" s="52"/>
      <c r="N44" s="50"/>
      <c r="P44" s="55" t="str">
        <f t="shared" si="1"/>
        <v/>
      </c>
    </row>
    <row r="45" spans="2:16" x14ac:dyDescent="0.25">
      <c r="B45" s="28">
        <f>[1]DataLookUp!$B45</f>
        <v>25000000000042</v>
      </c>
      <c r="C45" s="29" t="str">
        <f>VLOOKUP(B45, [1]DataLookUp!$B$4:$D$621, 2, FALSE)</f>
        <v>Anton Iryanto</v>
      </c>
      <c r="D45" s="29" t="str">
        <f>VLOOKUP(B45, [1]DataLookUp!$B$4:$D$621, 3, FALSE)</f>
        <v/>
      </c>
      <c r="E45" s="40"/>
      <c r="F45" s="45" t="str">
        <f t="shared" si="2"/>
        <v/>
      </c>
      <c r="G45" s="30"/>
      <c r="H45" s="31"/>
      <c r="I45" s="50"/>
      <c r="J45" s="40"/>
      <c r="K45" s="40"/>
      <c r="L45" s="51"/>
      <c r="M45" s="52"/>
      <c r="N45" s="50"/>
      <c r="P45" s="55" t="str">
        <f t="shared" si="1"/>
        <v/>
      </c>
    </row>
    <row r="46" spans="2:16" x14ac:dyDescent="0.25">
      <c r="B46" s="28">
        <f>[1]DataLookUp!$B46</f>
        <v>25000000000043</v>
      </c>
      <c r="C46" s="29" t="str">
        <f>VLOOKUP(B46, [1]DataLookUp!$B$4:$D$621, 2, FALSE)</f>
        <v>Antony Pakpahan</v>
      </c>
      <c r="D46" s="29" t="str">
        <f>VLOOKUP(B46, [1]DataLookUp!$B$4:$D$621, 3, FALSE)</f>
        <v/>
      </c>
      <c r="E46" s="40"/>
      <c r="F46" s="45" t="str">
        <f t="shared" si="2"/>
        <v/>
      </c>
      <c r="G46" s="30"/>
      <c r="H46" s="31"/>
      <c r="I46" s="50"/>
      <c r="J46" s="40"/>
      <c r="K46" s="40"/>
      <c r="L46" s="51"/>
      <c r="M46" s="52"/>
      <c r="N46" s="50"/>
      <c r="P46" s="55" t="str">
        <f t="shared" si="1"/>
        <v/>
      </c>
    </row>
    <row r="47" spans="2:16" x14ac:dyDescent="0.25">
      <c r="B47" s="28">
        <f>[1]DataLookUp!$B47</f>
        <v>25000000000044</v>
      </c>
      <c r="C47" s="29" t="str">
        <f>VLOOKUP(B47, [1]DataLookUp!$B$4:$D$621, 2, FALSE)</f>
        <v>Anugerah Januariansyah</v>
      </c>
      <c r="D47" s="29" t="str">
        <f>VLOOKUP(B47, [1]DataLookUp!$B$4:$D$621, 3, FALSE)</f>
        <v/>
      </c>
      <c r="E47" s="40"/>
      <c r="F47" s="45" t="str">
        <f t="shared" si="2"/>
        <v/>
      </c>
      <c r="G47" s="30"/>
      <c r="H47" s="31"/>
      <c r="I47" s="50"/>
      <c r="J47" s="40"/>
      <c r="K47" s="40"/>
      <c r="L47" s="51"/>
      <c r="M47" s="52"/>
      <c r="N47" s="50"/>
      <c r="P47" s="55" t="str">
        <f t="shared" si="1"/>
        <v/>
      </c>
    </row>
    <row r="48" spans="2:16" x14ac:dyDescent="0.25">
      <c r="B48" s="28">
        <f>[1]DataLookUp!$B48</f>
        <v>25000000000045</v>
      </c>
      <c r="C48" s="29" t="str">
        <f>VLOOKUP(B48, [1]DataLookUp!$B$4:$D$621, 2, FALSE)</f>
        <v>Anwar Purnomo</v>
      </c>
      <c r="D48" s="29" t="str">
        <f>VLOOKUP(B48, [1]DataLookUp!$B$4:$D$621, 3, FALSE)</f>
        <v/>
      </c>
      <c r="E48" s="40"/>
      <c r="F48" s="45" t="str">
        <f t="shared" si="2"/>
        <v/>
      </c>
      <c r="G48" s="30"/>
      <c r="H48" s="31"/>
      <c r="I48" s="50"/>
      <c r="J48" s="40"/>
      <c r="K48" s="40"/>
      <c r="L48" s="51"/>
      <c r="M48" s="52"/>
      <c r="N48" s="50"/>
      <c r="P48" s="55" t="str">
        <f t="shared" si="1"/>
        <v/>
      </c>
    </row>
    <row r="49" spans="2:16" x14ac:dyDescent="0.25">
      <c r="B49" s="28">
        <f>[1]DataLookUp!$B49</f>
        <v>25000000000046</v>
      </c>
      <c r="C49" s="29" t="str">
        <f>VLOOKUP(B49, [1]DataLookUp!$B$4:$D$621, 2, FALSE)</f>
        <v>Ardhi Swasono</v>
      </c>
      <c r="D49" s="29" t="str">
        <f>VLOOKUP(B49, [1]DataLookUp!$B$4:$D$621, 3, FALSE)</f>
        <v/>
      </c>
      <c r="E49" s="40"/>
      <c r="F49" s="45" t="str">
        <f t="shared" si="2"/>
        <v/>
      </c>
      <c r="G49" s="30"/>
      <c r="H49" s="31"/>
      <c r="I49" s="50"/>
      <c r="J49" s="40"/>
      <c r="K49" s="40"/>
      <c r="L49" s="51"/>
      <c r="M49" s="52"/>
      <c r="N49" s="50"/>
      <c r="P49" s="55" t="str">
        <f t="shared" si="1"/>
        <v/>
      </c>
    </row>
    <row r="50" spans="2:16" x14ac:dyDescent="0.25">
      <c r="B50" s="28">
        <f>[1]DataLookUp!$B50</f>
        <v>25000000000047</v>
      </c>
      <c r="C50" s="29" t="str">
        <f>VLOOKUP(B50, [1]DataLookUp!$B$4:$D$621, 2, FALSE)</f>
        <v>Ardi</v>
      </c>
      <c r="D50" s="29" t="str">
        <f>VLOOKUP(B50, [1]DataLookUp!$B$4:$D$621, 3, FALSE)</f>
        <v/>
      </c>
      <c r="E50" s="40"/>
      <c r="F50" s="45" t="str">
        <f t="shared" si="2"/>
        <v/>
      </c>
      <c r="G50" s="30"/>
      <c r="H50" s="31"/>
      <c r="I50" s="50"/>
      <c r="J50" s="40"/>
      <c r="K50" s="40"/>
      <c r="L50" s="51"/>
      <c r="M50" s="52"/>
      <c r="N50" s="50"/>
      <c r="P50" s="55" t="str">
        <f t="shared" si="1"/>
        <v/>
      </c>
    </row>
    <row r="51" spans="2:16" x14ac:dyDescent="0.25">
      <c r="B51" s="28">
        <f>[1]DataLookUp!$B51</f>
        <v>25000000000048</v>
      </c>
      <c r="C51" s="29" t="str">
        <f>VLOOKUP(B51, [1]DataLookUp!$B$4:$D$621, 2, FALSE)</f>
        <v>Ardiansyah</v>
      </c>
      <c r="D51" s="29" t="str">
        <f>VLOOKUP(B51, [1]DataLookUp!$B$4:$D$621, 3, FALSE)</f>
        <v/>
      </c>
      <c r="E51" s="40"/>
      <c r="F51" s="45" t="str">
        <f t="shared" si="2"/>
        <v/>
      </c>
      <c r="G51" s="30"/>
      <c r="H51" s="31"/>
      <c r="I51" s="50"/>
      <c r="J51" s="40"/>
      <c r="K51" s="40"/>
      <c r="L51" s="51"/>
      <c r="M51" s="52"/>
      <c r="N51" s="50"/>
      <c r="P51" s="55" t="str">
        <f t="shared" si="1"/>
        <v/>
      </c>
    </row>
    <row r="52" spans="2:16" x14ac:dyDescent="0.25">
      <c r="B52" s="28">
        <f>[1]DataLookUp!$B52</f>
        <v>25000000000049</v>
      </c>
      <c r="C52" s="29" t="str">
        <f>VLOOKUP(B52, [1]DataLookUp!$B$4:$D$621, 2, FALSE)</f>
        <v>Ardisam</v>
      </c>
      <c r="D52" s="29" t="str">
        <f>VLOOKUP(B52, [1]DataLookUp!$B$4:$D$621, 3, FALSE)</f>
        <v/>
      </c>
      <c r="E52" s="40"/>
      <c r="F52" s="45" t="str">
        <f t="shared" si="2"/>
        <v/>
      </c>
      <c r="G52" s="30"/>
      <c r="H52" s="31"/>
      <c r="I52" s="50"/>
      <c r="J52" s="40"/>
      <c r="K52" s="40"/>
      <c r="L52" s="51"/>
      <c r="M52" s="52"/>
      <c r="N52" s="50"/>
      <c r="P52" s="55" t="str">
        <f t="shared" si="1"/>
        <v/>
      </c>
    </row>
    <row r="53" spans="2:16" x14ac:dyDescent="0.25">
      <c r="B53" s="28">
        <f>[1]DataLookUp!$B53</f>
        <v>25000000000050</v>
      </c>
      <c r="C53" s="29" t="str">
        <f>VLOOKUP(B53, [1]DataLookUp!$B$4:$D$621, 2, FALSE)</f>
        <v>Ardita</v>
      </c>
      <c r="D53" s="29" t="str">
        <f>VLOOKUP(B53, [1]DataLookUp!$B$4:$D$621, 3, FALSE)</f>
        <v/>
      </c>
      <c r="E53" s="40"/>
      <c r="F53" s="45" t="str">
        <f t="shared" si="2"/>
        <v/>
      </c>
      <c r="G53" s="30"/>
      <c r="H53" s="31"/>
      <c r="I53" s="50"/>
      <c r="J53" s="40"/>
      <c r="K53" s="40"/>
      <c r="L53" s="51"/>
      <c r="M53" s="52"/>
      <c r="N53" s="50"/>
      <c r="P53" s="55" t="str">
        <f t="shared" si="1"/>
        <v/>
      </c>
    </row>
    <row r="54" spans="2:16" x14ac:dyDescent="0.25">
      <c r="B54" s="28">
        <f>[1]DataLookUp!$B54</f>
        <v>25000000000051</v>
      </c>
      <c r="C54" s="29" t="str">
        <f>VLOOKUP(B54, [1]DataLookUp!$B$4:$D$621, 2, FALSE)</f>
        <v>Ares S. Mauboi</v>
      </c>
      <c r="D54" s="29" t="str">
        <f>VLOOKUP(B54, [1]DataLookUp!$B$4:$D$621, 3, FALSE)</f>
        <v>3175081108800013</v>
      </c>
      <c r="E54" s="40" t="s">
        <v>179</v>
      </c>
      <c r="F54" s="45">
        <f t="shared" si="2"/>
        <v>156000000000001</v>
      </c>
      <c r="G54" s="30" t="s">
        <v>35</v>
      </c>
      <c r="H54" s="31">
        <v>29444</v>
      </c>
      <c r="I54" s="50" t="s">
        <v>295</v>
      </c>
      <c r="J54" s="40" t="s">
        <v>186</v>
      </c>
      <c r="K54" s="40" t="s">
        <v>186</v>
      </c>
      <c r="L54" s="51" t="s">
        <v>294</v>
      </c>
      <c r="M54" s="52">
        <v>24000000027180</v>
      </c>
      <c r="N54" s="50"/>
      <c r="P54" s="55" t="str">
        <f t="shared" si="1"/>
        <v xml:space="preserve">PERFORM "SchData-OLTP-Master"."Func_TblCitizenIdentity_SET"(varSystemLoginSession, null, null, null, varInstitutionBranchID, 25000000000051::bigint, 'Ares S. Mauboi'::varchar, '3175081108800013'::varchar, 156000000000001::bigint, NULL::bigint, '1980-08-11'::timestamp, NULL::bigint, NULL::bigint, NULL::bigint, NULL::bigint,  24000000027180::bigint, NULL::bigint, NULL::bigint, NULL::bigint, 'Kp. Rancak Kromong'::varchar, 3::smallint, 3::smallint);
</v>
      </c>
    </row>
    <row r="55" spans="2:16" x14ac:dyDescent="0.25">
      <c r="B55" s="28">
        <f>[1]DataLookUp!$B55</f>
        <v>25000000000052</v>
      </c>
      <c r="C55" s="29" t="str">
        <f>VLOOKUP(B55, [1]DataLookUp!$B$4:$D$621, 2, FALSE)</f>
        <v>Arfah Hanum</v>
      </c>
      <c r="D55" s="29" t="str">
        <f>VLOOKUP(B55, [1]DataLookUp!$B$4:$D$621, 3, FALSE)</f>
        <v/>
      </c>
      <c r="E55" s="40"/>
      <c r="F55" s="45" t="str">
        <f t="shared" si="2"/>
        <v/>
      </c>
      <c r="G55" s="30"/>
      <c r="H55" s="31"/>
      <c r="I55" s="50"/>
      <c r="J55" s="40"/>
      <c r="K55" s="40"/>
      <c r="L55" s="51"/>
      <c r="M55" s="52"/>
      <c r="N55" s="50"/>
      <c r="P55" s="55" t="str">
        <f t="shared" si="1"/>
        <v/>
      </c>
    </row>
    <row r="56" spans="2:16" x14ac:dyDescent="0.25">
      <c r="B56" s="28">
        <f>[1]DataLookUp!$B56</f>
        <v>25000000000053</v>
      </c>
      <c r="C56" s="29" t="str">
        <f>VLOOKUP(B56, [1]DataLookUp!$B$4:$D$621, 2, FALSE)</f>
        <v>Arfianti Haryani</v>
      </c>
      <c r="D56" s="29" t="str">
        <f>VLOOKUP(B56, [1]DataLookUp!$B$4:$D$621, 3, FALSE)</f>
        <v/>
      </c>
      <c r="E56" s="40"/>
      <c r="F56" s="45" t="str">
        <f t="shared" si="2"/>
        <v/>
      </c>
      <c r="G56" s="30"/>
      <c r="H56" s="31"/>
      <c r="I56" s="50"/>
      <c r="J56" s="40"/>
      <c r="K56" s="40"/>
      <c r="L56" s="51"/>
      <c r="M56" s="52"/>
      <c r="N56" s="50"/>
      <c r="P56" s="55" t="str">
        <f t="shared" si="1"/>
        <v/>
      </c>
    </row>
    <row r="57" spans="2:16" x14ac:dyDescent="0.25">
      <c r="B57" s="28">
        <f>[1]DataLookUp!$B57</f>
        <v>25000000000054</v>
      </c>
      <c r="C57" s="29" t="str">
        <f>VLOOKUP(B57, [1]DataLookUp!$B$4:$D$621, 2, FALSE)</f>
        <v>Ari Priwarsono</v>
      </c>
      <c r="D57" s="29" t="str">
        <f>VLOOKUP(B57, [1]DataLookUp!$B$4:$D$621, 3, FALSE)</f>
        <v/>
      </c>
      <c r="E57" s="40"/>
      <c r="F57" s="45" t="str">
        <f t="shared" si="2"/>
        <v/>
      </c>
      <c r="G57" s="30"/>
      <c r="H57" s="31"/>
      <c r="I57" s="50"/>
      <c r="J57" s="40"/>
      <c r="K57" s="40"/>
      <c r="L57" s="51"/>
      <c r="M57" s="52"/>
      <c r="N57" s="50"/>
      <c r="P57" s="55" t="str">
        <f t="shared" si="1"/>
        <v/>
      </c>
    </row>
    <row r="58" spans="2:16" x14ac:dyDescent="0.25">
      <c r="B58" s="28">
        <f>[1]DataLookUp!$B58</f>
        <v>25000000000055</v>
      </c>
      <c r="C58" s="29" t="str">
        <f>VLOOKUP(B58, [1]DataLookUp!$B$4:$D$621, 2, FALSE)</f>
        <v>Ari Yuniasmono</v>
      </c>
      <c r="D58" s="29" t="str">
        <f>VLOOKUP(B58, [1]DataLookUp!$B$4:$D$621, 3, FALSE)</f>
        <v/>
      </c>
      <c r="E58" s="40"/>
      <c r="F58" s="45" t="str">
        <f t="shared" si="2"/>
        <v/>
      </c>
      <c r="G58" s="30"/>
      <c r="H58" s="31"/>
      <c r="I58" s="50"/>
      <c r="J58" s="40"/>
      <c r="K58" s="40"/>
      <c r="L58" s="51"/>
      <c r="M58" s="52"/>
      <c r="N58" s="50"/>
      <c r="P58" s="55" t="str">
        <f t="shared" si="1"/>
        <v/>
      </c>
    </row>
    <row r="59" spans="2:16" x14ac:dyDescent="0.25">
      <c r="B59" s="28">
        <f>[1]DataLookUp!$B59</f>
        <v>25000000000056</v>
      </c>
      <c r="C59" s="29" t="str">
        <f>VLOOKUP(B59, [1]DataLookUp!$B$4:$D$621, 2, FALSE)</f>
        <v>Arif Gunawan</v>
      </c>
      <c r="D59" s="29" t="str">
        <f>VLOOKUP(B59, [1]DataLookUp!$B$4:$D$621, 3, FALSE)</f>
        <v/>
      </c>
      <c r="E59" s="40"/>
      <c r="F59" s="45" t="str">
        <f t="shared" si="2"/>
        <v/>
      </c>
      <c r="G59" s="30"/>
      <c r="H59" s="31"/>
      <c r="I59" s="50"/>
      <c r="J59" s="40"/>
      <c r="K59" s="40"/>
      <c r="L59" s="51"/>
      <c r="M59" s="52"/>
      <c r="N59" s="50"/>
      <c r="P59" s="55" t="str">
        <f t="shared" si="1"/>
        <v/>
      </c>
    </row>
    <row r="60" spans="2:16" x14ac:dyDescent="0.25">
      <c r="B60" s="28">
        <f>[1]DataLookUp!$B60</f>
        <v>25000000000057</v>
      </c>
      <c r="C60" s="29" t="str">
        <f>VLOOKUP(B60, [1]DataLookUp!$B$4:$D$621, 2, FALSE)</f>
        <v>Arif Prasetyo</v>
      </c>
      <c r="D60" s="29" t="str">
        <f>VLOOKUP(B60, [1]DataLookUp!$B$4:$D$621, 3, FALSE)</f>
        <v/>
      </c>
      <c r="E60" s="40"/>
      <c r="F60" s="45" t="str">
        <f t="shared" si="2"/>
        <v/>
      </c>
      <c r="G60" s="30"/>
      <c r="H60" s="31"/>
      <c r="I60" s="50"/>
      <c r="J60" s="40"/>
      <c r="K60" s="40"/>
      <c r="L60" s="51"/>
      <c r="M60" s="52"/>
      <c r="N60" s="50"/>
      <c r="P60" s="55" t="str">
        <f t="shared" si="1"/>
        <v/>
      </c>
    </row>
    <row r="61" spans="2:16" x14ac:dyDescent="0.25">
      <c r="B61" s="28">
        <f>[1]DataLookUp!$B61</f>
        <v>25000000000058</v>
      </c>
      <c r="C61" s="29" t="str">
        <f>VLOOKUP(B61, [1]DataLookUp!$B$4:$D$621, 2, FALSE)</f>
        <v>Arini</v>
      </c>
      <c r="D61" s="29" t="str">
        <f>VLOOKUP(B61, [1]DataLookUp!$B$4:$D$621, 3, FALSE)</f>
        <v/>
      </c>
      <c r="E61" s="40"/>
      <c r="F61" s="45" t="str">
        <f t="shared" si="2"/>
        <v/>
      </c>
      <c r="G61" s="30"/>
      <c r="H61" s="31"/>
      <c r="I61" s="50"/>
      <c r="J61" s="40"/>
      <c r="K61" s="40"/>
      <c r="L61" s="51"/>
      <c r="M61" s="52"/>
      <c r="N61" s="50"/>
      <c r="P61" s="55" t="str">
        <f t="shared" si="1"/>
        <v/>
      </c>
    </row>
    <row r="62" spans="2:16" x14ac:dyDescent="0.25">
      <c r="B62" s="28">
        <f>[1]DataLookUp!$B62</f>
        <v>25000000000059</v>
      </c>
      <c r="C62" s="29" t="str">
        <f>VLOOKUP(B62, [1]DataLookUp!$B$4:$D$621, 2, FALSE)</f>
        <v>Ario Setyo Gunawan</v>
      </c>
      <c r="D62" s="29" t="str">
        <f>VLOOKUP(B62, [1]DataLookUp!$B$4:$D$621, 3, FALSE)</f>
        <v/>
      </c>
      <c r="E62" s="40"/>
      <c r="F62" s="45" t="str">
        <f t="shared" si="2"/>
        <v/>
      </c>
      <c r="G62" s="30"/>
      <c r="H62" s="31"/>
      <c r="I62" s="50"/>
      <c r="J62" s="40"/>
      <c r="K62" s="40"/>
      <c r="L62" s="51"/>
      <c r="M62" s="52"/>
      <c r="N62" s="50"/>
      <c r="P62" s="55" t="str">
        <f t="shared" si="1"/>
        <v/>
      </c>
    </row>
    <row r="63" spans="2:16" x14ac:dyDescent="0.25">
      <c r="B63" s="28">
        <f>[1]DataLookUp!$B63</f>
        <v>25000000000060</v>
      </c>
      <c r="C63" s="29" t="str">
        <f>VLOOKUP(B63, [1]DataLookUp!$B$4:$D$621, 2, FALSE)</f>
        <v>Ario Yulianto Wibowo</v>
      </c>
      <c r="D63" s="29" t="str">
        <f>VLOOKUP(B63, [1]DataLookUp!$B$4:$D$621, 3, FALSE)</f>
        <v/>
      </c>
      <c r="E63" s="40"/>
      <c r="F63" s="45" t="str">
        <f t="shared" si="2"/>
        <v/>
      </c>
      <c r="G63" s="30"/>
      <c r="H63" s="31"/>
      <c r="I63" s="50"/>
      <c r="J63" s="40"/>
      <c r="K63" s="40"/>
      <c r="L63" s="51"/>
      <c r="M63" s="52"/>
      <c r="N63" s="50"/>
      <c r="P63" s="55" t="str">
        <f t="shared" si="1"/>
        <v/>
      </c>
    </row>
    <row r="64" spans="2:16" x14ac:dyDescent="0.25">
      <c r="B64" s="28">
        <f>[1]DataLookUp!$B64</f>
        <v>25000000000061</v>
      </c>
      <c r="C64" s="29" t="str">
        <f>VLOOKUP(B64, [1]DataLookUp!$B$4:$D$621, 2, FALSE)</f>
        <v>Aris Widodo Pamungkas</v>
      </c>
      <c r="D64" s="29" t="str">
        <f>VLOOKUP(B64, [1]DataLookUp!$B$4:$D$621, 3, FALSE)</f>
        <v/>
      </c>
      <c r="E64" s="40"/>
      <c r="F64" s="45" t="str">
        <f t="shared" si="2"/>
        <v/>
      </c>
      <c r="G64" s="30"/>
      <c r="H64" s="31"/>
      <c r="I64" s="50"/>
      <c r="J64" s="40"/>
      <c r="K64" s="40"/>
      <c r="L64" s="51"/>
      <c r="M64" s="52"/>
      <c r="N64" s="50"/>
      <c r="P64" s="55" t="str">
        <f t="shared" si="1"/>
        <v/>
      </c>
    </row>
    <row r="65" spans="2:16" x14ac:dyDescent="0.25">
      <c r="B65" s="28">
        <f>[1]DataLookUp!$B65</f>
        <v>25000000000062</v>
      </c>
      <c r="C65" s="29" t="str">
        <f>VLOOKUP(B65, [1]DataLookUp!$B$4:$D$621, 2, FALSE)</f>
        <v>Arjiyanto</v>
      </c>
      <c r="D65" s="29" t="str">
        <f>VLOOKUP(B65, [1]DataLookUp!$B$4:$D$621, 3, FALSE)</f>
        <v/>
      </c>
      <c r="E65" s="40"/>
      <c r="F65" s="45" t="str">
        <f t="shared" si="2"/>
        <v/>
      </c>
      <c r="G65" s="30"/>
      <c r="H65" s="31"/>
      <c r="I65" s="50"/>
      <c r="J65" s="40"/>
      <c r="K65" s="40"/>
      <c r="L65" s="51"/>
      <c r="M65" s="52"/>
      <c r="N65" s="50"/>
      <c r="P65" s="55" t="str">
        <f t="shared" si="1"/>
        <v/>
      </c>
    </row>
    <row r="66" spans="2:16" x14ac:dyDescent="0.25">
      <c r="B66" s="28">
        <f>[1]DataLookUp!$B66</f>
        <v>25000000000063</v>
      </c>
      <c r="C66" s="29" t="str">
        <f>VLOOKUP(B66, [1]DataLookUp!$B$4:$D$621, 2, FALSE)</f>
        <v>Arman</v>
      </c>
      <c r="D66" s="29" t="str">
        <f>VLOOKUP(B66, [1]DataLookUp!$B$4:$D$621, 3, FALSE)</f>
        <v/>
      </c>
      <c r="E66" s="40"/>
      <c r="F66" s="45" t="str">
        <f t="shared" si="2"/>
        <v/>
      </c>
      <c r="G66" s="30"/>
      <c r="H66" s="31"/>
      <c r="I66" s="50"/>
      <c r="J66" s="40"/>
      <c r="K66" s="40"/>
      <c r="L66" s="51"/>
      <c r="M66" s="52"/>
      <c r="N66" s="50"/>
      <c r="P66" s="55" t="str">
        <f t="shared" si="1"/>
        <v/>
      </c>
    </row>
    <row r="67" spans="2:16" x14ac:dyDescent="0.25">
      <c r="B67" s="28">
        <f>[1]DataLookUp!$B67</f>
        <v>25000000000064</v>
      </c>
      <c r="C67" s="29" t="str">
        <f>VLOOKUP(B67, [1]DataLookUp!$B$4:$D$621, 2, FALSE)</f>
        <v>Aryoko Sudiro</v>
      </c>
      <c r="D67" s="29" t="str">
        <f>VLOOKUP(B67, [1]DataLookUp!$B$4:$D$621, 3, FALSE)</f>
        <v/>
      </c>
      <c r="E67" s="40"/>
      <c r="F67" s="45" t="str">
        <f t="shared" si="2"/>
        <v/>
      </c>
      <c r="G67" s="30"/>
      <c r="H67" s="31"/>
      <c r="I67" s="50"/>
      <c r="J67" s="40"/>
      <c r="K67" s="40"/>
      <c r="L67" s="51"/>
      <c r="M67" s="52"/>
      <c r="N67" s="50"/>
      <c r="P67" s="55" t="str">
        <f t="shared" si="1"/>
        <v/>
      </c>
    </row>
    <row r="68" spans="2:16" x14ac:dyDescent="0.25">
      <c r="B68" s="28">
        <f>[1]DataLookUp!$B68</f>
        <v>25000000000065</v>
      </c>
      <c r="C68" s="29" t="str">
        <f>VLOOKUP(B68, [1]DataLookUp!$B$4:$D$621, 2, FALSE)</f>
        <v>Astamyugo</v>
      </c>
      <c r="D68" s="29" t="str">
        <f>VLOOKUP(B68, [1]DataLookUp!$B$4:$D$621, 3, FALSE)</f>
        <v/>
      </c>
      <c r="E68" s="40"/>
      <c r="F68" s="45" t="str">
        <f t="shared" si="2"/>
        <v/>
      </c>
      <c r="G68" s="30"/>
      <c r="H68" s="31"/>
      <c r="I68" s="50"/>
      <c r="J68" s="40"/>
      <c r="K68" s="40"/>
      <c r="L68" s="51"/>
      <c r="M68" s="52"/>
      <c r="N68" s="50"/>
      <c r="P68" s="55" t="str">
        <f t="shared" si="1"/>
        <v/>
      </c>
    </row>
    <row r="69" spans="2:16" x14ac:dyDescent="0.25">
      <c r="B69" s="28">
        <f>[1]DataLookUp!$B69</f>
        <v>25000000000066</v>
      </c>
      <c r="C69" s="29" t="str">
        <f>VLOOKUP(B69, [1]DataLookUp!$B$4:$D$621, 2, FALSE)</f>
        <v>Atmo Sastro Dinoto</v>
      </c>
      <c r="D69" s="29" t="str">
        <f>VLOOKUP(B69, [1]DataLookUp!$B$4:$D$621, 3, FALSE)</f>
        <v/>
      </c>
      <c r="E69" s="40"/>
      <c r="F69" s="45" t="str">
        <f t="shared" si="2"/>
        <v/>
      </c>
      <c r="G69" s="30"/>
      <c r="H69" s="31"/>
      <c r="I69" s="50"/>
      <c r="J69" s="40"/>
      <c r="K69" s="40"/>
      <c r="L69" s="51"/>
      <c r="M69" s="52"/>
      <c r="N69" s="50"/>
      <c r="P69" s="55" t="str">
        <f t="shared" ref="P69:P132" si="3">IF(EXACT(D69, ""), "", CONCATENATE("PERFORM ""SchData-OLTP-Master"".""Func_TblCitizenIdentity_SET""(varSystemLoginSession, null, null, null, varInstitutionBranchID, ",  IF(EXACT(B69, ""), "NULL", B69), "::bigint, '", C69, "'::varchar, '", D69, "'::varchar, ", IF(EXACT(F69, ""), "NULL", F69), "::bigint, ", "NULL", "::bigint, '", TEXT(H69, "YYYY-MM-DD"), "'::timestamp, ", "NULL", "::bigint, ", "NULL", "::bigint, ", "NULL", "::bigint, ", "NULL", "::bigint,  ", IF(EXACT(M69, ""), "NULL", M69), "::bigint, ", "NULL", "::bigint, ", "NULL", "::bigint, ", "NULL", "::bigint, '", CONCATENATE(I69, IF(EXACT(M69, ""), " "&amp;L69, "")), "'::varchar, ", IF(EXACT(J69, ""), "NULL", J69*1), "::smallint, ", IF(EXACT(K69, ""), "NULL", K69*1), "::smallint);
"))</f>
        <v/>
      </c>
    </row>
    <row r="70" spans="2:16" x14ac:dyDescent="0.25">
      <c r="B70" s="28">
        <f>[1]DataLookUp!$B70</f>
        <v>25000000000067</v>
      </c>
      <c r="C70" s="29" t="str">
        <f>VLOOKUP(B70, [1]DataLookUp!$B$4:$D$621, 2, FALSE)</f>
        <v>Awaludin</v>
      </c>
      <c r="D70" s="29" t="str">
        <f>VLOOKUP(B70, [1]DataLookUp!$B$4:$D$621, 3, FALSE)</f>
        <v/>
      </c>
      <c r="E70" s="40"/>
      <c r="F70" s="45" t="str">
        <f t="shared" si="2"/>
        <v/>
      </c>
      <c r="G70" s="30"/>
      <c r="H70" s="31"/>
      <c r="I70" s="50"/>
      <c r="J70" s="40"/>
      <c r="K70" s="40"/>
      <c r="L70" s="51"/>
      <c r="M70" s="52"/>
      <c r="N70" s="50"/>
      <c r="P70" s="55" t="str">
        <f t="shared" si="3"/>
        <v/>
      </c>
    </row>
    <row r="71" spans="2:16" x14ac:dyDescent="0.25">
      <c r="B71" s="28">
        <f>[1]DataLookUp!$B71</f>
        <v>25000000000068</v>
      </c>
      <c r="C71" s="29" t="str">
        <f>VLOOKUP(B71, [1]DataLookUp!$B$4:$D$621, 2, FALSE)</f>
        <v>Bachtiar</v>
      </c>
      <c r="D71" s="29" t="str">
        <f>VLOOKUP(B71, [1]DataLookUp!$B$4:$D$621, 3, FALSE)</f>
        <v/>
      </c>
      <c r="E71" s="40"/>
      <c r="F71" s="45" t="str">
        <f t="shared" si="2"/>
        <v/>
      </c>
      <c r="G71" s="30"/>
      <c r="H71" s="31"/>
      <c r="I71" s="50"/>
      <c r="J71" s="40"/>
      <c r="K71" s="40"/>
      <c r="L71" s="51"/>
      <c r="M71" s="52"/>
      <c r="N71" s="50"/>
      <c r="P71" s="55" t="str">
        <f t="shared" si="3"/>
        <v/>
      </c>
    </row>
    <row r="72" spans="2:16" x14ac:dyDescent="0.25">
      <c r="B72" s="28">
        <f>[1]DataLookUp!$B72</f>
        <v>25000000000069</v>
      </c>
      <c r="C72" s="29" t="str">
        <f>VLOOKUP(B72, [1]DataLookUp!$B$4:$D$621, 2, FALSE)</f>
        <v>Bambang Irawan</v>
      </c>
      <c r="D72" s="29" t="str">
        <f>VLOOKUP(B72, [1]DataLookUp!$B$4:$D$621, 3, FALSE)</f>
        <v/>
      </c>
      <c r="E72" s="40"/>
      <c r="F72" s="45" t="str">
        <f t="shared" si="2"/>
        <v/>
      </c>
      <c r="G72" s="30"/>
      <c r="H72" s="31"/>
      <c r="I72" s="50"/>
      <c r="J72" s="40"/>
      <c r="K72" s="40"/>
      <c r="L72" s="51"/>
      <c r="M72" s="52"/>
      <c r="N72" s="50"/>
      <c r="P72" s="55" t="str">
        <f t="shared" si="3"/>
        <v/>
      </c>
    </row>
    <row r="73" spans="2:16" x14ac:dyDescent="0.25">
      <c r="B73" s="28">
        <f>[1]DataLookUp!$B73</f>
        <v>25000000000070</v>
      </c>
      <c r="C73" s="29" t="str">
        <f>VLOOKUP(B73, [1]DataLookUp!$B$4:$D$621, 2, FALSE)</f>
        <v>Bambang Prihatin</v>
      </c>
      <c r="D73" s="29" t="str">
        <f>VLOOKUP(B73, [1]DataLookUp!$B$4:$D$621, 3, FALSE)</f>
        <v/>
      </c>
      <c r="E73" s="40"/>
      <c r="F73" s="45" t="str">
        <f t="shared" si="2"/>
        <v/>
      </c>
      <c r="G73" s="30"/>
      <c r="H73" s="31"/>
      <c r="I73" s="50"/>
      <c r="J73" s="40"/>
      <c r="K73" s="40"/>
      <c r="L73" s="51"/>
      <c r="M73" s="52"/>
      <c r="N73" s="50"/>
      <c r="P73" s="55" t="str">
        <f t="shared" si="3"/>
        <v/>
      </c>
    </row>
    <row r="74" spans="2:16" x14ac:dyDescent="0.25">
      <c r="B74" s="28">
        <f>[1]DataLookUp!$B74</f>
        <v>25000000000071</v>
      </c>
      <c r="C74" s="29" t="str">
        <f>VLOOKUP(B74, [1]DataLookUp!$B$4:$D$621, 2, FALSE)</f>
        <v>Bani Mustazeni</v>
      </c>
      <c r="D74" s="29" t="str">
        <f>VLOOKUP(B74, [1]DataLookUp!$B$4:$D$621, 3, FALSE)</f>
        <v/>
      </c>
      <c r="E74" s="40"/>
      <c r="F74" s="45" t="str">
        <f t="shared" si="2"/>
        <v/>
      </c>
      <c r="G74" s="30"/>
      <c r="H74" s="31"/>
      <c r="I74" s="50"/>
      <c r="J74" s="40"/>
      <c r="K74" s="40"/>
      <c r="L74" s="51"/>
      <c r="M74" s="52"/>
      <c r="N74" s="50"/>
      <c r="P74" s="55" t="str">
        <f t="shared" si="3"/>
        <v/>
      </c>
    </row>
    <row r="75" spans="2:16" x14ac:dyDescent="0.25">
      <c r="B75" s="28">
        <f>[1]DataLookUp!$B75</f>
        <v>25000000000072</v>
      </c>
      <c r="C75" s="29" t="str">
        <f>VLOOKUP(B75, [1]DataLookUp!$B$4:$D$621, 2, FALSE)</f>
        <v>Bardai</v>
      </c>
      <c r="D75" s="29" t="str">
        <f>VLOOKUP(B75, [1]DataLookUp!$B$4:$D$621, 3, FALSE)</f>
        <v/>
      </c>
      <c r="E75" s="40"/>
      <c r="F75" s="45" t="str">
        <f t="shared" ref="F75:F138" si="4">IF(EXACT(E75, ""), "", IF(EXACT(E75, "L"), 156000000000001, 156000000000002))</f>
        <v/>
      </c>
      <c r="G75" s="30"/>
      <c r="H75" s="31"/>
      <c r="I75" s="50"/>
      <c r="J75" s="40"/>
      <c r="K75" s="40"/>
      <c r="L75" s="51"/>
      <c r="M75" s="52"/>
      <c r="N75" s="50"/>
      <c r="P75" s="55" t="str">
        <f t="shared" si="3"/>
        <v/>
      </c>
    </row>
    <row r="76" spans="2:16" x14ac:dyDescent="0.25">
      <c r="B76" s="28">
        <f>[1]DataLookUp!$B76</f>
        <v>25000000000073</v>
      </c>
      <c r="C76" s="29" t="str">
        <f>VLOOKUP(B76, [1]DataLookUp!$B$4:$D$621, 2, FALSE)</f>
        <v>Barika</v>
      </c>
      <c r="D76" s="29" t="str">
        <f>VLOOKUP(B76, [1]DataLookUp!$B$4:$D$621, 3, FALSE)</f>
        <v/>
      </c>
      <c r="E76" s="40"/>
      <c r="F76" s="45" t="str">
        <f t="shared" si="4"/>
        <v/>
      </c>
      <c r="G76" s="30"/>
      <c r="H76" s="31"/>
      <c r="I76" s="50"/>
      <c r="J76" s="40"/>
      <c r="K76" s="40"/>
      <c r="L76" s="51"/>
      <c r="M76" s="52"/>
      <c r="N76" s="50"/>
      <c r="P76" s="55" t="str">
        <f t="shared" si="3"/>
        <v/>
      </c>
    </row>
    <row r="77" spans="2:16" x14ac:dyDescent="0.25">
      <c r="B77" s="28">
        <f>[1]DataLookUp!$B77</f>
        <v>25000000000074</v>
      </c>
      <c r="C77" s="29" t="str">
        <f>VLOOKUP(B77, [1]DataLookUp!$B$4:$D$621, 2, FALSE)</f>
        <v>Bela Retmalantika</v>
      </c>
      <c r="D77" s="29" t="str">
        <f>VLOOKUP(B77, [1]DataLookUp!$B$4:$D$621, 3, FALSE)</f>
        <v/>
      </c>
      <c r="E77" s="40"/>
      <c r="F77" s="45" t="str">
        <f t="shared" si="4"/>
        <v/>
      </c>
      <c r="G77" s="30"/>
      <c r="H77" s="31"/>
      <c r="I77" s="50"/>
      <c r="J77" s="40"/>
      <c r="K77" s="40"/>
      <c r="L77" s="51"/>
      <c r="M77" s="52"/>
      <c r="N77" s="50"/>
      <c r="P77" s="55" t="str">
        <f t="shared" si="3"/>
        <v/>
      </c>
    </row>
    <row r="78" spans="2:16" x14ac:dyDescent="0.25">
      <c r="B78" s="28">
        <f>[1]DataLookUp!$B78</f>
        <v>25000000000075</v>
      </c>
      <c r="C78" s="29" t="str">
        <f>VLOOKUP(B78, [1]DataLookUp!$B$4:$D$621, 2, FALSE)</f>
        <v>Belina Lindarwani</v>
      </c>
      <c r="D78" s="29" t="str">
        <f>VLOOKUP(B78, [1]DataLookUp!$B$4:$D$621, 3, FALSE)</f>
        <v>3276045103940005</v>
      </c>
      <c r="E78" s="40" t="s">
        <v>180</v>
      </c>
      <c r="F78" s="45">
        <f t="shared" si="4"/>
        <v>156000000000002</v>
      </c>
      <c r="G78" s="30" t="s">
        <v>6</v>
      </c>
      <c r="H78" s="31">
        <v>34404</v>
      </c>
      <c r="I78" s="50" t="s">
        <v>203</v>
      </c>
      <c r="J78" s="40" t="s">
        <v>192</v>
      </c>
      <c r="K78" s="40" t="s">
        <v>201</v>
      </c>
      <c r="L78" s="51" t="s">
        <v>202</v>
      </c>
      <c r="M78" s="52">
        <v>24000000032138</v>
      </c>
      <c r="N78" s="50"/>
      <c r="P78" s="55" t="str">
        <f t="shared" si="3"/>
        <v xml:space="preserve">PERFORM "SchData-OLTP-Master"."Func_TblCitizenIdentity_SET"(varSystemLoginSession, null, null, null, varInstitutionBranchID, 25000000000075::bigint, 'Belina Lindarwani'::varchar, '3276045103940005'::varchar, 156000000000002::bigint, NULL::bigint, '1994-03-11'::timestamp, NULL::bigint, NULL::bigint, NULL::bigint, NULL::bigint,  24000000032138::bigint, NULL::bigint, NULL::bigint, NULL::bigint, 'Perum. Taman Griya Kencana Blok B 12 No. 05'::varchar, 2::smallint, 12::smallint);
</v>
      </c>
    </row>
    <row r="79" spans="2:16" x14ac:dyDescent="0.25">
      <c r="B79" s="28">
        <f>[1]DataLookUp!$B79</f>
        <v>25000000000076</v>
      </c>
      <c r="C79" s="29" t="str">
        <f>VLOOKUP(B79, [1]DataLookUp!$B$4:$D$621, 2, FALSE)</f>
        <v>Benita Sofia</v>
      </c>
      <c r="D79" s="29" t="str">
        <f>VLOOKUP(B79, [1]DataLookUp!$B$4:$D$621, 3, FALSE)</f>
        <v/>
      </c>
      <c r="E79" s="40"/>
      <c r="F79" s="45" t="str">
        <f t="shared" si="4"/>
        <v/>
      </c>
      <c r="G79" s="30"/>
      <c r="H79" s="31"/>
      <c r="I79" s="50"/>
      <c r="J79" s="40"/>
      <c r="K79" s="40"/>
      <c r="L79" s="51"/>
      <c r="M79" s="52"/>
      <c r="N79" s="50"/>
      <c r="P79" s="55" t="str">
        <f t="shared" si="3"/>
        <v/>
      </c>
    </row>
    <row r="80" spans="2:16" x14ac:dyDescent="0.25">
      <c r="B80" s="28">
        <f>[1]DataLookUp!$B80</f>
        <v>25000000000077</v>
      </c>
      <c r="C80" s="29" t="str">
        <f>VLOOKUP(B80, [1]DataLookUp!$B$4:$D$621, 2, FALSE)</f>
        <v>Bherly Novrandy</v>
      </c>
      <c r="D80" s="29" t="str">
        <f>VLOOKUP(B80, [1]DataLookUp!$B$4:$D$621, 3, FALSE)</f>
        <v/>
      </c>
      <c r="E80" s="40"/>
      <c r="F80" s="45" t="str">
        <f t="shared" si="4"/>
        <v/>
      </c>
      <c r="G80" s="30"/>
      <c r="H80" s="31"/>
      <c r="I80" s="50"/>
      <c r="J80" s="40"/>
      <c r="K80" s="40"/>
      <c r="L80" s="51"/>
      <c r="M80" s="52"/>
      <c r="N80" s="50"/>
      <c r="P80" s="55" t="str">
        <f t="shared" si="3"/>
        <v/>
      </c>
    </row>
    <row r="81" spans="2:16" x14ac:dyDescent="0.25">
      <c r="B81" s="28">
        <f>[1]DataLookUp!$B81</f>
        <v>25000000000078</v>
      </c>
      <c r="C81" s="29" t="str">
        <f>VLOOKUP(B81, [1]DataLookUp!$B$4:$D$621, 2, FALSE)</f>
        <v>Binsar</v>
      </c>
      <c r="D81" s="29" t="str">
        <f>VLOOKUP(B81, [1]DataLookUp!$B$4:$D$621, 3, FALSE)</f>
        <v/>
      </c>
      <c r="E81" s="40"/>
      <c r="F81" s="45" t="str">
        <f t="shared" si="4"/>
        <v/>
      </c>
      <c r="G81" s="30"/>
      <c r="H81" s="31"/>
      <c r="I81" s="50"/>
      <c r="J81" s="40"/>
      <c r="K81" s="40"/>
      <c r="L81" s="51"/>
      <c r="M81" s="52"/>
      <c r="N81" s="50"/>
      <c r="P81" s="55" t="str">
        <f t="shared" si="3"/>
        <v/>
      </c>
    </row>
    <row r="82" spans="2:16" x14ac:dyDescent="0.25">
      <c r="B82" s="28">
        <f>[1]DataLookUp!$B82</f>
        <v>25000000000079</v>
      </c>
      <c r="C82" s="29" t="str">
        <f>VLOOKUP(B82, [1]DataLookUp!$B$4:$D$621, 2, FALSE)</f>
        <v>Bondhan Sosiarta</v>
      </c>
      <c r="D82" s="29" t="str">
        <f>VLOOKUP(B82, [1]DataLookUp!$B$4:$D$621, 3, FALSE)</f>
        <v/>
      </c>
      <c r="E82" s="40"/>
      <c r="F82" s="45" t="str">
        <f t="shared" si="4"/>
        <v/>
      </c>
      <c r="G82" s="30"/>
      <c r="H82" s="31"/>
      <c r="I82" s="50"/>
      <c r="J82" s="40"/>
      <c r="K82" s="40"/>
      <c r="L82" s="51"/>
      <c r="M82" s="52"/>
      <c r="N82" s="50"/>
      <c r="P82" s="55" t="str">
        <f t="shared" si="3"/>
        <v/>
      </c>
    </row>
    <row r="83" spans="2:16" x14ac:dyDescent="0.25">
      <c r="B83" s="28">
        <f>[1]DataLookUp!$B83</f>
        <v>25000000000080</v>
      </c>
      <c r="C83" s="29" t="str">
        <f>VLOOKUP(B83, [1]DataLookUp!$B$4:$D$621, 2, FALSE)</f>
        <v>Budi Pranata Sinaga</v>
      </c>
      <c r="D83" s="29" t="str">
        <f>VLOOKUP(B83, [1]DataLookUp!$B$4:$D$621, 3, FALSE)</f>
        <v/>
      </c>
      <c r="E83" s="40"/>
      <c r="F83" s="45" t="str">
        <f t="shared" si="4"/>
        <v/>
      </c>
      <c r="G83" s="30"/>
      <c r="H83" s="31"/>
      <c r="I83" s="50"/>
      <c r="J83" s="40"/>
      <c r="K83" s="40"/>
      <c r="L83" s="51"/>
      <c r="M83" s="52"/>
      <c r="N83" s="50"/>
      <c r="P83" s="55" t="str">
        <f t="shared" si="3"/>
        <v/>
      </c>
    </row>
    <row r="84" spans="2:16" x14ac:dyDescent="0.25">
      <c r="B84" s="28">
        <f>[1]DataLookUp!$B84</f>
        <v>25000000000081</v>
      </c>
      <c r="C84" s="29" t="str">
        <f>VLOOKUP(B84, [1]DataLookUp!$B$4:$D$621, 2, FALSE)</f>
        <v>Budi Satrio</v>
      </c>
      <c r="D84" s="29" t="str">
        <f>VLOOKUP(B84, [1]DataLookUp!$B$4:$D$621, 3, FALSE)</f>
        <v/>
      </c>
      <c r="E84" s="40"/>
      <c r="F84" s="45" t="str">
        <f t="shared" si="4"/>
        <v/>
      </c>
      <c r="G84" s="30"/>
      <c r="H84" s="31"/>
      <c r="I84" s="50"/>
      <c r="J84" s="40"/>
      <c r="K84" s="40"/>
      <c r="L84" s="51"/>
      <c r="M84" s="52"/>
      <c r="N84" s="50"/>
      <c r="P84" s="55" t="str">
        <f t="shared" si="3"/>
        <v/>
      </c>
    </row>
    <row r="85" spans="2:16" x14ac:dyDescent="0.25">
      <c r="B85" s="28">
        <f>[1]DataLookUp!$B85</f>
        <v>25000000000082</v>
      </c>
      <c r="C85" s="29" t="str">
        <f>VLOOKUP(B85, [1]DataLookUp!$B$4:$D$621, 2, FALSE)</f>
        <v>Budianto</v>
      </c>
      <c r="D85" s="29" t="str">
        <f>VLOOKUP(B85, [1]DataLookUp!$B$4:$D$621, 3, FALSE)</f>
        <v>3174040705860015</v>
      </c>
      <c r="E85" s="40" t="s">
        <v>179</v>
      </c>
      <c r="F85" s="45">
        <f t="shared" si="4"/>
        <v>156000000000001</v>
      </c>
      <c r="G85" s="30" t="s">
        <v>6</v>
      </c>
      <c r="H85" s="31">
        <v>31539</v>
      </c>
      <c r="I85" s="50" t="s">
        <v>206</v>
      </c>
      <c r="J85" s="40" t="s">
        <v>186</v>
      </c>
      <c r="K85" s="40" t="s">
        <v>204</v>
      </c>
      <c r="L85" s="51" t="s">
        <v>205</v>
      </c>
      <c r="M85" s="52">
        <v>24000000032485</v>
      </c>
      <c r="N85" s="50"/>
      <c r="P85" s="55" t="str">
        <f t="shared" si="3"/>
        <v xml:space="preserve">PERFORM "SchData-OLTP-Master"."Func_TblCitizenIdentity_SET"(varSystemLoginSession, null, null, null, varInstitutionBranchID, 25000000000082::bigint, 'Budianto'::varchar, '3174040705860015'::varchar, 156000000000001::bigint, NULL::bigint, '1986-05-07'::timestamp, NULL::bigint, NULL::bigint, NULL::bigint, NULL::bigint,  24000000032485::bigint, NULL::bigint, NULL::bigint, NULL::bigint, 'Jl. Kalibata Selatan II No. 53'::varchar, 3::smallint, 4::smallint);
</v>
      </c>
    </row>
    <row r="86" spans="2:16" x14ac:dyDescent="0.25">
      <c r="B86" s="28">
        <f>[1]DataLookUp!$B86</f>
        <v>25000000000083</v>
      </c>
      <c r="C86" s="29" t="str">
        <f>VLOOKUP(B86, [1]DataLookUp!$B$4:$D$621, 2, FALSE)</f>
        <v>Budiman</v>
      </c>
      <c r="D86" s="29" t="str">
        <f>VLOOKUP(B86, [1]DataLookUp!$B$4:$D$621, 3, FALSE)</f>
        <v/>
      </c>
      <c r="E86" s="40"/>
      <c r="F86" s="45" t="str">
        <f t="shared" si="4"/>
        <v/>
      </c>
      <c r="G86" s="30"/>
      <c r="H86" s="31"/>
      <c r="I86" s="50"/>
      <c r="J86" s="40"/>
      <c r="K86" s="40"/>
      <c r="L86" s="51"/>
      <c r="M86" s="52"/>
      <c r="N86" s="50"/>
      <c r="P86" s="55" t="str">
        <f t="shared" si="3"/>
        <v/>
      </c>
    </row>
    <row r="87" spans="2:16" x14ac:dyDescent="0.25">
      <c r="B87" s="28">
        <f>[1]DataLookUp!$B87</f>
        <v>25000000000084</v>
      </c>
      <c r="C87" s="29" t="str">
        <f>VLOOKUP(B87, [1]DataLookUp!$B$4:$D$621, 2, FALSE)</f>
        <v>Cahyaning Annisa</v>
      </c>
      <c r="D87" s="29" t="str">
        <f>VLOOKUP(B87, [1]DataLookUp!$B$4:$D$621, 3, FALSE)</f>
        <v/>
      </c>
      <c r="E87" s="40"/>
      <c r="F87" s="45" t="str">
        <f t="shared" si="4"/>
        <v/>
      </c>
      <c r="G87" s="30"/>
      <c r="H87" s="31"/>
      <c r="I87" s="50"/>
      <c r="J87" s="40"/>
      <c r="K87" s="40"/>
      <c r="L87" s="51"/>
      <c r="M87" s="52"/>
      <c r="N87" s="50"/>
      <c r="P87" s="55" t="str">
        <f t="shared" si="3"/>
        <v/>
      </c>
    </row>
    <row r="88" spans="2:16" x14ac:dyDescent="0.25">
      <c r="B88" s="28">
        <f>[1]DataLookUp!$B88</f>
        <v>25000000000085</v>
      </c>
      <c r="C88" s="29" t="str">
        <f>VLOOKUP(B88, [1]DataLookUp!$B$4:$D$621, 2, FALSE)</f>
        <v>Cahyaningrum Widiastuti</v>
      </c>
      <c r="D88" s="29" t="str">
        <f>VLOOKUP(B88, [1]DataLookUp!$B$4:$D$621, 3, FALSE)</f>
        <v/>
      </c>
      <c r="E88" s="40"/>
      <c r="F88" s="45" t="str">
        <f t="shared" si="4"/>
        <v/>
      </c>
      <c r="G88" s="30"/>
      <c r="H88" s="31"/>
      <c r="I88" s="50"/>
      <c r="J88" s="40"/>
      <c r="K88" s="40"/>
      <c r="L88" s="51"/>
      <c r="M88" s="52"/>
      <c r="N88" s="50"/>
      <c r="P88" s="55" t="str">
        <f t="shared" si="3"/>
        <v/>
      </c>
    </row>
    <row r="89" spans="2:16" x14ac:dyDescent="0.25">
      <c r="B89" s="28">
        <f>[1]DataLookUp!$B89</f>
        <v>25000000000086</v>
      </c>
      <c r="C89" s="29" t="str">
        <f>VLOOKUP(B89, [1]DataLookUp!$B$4:$D$621, 2, FALSE)</f>
        <v>Cecep Maulana</v>
      </c>
      <c r="D89" s="29" t="str">
        <f>VLOOKUP(B89, [1]DataLookUp!$B$4:$D$621, 3, FALSE)</f>
        <v/>
      </c>
      <c r="E89" s="40"/>
      <c r="F89" s="45" t="str">
        <f t="shared" si="4"/>
        <v/>
      </c>
      <c r="G89" s="30"/>
      <c r="H89" s="31"/>
      <c r="I89" s="50"/>
      <c r="J89" s="40"/>
      <c r="K89" s="40"/>
      <c r="L89" s="51"/>
      <c r="M89" s="52"/>
      <c r="N89" s="50"/>
      <c r="P89" s="55" t="str">
        <f t="shared" si="3"/>
        <v/>
      </c>
    </row>
    <row r="90" spans="2:16" x14ac:dyDescent="0.25">
      <c r="B90" s="28">
        <f>[1]DataLookUp!$B90</f>
        <v>25000000000087</v>
      </c>
      <c r="C90" s="29" t="str">
        <f>VLOOKUP(B90, [1]DataLookUp!$B$4:$D$621, 2, FALSE)</f>
        <v>Chairul Musaddat</v>
      </c>
      <c r="D90" s="29" t="str">
        <f>VLOOKUP(B90, [1]DataLookUp!$B$4:$D$621, 3, FALSE)</f>
        <v/>
      </c>
      <c r="E90" s="40"/>
      <c r="F90" s="45" t="str">
        <f t="shared" si="4"/>
        <v/>
      </c>
      <c r="G90" s="30"/>
      <c r="H90" s="31"/>
      <c r="I90" s="50"/>
      <c r="J90" s="40"/>
      <c r="K90" s="40"/>
      <c r="L90" s="51"/>
      <c r="M90" s="52"/>
      <c r="N90" s="50"/>
      <c r="P90" s="55" t="str">
        <f t="shared" si="3"/>
        <v/>
      </c>
    </row>
    <row r="91" spans="2:16" x14ac:dyDescent="0.25">
      <c r="B91" s="28">
        <f>[1]DataLookUp!$B91</f>
        <v>25000000000088</v>
      </c>
      <c r="C91" s="29" t="str">
        <f>VLOOKUP(B91, [1]DataLookUp!$B$4:$D$621, 2, FALSE)</f>
        <v>Christianto</v>
      </c>
      <c r="D91" s="29" t="str">
        <f>VLOOKUP(B91, [1]DataLookUp!$B$4:$D$621, 3, FALSE)</f>
        <v/>
      </c>
      <c r="E91" s="40"/>
      <c r="F91" s="45" t="str">
        <f t="shared" si="4"/>
        <v/>
      </c>
      <c r="G91" s="30"/>
      <c r="H91" s="31"/>
      <c r="I91" s="50"/>
      <c r="J91" s="40"/>
      <c r="K91" s="40"/>
      <c r="L91" s="51"/>
      <c r="M91" s="52"/>
      <c r="N91" s="50"/>
      <c r="P91" s="55" t="str">
        <f t="shared" si="3"/>
        <v/>
      </c>
    </row>
    <row r="92" spans="2:16" x14ac:dyDescent="0.25">
      <c r="B92" s="28">
        <f>[1]DataLookUp!$B92</f>
        <v>25000000000089</v>
      </c>
      <c r="C92" s="29" t="str">
        <f>VLOOKUP(B92, [1]DataLookUp!$B$4:$D$621, 2, FALSE)</f>
        <v>Dadan Hermawan</v>
      </c>
      <c r="D92" s="29" t="str">
        <f>VLOOKUP(B92, [1]DataLookUp!$B$4:$D$621, 3, FALSE)</f>
        <v/>
      </c>
      <c r="E92" s="40"/>
      <c r="F92" s="45" t="str">
        <f t="shared" si="4"/>
        <v/>
      </c>
      <c r="G92" s="30"/>
      <c r="H92" s="31"/>
      <c r="I92" s="50"/>
      <c r="J92" s="40"/>
      <c r="K92" s="40"/>
      <c r="L92" s="51"/>
      <c r="M92" s="52"/>
      <c r="N92" s="50"/>
      <c r="P92" s="55" t="str">
        <f t="shared" si="3"/>
        <v/>
      </c>
    </row>
    <row r="93" spans="2:16" x14ac:dyDescent="0.25">
      <c r="B93" s="28">
        <f>[1]DataLookUp!$B93</f>
        <v>25000000000090</v>
      </c>
      <c r="C93" s="29" t="str">
        <f>VLOOKUP(B93, [1]DataLookUp!$B$4:$D$621, 2, FALSE)</f>
        <v>Dadan Suhendar</v>
      </c>
      <c r="D93" s="29" t="str">
        <f>VLOOKUP(B93, [1]DataLookUp!$B$4:$D$621, 3, FALSE)</f>
        <v/>
      </c>
      <c r="E93" s="40"/>
      <c r="F93" s="45" t="str">
        <f t="shared" si="4"/>
        <v/>
      </c>
      <c r="G93" s="30"/>
      <c r="H93" s="31"/>
      <c r="I93" s="50"/>
      <c r="J93" s="40"/>
      <c r="K93" s="40"/>
      <c r="L93" s="51"/>
      <c r="M93" s="52"/>
      <c r="N93" s="50"/>
      <c r="P93" s="55" t="str">
        <f t="shared" si="3"/>
        <v/>
      </c>
    </row>
    <row r="94" spans="2:16" x14ac:dyDescent="0.25">
      <c r="B94" s="28">
        <f>[1]DataLookUp!$B94</f>
        <v>25000000000091</v>
      </c>
      <c r="C94" s="29" t="str">
        <f>VLOOKUP(B94, [1]DataLookUp!$B$4:$D$621, 2, FALSE)</f>
        <v>Dadi Anda Zuchradi</v>
      </c>
      <c r="D94" s="29" t="str">
        <f>VLOOKUP(B94, [1]DataLookUp!$B$4:$D$621, 3, FALSE)</f>
        <v/>
      </c>
      <c r="E94" s="40"/>
      <c r="F94" s="45" t="str">
        <f t="shared" si="4"/>
        <v/>
      </c>
      <c r="G94" s="30"/>
      <c r="H94" s="31"/>
      <c r="I94" s="50"/>
      <c r="J94" s="40"/>
      <c r="K94" s="40"/>
      <c r="L94" s="51"/>
      <c r="M94" s="52"/>
      <c r="N94" s="50"/>
      <c r="P94" s="55" t="str">
        <f t="shared" si="3"/>
        <v/>
      </c>
    </row>
    <row r="95" spans="2:16" ht="25.5" x14ac:dyDescent="0.25">
      <c r="B95" s="28">
        <f>[1]DataLookUp!$B95</f>
        <v>25000000000092</v>
      </c>
      <c r="C95" s="29" t="str">
        <f>VLOOKUP(B95, [1]DataLookUp!$B$4:$D$621, 2, FALSE)</f>
        <v>Darsito</v>
      </c>
      <c r="D95" s="29" t="str">
        <f>VLOOKUP(B95, [1]DataLookUp!$B$4:$D$621, 3, FALSE)</f>
        <v>3313141612730001</v>
      </c>
      <c r="E95" s="40" t="s">
        <v>179</v>
      </c>
      <c r="F95" s="45">
        <f t="shared" si="4"/>
        <v>156000000000001</v>
      </c>
      <c r="G95" s="30" t="s">
        <v>34</v>
      </c>
      <c r="H95" s="31">
        <v>27014</v>
      </c>
      <c r="I95" s="50" t="s">
        <v>208</v>
      </c>
      <c r="J95" s="40" t="s">
        <v>183</v>
      </c>
      <c r="K95" s="40" t="s">
        <v>204</v>
      </c>
      <c r="L95" s="51" t="s">
        <v>207</v>
      </c>
      <c r="M95" s="52">
        <v>24000000035444</v>
      </c>
      <c r="N95" s="50"/>
      <c r="P95" s="55" t="str">
        <f t="shared" si="3"/>
        <v xml:space="preserve">PERFORM "SchData-OLTP-Master"."Func_TblCitizenIdentity_SET"(varSystemLoginSession, null, null, null, varInstitutionBranchID, 25000000000092::bigint, 'Darsito'::varchar, '3313141612730001'::varchar, 156000000000001::bigint, NULL::bigint, '1973-12-16'::timestamp, NULL::bigint, NULL::bigint, NULL::bigint, NULL::bigint,  24000000035444::bigint, NULL::bigint, NULL::bigint, NULL::bigint, 'Teken'::varchar, 1::smallint, 4::smallint);
</v>
      </c>
    </row>
    <row r="96" spans="2:16" x14ac:dyDescent="0.25">
      <c r="B96" s="28">
        <f>[1]DataLookUp!$B96</f>
        <v>25000000000093</v>
      </c>
      <c r="C96" s="29" t="str">
        <f>VLOOKUP(B96, [1]DataLookUp!$B$4:$D$621, 2, FALSE)</f>
        <v>Davit Lumban Gaol</v>
      </c>
      <c r="D96" s="29" t="str">
        <f>VLOOKUP(B96, [1]DataLookUp!$B$4:$D$621, 3, FALSE)</f>
        <v>1408102502900001</v>
      </c>
      <c r="E96" s="40" t="s">
        <v>179</v>
      </c>
      <c r="F96" s="45">
        <f t="shared" si="4"/>
        <v>156000000000001</v>
      </c>
      <c r="G96" s="30" t="s">
        <v>33</v>
      </c>
      <c r="H96" s="31">
        <v>32929</v>
      </c>
      <c r="I96" s="50" t="s">
        <v>303</v>
      </c>
      <c r="J96" s="40" t="s">
        <v>183</v>
      </c>
      <c r="K96" s="40" t="s">
        <v>192</v>
      </c>
      <c r="L96" s="51" t="s">
        <v>302</v>
      </c>
      <c r="M96" s="52">
        <v>24000000015133</v>
      </c>
      <c r="N96" s="50"/>
      <c r="P96" s="55" t="str">
        <f t="shared" si="3"/>
        <v xml:space="preserve">PERFORM "SchData-OLTP-Master"."Func_TblCitizenIdentity_SET"(varSystemLoginSession, null, null, null, varInstitutionBranchID, 25000000000093::bigint, 'Davit Lumban Gaol'::varchar, '1408102502900001'::varchar, 156000000000001::bigint, NULL::bigint, '1990-02-25'::timestamp, NULL::bigint, NULL::bigint, NULL::bigint, NULL::bigint,  24000000015133::bigint, NULL::bigint, NULL::bigint, NULL::bigint, 'Jl. PTP'::varchar, 1::smallint, 2::smallint);
</v>
      </c>
    </row>
    <row r="97" spans="2:16" x14ac:dyDescent="0.25">
      <c r="B97" s="28">
        <f>[1]DataLookUp!$B97</f>
        <v>25000000000094</v>
      </c>
      <c r="C97" s="29" t="str">
        <f>VLOOKUP(B97, [1]DataLookUp!$B$4:$D$621, 2, FALSE)</f>
        <v>Deddy Rochman</v>
      </c>
      <c r="D97" s="29" t="str">
        <f>VLOOKUP(B97, [1]DataLookUp!$B$4:$D$621, 3, FALSE)</f>
        <v/>
      </c>
      <c r="E97" s="40"/>
      <c r="F97" s="45" t="str">
        <f t="shared" si="4"/>
        <v/>
      </c>
      <c r="G97" s="30"/>
      <c r="H97" s="31"/>
      <c r="I97" s="50"/>
      <c r="J97" s="40"/>
      <c r="K97" s="40"/>
      <c r="L97" s="51"/>
      <c r="M97" s="52"/>
      <c r="N97" s="50"/>
      <c r="P97" s="55" t="str">
        <f t="shared" si="3"/>
        <v/>
      </c>
    </row>
    <row r="98" spans="2:16" x14ac:dyDescent="0.25">
      <c r="B98" s="28">
        <f>[1]DataLookUp!$B98</f>
        <v>25000000000095</v>
      </c>
      <c r="C98" s="29" t="str">
        <f>VLOOKUP(B98, [1]DataLookUp!$B$4:$D$621, 2, FALSE)</f>
        <v>Dedi Kusnadi</v>
      </c>
      <c r="D98" s="29" t="str">
        <f>VLOOKUP(B98, [1]DataLookUp!$B$4:$D$621, 3, FALSE)</f>
        <v/>
      </c>
      <c r="E98" s="40"/>
      <c r="F98" s="45" t="str">
        <f t="shared" si="4"/>
        <v/>
      </c>
      <c r="G98" s="30"/>
      <c r="H98" s="31"/>
      <c r="I98" s="50"/>
      <c r="J98" s="40"/>
      <c r="K98" s="40"/>
      <c r="L98" s="51"/>
      <c r="M98" s="52"/>
      <c r="N98" s="50"/>
      <c r="P98" s="55" t="str">
        <f t="shared" si="3"/>
        <v/>
      </c>
    </row>
    <row r="99" spans="2:16" x14ac:dyDescent="0.25">
      <c r="B99" s="28">
        <f>[1]DataLookUp!$B99</f>
        <v>25000000000096</v>
      </c>
      <c r="C99" s="29" t="str">
        <f>VLOOKUP(B99, [1]DataLookUp!$B$4:$D$621, 2, FALSE)</f>
        <v>Dedi Marciano Rizanur</v>
      </c>
      <c r="D99" s="29" t="str">
        <f>VLOOKUP(B99, [1]DataLookUp!$B$4:$D$621, 3, FALSE)</f>
        <v/>
      </c>
      <c r="E99" s="40"/>
      <c r="F99" s="45" t="str">
        <f t="shared" si="4"/>
        <v/>
      </c>
      <c r="G99" s="30"/>
      <c r="H99" s="31"/>
      <c r="I99" s="50"/>
      <c r="J99" s="40"/>
      <c r="K99" s="40"/>
      <c r="L99" s="51"/>
      <c r="M99" s="52"/>
      <c r="N99" s="50"/>
      <c r="P99" s="55" t="str">
        <f t="shared" si="3"/>
        <v/>
      </c>
    </row>
    <row r="100" spans="2:16" x14ac:dyDescent="0.25">
      <c r="B100" s="28">
        <f>[1]DataLookUp!$B100</f>
        <v>25000000000097</v>
      </c>
      <c r="C100" s="29" t="str">
        <f>VLOOKUP(B100, [1]DataLookUp!$B$4:$D$621, 2, FALSE)</f>
        <v>Dedi Rianto</v>
      </c>
      <c r="D100" s="29" t="str">
        <f>VLOOKUP(B100, [1]DataLookUp!$B$4:$D$621, 3, FALSE)</f>
        <v/>
      </c>
      <c r="E100" s="40"/>
      <c r="F100" s="45" t="str">
        <f t="shared" si="4"/>
        <v/>
      </c>
      <c r="G100" s="30"/>
      <c r="H100" s="31"/>
      <c r="I100" s="50"/>
      <c r="J100" s="40"/>
      <c r="K100" s="40"/>
      <c r="L100" s="51"/>
      <c r="M100" s="52"/>
      <c r="N100" s="50"/>
      <c r="P100" s="55" t="str">
        <f t="shared" si="3"/>
        <v/>
      </c>
    </row>
    <row r="101" spans="2:16" x14ac:dyDescent="0.25">
      <c r="B101" s="28">
        <f>[1]DataLookUp!$B101</f>
        <v>25000000000098</v>
      </c>
      <c r="C101" s="29" t="str">
        <f>VLOOKUP(B101, [1]DataLookUp!$B$4:$D$621, 2, FALSE)</f>
        <v>Dedi Syahputra</v>
      </c>
      <c r="D101" s="29" t="str">
        <f>VLOOKUP(B101, [1]DataLookUp!$B$4:$D$621, 3, FALSE)</f>
        <v/>
      </c>
      <c r="E101" s="40"/>
      <c r="F101" s="45" t="str">
        <f t="shared" si="4"/>
        <v/>
      </c>
      <c r="G101" s="30"/>
      <c r="H101" s="31"/>
      <c r="I101" s="50"/>
      <c r="J101" s="40"/>
      <c r="K101" s="40"/>
      <c r="L101" s="51"/>
      <c r="M101" s="52"/>
      <c r="N101" s="50"/>
      <c r="P101" s="55" t="str">
        <f t="shared" si="3"/>
        <v/>
      </c>
    </row>
    <row r="102" spans="2:16" x14ac:dyDescent="0.25">
      <c r="B102" s="28">
        <f>[1]DataLookUp!$B102</f>
        <v>25000000000099</v>
      </c>
      <c r="C102" s="29" t="str">
        <f>VLOOKUP(B102, [1]DataLookUp!$B$4:$D$621, 2, FALSE)</f>
        <v>Deni Setiawan</v>
      </c>
      <c r="D102" s="29" t="str">
        <f>VLOOKUP(B102, [1]DataLookUp!$B$4:$D$621, 3, FALSE)</f>
        <v/>
      </c>
      <c r="E102" s="40"/>
      <c r="F102" s="45" t="str">
        <f t="shared" si="4"/>
        <v/>
      </c>
      <c r="G102" s="30"/>
      <c r="H102" s="31"/>
      <c r="I102" s="50"/>
      <c r="J102" s="40"/>
      <c r="K102" s="40"/>
      <c r="L102" s="51"/>
      <c r="M102" s="52"/>
      <c r="N102" s="50"/>
      <c r="P102" s="55" t="str">
        <f t="shared" si="3"/>
        <v/>
      </c>
    </row>
    <row r="103" spans="2:16" x14ac:dyDescent="0.25">
      <c r="B103" s="28">
        <f>[1]DataLookUp!$B103</f>
        <v>25000000000100</v>
      </c>
      <c r="C103" s="29" t="str">
        <f>VLOOKUP(B103, [1]DataLookUp!$B$4:$D$621, 2, FALSE)</f>
        <v>Deny Adi Purnama</v>
      </c>
      <c r="D103" s="29" t="str">
        <f>VLOOKUP(B103, [1]DataLookUp!$B$4:$D$621, 3, FALSE)</f>
        <v/>
      </c>
      <c r="E103" s="40"/>
      <c r="F103" s="45" t="str">
        <f t="shared" si="4"/>
        <v/>
      </c>
      <c r="G103" s="30"/>
      <c r="H103" s="31"/>
      <c r="I103" s="50"/>
      <c r="J103" s="40"/>
      <c r="K103" s="40"/>
      <c r="L103" s="51"/>
      <c r="M103" s="52"/>
      <c r="N103" s="50"/>
      <c r="P103" s="55" t="str">
        <f t="shared" si="3"/>
        <v/>
      </c>
    </row>
    <row r="104" spans="2:16" x14ac:dyDescent="0.25">
      <c r="B104" s="28">
        <f>[1]DataLookUp!$B104</f>
        <v>25000000000101</v>
      </c>
      <c r="C104" s="29" t="str">
        <f>VLOOKUP(B104, [1]DataLookUp!$B$4:$D$621, 2, FALSE)</f>
        <v>Desi Herawati</v>
      </c>
      <c r="D104" s="29" t="str">
        <f>VLOOKUP(B104, [1]DataLookUp!$B$4:$D$621, 3, FALSE)</f>
        <v/>
      </c>
      <c r="E104" s="40"/>
      <c r="F104" s="45" t="str">
        <f t="shared" si="4"/>
        <v/>
      </c>
      <c r="G104" s="30"/>
      <c r="H104" s="31"/>
      <c r="I104" s="50"/>
      <c r="J104" s="40"/>
      <c r="K104" s="40"/>
      <c r="L104" s="51"/>
      <c r="M104" s="52"/>
      <c r="N104" s="50"/>
      <c r="P104" s="55" t="str">
        <f t="shared" si="3"/>
        <v/>
      </c>
    </row>
    <row r="105" spans="2:16" x14ac:dyDescent="0.25">
      <c r="B105" s="28">
        <f>[1]DataLookUp!$B105</f>
        <v>25000000000102</v>
      </c>
      <c r="C105" s="29" t="str">
        <f>VLOOKUP(B105, [1]DataLookUp!$B$4:$D$621, 2, FALSE)</f>
        <v>Desi Setiowati</v>
      </c>
      <c r="D105" s="29" t="str">
        <f>VLOOKUP(B105, [1]DataLookUp!$B$4:$D$621, 3, FALSE)</f>
        <v/>
      </c>
      <c r="E105" s="40"/>
      <c r="F105" s="45" t="str">
        <f t="shared" si="4"/>
        <v/>
      </c>
      <c r="G105" s="30"/>
      <c r="H105" s="31"/>
      <c r="I105" s="50"/>
      <c r="J105" s="40"/>
      <c r="K105" s="40"/>
      <c r="L105" s="51"/>
      <c r="M105" s="52"/>
      <c r="N105" s="50"/>
      <c r="P105" s="55" t="str">
        <f t="shared" si="3"/>
        <v/>
      </c>
    </row>
    <row r="106" spans="2:16" x14ac:dyDescent="0.25">
      <c r="B106" s="28">
        <f>[1]DataLookUp!$B106</f>
        <v>25000000000103</v>
      </c>
      <c r="C106" s="29" t="str">
        <f>VLOOKUP(B106, [1]DataLookUp!$B$4:$D$621, 2, FALSE)</f>
        <v>Dian Firdaus</v>
      </c>
      <c r="D106" s="29" t="str">
        <f>VLOOKUP(B106, [1]DataLookUp!$B$4:$D$621, 3, FALSE)</f>
        <v/>
      </c>
      <c r="E106" s="40"/>
      <c r="F106" s="45" t="str">
        <f t="shared" si="4"/>
        <v/>
      </c>
      <c r="G106" s="30"/>
      <c r="H106" s="31"/>
      <c r="I106" s="50"/>
      <c r="J106" s="40"/>
      <c r="K106" s="40"/>
      <c r="L106" s="51"/>
      <c r="M106" s="52"/>
      <c r="N106" s="50"/>
      <c r="P106" s="55" t="str">
        <f t="shared" si="3"/>
        <v/>
      </c>
    </row>
    <row r="107" spans="2:16" x14ac:dyDescent="0.25">
      <c r="B107" s="28">
        <f>[1]DataLookUp!$B107</f>
        <v>25000000000104</v>
      </c>
      <c r="C107" s="29" t="str">
        <f>VLOOKUP(B107, [1]DataLookUp!$B$4:$D$621, 2, FALSE)</f>
        <v>Dian Hariyana</v>
      </c>
      <c r="D107" s="29" t="str">
        <f>VLOOKUP(B107, [1]DataLookUp!$B$4:$D$621, 3, FALSE)</f>
        <v/>
      </c>
      <c r="E107" s="40"/>
      <c r="F107" s="45" t="str">
        <f t="shared" si="4"/>
        <v/>
      </c>
      <c r="G107" s="30"/>
      <c r="H107" s="31"/>
      <c r="I107" s="50"/>
      <c r="J107" s="40"/>
      <c r="K107" s="40"/>
      <c r="L107" s="51"/>
      <c r="M107" s="52"/>
      <c r="N107" s="50"/>
      <c r="P107" s="55" t="str">
        <f t="shared" si="3"/>
        <v/>
      </c>
    </row>
    <row r="108" spans="2:16" x14ac:dyDescent="0.25">
      <c r="B108" s="28">
        <f>[1]DataLookUp!$B108</f>
        <v>25000000000105</v>
      </c>
      <c r="C108" s="29" t="str">
        <f>VLOOKUP(B108, [1]DataLookUp!$B$4:$D$621, 2, FALSE)</f>
        <v>Dinnar Budiarti</v>
      </c>
      <c r="D108" s="29" t="str">
        <f>VLOOKUP(B108, [1]DataLookUp!$B$4:$D$621, 3, FALSE)</f>
        <v/>
      </c>
      <c r="E108" s="40"/>
      <c r="F108" s="45" t="str">
        <f t="shared" si="4"/>
        <v/>
      </c>
      <c r="G108" s="30"/>
      <c r="H108" s="31"/>
      <c r="I108" s="50"/>
      <c r="J108" s="40"/>
      <c r="K108" s="40"/>
      <c r="L108" s="51"/>
      <c r="M108" s="52"/>
      <c r="N108" s="50"/>
      <c r="P108" s="55" t="str">
        <f t="shared" si="3"/>
        <v/>
      </c>
    </row>
    <row r="109" spans="2:16" ht="25.5" x14ac:dyDescent="0.25">
      <c r="B109" s="28">
        <f>[1]DataLookUp!$B109</f>
        <v>25000000000106</v>
      </c>
      <c r="C109" s="29" t="str">
        <f>VLOOKUP(B109, [1]DataLookUp!$B$4:$D$621, 2, FALSE)</f>
        <v>Dionesius Sostenist Duka</v>
      </c>
      <c r="D109" s="29" t="str">
        <f>VLOOKUP(B109, [1]DataLookUp!$B$4:$D$621, 3, FALSE)</f>
        <v>3175102908760008</v>
      </c>
      <c r="E109" s="40" t="s">
        <v>179</v>
      </c>
      <c r="F109" s="45">
        <f t="shared" si="4"/>
        <v>156000000000001</v>
      </c>
      <c r="G109" s="30" t="s">
        <v>32</v>
      </c>
      <c r="H109" s="31">
        <v>28001</v>
      </c>
      <c r="I109" s="50" t="s">
        <v>211</v>
      </c>
      <c r="J109" s="40" t="s">
        <v>209</v>
      </c>
      <c r="K109" s="40" t="s">
        <v>188</v>
      </c>
      <c r="L109" s="51" t="s">
        <v>210</v>
      </c>
      <c r="M109" s="52">
        <v>24000000032529</v>
      </c>
      <c r="N109" s="50"/>
      <c r="P109" s="55" t="str">
        <f t="shared" si="3"/>
        <v xml:space="preserve">PERFORM "SchData-OLTP-Master"."Func_TblCitizenIdentity_SET"(varSystemLoginSession, null, null, null, varInstitutionBranchID, 25000000000106::bigint, 'Dionesius Sostenist Duka'::varchar, '3175102908760008'::varchar, 156000000000001::bigint, NULL::bigint, '1976-08-29'::timestamp, NULL::bigint, NULL::bigint, NULL::bigint, NULL::bigint,  24000000032529::bigint, NULL::bigint, NULL::bigint, NULL::bigint, 'Jl. Warga No. 6'::varchar, 11::smallint, 6::smallint);
</v>
      </c>
    </row>
    <row r="110" spans="2:16" x14ac:dyDescent="0.25">
      <c r="B110" s="28">
        <f>[1]DataLookUp!$B110</f>
        <v>25000000000107</v>
      </c>
      <c r="C110" s="29" t="str">
        <f>VLOOKUP(B110, [1]DataLookUp!$B$4:$D$621, 2, FALSE)</f>
        <v>Diyah Martina</v>
      </c>
      <c r="D110" s="29" t="str">
        <f>VLOOKUP(B110, [1]DataLookUp!$B$4:$D$621, 3, FALSE)</f>
        <v/>
      </c>
      <c r="E110" s="40"/>
      <c r="F110" s="45" t="str">
        <f t="shared" si="4"/>
        <v/>
      </c>
      <c r="G110" s="30"/>
      <c r="H110" s="31"/>
      <c r="I110" s="50"/>
      <c r="J110" s="40"/>
      <c r="K110" s="40"/>
      <c r="L110" s="51"/>
      <c r="M110" s="52"/>
      <c r="N110" s="50"/>
      <c r="P110" s="55" t="str">
        <f t="shared" si="3"/>
        <v/>
      </c>
    </row>
    <row r="111" spans="2:16" x14ac:dyDescent="0.25">
      <c r="B111" s="28">
        <f>[1]DataLookUp!$B111</f>
        <v>25000000000108</v>
      </c>
      <c r="C111" s="29" t="str">
        <f>VLOOKUP(B111, [1]DataLookUp!$B$4:$D$621, 2, FALSE)</f>
        <v>Djuang Tampubolon</v>
      </c>
      <c r="D111" s="29" t="str">
        <f>VLOOKUP(B111, [1]DataLookUp!$B$4:$D$621, 3, FALSE)</f>
        <v/>
      </c>
      <c r="E111" s="40"/>
      <c r="F111" s="45" t="str">
        <f t="shared" si="4"/>
        <v/>
      </c>
      <c r="G111" s="30"/>
      <c r="H111" s="31"/>
      <c r="I111" s="50"/>
      <c r="J111" s="40"/>
      <c r="K111" s="40"/>
      <c r="L111" s="51"/>
      <c r="M111" s="52"/>
      <c r="N111" s="50"/>
      <c r="P111" s="55" t="str">
        <f t="shared" si="3"/>
        <v/>
      </c>
    </row>
    <row r="112" spans="2:16" x14ac:dyDescent="0.25">
      <c r="B112" s="28">
        <f>[1]DataLookUp!$B112</f>
        <v>25000000000109</v>
      </c>
      <c r="C112" s="29" t="str">
        <f>VLOOKUP(B112, [1]DataLookUp!$B$4:$D$621, 2, FALSE)</f>
        <v>Dodit Widiarto</v>
      </c>
      <c r="D112" s="29" t="str">
        <f>VLOOKUP(B112, [1]DataLookUp!$B$4:$D$621, 3, FALSE)</f>
        <v/>
      </c>
      <c r="E112" s="40"/>
      <c r="F112" s="45" t="str">
        <f t="shared" si="4"/>
        <v/>
      </c>
      <c r="G112" s="30"/>
      <c r="H112" s="31"/>
      <c r="I112" s="50"/>
      <c r="J112" s="40"/>
      <c r="K112" s="40"/>
      <c r="L112" s="51"/>
      <c r="M112" s="52"/>
      <c r="N112" s="50"/>
      <c r="P112" s="55" t="str">
        <f t="shared" si="3"/>
        <v/>
      </c>
    </row>
    <row r="113" spans="2:16" x14ac:dyDescent="0.25">
      <c r="B113" s="28">
        <f>[1]DataLookUp!$B113</f>
        <v>25000000000110</v>
      </c>
      <c r="C113" s="29" t="str">
        <f>VLOOKUP(B113, [1]DataLookUp!$B$4:$D$621, 2, FALSE)</f>
        <v>Dony Darmawan</v>
      </c>
      <c r="D113" s="29" t="str">
        <f>VLOOKUP(B113, [1]DataLookUp!$B$4:$D$621, 3, FALSE)</f>
        <v/>
      </c>
      <c r="E113" s="40"/>
      <c r="F113" s="45" t="str">
        <f t="shared" si="4"/>
        <v/>
      </c>
      <c r="G113" s="30"/>
      <c r="H113" s="31"/>
      <c r="I113" s="50"/>
      <c r="J113" s="40"/>
      <c r="K113" s="40"/>
      <c r="L113" s="51"/>
      <c r="M113" s="52"/>
      <c r="N113" s="50"/>
      <c r="P113" s="55" t="str">
        <f t="shared" si="3"/>
        <v/>
      </c>
    </row>
    <row r="114" spans="2:16" x14ac:dyDescent="0.25">
      <c r="B114" s="28">
        <f>[1]DataLookUp!$B114</f>
        <v>25000000000111</v>
      </c>
      <c r="C114" s="29" t="str">
        <f>VLOOKUP(B114, [1]DataLookUp!$B$4:$D$621, 2, FALSE)</f>
        <v>Dony Setiawan</v>
      </c>
      <c r="D114" s="29" t="str">
        <f>VLOOKUP(B114, [1]DataLookUp!$B$4:$D$621, 3, FALSE)</f>
        <v/>
      </c>
      <c r="E114" s="40"/>
      <c r="F114" s="45" t="str">
        <f t="shared" si="4"/>
        <v/>
      </c>
      <c r="G114" s="30"/>
      <c r="H114" s="31"/>
      <c r="I114" s="50"/>
      <c r="J114" s="40"/>
      <c r="K114" s="40"/>
      <c r="L114" s="51"/>
      <c r="M114" s="52"/>
      <c r="N114" s="50"/>
      <c r="P114" s="55" t="str">
        <f t="shared" si="3"/>
        <v/>
      </c>
    </row>
    <row r="115" spans="2:16" x14ac:dyDescent="0.25">
      <c r="B115" s="28">
        <f>[1]DataLookUp!$B115</f>
        <v>25000000000112</v>
      </c>
      <c r="C115" s="29" t="str">
        <f>VLOOKUP(B115, [1]DataLookUp!$B$4:$D$621, 2, FALSE)</f>
        <v>Dudi Rustandi</v>
      </c>
      <c r="D115" s="29" t="str">
        <f>VLOOKUP(B115, [1]DataLookUp!$B$4:$D$621, 3, FALSE)</f>
        <v/>
      </c>
      <c r="E115" s="40"/>
      <c r="F115" s="45" t="str">
        <f t="shared" si="4"/>
        <v/>
      </c>
      <c r="G115" s="30"/>
      <c r="H115" s="31"/>
      <c r="I115" s="50"/>
      <c r="J115" s="40"/>
      <c r="K115" s="40"/>
      <c r="L115" s="51"/>
      <c r="M115" s="52"/>
      <c r="N115" s="50"/>
      <c r="P115" s="55" t="str">
        <f t="shared" si="3"/>
        <v/>
      </c>
    </row>
    <row r="116" spans="2:16" x14ac:dyDescent="0.25">
      <c r="B116" s="28">
        <f>[1]DataLookUp!$B116</f>
        <v>25000000000113</v>
      </c>
      <c r="C116" s="29" t="str">
        <f>VLOOKUP(B116, [1]DataLookUp!$B$4:$D$621, 2, FALSE)</f>
        <v>Dudung</v>
      </c>
      <c r="D116" s="29" t="str">
        <f>VLOOKUP(B116, [1]DataLookUp!$B$4:$D$621, 3, FALSE)</f>
        <v/>
      </c>
      <c r="E116" s="40"/>
      <c r="F116" s="45" t="str">
        <f t="shared" si="4"/>
        <v/>
      </c>
      <c r="G116" s="30"/>
      <c r="H116" s="31"/>
      <c r="I116" s="50"/>
      <c r="J116" s="40"/>
      <c r="K116" s="40"/>
      <c r="L116" s="51"/>
      <c r="M116" s="52"/>
      <c r="N116" s="50"/>
      <c r="P116" s="55" t="str">
        <f t="shared" si="3"/>
        <v/>
      </c>
    </row>
    <row r="117" spans="2:16" x14ac:dyDescent="0.25">
      <c r="B117" s="28">
        <f>[1]DataLookUp!$B117</f>
        <v>25000000000114</v>
      </c>
      <c r="C117" s="29" t="str">
        <f>VLOOKUP(B117, [1]DataLookUp!$B$4:$D$621, 2, FALSE)</f>
        <v>Dwi Joko</v>
      </c>
      <c r="D117" s="29" t="str">
        <f>VLOOKUP(B117, [1]DataLookUp!$B$4:$D$621, 3, FALSE)</f>
        <v/>
      </c>
      <c r="E117" s="40"/>
      <c r="F117" s="45" t="str">
        <f t="shared" si="4"/>
        <v/>
      </c>
      <c r="G117" s="30"/>
      <c r="H117" s="31"/>
      <c r="I117" s="50"/>
      <c r="J117" s="40"/>
      <c r="K117" s="40"/>
      <c r="L117" s="51"/>
      <c r="M117" s="52"/>
      <c r="N117" s="50"/>
      <c r="P117" s="55" t="str">
        <f t="shared" si="3"/>
        <v/>
      </c>
    </row>
    <row r="118" spans="2:16" x14ac:dyDescent="0.25">
      <c r="B118" s="28">
        <f>[1]DataLookUp!$B118</f>
        <v>25000000000115</v>
      </c>
      <c r="C118" s="29" t="str">
        <f>VLOOKUP(B118, [1]DataLookUp!$B$4:$D$621, 2, FALSE)</f>
        <v>Dwinanto Prabowo</v>
      </c>
      <c r="D118" s="29" t="str">
        <f>VLOOKUP(B118, [1]DataLookUp!$B$4:$D$621, 3, FALSE)</f>
        <v/>
      </c>
      <c r="E118" s="40"/>
      <c r="F118" s="45" t="str">
        <f t="shared" si="4"/>
        <v/>
      </c>
      <c r="G118" s="30"/>
      <c r="H118" s="31"/>
      <c r="I118" s="50"/>
      <c r="J118" s="40"/>
      <c r="K118" s="40"/>
      <c r="L118" s="51"/>
      <c r="M118" s="52"/>
      <c r="N118" s="50"/>
      <c r="P118" s="55" t="str">
        <f t="shared" si="3"/>
        <v/>
      </c>
    </row>
    <row r="119" spans="2:16" x14ac:dyDescent="0.25">
      <c r="B119" s="28">
        <f>[1]DataLookUp!$B119</f>
        <v>25000000000116</v>
      </c>
      <c r="C119" s="29" t="str">
        <f>VLOOKUP(B119, [1]DataLookUp!$B$4:$D$621, 2, FALSE)</f>
        <v>Edi Waluyo</v>
      </c>
      <c r="D119" s="29" t="str">
        <f>VLOOKUP(B119, [1]DataLookUp!$B$4:$D$621, 3, FALSE)</f>
        <v>3173012409690006</v>
      </c>
      <c r="E119" s="40" t="s">
        <v>179</v>
      </c>
      <c r="F119" s="45">
        <f t="shared" si="4"/>
        <v>156000000000001</v>
      </c>
      <c r="G119" s="30" t="s">
        <v>6</v>
      </c>
      <c r="H119" s="31">
        <v>25470</v>
      </c>
      <c r="I119" s="50" t="s">
        <v>213</v>
      </c>
      <c r="J119" s="40" t="s">
        <v>188</v>
      </c>
      <c r="K119" s="40" t="s">
        <v>188</v>
      </c>
      <c r="L119" s="51" t="s">
        <v>212</v>
      </c>
      <c r="M119" s="52">
        <v>24000000032354</v>
      </c>
      <c r="N119" s="50"/>
      <c r="P119" s="55" t="str">
        <f t="shared" si="3"/>
        <v xml:space="preserve">PERFORM "SchData-OLTP-Master"."Func_TblCitizenIdentity_SET"(varSystemLoginSession, null, null, null, varInstitutionBranchID, 25000000000116::bigint, 'Edi Waluyo'::varchar, '3173012409690006'::varchar, 156000000000001::bigint, NULL::bigint, '1969-09-24'::timestamp, NULL::bigint, NULL::bigint, NULL::bigint, NULL::bigint,  24000000032354::bigint, NULL::bigint, NULL::bigint, NULL::bigint, 'Pedongkelan'::varchar, 6::smallint, 6::smallint);
</v>
      </c>
    </row>
    <row r="120" spans="2:16" x14ac:dyDescent="0.25">
      <c r="B120" s="28">
        <f>[1]DataLookUp!$B120</f>
        <v>25000000000117</v>
      </c>
      <c r="C120" s="29" t="str">
        <f>VLOOKUP(B120, [1]DataLookUp!$B$4:$D$621, 2, FALSE)</f>
        <v>Edi Siswanto</v>
      </c>
      <c r="D120" s="29" t="str">
        <f>VLOOKUP(B120, [1]DataLookUp!$B$4:$D$621, 3, FALSE)</f>
        <v/>
      </c>
      <c r="E120" s="40"/>
      <c r="F120" s="45" t="str">
        <f t="shared" si="4"/>
        <v/>
      </c>
      <c r="G120" s="30"/>
      <c r="H120" s="31"/>
      <c r="I120" s="50"/>
      <c r="J120" s="40"/>
      <c r="K120" s="40"/>
      <c r="L120" s="51"/>
      <c r="M120" s="52"/>
      <c r="N120" s="50"/>
      <c r="P120" s="55" t="str">
        <f t="shared" si="3"/>
        <v/>
      </c>
    </row>
    <row r="121" spans="2:16" x14ac:dyDescent="0.25">
      <c r="B121" s="28">
        <f>[1]DataLookUp!$B121</f>
        <v>25000000000118</v>
      </c>
      <c r="C121" s="29" t="str">
        <f>VLOOKUP(B121, [1]DataLookUp!$B$4:$D$621, 2, FALSE)</f>
        <v>Edi Turnip</v>
      </c>
      <c r="D121" s="29" t="str">
        <f>VLOOKUP(B121, [1]DataLookUp!$B$4:$D$621, 3, FALSE)</f>
        <v/>
      </c>
      <c r="E121" s="40"/>
      <c r="F121" s="45" t="str">
        <f t="shared" si="4"/>
        <v/>
      </c>
      <c r="G121" s="30"/>
      <c r="H121" s="31"/>
      <c r="I121" s="50"/>
      <c r="J121" s="40"/>
      <c r="K121" s="40"/>
      <c r="L121" s="51"/>
      <c r="M121" s="52"/>
      <c r="N121" s="50"/>
      <c r="P121" s="55" t="str">
        <f t="shared" si="3"/>
        <v/>
      </c>
    </row>
    <row r="122" spans="2:16" x14ac:dyDescent="0.25">
      <c r="B122" s="28">
        <f>[1]DataLookUp!$B122</f>
        <v>25000000000119</v>
      </c>
      <c r="C122" s="29" t="str">
        <f>VLOOKUP(B122, [1]DataLookUp!$B$4:$D$621, 2, FALSE)</f>
        <v>Edy Putra Waskita</v>
      </c>
      <c r="D122" s="29" t="str">
        <f>VLOOKUP(B122, [1]DataLookUp!$B$4:$D$621, 3, FALSE)</f>
        <v/>
      </c>
      <c r="E122" s="40"/>
      <c r="F122" s="45" t="str">
        <f t="shared" si="4"/>
        <v/>
      </c>
      <c r="G122" s="30"/>
      <c r="H122" s="31"/>
      <c r="I122" s="50"/>
      <c r="J122" s="40"/>
      <c r="K122" s="40"/>
      <c r="L122" s="51"/>
      <c r="M122" s="52"/>
      <c r="N122" s="50"/>
      <c r="P122" s="55" t="str">
        <f t="shared" si="3"/>
        <v/>
      </c>
    </row>
    <row r="123" spans="2:16" x14ac:dyDescent="0.25">
      <c r="B123" s="28">
        <f>[1]DataLookUp!$B123</f>
        <v>25000000000120</v>
      </c>
      <c r="C123" s="29" t="str">
        <f>VLOOKUP(B123, [1]DataLookUp!$B$4:$D$621, 2, FALSE)</f>
        <v>Edy Syahputra Situmeang</v>
      </c>
      <c r="D123" s="29" t="str">
        <f>VLOOKUP(B123, [1]DataLookUp!$B$4:$D$621, 3, FALSE)</f>
        <v>1208301611900003</v>
      </c>
      <c r="E123" s="40" t="s">
        <v>179</v>
      </c>
      <c r="F123" s="45">
        <f t="shared" si="4"/>
        <v>156000000000001</v>
      </c>
      <c r="G123" s="30"/>
      <c r="H123" s="31">
        <v>33193</v>
      </c>
      <c r="I123" s="50" t="s">
        <v>306</v>
      </c>
      <c r="J123" s="40"/>
      <c r="K123" s="40"/>
      <c r="L123" s="51" t="s">
        <v>226</v>
      </c>
      <c r="M123" s="52"/>
      <c r="N123" s="50"/>
      <c r="P123" s="55" t="str">
        <f t="shared" si="3"/>
        <v xml:space="preserve">PERFORM "SchData-OLTP-Master"."Func_TblCitizenIdentity_SET"(varSystemLoginSession, null, null, null, varInstitutionBranchID, 25000000000120::bigint, 'Edy Syahputra Situmeang'::varchar, '1208301611900003'::varchar, 156000000000001::bigint, NULL::bigint, '1990-11-16'::timestamp, NULL::bigint, NULL::bigint, NULL::bigint, NULL::bigint,  NULL::bigint, NULL::bigint, NULL::bigint, NULL::bigint, 'Jl. Kangkung No. 86 Jakarta Selatan'::varchar, NULL::smallint, NULL::smallint);
</v>
      </c>
    </row>
    <row r="124" spans="2:16" x14ac:dyDescent="0.25">
      <c r="B124" s="28">
        <f>[1]DataLookUp!$B124</f>
        <v>25000000000121</v>
      </c>
      <c r="C124" s="29" t="str">
        <f>VLOOKUP(B124, [1]DataLookUp!$B$4:$D$621, 2, FALSE)</f>
        <v>Effendi fendi</v>
      </c>
      <c r="D124" s="29" t="str">
        <f>VLOOKUP(B124, [1]DataLookUp!$B$4:$D$621, 3, FALSE)</f>
        <v/>
      </c>
      <c r="E124" s="40"/>
      <c r="F124" s="45" t="str">
        <f t="shared" si="4"/>
        <v/>
      </c>
      <c r="G124" s="30"/>
      <c r="H124" s="31"/>
      <c r="I124" s="50"/>
      <c r="J124" s="40"/>
      <c r="K124" s="40"/>
      <c r="L124" s="51"/>
      <c r="M124" s="52"/>
      <c r="N124" s="50"/>
      <c r="P124" s="55" t="str">
        <f t="shared" si="3"/>
        <v/>
      </c>
    </row>
    <row r="125" spans="2:16" x14ac:dyDescent="0.25">
      <c r="B125" s="28">
        <f>[1]DataLookUp!$B125</f>
        <v>25000000000122</v>
      </c>
      <c r="C125" s="29" t="str">
        <f>VLOOKUP(B125, [1]DataLookUp!$B$4:$D$621, 2, FALSE)</f>
        <v>Efrina Dwililia</v>
      </c>
      <c r="D125" s="29" t="str">
        <f>VLOOKUP(B125, [1]DataLookUp!$B$4:$D$621, 3, FALSE)</f>
        <v/>
      </c>
      <c r="E125" s="40"/>
      <c r="F125" s="45" t="str">
        <f t="shared" si="4"/>
        <v/>
      </c>
      <c r="G125" s="30"/>
      <c r="H125" s="31"/>
      <c r="I125" s="50"/>
      <c r="J125" s="40"/>
      <c r="K125" s="40"/>
      <c r="L125" s="51"/>
      <c r="M125" s="52"/>
      <c r="N125" s="50"/>
      <c r="P125" s="55" t="str">
        <f t="shared" si="3"/>
        <v/>
      </c>
    </row>
    <row r="126" spans="2:16" ht="25.5" x14ac:dyDescent="0.25">
      <c r="B126" s="28">
        <f>[1]DataLookUp!$B126</f>
        <v>25000000000123</v>
      </c>
      <c r="C126" s="29" t="str">
        <f>VLOOKUP(B126, [1]DataLookUp!$B$4:$D$621, 2, FALSE)</f>
        <v>Eka Bagus Dwi Putra</v>
      </c>
      <c r="D126" s="29" t="str">
        <f>VLOOKUP(B126, [1]DataLookUp!$B$4:$D$621, 3, FALSE)</f>
        <v>3275030108950030</v>
      </c>
      <c r="E126" s="40" t="s">
        <v>179</v>
      </c>
      <c r="F126" s="45">
        <f t="shared" si="4"/>
        <v>156000000000001</v>
      </c>
      <c r="G126" s="30" t="s">
        <v>6</v>
      </c>
      <c r="H126" s="31">
        <v>34912</v>
      </c>
      <c r="I126" s="50" t="s">
        <v>215</v>
      </c>
      <c r="J126" s="40" t="s">
        <v>209</v>
      </c>
      <c r="K126" s="40" t="s">
        <v>209</v>
      </c>
      <c r="L126" s="51" t="s">
        <v>214</v>
      </c>
      <c r="M126" s="52">
        <v>24000000032039</v>
      </c>
      <c r="N126" s="50"/>
      <c r="P126" s="55" t="str">
        <f t="shared" si="3"/>
        <v xml:space="preserve">PERFORM "SchData-OLTP-Master"."Func_TblCitizenIdentity_SET"(varSystemLoginSession, null, null, null, varInstitutionBranchID, 25000000000123::bigint, 'Eka Bagus Dwi Putra'::varchar, '3275030108950030'::varchar, 156000000000001::bigint, NULL::bigint, '1995-08-01'::timestamp, NULL::bigint, NULL::bigint, NULL::bigint, NULL::bigint,  24000000032039::bigint, NULL::bigint, NULL::bigint, NULL::bigint, 'Pondok Ungu Permai Blok AN 5 No. 27'::varchar, 11::smallint, 11::smallint);
</v>
      </c>
    </row>
    <row r="127" spans="2:16" x14ac:dyDescent="0.25">
      <c r="B127" s="28">
        <f>[1]DataLookUp!$B127</f>
        <v>25000000000124</v>
      </c>
      <c r="C127" s="29" t="str">
        <f>VLOOKUP(B127, [1]DataLookUp!$B$4:$D$621, 2, FALSE)</f>
        <v>Eka Hamidah</v>
      </c>
      <c r="D127" s="29" t="str">
        <f>VLOOKUP(B127, [1]DataLookUp!$B$4:$D$621, 3, FALSE)</f>
        <v/>
      </c>
      <c r="E127" s="40"/>
      <c r="F127" s="45" t="str">
        <f t="shared" si="4"/>
        <v/>
      </c>
      <c r="G127" s="30"/>
      <c r="H127" s="31"/>
      <c r="I127" s="50"/>
      <c r="J127" s="40"/>
      <c r="K127" s="40"/>
      <c r="L127" s="51"/>
      <c r="M127" s="52"/>
      <c r="N127" s="50"/>
      <c r="P127" s="55" t="str">
        <f t="shared" si="3"/>
        <v/>
      </c>
    </row>
    <row r="128" spans="2:16" ht="25.5" x14ac:dyDescent="0.25">
      <c r="B128" s="28">
        <f>[1]DataLookUp!$B128</f>
        <v>25000000000125</v>
      </c>
      <c r="C128" s="29" t="str">
        <f>VLOOKUP(B128, [1]DataLookUp!$B$4:$D$621, 2, FALSE)</f>
        <v>Eka Purwanti</v>
      </c>
      <c r="D128" s="29" t="str">
        <f>VLOOKUP(B128, [1]DataLookUp!$B$4:$D$621, 3, FALSE)</f>
        <v>3171076608940003</v>
      </c>
      <c r="E128" s="40" t="s">
        <v>180</v>
      </c>
      <c r="F128" s="45">
        <f t="shared" si="4"/>
        <v>156000000000002</v>
      </c>
      <c r="G128" s="30" t="s">
        <v>6</v>
      </c>
      <c r="H128" s="31">
        <v>34572</v>
      </c>
      <c r="I128" s="50" t="s">
        <v>218</v>
      </c>
      <c r="J128" s="40" t="s">
        <v>192</v>
      </c>
      <c r="K128" s="40" t="s">
        <v>217</v>
      </c>
      <c r="L128" s="51" t="s">
        <v>216</v>
      </c>
      <c r="M128" s="52">
        <v>24000000032221</v>
      </c>
      <c r="N128" s="50"/>
      <c r="P128" s="55" t="str">
        <f t="shared" si="3"/>
        <v xml:space="preserve">PERFORM "SchData-OLTP-Master"."Func_TblCitizenIdentity_SET"(varSystemLoginSession, null, null, null, varInstitutionBranchID, 25000000000125::bigint, 'Eka Purwanti'::varchar, '3171076608940003'::varchar, 156000000000002::bigint, NULL::bigint, '1994-08-26'::timestamp, NULL::bigint, NULL::bigint, NULL::bigint, NULL::bigint,  24000000032221::bigint, NULL::bigint, NULL::bigint, NULL::bigint, 'Jl. Damai No. 12'::varchar, 2::smallint, 19::smallint);
</v>
      </c>
    </row>
    <row r="129" spans="2:16" x14ac:dyDescent="0.25">
      <c r="B129" s="28">
        <f>[1]DataLookUp!$B129</f>
        <v>25000000000126</v>
      </c>
      <c r="C129" s="29" t="str">
        <f>VLOOKUP(B129, [1]DataLookUp!$B$4:$D$621, 2, FALSE)</f>
        <v>Eka Kurniawan Hidayatullah</v>
      </c>
      <c r="D129" s="29" t="str">
        <f>VLOOKUP(B129, [1]DataLookUp!$B$4:$D$621, 3, FALSE)</f>
        <v>3276051707880004</v>
      </c>
      <c r="E129" s="40" t="s">
        <v>179</v>
      </c>
      <c r="F129" s="45">
        <f t="shared" si="4"/>
        <v>156000000000001</v>
      </c>
      <c r="G129" s="30" t="s">
        <v>6</v>
      </c>
      <c r="H129" s="31">
        <v>32341</v>
      </c>
      <c r="I129" s="50" t="s">
        <v>219</v>
      </c>
      <c r="J129" s="40"/>
      <c r="K129" s="40"/>
      <c r="L129" s="51" t="s">
        <v>335</v>
      </c>
      <c r="M129" s="52"/>
      <c r="N129" s="50"/>
      <c r="P129" s="55" t="str">
        <f t="shared" si="3"/>
        <v xml:space="preserve">PERFORM "SchData-OLTP-Master"."Func_TblCitizenIdentity_SET"(varSystemLoginSession, null, null, null, varInstitutionBranchID, 25000000000126::bigint, 'Eka Kurniawan Hidayatullah'::varchar, '3276051707880004'::varchar, 156000000000001::bigint, NULL::bigint, '1988-07-17'::timestamp, NULL::bigint, NULL::bigint, NULL::bigint, NULL::bigint,  NULL::bigint, NULL::bigint, NULL::bigint, NULL::bigint, 'Jl. Merpati No. 36 Kel Sawah Besar Kec Ciputat Kota Tangerang Selatan'::varchar, NULL::smallint, NULL::smallint);
</v>
      </c>
    </row>
    <row r="130" spans="2:16" x14ac:dyDescent="0.25">
      <c r="B130" s="28">
        <f>[1]DataLookUp!$B130</f>
        <v>25000000000127</v>
      </c>
      <c r="C130" s="29" t="str">
        <f>VLOOKUP(B130, [1]DataLookUp!$B$4:$D$621, 2, FALSE)</f>
        <v>Eko Laksono</v>
      </c>
      <c r="D130" s="29" t="str">
        <f>VLOOKUP(B130, [1]DataLookUp!$B$4:$D$621, 3, FALSE)</f>
        <v/>
      </c>
      <c r="E130" s="40"/>
      <c r="F130" s="45" t="str">
        <f t="shared" si="4"/>
        <v/>
      </c>
      <c r="G130" s="30"/>
      <c r="H130" s="31"/>
      <c r="I130" s="50"/>
      <c r="J130" s="40"/>
      <c r="K130" s="40"/>
      <c r="L130" s="51"/>
      <c r="M130" s="52"/>
      <c r="N130" s="50"/>
      <c r="P130" s="55" t="str">
        <f t="shared" si="3"/>
        <v/>
      </c>
    </row>
    <row r="131" spans="2:16" x14ac:dyDescent="0.25">
      <c r="B131" s="28">
        <f>[1]DataLookUp!$B131</f>
        <v>25000000000128</v>
      </c>
      <c r="C131" s="29" t="str">
        <f>VLOOKUP(B131, [1]DataLookUp!$B$4:$D$621, 2, FALSE)</f>
        <v>Eko Syambudi</v>
      </c>
      <c r="D131" s="29" t="str">
        <f>VLOOKUP(B131, [1]DataLookUp!$B$4:$D$621, 3, FALSE)</f>
        <v/>
      </c>
      <c r="E131" s="40"/>
      <c r="F131" s="45" t="str">
        <f t="shared" si="4"/>
        <v/>
      </c>
      <c r="G131" s="30"/>
      <c r="H131" s="31"/>
      <c r="I131" s="50"/>
      <c r="J131" s="40"/>
      <c r="K131" s="40"/>
      <c r="L131" s="51"/>
      <c r="M131" s="52"/>
      <c r="N131" s="50"/>
      <c r="P131" s="55" t="str">
        <f t="shared" si="3"/>
        <v/>
      </c>
    </row>
    <row r="132" spans="2:16" x14ac:dyDescent="0.25">
      <c r="B132" s="28">
        <f>[1]DataLookUp!$B132</f>
        <v>25000000000129</v>
      </c>
      <c r="C132" s="29" t="str">
        <f>VLOOKUP(B132, [1]DataLookUp!$B$4:$D$621, 2, FALSE)</f>
        <v>Elieser Ferdy P.</v>
      </c>
      <c r="D132" s="29" t="str">
        <f>VLOOKUP(B132, [1]DataLookUp!$B$4:$D$621, 3, FALSE)</f>
        <v/>
      </c>
      <c r="E132" s="40"/>
      <c r="F132" s="45" t="str">
        <f t="shared" si="4"/>
        <v/>
      </c>
      <c r="G132" s="30"/>
      <c r="H132" s="31"/>
      <c r="I132" s="50"/>
      <c r="J132" s="40"/>
      <c r="K132" s="40"/>
      <c r="L132" s="51"/>
      <c r="M132" s="52"/>
      <c r="N132" s="50"/>
      <c r="P132" s="55" t="str">
        <f t="shared" si="3"/>
        <v/>
      </c>
    </row>
    <row r="133" spans="2:16" x14ac:dyDescent="0.25">
      <c r="B133" s="28">
        <f>[1]DataLookUp!$B133</f>
        <v>25000000000130</v>
      </c>
      <c r="C133" s="29" t="str">
        <f>VLOOKUP(B133, [1]DataLookUp!$B$4:$D$621, 2, FALSE)</f>
        <v>Elisa</v>
      </c>
      <c r="D133" s="29" t="str">
        <f>VLOOKUP(B133, [1]DataLookUp!$B$4:$D$621, 3, FALSE)</f>
        <v/>
      </c>
      <c r="E133" s="40"/>
      <c r="F133" s="45" t="str">
        <f t="shared" si="4"/>
        <v/>
      </c>
      <c r="G133" s="30"/>
      <c r="H133" s="31"/>
      <c r="I133" s="50"/>
      <c r="J133" s="40"/>
      <c r="K133" s="40"/>
      <c r="L133" s="51"/>
      <c r="M133" s="52"/>
      <c r="N133" s="50"/>
      <c r="P133" s="55" t="str">
        <f t="shared" ref="P133:P196" si="5">IF(EXACT(D133, ""), "", CONCATENATE("PERFORM ""SchData-OLTP-Master"".""Func_TblCitizenIdentity_SET""(varSystemLoginSession, null, null, null, varInstitutionBranchID, ",  IF(EXACT(B133, ""), "NULL", B133), "::bigint, '", C133, "'::varchar, '", D133, "'::varchar, ", IF(EXACT(F133, ""), "NULL", F133), "::bigint, ", "NULL", "::bigint, '", TEXT(H133, "YYYY-MM-DD"), "'::timestamp, ", "NULL", "::bigint, ", "NULL", "::bigint, ", "NULL", "::bigint, ", "NULL", "::bigint,  ", IF(EXACT(M133, ""), "NULL", M133), "::bigint, ", "NULL", "::bigint, ", "NULL", "::bigint, ", "NULL", "::bigint, '", CONCATENATE(I133, IF(EXACT(M133, ""), " "&amp;L133, "")), "'::varchar, ", IF(EXACT(J133, ""), "NULL", J133*1), "::smallint, ", IF(EXACT(K133, ""), "NULL", K133*1), "::smallint);
"))</f>
        <v/>
      </c>
    </row>
    <row r="134" spans="2:16" x14ac:dyDescent="0.25">
      <c r="B134" s="28">
        <f>[1]DataLookUp!$B134</f>
        <v>25000000000131</v>
      </c>
      <c r="C134" s="29" t="str">
        <f>VLOOKUP(B134, [1]DataLookUp!$B$4:$D$621, 2, FALSE)</f>
        <v>Elsa Jayanti</v>
      </c>
      <c r="D134" s="29" t="str">
        <f>VLOOKUP(B134, [1]DataLookUp!$B$4:$D$621, 3, FALSE)</f>
        <v/>
      </c>
      <c r="E134" s="40"/>
      <c r="F134" s="45" t="str">
        <f t="shared" si="4"/>
        <v/>
      </c>
      <c r="G134" s="30"/>
      <c r="H134" s="31"/>
      <c r="I134" s="50"/>
      <c r="J134" s="40"/>
      <c r="K134" s="40"/>
      <c r="L134" s="51"/>
      <c r="M134" s="52"/>
      <c r="N134" s="50"/>
      <c r="P134" s="55" t="str">
        <f t="shared" si="5"/>
        <v/>
      </c>
    </row>
    <row r="135" spans="2:16" x14ac:dyDescent="0.25">
      <c r="B135" s="28">
        <f>[1]DataLookUp!$B135</f>
        <v>25000000000132</v>
      </c>
      <c r="C135" s="29" t="str">
        <f>VLOOKUP(B135, [1]DataLookUp!$B$4:$D$621, 2, FALSE)</f>
        <v>Elsa Mardian</v>
      </c>
      <c r="D135" s="29" t="str">
        <f>VLOOKUP(B135, [1]DataLookUp!$B$4:$D$621, 3, FALSE)</f>
        <v/>
      </c>
      <c r="E135" s="40"/>
      <c r="F135" s="45" t="str">
        <f t="shared" si="4"/>
        <v/>
      </c>
      <c r="G135" s="30"/>
      <c r="H135" s="31"/>
      <c r="I135" s="50"/>
      <c r="J135" s="40"/>
      <c r="K135" s="40"/>
      <c r="L135" s="51"/>
      <c r="M135" s="52"/>
      <c r="N135" s="50"/>
      <c r="P135" s="55" t="str">
        <f t="shared" si="5"/>
        <v/>
      </c>
    </row>
    <row r="136" spans="2:16" x14ac:dyDescent="0.25">
      <c r="B136" s="28">
        <f>[1]DataLookUp!$B136</f>
        <v>25000000000133</v>
      </c>
      <c r="C136" s="29" t="str">
        <f>VLOOKUP(B136, [1]DataLookUp!$B$4:$D$621, 2, FALSE)</f>
        <v>Emir Paranita Nasution</v>
      </c>
      <c r="D136" s="29" t="str">
        <f>VLOOKUP(B136, [1]DataLookUp!$B$4:$D$621, 3, FALSE)</f>
        <v/>
      </c>
      <c r="E136" s="40"/>
      <c r="F136" s="45" t="str">
        <f t="shared" si="4"/>
        <v/>
      </c>
      <c r="G136" s="30"/>
      <c r="H136" s="31"/>
      <c r="I136" s="50"/>
      <c r="J136" s="40"/>
      <c r="K136" s="40"/>
      <c r="L136" s="51"/>
      <c r="M136" s="52"/>
      <c r="N136" s="50"/>
      <c r="P136" s="55" t="str">
        <f t="shared" si="5"/>
        <v/>
      </c>
    </row>
    <row r="137" spans="2:16" x14ac:dyDescent="0.25">
      <c r="B137" s="28">
        <f>[1]DataLookUp!$B137</f>
        <v>25000000000134</v>
      </c>
      <c r="C137" s="29" t="str">
        <f>VLOOKUP(B137, [1]DataLookUp!$B$4:$D$621, 2, FALSE)</f>
        <v>Enceng Hemawan</v>
      </c>
      <c r="D137" s="29" t="str">
        <f>VLOOKUP(B137, [1]DataLookUp!$B$4:$D$621, 3, FALSE)</f>
        <v/>
      </c>
      <c r="E137" s="40"/>
      <c r="F137" s="45" t="str">
        <f t="shared" si="4"/>
        <v/>
      </c>
      <c r="G137" s="30"/>
      <c r="H137" s="31"/>
      <c r="I137" s="50"/>
      <c r="J137" s="40"/>
      <c r="K137" s="40"/>
      <c r="L137" s="51"/>
      <c r="M137" s="52"/>
      <c r="N137" s="50"/>
      <c r="P137" s="55" t="str">
        <f t="shared" si="5"/>
        <v/>
      </c>
    </row>
    <row r="138" spans="2:16" x14ac:dyDescent="0.25">
      <c r="B138" s="28">
        <f>[1]DataLookUp!$B138</f>
        <v>25000000000135</v>
      </c>
      <c r="C138" s="29" t="str">
        <f>VLOOKUP(B138, [1]DataLookUp!$B$4:$D$621, 2, FALSE)</f>
        <v>Endang</v>
      </c>
      <c r="D138" s="29" t="str">
        <f>VLOOKUP(B138, [1]DataLookUp!$B$4:$D$621, 3, FALSE)</f>
        <v/>
      </c>
      <c r="E138" s="40"/>
      <c r="F138" s="45" t="str">
        <f t="shared" si="4"/>
        <v/>
      </c>
      <c r="G138" s="30"/>
      <c r="H138" s="31"/>
      <c r="I138" s="50"/>
      <c r="J138" s="40"/>
      <c r="K138" s="40"/>
      <c r="L138" s="51"/>
      <c r="M138" s="52"/>
      <c r="N138" s="50"/>
      <c r="P138" s="55" t="str">
        <f t="shared" si="5"/>
        <v/>
      </c>
    </row>
    <row r="139" spans="2:16" x14ac:dyDescent="0.25">
      <c r="B139" s="28">
        <f>[1]DataLookUp!$B139</f>
        <v>25000000000136</v>
      </c>
      <c r="C139" s="29" t="str">
        <f>VLOOKUP(B139, [1]DataLookUp!$B$4:$D$621, 2, FALSE)</f>
        <v>Endang Lestari</v>
      </c>
      <c r="D139" s="29" t="str">
        <f>VLOOKUP(B139, [1]DataLookUp!$B$4:$D$621, 3, FALSE)</f>
        <v/>
      </c>
      <c r="E139" s="40"/>
      <c r="F139" s="45" t="str">
        <f t="shared" ref="F139:F202" si="6">IF(EXACT(E139, ""), "", IF(EXACT(E139, "L"), 156000000000001, 156000000000002))</f>
        <v/>
      </c>
      <c r="G139" s="30"/>
      <c r="H139" s="31"/>
      <c r="I139" s="50"/>
      <c r="J139" s="40"/>
      <c r="K139" s="40"/>
      <c r="L139" s="51"/>
      <c r="M139" s="52"/>
      <c r="N139" s="50"/>
      <c r="P139" s="55" t="str">
        <f t="shared" si="5"/>
        <v/>
      </c>
    </row>
    <row r="140" spans="2:16" x14ac:dyDescent="0.25">
      <c r="B140" s="28">
        <f>[1]DataLookUp!$B140</f>
        <v>25000000000137</v>
      </c>
      <c r="C140" s="29" t="str">
        <f>VLOOKUP(B140, [1]DataLookUp!$B$4:$D$621, 2, FALSE)</f>
        <v>Endang Sobari</v>
      </c>
      <c r="D140" s="29" t="str">
        <f>VLOOKUP(B140, [1]DataLookUp!$B$4:$D$621, 3, FALSE)</f>
        <v/>
      </c>
      <c r="E140" s="40"/>
      <c r="F140" s="45" t="str">
        <f t="shared" si="6"/>
        <v/>
      </c>
      <c r="G140" s="30"/>
      <c r="H140" s="31"/>
      <c r="I140" s="50"/>
      <c r="J140" s="40"/>
      <c r="K140" s="40"/>
      <c r="L140" s="51"/>
      <c r="M140" s="52"/>
      <c r="N140" s="50"/>
      <c r="P140" s="55" t="str">
        <f t="shared" si="5"/>
        <v/>
      </c>
    </row>
    <row r="141" spans="2:16" x14ac:dyDescent="0.25">
      <c r="B141" s="28">
        <f>[1]DataLookUp!$B141</f>
        <v>25000000000138</v>
      </c>
      <c r="C141" s="29" t="str">
        <f>VLOOKUP(B141, [1]DataLookUp!$B$4:$D$621, 2, FALSE)</f>
        <v>Endang Sutrisna</v>
      </c>
      <c r="D141" s="29" t="str">
        <f>VLOOKUP(B141, [1]DataLookUp!$B$4:$D$621, 3, FALSE)</f>
        <v>3173063012700005</v>
      </c>
      <c r="E141" s="40" t="s">
        <v>179</v>
      </c>
      <c r="F141" s="45">
        <f t="shared" si="6"/>
        <v>156000000000001</v>
      </c>
      <c r="G141" s="30" t="s">
        <v>6</v>
      </c>
      <c r="H141" s="31">
        <v>25932</v>
      </c>
      <c r="I141" s="50" t="s">
        <v>221</v>
      </c>
      <c r="J141" s="40" t="s">
        <v>188</v>
      </c>
      <c r="K141" s="40" t="s">
        <v>191</v>
      </c>
      <c r="L141" s="51" t="s">
        <v>220</v>
      </c>
      <c r="M141" s="52">
        <v>24000000032367</v>
      </c>
      <c r="N141" s="50"/>
      <c r="P141" s="55" t="str">
        <f t="shared" si="5"/>
        <v xml:space="preserve">PERFORM "SchData-OLTP-Master"."Func_TblCitizenIdentity_SET"(varSystemLoginSession, null, null, null, varInstitutionBranchID, 25000000000138::bigint, 'Endang Sutrisna'::varchar, '3173063012700005'::varchar, 156000000000001::bigint, NULL::bigint, '1970-12-30'::timestamp, NULL::bigint, NULL::bigint, NULL::bigint, NULL::bigint,  24000000032367::bigint, NULL::bigint, NULL::bigint, NULL::bigint, 'Kp. Gaga'::varchar, 6::smallint, 9::smallint);
</v>
      </c>
    </row>
    <row r="142" spans="2:16" x14ac:dyDescent="0.25">
      <c r="B142" s="28">
        <f>[1]DataLookUp!$B142</f>
        <v>25000000000139</v>
      </c>
      <c r="C142" s="29" t="str">
        <f>VLOOKUP(B142, [1]DataLookUp!$B$4:$D$621, 2, FALSE)</f>
        <v>Erfananda Rasyid</v>
      </c>
      <c r="D142" s="29" t="str">
        <f>VLOOKUP(B142, [1]DataLookUp!$B$4:$D$621, 3, FALSE)</f>
        <v/>
      </c>
      <c r="E142" s="40"/>
      <c r="F142" s="45" t="str">
        <f t="shared" si="6"/>
        <v/>
      </c>
      <c r="G142" s="30"/>
      <c r="H142" s="31"/>
      <c r="I142" s="50"/>
      <c r="J142" s="40"/>
      <c r="K142" s="40"/>
      <c r="L142" s="51"/>
      <c r="M142" s="52"/>
      <c r="N142" s="50"/>
      <c r="P142" s="55" t="str">
        <f t="shared" si="5"/>
        <v/>
      </c>
    </row>
    <row r="143" spans="2:16" x14ac:dyDescent="0.25">
      <c r="B143" s="28">
        <f>[1]DataLookUp!$B143</f>
        <v>25000000000140</v>
      </c>
      <c r="C143" s="29" t="str">
        <f>VLOOKUP(B143, [1]DataLookUp!$B$4:$D$621, 2, FALSE)</f>
        <v>Ernawati</v>
      </c>
      <c r="D143" s="29" t="str">
        <f>VLOOKUP(B143, [1]DataLookUp!$B$4:$D$621, 3, FALSE)</f>
        <v/>
      </c>
      <c r="E143" s="40"/>
      <c r="F143" s="45" t="str">
        <f t="shared" si="6"/>
        <v/>
      </c>
      <c r="G143" s="30"/>
      <c r="H143" s="31"/>
      <c r="I143" s="50"/>
      <c r="J143" s="40"/>
      <c r="K143" s="40"/>
      <c r="L143" s="51"/>
      <c r="M143" s="52"/>
      <c r="N143" s="50"/>
      <c r="P143" s="55" t="str">
        <f t="shared" si="5"/>
        <v/>
      </c>
    </row>
    <row r="144" spans="2:16" x14ac:dyDescent="0.25">
      <c r="B144" s="28">
        <f>[1]DataLookUp!$B144</f>
        <v>25000000000141</v>
      </c>
      <c r="C144" s="29" t="str">
        <f>VLOOKUP(B144, [1]DataLookUp!$B$4:$D$621, 2, FALSE)</f>
        <v>Erwin Firmansyah</v>
      </c>
      <c r="D144" s="29" t="str">
        <f>VLOOKUP(B144, [1]DataLookUp!$B$4:$D$621, 3, FALSE)</f>
        <v/>
      </c>
      <c r="E144" s="40"/>
      <c r="F144" s="45" t="str">
        <f t="shared" si="6"/>
        <v/>
      </c>
      <c r="G144" s="30"/>
      <c r="H144" s="31"/>
      <c r="I144" s="50"/>
      <c r="J144" s="40"/>
      <c r="K144" s="40"/>
      <c r="L144" s="51"/>
      <c r="M144" s="52"/>
      <c r="N144" s="50"/>
      <c r="P144" s="55" t="str">
        <f t="shared" si="5"/>
        <v/>
      </c>
    </row>
    <row r="145" spans="2:16" x14ac:dyDescent="0.25">
      <c r="B145" s="28">
        <f>[1]DataLookUp!$B145</f>
        <v>25000000000142</v>
      </c>
      <c r="C145" s="29" t="str">
        <f>VLOOKUP(B145, [1]DataLookUp!$B$4:$D$621, 2, FALSE)</f>
        <v>Erwin Said</v>
      </c>
      <c r="D145" s="29" t="str">
        <f>VLOOKUP(B145, [1]DataLookUp!$B$4:$D$621, 3, FALSE)</f>
        <v/>
      </c>
      <c r="E145" s="40"/>
      <c r="F145" s="45" t="str">
        <f t="shared" si="6"/>
        <v/>
      </c>
      <c r="G145" s="30"/>
      <c r="H145" s="31"/>
      <c r="I145" s="50"/>
      <c r="J145" s="40"/>
      <c r="K145" s="40"/>
      <c r="L145" s="51"/>
      <c r="M145" s="52"/>
      <c r="N145" s="50"/>
      <c r="P145" s="55" t="str">
        <f t="shared" si="5"/>
        <v/>
      </c>
    </row>
    <row r="146" spans="2:16" x14ac:dyDescent="0.25">
      <c r="B146" s="28">
        <f>[1]DataLookUp!$B146</f>
        <v>25000000000143</v>
      </c>
      <c r="C146" s="29" t="str">
        <f>VLOOKUP(B146, [1]DataLookUp!$B$4:$D$621, 2, FALSE)</f>
        <v>Esa Annahar</v>
      </c>
      <c r="D146" s="29" t="str">
        <f>VLOOKUP(B146, [1]DataLookUp!$B$4:$D$621, 3, FALSE)</f>
        <v/>
      </c>
      <c r="E146" s="40"/>
      <c r="F146" s="45" t="str">
        <f t="shared" si="6"/>
        <v/>
      </c>
      <c r="G146" s="30"/>
      <c r="H146" s="31"/>
      <c r="I146" s="50"/>
      <c r="J146" s="40"/>
      <c r="K146" s="40"/>
      <c r="L146" s="51"/>
      <c r="M146" s="52"/>
      <c r="N146" s="50"/>
      <c r="P146" s="55" t="str">
        <f t="shared" si="5"/>
        <v/>
      </c>
    </row>
    <row r="147" spans="2:16" x14ac:dyDescent="0.25">
      <c r="B147" s="28">
        <f>[1]DataLookUp!$B147</f>
        <v>25000000000144</v>
      </c>
      <c r="C147" s="29" t="str">
        <f>VLOOKUP(B147, [1]DataLookUp!$B$4:$D$621, 2, FALSE)</f>
        <v>Faiz Horifal</v>
      </c>
      <c r="D147" s="29" t="str">
        <f>VLOOKUP(B147, [1]DataLookUp!$B$4:$D$621, 3, FALSE)</f>
        <v/>
      </c>
      <c r="E147" s="40"/>
      <c r="F147" s="45" t="str">
        <f t="shared" si="6"/>
        <v/>
      </c>
      <c r="G147" s="30"/>
      <c r="H147" s="31"/>
      <c r="I147" s="50"/>
      <c r="J147" s="40"/>
      <c r="K147" s="40"/>
      <c r="L147" s="51"/>
      <c r="M147" s="52"/>
      <c r="N147" s="50"/>
      <c r="P147" s="55" t="str">
        <f t="shared" si="5"/>
        <v/>
      </c>
    </row>
    <row r="148" spans="2:16" x14ac:dyDescent="0.25">
      <c r="B148" s="28">
        <f>[1]DataLookUp!$B148</f>
        <v>25000000000145</v>
      </c>
      <c r="C148" s="29" t="str">
        <f>VLOOKUP(B148, [1]DataLookUp!$B$4:$D$621, 2, FALSE)</f>
        <v>Fani Dwi Astutik</v>
      </c>
      <c r="D148" s="29" t="str">
        <f>VLOOKUP(B148, [1]DataLookUp!$B$4:$D$621, 3, FALSE)</f>
        <v/>
      </c>
      <c r="E148" s="40"/>
      <c r="F148" s="45" t="str">
        <f t="shared" si="6"/>
        <v/>
      </c>
      <c r="G148" s="30"/>
      <c r="H148" s="31"/>
      <c r="I148" s="50"/>
      <c r="J148" s="40"/>
      <c r="K148" s="40"/>
      <c r="L148" s="51"/>
      <c r="M148" s="52"/>
      <c r="N148" s="50"/>
      <c r="P148" s="55" t="str">
        <f t="shared" si="5"/>
        <v/>
      </c>
    </row>
    <row r="149" spans="2:16" x14ac:dyDescent="0.25">
      <c r="B149" s="28">
        <f>[1]DataLookUp!$B149</f>
        <v>25000000000146</v>
      </c>
      <c r="C149" s="29" t="str">
        <f>VLOOKUP(B149, [1]DataLookUp!$B$4:$D$621, 2, FALSE)</f>
        <v>Fardi Nauli R</v>
      </c>
      <c r="D149" s="29" t="str">
        <f>VLOOKUP(B149, [1]DataLookUp!$B$4:$D$621, 3, FALSE)</f>
        <v/>
      </c>
      <c r="E149" s="40"/>
      <c r="F149" s="45" t="str">
        <f t="shared" si="6"/>
        <v/>
      </c>
      <c r="G149" s="30"/>
      <c r="H149" s="31"/>
      <c r="I149" s="50"/>
      <c r="J149" s="40"/>
      <c r="K149" s="40"/>
      <c r="L149" s="51"/>
      <c r="M149" s="52"/>
      <c r="N149" s="50"/>
      <c r="P149" s="55" t="str">
        <f t="shared" si="5"/>
        <v/>
      </c>
    </row>
    <row r="150" spans="2:16" x14ac:dyDescent="0.25">
      <c r="B150" s="28">
        <f>[1]DataLookUp!$B150</f>
        <v>25000000000147</v>
      </c>
      <c r="C150" s="29" t="str">
        <f>VLOOKUP(B150, [1]DataLookUp!$B$4:$D$621, 2, FALSE)</f>
        <v>Farekh Huzair</v>
      </c>
      <c r="D150" s="29" t="str">
        <f>VLOOKUP(B150, [1]DataLookUp!$B$4:$D$621, 3, FALSE)</f>
        <v/>
      </c>
      <c r="E150" s="40"/>
      <c r="F150" s="45" t="str">
        <f t="shared" si="6"/>
        <v/>
      </c>
      <c r="G150" s="30"/>
      <c r="H150" s="31"/>
      <c r="I150" s="50"/>
      <c r="J150" s="40"/>
      <c r="K150" s="40"/>
      <c r="L150" s="51"/>
      <c r="M150" s="52"/>
      <c r="N150" s="50"/>
      <c r="P150" s="55" t="str">
        <f t="shared" si="5"/>
        <v/>
      </c>
    </row>
    <row r="151" spans="2:16" x14ac:dyDescent="0.25">
      <c r="B151" s="28">
        <f>[1]DataLookUp!$B151</f>
        <v>25000000000148</v>
      </c>
      <c r="C151" s="29" t="str">
        <f>VLOOKUP(B151, [1]DataLookUp!$B$4:$D$621, 2, FALSE)</f>
        <v>Farhana</v>
      </c>
      <c r="D151" s="29" t="str">
        <f>VLOOKUP(B151, [1]DataLookUp!$B$4:$D$621, 3, FALSE)</f>
        <v/>
      </c>
      <c r="E151" s="40"/>
      <c r="F151" s="45" t="str">
        <f t="shared" si="6"/>
        <v/>
      </c>
      <c r="G151" s="30"/>
      <c r="H151" s="31"/>
      <c r="I151" s="50"/>
      <c r="J151" s="40"/>
      <c r="K151" s="40"/>
      <c r="L151" s="51"/>
      <c r="M151" s="52"/>
      <c r="N151" s="50"/>
      <c r="P151" s="55" t="str">
        <f t="shared" si="5"/>
        <v/>
      </c>
    </row>
    <row r="152" spans="2:16" x14ac:dyDescent="0.25">
      <c r="B152" s="28">
        <f>[1]DataLookUp!$B152</f>
        <v>25000000000149</v>
      </c>
      <c r="C152" s="29" t="str">
        <f>VLOOKUP(B152, [1]DataLookUp!$B$4:$D$621, 2, FALSE)</f>
        <v>Febriyanto Ahdiat</v>
      </c>
      <c r="D152" s="29" t="str">
        <f>VLOOKUP(B152, [1]DataLookUp!$B$4:$D$621, 3, FALSE)</f>
        <v/>
      </c>
      <c r="E152" s="40"/>
      <c r="F152" s="45" t="str">
        <f t="shared" si="6"/>
        <v/>
      </c>
      <c r="G152" s="30"/>
      <c r="H152" s="31"/>
      <c r="I152" s="50"/>
      <c r="J152" s="40"/>
      <c r="K152" s="40"/>
      <c r="L152" s="51"/>
      <c r="M152" s="52"/>
      <c r="N152" s="50"/>
      <c r="P152" s="55" t="str">
        <f t="shared" si="5"/>
        <v/>
      </c>
    </row>
    <row r="153" spans="2:16" x14ac:dyDescent="0.25">
      <c r="B153" s="28">
        <f>[1]DataLookUp!$B153</f>
        <v>25000000000150</v>
      </c>
      <c r="C153" s="29" t="str">
        <f>VLOOKUP(B153, [1]DataLookUp!$B$4:$D$621, 2, FALSE)</f>
        <v>Febryan Mahsyar</v>
      </c>
      <c r="D153" s="29" t="str">
        <f>VLOOKUP(B153, [1]DataLookUp!$B$4:$D$621, 3, FALSE)</f>
        <v/>
      </c>
      <c r="E153" s="40"/>
      <c r="F153" s="45" t="str">
        <f t="shared" si="6"/>
        <v/>
      </c>
      <c r="G153" s="30"/>
      <c r="H153" s="31"/>
      <c r="I153" s="50"/>
      <c r="J153" s="40"/>
      <c r="K153" s="40"/>
      <c r="L153" s="51"/>
      <c r="M153" s="52"/>
      <c r="N153" s="50"/>
      <c r="P153" s="55" t="str">
        <f t="shared" si="5"/>
        <v/>
      </c>
    </row>
    <row r="154" spans="2:16" x14ac:dyDescent="0.25">
      <c r="B154" s="28">
        <f>[1]DataLookUp!$B154</f>
        <v>25000000000151</v>
      </c>
      <c r="C154" s="29" t="str">
        <f>VLOOKUP(B154, [1]DataLookUp!$B$4:$D$621, 2, FALSE)</f>
        <v>Felpy</v>
      </c>
      <c r="D154" s="29" t="str">
        <f>VLOOKUP(B154, [1]DataLookUp!$B$4:$D$621, 3, FALSE)</f>
        <v/>
      </c>
      <c r="E154" s="40"/>
      <c r="F154" s="45" t="str">
        <f t="shared" si="6"/>
        <v/>
      </c>
      <c r="G154" s="30"/>
      <c r="H154" s="31"/>
      <c r="I154" s="50"/>
      <c r="J154" s="40"/>
      <c r="K154" s="40"/>
      <c r="L154" s="51"/>
      <c r="M154" s="52"/>
      <c r="N154" s="50"/>
      <c r="P154" s="55" t="str">
        <f t="shared" si="5"/>
        <v/>
      </c>
    </row>
    <row r="155" spans="2:16" x14ac:dyDescent="0.25">
      <c r="B155" s="28">
        <f>[1]DataLookUp!$B155</f>
        <v>25000000000152</v>
      </c>
      <c r="C155" s="29" t="str">
        <f>VLOOKUP(B155, [1]DataLookUp!$B$4:$D$621, 2, FALSE)</f>
        <v>Feri Priyanto</v>
      </c>
      <c r="D155" s="29" t="str">
        <f>VLOOKUP(B155, [1]DataLookUp!$B$4:$D$621, 3, FALSE)</f>
        <v/>
      </c>
      <c r="E155" s="40"/>
      <c r="F155" s="45" t="str">
        <f t="shared" si="6"/>
        <v/>
      </c>
      <c r="G155" s="30"/>
      <c r="H155" s="31"/>
      <c r="I155" s="50"/>
      <c r="J155" s="40"/>
      <c r="K155" s="40"/>
      <c r="L155" s="51"/>
      <c r="M155" s="52"/>
      <c r="N155" s="50"/>
      <c r="P155" s="55" t="str">
        <f t="shared" si="5"/>
        <v/>
      </c>
    </row>
    <row r="156" spans="2:16" x14ac:dyDescent="0.25">
      <c r="B156" s="28">
        <f>[1]DataLookUp!$B156</f>
        <v>25000000000153</v>
      </c>
      <c r="C156" s="29" t="str">
        <f>VLOOKUP(B156, [1]DataLookUp!$B$4:$D$621, 2, FALSE)</f>
        <v>Ferry P Simanjuntak</v>
      </c>
      <c r="D156" s="29" t="str">
        <f>VLOOKUP(B156, [1]DataLookUp!$B$4:$D$621, 3, FALSE)</f>
        <v/>
      </c>
      <c r="E156" s="40"/>
      <c r="F156" s="45" t="str">
        <f t="shared" si="6"/>
        <v/>
      </c>
      <c r="G156" s="30"/>
      <c r="H156" s="31"/>
      <c r="I156" s="50"/>
      <c r="J156" s="40"/>
      <c r="K156" s="40"/>
      <c r="L156" s="51"/>
      <c r="M156" s="52"/>
      <c r="N156" s="50"/>
      <c r="P156" s="55" t="str">
        <f t="shared" si="5"/>
        <v/>
      </c>
    </row>
    <row r="157" spans="2:16" x14ac:dyDescent="0.25">
      <c r="B157" s="28">
        <f>[1]DataLookUp!$B157</f>
        <v>25000000000154</v>
      </c>
      <c r="C157" s="29" t="str">
        <f>VLOOKUP(B157, [1]DataLookUp!$B$4:$D$621, 2, FALSE)</f>
        <v>Fikri</v>
      </c>
      <c r="D157" s="29" t="str">
        <f>VLOOKUP(B157, [1]DataLookUp!$B$4:$D$621, 3, FALSE)</f>
        <v/>
      </c>
      <c r="E157" s="40"/>
      <c r="F157" s="45" t="str">
        <f t="shared" si="6"/>
        <v/>
      </c>
      <c r="G157" s="30"/>
      <c r="H157" s="31"/>
      <c r="I157" s="50"/>
      <c r="J157" s="40"/>
      <c r="K157" s="40"/>
      <c r="L157" s="51"/>
      <c r="M157" s="52"/>
      <c r="N157" s="50"/>
      <c r="P157" s="55" t="str">
        <f t="shared" si="5"/>
        <v/>
      </c>
    </row>
    <row r="158" spans="2:16" x14ac:dyDescent="0.25">
      <c r="B158" s="28">
        <f>[1]DataLookUp!$B158</f>
        <v>25000000000155</v>
      </c>
      <c r="C158" s="29" t="str">
        <f>VLOOKUP(B158, [1]DataLookUp!$B$4:$D$621, 2, FALSE)</f>
        <v>M. Fikri Caesarandi Hasibuan</v>
      </c>
      <c r="D158" s="29" t="str">
        <f>VLOOKUP(B158, [1]DataLookUp!$B$4:$D$621, 3, FALSE)</f>
        <v>1271050107980002</v>
      </c>
      <c r="E158" s="40" t="s">
        <v>179</v>
      </c>
      <c r="F158" s="45">
        <f t="shared" si="6"/>
        <v>156000000000001</v>
      </c>
      <c r="G158" s="30" t="s">
        <v>20</v>
      </c>
      <c r="H158" s="31">
        <v>35977</v>
      </c>
      <c r="I158" s="50" t="s">
        <v>237</v>
      </c>
      <c r="J158" s="40"/>
      <c r="K158" s="40"/>
      <c r="L158" s="51" t="s">
        <v>236</v>
      </c>
      <c r="M158" s="52">
        <v>24000000012081</v>
      </c>
      <c r="N158" s="50"/>
      <c r="P158" s="55" t="str">
        <f t="shared" si="5"/>
        <v xml:space="preserve">PERFORM "SchData-OLTP-Master"."Func_TblCitizenIdentity_SET"(varSystemLoginSession, null, null, null, varInstitutionBranchID, 25000000000155::bigint, 'M. Fikri Caesarandi Hasibuan'::varchar, '1271050107980002'::varchar, 156000000000001::bigint, NULL::bigint, '1998-07-01'::timestamp, NULL::bigint, NULL::bigint, NULL::bigint, NULL::bigint,  24000000012081::bigint, NULL::bigint, NULL::bigint, NULL::bigint, 'Jl. Marelan Raya Tanah 600 Gg. Rasmi No. 22'::varchar, NULL::smallint, NULL::smallint);
</v>
      </c>
    </row>
    <row r="159" spans="2:16" x14ac:dyDescent="0.25">
      <c r="B159" s="28">
        <f>[1]DataLookUp!$B159</f>
        <v>25000000000156</v>
      </c>
      <c r="C159" s="29" t="str">
        <f>VLOOKUP(B159, [1]DataLookUp!$B$4:$D$621, 2, FALSE)</f>
        <v>Firman Akbar</v>
      </c>
      <c r="D159" s="29" t="str">
        <f>VLOOKUP(B159, [1]DataLookUp!$B$4:$D$621, 3, FALSE)</f>
        <v/>
      </c>
      <c r="E159" s="40"/>
      <c r="F159" s="45" t="str">
        <f t="shared" si="6"/>
        <v/>
      </c>
      <c r="G159" s="30"/>
      <c r="H159" s="31"/>
      <c r="I159" s="50"/>
      <c r="J159" s="40"/>
      <c r="K159" s="40"/>
      <c r="L159" s="51"/>
      <c r="M159" s="52"/>
      <c r="N159" s="50"/>
      <c r="P159" s="55" t="str">
        <f t="shared" si="5"/>
        <v/>
      </c>
    </row>
    <row r="160" spans="2:16" x14ac:dyDescent="0.25">
      <c r="B160" s="28">
        <f>[1]DataLookUp!$B160</f>
        <v>25000000000157</v>
      </c>
      <c r="C160" s="29" t="str">
        <f>VLOOKUP(B160, [1]DataLookUp!$B$4:$D$621, 2, FALSE)</f>
        <v>Fitriastuti Kurnia</v>
      </c>
      <c r="D160" s="29" t="str">
        <f>VLOOKUP(B160, [1]DataLookUp!$B$4:$D$621, 3, FALSE)</f>
        <v/>
      </c>
      <c r="E160" s="40"/>
      <c r="F160" s="45" t="str">
        <f t="shared" si="6"/>
        <v/>
      </c>
      <c r="G160" s="30"/>
      <c r="H160" s="31"/>
      <c r="I160" s="50"/>
      <c r="J160" s="40"/>
      <c r="K160" s="40"/>
      <c r="L160" s="51"/>
      <c r="M160" s="52"/>
      <c r="N160" s="50"/>
      <c r="P160" s="55" t="str">
        <f t="shared" si="5"/>
        <v/>
      </c>
    </row>
    <row r="161" spans="2:16" x14ac:dyDescent="0.25">
      <c r="B161" s="28">
        <f>[1]DataLookUp!$B161</f>
        <v>25000000000158</v>
      </c>
      <c r="C161" s="29" t="str">
        <f>VLOOKUP(B161, [1]DataLookUp!$B$4:$D$621, 2, FALSE)</f>
        <v>Francis Imanuel</v>
      </c>
      <c r="D161" s="29" t="str">
        <f>VLOOKUP(B161, [1]DataLookUp!$B$4:$D$621, 3, FALSE)</f>
        <v/>
      </c>
      <c r="E161" s="40"/>
      <c r="F161" s="45" t="str">
        <f t="shared" si="6"/>
        <v/>
      </c>
      <c r="G161" s="30"/>
      <c r="H161" s="31"/>
      <c r="I161" s="50"/>
      <c r="J161" s="40"/>
      <c r="K161" s="40"/>
      <c r="L161" s="51"/>
      <c r="M161" s="52"/>
      <c r="N161" s="50"/>
      <c r="P161" s="55" t="str">
        <f t="shared" si="5"/>
        <v/>
      </c>
    </row>
    <row r="162" spans="2:16" x14ac:dyDescent="0.25">
      <c r="B162" s="28">
        <f>[1]DataLookUp!$B162</f>
        <v>25000000000159</v>
      </c>
      <c r="C162" s="29" t="str">
        <f>VLOOKUP(B162, [1]DataLookUp!$B$4:$D$621, 2, FALSE)</f>
        <v>Frando Judi Siahaan</v>
      </c>
      <c r="D162" s="29" t="str">
        <f>VLOOKUP(B162, [1]DataLookUp!$B$4:$D$621, 3, FALSE)</f>
        <v/>
      </c>
      <c r="E162" s="40"/>
      <c r="F162" s="45" t="str">
        <f t="shared" si="6"/>
        <v/>
      </c>
      <c r="G162" s="30"/>
      <c r="H162" s="31"/>
      <c r="I162" s="50"/>
      <c r="J162" s="40"/>
      <c r="K162" s="40"/>
      <c r="L162" s="51"/>
      <c r="M162" s="52"/>
      <c r="N162" s="50"/>
      <c r="P162" s="55" t="str">
        <f t="shared" si="5"/>
        <v/>
      </c>
    </row>
    <row r="163" spans="2:16" x14ac:dyDescent="0.25">
      <c r="B163" s="28">
        <f>[1]DataLookUp!$B163</f>
        <v>25000000000160</v>
      </c>
      <c r="C163" s="29" t="str">
        <f>VLOOKUP(B163, [1]DataLookUp!$B$4:$D$621, 2, FALSE)</f>
        <v>Frederika Intan</v>
      </c>
      <c r="D163" s="29" t="str">
        <f>VLOOKUP(B163, [1]DataLookUp!$B$4:$D$621, 3, FALSE)</f>
        <v/>
      </c>
      <c r="E163" s="40"/>
      <c r="F163" s="45" t="str">
        <f t="shared" si="6"/>
        <v/>
      </c>
      <c r="G163" s="30"/>
      <c r="H163" s="31"/>
      <c r="I163" s="50"/>
      <c r="J163" s="40"/>
      <c r="K163" s="40"/>
      <c r="L163" s="51"/>
      <c r="M163" s="52"/>
      <c r="N163" s="50"/>
      <c r="P163" s="55" t="str">
        <f t="shared" si="5"/>
        <v/>
      </c>
    </row>
    <row r="164" spans="2:16" x14ac:dyDescent="0.25">
      <c r="B164" s="28">
        <f>[1]DataLookUp!$B164</f>
        <v>25000000000161</v>
      </c>
      <c r="C164" s="29" t="str">
        <f>VLOOKUP(B164, [1]DataLookUp!$B$4:$D$621, 2, FALSE)</f>
        <v>Fuad Febrian</v>
      </c>
      <c r="D164" s="29" t="str">
        <f>VLOOKUP(B164, [1]DataLookUp!$B$4:$D$621, 3, FALSE)</f>
        <v/>
      </c>
      <c r="E164" s="40"/>
      <c r="F164" s="45" t="str">
        <f t="shared" si="6"/>
        <v/>
      </c>
      <c r="G164" s="30"/>
      <c r="H164" s="31"/>
      <c r="I164" s="50"/>
      <c r="J164" s="40"/>
      <c r="K164" s="40"/>
      <c r="L164" s="51"/>
      <c r="M164" s="52"/>
      <c r="N164" s="50"/>
      <c r="P164" s="55" t="str">
        <f t="shared" si="5"/>
        <v/>
      </c>
    </row>
    <row r="165" spans="2:16" x14ac:dyDescent="0.25">
      <c r="B165" s="28">
        <f>[1]DataLookUp!$B165</f>
        <v>25000000000162</v>
      </c>
      <c r="C165" s="29" t="str">
        <f>VLOOKUP(B165, [1]DataLookUp!$B$4:$D$621, 2, FALSE)</f>
        <v>Fuzi Mafhrozi</v>
      </c>
      <c r="D165" s="29" t="str">
        <f>VLOOKUP(B165, [1]DataLookUp!$B$4:$D$621, 3, FALSE)</f>
        <v/>
      </c>
      <c r="E165" s="40"/>
      <c r="F165" s="45" t="str">
        <f t="shared" si="6"/>
        <v/>
      </c>
      <c r="G165" s="30"/>
      <c r="H165" s="31"/>
      <c r="I165" s="50"/>
      <c r="J165" s="40"/>
      <c r="K165" s="40"/>
      <c r="L165" s="51"/>
      <c r="M165" s="52"/>
      <c r="N165" s="50"/>
      <c r="P165" s="55" t="str">
        <f t="shared" si="5"/>
        <v/>
      </c>
    </row>
    <row r="166" spans="2:16" x14ac:dyDescent="0.25">
      <c r="B166" s="28">
        <f>[1]DataLookUp!$B166</f>
        <v>25000000000163</v>
      </c>
      <c r="C166" s="29" t="str">
        <f>VLOOKUP(B166, [1]DataLookUp!$B$4:$D$621, 2, FALSE)</f>
        <v>Galuh Swastika</v>
      </c>
      <c r="D166" s="29" t="str">
        <f>VLOOKUP(B166, [1]DataLookUp!$B$4:$D$621, 3, FALSE)</f>
        <v/>
      </c>
      <c r="E166" s="40"/>
      <c r="F166" s="45" t="str">
        <f t="shared" si="6"/>
        <v/>
      </c>
      <c r="G166" s="30"/>
      <c r="H166" s="31"/>
      <c r="I166" s="50"/>
      <c r="J166" s="40"/>
      <c r="K166" s="40"/>
      <c r="L166" s="51"/>
      <c r="M166" s="52"/>
      <c r="N166" s="50"/>
      <c r="P166" s="55" t="str">
        <f t="shared" si="5"/>
        <v/>
      </c>
    </row>
    <row r="167" spans="2:16" x14ac:dyDescent="0.25">
      <c r="B167" s="28">
        <f>[1]DataLookUp!$B167</f>
        <v>25000000000164</v>
      </c>
      <c r="C167" s="29" t="str">
        <f>VLOOKUP(B167, [1]DataLookUp!$B$4:$D$621, 2, FALSE)</f>
        <v>Ganda Yuharis R.</v>
      </c>
      <c r="D167" s="29" t="str">
        <f>VLOOKUP(B167, [1]DataLookUp!$B$4:$D$621, 3, FALSE)</f>
        <v/>
      </c>
      <c r="E167" s="40"/>
      <c r="F167" s="45" t="str">
        <f t="shared" si="6"/>
        <v/>
      </c>
      <c r="G167" s="30"/>
      <c r="H167" s="31"/>
      <c r="I167" s="50"/>
      <c r="J167" s="40"/>
      <c r="K167" s="40"/>
      <c r="L167" s="51"/>
      <c r="M167" s="52"/>
      <c r="N167" s="50"/>
      <c r="P167" s="55" t="str">
        <f t="shared" si="5"/>
        <v/>
      </c>
    </row>
    <row r="168" spans="2:16" x14ac:dyDescent="0.25">
      <c r="B168" s="28">
        <f>[1]DataLookUp!$B168</f>
        <v>25000000000165</v>
      </c>
      <c r="C168" s="29" t="str">
        <f>VLOOKUP(B168, [1]DataLookUp!$B$4:$D$621, 2, FALSE)</f>
        <v>Gatot Harsono</v>
      </c>
      <c r="D168" s="29" t="str">
        <f>VLOOKUP(B168, [1]DataLookUp!$B$4:$D$621, 3, FALSE)</f>
        <v/>
      </c>
      <c r="E168" s="40"/>
      <c r="F168" s="45" t="str">
        <f t="shared" si="6"/>
        <v/>
      </c>
      <c r="G168" s="30"/>
      <c r="H168" s="31"/>
      <c r="I168" s="50"/>
      <c r="J168" s="40"/>
      <c r="K168" s="40"/>
      <c r="L168" s="51"/>
      <c r="M168" s="52"/>
      <c r="N168" s="50"/>
      <c r="P168" s="55" t="str">
        <f t="shared" si="5"/>
        <v/>
      </c>
    </row>
    <row r="169" spans="2:16" x14ac:dyDescent="0.25">
      <c r="B169" s="28">
        <f>[1]DataLookUp!$B169</f>
        <v>25000000000166</v>
      </c>
      <c r="C169" s="29" t="str">
        <f>VLOOKUP(B169, [1]DataLookUp!$B$4:$D$621, 2, FALSE)</f>
        <v>Gina Septa</v>
      </c>
      <c r="D169" s="29" t="str">
        <f>VLOOKUP(B169, [1]DataLookUp!$B$4:$D$621, 3, FALSE)</f>
        <v/>
      </c>
      <c r="E169" s="40"/>
      <c r="F169" s="45" t="str">
        <f t="shared" si="6"/>
        <v/>
      </c>
      <c r="G169" s="30"/>
      <c r="H169" s="31"/>
      <c r="I169" s="50"/>
      <c r="J169" s="40"/>
      <c r="K169" s="40"/>
      <c r="L169" s="51"/>
      <c r="M169" s="52"/>
      <c r="N169" s="50"/>
      <c r="P169" s="55" t="str">
        <f t="shared" si="5"/>
        <v/>
      </c>
    </row>
    <row r="170" spans="2:16" x14ac:dyDescent="0.25">
      <c r="B170" s="28">
        <f>[1]DataLookUp!$B170</f>
        <v>25000000000167</v>
      </c>
      <c r="C170" s="29" t="str">
        <f>VLOOKUP(B170, [1]DataLookUp!$B$4:$D$621, 2, FALSE)</f>
        <v>Grace Kurniawan</v>
      </c>
      <c r="D170" s="29" t="str">
        <f>VLOOKUP(B170, [1]DataLookUp!$B$4:$D$621, 3, FALSE)</f>
        <v>3271026603650001</v>
      </c>
      <c r="E170" s="40" t="s">
        <v>180</v>
      </c>
      <c r="F170" s="45">
        <f t="shared" si="6"/>
        <v>156000000000002</v>
      </c>
      <c r="G170" s="30" t="s">
        <v>7</v>
      </c>
      <c r="H170" s="31">
        <v>23827</v>
      </c>
      <c r="I170" s="50" t="s">
        <v>289</v>
      </c>
      <c r="J170" s="40"/>
      <c r="K170" s="40"/>
      <c r="L170" s="51" t="s">
        <v>336</v>
      </c>
      <c r="M170" s="52"/>
      <c r="N170" s="50"/>
      <c r="P170" s="55" t="str">
        <f t="shared" si="5"/>
        <v xml:space="preserve">PERFORM "SchData-OLTP-Master"."Func_TblCitizenIdentity_SET"(varSystemLoginSession, null, null, null, varInstitutionBranchID, 25000000000167::bigint, 'Grace Kurniawan'::varchar, '3271026603650001'::varchar, 156000000000002::bigint, NULL::bigint, '1965-03-26'::timestamp, NULL::bigint, NULL::bigint, NULL::bigint, NULL::bigint,  NULL::bigint, NULL::bigint, NULL::bigint, NULL::bigint, 'Golf Estate Raya, Cluster Helinium H3 No. 27 Kel. Sukaraja Kec.Sukaraja, Bogor, Jawa Barat'::varchar, NULL::smallint, NULL::smallint);
</v>
      </c>
    </row>
    <row r="171" spans="2:16" x14ac:dyDescent="0.25">
      <c r="B171" s="28">
        <f>[1]DataLookUp!$B171</f>
        <v>25000000000168</v>
      </c>
      <c r="C171" s="29" t="str">
        <f>VLOOKUP(B171, [1]DataLookUp!$B$4:$D$621, 2, FALSE)</f>
        <v>Gunawan</v>
      </c>
      <c r="D171" s="29" t="str">
        <f>VLOOKUP(B171, [1]DataLookUp!$B$4:$D$621, 3, FALSE)</f>
        <v>3275122807710004</v>
      </c>
      <c r="E171" s="40" t="s">
        <v>179</v>
      </c>
      <c r="F171" s="45">
        <f t="shared" si="6"/>
        <v>156000000000001</v>
      </c>
      <c r="G171" s="30" t="s">
        <v>15</v>
      </c>
      <c r="H171" s="31">
        <v>26143</v>
      </c>
      <c r="I171" s="50" t="s">
        <v>223</v>
      </c>
      <c r="J171" s="40" t="s">
        <v>187</v>
      </c>
      <c r="K171" s="40" t="s">
        <v>186</v>
      </c>
      <c r="L171" s="51" t="s">
        <v>222</v>
      </c>
      <c r="M171" s="52">
        <v>24000000032069</v>
      </c>
      <c r="N171" s="50"/>
      <c r="P171" s="55" t="str">
        <f t="shared" si="5"/>
        <v xml:space="preserve">PERFORM "SchData-OLTP-Master"."Func_TblCitizenIdentity_SET"(varSystemLoginSession, null, null, null, varInstitutionBranchID, 25000000000168::bigint, 'Gunawan'::varchar, '3275122807710004'::varchar, 156000000000001::bigint, NULL::bigint, '1971-07-29'::timestamp, NULL::bigint, NULL::bigint, NULL::bigint, NULL::bigint,  24000000032069::bigint, NULL::bigint, NULL::bigint, NULL::bigint, 'Jl. Bhineka Gg. Rambutan'::varchar, 5::smallint, 3::smallint);
</v>
      </c>
    </row>
    <row r="172" spans="2:16" x14ac:dyDescent="0.25">
      <c r="B172" s="28">
        <f>[1]DataLookUp!$B172</f>
        <v>25000000000169</v>
      </c>
      <c r="C172" s="29" t="str">
        <f>VLOOKUP(B172, [1]DataLookUp!$B$4:$D$621, 2, FALSE)</f>
        <v>Gustia Rakhmanita</v>
      </c>
      <c r="D172" s="29" t="str">
        <f>VLOOKUP(B172, [1]DataLookUp!$B$4:$D$621, 3, FALSE)</f>
        <v/>
      </c>
      <c r="E172" s="40"/>
      <c r="F172" s="45" t="str">
        <f t="shared" si="6"/>
        <v/>
      </c>
      <c r="G172" s="30"/>
      <c r="H172" s="31"/>
      <c r="I172" s="50"/>
      <c r="J172" s="40"/>
      <c r="K172" s="40"/>
      <c r="L172" s="51"/>
      <c r="M172" s="52"/>
      <c r="N172" s="50"/>
      <c r="P172" s="55" t="str">
        <f t="shared" si="5"/>
        <v/>
      </c>
    </row>
    <row r="173" spans="2:16" x14ac:dyDescent="0.25">
      <c r="B173" s="28">
        <f>[1]DataLookUp!$B173</f>
        <v>25000000000170</v>
      </c>
      <c r="C173" s="29" t="str">
        <f>VLOOKUP(B173, [1]DataLookUp!$B$4:$D$621, 2, FALSE)</f>
        <v>Habib Abdullah</v>
      </c>
      <c r="D173" s="29" t="str">
        <f>VLOOKUP(B173, [1]DataLookUp!$B$4:$D$621, 3, FALSE)</f>
        <v/>
      </c>
      <c r="E173" s="40"/>
      <c r="F173" s="45" t="str">
        <f t="shared" si="6"/>
        <v/>
      </c>
      <c r="G173" s="30"/>
      <c r="H173" s="31"/>
      <c r="I173" s="50"/>
      <c r="J173" s="40"/>
      <c r="K173" s="40"/>
      <c r="L173" s="51"/>
      <c r="M173" s="52"/>
      <c r="N173" s="50"/>
      <c r="P173" s="55" t="str">
        <f t="shared" si="5"/>
        <v/>
      </c>
    </row>
    <row r="174" spans="2:16" x14ac:dyDescent="0.25">
      <c r="B174" s="28">
        <f>[1]DataLookUp!$B174</f>
        <v>25000000000171</v>
      </c>
      <c r="C174" s="29" t="str">
        <f>VLOOKUP(B174, [1]DataLookUp!$B$4:$D$621, 2, FALSE)</f>
        <v>Hadi Kasmuri</v>
      </c>
      <c r="D174" s="29" t="str">
        <f>VLOOKUP(B174, [1]DataLookUp!$B$4:$D$621, 3, FALSE)</f>
        <v/>
      </c>
      <c r="E174" s="40"/>
      <c r="F174" s="45" t="str">
        <f t="shared" si="6"/>
        <v/>
      </c>
      <c r="G174" s="30"/>
      <c r="H174" s="31"/>
      <c r="I174" s="50"/>
      <c r="J174" s="40"/>
      <c r="K174" s="40"/>
      <c r="L174" s="51"/>
      <c r="M174" s="52"/>
      <c r="N174" s="50"/>
      <c r="P174" s="55" t="str">
        <f t="shared" si="5"/>
        <v/>
      </c>
    </row>
    <row r="175" spans="2:16" x14ac:dyDescent="0.25">
      <c r="B175" s="28">
        <f>[1]DataLookUp!$B175</f>
        <v>25000000000172</v>
      </c>
      <c r="C175" s="29" t="str">
        <f>VLOOKUP(B175, [1]DataLookUp!$B$4:$D$621, 2, FALSE)</f>
        <v>Haikal</v>
      </c>
      <c r="D175" s="29" t="str">
        <f>VLOOKUP(B175, [1]DataLookUp!$B$4:$D$621, 3, FALSE)</f>
        <v/>
      </c>
      <c r="E175" s="40"/>
      <c r="F175" s="45" t="str">
        <f t="shared" si="6"/>
        <v/>
      </c>
      <c r="G175" s="30"/>
      <c r="H175" s="31"/>
      <c r="I175" s="50"/>
      <c r="J175" s="40"/>
      <c r="K175" s="40"/>
      <c r="L175" s="51"/>
      <c r="M175" s="52"/>
      <c r="N175" s="50"/>
      <c r="P175" s="55" t="str">
        <f t="shared" si="5"/>
        <v/>
      </c>
    </row>
    <row r="176" spans="2:16" x14ac:dyDescent="0.25">
      <c r="B176" s="28">
        <f>[1]DataLookUp!$B176</f>
        <v>25000000000173</v>
      </c>
      <c r="C176" s="29" t="str">
        <f>VLOOKUP(B176, [1]DataLookUp!$B$4:$D$621, 2, FALSE)</f>
        <v>Hanantowiryo Tamtama</v>
      </c>
      <c r="D176" s="29" t="str">
        <f>VLOOKUP(B176, [1]DataLookUp!$B$4:$D$621, 3, FALSE)</f>
        <v/>
      </c>
      <c r="E176" s="40"/>
      <c r="F176" s="45" t="str">
        <f t="shared" si="6"/>
        <v/>
      </c>
      <c r="G176" s="30"/>
      <c r="H176" s="31"/>
      <c r="I176" s="50"/>
      <c r="J176" s="40"/>
      <c r="K176" s="40"/>
      <c r="L176" s="51"/>
      <c r="M176" s="52"/>
      <c r="N176" s="50"/>
      <c r="P176" s="55" t="str">
        <f t="shared" si="5"/>
        <v/>
      </c>
    </row>
    <row r="177" spans="2:16" x14ac:dyDescent="0.25">
      <c r="B177" s="28">
        <f>[1]DataLookUp!$B177</f>
        <v>25000000000174</v>
      </c>
      <c r="C177" s="29" t="str">
        <f>VLOOKUP(B177, [1]DataLookUp!$B$4:$D$621, 2, FALSE)</f>
        <v>Handoko</v>
      </c>
      <c r="D177" s="29" t="str">
        <f>VLOOKUP(B177, [1]DataLookUp!$B$4:$D$621, 3, FALSE)</f>
        <v/>
      </c>
      <c r="E177" s="40"/>
      <c r="F177" s="45" t="str">
        <f t="shared" si="6"/>
        <v/>
      </c>
      <c r="G177" s="30"/>
      <c r="H177" s="31"/>
      <c r="I177" s="50"/>
      <c r="J177" s="40"/>
      <c r="K177" s="40"/>
      <c r="L177" s="51"/>
      <c r="M177" s="52"/>
      <c r="N177" s="50"/>
      <c r="P177" s="55" t="str">
        <f t="shared" si="5"/>
        <v/>
      </c>
    </row>
    <row r="178" spans="2:16" x14ac:dyDescent="0.25">
      <c r="B178" s="28">
        <f>[1]DataLookUp!$B178</f>
        <v>25000000000175</v>
      </c>
      <c r="C178" s="29" t="str">
        <f>VLOOKUP(B178, [1]DataLookUp!$B$4:$D$621, 2, FALSE)</f>
        <v>Hanif Ashari</v>
      </c>
      <c r="D178" s="29" t="str">
        <f>VLOOKUP(B178, [1]DataLookUp!$B$4:$D$621, 3, FALSE)</f>
        <v/>
      </c>
      <c r="E178" s="40"/>
      <c r="F178" s="45" t="str">
        <f t="shared" si="6"/>
        <v/>
      </c>
      <c r="G178" s="30"/>
      <c r="H178" s="31"/>
      <c r="I178" s="50"/>
      <c r="J178" s="40"/>
      <c r="K178" s="40"/>
      <c r="L178" s="51"/>
      <c r="M178" s="52"/>
      <c r="N178" s="50"/>
      <c r="P178" s="55" t="str">
        <f t="shared" si="5"/>
        <v/>
      </c>
    </row>
    <row r="179" spans="2:16" x14ac:dyDescent="0.25">
      <c r="B179" s="28">
        <f>[1]DataLookUp!$B179</f>
        <v>25000000000176</v>
      </c>
      <c r="C179" s="29" t="str">
        <f>VLOOKUP(B179, [1]DataLookUp!$B$4:$D$621, 2, FALSE)</f>
        <v>Hanif Eko Saputro</v>
      </c>
      <c r="D179" s="29" t="str">
        <f>VLOOKUP(B179, [1]DataLookUp!$B$4:$D$621, 3, FALSE)</f>
        <v/>
      </c>
      <c r="E179" s="40"/>
      <c r="F179" s="45" t="str">
        <f t="shared" si="6"/>
        <v/>
      </c>
      <c r="G179" s="30"/>
      <c r="H179" s="31"/>
      <c r="I179" s="50"/>
      <c r="J179" s="40"/>
      <c r="K179" s="40"/>
      <c r="L179" s="51"/>
      <c r="M179" s="52"/>
      <c r="N179" s="50"/>
      <c r="P179" s="55" t="str">
        <f t="shared" si="5"/>
        <v/>
      </c>
    </row>
    <row r="180" spans="2:16" x14ac:dyDescent="0.25">
      <c r="B180" s="28">
        <f>[1]DataLookUp!$B180</f>
        <v>25000000000177</v>
      </c>
      <c r="C180" s="29" t="str">
        <f>VLOOKUP(B180, [1]DataLookUp!$B$4:$D$621, 2, FALSE)</f>
        <v>Hardianto</v>
      </c>
      <c r="D180" s="29" t="str">
        <f>VLOOKUP(B180, [1]DataLookUp!$B$4:$D$621, 3, FALSE)</f>
        <v/>
      </c>
      <c r="E180" s="40"/>
      <c r="F180" s="45" t="str">
        <f t="shared" si="6"/>
        <v/>
      </c>
      <c r="G180" s="30"/>
      <c r="H180" s="31"/>
      <c r="I180" s="50"/>
      <c r="J180" s="40"/>
      <c r="K180" s="40"/>
      <c r="L180" s="51"/>
      <c r="M180" s="52"/>
      <c r="N180" s="50"/>
      <c r="P180" s="55" t="str">
        <f t="shared" si="5"/>
        <v/>
      </c>
    </row>
    <row r="181" spans="2:16" x14ac:dyDescent="0.25">
      <c r="B181" s="28">
        <f>[1]DataLookUp!$B181</f>
        <v>25000000000178</v>
      </c>
      <c r="C181" s="29" t="str">
        <f>VLOOKUP(B181, [1]DataLookUp!$B$4:$D$621, 2, FALSE)</f>
        <v>Harlen Amudi Purba</v>
      </c>
      <c r="D181" s="29" t="str">
        <f>VLOOKUP(B181, [1]DataLookUp!$B$4:$D$621, 3, FALSE)</f>
        <v/>
      </c>
      <c r="E181" s="40"/>
      <c r="F181" s="45" t="str">
        <f t="shared" si="6"/>
        <v/>
      </c>
      <c r="G181" s="30"/>
      <c r="H181" s="31"/>
      <c r="I181" s="50"/>
      <c r="J181" s="40"/>
      <c r="K181" s="40"/>
      <c r="L181" s="51"/>
      <c r="M181" s="52"/>
      <c r="N181" s="50"/>
      <c r="P181" s="55" t="str">
        <f t="shared" si="5"/>
        <v/>
      </c>
    </row>
    <row r="182" spans="2:16" x14ac:dyDescent="0.25">
      <c r="B182" s="28">
        <f>[1]DataLookUp!$B182</f>
        <v>25000000000179</v>
      </c>
      <c r="C182" s="29" t="str">
        <f>VLOOKUP(B182, [1]DataLookUp!$B$4:$D$621, 2, FALSE)</f>
        <v>Harry Isnaeni</v>
      </c>
      <c r="D182" s="29" t="str">
        <f>VLOOKUP(B182, [1]DataLookUp!$B$4:$D$621, 3, FALSE)</f>
        <v/>
      </c>
      <c r="E182" s="40"/>
      <c r="F182" s="45" t="str">
        <f t="shared" si="6"/>
        <v/>
      </c>
      <c r="G182" s="30"/>
      <c r="H182" s="31"/>
      <c r="I182" s="50"/>
      <c r="J182" s="40"/>
      <c r="K182" s="40"/>
      <c r="L182" s="51"/>
      <c r="M182" s="52"/>
      <c r="N182" s="50"/>
      <c r="P182" s="55" t="str">
        <f t="shared" si="5"/>
        <v/>
      </c>
    </row>
    <row r="183" spans="2:16" x14ac:dyDescent="0.25">
      <c r="B183" s="28">
        <f>[1]DataLookUp!$B183</f>
        <v>25000000000180</v>
      </c>
      <c r="C183" s="29" t="str">
        <f>VLOOKUP(B183, [1]DataLookUp!$B$4:$D$621, 2, FALSE)</f>
        <v>Hasan Gani</v>
      </c>
      <c r="D183" s="29" t="str">
        <f>VLOOKUP(B183, [1]DataLookUp!$B$4:$D$621, 3, FALSE)</f>
        <v/>
      </c>
      <c r="E183" s="40"/>
      <c r="F183" s="45" t="str">
        <f t="shared" si="6"/>
        <v/>
      </c>
      <c r="G183" s="30"/>
      <c r="H183" s="31"/>
      <c r="I183" s="50"/>
      <c r="J183" s="40"/>
      <c r="K183" s="40"/>
      <c r="L183" s="51"/>
      <c r="M183" s="52"/>
      <c r="N183" s="50"/>
      <c r="P183" s="55" t="str">
        <f t="shared" si="5"/>
        <v/>
      </c>
    </row>
    <row r="184" spans="2:16" x14ac:dyDescent="0.25">
      <c r="B184" s="28">
        <f>[1]DataLookUp!$B184</f>
        <v>25000000000181</v>
      </c>
      <c r="C184" s="29" t="str">
        <f>VLOOKUP(B184, [1]DataLookUp!$B$4:$D$621, 2, FALSE)</f>
        <v>Hasrul</v>
      </c>
      <c r="D184" s="29" t="str">
        <f>VLOOKUP(B184, [1]DataLookUp!$B$4:$D$621, 3, FALSE)</f>
        <v/>
      </c>
      <c r="E184" s="40"/>
      <c r="F184" s="45" t="str">
        <f t="shared" si="6"/>
        <v/>
      </c>
      <c r="G184" s="30"/>
      <c r="H184" s="31"/>
      <c r="I184" s="50"/>
      <c r="J184" s="40"/>
      <c r="K184" s="40"/>
      <c r="L184" s="51"/>
      <c r="M184" s="52"/>
      <c r="N184" s="50"/>
      <c r="P184" s="55" t="str">
        <f t="shared" si="5"/>
        <v/>
      </c>
    </row>
    <row r="185" spans="2:16" x14ac:dyDescent="0.25">
      <c r="B185" s="28">
        <f>[1]DataLookUp!$B185</f>
        <v>25000000000182</v>
      </c>
      <c r="C185" s="29" t="str">
        <f>VLOOKUP(B185, [1]DataLookUp!$B$4:$D$621, 2, FALSE)</f>
        <v>Hendar Pambudi</v>
      </c>
      <c r="D185" s="29" t="str">
        <f>VLOOKUP(B185, [1]DataLookUp!$B$4:$D$621, 3, FALSE)</f>
        <v/>
      </c>
      <c r="E185" s="40"/>
      <c r="F185" s="45" t="str">
        <f t="shared" si="6"/>
        <v/>
      </c>
      <c r="G185" s="30"/>
      <c r="H185" s="31"/>
      <c r="I185" s="50"/>
      <c r="J185" s="40"/>
      <c r="K185" s="40"/>
      <c r="L185" s="51"/>
      <c r="M185" s="52"/>
      <c r="N185" s="50"/>
      <c r="P185" s="55" t="str">
        <f t="shared" si="5"/>
        <v/>
      </c>
    </row>
    <row r="186" spans="2:16" x14ac:dyDescent="0.25">
      <c r="B186" s="28">
        <f>[1]DataLookUp!$B186</f>
        <v>25000000000183</v>
      </c>
      <c r="C186" s="29" t="str">
        <f>VLOOKUP(B186, [1]DataLookUp!$B$4:$D$621, 2, FALSE)</f>
        <v>Hendri Kustian</v>
      </c>
      <c r="D186" s="29" t="str">
        <f>VLOOKUP(B186, [1]DataLookUp!$B$4:$D$621, 3, FALSE)</f>
        <v/>
      </c>
      <c r="E186" s="40"/>
      <c r="F186" s="45" t="str">
        <f t="shared" si="6"/>
        <v/>
      </c>
      <c r="G186" s="30"/>
      <c r="H186" s="31"/>
      <c r="I186" s="50"/>
      <c r="J186" s="40"/>
      <c r="K186" s="40"/>
      <c r="L186" s="51"/>
      <c r="M186" s="52"/>
      <c r="N186" s="50"/>
      <c r="P186" s="55" t="str">
        <f t="shared" si="5"/>
        <v/>
      </c>
    </row>
    <row r="187" spans="2:16" x14ac:dyDescent="0.25">
      <c r="B187" s="28">
        <f>[1]DataLookUp!$B187</f>
        <v>25000000000184</v>
      </c>
      <c r="C187" s="29" t="str">
        <f>VLOOKUP(B187, [1]DataLookUp!$B$4:$D$621, 2, FALSE)</f>
        <v>Hendrik</v>
      </c>
      <c r="D187" s="29" t="str">
        <f>VLOOKUP(B187, [1]DataLookUp!$B$4:$D$621, 3, FALSE)</f>
        <v/>
      </c>
      <c r="E187" s="40"/>
      <c r="F187" s="45" t="str">
        <f t="shared" si="6"/>
        <v/>
      </c>
      <c r="G187" s="30"/>
      <c r="H187" s="31"/>
      <c r="I187" s="50"/>
      <c r="J187" s="40"/>
      <c r="K187" s="40"/>
      <c r="L187" s="51"/>
      <c r="M187" s="52"/>
      <c r="N187" s="50"/>
      <c r="P187" s="55" t="str">
        <f t="shared" si="5"/>
        <v/>
      </c>
    </row>
    <row r="188" spans="2:16" x14ac:dyDescent="0.25">
      <c r="B188" s="28">
        <f>[1]DataLookUp!$B188</f>
        <v>25000000000185</v>
      </c>
      <c r="C188" s="29" t="str">
        <f>VLOOKUP(B188, [1]DataLookUp!$B$4:$D$621, 2, FALSE)</f>
        <v>Herdi Yulia Rohmana</v>
      </c>
      <c r="D188" s="29" t="str">
        <f>VLOOKUP(B188, [1]DataLookUp!$B$4:$D$621, 3, FALSE)</f>
        <v/>
      </c>
      <c r="E188" s="40"/>
      <c r="F188" s="45" t="str">
        <f t="shared" si="6"/>
        <v/>
      </c>
      <c r="G188" s="30"/>
      <c r="H188" s="31"/>
      <c r="I188" s="50"/>
      <c r="J188" s="40"/>
      <c r="K188" s="40"/>
      <c r="L188" s="51"/>
      <c r="M188" s="52"/>
      <c r="N188" s="50"/>
      <c r="P188" s="55" t="str">
        <f t="shared" si="5"/>
        <v/>
      </c>
    </row>
    <row r="189" spans="2:16" x14ac:dyDescent="0.25">
      <c r="B189" s="28">
        <f>[1]DataLookUp!$B189</f>
        <v>25000000000186</v>
      </c>
      <c r="C189" s="29" t="str">
        <f>VLOOKUP(B189, [1]DataLookUp!$B$4:$D$621, 2, FALSE)</f>
        <v>Heri Susanto</v>
      </c>
      <c r="D189" s="29" t="str">
        <f>VLOOKUP(B189, [1]DataLookUp!$B$4:$D$621, 3, FALSE)</f>
        <v/>
      </c>
      <c r="E189" s="40"/>
      <c r="F189" s="45" t="str">
        <f t="shared" si="6"/>
        <v/>
      </c>
      <c r="G189" s="30"/>
      <c r="H189" s="31"/>
      <c r="I189" s="50"/>
      <c r="J189" s="40"/>
      <c r="K189" s="40"/>
      <c r="L189" s="51"/>
      <c r="M189" s="52"/>
      <c r="N189" s="50"/>
      <c r="P189" s="55" t="str">
        <f t="shared" si="5"/>
        <v/>
      </c>
    </row>
    <row r="190" spans="2:16" x14ac:dyDescent="0.25">
      <c r="B190" s="28">
        <f>[1]DataLookUp!$B190</f>
        <v>25000000000187</v>
      </c>
      <c r="C190" s="29" t="str">
        <f>VLOOKUP(B190, [1]DataLookUp!$B$4:$D$621, 2, FALSE)</f>
        <v>Herlin Juli Asri</v>
      </c>
      <c r="D190" s="29" t="str">
        <f>VLOOKUP(B190, [1]DataLookUp!$B$4:$D$621, 3, FALSE)</f>
        <v/>
      </c>
      <c r="E190" s="40"/>
      <c r="F190" s="45" t="str">
        <f t="shared" si="6"/>
        <v/>
      </c>
      <c r="G190" s="30"/>
      <c r="H190" s="31"/>
      <c r="I190" s="50"/>
      <c r="J190" s="40"/>
      <c r="K190" s="40"/>
      <c r="L190" s="51"/>
      <c r="M190" s="52"/>
      <c r="N190" s="50"/>
      <c r="P190" s="55" t="str">
        <f t="shared" si="5"/>
        <v/>
      </c>
    </row>
    <row r="191" spans="2:16" x14ac:dyDescent="0.25">
      <c r="B191" s="28">
        <f>[1]DataLookUp!$B191</f>
        <v>25000000000188</v>
      </c>
      <c r="C191" s="29" t="str">
        <f>VLOOKUP(B191, [1]DataLookUp!$B$4:$D$621, 2, FALSE)</f>
        <v>Herman Budoyo</v>
      </c>
      <c r="D191" s="29" t="str">
        <f>VLOOKUP(B191, [1]DataLookUp!$B$4:$D$621, 3, FALSE)</f>
        <v/>
      </c>
      <c r="E191" s="40"/>
      <c r="F191" s="45" t="str">
        <f t="shared" si="6"/>
        <v/>
      </c>
      <c r="G191" s="30"/>
      <c r="H191" s="31"/>
      <c r="I191" s="50"/>
      <c r="J191" s="40"/>
      <c r="K191" s="40"/>
      <c r="L191" s="51"/>
      <c r="M191" s="52"/>
      <c r="N191" s="50"/>
      <c r="P191" s="55" t="str">
        <f t="shared" si="5"/>
        <v/>
      </c>
    </row>
    <row r="192" spans="2:16" x14ac:dyDescent="0.25">
      <c r="B192" s="28">
        <f>[1]DataLookUp!$B192</f>
        <v>25000000000189</v>
      </c>
      <c r="C192" s="29" t="str">
        <f>VLOOKUP(B192, [1]DataLookUp!$B$4:$D$621, 2, FALSE)</f>
        <v>Herni Yuliati</v>
      </c>
      <c r="D192" s="29" t="str">
        <f>VLOOKUP(B192, [1]DataLookUp!$B$4:$D$621, 3, FALSE)</f>
        <v/>
      </c>
      <c r="E192" s="40"/>
      <c r="F192" s="45" t="str">
        <f t="shared" si="6"/>
        <v/>
      </c>
      <c r="G192" s="30"/>
      <c r="H192" s="31"/>
      <c r="I192" s="50"/>
      <c r="J192" s="40"/>
      <c r="K192" s="40"/>
      <c r="L192" s="51"/>
      <c r="M192" s="52"/>
      <c r="N192" s="50"/>
      <c r="P192" s="55" t="str">
        <f t="shared" si="5"/>
        <v/>
      </c>
    </row>
    <row r="193" spans="2:16" x14ac:dyDescent="0.25">
      <c r="B193" s="28">
        <f>[1]DataLookUp!$B193</f>
        <v>25000000000190</v>
      </c>
      <c r="C193" s="29" t="str">
        <f>VLOOKUP(B193, [1]DataLookUp!$B$4:$D$621, 2, FALSE)</f>
        <v>Hernita Dwi</v>
      </c>
      <c r="D193" s="29" t="str">
        <f>VLOOKUP(B193, [1]DataLookUp!$B$4:$D$621, 3, FALSE)</f>
        <v/>
      </c>
      <c r="E193" s="40"/>
      <c r="F193" s="45" t="str">
        <f t="shared" si="6"/>
        <v/>
      </c>
      <c r="G193" s="30"/>
      <c r="H193" s="31"/>
      <c r="I193" s="50"/>
      <c r="J193" s="40"/>
      <c r="K193" s="40"/>
      <c r="L193" s="51"/>
      <c r="M193" s="52"/>
      <c r="N193" s="50"/>
      <c r="P193" s="55" t="str">
        <f t="shared" si="5"/>
        <v/>
      </c>
    </row>
    <row r="194" spans="2:16" x14ac:dyDescent="0.25">
      <c r="B194" s="28">
        <f>[1]DataLookUp!$B194</f>
        <v>25000000000191</v>
      </c>
      <c r="C194" s="29" t="str">
        <f>VLOOKUP(B194, [1]DataLookUp!$B$4:$D$621, 2, FALSE)</f>
        <v>Herri Setyawan</v>
      </c>
      <c r="D194" s="29" t="str">
        <f>VLOOKUP(B194, [1]DataLookUp!$B$4:$D$621, 3, FALSE)</f>
        <v/>
      </c>
      <c r="E194" s="40"/>
      <c r="F194" s="45" t="str">
        <f t="shared" si="6"/>
        <v/>
      </c>
      <c r="G194" s="30"/>
      <c r="H194" s="31"/>
      <c r="I194" s="50"/>
      <c r="J194" s="40"/>
      <c r="K194" s="40"/>
      <c r="L194" s="51"/>
      <c r="M194" s="52"/>
      <c r="N194" s="50"/>
      <c r="P194" s="55" t="str">
        <f t="shared" si="5"/>
        <v/>
      </c>
    </row>
    <row r="195" spans="2:16" x14ac:dyDescent="0.25">
      <c r="B195" s="28">
        <f>[1]DataLookUp!$B195</f>
        <v>25000000000192</v>
      </c>
      <c r="C195" s="29" t="str">
        <f>VLOOKUP(B195, [1]DataLookUp!$B$4:$D$621, 2, FALSE)</f>
        <v>Heru Sugiri</v>
      </c>
      <c r="D195" s="29" t="str">
        <f>VLOOKUP(B195, [1]DataLookUp!$B$4:$D$621, 3, FALSE)</f>
        <v/>
      </c>
      <c r="E195" s="40"/>
      <c r="F195" s="45" t="str">
        <f t="shared" si="6"/>
        <v/>
      </c>
      <c r="G195" s="30"/>
      <c r="H195" s="31"/>
      <c r="I195" s="50"/>
      <c r="J195" s="40"/>
      <c r="K195" s="40"/>
      <c r="L195" s="51"/>
      <c r="M195" s="52"/>
      <c r="N195" s="50"/>
      <c r="P195" s="55" t="str">
        <f t="shared" si="5"/>
        <v/>
      </c>
    </row>
    <row r="196" spans="2:16" x14ac:dyDescent="0.25">
      <c r="B196" s="28">
        <f>[1]DataLookUp!$B196</f>
        <v>25000000000193</v>
      </c>
      <c r="C196" s="29" t="str">
        <f>VLOOKUP(B196, [1]DataLookUp!$B$4:$D$621, 2, FALSE)</f>
        <v>Hervian Bagus Saputra</v>
      </c>
      <c r="D196" s="29" t="str">
        <f>VLOOKUP(B196, [1]DataLookUp!$B$4:$D$621, 3, FALSE)</f>
        <v/>
      </c>
      <c r="E196" s="40"/>
      <c r="F196" s="45" t="str">
        <f t="shared" si="6"/>
        <v/>
      </c>
      <c r="G196" s="30"/>
      <c r="H196" s="31"/>
      <c r="I196" s="50"/>
      <c r="J196" s="40"/>
      <c r="K196" s="40"/>
      <c r="L196" s="51"/>
      <c r="M196" s="52"/>
      <c r="N196" s="50"/>
      <c r="P196" s="55" t="str">
        <f t="shared" si="5"/>
        <v/>
      </c>
    </row>
    <row r="197" spans="2:16" x14ac:dyDescent="0.25">
      <c r="B197" s="28">
        <f>[1]DataLookUp!$B197</f>
        <v>25000000000194</v>
      </c>
      <c r="C197" s="29" t="str">
        <f>VLOOKUP(B197, [1]DataLookUp!$B$4:$D$621, 2, FALSE)</f>
        <v>H.R. Marlina S. T. R.</v>
      </c>
      <c r="D197" s="29" t="str">
        <f>VLOOKUP(B197, [1]DataLookUp!$B$4:$D$621, 3, FALSE)</f>
        <v/>
      </c>
      <c r="E197" s="40"/>
      <c r="F197" s="45" t="str">
        <f t="shared" si="6"/>
        <v/>
      </c>
      <c r="G197" s="30"/>
      <c r="H197" s="31"/>
      <c r="I197" s="50"/>
      <c r="J197" s="40"/>
      <c r="K197" s="40"/>
      <c r="L197" s="51"/>
      <c r="M197" s="52"/>
      <c r="N197" s="50"/>
      <c r="P197" s="55" t="str">
        <f t="shared" ref="P197:P260" si="7">IF(EXACT(D197, ""), "", CONCATENATE("PERFORM ""SchData-OLTP-Master"".""Func_TblCitizenIdentity_SET""(varSystemLoginSession, null, null, null, varInstitutionBranchID, ",  IF(EXACT(B197, ""), "NULL", B197), "::bigint, '", C197, "'::varchar, '", D197, "'::varchar, ", IF(EXACT(F197, ""), "NULL", F197), "::bigint, ", "NULL", "::bigint, '", TEXT(H197, "YYYY-MM-DD"), "'::timestamp, ", "NULL", "::bigint, ", "NULL", "::bigint, ", "NULL", "::bigint, ", "NULL", "::bigint,  ", IF(EXACT(M197, ""), "NULL", M197), "::bigint, ", "NULL", "::bigint, ", "NULL", "::bigint, ", "NULL", "::bigint, '", CONCATENATE(I197, IF(EXACT(M197, ""), " "&amp;L197, "")), "'::varchar, ", IF(EXACT(J197, ""), "NULL", J197*1), "::smallint, ", IF(EXACT(K197, ""), "NULL", K197*1), "::smallint);
"))</f>
        <v/>
      </c>
    </row>
    <row r="198" spans="2:16" x14ac:dyDescent="0.25">
      <c r="B198" s="28">
        <f>[1]DataLookUp!$B198</f>
        <v>25000000000195</v>
      </c>
      <c r="C198" s="29" t="str">
        <f>VLOOKUP(B198, [1]DataLookUp!$B$4:$D$621, 2, FALSE)</f>
        <v>Ibrahim Soukani</v>
      </c>
      <c r="D198" s="29" t="str">
        <f>VLOOKUP(B198, [1]DataLookUp!$B$4:$D$621, 3, FALSE)</f>
        <v/>
      </c>
      <c r="E198" s="40"/>
      <c r="F198" s="45" t="str">
        <f t="shared" si="6"/>
        <v/>
      </c>
      <c r="G198" s="30"/>
      <c r="H198" s="31"/>
      <c r="I198" s="50"/>
      <c r="J198" s="40"/>
      <c r="K198" s="40"/>
      <c r="L198" s="51"/>
      <c r="M198" s="52"/>
      <c r="N198" s="50"/>
      <c r="P198" s="55" t="str">
        <f t="shared" si="7"/>
        <v/>
      </c>
    </row>
    <row r="199" spans="2:16" ht="25.5" x14ac:dyDescent="0.25">
      <c r="B199" s="28">
        <f>[1]DataLookUp!$B199</f>
        <v>25000000000196</v>
      </c>
      <c r="C199" s="29" t="str">
        <f>VLOOKUP(B199, [1]DataLookUp!$B$4:$D$621, 2, FALSE)</f>
        <v>Icha Mailinda Syamsoedin</v>
      </c>
      <c r="D199" s="29" t="str">
        <f>VLOOKUP(B199, [1]DataLookUp!$B$4:$D$621, 3, FALSE)</f>
        <v>3305134603960002</v>
      </c>
      <c r="E199" s="40" t="s">
        <v>180</v>
      </c>
      <c r="F199" s="45">
        <f t="shared" si="6"/>
        <v>156000000000002</v>
      </c>
      <c r="G199" s="30" t="s">
        <v>10</v>
      </c>
      <c r="H199" s="31">
        <v>35130</v>
      </c>
      <c r="I199" s="50" t="s">
        <v>225</v>
      </c>
      <c r="J199" s="40"/>
      <c r="K199" s="40"/>
      <c r="L199" s="51" t="s">
        <v>224</v>
      </c>
      <c r="M199" s="52">
        <v>24000000032420</v>
      </c>
      <c r="N199" s="50"/>
      <c r="P199" s="55" t="str">
        <f t="shared" si="7"/>
        <v xml:space="preserve">PERFORM "SchData-OLTP-Master"."Func_TblCitizenIdentity_SET"(varSystemLoginSession, null, null, null, varInstitutionBranchID, 25000000000196::bigint, 'Icha Mailinda Syamsoedin'::varchar, '3305134603960002'::varchar, 156000000000002::bigint, NULL::bigint, '1996-03-06'::timestamp, NULL::bigint, NULL::bigint, NULL::bigint, NULL::bigint,  24000000032420::bigint, NULL::bigint, NULL::bigint, NULL::bigint, 'Jl. Remaja 3 Gg. Betok No. 42A'::varchar, NULL::smallint, NULL::smallint);
</v>
      </c>
    </row>
    <row r="200" spans="2:16" x14ac:dyDescent="0.25">
      <c r="B200" s="28">
        <f>[1]DataLookUp!$B200</f>
        <v>25000000000197</v>
      </c>
      <c r="C200" s="29" t="str">
        <f>VLOOKUP(B200, [1]DataLookUp!$B$4:$D$621, 2, FALSE)</f>
        <v>Ichsanudin</v>
      </c>
      <c r="D200" s="29" t="str">
        <f>VLOOKUP(B200, [1]DataLookUp!$B$4:$D$621, 3, FALSE)</f>
        <v/>
      </c>
      <c r="E200" s="40"/>
      <c r="F200" s="45" t="str">
        <f t="shared" si="6"/>
        <v/>
      </c>
      <c r="G200" s="30"/>
      <c r="H200" s="31"/>
      <c r="I200" s="50"/>
      <c r="J200" s="40"/>
      <c r="K200" s="40"/>
      <c r="L200" s="51"/>
      <c r="M200" s="52"/>
      <c r="N200" s="50"/>
      <c r="P200" s="55" t="str">
        <f t="shared" si="7"/>
        <v/>
      </c>
    </row>
    <row r="201" spans="2:16" x14ac:dyDescent="0.25">
      <c r="B201" s="28">
        <f>[1]DataLookUp!$B201</f>
        <v>25000000000198</v>
      </c>
      <c r="C201" s="29" t="str">
        <f>VLOOKUP(B201, [1]DataLookUp!$B$4:$D$621, 2, FALSE)</f>
        <v>Ida Tri Wulaningsih</v>
      </c>
      <c r="D201" s="29" t="str">
        <f>VLOOKUP(B201, [1]DataLookUp!$B$4:$D$621, 3, FALSE)</f>
        <v/>
      </c>
      <c r="E201" s="40"/>
      <c r="F201" s="45" t="str">
        <f t="shared" si="6"/>
        <v/>
      </c>
      <c r="G201" s="30"/>
      <c r="H201" s="31"/>
      <c r="I201" s="50"/>
      <c r="J201" s="40"/>
      <c r="K201" s="40"/>
      <c r="L201" s="51"/>
      <c r="M201" s="52"/>
      <c r="N201" s="50"/>
      <c r="P201" s="55" t="str">
        <f t="shared" si="7"/>
        <v/>
      </c>
    </row>
    <row r="202" spans="2:16" x14ac:dyDescent="0.25">
      <c r="B202" s="28">
        <f>[1]DataLookUp!$B202</f>
        <v>25000000000199</v>
      </c>
      <c r="C202" s="29" t="str">
        <f>VLOOKUP(B202, [1]DataLookUp!$B$4:$D$621, 2, FALSE)</f>
        <v>Idham</v>
      </c>
      <c r="D202" s="29" t="str">
        <f>VLOOKUP(B202, [1]DataLookUp!$B$4:$D$621, 3, FALSE)</f>
        <v/>
      </c>
      <c r="E202" s="40"/>
      <c r="F202" s="45" t="str">
        <f t="shared" si="6"/>
        <v/>
      </c>
      <c r="G202" s="30"/>
      <c r="H202" s="31"/>
      <c r="I202" s="50"/>
      <c r="J202" s="40"/>
      <c r="K202" s="40"/>
      <c r="L202" s="51"/>
      <c r="M202" s="52"/>
      <c r="N202" s="50"/>
      <c r="P202" s="55" t="str">
        <f t="shared" si="7"/>
        <v/>
      </c>
    </row>
    <row r="203" spans="2:16" x14ac:dyDescent="0.25">
      <c r="B203" s="28">
        <f>[1]DataLookUp!$B203</f>
        <v>25000000000200</v>
      </c>
      <c r="C203" s="29" t="str">
        <f>VLOOKUP(B203, [1]DataLookUp!$B$4:$D$621, 2, FALSE)</f>
        <v>Idham Nasution</v>
      </c>
      <c r="D203" s="29" t="str">
        <f>VLOOKUP(B203, [1]DataLookUp!$B$4:$D$621, 3, FALSE)</f>
        <v/>
      </c>
      <c r="E203" s="40"/>
      <c r="F203" s="45" t="str">
        <f t="shared" ref="F203:F266" si="8">IF(EXACT(E203, ""), "", IF(EXACT(E203, "L"), 156000000000001, 156000000000002))</f>
        <v/>
      </c>
      <c r="G203" s="30"/>
      <c r="H203" s="31"/>
      <c r="I203" s="50"/>
      <c r="J203" s="40"/>
      <c r="K203" s="40"/>
      <c r="L203" s="51"/>
      <c r="M203" s="52"/>
      <c r="N203" s="50"/>
      <c r="P203" s="55" t="str">
        <f t="shared" si="7"/>
        <v/>
      </c>
    </row>
    <row r="204" spans="2:16" x14ac:dyDescent="0.25">
      <c r="B204" s="28">
        <f>[1]DataLookUp!$B204</f>
        <v>25000000000201</v>
      </c>
      <c r="C204" s="29" t="str">
        <f>VLOOKUP(B204, [1]DataLookUp!$B$4:$D$621, 2, FALSE)</f>
        <v>Idian</v>
      </c>
      <c r="D204" s="29" t="str">
        <f>VLOOKUP(B204, [1]DataLookUp!$B$4:$D$621, 3, FALSE)</f>
        <v/>
      </c>
      <c r="E204" s="40"/>
      <c r="F204" s="45" t="str">
        <f t="shared" si="8"/>
        <v/>
      </c>
      <c r="G204" s="30"/>
      <c r="H204" s="31"/>
      <c r="I204" s="50"/>
      <c r="J204" s="40"/>
      <c r="K204" s="40"/>
      <c r="L204" s="51"/>
      <c r="M204" s="52"/>
      <c r="N204" s="50"/>
      <c r="P204" s="55" t="str">
        <f t="shared" si="7"/>
        <v/>
      </c>
    </row>
    <row r="205" spans="2:16" x14ac:dyDescent="0.25">
      <c r="B205" s="28">
        <f>[1]DataLookUp!$B205</f>
        <v>25000000000202</v>
      </c>
      <c r="C205" s="29" t="str">
        <f>VLOOKUP(B205, [1]DataLookUp!$B$4:$D$621, 2, FALSE)</f>
        <v>Ikun M. Soedrajat</v>
      </c>
      <c r="D205" s="29" t="str">
        <f>VLOOKUP(B205, [1]DataLookUp!$B$4:$D$621, 3, FALSE)</f>
        <v/>
      </c>
      <c r="E205" s="40"/>
      <c r="F205" s="45" t="str">
        <f t="shared" si="8"/>
        <v/>
      </c>
      <c r="G205" s="30"/>
      <c r="H205" s="31"/>
      <c r="I205" s="50"/>
      <c r="J205" s="40"/>
      <c r="K205" s="40"/>
      <c r="L205" s="51"/>
      <c r="M205" s="52"/>
      <c r="N205" s="50"/>
      <c r="P205" s="55" t="str">
        <f t="shared" si="7"/>
        <v/>
      </c>
    </row>
    <row r="206" spans="2:16" x14ac:dyDescent="0.25">
      <c r="B206" s="28">
        <f>[1]DataLookUp!$B206</f>
        <v>25000000000203</v>
      </c>
      <c r="C206" s="29" t="str">
        <f>VLOOKUP(B206, [1]DataLookUp!$B$4:$D$621, 2, FALSE)</f>
        <v>Ilham Arisyandy</v>
      </c>
      <c r="D206" s="29" t="str">
        <f>VLOOKUP(B206, [1]DataLookUp!$B$4:$D$621, 3, FALSE)</f>
        <v/>
      </c>
      <c r="E206" s="40"/>
      <c r="F206" s="45" t="str">
        <f t="shared" si="8"/>
        <v/>
      </c>
      <c r="G206" s="30"/>
      <c r="H206" s="31"/>
      <c r="I206" s="50"/>
      <c r="J206" s="40"/>
      <c r="K206" s="40"/>
      <c r="L206" s="51"/>
      <c r="M206" s="52"/>
      <c r="N206" s="50"/>
      <c r="P206" s="55" t="str">
        <f t="shared" si="7"/>
        <v/>
      </c>
    </row>
    <row r="207" spans="2:16" x14ac:dyDescent="0.25">
      <c r="B207" s="28">
        <f>[1]DataLookUp!$B207</f>
        <v>25000000000204</v>
      </c>
      <c r="C207" s="29" t="str">
        <f>VLOOKUP(B207, [1]DataLookUp!$B$4:$D$621, 2, FALSE)</f>
        <v>Ilham Akbar</v>
      </c>
      <c r="D207" s="29" t="str">
        <f>VLOOKUP(B207, [1]DataLookUp!$B$4:$D$621, 3, FALSE)</f>
        <v/>
      </c>
      <c r="E207" s="40"/>
      <c r="F207" s="45" t="str">
        <f t="shared" si="8"/>
        <v/>
      </c>
      <c r="G207" s="30"/>
      <c r="H207" s="31"/>
      <c r="I207" s="50"/>
      <c r="J207" s="40"/>
      <c r="K207" s="40"/>
      <c r="L207" s="51"/>
      <c r="M207" s="52"/>
      <c r="N207" s="50"/>
      <c r="P207" s="55" t="str">
        <f t="shared" si="7"/>
        <v/>
      </c>
    </row>
    <row r="208" spans="2:16" x14ac:dyDescent="0.25">
      <c r="B208" s="28">
        <f>[1]DataLookUp!$B208</f>
        <v>25000000000205</v>
      </c>
      <c r="C208" s="29" t="str">
        <f>VLOOKUP(B208, [1]DataLookUp!$B$4:$D$621, 2, FALSE)</f>
        <v>Imam Basuki</v>
      </c>
      <c r="D208" s="29" t="str">
        <f>VLOOKUP(B208, [1]DataLookUp!$B$4:$D$621, 3, FALSE)</f>
        <v/>
      </c>
      <c r="E208" s="40"/>
      <c r="F208" s="45" t="str">
        <f t="shared" si="8"/>
        <v/>
      </c>
      <c r="G208" s="30"/>
      <c r="H208" s="31"/>
      <c r="I208" s="50"/>
      <c r="J208" s="40"/>
      <c r="K208" s="40"/>
      <c r="L208" s="51"/>
      <c r="M208" s="52"/>
      <c r="N208" s="50"/>
      <c r="P208" s="55" t="str">
        <f t="shared" si="7"/>
        <v/>
      </c>
    </row>
    <row r="209" spans="2:16" x14ac:dyDescent="0.25">
      <c r="B209" s="28">
        <f>[1]DataLookUp!$B209</f>
        <v>25000000000206</v>
      </c>
      <c r="C209" s="29" t="str">
        <f>VLOOKUP(B209, [1]DataLookUp!$B$4:$D$621, 2, FALSE)</f>
        <v>Imam Mustofa</v>
      </c>
      <c r="D209" s="29" t="str">
        <f>VLOOKUP(B209, [1]DataLookUp!$B$4:$D$621, 3, FALSE)</f>
        <v/>
      </c>
      <c r="E209" s="40"/>
      <c r="F209" s="45" t="str">
        <f t="shared" si="8"/>
        <v/>
      </c>
      <c r="G209" s="30"/>
      <c r="H209" s="31"/>
      <c r="I209" s="50"/>
      <c r="J209" s="40"/>
      <c r="K209" s="40"/>
      <c r="L209" s="51"/>
      <c r="M209" s="52"/>
      <c r="N209" s="50"/>
      <c r="P209" s="55" t="str">
        <f t="shared" si="7"/>
        <v/>
      </c>
    </row>
    <row r="210" spans="2:16" x14ac:dyDescent="0.25">
      <c r="B210" s="28">
        <f>[1]DataLookUp!$B210</f>
        <v>25000000000207</v>
      </c>
      <c r="C210" s="29" t="str">
        <f>VLOOKUP(B210, [1]DataLookUp!$B$4:$D$621, 2, FALSE)</f>
        <v>Imam Safiiy</v>
      </c>
      <c r="D210" s="29" t="str">
        <f>VLOOKUP(B210, [1]DataLookUp!$B$4:$D$621, 3, FALSE)</f>
        <v/>
      </c>
      <c r="E210" s="40"/>
      <c r="F210" s="45" t="str">
        <f t="shared" si="8"/>
        <v/>
      </c>
      <c r="G210" s="30"/>
      <c r="H210" s="31"/>
      <c r="I210" s="50"/>
      <c r="J210" s="40"/>
      <c r="K210" s="40"/>
      <c r="L210" s="51"/>
      <c r="M210" s="52"/>
      <c r="N210" s="50"/>
      <c r="P210" s="55" t="str">
        <f t="shared" si="7"/>
        <v/>
      </c>
    </row>
    <row r="211" spans="2:16" x14ac:dyDescent="0.25">
      <c r="B211" s="28">
        <f>[1]DataLookUp!$B211</f>
        <v>25000000000208</v>
      </c>
      <c r="C211" s="29" t="str">
        <f>VLOOKUP(B211, [1]DataLookUp!$B$4:$D$621, 2, FALSE)</f>
        <v>Iman Hakiki</v>
      </c>
      <c r="D211" s="29" t="str">
        <f>VLOOKUP(B211, [1]DataLookUp!$B$4:$D$621, 3, FALSE)</f>
        <v/>
      </c>
      <c r="E211" s="40"/>
      <c r="F211" s="45" t="str">
        <f t="shared" si="8"/>
        <v/>
      </c>
      <c r="G211" s="30"/>
      <c r="H211" s="31"/>
      <c r="I211" s="50"/>
      <c r="J211" s="40"/>
      <c r="K211" s="40"/>
      <c r="L211" s="51"/>
      <c r="M211" s="52"/>
      <c r="N211" s="50"/>
      <c r="P211" s="55" t="str">
        <f t="shared" si="7"/>
        <v/>
      </c>
    </row>
    <row r="212" spans="2:16" x14ac:dyDescent="0.25">
      <c r="B212" s="28">
        <f>[1]DataLookUp!$B212</f>
        <v>25000000000209</v>
      </c>
      <c r="C212" s="29" t="str">
        <f>VLOOKUP(B212, [1]DataLookUp!$B$4:$D$621, 2, FALSE)</f>
        <v>Imelda Claudia</v>
      </c>
      <c r="D212" s="29" t="str">
        <f>VLOOKUP(B212, [1]DataLookUp!$B$4:$D$621, 3, FALSE)</f>
        <v/>
      </c>
      <c r="E212" s="40"/>
      <c r="F212" s="45" t="str">
        <f t="shared" si="8"/>
        <v/>
      </c>
      <c r="G212" s="30"/>
      <c r="H212" s="31"/>
      <c r="I212" s="50"/>
      <c r="J212" s="40"/>
      <c r="K212" s="40"/>
      <c r="L212" s="51"/>
      <c r="M212" s="52"/>
      <c r="N212" s="50"/>
      <c r="P212" s="55" t="str">
        <f t="shared" si="7"/>
        <v/>
      </c>
    </row>
    <row r="213" spans="2:16" x14ac:dyDescent="0.25">
      <c r="B213" s="28">
        <f>[1]DataLookUp!$B213</f>
        <v>25000000000210</v>
      </c>
      <c r="C213" s="29" t="str">
        <f>VLOOKUP(B213, [1]DataLookUp!$B$4:$D$621, 2, FALSE)</f>
        <v>Indawan Haryadi</v>
      </c>
      <c r="D213" s="29" t="str">
        <f>VLOOKUP(B213, [1]DataLookUp!$B$4:$D$621, 3, FALSE)</f>
        <v/>
      </c>
      <c r="E213" s="40"/>
      <c r="F213" s="45" t="str">
        <f t="shared" si="8"/>
        <v/>
      </c>
      <c r="G213" s="30"/>
      <c r="H213" s="31"/>
      <c r="I213" s="50"/>
      <c r="J213" s="40"/>
      <c r="K213" s="40"/>
      <c r="L213" s="51"/>
      <c r="M213" s="52"/>
      <c r="N213" s="50"/>
      <c r="P213" s="55" t="str">
        <f t="shared" si="7"/>
        <v/>
      </c>
    </row>
    <row r="214" spans="2:16" x14ac:dyDescent="0.25">
      <c r="B214" s="28">
        <f>[1]DataLookUp!$B214</f>
        <v>25000000000211</v>
      </c>
      <c r="C214" s="29" t="str">
        <f>VLOOKUP(B214, [1]DataLookUp!$B$4:$D$621, 2, FALSE)</f>
        <v>Indra Jaya</v>
      </c>
      <c r="D214" s="29" t="str">
        <f>VLOOKUP(B214, [1]DataLookUp!$B$4:$D$621, 3, FALSE)</f>
        <v/>
      </c>
      <c r="E214" s="40"/>
      <c r="F214" s="45" t="str">
        <f t="shared" si="8"/>
        <v/>
      </c>
      <c r="G214" s="30"/>
      <c r="H214" s="31"/>
      <c r="I214" s="50"/>
      <c r="J214" s="40"/>
      <c r="K214" s="40"/>
      <c r="L214" s="51"/>
      <c r="M214" s="52"/>
      <c r="N214" s="50"/>
      <c r="P214" s="55" t="str">
        <f t="shared" si="7"/>
        <v/>
      </c>
    </row>
    <row r="215" spans="2:16" x14ac:dyDescent="0.25">
      <c r="B215" s="28">
        <f>[1]DataLookUp!$B215</f>
        <v>25000000000212</v>
      </c>
      <c r="C215" s="29" t="str">
        <f>VLOOKUP(B215, [1]DataLookUp!$B$4:$D$621, 2, FALSE)</f>
        <v>Indra Muchtar</v>
      </c>
      <c r="D215" s="29" t="str">
        <f>VLOOKUP(B215, [1]DataLookUp!$B$4:$D$621, 3, FALSE)</f>
        <v/>
      </c>
      <c r="E215" s="40"/>
      <c r="F215" s="45" t="str">
        <f t="shared" si="8"/>
        <v/>
      </c>
      <c r="G215" s="30"/>
      <c r="H215" s="31"/>
      <c r="I215" s="50"/>
      <c r="J215" s="40"/>
      <c r="K215" s="40"/>
      <c r="L215" s="51"/>
      <c r="M215" s="52"/>
      <c r="N215" s="50"/>
      <c r="P215" s="55" t="str">
        <f t="shared" si="7"/>
        <v/>
      </c>
    </row>
    <row r="216" spans="2:16" x14ac:dyDescent="0.25">
      <c r="B216" s="28">
        <f>[1]DataLookUp!$B216</f>
        <v>25000000000213</v>
      </c>
      <c r="C216" s="29" t="str">
        <f>VLOOKUP(B216, [1]DataLookUp!$B$4:$D$621, 2, FALSE)</f>
        <v>Irvan</v>
      </c>
      <c r="D216" s="29" t="str">
        <f>VLOOKUP(B216, [1]DataLookUp!$B$4:$D$621, 3, FALSE)</f>
        <v/>
      </c>
      <c r="E216" s="40"/>
      <c r="F216" s="45" t="str">
        <f t="shared" si="8"/>
        <v/>
      </c>
      <c r="G216" s="30"/>
      <c r="H216" s="31"/>
      <c r="I216" s="50"/>
      <c r="J216" s="40"/>
      <c r="K216" s="40"/>
      <c r="L216" s="51"/>
      <c r="M216" s="52"/>
      <c r="N216" s="50"/>
      <c r="P216" s="55" t="str">
        <f t="shared" si="7"/>
        <v/>
      </c>
    </row>
    <row r="217" spans="2:16" x14ac:dyDescent="0.25">
      <c r="B217" s="28">
        <f>[1]DataLookUp!$B217</f>
        <v>25000000000214</v>
      </c>
      <c r="C217" s="29" t="str">
        <f>VLOOKUP(B217, [1]DataLookUp!$B$4:$D$621, 2, FALSE)</f>
        <v>Irvan Agus Dharma Eka Putra</v>
      </c>
      <c r="D217" s="29" t="str">
        <f>VLOOKUP(B217, [1]DataLookUp!$B$4:$D$621, 3, FALSE)</f>
        <v/>
      </c>
      <c r="E217" s="40"/>
      <c r="F217" s="45" t="str">
        <f t="shared" si="8"/>
        <v/>
      </c>
      <c r="G217" s="30"/>
      <c r="H217" s="31"/>
      <c r="I217" s="50"/>
      <c r="J217" s="40"/>
      <c r="K217" s="40"/>
      <c r="L217" s="51"/>
      <c r="M217" s="52"/>
      <c r="N217" s="50"/>
      <c r="P217" s="55" t="str">
        <f t="shared" si="7"/>
        <v/>
      </c>
    </row>
    <row r="218" spans="2:16" x14ac:dyDescent="0.25">
      <c r="B218" s="28">
        <f>[1]DataLookUp!$B218</f>
        <v>25000000000215</v>
      </c>
      <c r="C218" s="29" t="str">
        <f>VLOOKUP(B218, [1]DataLookUp!$B$4:$D$621, 2, FALSE)</f>
        <v>Irwan</v>
      </c>
      <c r="D218" s="29" t="str">
        <f>VLOOKUP(B218, [1]DataLookUp!$B$4:$D$621, 3, FALSE)</f>
        <v/>
      </c>
      <c r="E218" s="40"/>
      <c r="F218" s="45" t="str">
        <f t="shared" si="8"/>
        <v/>
      </c>
      <c r="G218" s="30"/>
      <c r="H218" s="31"/>
      <c r="I218" s="50"/>
      <c r="J218" s="40"/>
      <c r="K218" s="40"/>
      <c r="L218" s="51"/>
      <c r="M218" s="52"/>
      <c r="N218" s="50"/>
      <c r="P218" s="55" t="str">
        <f t="shared" si="7"/>
        <v/>
      </c>
    </row>
    <row r="219" spans="2:16" x14ac:dyDescent="0.25">
      <c r="B219" s="28">
        <f>[1]DataLookUp!$B219</f>
        <v>25000000000216</v>
      </c>
      <c r="C219" s="29" t="str">
        <f>VLOOKUP(B219, [1]DataLookUp!$B$4:$D$621, 2, FALSE)</f>
        <v>Isa Anshori</v>
      </c>
      <c r="D219" s="29" t="str">
        <f>VLOOKUP(B219, [1]DataLookUp!$B$4:$D$621, 3, FALSE)</f>
        <v/>
      </c>
      <c r="E219" s="40"/>
      <c r="F219" s="45" t="str">
        <f t="shared" si="8"/>
        <v/>
      </c>
      <c r="G219" s="30"/>
      <c r="H219" s="31"/>
      <c r="I219" s="50"/>
      <c r="J219" s="40"/>
      <c r="K219" s="40"/>
      <c r="L219" s="51"/>
      <c r="M219" s="52"/>
      <c r="N219" s="50"/>
      <c r="P219" s="55" t="str">
        <f t="shared" si="7"/>
        <v/>
      </c>
    </row>
    <row r="220" spans="2:16" x14ac:dyDescent="0.25">
      <c r="B220" s="28">
        <f>[1]DataLookUp!$B220</f>
        <v>25000000000217</v>
      </c>
      <c r="C220" s="29" t="str">
        <f>VLOOKUP(B220, [1]DataLookUp!$B$4:$D$621, 2, FALSE)</f>
        <v>Isa Taufiq</v>
      </c>
      <c r="D220" s="29" t="str">
        <f>VLOOKUP(B220, [1]DataLookUp!$B$4:$D$621, 3, FALSE)</f>
        <v/>
      </c>
      <c r="E220" s="40"/>
      <c r="F220" s="45" t="str">
        <f t="shared" si="8"/>
        <v/>
      </c>
      <c r="G220" s="30"/>
      <c r="H220" s="31"/>
      <c r="I220" s="50"/>
      <c r="J220" s="40"/>
      <c r="K220" s="40"/>
      <c r="L220" s="51"/>
      <c r="M220" s="52"/>
      <c r="N220" s="50"/>
      <c r="P220" s="55" t="str">
        <f t="shared" si="7"/>
        <v/>
      </c>
    </row>
    <row r="221" spans="2:16" x14ac:dyDescent="0.25">
      <c r="B221" s="28">
        <f>[1]DataLookUp!$B221</f>
        <v>25000000000218</v>
      </c>
      <c r="C221" s="29" t="str">
        <f>VLOOKUP(B221, [1]DataLookUp!$B$4:$D$621, 2, FALSE)</f>
        <v>Iskandarsyah</v>
      </c>
      <c r="D221" s="29" t="str">
        <f>VLOOKUP(B221, [1]DataLookUp!$B$4:$D$621, 3, FALSE)</f>
        <v/>
      </c>
      <c r="E221" s="40"/>
      <c r="F221" s="45" t="str">
        <f t="shared" si="8"/>
        <v/>
      </c>
      <c r="G221" s="30"/>
      <c r="H221" s="31"/>
      <c r="I221" s="50"/>
      <c r="J221" s="40"/>
      <c r="K221" s="40"/>
      <c r="L221" s="51"/>
      <c r="M221" s="52"/>
      <c r="N221" s="50"/>
      <c r="P221" s="55" t="str">
        <f t="shared" si="7"/>
        <v/>
      </c>
    </row>
    <row r="222" spans="2:16" x14ac:dyDescent="0.25">
      <c r="B222" s="28">
        <f>[1]DataLookUp!$B222</f>
        <v>25000000000219</v>
      </c>
      <c r="C222" s="29" t="str">
        <f>VLOOKUP(B222, [1]DataLookUp!$B$4:$D$621, 2, FALSE)</f>
        <v>Istanto Istanto</v>
      </c>
      <c r="D222" s="29" t="str">
        <f>VLOOKUP(B222, [1]DataLookUp!$B$4:$D$621, 3, FALSE)</f>
        <v/>
      </c>
      <c r="E222" s="40"/>
      <c r="F222" s="45" t="str">
        <f t="shared" si="8"/>
        <v/>
      </c>
      <c r="G222" s="30"/>
      <c r="H222" s="31"/>
      <c r="I222" s="50"/>
      <c r="J222" s="40"/>
      <c r="K222" s="40"/>
      <c r="L222" s="51"/>
      <c r="M222" s="52"/>
      <c r="N222" s="50"/>
      <c r="P222" s="55" t="str">
        <f t="shared" si="7"/>
        <v/>
      </c>
    </row>
    <row r="223" spans="2:16" x14ac:dyDescent="0.25">
      <c r="B223" s="28">
        <f>[1]DataLookUp!$B223</f>
        <v>25000000000220</v>
      </c>
      <c r="C223" s="29" t="str">
        <f>VLOOKUP(B223, [1]DataLookUp!$B$4:$D$621, 2, FALSE)</f>
        <v>Iswahyuni</v>
      </c>
      <c r="D223" s="29" t="str">
        <f>VLOOKUP(B223, [1]DataLookUp!$B$4:$D$621, 3, FALSE)</f>
        <v/>
      </c>
      <c r="E223" s="40"/>
      <c r="F223" s="45" t="str">
        <f t="shared" si="8"/>
        <v/>
      </c>
      <c r="G223" s="30"/>
      <c r="H223" s="31"/>
      <c r="I223" s="50"/>
      <c r="J223" s="40"/>
      <c r="K223" s="40"/>
      <c r="L223" s="51"/>
      <c r="M223" s="52"/>
      <c r="N223" s="50"/>
      <c r="P223" s="55" t="str">
        <f t="shared" si="7"/>
        <v/>
      </c>
    </row>
    <row r="224" spans="2:16" x14ac:dyDescent="0.25">
      <c r="B224" s="28">
        <f>[1]DataLookUp!$B224</f>
        <v>25000000000221</v>
      </c>
      <c r="C224" s="29" t="str">
        <f>VLOOKUP(B224, [1]DataLookUp!$B$4:$D$621, 2, FALSE)</f>
        <v>Iva Nurvahayati</v>
      </c>
      <c r="D224" s="29" t="str">
        <f>VLOOKUP(B224, [1]DataLookUp!$B$4:$D$621, 3, FALSE)</f>
        <v/>
      </c>
      <c r="E224" s="40"/>
      <c r="F224" s="45" t="str">
        <f t="shared" si="8"/>
        <v/>
      </c>
      <c r="G224" s="30"/>
      <c r="H224" s="31"/>
      <c r="I224" s="50"/>
      <c r="J224" s="40"/>
      <c r="K224" s="40"/>
      <c r="L224" s="51"/>
      <c r="M224" s="52"/>
      <c r="N224" s="50"/>
      <c r="P224" s="55" t="str">
        <f t="shared" si="7"/>
        <v/>
      </c>
    </row>
    <row r="225" spans="2:16" x14ac:dyDescent="0.25">
      <c r="B225" s="28">
        <f>[1]DataLookUp!$B225</f>
        <v>25000000000222</v>
      </c>
      <c r="C225" s="29" t="str">
        <f>VLOOKUP(B225, [1]DataLookUp!$B$4:$D$621, 2, FALSE)</f>
        <v>Iwan Setiawan</v>
      </c>
      <c r="D225" s="29" t="str">
        <f>VLOOKUP(B225, [1]DataLookUp!$B$4:$D$621, 3, FALSE)</f>
        <v/>
      </c>
      <c r="E225" s="40"/>
      <c r="F225" s="45" t="str">
        <f t="shared" si="8"/>
        <v/>
      </c>
      <c r="G225" s="30"/>
      <c r="H225" s="31"/>
      <c r="I225" s="50"/>
      <c r="J225" s="40"/>
      <c r="K225" s="40"/>
      <c r="L225" s="51"/>
      <c r="M225" s="52"/>
      <c r="N225" s="50"/>
      <c r="P225" s="55" t="str">
        <f t="shared" si="7"/>
        <v/>
      </c>
    </row>
    <row r="226" spans="2:16" x14ac:dyDescent="0.25">
      <c r="B226" s="28">
        <f>[1]DataLookUp!$B226</f>
        <v>25000000000223</v>
      </c>
      <c r="C226" s="29" t="str">
        <f>VLOOKUP(B226, [1]DataLookUp!$B$4:$D$621, 2, FALSE)</f>
        <v>Iwan Sumantri</v>
      </c>
      <c r="D226" s="29" t="str">
        <f>VLOOKUP(B226, [1]DataLookUp!$B$4:$D$621, 3, FALSE)</f>
        <v/>
      </c>
      <c r="E226" s="40"/>
      <c r="F226" s="45" t="str">
        <f t="shared" si="8"/>
        <v/>
      </c>
      <c r="G226" s="30"/>
      <c r="H226" s="31"/>
      <c r="I226" s="50"/>
      <c r="J226" s="40"/>
      <c r="K226" s="40"/>
      <c r="L226" s="51"/>
      <c r="M226" s="52"/>
      <c r="N226" s="50"/>
      <c r="P226" s="55" t="str">
        <f t="shared" si="7"/>
        <v/>
      </c>
    </row>
    <row r="227" spans="2:16" x14ac:dyDescent="0.25">
      <c r="B227" s="28">
        <f>[1]DataLookUp!$B227</f>
        <v>25000000000224</v>
      </c>
      <c r="C227" s="29" t="str">
        <f>VLOOKUP(B227, [1]DataLookUp!$B$4:$D$621, 2, FALSE)</f>
        <v>Iwan Wibawa</v>
      </c>
      <c r="D227" s="29" t="str">
        <f>VLOOKUP(B227, [1]DataLookUp!$B$4:$D$621, 3, FALSE)</f>
        <v/>
      </c>
      <c r="E227" s="40"/>
      <c r="F227" s="45" t="str">
        <f t="shared" si="8"/>
        <v/>
      </c>
      <c r="G227" s="30"/>
      <c r="H227" s="31"/>
      <c r="I227" s="50"/>
      <c r="J227" s="40"/>
      <c r="K227" s="40"/>
      <c r="L227" s="51"/>
      <c r="M227" s="52"/>
      <c r="N227" s="50"/>
      <c r="P227" s="55" t="str">
        <f t="shared" si="7"/>
        <v/>
      </c>
    </row>
    <row r="228" spans="2:16" x14ac:dyDescent="0.25">
      <c r="B228" s="28">
        <f>[1]DataLookUp!$B228</f>
        <v>25000000000225</v>
      </c>
      <c r="C228" s="29" t="str">
        <f>VLOOKUP(B228, [1]DataLookUp!$B$4:$D$621, 2, FALSE)</f>
        <v>Iyus Darwin</v>
      </c>
      <c r="D228" s="29" t="str">
        <f>VLOOKUP(B228, [1]DataLookUp!$B$4:$D$621, 3, FALSE)</f>
        <v/>
      </c>
      <c r="E228" s="40"/>
      <c r="F228" s="45" t="str">
        <f t="shared" si="8"/>
        <v/>
      </c>
      <c r="G228" s="30"/>
      <c r="H228" s="31"/>
      <c r="I228" s="50"/>
      <c r="J228" s="40"/>
      <c r="K228" s="40"/>
      <c r="L228" s="51"/>
      <c r="M228" s="52"/>
      <c r="N228" s="50"/>
      <c r="P228" s="55" t="str">
        <f t="shared" si="7"/>
        <v/>
      </c>
    </row>
    <row r="229" spans="2:16" x14ac:dyDescent="0.25">
      <c r="B229" s="28">
        <f>[1]DataLookUp!$B229</f>
        <v>25000000000226</v>
      </c>
      <c r="C229" s="29" t="str">
        <f>VLOOKUP(B229, [1]DataLookUp!$B$4:$D$621, 2, FALSE)</f>
        <v>Jaenudin</v>
      </c>
      <c r="D229" s="29" t="str">
        <f>VLOOKUP(B229, [1]DataLookUp!$B$4:$D$621, 3, FALSE)</f>
        <v/>
      </c>
      <c r="E229" s="40"/>
      <c r="F229" s="45" t="str">
        <f t="shared" si="8"/>
        <v/>
      </c>
      <c r="G229" s="30"/>
      <c r="H229" s="31"/>
      <c r="I229" s="50"/>
      <c r="J229" s="40"/>
      <c r="K229" s="40"/>
      <c r="L229" s="51"/>
      <c r="M229" s="52"/>
      <c r="N229" s="50"/>
      <c r="P229" s="55" t="str">
        <f t="shared" si="7"/>
        <v/>
      </c>
    </row>
    <row r="230" spans="2:16" x14ac:dyDescent="0.25">
      <c r="B230" s="28">
        <f>[1]DataLookUp!$B230</f>
        <v>25000000000227</v>
      </c>
      <c r="C230" s="29" t="str">
        <f>VLOOKUP(B230, [1]DataLookUp!$B$4:$D$621, 2, FALSE)</f>
        <v>Jaruli Samosir</v>
      </c>
      <c r="D230" s="29" t="str">
        <f>VLOOKUP(B230, [1]DataLookUp!$B$4:$D$621, 3, FALSE)</f>
        <v/>
      </c>
      <c r="E230" s="40"/>
      <c r="F230" s="45" t="str">
        <f t="shared" si="8"/>
        <v/>
      </c>
      <c r="G230" s="30"/>
      <c r="H230" s="31"/>
      <c r="I230" s="50"/>
      <c r="J230" s="40"/>
      <c r="K230" s="40"/>
      <c r="L230" s="51"/>
      <c r="M230" s="52"/>
      <c r="N230" s="50"/>
      <c r="P230" s="55" t="str">
        <f t="shared" si="7"/>
        <v/>
      </c>
    </row>
    <row r="231" spans="2:16" x14ac:dyDescent="0.25">
      <c r="B231" s="28">
        <f>[1]DataLookUp!$B231</f>
        <v>25000000000228</v>
      </c>
      <c r="C231" s="29" t="str">
        <f>VLOOKUP(B231, [1]DataLookUp!$B$4:$D$621, 2, FALSE)</f>
        <v>Jaya Ganef</v>
      </c>
      <c r="D231" s="29" t="str">
        <f>VLOOKUP(B231, [1]DataLookUp!$B$4:$D$621, 3, FALSE)</f>
        <v/>
      </c>
      <c r="E231" s="40"/>
      <c r="F231" s="45" t="str">
        <f t="shared" si="8"/>
        <v/>
      </c>
      <c r="G231" s="30"/>
      <c r="H231" s="31"/>
      <c r="I231" s="50"/>
      <c r="J231" s="40"/>
      <c r="K231" s="40"/>
      <c r="L231" s="51"/>
      <c r="M231" s="52"/>
      <c r="N231" s="50"/>
      <c r="P231" s="55" t="str">
        <f t="shared" si="7"/>
        <v/>
      </c>
    </row>
    <row r="232" spans="2:16" x14ac:dyDescent="0.25">
      <c r="B232" s="28">
        <f>[1]DataLookUp!$B232</f>
        <v>25000000000229</v>
      </c>
      <c r="C232" s="29" t="str">
        <f>VLOOKUP(B232, [1]DataLookUp!$B$4:$D$621, 2, FALSE)</f>
        <v>Jaya Sitepu</v>
      </c>
      <c r="D232" s="29" t="str">
        <f>VLOOKUP(B232, [1]DataLookUp!$B$4:$D$621, 3, FALSE)</f>
        <v/>
      </c>
      <c r="E232" s="40"/>
      <c r="F232" s="45" t="str">
        <f t="shared" si="8"/>
        <v/>
      </c>
      <c r="G232" s="30"/>
      <c r="H232" s="31"/>
      <c r="I232" s="50"/>
      <c r="J232" s="40"/>
      <c r="K232" s="40"/>
      <c r="L232" s="51"/>
      <c r="M232" s="52"/>
      <c r="N232" s="50"/>
      <c r="P232" s="55" t="str">
        <f t="shared" si="7"/>
        <v/>
      </c>
    </row>
    <row r="233" spans="2:16" x14ac:dyDescent="0.25">
      <c r="B233" s="28">
        <f>[1]DataLookUp!$B233</f>
        <v>25000000000230</v>
      </c>
      <c r="C233" s="29" t="str">
        <f>VLOOKUP(B233, [1]DataLookUp!$B$4:$D$621, 2, FALSE)</f>
        <v>Jeefrianda H. P. Sigalingging</v>
      </c>
      <c r="D233" s="29" t="str">
        <f>VLOOKUP(B233, [1]DataLookUp!$B$4:$D$621, 3, FALSE)</f>
        <v/>
      </c>
      <c r="E233" s="40"/>
      <c r="F233" s="45" t="str">
        <f t="shared" si="8"/>
        <v/>
      </c>
      <c r="G233" s="30"/>
      <c r="H233" s="31"/>
      <c r="I233" s="50"/>
      <c r="J233" s="40"/>
      <c r="K233" s="40"/>
      <c r="L233" s="51"/>
      <c r="M233" s="52"/>
      <c r="N233" s="50"/>
      <c r="P233" s="55" t="str">
        <f t="shared" si="7"/>
        <v/>
      </c>
    </row>
    <row r="234" spans="2:16" x14ac:dyDescent="0.25">
      <c r="B234" s="28">
        <f>[1]DataLookUp!$B234</f>
        <v>25000000000231</v>
      </c>
      <c r="C234" s="29" t="str">
        <f>VLOOKUP(B234, [1]DataLookUp!$B$4:$D$621, 2, FALSE)</f>
        <v>Jerry Djajasaputra</v>
      </c>
      <c r="D234" s="29" t="str">
        <f>VLOOKUP(B234, [1]DataLookUp!$B$4:$D$621, 3, FALSE)</f>
        <v/>
      </c>
      <c r="E234" s="40"/>
      <c r="F234" s="45" t="str">
        <f t="shared" si="8"/>
        <v/>
      </c>
      <c r="G234" s="30"/>
      <c r="H234" s="31"/>
      <c r="I234" s="50"/>
      <c r="J234" s="40"/>
      <c r="K234" s="40"/>
      <c r="L234" s="51"/>
      <c r="M234" s="52"/>
      <c r="N234" s="50"/>
      <c r="P234" s="55" t="str">
        <f t="shared" si="7"/>
        <v/>
      </c>
    </row>
    <row r="235" spans="2:16" x14ac:dyDescent="0.25">
      <c r="B235" s="28">
        <f>[1]DataLookUp!$B235</f>
        <v>25000000000232</v>
      </c>
      <c r="C235" s="29" t="str">
        <f>VLOOKUP(B235, [1]DataLookUp!$B$4:$D$621, 2, FALSE)</f>
        <v>Jimmywal</v>
      </c>
      <c r="D235" s="29" t="str">
        <f>VLOOKUP(B235, [1]DataLookUp!$B$4:$D$621, 3, FALSE)</f>
        <v>3201042302780003</v>
      </c>
      <c r="E235" s="40" t="s">
        <v>179</v>
      </c>
      <c r="F235" s="45">
        <f t="shared" si="8"/>
        <v>156000000000001</v>
      </c>
      <c r="G235" s="30" t="s">
        <v>31</v>
      </c>
      <c r="H235" s="31">
        <v>28544</v>
      </c>
      <c r="I235" s="50" t="s">
        <v>231</v>
      </c>
      <c r="J235" s="40" t="s">
        <v>184</v>
      </c>
      <c r="K235" s="40" t="s">
        <v>230</v>
      </c>
      <c r="L235" s="51" t="s">
        <v>229</v>
      </c>
      <c r="M235" s="52">
        <v>24000000027401</v>
      </c>
      <c r="N235" s="50"/>
      <c r="P235" s="55" t="str">
        <f t="shared" si="7"/>
        <v xml:space="preserve">PERFORM "SchData-OLTP-Master"."Func_TblCitizenIdentity_SET"(varSystemLoginSession, null, null, null, varInstitutionBranchID, 25000000000232::bigint, 'Jimmywal'::varchar, '3201042302780003'::varchar, 156000000000001::bigint, NULL::bigint, '1978-02-23'::timestamp, NULL::bigint, NULL::bigint, NULL::bigint, NULL::bigint,  24000000027401::bigint, NULL::bigint, NULL::bigint, NULL::bigint, 'Perum Pesona Cilebut 2 Blok EB.3 No. 6'::varchar, 13::smallint, 15::smallint);
</v>
      </c>
    </row>
    <row r="236" spans="2:16" x14ac:dyDescent="0.25">
      <c r="B236" s="28">
        <f>[1]DataLookUp!$B236</f>
        <v>25000000000233</v>
      </c>
      <c r="C236" s="29" t="str">
        <f>VLOOKUP(B236, [1]DataLookUp!$B$4:$D$621, 2, FALSE)</f>
        <v>Jodie Satria</v>
      </c>
      <c r="D236" s="29" t="str">
        <f>VLOOKUP(B236, [1]DataLookUp!$B$4:$D$621, 3, FALSE)</f>
        <v/>
      </c>
      <c r="E236" s="40"/>
      <c r="F236" s="45" t="str">
        <f t="shared" si="8"/>
        <v/>
      </c>
      <c r="G236" s="30"/>
      <c r="H236" s="31"/>
      <c r="I236" s="50"/>
      <c r="J236" s="40"/>
      <c r="K236" s="40"/>
      <c r="L236" s="51"/>
      <c r="M236" s="52"/>
      <c r="N236" s="50"/>
      <c r="P236" s="55" t="str">
        <f t="shared" si="7"/>
        <v/>
      </c>
    </row>
    <row r="237" spans="2:16" x14ac:dyDescent="0.25">
      <c r="B237" s="28">
        <f>[1]DataLookUp!$B237</f>
        <v>25000000000234</v>
      </c>
      <c r="C237" s="29" t="str">
        <f>VLOOKUP(B237, [1]DataLookUp!$B$4:$D$621, 2, FALSE)</f>
        <v>Johannes Silalahi</v>
      </c>
      <c r="D237" s="29" t="str">
        <f>VLOOKUP(B237, [1]DataLookUp!$B$4:$D$621, 3, FALSE)</f>
        <v/>
      </c>
      <c r="E237" s="40"/>
      <c r="F237" s="45" t="str">
        <f t="shared" si="8"/>
        <v/>
      </c>
      <c r="G237" s="30"/>
      <c r="H237" s="31"/>
      <c r="I237" s="50"/>
      <c r="J237" s="40"/>
      <c r="K237" s="40"/>
      <c r="L237" s="51"/>
      <c r="M237" s="52"/>
      <c r="N237" s="50"/>
      <c r="P237" s="55" t="str">
        <f t="shared" si="7"/>
        <v/>
      </c>
    </row>
    <row r="238" spans="2:16" x14ac:dyDescent="0.25">
      <c r="B238" s="28">
        <f>[1]DataLookUp!$B238</f>
        <v>25000000000235</v>
      </c>
      <c r="C238" s="29" t="str">
        <f>VLOOKUP(B238, [1]DataLookUp!$B$4:$D$621, 2, FALSE)</f>
        <v>Joko Wiyono</v>
      </c>
      <c r="D238" s="29" t="str">
        <f>VLOOKUP(B238, [1]DataLookUp!$B$4:$D$621, 3, FALSE)</f>
        <v/>
      </c>
      <c r="E238" s="40"/>
      <c r="F238" s="45" t="str">
        <f t="shared" si="8"/>
        <v/>
      </c>
      <c r="G238" s="30"/>
      <c r="H238" s="31"/>
      <c r="I238" s="50"/>
      <c r="J238" s="40"/>
      <c r="K238" s="40"/>
      <c r="L238" s="51"/>
      <c r="M238" s="52"/>
      <c r="N238" s="50"/>
      <c r="P238" s="55" t="str">
        <f t="shared" si="7"/>
        <v/>
      </c>
    </row>
    <row r="239" spans="2:16" x14ac:dyDescent="0.25">
      <c r="B239" s="28">
        <f>[1]DataLookUp!$B239</f>
        <v>25000000000236</v>
      </c>
      <c r="C239" s="29" t="str">
        <f>VLOOKUP(B239, [1]DataLookUp!$B$4:$D$621, 2, FALSE)</f>
        <v>Jondril Hantoni</v>
      </c>
      <c r="D239" s="29" t="str">
        <f>VLOOKUP(B239, [1]DataLookUp!$B$4:$D$621, 3, FALSE)</f>
        <v/>
      </c>
      <c r="E239" s="40"/>
      <c r="F239" s="45" t="str">
        <f t="shared" si="8"/>
        <v/>
      </c>
      <c r="G239" s="30"/>
      <c r="H239" s="31"/>
      <c r="I239" s="50"/>
      <c r="J239" s="40"/>
      <c r="K239" s="40"/>
      <c r="L239" s="51"/>
      <c r="M239" s="52"/>
      <c r="N239" s="50"/>
      <c r="P239" s="55" t="str">
        <f t="shared" si="7"/>
        <v/>
      </c>
    </row>
    <row r="240" spans="2:16" x14ac:dyDescent="0.25">
      <c r="B240" s="28">
        <f>[1]DataLookUp!$B240</f>
        <v>25000000000237</v>
      </c>
      <c r="C240" s="29" t="str">
        <f>VLOOKUP(B240, [1]DataLookUp!$B$4:$D$621, 2, FALSE)</f>
        <v>Jonhar Aziz</v>
      </c>
      <c r="D240" s="29" t="str">
        <f>VLOOKUP(B240, [1]DataLookUp!$B$4:$D$621, 3, FALSE)</f>
        <v/>
      </c>
      <c r="E240" s="40"/>
      <c r="F240" s="45" t="str">
        <f t="shared" si="8"/>
        <v/>
      </c>
      <c r="G240" s="30"/>
      <c r="H240" s="31"/>
      <c r="I240" s="50"/>
      <c r="J240" s="40"/>
      <c r="K240" s="40"/>
      <c r="L240" s="51"/>
      <c r="M240" s="52"/>
      <c r="N240" s="50"/>
      <c r="P240" s="55" t="str">
        <f t="shared" si="7"/>
        <v/>
      </c>
    </row>
    <row r="241" spans="2:16" x14ac:dyDescent="0.25">
      <c r="B241" s="28">
        <f>[1]DataLookUp!$B241</f>
        <v>25000000000238</v>
      </c>
      <c r="C241" s="29" t="str">
        <f>VLOOKUP(B241, [1]DataLookUp!$B$4:$D$621, 2, FALSE)</f>
        <v>Juan Talitha</v>
      </c>
      <c r="D241" s="29" t="str">
        <f>VLOOKUP(B241, [1]DataLookUp!$B$4:$D$621, 3, FALSE)</f>
        <v/>
      </c>
      <c r="E241" s="40"/>
      <c r="F241" s="45" t="str">
        <f t="shared" si="8"/>
        <v/>
      </c>
      <c r="G241" s="30"/>
      <c r="H241" s="31"/>
      <c r="I241" s="50"/>
      <c r="J241" s="40"/>
      <c r="K241" s="40"/>
      <c r="L241" s="51"/>
      <c r="M241" s="52"/>
      <c r="N241" s="50"/>
      <c r="P241" s="55" t="str">
        <f t="shared" si="7"/>
        <v/>
      </c>
    </row>
    <row r="242" spans="2:16" x14ac:dyDescent="0.25">
      <c r="B242" s="28">
        <f>[1]DataLookUp!$B242</f>
        <v>25000000000239</v>
      </c>
      <c r="C242" s="29" t="str">
        <f>VLOOKUP(B242, [1]DataLookUp!$B$4:$D$621, 2, FALSE)</f>
        <v>Juharja Juharja</v>
      </c>
      <c r="D242" s="29" t="str">
        <f>VLOOKUP(B242, [1]DataLookUp!$B$4:$D$621, 3, FALSE)</f>
        <v/>
      </c>
      <c r="E242" s="40"/>
      <c r="F242" s="45" t="str">
        <f t="shared" si="8"/>
        <v/>
      </c>
      <c r="G242" s="30"/>
      <c r="H242" s="31"/>
      <c r="I242" s="50"/>
      <c r="J242" s="40"/>
      <c r="K242" s="40"/>
      <c r="L242" s="51"/>
      <c r="M242" s="52"/>
      <c r="N242" s="50"/>
      <c r="P242" s="55" t="str">
        <f t="shared" si="7"/>
        <v/>
      </c>
    </row>
    <row r="243" spans="2:16" x14ac:dyDescent="0.25">
      <c r="B243" s="28">
        <f>[1]DataLookUp!$B243</f>
        <v>25000000000240</v>
      </c>
      <c r="C243" s="29" t="str">
        <f>VLOOKUP(B243, [1]DataLookUp!$B$4:$D$621, 2, FALSE)</f>
        <v>Juminar</v>
      </c>
      <c r="D243" s="29" t="str">
        <f>VLOOKUP(B243, [1]DataLookUp!$B$4:$D$621, 3, FALSE)</f>
        <v/>
      </c>
      <c r="E243" s="40"/>
      <c r="F243" s="45" t="str">
        <f t="shared" si="8"/>
        <v/>
      </c>
      <c r="G243" s="30"/>
      <c r="H243" s="31"/>
      <c r="I243" s="50"/>
      <c r="J243" s="40"/>
      <c r="K243" s="40"/>
      <c r="L243" s="51"/>
      <c r="M243" s="52"/>
      <c r="N243" s="50"/>
      <c r="P243" s="55" t="str">
        <f t="shared" si="7"/>
        <v/>
      </c>
    </row>
    <row r="244" spans="2:16" x14ac:dyDescent="0.25">
      <c r="B244" s="28">
        <f>[1]DataLookUp!$B244</f>
        <v>25000000000241</v>
      </c>
      <c r="C244" s="29" t="str">
        <f>VLOOKUP(B244, [1]DataLookUp!$B$4:$D$621, 2, FALSE)</f>
        <v>Jumino</v>
      </c>
      <c r="D244" s="29" t="str">
        <f>VLOOKUP(B244, [1]DataLookUp!$B$4:$D$621, 3, FALSE)</f>
        <v/>
      </c>
      <c r="E244" s="40"/>
      <c r="F244" s="45" t="str">
        <f t="shared" si="8"/>
        <v/>
      </c>
      <c r="G244" s="30"/>
      <c r="H244" s="31"/>
      <c r="I244" s="50"/>
      <c r="J244" s="40"/>
      <c r="K244" s="40"/>
      <c r="L244" s="51"/>
      <c r="M244" s="52"/>
      <c r="N244" s="50"/>
      <c r="P244" s="55" t="str">
        <f t="shared" si="7"/>
        <v/>
      </c>
    </row>
    <row r="245" spans="2:16" x14ac:dyDescent="0.25">
      <c r="B245" s="28">
        <f>[1]DataLookUp!$B245</f>
        <v>25000000000242</v>
      </c>
      <c r="C245" s="29" t="str">
        <f>VLOOKUP(B245, [1]DataLookUp!$B$4:$D$621, 2, FALSE)</f>
        <v>Junaedi</v>
      </c>
      <c r="D245" s="29" t="str">
        <f>VLOOKUP(B245, [1]DataLookUp!$B$4:$D$621, 3, FALSE)</f>
        <v/>
      </c>
      <c r="E245" s="40"/>
      <c r="F245" s="45" t="str">
        <f t="shared" si="8"/>
        <v/>
      </c>
      <c r="G245" s="30"/>
      <c r="H245" s="31"/>
      <c r="I245" s="50"/>
      <c r="J245" s="40"/>
      <c r="K245" s="40"/>
      <c r="L245" s="51"/>
      <c r="M245" s="52"/>
      <c r="N245" s="50"/>
      <c r="P245" s="55" t="str">
        <f t="shared" si="7"/>
        <v/>
      </c>
    </row>
    <row r="246" spans="2:16" x14ac:dyDescent="0.25">
      <c r="B246" s="28">
        <f>[1]DataLookUp!$B246</f>
        <v>25000000000243</v>
      </c>
      <c r="C246" s="29" t="str">
        <f>VLOOKUP(B246, [1]DataLookUp!$B$4:$D$621, 2, FALSE)</f>
        <v>Junaidi</v>
      </c>
      <c r="D246" s="29" t="str">
        <f>VLOOKUP(B246, [1]DataLookUp!$B$4:$D$621, 3, FALSE)</f>
        <v/>
      </c>
      <c r="E246" s="40"/>
      <c r="F246" s="45" t="str">
        <f t="shared" si="8"/>
        <v/>
      </c>
      <c r="G246" s="30"/>
      <c r="H246" s="31"/>
      <c r="I246" s="50"/>
      <c r="J246" s="40"/>
      <c r="K246" s="40"/>
      <c r="L246" s="51"/>
      <c r="M246" s="52"/>
      <c r="N246" s="50"/>
      <c r="P246" s="55" t="str">
        <f t="shared" si="7"/>
        <v/>
      </c>
    </row>
    <row r="247" spans="2:16" x14ac:dyDescent="0.25">
      <c r="B247" s="28">
        <f>[1]DataLookUp!$B247</f>
        <v>25000000000244</v>
      </c>
      <c r="C247" s="29" t="str">
        <f>VLOOKUP(B247, [1]DataLookUp!$B$4:$D$621, 2, FALSE)</f>
        <v>Jusuf Bobby Putra</v>
      </c>
      <c r="D247" s="29" t="str">
        <f>VLOOKUP(B247, [1]DataLookUp!$B$4:$D$621, 3, FALSE)</f>
        <v/>
      </c>
      <c r="E247" s="40"/>
      <c r="F247" s="45" t="str">
        <f t="shared" si="8"/>
        <v/>
      </c>
      <c r="G247" s="30"/>
      <c r="H247" s="31"/>
      <c r="I247" s="50"/>
      <c r="J247" s="40"/>
      <c r="K247" s="40"/>
      <c r="L247" s="51"/>
      <c r="M247" s="52"/>
      <c r="N247" s="50"/>
      <c r="P247" s="55" t="str">
        <f t="shared" si="7"/>
        <v/>
      </c>
    </row>
    <row r="248" spans="2:16" x14ac:dyDescent="0.25">
      <c r="B248" s="28">
        <f>[1]DataLookUp!$B248</f>
        <v>25000000000245</v>
      </c>
      <c r="C248" s="29" t="str">
        <f>VLOOKUP(B248, [1]DataLookUp!$B$4:$D$621, 2, FALSE)</f>
        <v>Jusuf Gandi</v>
      </c>
      <c r="D248" s="29" t="str">
        <f>VLOOKUP(B248, [1]DataLookUp!$B$4:$D$621, 3, FALSE)</f>
        <v/>
      </c>
      <c r="E248" s="40"/>
      <c r="F248" s="45" t="str">
        <f t="shared" si="8"/>
        <v/>
      </c>
      <c r="G248" s="30"/>
      <c r="H248" s="31"/>
      <c r="I248" s="50"/>
      <c r="J248" s="40"/>
      <c r="K248" s="40"/>
      <c r="L248" s="51"/>
      <c r="M248" s="52"/>
      <c r="N248" s="50"/>
      <c r="P248" s="55" t="str">
        <f t="shared" si="7"/>
        <v/>
      </c>
    </row>
    <row r="249" spans="2:16" x14ac:dyDescent="0.25">
      <c r="B249" s="28">
        <f>[1]DataLookUp!$B249</f>
        <v>25000000000246</v>
      </c>
      <c r="C249" s="29" t="str">
        <f>VLOOKUP(B249, [1]DataLookUp!$B$4:$D$621, 2, FALSE)</f>
        <v>Kahar Triyono</v>
      </c>
      <c r="D249" s="29" t="str">
        <f>VLOOKUP(B249, [1]DataLookUp!$B$4:$D$621, 3, FALSE)</f>
        <v/>
      </c>
      <c r="E249" s="40"/>
      <c r="F249" s="45" t="str">
        <f t="shared" si="8"/>
        <v/>
      </c>
      <c r="G249" s="30"/>
      <c r="H249" s="31"/>
      <c r="I249" s="50"/>
      <c r="J249" s="40"/>
      <c r="K249" s="40"/>
      <c r="L249" s="51"/>
      <c r="M249" s="52"/>
      <c r="N249" s="50"/>
      <c r="P249" s="55" t="str">
        <f t="shared" si="7"/>
        <v/>
      </c>
    </row>
    <row r="250" spans="2:16" x14ac:dyDescent="0.25">
      <c r="B250" s="28">
        <f>[1]DataLookUp!$B250</f>
        <v>25000000000247</v>
      </c>
      <c r="C250" s="29" t="str">
        <f>VLOOKUP(B250, [1]DataLookUp!$B$4:$D$621, 2, FALSE)</f>
        <v>Keila</v>
      </c>
      <c r="D250" s="29" t="str">
        <f>VLOOKUP(B250, [1]DataLookUp!$B$4:$D$621, 3, FALSE)</f>
        <v/>
      </c>
      <c r="E250" s="40"/>
      <c r="F250" s="45" t="str">
        <f t="shared" si="8"/>
        <v/>
      </c>
      <c r="G250" s="30"/>
      <c r="H250" s="31"/>
      <c r="I250" s="50"/>
      <c r="J250" s="40"/>
      <c r="K250" s="40"/>
      <c r="L250" s="51"/>
      <c r="M250" s="52"/>
      <c r="N250" s="50"/>
      <c r="P250" s="55" t="str">
        <f t="shared" si="7"/>
        <v/>
      </c>
    </row>
    <row r="251" spans="2:16" x14ac:dyDescent="0.25">
      <c r="B251" s="28">
        <f>[1]DataLookUp!$B251</f>
        <v>25000000000248</v>
      </c>
      <c r="C251" s="29" t="str">
        <f>VLOOKUP(B251, [1]DataLookUp!$B$4:$D$621, 2, FALSE)</f>
        <v>Kendra Daniswara</v>
      </c>
      <c r="D251" s="29" t="str">
        <f>VLOOKUP(B251, [1]DataLookUp!$B$4:$D$621, 3, FALSE)</f>
        <v/>
      </c>
      <c r="E251" s="40"/>
      <c r="F251" s="45" t="str">
        <f t="shared" si="8"/>
        <v/>
      </c>
      <c r="G251" s="30"/>
      <c r="H251" s="31"/>
      <c r="I251" s="50"/>
      <c r="J251" s="40"/>
      <c r="K251" s="40"/>
      <c r="L251" s="51"/>
      <c r="M251" s="52"/>
      <c r="N251" s="50"/>
      <c r="P251" s="55" t="str">
        <f t="shared" si="7"/>
        <v/>
      </c>
    </row>
    <row r="252" spans="2:16" x14ac:dyDescent="0.25">
      <c r="B252" s="28">
        <f>[1]DataLookUp!$B252</f>
        <v>25000000000249</v>
      </c>
      <c r="C252" s="29" t="str">
        <f>VLOOKUP(B252, [1]DataLookUp!$B$4:$D$621, 2, FALSE)</f>
        <v>Kevin Henokh Tambunan</v>
      </c>
      <c r="D252" s="29" t="str">
        <f>VLOOKUP(B252, [1]DataLookUp!$B$4:$D$621, 3, FALSE)</f>
        <v/>
      </c>
      <c r="E252" s="40"/>
      <c r="F252" s="45" t="str">
        <f t="shared" si="8"/>
        <v/>
      </c>
      <c r="G252" s="30"/>
      <c r="H252" s="31"/>
      <c r="I252" s="50"/>
      <c r="J252" s="40"/>
      <c r="K252" s="40"/>
      <c r="L252" s="51"/>
      <c r="M252" s="52"/>
      <c r="N252" s="50"/>
      <c r="P252" s="55" t="str">
        <f t="shared" si="7"/>
        <v/>
      </c>
    </row>
    <row r="253" spans="2:16" x14ac:dyDescent="0.25">
      <c r="B253" s="28">
        <f>[1]DataLookUp!$B253</f>
        <v>25000000000250</v>
      </c>
      <c r="C253" s="29" t="str">
        <f>VLOOKUP(B253, [1]DataLookUp!$B$4:$D$621, 2, FALSE)</f>
        <v>Khafid Fahrurrozi</v>
      </c>
      <c r="D253" s="29" t="str">
        <f>VLOOKUP(B253, [1]DataLookUp!$B$4:$D$621, 3, FALSE)</f>
        <v/>
      </c>
      <c r="E253" s="40"/>
      <c r="F253" s="45" t="str">
        <f t="shared" si="8"/>
        <v/>
      </c>
      <c r="G253" s="30"/>
      <c r="H253" s="31"/>
      <c r="I253" s="50"/>
      <c r="J253" s="40"/>
      <c r="K253" s="40"/>
      <c r="L253" s="51"/>
      <c r="M253" s="52"/>
      <c r="N253" s="50"/>
      <c r="P253" s="55" t="str">
        <f t="shared" si="7"/>
        <v/>
      </c>
    </row>
    <row r="254" spans="2:16" x14ac:dyDescent="0.25">
      <c r="B254" s="28">
        <f>[1]DataLookUp!$B254</f>
        <v>25000000000251</v>
      </c>
      <c r="C254" s="29" t="str">
        <f>VLOOKUP(B254, [1]DataLookUp!$B$4:$D$621, 2, FALSE)</f>
        <v>Kholik</v>
      </c>
      <c r="D254" s="29" t="str">
        <f>VLOOKUP(B254, [1]DataLookUp!$B$4:$D$621, 3, FALSE)</f>
        <v/>
      </c>
      <c r="E254" s="40"/>
      <c r="F254" s="45" t="str">
        <f t="shared" si="8"/>
        <v/>
      </c>
      <c r="G254" s="30"/>
      <c r="H254" s="31"/>
      <c r="I254" s="50"/>
      <c r="J254" s="40"/>
      <c r="K254" s="40"/>
      <c r="L254" s="51"/>
      <c r="M254" s="52"/>
      <c r="N254" s="50"/>
      <c r="P254" s="55" t="str">
        <f t="shared" si="7"/>
        <v/>
      </c>
    </row>
    <row r="255" spans="2:16" x14ac:dyDescent="0.25">
      <c r="B255" s="28">
        <f>[1]DataLookUp!$B255</f>
        <v>25000000000252</v>
      </c>
      <c r="C255" s="29" t="str">
        <f>VLOOKUP(B255, [1]DataLookUp!$B$4:$D$621, 2, FALSE)</f>
        <v>Kiki Mustikawati</v>
      </c>
      <c r="D255" s="29" t="str">
        <f>VLOOKUP(B255, [1]DataLookUp!$B$4:$D$621, 3, FALSE)</f>
        <v/>
      </c>
      <c r="E255" s="40"/>
      <c r="F255" s="45" t="str">
        <f t="shared" si="8"/>
        <v/>
      </c>
      <c r="G255" s="30"/>
      <c r="H255" s="31"/>
      <c r="I255" s="50"/>
      <c r="J255" s="40"/>
      <c r="K255" s="40"/>
      <c r="L255" s="51"/>
      <c r="M255" s="52"/>
      <c r="N255" s="50"/>
      <c r="P255" s="55" t="str">
        <f t="shared" si="7"/>
        <v/>
      </c>
    </row>
    <row r="256" spans="2:16" x14ac:dyDescent="0.25">
      <c r="B256" s="28">
        <f>[1]DataLookUp!$B256</f>
        <v>25000000000253</v>
      </c>
      <c r="C256" s="29" t="str">
        <f>VLOOKUP(B256, [1]DataLookUp!$B$4:$D$621, 2, FALSE)</f>
        <v>Kornelius Sakan</v>
      </c>
      <c r="D256" s="29" t="str">
        <f>VLOOKUP(B256, [1]DataLookUp!$B$4:$D$621, 3, FALSE)</f>
        <v>3671130303690004</v>
      </c>
      <c r="E256" s="40" t="s">
        <v>179</v>
      </c>
      <c r="F256" s="45">
        <f t="shared" si="8"/>
        <v>156000000000001</v>
      </c>
      <c r="G256" s="30" t="s">
        <v>30</v>
      </c>
      <c r="H256" s="31">
        <v>25265</v>
      </c>
      <c r="I256" s="50" t="s">
        <v>233</v>
      </c>
      <c r="J256" s="40" t="s">
        <v>204</v>
      </c>
      <c r="K256" s="40" t="s">
        <v>188</v>
      </c>
      <c r="L256" s="51" t="s">
        <v>232</v>
      </c>
      <c r="M256" s="52">
        <v>24000000026292</v>
      </c>
      <c r="N256" s="50"/>
      <c r="P256" s="55" t="str">
        <f t="shared" si="7"/>
        <v xml:space="preserve">PERFORM "SchData-OLTP-Master"."Func_TblCitizenIdentity_SET"(varSystemLoginSession, null, null, null, varInstitutionBranchID, 25000000000253::bigint, 'Kornelius Sakan'::varchar, '3671130303690004'::varchar, 156000000000001::bigint, NULL::bigint, '1969-03-03'::timestamp, NULL::bigint, NULL::bigint, NULL::bigint, NULL::bigint,  24000000026292::bigint, NULL::bigint, NULL::bigint, NULL::bigint, 'Jl. K.H. Wahid Hasim Gg. Muha No. 52'::varchar, 4::smallint, 6::smallint);
</v>
      </c>
    </row>
    <row r="257" spans="2:16" x14ac:dyDescent="0.25">
      <c r="B257" s="28">
        <f>[1]DataLookUp!$B257</f>
        <v>25000000000254</v>
      </c>
      <c r="C257" s="29" t="str">
        <f>VLOOKUP(B257, [1]DataLookUp!$B$4:$D$621, 2, FALSE)</f>
        <v>Kosasih</v>
      </c>
      <c r="D257" s="29" t="str">
        <f>VLOOKUP(B257, [1]DataLookUp!$B$4:$D$621, 3, FALSE)</f>
        <v/>
      </c>
      <c r="E257" s="40"/>
      <c r="F257" s="45" t="str">
        <f t="shared" si="8"/>
        <v/>
      </c>
      <c r="G257" s="30"/>
      <c r="H257" s="31"/>
      <c r="I257" s="50"/>
      <c r="J257" s="40"/>
      <c r="K257" s="40"/>
      <c r="L257" s="51"/>
      <c r="M257" s="52"/>
      <c r="N257" s="50"/>
      <c r="P257" s="55" t="str">
        <f t="shared" si="7"/>
        <v/>
      </c>
    </row>
    <row r="258" spans="2:16" x14ac:dyDescent="0.25">
      <c r="B258" s="28">
        <f>[1]DataLookUp!$B258</f>
        <v>25000000000255</v>
      </c>
      <c r="C258" s="29" t="str">
        <f>VLOOKUP(B258, [1]DataLookUp!$B$4:$D$621, 2, FALSE)</f>
        <v>Krisnawan</v>
      </c>
      <c r="D258" s="29" t="str">
        <f>VLOOKUP(B258, [1]DataLookUp!$B$4:$D$621, 3, FALSE)</f>
        <v/>
      </c>
      <c r="E258" s="40"/>
      <c r="F258" s="45" t="str">
        <f t="shared" si="8"/>
        <v/>
      </c>
      <c r="G258" s="30"/>
      <c r="H258" s="31"/>
      <c r="I258" s="50"/>
      <c r="J258" s="40"/>
      <c r="K258" s="40"/>
      <c r="L258" s="51"/>
      <c r="M258" s="52"/>
      <c r="N258" s="50"/>
      <c r="P258" s="55" t="str">
        <f t="shared" si="7"/>
        <v/>
      </c>
    </row>
    <row r="259" spans="2:16" x14ac:dyDescent="0.25">
      <c r="B259" s="28">
        <f>[1]DataLookUp!$B259</f>
        <v>25000000000256</v>
      </c>
      <c r="C259" s="29" t="str">
        <f>VLOOKUP(B259, [1]DataLookUp!$B$4:$D$621, 2, FALSE)</f>
        <v>Kurniadi</v>
      </c>
      <c r="D259" s="29" t="str">
        <f>VLOOKUP(B259, [1]DataLookUp!$B$4:$D$621, 3, FALSE)</f>
        <v/>
      </c>
      <c r="E259" s="40"/>
      <c r="F259" s="45" t="str">
        <f t="shared" si="8"/>
        <v/>
      </c>
      <c r="G259" s="30"/>
      <c r="H259" s="31"/>
      <c r="I259" s="50"/>
      <c r="J259" s="40"/>
      <c r="K259" s="40"/>
      <c r="L259" s="51"/>
      <c r="M259" s="52"/>
      <c r="N259" s="50"/>
      <c r="P259" s="55" t="str">
        <f t="shared" si="7"/>
        <v/>
      </c>
    </row>
    <row r="260" spans="2:16" x14ac:dyDescent="0.25">
      <c r="B260" s="28">
        <f>[1]DataLookUp!$B260</f>
        <v>25000000000257</v>
      </c>
      <c r="C260" s="29" t="str">
        <f>VLOOKUP(B260, [1]DataLookUp!$B$4:$D$621, 2, FALSE)</f>
        <v>Kurniawan</v>
      </c>
      <c r="D260" s="29" t="str">
        <f>VLOOKUP(B260, [1]DataLookUp!$B$4:$D$621, 3, FALSE)</f>
        <v/>
      </c>
      <c r="E260" s="40"/>
      <c r="F260" s="45" t="str">
        <f t="shared" si="8"/>
        <v/>
      </c>
      <c r="G260" s="30"/>
      <c r="H260" s="31"/>
      <c r="I260" s="50"/>
      <c r="J260" s="40"/>
      <c r="K260" s="40"/>
      <c r="L260" s="51"/>
      <c r="M260" s="52"/>
      <c r="N260" s="50"/>
      <c r="P260" s="55" t="str">
        <f t="shared" si="7"/>
        <v/>
      </c>
    </row>
    <row r="261" spans="2:16" x14ac:dyDescent="0.25">
      <c r="B261" s="28">
        <f>[1]DataLookUp!$B261</f>
        <v>25000000000258</v>
      </c>
      <c r="C261" s="29" t="str">
        <f>VLOOKUP(B261, [1]DataLookUp!$B$4:$D$621, 2, FALSE)</f>
        <v>Laode</v>
      </c>
      <c r="D261" s="29" t="str">
        <f>VLOOKUP(B261, [1]DataLookUp!$B$4:$D$621, 3, FALSE)</f>
        <v/>
      </c>
      <c r="E261" s="40"/>
      <c r="F261" s="45" t="str">
        <f t="shared" si="8"/>
        <v/>
      </c>
      <c r="G261" s="30"/>
      <c r="H261" s="31"/>
      <c r="I261" s="50"/>
      <c r="J261" s="40"/>
      <c r="K261" s="40"/>
      <c r="L261" s="51"/>
      <c r="M261" s="52"/>
      <c r="N261" s="50"/>
      <c r="P261" s="55" t="str">
        <f t="shared" ref="P261:P324" si="9">IF(EXACT(D261, ""), "", CONCATENATE("PERFORM ""SchData-OLTP-Master"".""Func_TblCitizenIdentity_SET""(varSystemLoginSession, null, null, null, varInstitutionBranchID, ",  IF(EXACT(B261, ""), "NULL", B261), "::bigint, '", C261, "'::varchar, '", D261, "'::varchar, ", IF(EXACT(F261, ""), "NULL", F261), "::bigint, ", "NULL", "::bigint, '", TEXT(H261, "YYYY-MM-DD"), "'::timestamp, ", "NULL", "::bigint, ", "NULL", "::bigint, ", "NULL", "::bigint, ", "NULL", "::bigint,  ", IF(EXACT(M261, ""), "NULL", M261), "::bigint, ", "NULL", "::bigint, ", "NULL", "::bigint, ", "NULL", "::bigint, '", CONCATENATE(I261, IF(EXACT(M261, ""), " "&amp;L261, "")), "'::varchar, ", IF(EXACT(J261, ""), "NULL", J261*1), "::smallint, ", IF(EXACT(K261, ""), "NULL", K261*1), "::smallint);
"))</f>
        <v/>
      </c>
    </row>
    <row r="262" spans="2:16" x14ac:dyDescent="0.25">
      <c r="B262" s="28">
        <f>[1]DataLookUp!$B262</f>
        <v>25000000000259</v>
      </c>
      <c r="C262" s="29" t="str">
        <f>VLOOKUP(B262, [1]DataLookUp!$B$4:$D$621, 2, FALSE)</f>
        <v>Leo Nababan</v>
      </c>
      <c r="D262" s="29" t="str">
        <f>VLOOKUP(B262, [1]DataLookUp!$B$4:$D$621, 3, FALSE)</f>
        <v/>
      </c>
      <c r="E262" s="40"/>
      <c r="F262" s="45" t="str">
        <f t="shared" si="8"/>
        <v/>
      </c>
      <c r="G262" s="30"/>
      <c r="H262" s="31"/>
      <c r="I262" s="50"/>
      <c r="J262" s="40"/>
      <c r="K262" s="40"/>
      <c r="L262" s="51"/>
      <c r="M262" s="52"/>
      <c r="N262" s="50"/>
      <c r="P262" s="55" t="str">
        <f t="shared" si="9"/>
        <v/>
      </c>
    </row>
    <row r="263" spans="2:16" x14ac:dyDescent="0.25">
      <c r="B263" s="28">
        <f>[1]DataLookUp!$B263</f>
        <v>25000000000260</v>
      </c>
      <c r="C263" s="29" t="str">
        <f>VLOOKUP(B263, [1]DataLookUp!$B$4:$D$621, 2, FALSE)</f>
        <v>Liani Atmaningrum</v>
      </c>
      <c r="D263" s="29" t="str">
        <f>VLOOKUP(B263, [1]DataLookUp!$B$4:$D$621, 3, FALSE)</f>
        <v/>
      </c>
      <c r="E263" s="40"/>
      <c r="F263" s="45" t="str">
        <f t="shared" si="8"/>
        <v/>
      </c>
      <c r="G263" s="30"/>
      <c r="H263" s="31"/>
      <c r="I263" s="50"/>
      <c r="J263" s="40"/>
      <c r="K263" s="40"/>
      <c r="L263" s="51"/>
      <c r="M263" s="52"/>
      <c r="N263" s="50"/>
      <c r="P263" s="55" t="str">
        <f t="shared" si="9"/>
        <v/>
      </c>
    </row>
    <row r="264" spans="2:16" x14ac:dyDescent="0.25">
      <c r="B264" s="28">
        <f>[1]DataLookUp!$B264</f>
        <v>25000000000261</v>
      </c>
      <c r="C264" s="29" t="str">
        <f>VLOOKUP(B264, [1]DataLookUp!$B$4:$D$621, 2, FALSE)</f>
        <v>Liaseptriani Liaseptriani</v>
      </c>
      <c r="D264" s="29" t="str">
        <f>VLOOKUP(B264, [1]DataLookUp!$B$4:$D$621, 3, FALSE)</f>
        <v/>
      </c>
      <c r="E264" s="40"/>
      <c r="F264" s="45" t="str">
        <f t="shared" si="8"/>
        <v/>
      </c>
      <c r="G264" s="30"/>
      <c r="H264" s="31"/>
      <c r="I264" s="50"/>
      <c r="J264" s="40"/>
      <c r="K264" s="40"/>
      <c r="L264" s="51"/>
      <c r="M264" s="52"/>
      <c r="N264" s="50"/>
      <c r="P264" s="55" t="str">
        <f t="shared" si="9"/>
        <v/>
      </c>
    </row>
    <row r="265" spans="2:16" ht="25.5" x14ac:dyDescent="0.25">
      <c r="B265" s="28">
        <f>[1]DataLookUp!$B265</f>
        <v>25000000000262</v>
      </c>
      <c r="C265" s="29" t="str">
        <f>VLOOKUP(B265, [1]DataLookUp!$B$4:$D$621, 2, FALSE)</f>
        <v>Lisma Natalia</v>
      </c>
      <c r="D265" s="29" t="str">
        <f>VLOOKUP(B265, [1]DataLookUp!$B$4:$D$621, 3, FALSE)</f>
        <v>3175085112800001</v>
      </c>
      <c r="E265" s="40" t="s">
        <v>180</v>
      </c>
      <c r="F265" s="45">
        <f t="shared" si="8"/>
        <v>156000000000002</v>
      </c>
      <c r="G265" s="30" t="s">
        <v>29</v>
      </c>
      <c r="H265" s="31">
        <v>29566</v>
      </c>
      <c r="I265" s="51" t="s">
        <v>235</v>
      </c>
      <c r="J265" s="40"/>
      <c r="K265" s="40"/>
      <c r="L265" s="51" t="s">
        <v>234</v>
      </c>
      <c r="M265" s="52">
        <v>24000000032062</v>
      </c>
      <c r="N265" s="50"/>
      <c r="P265" s="55" t="str">
        <f t="shared" si="9"/>
        <v xml:space="preserve">PERFORM "SchData-OLTP-Master"."Func_TblCitizenIdentity_SET"(varSystemLoginSession, null, null, null, varInstitutionBranchID, 25000000000262::bigint, 'Lisma Natalia'::varchar, '3175085112800001'::varchar, 156000000000002::bigint, NULL::bigint, '1980-12-11'::timestamp, NULL::bigint, NULL::bigint, NULL::bigint, NULL::bigint,  24000000032062::bigint, NULL::bigint, NULL::bigint, NULL::bigint, 'Jl. Caman Raya Gg. Masjid Al Ihsan Perum. Green Palace No. B2'::varchar, NULL::smallint, NULL::smallint);
</v>
      </c>
    </row>
    <row r="266" spans="2:16" x14ac:dyDescent="0.25">
      <c r="B266" s="28">
        <f>[1]DataLookUp!$B266</f>
        <v>25000000000263</v>
      </c>
      <c r="C266" s="29" t="str">
        <f>VLOOKUP(B266, [1]DataLookUp!$B$4:$D$621, 2, FALSE)</f>
        <v>Listyo Hartanto</v>
      </c>
      <c r="D266" s="29" t="str">
        <f>VLOOKUP(B266, [1]DataLookUp!$B$4:$D$621, 3, FALSE)</f>
        <v/>
      </c>
      <c r="E266" s="40"/>
      <c r="F266" s="45" t="str">
        <f t="shared" si="8"/>
        <v/>
      </c>
      <c r="G266" s="30"/>
      <c r="H266" s="31"/>
      <c r="I266" s="50"/>
      <c r="J266" s="40"/>
      <c r="K266" s="40"/>
      <c r="L266" s="51"/>
      <c r="M266" s="52"/>
      <c r="N266" s="50"/>
      <c r="P266" s="55" t="str">
        <f t="shared" si="9"/>
        <v/>
      </c>
    </row>
    <row r="267" spans="2:16" x14ac:dyDescent="0.25">
      <c r="B267" s="28">
        <f>[1]DataLookUp!$B267</f>
        <v>25000000000264</v>
      </c>
      <c r="C267" s="29" t="str">
        <f>VLOOKUP(B267, [1]DataLookUp!$B$4:$D$621, 2, FALSE)</f>
        <v>M. Ari Ardizah Nasution</v>
      </c>
      <c r="D267" s="29" t="str">
        <f>VLOOKUP(B267, [1]DataLookUp!$B$4:$D$621, 3, FALSE)</f>
        <v/>
      </c>
      <c r="E267" s="40"/>
      <c r="F267" s="45" t="str">
        <f t="shared" ref="F267:F330" si="10">IF(EXACT(E267, ""), "", IF(EXACT(E267, "L"), 156000000000001, 156000000000002))</f>
        <v/>
      </c>
      <c r="G267" s="30"/>
      <c r="H267" s="31"/>
      <c r="I267" s="50"/>
      <c r="J267" s="40"/>
      <c r="K267" s="40"/>
      <c r="L267" s="51"/>
      <c r="M267" s="52"/>
      <c r="N267" s="50"/>
      <c r="P267" s="55" t="str">
        <f t="shared" si="9"/>
        <v/>
      </c>
    </row>
    <row r="268" spans="2:16" x14ac:dyDescent="0.25">
      <c r="B268" s="28">
        <f>[1]DataLookUp!$B268</f>
        <v>25000000000265</v>
      </c>
      <c r="C268" s="29" t="str">
        <f>VLOOKUP(B268, [1]DataLookUp!$B$4:$D$621, 2, FALSE)</f>
        <v>M. Denny  Micrazudin</v>
      </c>
      <c r="D268" s="29" t="str">
        <f>VLOOKUP(B268, [1]DataLookUp!$B$4:$D$621, 3, FALSE)</f>
        <v/>
      </c>
      <c r="E268" s="40"/>
      <c r="F268" s="45" t="str">
        <f t="shared" si="10"/>
        <v/>
      </c>
      <c r="G268" s="30"/>
      <c r="H268" s="31"/>
      <c r="I268" s="50"/>
      <c r="J268" s="40"/>
      <c r="K268" s="40"/>
      <c r="L268" s="51"/>
      <c r="M268" s="52"/>
      <c r="N268" s="50"/>
      <c r="P268" s="55" t="str">
        <f t="shared" si="9"/>
        <v/>
      </c>
    </row>
    <row r="269" spans="2:16" x14ac:dyDescent="0.25">
      <c r="B269" s="28">
        <f>[1]DataLookUp!$B269</f>
        <v>25000000000266</v>
      </c>
      <c r="C269" s="29" t="str">
        <f>VLOOKUP(B269, [1]DataLookUp!$B$4:$D$621, 2, FALSE)</f>
        <v>M. Ridho Pramudia</v>
      </c>
      <c r="D269" s="29" t="str">
        <f>VLOOKUP(B269, [1]DataLookUp!$B$4:$D$621, 3, FALSE)</f>
        <v/>
      </c>
      <c r="E269" s="40"/>
      <c r="F269" s="45" t="str">
        <f t="shared" si="10"/>
        <v/>
      </c>
      <c r="G269" s="30"/>
      <c r="H269" s="31"/>
      <c r="I269" s="50"/>
      <c r="J269" s="40"/>
      <c r="K269" s="40"/>
      <c r="L269" s="51"/>
      <c r="M269" s="52"/>
      <c r="N269" s="50"/>
      <c r="P269" s="55" t="str">
        <f t="shared" si="9"/>
        <v/>
      </c>
    </row>
    <row r="270" spans="2:16" x14ac:dyDescent="0.25">
      <c r="B270" s="28">
        <f>[1]DataLookUp!$B270</f>
        <v>25000000000267</v>
      </c>
      <c r="C270" s="29" t="str">
        <f>VLOOKUP(B270, [1]DataLookUp!$B$4:$D$621, 2, FALSE)</f>
        <v>M. Rusdi</v>
      </c>
      <c r="D270" s="29" t="str">
        <f>VLOOKUP(B270, [1]DataLookUp!$B$4:$D$621, 3, FALSE)</f>
        <v/>
      </c>
      <c r="E270" s="40"/>
      <c r="F270" s="45" t="str">
        <f t="shared" si="10"/>
        <v/>
      </c>
      <c r="G270" s="30"/>
      <c r="H270" s="31"/>
      <c r="I270" s="50"/>
      <c r="J270" s="40"/>
      <c r="K270" s="40"/>
      <c r="L270" s="51"/>
      <c r="M270" s="52"/>
      <c r="N270" s="50"/>
      <c r="P270" s="55" t="str">
        <f t="shared" si="9"/>
        <v/>
      </c>
    </row>
    <row r="271" spans="2:16" x14ac:dyDescent="0.25">
      <c r="B271" s="28">
        <f>[1]DataLookUp!$B271</f>
        <v>25000000000268</v>
      </c>
      <c r="C271" s="29" t="str">
        <f>VLOOKUP(B271, [1]DataLookUp!$B$4:$D$621, 2, FALSE)</f>
        <v>M. Ervan Isyawal Akbar</v>
      </c>
      <c r="D271" s="29" t="str">
        <f>VLOOKUP(B271, [1]DataLookUp!$B$4:$D$621, 3, FALSE)</f>
        <v/>
      </c>
      <c r="E271" s="40"/>
      <c r="F271" s="45" t="str">
        <f t="shared" si="10"/>
        <v/>
      </c>
      <c r="G271" s="30"/>
      <c r="H271" s="31"/>
      <c r="I271" s="50"/>
      <c r="J271" s="40"/>
      <c r="K271" s="40"/>
      <c r="L271" s="51"/>
      <c r="M271" s="52"/>
      <c r="N271" s="50"/>
      <c r="P271" s="55" t="str">
        <f t="shared" si="9"/>
        <v/>
      </c>
    </row>
    <row r="272" spans="2:16" x14ac:dyDescent="0.25">
      <c r="B272" s="28">
        <f>[1]DataLookUp!$B272</f>
        <v>25000000000269</v>
      </c>
      <c r="C272" s="29" t="str">
        <f>VLOOKUP(B272, [1]DataLookUp!$B$4:$D$621, 2, FALSE)</f>
        <v>Maharani Tanjungsari</v>
      </c>
      <c r="D272" s="29" t="str">
        <f>VLOOKUP(B272, [1]DataLookUp!$B$4:$D$621, 3, FALSE)</f>
        <v/>
      </c>
      <c r="E272" s="40"/>
      <c r="F272" s="45" t="str">
        <f t="shared" si="10"/>
        <v/>
      </c>
      <c r="G272" s="30"/>
      <c r="H272" s="31"/>
      <c r="I272" s="50"/>
      <c r="J272" s="40"/>
      <c r="K272" s="40"/>
      <c r="L272" s="51"/>
      <c r="M272" s="52"/>
      <c r="N272" s="50"/>
      <c r="P272" s="55" t="str">
        <f t="shared" si="9"/>
        <v/>
      </c>
    </row>
    <row r="273" spans="2:16" x14ac:dyDescent="0.25">
      <c r="B273" s="28">
        <f>[1]DataLookUp!$B273</f>
        <v>25000000000270</v>
      </c>
      <c r="C273" s="29" t="str">
        <f>VLOOKUP(B273, [1]DataLookUp!$B$4:$D$621, 2, FALSE)</f>
        <v>Maharani Uthmaniah</v>
      </c>
      <c r="D273" s="29" t="str">
        <f>VLOOKUP(B273, [1]DataLookUp!$B$4:$D$621, 3, FALSE)</f>
        <v/>
      </c>
      <c r="E273" s="40"/>
      <c r="F273" s="45" t="str">
        <f t="shared" si="10"/>
        <v/>
      </c>
      <c r="G273" s="30"/>
      <c r="H273" s="31"/>
      <c r="I273" s="50"/>
      <c r="J273" s="40"/>
      <c r="K273" s="40"/>
      <c r="L273" s="51"/>
      <c r="M273" s="52"/>
      <c r="N273" s="50"/>
      <c r="P273" s="55" t="str">
        <f t="shared" si="9"/>
        <v/>
      </c>
    </row>
    <row r="274" spans="2:16" x14ac:dyDescent="0.25">
      <c r="B274" s="28">
        <f>[1]DataLookUp!$B274</f>
        <v>25000000000271</v>
      </c>
      <c r="C274" s="29" t="str">
        <f>VLOOKUP(B274, [1]DataLookUp!$B$4:$D$621, 2, FALSE)</f>
        <v>Manotar Tamba</v>
      </c>
      <c r="D274" s="29" t="str">
        <f>VLOOKUP(B274, [1]DataLookUp!$B$4:$D$621, 3, FALSE)</f>
        <v/>
      </c>
      <c r="E274" s="40"/>
      <c r="F274" s="45" t="str">
        <f t="shared" si="10"/>
        <v/>
      </c>
      <c r="G274" s="30"/>
      <c r="H274" s="31"/>
      <c r="I274" s="50"/>
      <c r="J274" s="40"/>
      <c r="K274" s="40"/>
      <c r="L274" s="51"/>
      <c r="M274" s="52"/>
      <c r="N274" s="50"/>
      <c r="P274" s="55" t="str">
        <f t="shared" si="9"/>
        <v/>
      </c>
    </row>
    <row r="275" spans="2:16" x14ac:dyDescent="0.25">
      <c r="B275" s="28">
        <f>[1]DataLookUp!$B275</f>
        <v>25000000000272</v>
      </c>
      <c r="C275" s="29" t="str">
        <f>VLOOKUP(B275, [1]DataLookUp!$B$4:$D$621, 2, FALSE)</f>
        <v>Maradona Manurung</v>
      </c>
      <c r="D275" s="29" t="str">
        <f>VLOOKUP(B275, [1]DataLookUp!$B$4:$D$621, 3, FALSE)</f>
        <v/>
      </c>
      <c r="E275" s="40"/>
      <c r="F275" s="45" t="str">
        <f t="shared" si="10"/>
        <v/>
      </c>
      <c r="G275" s="30"/>
      <c r="H275" s="31"/>
      <c r="I275" s="50"/>
      <c r="J275" s="40"/>
      <c r="K275" s="40"/>
      <c r="L275" s="51"/>
      <c r="M275" s="52"/>
      <c r="N275" s="50"/>
      <c r="P275" s="55" t="str">
        <f t="shared" si="9"/>
        <v/>
      </c>
    </row>
    <row r="276" spans="2:16" x14ac:dyDescent="0.25">
      <c r="B276" s="28">
        <f>[1]DataLookUp!$B276</f>
        <v>25000000000273</v>
      </c>
      <c r="C276" s="29" t="str">
        <f>VLOOKUP(B276, [1]DataLookUp!$B$4:$D$621, 2, FALSE)</f>
        <v>Pantas Banjarnahor Marbun</v>
      </c>
      <c r="D276" s="29" t="str">
        <f>VLOOKUP(B276, [1]DataLookUp!$B$4:$D$621, 3, FALSE)</f>
        <v/>
      </c>
      <c r="E276" s="40"/>
      <c r="F276" s="45" t="str">
        <f t="shared" si="10"/>
        <v/>
      </c>
      <c r="G276" s="30"/>
      <c r="H276" s="31"/>
      <c r="I276" s="50"/>
      <c r="J276" s="40"/>
      <c r="K276" s="40"/>
      <c r="L276" s="51"/>
      <c r="M276" s="52"/>
      <c r="N276" s="50"/>
      <c r="P276" s="55" t="str">
        <f t="shared" si="9"/>
        <v/>
      </c>
    </row>
    <row r="277" spans="2:16" x14ac:dyDescent="0.25">
      <c r="B277" s="28">
        <f>[1]DataLookUp!$B277</f>
        <v>25000000000274</v>
      </c>
      <c r="C277" s="29" t="str">
        <f>VLOOKUP(B277, [1]DataLookUp!$B$4:$D$621, 2, FALSE)</f>
        <v>Marcella Avia Ramadhinaningrum</v>
      </c>
      <c r="D277" s="29" t="str">
        <f>VLOOKUP(B277, [1]DataLookUp!$B$4:$D$621, 3, FALSE)</f>
        <v/>
      </c>
      <c r="E277" s="40"/>
      <c r="F277" s="45" t="str">
        <f t="shared" si="10"/>
        <v/>
      </c>
      <c r="G277" s="30"/>
      <c r="H277" s="31"/>
      <c r="I277" s="50"/>
      <c r="J277" s="40"/>
      <c r="K277" s="40"/>
      <c r="L277" s="51"/>
      <c r="M277" s="52"/>
      <c r="N277" s="50"/>
      <c r="P277" s="55" t="str">
        <f t="shared" si="9"/>
        <v/>
      </c>
    </row>
    <row r="278" spans="2:16" x14ac:dyDescent="0.25">
      <c r="B278" s="28">
        <f>[1]DataLookUp!$B278</f>
        <v>25000000000275</v>
      </c>
      <c r="C278" s="29" t="str">
        <f>VLOOKUP(B278, [1]DataLookUp!$B$4:$D$621, 2, FALSE)</f>
        <v>Marissa Watak</v>
      </c>
      <c r="D278" s="29" t="str">
        <f>VLOOKUP(B278, [1]DataLookUp!$B$4:$D$621, 3, FALSE)</f>
        <v/>
      </c>
      <c r="E278" s="40"/>
      <c r="F278" s="45" t="str">
        <f t="shared" si="10"/>
        <v/>
      </c>
      <c r="G278" s="30"/>
      <c r="H278" s="31"/>
      <c r="I278" s="50"/>
      <c r="J278" s="40"/>
      <c r="K278" s="40"/>
      <c r="L278" s="51"/>
      <c r="M278" s="52"/>
      <c r="N278" s="50"/>
      <c r="P278" s="55" t="str">
        <f t="shared" si="9"/>
        <v/>
      </c>
    </row>
    <row r="279" spans="2:16" x14ac:dyDescent="0.25">
      <c r="B279" s="28">
        <f>[1]DataLookUp!$B279</f>
        <v>25000000000276</v>
      </c>
      <c r="C279" s="29" t="str">
        <f>VLOOKUP(B279, [1]DataLookUp!$B$4:$D$621, 2, FALSE)</f>
        <v>Marten Tabun</v>
      </c>
      <c r="D279" s="29" t="str">
        <f>VLOOKUP(B279, [1]DataLookUp!$B$4:$D$621, 3, FALSE)</f>
        <v>3603121210820014</v>
      </c>
      <c r="E279" s="40" t="s">
        <v>179</v>
      </c>
      <c r="F279" s="45">
        <f t="shared" si="10"/>
        <v>156000000000001</v>
      </c>
      <c r="G279" s="30" t="s">
        <v>28</v>
      </c>
      <c r="H279" s="31">
        <v>30236</v>
      </c>
      <c r="I279" s="50" t="s">
        <v>239</v>
      </c>
      <c r="J279" s="40" t="s">
        <v>192</v>
      </c>
      <c r="K279" s="40" t="s">
        <v>183</v>
      </c>
      <c r="L279" s="51" t="s">
        <v>238</v>
      </c>
      <c r="M279" s="52">
        <v>24000000027416</v>
      </c>
      <c r="N279" s="50"/>
      <c r="P279" s="55" t="str">
        <f t="shared" si="9"/>
        <v xml:space="preserve">PERFORM "SchData-OLTP-Master"."Func_TblCitizenIdentity_SET"(varSystemLoginSession, null, null, null, varInstitutionBranchID, 25000000000276::bigint, 'Marten Tabun'::varchar, '3603121210820014'::varchar, 156000000000001::bigint, NULL::bigint, '1982-10-12'::timestamp, NULL::bigint, NULL::bigint, NULL::bigint, NULL::bigint,  24000000027416::bigint, NULL::bigint, NULL::bigint, NULL::bigint, 'Jl. Komp. BPN Tonjong Gg. V No. 16'::varchar, 2::smallint, 1::smallint);
</v>
      </c>
    </row>
    <row r="280" spans="2:16" x14ac:dyDescent="0.25">
      <c r="B280" s="28">
        <f>[1]DataLookUp!$B280</f>
        <v>25000000000277</v>
      </c>
      <c r="C280" s="29" t="str">
        <f>VLOOKUP(B280, [1]DataLookUp!$B$4:$D$621, 2, FALSE)</f>
        <v>Martimbul Rahman</v>
      </c>
      <c r="D280" s="29" t="str">
        <f>VLOOKUP(B280, [1]DataLookUp!$B$4:$D$621, 3, FALSE)</f>
        <v/>
      </c>
      <c r="E280" s="40"/>
      <c r="F280" s="45" t="str">
        <f t="shared" si="10"/>
        <v/>
      </c>
      <c r="G280" s="30"/>
      <c r="H280" s="31"/>
      <c r="I280" s="50"/>
      <c r="J280" s="40"/>
      <c r="K280" s="40"/>
      <c r="L280" s="51"/>
      <c r="M280" s="52"/>
      <c r="N280" s="50"/>
      <c r="P280" s="55" t="str">
        <f t="shared" si="9"/>
        <v/>
      </c>
    </row>
    <row r="281" spans="2:16" x14ac:dyDescent="0.25">
      <c r="B281" s="28">
        <f>[1]DataLookUp!$B281</f>
        <v>25000000000278</v>
      </c>
      <c r="C281" s="29" t="str">
        <f>VLOOKUP(B281, [1]DataLookUp!$B$4:$D$621, 2, FALSE)</f>
        <v>T. Marungkil U. S. Sagala</v>
      </c>
      <c r="D281" s="29" t="str">
        <f>VLOOKUP(B281, [1]DataLookUp!$B$4:$D$621, 3, FALSE)</f>
        <v>3175101206750016</v>
      </c>
      <c r="E281" s="40" t="s">
        <v>179</v>
      </c>
      <c r="F281" s="45">
        <f t="shared" si="10"/>
        <v>156000000000001</v>
      </c>
      <c r="G281" s="30" t="s">
        <v>27</v>
      </c>
      <c r="H281" s="31">
        <v>27557</v>
      </c>
      <c r="I281" s="50" t="s">
        <v>270</v>
      </c>
      <c r="J281" s="40" t="s">
        <v>190</v>
      </c>
      <c r="K281" s="40" t="s">
        <v>189</v>
      </c>
      <c r="L281" s="51" t="s">
        <v>269</v>
      </c>
      <c r="M281" s="52">
        <v>24000000032387</v>
      </c>
      <c r="N281" s="50">
        <v>11410</v>
      </c>
      <c r="P281" s="55" t="str">
        <f t="shared" si="9"/>
        <v xml:space="preserve">PERFORM "SchData-OLTP-Master"."Func_TblCitizenIdentity_SET"(varSystemLoginSession, null, null, null, varInstitutionBranchID, 25000000000278::bigint, 'T. Marungkil U. S. Sagala'::varchar, '3175101206750016'::varchar, 156000000000001::bigint, NULL::bigint, '1975-06-12'::timestamp, NULL::bigint, NULL::bigint, NULL::bigint, NULL::bigint,  24000000032387::bigint, NULL::bigint, NULL::bigint, NULL::bigint, 'Jl. N. No.16B'::varchar, 8::smallint, 7::smallint);
</v>
      </c>
    </row>
    <row r="282" spans="2:16" x14ac:dyDescent="0.25">
      <c r="B282" s="28">
        <f>[1]DataLookUp!$B282</f>
        <v>25000000000279</v>
      </c>
      <c r="C282" s="29" t="str">
        <f>VLOOKUP(B282, [1]DataLookUp!$B$4:$D$621, 2, FALSE)</f>
        <v>Marzuki</v>
      </c>
      <c r="D282" s="29" t="str">
        <f>VLOOKUP(B282, [1]DataLookUp!$B$4:$D$621, 3, FALSE)</f>
        <v/>
      </c>
      <c r="E282" s="40"/>
      <c r="F282" s="45" t="str">
        <f t="shared" si="10"/>
        <v/>
      </c>
      <c r="G282" s="30"/>
      <c r="H282" s="31"/>
      <c r="I282" s="50"/>
      <c r="J282" s="40"/>
      <c r="K282" s="40"/>
      <c r="L282" s="51"/>
      <c r="M282" s="52"/>
      <c r="N282" s="50"/>
      <c r="P282" s="55" t="str">
        <f t="shared" si="9"/>
        <v/>
      </c>
    </row>
    <row r="283" spans="2:16" x14ac:dyDescent="0.25">
      <c r="B283" s="28">
        <f>[1]DataLookUp!$B283</f>
        <v>25000000000280</v>
      </c>
      <c r="C283" s="29" t="str">
        <f>VLOOKUP(B283, [1]DataLookUp!$B$4:$D$621, 2, FALSE)</f>
        <v>Mashuri Mashuri</v>
      </c>
      <c r="D283" s="29" t="str">
        <f>VLOOKUP(B283, [1]DataLookUp!$B$4:$D$621, 3, FALSE)</f>
        <v/>
      </c>
      <c r="E283" s="40"/>
      <c r="F283" s="45" t="str">
        <f t="shared" si="10"/>
        <v/>
      </c>
      <c r="G283" s="30"/>
      <c r="H283" s="31"/>
      <c r="I283" s="50"/>
      <c r="J283" s="40"/>
      <c r="K283" s="40"/>
      <c r="L283" s="51"/>
      <c r="M283" s="52"/>
      <c r="N283" s="50"/>
      <c r="P283" s="55" t="str">
        <f t="shared" si="9"/>
        <v/>
      </c>
    </row>
    <row r="284" spans="2:16" x14ac:dyDescent="0.25">
      <c r="B284" s="28">
        <f>[1]DataLookUp!$B284</f>
        <v>25000000000281</v>
      </c>
      <c r="C284" s="29" t="str">
        <f>VLOOKUP(B284, [1]DataLookUp!$B$4:$D$621, 2, FALSE)</f>
        <v>Mat Soleh</v>
      </c>
      <c r="D284" s="29" t="str">
        <f>VLOOKUP(B284, [1]DataLookUp!$B$4:$D$621, 3, FALSE)</f>
        <v/>
      </c>
      <c r="E284" s="40"/>
      <c r="F284" s="45" t="str">
        <f t="shared" si="10"/>
        <v/>
      </c>
      <c r="G284" s="30"/>
      <c r="H284" s="31"/>
      <c r="I284" s="50"/>
      <c r="J284" s="40"/>
      <c r="K284" s="40"/>
      <c r="L284" s="51"/>
      <c r="M284" s="52"/>
      <c r="N284" s="50"/>
      <c r="P284" s="55" t="str">
        <f t="shared" si="9"/>
        <v/>
      </c>
    </row>
    <row r="285" spans="2:16" x14ac:dyDescent="0.25">
      <c r="B285" s="28">
        <f>[1]DataLookUp!$B285</f>
        <v>25000000000282</v>
      </c>
      <c r="C285" s="29" t="str">
        <f>VLOOKUP(B285, [1]DataLookUp!$B$4:$D$621, 2, FALSE)</f>
        <v>Mhd Syahputra</v>
      </c>
      <c r="D285" s="29" t="str">
        <f>VLOOKUP(B285, [1]DataLookUp!$B$4:$D$621, 3, FALSE)</f>
        <v/>
      </c>
      <c r="E285" s="40"/>
      <c r="F285" s="45" t="str">
        <f t="shared" si="10"/>
        <v/>
      </c>
      <c r="G285" s="30"/>
      <c r="H285" s="31"/>
      <c r="I285" s="50"/>
      <c r="J285" s="40"/>
      <c r="K285" s="40"/>
      <c r="L285" s="51"/>
      <c r="M285" s="52"/>
      <c r="N285" s="50"/>
      <c r="P285" s="55" t="str">
        <f t="shared" si="9"/>
        <v/>
      </c>
    </row>
    <row r="286" spans="2:16" x14ac:dyDescent="0.25">
      <c r="B286" s="28">
        <f>[1]DataLookUp!$B286</f>
        <v>25000000000283</v>
      </c>
      <c r="C286" s="29" t="str">
        <f>VLOOKUP(B286, [1]DataLookUp!$B$4:$D$621, 2, FALSE)</f>
        <v>Mia Puspitasari</v>
      </c>
      <c r="D286" s="29" t="str">
        <f>VLOOKUP(B286, [1]DataLookUp!$B$4:$D$621, 3, FALSE)</f>
        <v/>
      </c>
      <c r="E286" s="40"/>
      <c r="F286" s="45" t="str">
        <f t="shared" si="10"/>
        <v/>
      </c>
      <c r="G286" s="30"/>
      <c r="H286" s="31"/>
      <c r="I286" s="50"/>
      <c r="J286" s="40"/>
      <c r="K286" s="40"/>
      <c r="L286" s="51"/>
      <c r="M286" s="52"/>
      <c r="N286" s="50"/>
      <c r="P286" s="55" t="str">
        <f t="shared" si="9"/>
        <v/>
      </c>
    </row>
    <row r="287" spans="2:16" x14ac:dyDescent="0.25">
      <c r="B287" s="28">
        <f>[1]DataLookUp!$B287</f>
        <v>25000000000284</v>
      </c>
      <c r="C287" s="29" t="str">
        <f>VLOOKUP(B287, [1]DataLookUp!$B$4:$D$621, 2, FALSE)</f>
        <v>Midin Ena</v>
      </c>
      <c r="D287" s="29" t="str">
        <f>VLOOKUP(B287, [1]DataLookUp!$B$4:$D$621, 3, FALSE)</f>
        <v/>
      </c>
      <c r="E287" s="40"/>
      <c r="F287" s="45" t="str">
        <f t="shared" si="10"/>
        <v/>
      </c>
      <c r="G287" s="30"/>
      <c r="H287" s="31"/>
      <c r="I287" s="50"/>
      <c r="J287" s="40"/>
      <c r="K287" s="40"/>
      <c r="L287" s="51"/>
      <c r="M287" s="52"/>
      <c r="N287" s="50"/>
      <c r="P287" s="55" t="str">
        <f t="shared" si="9"/>
        <v/>
      </c>
    </row>
    <row r="288" spans="2:16" x14ac:dyDescent="0.25">
      <c r="B288" s="28">
        <f>[1]DataLookUp!$B288</f>
        <v>25000000000285</v>
      </c>
      <c r="C288" s="29" t="str">
        <f>VLOOKUP(B288, [1]DataLookUp!$B$4:$D$621, 2, FALSE)</f>
        <v>Miftakhul Muzakky</v>
      </c>
      <c r="D288" s="29" t="str">
        <f>VLOOKUP(B288, [1]DataLookUp!$B$4:$D$621, 3, FALSE)</f>
        <v/>
      </c>
      <c r="E288" s="40"/>
      <c r="F288" s="45" t="str">
        <f t="shared" si="10"/>
        <v/>
      </c>
      <c r="G288" s="30"/>
      <c r="H288" s="31"/>
      <c r="I288" s="50"/>
      <c r="J288" s="40"/>
      <c r="K288" s="40"/>
      <c r="L288" s="51"/>
      <c r="M288" s="52"/>
      <c r="N288" s="50"/>
      <c r="P288" s="55" t="str">
        <f t="shared" si="9"/>
        <v/>
      </c>
    </row>
    <row r="289" spans="2:16" x14ac:dyDescent="0.25">
      <c r="B289" s="28">
        <f>[1]DataLookUp!$B289</f>
        <v>25000000000286</v>
      </c>
      <c r="C289" s="29" t="str">
        <f>VLOOKUP(B289, [1]DataLookUp!$B$4:$D$621, 2, FALSE)</f>
        <v>Mista</v>
      </c>
      <c r="D289" s="29" t="str">
        <f>VLOOKUP(B289, [1]DataLookUp!$B$4:$D$621, 3, FALSE)</f>
        <v/>
      </c>
      <c r="E289" s="40"/>
      <c r="F289" s="45" t="str">
        <f t="shared" si="10"/>
        <v/>
      </c>
      <c r="G289" s="30"/>
      <c r="H289" s="31"/>
      <c r="I289" s="50"/>
      <c r="J289" s="40"/>
      <c r="K289" s="40"/>
      <c r="L289" s="51"/>
      <c r="M289" s="52"/>
      <c r="N289" s="50"/>
      <c r="P289" s="55" t="str">
        <f t="shared" si="9"/>
        <v/>
      </c>
    </row>
    <row r="290" spans="2:16" x14ac:dyDescent="0.25">
      <c r="B290" s="28">
        <f>[1]DataLookUp!$B290</f>
        <v>25000000000287</v>
      </c>
      <c r="C290" s="29" t="str">
        <f>VLOOKUP(B290, [1]DataLookUp!$B$4:$D$621, 2, FALSE)</f>
        <v>Mochamad Samman</v>
      </c>
      <c r="D290" s="29" t="str">
        <f>VLOOKUP(B290, [1]DataLookUp!$B$4:$D$621, 3, FALSE)</f>
        <v/>
      </c>
      <c r="E290" s="40"/>
      <c r="F290" s="45" t="str">
        <f t="shared" si="10"/>
        <v/>
      </c>
      <c r="G290" s="30"/>
      <c r="H290" s="31"/>
      <c r="I290" s="50"/>
      <c r="J290" s="40"/>
      <c r="K290" s="40"/>
      <c r="L290" s="51"/>
      <c r="M290" s="52"/>
      <c r="N290" s="50"/>
      <c r="P290" s="55" t="str">
        <f t="shared" si="9"/>
        <v/>
      </c>
    </row>
    <row r="291" spans="2:16" x14ac:dyDescent="0.25">
      <c r="B291" s="28">
        <f>[1]DataLookUp!$B291</f>
        <v>25000000000288</v>
      </c>
      <c r="C291" s="29" t="str">
        <f>VLOOKUP(B291, [1]DataLookUp!$B$4:$D$621, 2, FALSE)</f>
        <v>Moh. Afif</v>
      </c>
      <c r="D291" s="29" t="str">
        <f>VLOOKUP(B291, [1]DataLookUp!$B$4:$D$621, 3, FALSE)</f>
        <v/>
      </c>
      <c r="E291" s="40"/>
      <c r="F291" s="45" t="str">
        <f t="shared" si="10"/>
        <v/>
      </c>
      <c r="G291" s="30"/>
      <c r="H291" s="31"/>
      <c r="I291" s="50"/>
      <c r="J291" s="40"/>
      <c r="K291" s="40"/>
      <c r="L291" s="51"/>
      <c r="M291" s="52"/>
      <c r="N291" s="50"/>
      <c r="P291" s="55" t="str">
        <f t="shared" si="9"/>
        <v/>
      </c>
    </row>
    <row r="292" spans="2:16" x14ac:dyDescent="0.25">
      <c r="B292" s="28">
        <f>[1]DataLookUp!$B292</f>
        <v>25000000000289</v>
      </c>
      <c r="C292" s="29" t="str">
        <f>VLOOKUP(B292, [1]DataLookUp!$B$4:$D$621, 2, FALSE)</f>
        <v>Mohammad Arman Tompo</v>
      </c>
      <c r="D292" s="29" t="str">
        <f>VLOOKUP(B292, [1]DataLookUp!$B$4:$D$621, 3, FALSE)</f>
        <v/>
      </c>
      <c r="E292" s="40"/>
      <c r="F292" s="45" t="str">
        <f t="shared" si="10"/>
        <v/>
      </c>
      <c r="G292" s="30"/>
      <c r="H292" s="31"/>
      <c r="I292" s="50"/>
      <c r="J292" s="40"/>
      <c r="K292" s="40"/>
      <c r="L292" s="51"/>
      <c r="M292" s="52"/>
      <c r="N292" s="50"/>
      <c r="P292" s="55" t="str">
        <f t="shared" si="9"/>
        <v/>
      </c>
    </row>
    <row r="293" spans="2:16" x14ac:dyDescent="0.25">
      <c r="B293" s="28">
        <f>[1]DataLookUp!$B293</f>
        <v>25000000000290</v>
      </c>
      <c r="C293" s="29" t="str">
        <f>VLOOKUP(B293, [1]DataLookUp!$B$4:$D$621, 2, FALSE)</f>
        <v>Mohd. Elfan Pratama</v>
      </c>
      <c r="D293" s="29" t="str">
        <f>VLOOKUP(B293, [1]DataLookUp!$B$4:$D$621, 3, FALSE)</f>
        <v/>
      </c>
      <c r="E293" s="40"/>
      <c r="F293" s="45" t="str">
        <f t="shared" si="10"/>
        <v/>
      </c>
      <c r="G293" s="30"/>
      <c r="H293" s="31"/>
      <c r="I293" s="50"/>
      <c r="J293" s="40"/>
      <c r="K293" s="40"/>
      <c r="L293" s="51"/>
      <c r="M293" s="52"/>
      <c r="N293" s="50"/>
      <c r="P293" s="55" t="str">
        <f t="shared" si="9"/>
        <v/>
      </c>
    </row>
    <row r="294" spans="2:16" x14ac:dyDescent="0.25">
      <c r="B294" s="28">
        <f>[1]DataLookUp!$B294</f>
        <v>25000000000291</v>
      </c>
      <c r="C294" s="29" t="str">
        <f>VLOOKUP(B294, [1]DataLookUp!$B$4:$D$621, 2, FALSE)</f>
        <v>Monang Simarmata</v>
      </c>
      <c r="D294" s="29" t="str">
        <f>VLOOKUP(B294, [1]DataLookUp!$B$4:$D$621, 3, FALSE)</f>
        <v/>
      </c>
      <c r="E294" s="40"/>
      <c r="F294" s="45" t="str">
        <f t="shared" si="10"/>
        <v/>
      </c>
      <c r="G294" s="30"/>
      <c r="H294" s="31"/>
      <c r="I294" s="50"/>
      <c r="J294" s="40"/>
      <c r="K294" s="40"/>
      <c r="L294" s="51"/>
      <c r="M294" s="52"/>
      <c r="N294" s="50"/>
      <c r="P294" s="55" t="str">
        <f t="shared" si="9"/>
        <v/>
      </c>
    </row>
    <row r="295" spans="2:16" x14ac:dyDescent="0.25">
      <c r="B295" s="28">
        <f>[1]DataLookUp!$B295</f>
        <v>25000000000292</v>
      </c>
      <c r="C295" s="29" t="str">
        <f>VLOOKUP(B295, [1]DataLookUp!$B$4:$D$621, 2, FALSE)</f>
        <v>Moritz Thomsen Marbun</v>
      </c>
      <c r="D295" s="29" t="str">
        <f>VLOOKUP(B295, [1]DataLookUp!$B$4:$D$621, 3, FALSE)</f>
        <v/>
      </c>
      <c r="E295" s="40"/>
      <c r="F295" s="45" t="str">
        <f t="shared" si="10"/>
        <v/>
      </c>
      <c r="G295" s="30"/>
      <c r="H295" s="31"/>
      <c r="I295" s="50"/>
      <c r="J295" s="40"/>
      <c r="K295" s="40"/>
      <c r="L295" s="51"/>
      <c r="M295" s="52"/>
      <c r="N295" s="50"/>
      <c r="P295" s="55" t="str">
        <f t="shared" si="9"/>
        <v/>
      </c>
    </row>
    <row r="296" spans="2:16" x14ac:dyDescent="0.25">
      <c r="B296" s="28">
        <f>[1]DataLookUp!$B296</f>
        <v>25000000000293</v>
      </c>
      <c r="C296" s="29" t="str">
        <f>VLOOKUP(B296, [1]DataLookUp!$B$4:$D$621, 2, FALSE)</f>
        <v>Muhamad Hamdan Rifai</v>
      </c>
      <c r="D296" s="29" t="str">
        <f>VLOOKUP(B296, [1]DataLookUp!$B$4:$D$621, 3, FALSE)</f>
        <v/>
      </c>
      <c r="E296" s="40"/>
      <c r="F296" s="45" t="str">
        <f t="shared" si="10"/>
        <v/>
      </c>
      <c r="G296" s="30"/>
      <c r="H296" s="31"/>
      <c r="I296" s="50"/>
      <c r="J296" s="40"/>
      <c r="K296" s="40"/>
      <c r="L296" s="51"/>
      <c r="M296" s="52"/>
      <c r="N296" s="50"/>
      <c r="P296" s="55" t="str">
        <f t="shared" si="9"/>
        <v/>
      </c>
    </row>
    <row r="297" spans="2:16" x14ac:dyDescent="0.25">
      <c r="B297" s="28">
        <f>[1]DataLookUp!$B297</f>
        <v>25000000000294</v>
      </c>
      <c r="C297" s="29" t="str">
        <f>VLOOKUP(B297, [1]DataLookUp!$B$4:$D$621, 2, FALSE)</f>
        <v>Muhamad Ikhsan</v>
      </c>
      <c r="D297" s="29" t="str">
        <f>VLOOKUP(B297, [1]DataLookUp!$B$4:$D$621, 3, FALSE)</f>
        <v/>
      </c>
      <c r="E297" s="40"/>
      <c r="F297" s="45" t="str">
        <f t="shared" si="10"/>
        <v/>
      </c>
      <c r="G297" s="30"/>
      <c r="H297" s="31"/>
      <c r="I297" s="50"/>
      <c r="J297" s="40"/>
      <c r="K297" s="40"/>
      <c r="L297" s="51"/>
      <c r="M297" s="52"/>
      <c r="N297" s="50"/>
      <c r="P297" s="55" t="str">
        <f t="shared" si="9"/>
        <v/>
      </c>
    </row>
    <row r="298" spans="2:16" x14ac:dyDescent="0.25">
      <c r="B298" s="28">
        <f>[1]DataLookUp!$B298</f>
        <v>25000000000295</v>
      </c>
      <c r="C298" s="29" t="str">
        <f>VLOOKUP(B298, [1]DataLookUp!$B$4:$D$621, 2, FALSE)</f>
        <v>Muhamad Nurhamsach</v>
      </c>
      <c r="D298" s="29" t="str">
        <f>VLOOKUP(B298, [1]DataLookUp!$B$4:$D$621, 3, FALSE)</f>
        <v/>
      </c>
      <c r="E298" s="40"/>
      <c r="F298" s="45" t="str">
        <f t="shared" si="10"/>
        <v/>
      </c>
      <c r="G298" s="30"/>
      <c r="H298" s="31"/>
      <c r="I298" s="50"/>
      <c r="J298" s="40"/>
      <c r="K298" s="40"/>
      <c r="L298" s="51"/>
      <c r="M298" s="52"/>
      <c r="N298" s="50"/>
      <c r="P298" s="55" t="str">
        <f t="shared" si="9"/>
        <v/>
      </c>
    </row>
    <row r="299" spans="2:16" x14ac:dyDescent="0.25">
      <c r="B299" s="28">
        <f>[1]DataLookUp!$B299</f>
        <v>25000000000296</v>
      </c>
      <c r="C299" s="29" t="str">
        <f>VLOOKUP(B299, [1]DataLookUp!$B$4:$D$621, 2, FALSE)</f>
        <v>Muhammad Ardiansyah</v>
      </c>
      <c r="D299" s="29" t="str">
        <f>VLOOKUP(B299, [1]DataLookUp!$B$4:$D$621, 3, FALSE)</f>
        <v/>
      </c>
      <c r="E299" s="40"/>
      <c r="F299" s="45" t="str">
        <f t="shared" si="10"/>
        <v/>
      </c>
      <c r="G299" s="30"/>
      <c r="H299" s="31"/>
      <c r="I299" s="50"/>
      <c r="J299" s="40"/>
      <c r="K299" s="40"/>
      <c r="L299" s="51"/>
      <c r="M299" s="52"/>
      <c r="N299" s="50"/>
      <c r="P299" s="55" t="str">
        <f t="shared" si="9"/>
        <v/>
      </c>
    </row>
    <row r="300" spans="2:16" x14ac:dyDescent="0.25">
      <c r="B300" s="28">
        <f>[1]DataLookUp!$B300</f>
        <v>25000000000297</v>
      </c>
      <c r="C300" s="29" t="str">
        <f>VLOOKUP(B300, [1]DataLookUp!$B$4:$D$621, 2, FALSE)</f>
        <v>Muhammad Khadafy</v>
      </c>
      <c r="D300" s="29" t="str">
        <f>VLOOKUP(B300, [1]DataLookUp!$B$4:$D$621, 3, FALSE)</f>
        <v/>
      </c>
      <c r="E300" s="40"/>
      <c r="F300" s="45" t="str">
        <f t="shared" si="10"/>
        <v/>
      </c>
      <c r="G300" s="30"/>
      <c r="H300" s="31"/>
      <c r="I300" s="50"/>
      <c r="J300" s="40"/>
      <c r="K300" s="40"/>
      <c r="L300" s="51"/>
      <c r="M300" s="52"/>
      <c r="N300" s="50"/>
      <c r="P300" s="55" t="str">
        <f t="shared" si="9"/>
        <v/>
      </c>
    </row>
    <row r="301" spans="2:16" x14ac:dyDescent="0.25">
      <c r="B301" s="28">
        <f>[1]DataLookUp!$B301</f>
        <v>25000000000298</v>
      </c>
      <c r="C301" s="29" t="str">
        <f>VLOOKUP(B301, [1]DataLookUp!$B$4:$D$621, 2, FALSE)</f>
        <v>Muhammad Taufan</v>
      </c>
      <c r="D301" s="29" t="str">
        <f>VLOOKUP(B301, [1]DataLookUp!$B$4:$D$621, 3, FALSE)</f>
        <v/>
      </c>
      <c r="E301" s="40"/>
      <c r="F301" s="45" t="str">
        <f t="shared" si="10"/>
        <v/>
      </c>
      <c r="G301" s="30"/>
      <c r="H301" s="31"/>
      <c r="I301" s="50"/>
      <c r="J301" s="40"/>
      <c r="K301" s="40"/>
      <c r="L301" s="51"/>
      <c r="M301" s="52"/>
      <c r="N301" s="50"/>
      <c r="P301" s="55" t="str">
        <f t="shared" si="9"/>
        <v/>
      </c>
    </row>
    <row r="302" spans="2:16" x14ac:dyDescent="0.25">
      <c r="B302" s="28">
        <f>[1]DataLookUp!$B302</f>
        <v>25000000000299</v>
      </c>
      <c r="C302" s="29" t="str">
        <f>VLOOKUP(B302, [1]DataLookUp!$B$4:$D$621, 2, FALSE)</f>
        <v>Muklis</v>
      </c>
      <c r="D302" s="29" t="str">
        <f>VLOOKUP(B302, [1]DataLookUp!$B$4:$D$621, 3, FALSE)</f>
        <v/>
      </c>
      <c r="E302" s="40"/>
      <c r="F302" s="45" t="str">
        <f t="shared" si="10"/>
        <v/>
      </c>
      <c r="G302" s="30"/>
      <c r="H302" s="31"/>
      <c r="I302" s="50"/>
      <c r="J302" s="40"/>
      <c r="K302" s="40"/>
      <c r="L302" s="51"/>
      <c r="M302" s="52"/>
      <c r="N302" s="50"/>
      <c r="P302" s="55" t="str">
        <f t="shared" si="9"/>
        <v/>
      </c>
    </row>
    <row r="303" spans="2:16" x14ac:dyDescent="0.25">
      <c r="B303" s="28">
        <f>[1]DataLookUp!$B303</f>
        <v>25000000000300</v>
      </c>
      <c r="C303" s="29" t="str">
        <f>VLOOKUP(B303, [1]DataLookUp!$B$4:$D$621, 2, FALSE)</f>
        <v>Mulia Rohanson Harahap</v>
      </c>
      <c r="D303" s="29" t="str">
        <f>VLOOKUP(B303, [1]DataLookUp!$B$4:$D$621, 3, FALSE)</f>
        <v/>
      </c>
      <c r="E303" s="40"/>
      <c r="F303" s="45" t="str">
        <f t="shared" si="10"/>
        <v/>
      </c>
      <c r="G303" s="30"/>
      <c r="H303" s="31"/>
      <c r="I303" s="50"/>
      <c r="J303" s="40"/>
      <c r="K303" s="40"/>
      <c r="L303" s="51"/>
      <c r="M303" s="52"/>
      <c r="N303" s="50"/>
      <c r="P303" s="55" t="str">
        <f t="shared" si="9"/>
        <v/>
      </c>
    </row>
    <row r="304" spans="2:16" x14ac:dyDescent="0.25">
      <c r="B304" s="28">
        <f>[1]DataLookUp!$B304</f>
        <v>25000000000301</v>
      </c>
      <c r="C304" s="29" t="str">
        <f>VLOOKUP(B304, [1]DataLookUp!$B$4:$D$621, 2, FALSE)</f>
        <v>Mullan Tresna</v>
      </c>
      <c r="D304" s="29" t="str">
        <f>VLOOKUP(B304, [1]DataLookUp!$B$4:$D$621, 3, FALSE)</f>
        <v>3271046502760003</v>
      </c>
      <c r="E304" s="40" t="s">
        <v>180</v>
      </c>
      <c r="F304" s="45">
        <f t="shared" si="10"/>
        <v>156000000000002</v>
      </c>
      <c r="G304" s="30" t="s">
        <v>26</v>
      </c>
      <c r="H304" s="31">
        <v>27815</v>
      </c>
      <c r="I304" s="50" t="s">
        <v>246</v>
      </c>
      <c r="J304" s="40" t="s">
        <v>187</v>
      </c>
      <c r="K304" s="40" t="s">
        <v>217</v>
      </c>
      <c r="L304" s="51" t="s">
        <v>245</v>
      </c>
      <c r="M304" s="52"/>
      <c r="N304" s="50"/>
      <c r="P304" s="55" t="str">
        <f t="shared" si="9"/>
        <v xml:space="preserve">PERFORM "SchData-OLTP-Master"."Func_TblCitizenIdentity_SET"(varSystemLoginSession, null, null, null, varInstitutionBranchID, 25000000000301::bigint, 'Mullan Tresna'::varchar, '3271046502760003'::varchar, 156000000000002::bigint, NULL::bigint, '1976-02-25'::timestamp, NULL::bigint, NULL::bigint, NULL::bigint, NULL::bigint,  NULL::bigint, NULL::bigint, NULL::bigint, NULL::bigint, 'Bumi Menteng Asri Jl. Komplek Gizi No. 22 Kel. Menteng, Kec. Bogor Barat, Bogor, Jawa Barat'::varchar, 5::smallint, 19::smallint);
</v>
      </c>
    </row>
    <row r="305" spans="2:16" x14ac:dyDescent="0.25">
      <c r="B305" s="28">
        <f>[1]DataLookUp!$B305</f>
        <v>25000000000302</v>
      </c>
      <c r="C305" s="29" t="str">
        <f>VLOOKUP(B305, [1]DataLookUp!$B$4:$D$621, 2, FALSE)</f>
        <v>Mulyadi</v>
      </c>
      <c r="D305" s="29" t="str">
        <f>VLOOKUP(B305, [1]DataLookUp!$B$4:$D$621, 3, FALSE)</f>
        <v/>
      </c>
      <c r="E305" s="40"/>
      <c r="F305" s="45" t="str">
        <f t="shared" si="10"/>
        <v/>
      </c>
      <c r="G305" s="30"/>
      <c r="H305" s="31"/>
      <c r="I305" s="50"/>
      <c r="J305" s="40"/>
      <c r="K305" s="40"/>
      <c r="L305" s="51"/>
      <c r="M305" s="52"/>
      <c r="N305" s="50"/>
      <c r="P305" s="55" t="str">
        <f t="shared" si="9"/>
        <v/>
      </c>
    </row>
    <row r="306" spans="2:16" x14ac:dyDescent="0.25">
      <c r="B306" s="28">
        <f>[1]DataLookUp!$B306</f>
        <v>25000000000303</v>
      </c>
      <c r="C306" s="29" t="str">
        <f>VLOOKUP(B306, [1]DataLookUp!$B$4:$D$621, 2, FALSE)</f>
        <v>Mulyono</v>
      </c>
      <c r="D306" s="29" t="str">
        <f>VLOOKUP(B306, [1]DataLookUp!$B$4:$D$621, 3, FALSE)</f>
        <v/>
      </c>
      <c r="E306" s="40"/>
      <c r="F306" s="45" t="str">
        <f t="shared" si="10"/>
        <v/>
      </c>
      <c r="G306" s="30"/>
      <c r="H306" s="31"/>
      <c r="I306" s="50"/>
      <c r="J306" s="40"/>
      <c r="K306" s="40"/>
      <c r="L306" s="51"/>
      <c r="M306" s="52"/>
      <c r="N306" s="50"/>
      <c r="P306" s="55" t="str">
        <f t="shared" si="9"/>
        <v/>
      </c>
    </row>
    <row r="307" spans="2:16" x14ac:dyDescent="0.25">
      <c r="B307" s="28">
        <f>[1]DataLookUp!$B307</f>
        <v>25000000000304</v>
      </c>
      <c r="C307" s="29" t="str">
        <f>VLOOKUP(B307, [1]DataLookUp!$B$4:$D$621, 2, FALSE)</f>
        <v>Murdiansyah</v>
      </c>
      <c r="D307" s="29" t="str">
        <f>VLOOKUP(B307, [1]DataLookUp!$B$4:$D$621, 3, FALSE)</f>
        <v/>
      </c>
      <c r="E307" s="40"/>
      <c r="F307" s="45" t="str">
        <f t="shared" si="10"/>
        <v/>
      </c>
      <c r="G307" s="30"/>
      <c r="H307" s="31"/>
      <c r="I307" s="50"/>
      <c r="J307" s="40"/>
      <c r="K307" s="40"/>
      <c r="L307" s="51"/>
      <c r="M307" s="52"/>
      <c r="N307" s="50"/>
      <c r="P307" s="55" t="str">
        <f t="shared" si="9"/>
        <v/>
      </c>
    </row>
    <row r="308" spans="2:16" x14ac:dyDescent="0.25">
      <c r="B308" s="28">
        <f>[1]DataLookUp!$B308</f>
        <v>25000000000305</v>
      </c>
      <c r="C308" s="29" t="str">
        <f>VLOOKUP(B308, [1]DataLookUp!$B$4:$D$621, 2, FALSE)</f>
        <v>Mursalim</v>
      </c>
      <c r="D308" s="29" t="str">
        <f>VLOOKUP(B308, [1]DataLookUp!$B$4:$D$621, 3, FALSE)</f>
        <v/>
      </c>
      <c r="E308" s="40"/>
      <c r="F308" s="45" t="str">
        <f t="shared" si="10"/>
        <v/>
      </c>
      <c r="G308" s="30"/>
      <c r="H308" s="31"/>
      <c r="I308" s="50"/>
      <c r="J308" s="40"/>
      <c r="K308" s="40"/>
      <c r="L308" s="51"/>
      <c r="M308" s="52"/>
      <c r="N308" s="50"/>
      <c r="P308" s="55" t="str">
        <f t="shared" si="9"/>
        <v/>
      </c>
    </row>
    <row r="309" spans="2:16" x14ac:dyDescent="0.25">
      <c r="B309" s="28">
        <f>[1]DataLookUp!$B309</f>
        <v>25000000000306</v>
      </c>
      <c r="C309" s="29" t="str">
        <f>VLOOKUP(B309, [1]DataLookUp!$B$4:$D$621, 2, FALSE)</f>
        <v>Nancy Meriana Sinaga</v>
      </c>
      <c r="D309" s="29" t="str">
        <f>VLOOKUP(B309, [1]DataLookUp!$B$4:$D$621, 3, FALSE)</f>
        <v/>
      </c>
      <c r="E309" s="40"/>
      <c r="F309" s="45" t="str">
        <f t="shared" si="10"/>
        <v/>
      </c>
      <c r="G309" s="30"/>
      <c r="H309" s="31"/>
      <c r="I309" s="50"/>
      <c r="J309" s="40"/>
      <c r="K309" s="40"/>
      <c r="L309" s="51"/>
      <c r="M309" s="52"/>
      <c r="N309" s="50"/>
      <c r="P309" s="55" t="str">
        <f t="shared" si="9"/>
        <v/>
      </c>
    </row>
    <row r="310" spans="2:16" x14ac:dyDescent="0.25">
      <c r="B310" s="28">
        <f>[1]DataLookUp!$B310</f>
        <v>25000000000307</v>
      </c>
      <c r="C310" s="29" t="str">
        <f>VLOOKUP(B310, [1]DataLookUp!$B$4:$D$621, 2, FALSE)</f>
        <v>Nandang Effendi</v>
      </c>
      <c r="D310" s="29" t="str">
        <f>VLOOKUP(B310, [1]DataLookUp!$B$4:$D$621, 3, FALSE)</f>
        <v>3604131405710001</v>
      </c>
      <c r="E310" s="40" t="s">
        <v>179</v>
      </c>
      <c r="F310" s="45">
        <f t="shared" si="10"/>
        <v>156000000000001</v>
      </c>
      <c r="G310" s="30" t="s">
        <v>7</v>
      </c>
      <c r="H310" s="31">
        <v>26067</v>
      </c>
      <c r="I310" s="50" t="s">
        <v>248</v>
      </c>
      <c r="J310" s="40" t="s">
        <v>192</v>
      </c>
      <c r="K310" s="40" t="s">
        <v>183</v>
      </c>
      <c r="L310" s="51" t="s">
        <v>247</v>
      </c>
      <c r="M310" s="52">
        <v>24000000025817</v>
      </c>
      <c r="N310" s="50"/>
      <c r="P310" s="55" t="str">
        <f t="shared" si="9"/>
        <v xml:space="preserve">PERFORM "SchData-OLTP-Master"."Func_TblCitizenIdentity_SET"(varSystemLoginSession, null, null, null, varInstitutionBranchID, 25000000000307::bigint, 'Nandang Effendi'::varchar, '3604131405710001'::varchar, 156000000000001::bigint, NULL::bigint, '1971-05-14'::timestamp, NULL::bigint, NULL::bigint, NULL::bigint, NULL::bigint,  24000000025817::bigint, NULL::bigint, NULL::bigint, NULL::bigint, 'Kp. Samparwadi'::varchar, 2::smallint, 1::smallint);
</v>
      </c>
    </row>
    <row r="311" spans="2:16" x14ac:dyDescent="0.25">
      <c r="B311" s="28">
        <f>[1]DataLookUp!$B311</f>
        <v>25000000000308</v>
      </c>
      <c r="C311" s="29" t="str">
        <f>VLOOKUP(B311, [1]DataLookUp!$B$4:$D$621, 2, FALSE)</f>
        <v>Narno</v>
      </c>
      <c r="D311" s="29" t="str">
        <f>VLOOKUP(B311, [1]DataLookUp!$B$4:$D$621, 3, FALSE)</f>
        <v/>
      </c>
      <c r="E311" s="40"/>
      <c r="F311" s="45" t="str">
        <f t="shared" si="10"/>
        <v/>
      </c>
      <c r="G311" s="30"/>
      <c r="H311" s="31"/>
      <c r="I311" s="50"/>
      <c r="J311" s="40"/>
      <c r="K311" s="40"/>
      <c r="L311" s="51"/>
      <c r="M311" s="52"/>
      <c r="N311" s="50"/>
      <c r="P311" s="55" t="str">
        <f t="shared" si="9"/>
        <v/>
      </c>
    </row>
    <row r="312" spans="2:16" x14ac:dyDescent="0.25">
      <c r="B312" s="28">
        <f>[1]DataLookUp!$B312</f>
        <v>25000000000309</v>
      </c>
      <c r="C312" s="29" t="str">
        <f>VLOOKUP(B312, [1]DataLookUp!$B$4:$D$621, 2, FALSE)</f>
        <v>Nasrul Anwar P.</v>
      </c>
      <c r="D312" s="29" t="str">
        <f>VLOOKUP(B312, [1]DataLookUp!$B$4:$D$621, 3, FALSE)</f>
        <v/>
      </c>
      <c r="E312" s="40"/>
      <c r="F312" s="45" t="str">
        <f t="shared" si="10"/>
        <v/>
      </c>
      <c r="G312" s="30"/>
      <c r="H312" s="31"/>
      <c r="I312" s="50"/>
      <c r="J312" s="40"/>
      <c r="K312" s="40"/>
      <c r="L312" s="51"/>
      <c r="M312" s="52"/>
      <c r="N312" s="50"/>
      <c r="P312" s="55" t="str">
        <f t="shared" si="9"/>
        <v/>
      </c>
    </row>
    <row r="313" spans="2:16" x14ac:dyDescent="0.25">
      <c r="B313" s="28">
        <f>[1]DataLookUp!$B313</f>
        <v>25000000000310</v>
      </c>
      <c r="C313" s="29" t="str">
        <f>VLOOKUP(B313, [1]DataLookUp!$B$4:$D$621, 2, FALSE)</f>
        <v>Nawal</v>
      </c>
      <c r="D313" s="29" t="str">
        <f>VLOOKUP(B313, [1]DataLookUp!$B$4:$D$621, 3, FALSE)</f>
        <v/>
      </c>
      <c r="E313" s="40"/>
      <c r="F313" s="45" t="str">
        <f t="shared" si="10"/>
        <v/>
      </c>
      <c r="G313" s="30"/>
      <c r="H313" s="31"/>
      <c r="I313" s="50"/>
      <c r="J313" s="40"/>
      <c r="K313" s="40"/>
      <c r="L313" s="51"/>
      <c r="M313" s="52"/>
      <c r="N313" s="50"/>
      <c r="P313" s="55" t="str">
        <f t="shared" si="9"/>
        <v/>
      </c>
    </row>
    <row r="314" spans="2:16" x14ac:dyDescent="0.25">
      <c r="B314" s="28">
        <f>[1]DataLookUp!$B314</f>
        <v>25000000000311</v>
      </c>
      <c r="C314" s="29" t="str">
        <f>VLOOKUP(B314, [1]DataLookUp!$B$4:$D$621, 2, FALSE)</f>
        <v>Nawir Lahamutu</v>
      </c>
      <c r="D314" s="29" t="str">
        <f>VLOOKUP(B314, [1]DataLookUp!$B$4:$D$621, 3, FALSE)</f>
        <v/>
      </c>
      <c r="E314" s="40"/>
      <c r="F314" s="45" t="str">
        <f t="shared" si="10"/>
        <v/>
      </c>
      <c r="G314" s="30"/>
      <c r="H314" s="31"/>
      <c r="I314" s="50"/>
      <c r="J314" s="40"/>
      <c r="K314" s="40"/>
      <c r="L314" s="51"/>
      <c r="M314" s="52"/>
      <c r="N314" s="50"/>
      <c r="P314" s="55" t="str">
        <f t="shared" si="9"/>
        <v/>
      </c>
    </row>
    <row r="315" spans="2:16" x14ac:dyDescent="0.25">
      <c r="B315" s="28">
        <f>[1]DataLookUp!$B315</f>
        <v>25000000000312</v>
      </c>
      <c r="C315" s="29" t="str">
        <f>VLOOKUP(B315, [1]DataLookUp!$B$4:$D$621, 2, FALSE)</f>
        <v>Nicky Kurnia</v>
      </c>
      <c r="D315" s="29" t="str">
        <f>VLOOKUP(B315, [1]DataLookUp!$B$4:$D$621, 3, FALSE)</f>
        <v/>
      </c>
      <c r="E315" s="40"/>
      <c r="F315" s="45" t="str">
        <f t="shared" si="10"/>
        <v/>
      </c>
      <c r="G315" s="30"/>
      <c r="H315" s="31"/>
      <c r="I315" s="50"/>
      <c r="J315" s="40"/>
      <c r="K315" s="40"/>
      <c r="L315" s="51"/>
      <c r="M315" s="52"/>
      <c r="N315" s="50"/>
      <c r="P315" s="55" t="str">
        <f t="shared" si="9"/>
        <v/>
      </c>
    </row>
    <row r="316" spans="2:16" x14ac:dyDescent="0.25">
      <c r="B316" s="28">
        <f>[1]DataLookUp!$B316</f>
        <v>25000000000313</v>
      </c>
      <c r="C316" s="29" t="str">
        <f>VLOOKUP(B316, [1]DataLookUp!$B$4:$D$621, 2, FALSE)</f>
        <v>Noercholis Firmansyah</v>
      </c>
      <c r="D316" s="29" t="str">
        <f>VLOOKUP(B316, [1]DataLookUp!$B$4:$D$621, 3, FALSE)</f>
        <v/>
      </c>
      <c r="E316" s="40"/>
      <c r="F316" s="45" t="str">
        <f t="shared" si="10"/>
        <v/>
      </c>
      <c r="G316" s="30"/>
      <c r="H316" s="31"/>
      <c r="I316" s="50"/>
      <c r="J316" s="40"/>
      <c r="K316" s="40"/>
      <c r="L316" s="51"/>
      <c r="M316" s="52"/>
      <c r="N316" s="50"/>
      <c r="P316" s="55" t="str">
        <f t="shared" si="9"/>
        <v/>
      </c>
    </row>
    <row r="317" spans="2:16" x14ac:dyDescent="0.25">
      <c r="B317" s="28">
        <f>[1]DataLookUp!$B317</f>
        <v>25000000000314</v>
      </c>
      <c r="C317" s="29" t="str">
        <f>VLOOKUP(B317, [1]DataLookUp!$B$4:$D$621, 2, FALSE)</f>
        <v>Nopitasari</v>
      </c>
      <c r="D317" s="29" t="str">
        <f>VLOOKUP(B317, [1]DataLookUp!$B$4:$D$621, 3, FALSE)</f>
        <v/>
      </c>
      <c r="E317" s="40"/>
      <c r="F317" s="45" t="str">
        <f t="shared" si="10"/>
        <v/>
      </c>
      <c r="G317" s="30"/>
      <c r="H317" s="31"/>
      <c r="I317" s="50"/>
      <c r="J317" s="40"/>
      <c r="K317" s="40"/>
      <c r="L317" s="51"/>
      <c r="M317" s="52"/>
      <c r="N317" s="50"/>
      <c r="P317" s="55" t="str">
        <f t="shared" si="9"/>
        <v/>
      </c>
    </row>
    <row r="318" spans="2:16" x14ac:dyDescent="0.25">
      <c r="B318" s="28">
        <f>[1]DataLookUp!$B318</f>
        <v>25000000000315</v>
      </c>
      <c r="C318" s="29" t="str">
        <f>VLOOKUP(B318, [1]DataLookUp!$B$4:$D$621, 2, FALSE)</f>
        <v>Nora Meilissa</v>
      </c>
      <c r="D318" s="29" t="str">
        <f>VLOOKUP(B318, [1]DataLookUp!$B$4:$D$621, 3, FALSE)</f>
        <v/>
      </c>
      <c r="E318" s="40"/>
      <c r="F318" s="45" t="str">
        <f t="shared" si="10"/>
        <v/>
      </c>
      <c r="G318" s="30"/>
      <c r="H318" s="31"/>
      <c r="I318" s="50"/>
      <c r="J318" s="40"/>
      <c r="K318" s="40"/>
      <c r="L318" s="51"/>
      <c r="M318" s="52"/>
      <c r="N318" s="50"/>
      <c r="P318" s="55" t="str">
        <f t="shared" si="9"/>
        <v/>
      </c>
    </row>
    <row r="319" spans="2:16" x14ac:dyDescent="0.25">
      <c r="B319" s="28">
        <f>[1]DataLookUp!$B319</f>
        <v>25000000000316</v>
      </c>
      <c r="C319" s="29" t="str">
        <f>VLOOKUP(B319, [1]DataLookUp!$B$4:$D$621, 2, FALSE)</f>
        <v>Novalia</v>
      </c>
      <c r="D319" s="29" t="str">
        <f>VLOOKUP(B319, [1]DataLookUp!$B$4:$D$621, 3, FALSE)</f>
        <v/>
      </c>
      <c r="E319" s="40"/>
      <c r="F319" s="45" t="str">
        <f t="shared" si="10"/>
        <v/>
      </c>
      <c r="G319" s="30"/>
      <c r="H319" s="31"/>
      <c r="I319" s="50"/>
      <c r="J319" s="40"/>
      <c r="K319" s="40"/>
      <c r="L319" s="51"/>
      <c r="M319" s="52"/>
      <c r="N319" s="50"/>
      <c r="P319" s="55" t="str">
        <f t="shared" si="9"/>
        <v/>
      </c>
    </row>
    <row r="320" spans="2:16" x14ac:dyDescent="0.25">
      <c r="B320" s="28">
        <f>[1]DataLookUp!$B320</f>
        <v>25000000000317</v>
      </c>
      <c r="C320" s="29" t="str">
        <f>VLOOKUP(B320, [1]DataLookUp!$B$4:$D$621, 2, FALSE)</f>
        <v>Novan Nugraha</v>
      </c>
      <c r="D320" s="29" t="str">
        <f>VLOOKUP(B320, [1]DataLookUp!$B$4:$D$621, 3, FALSE)</f>
        <v/>
      </c>
      <c r="E320" s="40"/>
      <c r="F320" s="45" t="str">
        <f t="shared" si="10"/>
        <v/>
      </c>
      <c r="G320" s="30"/>
      <c r="H320" s="31"/>
      <c r="I320" s="50"/>
      <c r="J320" s="40"/>
      <c r="K320" s="40"/>
      <c r="L320" s="51"/>
      <c r="M320" s="52"/>
      <c r="N320" s="50"/>
      <c r="P320" s="55" t="str">
        <f t="shared" si="9"/>
        <v/>
      </c>
    </row>
    <row r="321" spans="2:16" x14ac:dyDescent="0.25">
      <c r="B321" s="28">
        <f>[1]DataLookUp!$B321</f>
        <v>25000000000318</v>
      </c>
      <c r="C321" s="29" t="str">
        <f>VLOOKUP(B321, [1]DataLookUp!$B$4:$D$621, 2, FALSE)</f>
        <v>Nugraha</v>
      </c>
      <c r="D321" s="29" t="str">
        <f>VLOOKUP(B321, [1]DataLookUp!$B$4:$D$621, 3, FALSE)</f>
        <v/>
      </c>
      <c r="E321" s="40"/>
      <c r="F321" s="45" t="str">
        <f t="shared" si="10"/>
        <v/>
      </c>
      <c r="G321" s="30"/>
      <c r="H321" s="31"/>
      <c r="I321" s="50"/>
      <c r="J321" s="40"/>
      <c r="K321" s="40"/>
      <c r="L321" s="51"/>
      <c r="M321" s="52"/>
      <c r="N321" s="50"/>
      <c r="P321" s="55" t="str">
        <f t="shared" si="9"/>
        <v/>
      </c>
    </row>
    <row r="322" spans="2:16" x14ac:dyDescent="0.25">
      <c r="B322" s="28">
        <f>[1]DataLookUp!$B322</f>
        <v>25000000000319</v>
      </c>
      <c r="C322" s="29" t="str">
        <f>VLOOKUP(B322, [1]DataLookUp!$B$4:$D$621, 2, FALSE)</f>
        <v>Nugroho Putranto</v>
      </c>
      <c r="D322" s="29" t="str">
        <f>VLOOKUP(B322, [1]DataLookUp!$B$4:$D$621, 3, FALSE)</f>
        <v/>
      </c>
      <c r="E322" s="40"/>
      <c r="F322" s="45" t="str">
        <f t="shared" si="10"/>
        <v/>
      </c>
      <c r="G322" s="30"/>
      <c r="H322" s="31"/>
      <c r="I322" s="50"/>
      <c r="J322" s="40"/>
      <c r="K322" s="40"/>
      <c r="L322" s="51"/>
      <c r="M322" s="52"/>
      <c r="N322" s="50"/>
      <c r="P322" s="55" t="str">
        <f t="shared" si="9"/>
        <v/>
      </c>
    </row>
    <row r="323" spans="2:16" x14ac:dyDescent="0.25">
      <c r="B323" s="28">
        <f>[1]DataLookUp!$B323</f>
        <v>25000000000320</v>
      </c>
      <c r="C323" s="29" t="str">
        <f>VLOOKUP(B323, [1]DataLookUp!$B$4:$D$621, 2, FALSE)</f>
        <v>Nur Indra Sri Melati</v>
      </c>
      <c r="D323" s="29" t="str">
        <f>VLOOKUP(B323, [1]DataLookUp!$B$4:$D$621, 3, FALSE)</f>
        <v/>
      </c>
      <c r="E323" s="40"/>
      <c r="F323" s="45" t="str">
        <f t="shared" si="10"/>
        <v/>
      </c>
      <c r="G323" s="30"/>
      <c r="H323" s="31"/>
      <c r="I323" s="50"/>
      <c r="J323" s="40"/>
      <c r="K323" s="40"/>
      <c r="L323" s="51"/>
      <c r="M323" s="52"/>
      <c r="N323" s="50"/>
      <c r="P323" s="55" t="str">
        <f t="shared" si="9"/>
        <v/>
      </c>
    </row>
    <row r="324" spans="2:16" x14ac:dyDescent="0.25">
      <c r="B324" s="28">
        <f>[1]DataLookUp!$B324</f>
        <v>25000000000321</v>
      </c>
      <c r="C324" s="29" t="str">
        <f>VLOOKUP(B324, [1]DataLookUp!$B$4:$D$621, 2, FALSE)</f>
        <v>Nur Kusumowati</v>
      </c>
      <c r="D324" s="29" t="str">
        <f>VLOOKUP(B324, [1]DataLookUp!$B$4:$D$621, 3, FALSE)</f>
        <v/>
      </c>
      <c r="E324" s="40"/>
      <c r="F324" s="45" t="str">
        <f t="shared" si="10"/>
        <v/>
      </c>
      <c r="G324" s="30"/>
      <c r="H324" s="31"/>
      <c r="I324" s="50"/>
      <c r="J324" s="40"/>
      <c r="K324" s="40"/>
      <c r="L324" s="51"/>
      <c r="M324" s="52"/>
      <c r="N324" s="50"/>
      <c r="P324" s="55" t="str">
        <f t="shared" si="9"/>
        <v/>
      </c>
    </row>
    <row r="325" spans="2:16" x14ac:dyDescent="0.25">
      <c r="B325" s="28">
        <f>[1]DataLookUp!$B325</f>
        <v>25000000000322</v>
      </c>
      <c r="C325" s="29" t="str">
        <f>VLOOKUP(B325, [1]DataLookUp!$B$4:$D$621, 2, FALSE)</f>
        <v>Nurhidayat</v>
      </c>
      <c r="D325" s="29" t="str">
        <f>VLOOKUP(B325, [1]DataLookUp!$B$4:$D$621, 3, FALSE)</f>
        <v/>
      </c>
      <c r="E325" s="40"/>
      <c r="F325" s="45" t="str">
        <f t="shared" si="10"/>
        <v/>
      </c>
      <c r="G325" s="30"/>
      <c r="H325" s="31"/>
      <c r="I325" s="50"/>
      <c r="J325" s="40"/>
      <c r="K325" s="40"/>
      <c r="L325" s="51"/>
      <c r="M325" s="52"/>
      <c r="N325" s="50"/>
      <c r="P325" s="55" t="str">
        <f t="shared" ref="P325:P388" si="11">IF(EXACT(D325, ""), "", CONCATENATE("PERFORM ""SchData-OLTP-Master"".""Func_TblCitizenIdentity_SET""(varSystemLoginSession, null, null, null, varInstitutionBranchID, ",  IF(EXACT(B325, ""), "NULL", B325), "::bigint, '", C325, "'::varchar, '", D325, "'::varchar, ", IF(EXACT(F325, ""), "NULL", F325), "::bigint, ", "NULL", "::bigint, '", TEXT(H325, "YYYY-MM-DD"), "'::timestamp, ", "NULL", "::bigint, ", "NULL", "::bigint, ", "NULL", "::bigint, ", "NULL", "::bigint,  ", IF(EXACT(M325, ""), "NULL", M325), "::bigint, ", "NULL", "::bigint, ", "NULL", "::bigint, ", "NULL", "::bigint, '", CONCATENATE(I325, IF(EXACT(M325, ""), " "&amp;L325, "")), "'::varchar, ", IF(EXACT(J325, ""), "NULL", J325*1), "::smallint, ", IF(EXACT(K325, ""), "NULL", K325*1), "::smallint);
"))</f>
        <v/>
      </c>
    </row>
    <row r="326" spans="2:16" x14ac:dyDescent="0.25">
      <c r="B326" s="28">
        <f>[1]DataLookUp!$B326</f>
        <v>25000000000323</v>
      </c>
      <c r="C326" s="29" t="str">
        <f>VLOOKUP(B326, [1]DataLookUp!$B$4:$D$621, 2, FALSE)</f>
        <v>Otong Bustori</v>
      </c>
      <c r="D326" s="29" t="str">
        <f>VLOOKUP(B326, [1]DataLookUp!$B$4:$D$621, 3, FALSE)</f>
        <v/>
      </c>
      <c r="E326" s="40"/>
      <c r="F326" s="45" t="str">
        <f t="shared" si="10"/>
        <v/>
      </c>
      <c r="G326" s="30"/>
      <c r="H326" s="31"/>
      <c r="I326" s="50"/>
      <c r="J326" s="40"/>
      <c r="K326" s="40"/>
      <c r="L326" s="51"/>
      <c r="M326" s="52"/>
      <c r="N326" s="50"/>
      <c r="P326" s="55" t="str">
        <f t="shared" si="11"/>
        <v/>
      </c>
    </row>
    <row r="327" spans="2:16" x14ac:dyDescent="0.25">
      <c r="B327" s="28">
        <f>[1]DataLookUp!$B327</f>
        <v>25000000000324</v>
      </c>
      <c r="C327" s="29" t="str">
        <f>VLOOKUP(B327, [1]DataLookUp!$B$4:$D$621, 2, FALSE)</f>
        <v>Paino Suprayinto</v>
      </c>
      <c r="D327" s="29" t="str">
        <f>VLOOKUP(B327, [1]DataLookUp!$B$4:$D$621, 3, FALSE)</f>
        <v/>
      </c>
      <c r="E327" s="40"/>
      <c r="F327" s="45" t="str">
        <f t="shared" si="10"/>
        <v/>
      </c>
      <c r="G327" s="30"/>
      <c r="H327" s="31"/>
      <c r="I327" s="50"/>
      <c r="J327" s="40"/>
      <c r="K327" s="40"/>
      <c r="L327" s="51"/>
      <c r="M327" s="52"/>
      <c r="N327" s="50"/>
      <c r="P327" s="55" t="str">
        <f t="shared" si="11"/>
        <v/>
      </c>
    </row>
    <row r="328" spans="2:16" x14ac:dyDescent="0.25">
      <c r="B328" s="28">
        <f>[1]DataLookUp!$B328</f>
        <v>25000000000325</v>
      </c>
      <c r="C328" s="29" t="str">
        <f>VLOOKUP(B328, [1]DataLookUp!$B$4:$D$621, 2, FALSE)</f>
        <v>Panca Yudi Baskoro</v>
      </c>
      <c r="D328" s="29" t="str">
        <f>VLOOKUP(B328, [1]DataLookUp!$B$4:$D$621, 3, FALSE)</f>
        <v/>
      </c>
      <c r="E328" s="40"/>
      <c r="F328" s="45" t="str">
        <f t="shared" si="10"/>
        <v/>
      </c>
      <c r="G328" s="30"/>
      <c r="H328" s="31"/>
      <c r="I328" s="50"/>
      <c r="J328" s="40"/>
      <c r="K328" s="40"/>
      <c r="L328" s="51"/>
      <c r="M328" s="52"/>
      <c r="N328" s="50"/>
      <c r="P328" s="55" t="str">
        <f t="shared" si="11"/>
        <v/>
      </c>
    </row>
    <row r="329" spans="2:16" x14ac:dyDescent="0.25">
      <c r="B329" s="28">
        <f>[1]DataLookUp!$B329</f>
        <v>25000000000326</v>
      </c>
      <c r="C329" s="29" t="str">
        <f>VLOOKUP(B329, [1]DataLookUp!$B$4:$D$621, 2, FALSE)</f>
        <v>Panji Bima Santri</v>
      </c>
      <c r="D329" s="29" t="str">
        <f>VLOOKUP(B329, [1]DataLookUp!$B$4:$D$621, 3, FALSE)</f>
        <v/>
      </c>
      <c r="E329" s="40"/>
      <c r="F329" s="45" t="str">
        <f t="shared" si="10"/>
        <v/>
      </c>
      <c r="G329" s="30"/>
      <c r="H329" s="31"/>
      <c r="I329" s="50"/>
      <c r="J329" s="40"/>
      <c r="K329" s="40"/>
      <c r="L329" s="51"/>
      <c r="M329" s="52"/>
      <c r="N329" s="50"/>
      <c r="P329" s="55" t="str">
        <f t="shared" si="11"/>
        <v/>
      </c>
    </row>
    <row r="330" spans="2:16" x14ac:dyDescent="0.25">
      <c r="B330" s="28">
        <f>[1]DataLookUp!$B330</f>
        <v>25000000000327</v>
      </c>
      <c r="C330" s="29" t="str">
        <f>VLOOKUP(B330, [1]DataLookUp!$B$4:$D$621, 2, FALSE)</f>
        <v>Parulian Napitupulu</v>
      </c>
      <c r="D330" s="29" t="str">
        <f>VLOOKUP(B330, [1]DataLookUp!$B$4:$D$621, 3, FALSE)</f>
        <v/>
      </c>
      <c r="E330" s="40"/>
      <c r="F330" s="45" t="str">
        <f t="shared" si="10"/>
        <v/>
      </c>
      <c r="G330" s="30"/>
      <c r="H330" s="31"/>
      <c r="I330" s="50"/>
      <c r="J330" s="40"/>
      <c r="K330" s="40"/>
      <c r="L330" s="51"/>
      <c r="M330" s="52"/>
      <c r="N330" s="50"/>
      <c r="P330" s="55" t="str">
        <f t="shared" si="11"/>
        <v/>
      </c>
    </row>
    <row r="331" spans="2:16" x14ac:dyDescent="0.25">
      <c r="B331" s="28">
        <f>[1]DataLookUp!$B331</f>
        <v>25000000000328</v>
      </c>
      <c r="C331" s="29" t="str">
        <f>VLOOKUP(B331, [1]DataLookUp!$B$4:$D$621, 2, FALSE)</f>
        <v>Paryanto</v>
      </c>
      <c r="D331" s="29" t="str">
        <f>VLOOKUP(B331, [1]DataLookUp!$B$4:$D$621, 3, FALSE)</f>
        <v/>
      </c>
      <c r="E331" s="40"/>
      <c r="F331" s="45" t="str">
        <f t="shared" ref="F331:F394" si="12">IF(EXACT(E331, ""), "", IF(EXACT(E331, "L"), 156000000000001, 156000000000002))</f>
        <v/>
      </c>
      <c r="G331" s="30"/>
      <c r="H331" s="31"/>
      <c r="I331" s="50"/>
      <c r="J331" s="40"/>
      <c r="K331" s="40"/>
      <c r="L331" s="51"/>
      <c r="M331" s="52"/>
      <c r="N331" s="50"/>
      <c r="P331" s="55" t="str">
        <f t="shared" si="11"/>
        <v/>
      </c>
    </row>
    <row r="332" spans="2:16" x14ac:dyDescent="0.25">
      <c r="B332" s="28">
        <f>[1]DataLookUp!$B332</f>
        <v>25000000000329</v>
      </c>
      <c r="C332" s="29" t="str">
        <f>VLOOKUP(B332, [1]DataLookUp!$B$4:$D$621, 2, FALSE)</f>
        <v>Pikri Hidayat</v>
      </c>
      <c r="D332" s="29" t="str">
        <f>VLOOKUP(B332, [1]DataLookUp!$B$4:$D$621, 3, FALSE)</f>
        <v/>
      </c>
      <c r="E332" s="40"/>
      <c r="F332" s="45" t="str">
        <f t="shared" si="12"/>
        <v/>
      </c>
      <c r="G332" s="30"/>
      <c r="H332" s="31"/>
      <c r="I332" s="50"/>
      <c r="J332" s="40"/>
      <c r="K332" s="40"/>
      <c r="L332" s="51"/>
      <c r="M332" s="52"/>
      <c r="N332" s="50"/>
      <c r="P332" s="55" t="str">
        <f t="shared" si="11"/>
        <v/>
      </c>
    </row>
    <row r="333" spans="2:16" x14ac:dyDescent="0.25">
      <c r="B333" s="28">
        <f>[1]DataLookUp!$B333</f>
        <v>25000000000330</v>
      </c>
      <c r="C333" s="29" t="str">
        <f>VLOOKUP(B333, [1]DataLookUp!$B$4:$D$621, 2, FALSE)</f>
        <v>Prayanti Dewi Anggraini</v>
      </c>
      <c r="D333" s="29" t="str">
        <f>VLOOKUP(B333, [1]DataLookUp!$B$4:$D$621, 3, FALSE)</f>
        <v/>
      </c>
      <c r="E333" s="40"/>
      <c r="F333" s="45" t="str">
        <f t="shared" si="12"/>
        <v/>
      </c>
      <c r="G333" s="30"/>
      <c r="H333" s="31"/>
      <c r="I333" s="50"/>
      <c r="J333" s="40"/>
      <c r="K333" s="40"/>
      <c r="L333" s="51"/>
      <c r="M333" s="52"/>
      <c r="N333" s="50"/>
      <c r="P333" s="55" t="str">
        <f t="shared" si="11"/>
        <v/>
      </c>
    </row>
    <row r="334" spans="2:16" x14ac:dyDescent="0.25">
      <c r="B334" s="28">
        <f>[1]DataLookUp!$B334</f>
        <v>25000000000331</v>
      </c>
      <c r="C334" s="29" t="str">
        <f>VLOOKUP(B334, [1]DataLookUp!$B$4:$D$621, 2, FALSE)</f>
        <v>Prayati Zai</v>
      </c>
      <c r="D334" s="29" t="str">
        <f>VLOOKUP(B334, [1]DataLookUp!$B$4:$D$621, 3, FALSE)</f>
        <v/>
      </c>
      <c r="E334" s="40"/>
      <c r="F334" s="45" t="str">
        <f t="shared" si="12"/>
        <v/>
      </c>
      <c r="G334" s="30"/>
      <c r="H334" s="31"/>
      <c r="I334" s="50"/>
      <c r="J334" s="40"/>
      <c r="K334" s="40"/>
      <c r="L334" s="51"/>
      <c r="M334" s="52"/>
      <c r="N334" s="50"/>
      <c r="P334" s="55" t="str">
        <f t="shared" si="11"/>
        <v/>
      </c>
    </row>
    <row r="335" spans="2:16" x14ac:dyDescent="0.25">
      <c r="B335" s="28">
        <f>[1]DataLookUp!$B335</f>
        <v>25000000000332</v>
      </c>
      <c r="C335" s="29" t="str">
        <f>VLOOKUP(B335, [1]DataLookUp!$B$4:$D$621, 2, FALSE)</f>
        <v>Pristu Andonoto</v>
      </c>
      <c r="D335" s="29" t="str">
        <f>VLOOKUP(B335, [1]DataLookUp!$B$4:$D$621, 3, FALSE)</f>
        <v/>
      </c>
      <c r="E335" s="40"/>
      <c r="F335" s="45" t="str">
        <f t="shared" si="12"/>
        <v/>
      </c>
      <c r="G335" s="30"/>
      <c r="H335" s="31"/>
      <c r="I335" s="50"/>
      <c r="J335" s="40"/>
      <c r="K335" s="40"/>
      <c r="L335" s="51"/>
      <c r="M335" s="52"/>
      <c r="N335" s="50"/>
      <c r="P335" s="55" t="str">
        <f t="shared" si="11"/>
        <v/>
      </c>
    </row>
    <row r="336" spans="2:16" x14ac:dyDescent="0.25">
      <c r="B336" s="28">
        <f>[1]DataLookUp!$B336</f>
        <v>25000000000333</v>
      </c>
      <c r="C336" s="29" t="str">
        <f>VLOOKUP(B336, [1]DataLookUp!$B$4:$D$621, 2, FALSE)</f>
        <v>Putra Perdana Tirtomoyo</v>
      </c>
      <c r="D336" s="29" t="str">
        <f>VLOOKUP(B336, [1]DataLookUp!$B$4:$D$621, 3, FALSE)</f>
        <v/>
      </c>
      <c r="E336" s="40"/>
      <c r="F336" s="45" t="str">
        <f t="shared" si="12"/>
        <v/>
      </c>
      <c r="G336" s="30"/>
      <c r="H336" s="31"/>
      <c r="I336" s="50"/>
      <c r="J336" s="40"/>
      <c r="K336" s="40"/>
      <c r="L336" s="51"/>
      <c r="M336" s="52"/>
      <c r="N336" s="50"/>
      <c r="P336" s="55" t="str">
        <f t="shared" si="11"/>
        <v/>
      </c>
    </row>
    <row r="337" spans="2:16" x14ac:dyDescent="0.25">
      <c r="B337" s="28">
        <f>[1]DataLookUp!$B337</f>
        <v>25000000000334</v>
      </c>
      <c r="C337" s="29" t="str">
        <f>VLOOKUP(B337, [1]DataLookUp!$B$4:$D$621, 2, FALSE)</f>
        <v>R. Lar Kumalaning Tresno</v>
      </c>
      <c r="D337" s="29" t="str">
        <f>VLOOKUP(B337, [1]DataLookUp!$B$4:$D$621, 3, FALSE)</f>
        <v/>
      </c>
      <c r="E337" s="40"/>
      <c r="F337" s="45" t="str">
        <f t="shared" si="12"/>
        <v/>
      </c>
      <c r="G337" s="30"/>
      <c r="H337" s="31"/>
      <c r="I337" s="50"/>
      <c r="J337" s="40"/>
      <c r="K337" s="40"/>
      <c r="L337" s="51"/>
      <c r="M337" s="52"/>
      <c r="N337" s="50"/>
      <c r="P337" s="55" t="str">
        <f t="shared" si="11"/>
        <v/>
      </c>
    </row>
    <row r="338" spans="2:16" x14ac:dyDescent="0.25">
      <c r="B338" s="28">
        <f>[1]DataLookUp!$B338</f>
        <v>25000000000335</v>
      </c>
      <c r="C338" s="29" t="str">
        <f>VLOOKUP(B338, [1]DataLookUp!$B$4:$D$621, 2, FALSE)</f>
        <v>Rachmad</v>
      </c>
      <c r="D338" s="29" t="str">
        <f>VLOOKUP(B338, [1]DataLookUp!$B$4:$D$621, 3, FALSE)</f>
        <v/>
      </c>
      <c r="E338" s="40"/>
      <c r="F338" s="45" t="str">
        <f t="shared" si="12"/>
        <v/>
      </c>
      <c r="G338" s="30"/>
      <c r="H338" s="31"/>
      <c r="I338" s="50"/>
      <c r="J338" s="40"/>
      <c r="K338" s="40"/>
      <c r="L338" s="51"/>
      <c r="M338" s="52"/>
      <c r="N338" s="50"/>
      <c r="P338" s="55" t="str">
        <f t="shared" si="11"/>
        <v/>
      </c>
    </row>
    <row r="339" spans="2:16" x14ac:dyDescent="0.25">
      <c r="B339" s="28">
        <f>[1]DataLookUp!$B339</f>
        <v>25000000000336</v>
      </c>
      <c r="C339" s="29" t="str">
        <f>VLOOKUP(B339, [1]DataLookUp!$B$4:$D$621, 2, FALSE)</f>
        <v>Radjiman</v>
      </c>
      <c r="D339" s="29" t="str">
        <f>VLOOKUP(B339, [1]DataLookUp!$B$4:$D$621, 3, FALSE)</f>
        <v/>
      </c>
      <c r="E339" s="40"/>
      <c r="F339" s="45" t="str">
        <f t="shared" si="12"/>
        <v/>
      </c>
      <c r="G339" s="30"/>
      <c r="H339" s="31"/>
      <c r="I339" s="50"/>
      <c r="J339" s="40"/>
      <c r="K339" s="40"/>
      <c r="L339" s="51"/>
      <c r="M339" s="52"/>
      <c r="N339" s="50"/>
      <c r="P339" s="55" t="str">
        <f t="shared" si="11"/>
        <v/>
      </c>
    </row>
    <row r="340" spans="2:16" x14ac:dyDescent="0.25">
      <c r="B340" s="28">
        <f>[1]DataLookUp!$B340</f>
        <v>25000000000337</v>
      </c>
      <c r="C340" s="29" t="str">
        <f>VLOOKUP(B340, [1]DataLookUp!$B$4:$D$621, 2, FALSE)</f>
        <v>Rafi Firman Saputra</v>
      </c>
      <c r="D340" s="29" t="str">
        <f>VLOOKUP(B340, [1]DataLookUp!$B$4:$D$621, 3, FALSE)</f>
        <v/>
      </c>
      <c r="E340" s="40"/>
      <c r="F340" s="45" t="str">
        <f t="shared" si="12"/>
        <v/>
      </c>
      <c r="G340" s="30"/>
      <c r="H340" s="31"/>
      <c r="I340" s="50"/>
      <c r="J340" s="40"/>
      <c r="K340" s="40"/>
      <c r="L340" s="51"/>
      <c r="M340" s="52"/>
      <c r="N340" s="50"/>
      <c r="P340" s="55" t="str">
        <f t="shared" si="11"/>
        <v/>
      </c>
    </row>
    <row r="341" spans="2:16" x14ac:dyDescent="0.25">
      <c r="B341" s="28">
        <f>[1]DataLookUp!$B341</f>
        <v>25000000000338</v>
      </c>
      <c r="C341" s="29" t="str">
        <f>VLOOKUP(B341, [1]DataLookUp!$B$4:$D$621, 2, FALSE)</f>
        <v>Rahmat Riyadi</v>
      </c>
      <c r="D341" s="29" t="str">
        <f>VLOOKUP(B341, [1]DataLookUp!$B$4:$D$621, 3, FALSE)</f>
        <v/>
      </c>
      <c r="E341" s="40"/>
      <c r="F341" s="45" t="str">
        <f t="shared" si="12"/>
        <v/>
      </c>
      <c r="G341" s="30"/>
      <c r="H341" s="31"/>
      <c r="I341" s="50"/>
      <c r="J341" s="40"/>
      <c r="K341" s="40"/>
      <c r="L341" s="51"/>
      <c r="M341" s="52"/>
      <c r="N341" s="50"/>
      <c r="P341" s="55" t="str">
        <f t="shared" si="11"/>
        <v/>
      </c>
    </row>
    <row r="342" spans="2:16" x14ac:dyDescent="0.25">
      <c r="B342" s="28">
        <f>[1]DataLookUp!$B342</f>
        <v>25000000000339</v>
      </c>
      <c r="C342" s="29" t="str">
        <f>VLOOKUP(B342, [1]DataLookUp!$B$4:$D$621, 2, FALSE)</f>
        <v>Rahmat Sirfano</v>
      </c>
      <c r="D342" s="29" t="str">
        <f>VLOOKUP(B342, [1]DataLookUp!$B$4:$D$621, 3, FALSE)</f>
        <v/>
      </c>
      <c r="E342" s="40"/>
      <c r="F342" s="45" t="str">
        <f t="shared" si="12"/>
        <v/>
      </c>
      <c r="G342" s="30"/>
      <c r="H342" s="31"/>
      <c r="I342" s="50"/>
      <c r="J342" s="40"/>
      <c r="K342" s="40"/>
      <c r="L342" s="51"/>
      <c r="M342" s="52"/>
      <c r="N342" s="50"/>
      <c r="P342" s="55" t="str">
        <f t="shared" si="11"/>
        <v/>
      </c>
    </row>
    <row r="343" spans="2:16" x14ac:dyDescent="0.25">
      <c r="B343" s="28">
        <f>[1]DataLookUp!$B343</f>
        <v>25000000000340</v>
      </c>
      <c r="C343" s="29" t="str">
        <f>VLOOKUP(B343, [1]DataLookUp!$B$4:$D$621, 2, FALSE)</f>
        <v>Rais Indra Noor</v>
      </c>
      <c r="D343" s="29" t="str">
        <f>VLOOKUP(B343, [1]DataLookUp!$B$4:$D$621, 3, FALSE)</f>
        <v/>
      </c>
      <c r="E343" s="40"/>
      <c r="F343" s="45" t="str">
        <f t="shared" si="12"/>
        <v/>
      </c>
      <c r="G343" s="30"/>
      <c r="H343" s="31"/>
      <c r="I343" s="50"/>
      <c r="J343" s="40"/>
      <c r="K343" s="40"/>
      <c r="L343" s="51"/>
      <c r="M343" s="52"/>
      <c r="N343" s="50"/>
      <c r="P343" s="55" t="str">
        <f t="shared" si="11"/>
        <v/>
      </c>
    </row>
    <row r="344" spans="2:16" x14ac:dyDescent="0.25">
      <c r="B344" s="28">
        <f>[1]DataLookUp!$B344</f>
        <v>25000000000341</v>
      </c>
      <c r="C344" s="29" t="str">
        <f>VLOOKUP(B344, [1]DataLookUp!$B$4:$D$621, 2, FALSE)</f>
        <v>Rakman A. Hadi</v>
      </c>
      <c r="D344" s="29" t="str">
        <f>VLOOKUP(B344, [1]DataLookUp!$B$4:$D$621, 3, FALSE)</f>
        <v/>
      </c>
      <c r="E344" s="40"/>
      <c r="F344" s="45" t="str">
        <f t="shared" si="12"/>
        <v/>
      </c>
      <c r="G344" s="30"/>
      <c r="H344" s="31"/>
      <c r="I344" s="50"/>
      <c r="J344" s="40"/>
      <c r="K344" s="40"/>
      <c r="L344" s="51"/>
      <c r="M344" s="52"/>
      <c r="N344" s="50"/>
      <c r="P344" s="55" t="str">
        <f t="shared" si="11"/>
        <v/>
      </c>
    </row>
    <row r="345" spans="2:16" x14ac:dyDescent="0.25">
      <c r="B345" s="28">
        <f>[1]DataLookUp!$B345</f>
        <v>25000000000342</v>
      </c>
      <c r="C345" s="29" t="str">
        <f>VLOOKUP(B345, [1]DataLookUp!$B$4:$D$621, 2, FALSE)</f>
        <v>Ramaizon</v>
      </c>
      <c r="D345" s="29" t="str">
        <f>VLOOKUP(B345, [1]DataLookUp!$B$4:$D$621, 3, FALSE)</f>
        <v/>
      </c>
      <c r="E345" s="40"/>
      <c r="F345" s="45" t="str">
        <f t="shared" si="12"/>
        <v/>
      </c>
      <c r="G345" s="30"/>
      <c r="H345" s="31"/>
      <c r="I345" s="50"/>
      <c r="J345" s="40"/>
      <c r="K345" s="40"/>
      <c r="L345" s="51"/>
      <c r="M345" s="52"/>
      <c r="N345" s="50"/>
      <c r="P345" s="55" t="str">
        <f t="shared" si="11"/>
        <v/>
      </c>
    </row>
    <row r="346" spans="2:16" x14ac:dyDescent="0.25">
      <c r="B346" s="28">
        <f>[1]DataLookUp!$B346</f>
        <v>25000000000343</v>
      </c>
      <c r="C346" s="29" t="str">
        <f>VLOOKUP(B346, [1]DataLookUp!$B$4:$D$621, 2, FALSE)</f>
        <v>Rangga Darmawan</v>
      </c>
      <c r="D346" s="29" t="str">
        <f>VLOOKUP(B346, [1]DataLookUp!$B$4:$D$621, 3, FALSE)</f>
        <v/>
      </c>
      <c r="E346" s="40"/>
      <c r="F346" s="45" t="str">
        <f t="shared" si="12"/>
        <v/>
      </c>
      <c r="G346" s="30"/>
      <c r="H346" s="31"/>
      <c r="I346" s="50"/>
      <c r="J346" s="40"/>
      <c r="K346" s="40"/>
      <c r="L346" s="51"/>
      <c r="M346" s="52"/>
      <c r="N346" s="50"/>
      <c r="P346" s="55" t="str">
        <f t="shared" si="11"/>
        <v/>
      </c>
    </row>
    <row r="347" spans="2:16" x14ac:dyDescent="0.25">
      <c r="B347" s="28">
        <f>[1]DataLookUp!$B347</f>
        <v>25000000000344</v>
      </c>
      <c r="C347" s="29" t="str">
        <f>VLOOKUP(B347, [1]DataLookUp!$B$4:$D$621, 2, FALSE)</f>
        <v>Raoli Nainggolan</v>
      </c>
      <c r="D347" s="29" t="str">
        <f>VLOOKUP(B347, [1]DataLookUp!$B$4:$D$621, 3, FALSE)</f>
        <v/>
      </c>
      <c r="E347" s="40"/>
      <c r="F347" s="45" t="str">
        <f t="shared" si="12"/>
        <v/>
      </c>
      <c r="G347" s="30"/>
      <c r="H347" s="31"/>
      <c r="I347" s="50"/>
      <c r="J347" s="40"/>
      <c r="K347" s="40"/>
      <c r="L347" s="51"/>
      <c r="M347" s="52"/>
      <c r="N347" s="50"/>
      <c r="P347" s="55" t="str">
        <f t="shared" si="11"/>
        <v/>
      </c>
    </row>
    <row r="348" spans="2:16" x14ac:dyDescent="0.25">
      <c r="B348" s="28">
        <f>[1]DataLookUp!$B348</f>
        <v>25000000000345</v>
      </c>
      <c r="C348" s="29" t="str">
        <f>VLOOKUP(B348, [1]DataLookUp!$B$4:$D$621, 2, FALSE)</f>
        <v>Rayan Suryadikara</v>
      </c>
      <c r="D348" s="29" t="str">
        <f>VLOOKUP(B348, [1]DataLookUp!$B$4:$D$621, 3, FALSE)</f>
        <v/>
      </c>
      <c r="E348" s="40"/>
      <c r="F348" s="45" t="str">
        <f t="shared" si="12"/>
        <v/>
      </c>
      <c r="G348" s="30"/>
      <c r="H348" s="31"/>
      <c r="I348" s="50"/>
      <c r="J348" s="40"/>
      <c r="K348" s="40"/>
      <c r="L348" s="51"/>
      <c r="M348" s="52"/>
      <c r="N348" s="50"/>
      <c r="P348" s="55" t="str">
        <f t="shared" si="11"/>
        <v/>
      </c>
    </row>
    <row r="349" spans="2:16" x14ac:dyDescent="0.25">
      <c r="B349" s="28">
        <f>[1]DataLookUp!$B349</f>
        <v>25000000000346</v>
      </c>
      <c r="C349" s="29" t="str">
        <f>VLOOKUP(B349, [1]DataLookUp!$B$4:$D$621, 2, FALSE)</f>
        <v>Redi Setiadi</v>
      </c>
      <c r="D349" s="29" t="str">
        <f>VLOOKUP(B349, [1]DataLookUp!$B$4:$D$621, 3, FALSE)</f>
        <v/>
      </c>
      <c r="E349" s="40"/>
      <c r="F349" s="45" t="str">
        <f t="shared" si="12"/>
        <v/>
      </c>
      <c r="G349" s="30"/>
      <c r="H349" s="31"/>
      <c r="I349" s="50"/>
      <c r="J349" s="40"/>
      <c r="K349" s="40"/>
      <c r="L349" s="51"/>
      <c r="M349" s="52"/>
      <c r="N349" s="50"/>
      <c r="P349" s="55" t="str">
        <f t="shared" si="11"/>
        <v/>
      </c>
    </row>
    <row r="350" spans="2:16" x14ac:dyDescent="0.25">
      <c r="B350" s="28">
        <f>[1]DataLookUp!$B350</f>
        <v>25000000000347</v>
      </c>
      <c r="C350" s="29" t="str">
        <f>VLOOKUP(B350, [1]DataLookUp!$B$4:$D$621, 2, FALSE)</f>
        <v>Redi Subekti</v>
      </c>
      <c r="D350" s="29" t="str">
        <f>VLOOKUP(B350, [1]DataLookUp!$B$4:$D$621, 3, FALSE)</f>
        <v>3275050308620012</v>
      </c>
      <c r="E350" s="40" t="s">
        <v>179</v>
      </c>
      <c r="F350" s="45">
        <f t="shared" si="12"/>
        <v>156000000000001</v>
      </c>
      <c r="G350" s="30"/>
      <c r="H350" s="31">
        <v>22861</v>
      </c>
      <c r="I350" s="50" t="s">
        <v>287</v>
      </c>
      <c r="J350" s="40"/>
      <c r="K350" s="40"/>
      <c r="L350" s="51" t="s">
        <v>288</v>
      </c>
      <c r="M350" s="52">
        <v>24000000032495</v>
      </c>
      <c r="N350" s="50"/>
      <c r="P350" s="55" t="str">
        <f t="shared" si="11"/>
        <v xml:space="preserve">PERFORM "SchData-OLTP-Master"."Func_TblCitizenIdentity_SET"(varSystemLoginSession, null, null, null, varInstitutionBranchID, 25000000000347::bigint, 'Redi Subekti'::varchar, '3275050308620012'::varchar, 156000000000001::bigint, NULL::bigint, '1962-08-03'::timestamp, NULL::bigint, NULL::bigint, NULL::bigint, NULL::bigint,  24000000032495::bigint, NULL::bigint, NULL::bigint, NULL::bigint, 'Jl. Kavling Polri Blok E No. 29'::varchar, NULL::smallint, NULL::smallint);
</v>
      </c>
    </row>
    <row r="351" spans="2:16" x14ac:dyDescent="0.25">
      <c r="B351" s="28">
        <f>[1]DataLookUp!$B351</f>
        <v>25000000000348</v>
      </c>
      <c r="C351" s="29" t="str">
        <f>VLOOKUP(B351, [1]DataLookUp!$B$4:$D$621, 2, FALSE)</f>
        <v>Rendy Prananta Purba</v>
      </c>
      <c r="D351" s="29" t="str">
        <f>VLOOKUP(B351, [1]DataLookUp!$B$4:$D$621, 3, FALSE)</f>
        <v/>
      </c>
      <c r="E351" s="40"/>
      <c r="F351" s="45" t="str">
        <f t="shared" si="12"/>
        <v/>
      </c>
      <c r="G351" s="30"/>
      <c r="H351" s="31"/>
      <c r="I351" s="50"/>
      <c r="J351" s="40"/>
      <c r="K351" s="40"/>
      <c r="L351" s="51"/>
      <c r="M351" s="52"/>
      <c r="N351" s="50"/>
      <c r="P351" s="55" t="str">
        <f t="shared" si="11"/>
        <v/>
      </c>
    </row>
    <row r="352" spans="2:16" x14ac:dyDescent="0.25">
      <c r="B352" s="28">
        <f>[1]DataLookUp!$B352</f>
        <v>25000000000349</v>
      </c>
      <c r="C352" s="29" t="str">
        <f>VLOOKUP(B352, [1]DataLookUp!$B$4:$D$621, 2, FALSE)</f>
        <v>Reni Septiana</v>
      </c>
      <c r="D352" s="29" t="str">
        <f>VLOOKUP(B352, [1]DataLookUp!$B$4:$D$621, 3, FALSE)</f>
        <v/>
      </c>
      <c r="E352" s="40"/>
      <c r="F352" s="45" t="str">
        <f t="shared" si="12"/>
        <v/>
      </c>
      <c r="G352" s="30"/>
      <c r="H352" s="31"/>
      <c r="I352" s="50"/>
      <c r="J352" s="40"/>
      <c r="K352" s="40"/>
      <c r="L352" s="51"/>
      <c r="M352" s="52"/>
      <c r="N352" s="50"/>
      <c r="P352" s="55" t="str">
        <f t="shared" si="11"/>
        <v/>
      </c>
    </row>
    <row r="353" spans="2:16" x14ac:dyDescent="0.25">
      <c r="B353" s="28">
        <f>[1]DataLookUp!$B353</f>
        <v>25000000000350</v>
      </c>
      <c r="C353" s="29" t="str">
        <f>VLOOKUP(B353, [1]DataLookUp!$B$4:$D$621, 2, FALSE)</f>
        <v>Rere Ronggolawe</v>
      </c>
      <c r="D353" s="29" t="str">
        <f>VLOOKUP(B353, [1]DataLookUp!$B$4:$D$621, 3, FALSE)</f>
        <v/>
      </c>
      <c r="E353" s="40"/>
      <c r="F353" s="45" t="str">
        <f t="shared" si="12"/>
        <v/>
      </c>
      <c r="G353" s="30"/>
      <c r="H353" s="31"/>
      <c r="I353" s="50"/>
      <c r="J353" s="40"/>
      <c r="K353" s="40"/>
      <c r="L353" s="51"/>
      <c r="M353" s="52"/>
      <c r="N353" s="50"/>
      <c r="P353" s="55" t="str">
        <f t="shared" si="11"/>
        <v/>
      </c>
    </row>
    <row r="354" spans="2:16" x14ac:dyDescent="0.25">
      <c r="B354" s="28">
        <f>[1]DataLookUp!$B354</f>
        <v>25000000000351</v>
      </c>
      <c r="C354" s="29" t="str">
        <f>VLOOKUP(B354, [1]DataLookUp!$B$4:$D$621, 2, FALSE)</f>
        <v>Retnasha Gameswari</v>
      </c>
      <c r="D354" s="29" t="str">
        <f>VLOOKUP(B354, [1]DataLookUp!$B$4:$D$621, 3, FALSE)</f>
        <v/>
      </c>
      <c r="E354" s="40"/>
      <c r="F354" s="45" t="str">
        <f t="shared" si="12"/>
        <v/>
      </c>
      <c r="G354" s="30"/>
      <c r="H354" s="31"/>
      <c r="I354" s="50"/>
      <c r="J354" s="40"/>
      <c r="K354" s="40"/>
      <c r="L354" s="51"/>
      <c r="M354" s="52"/>
      <c r="N354" s="50"/>
      <c r="P354" s="55" t="str">
        <f t="shared" si="11"/>
        <v/>
      </c>
    </row>
    <row r="355" spans="2:16" ht="25.5" x14ac:dyDescent="0.25">
      <c r="B355" s="28">
        <f>[1]DataLookUp!$B355</f>
        <v>25000000000352</v>
      </c>
      <c r="C355" s="29" t="str">
        <f>VLOOKUP(B355, [1]DataLookUp!$B$4:$D$621, 2, FALSE)</f>
        <v>Rhino Priawan</v>
      </c>
      <c r="D355" s="29" t="str">
        <f>VLOOKUP(B355, [1]DataLookUp!$B$4:$D$621, 3, FALSE)</f>
        <v>7371101110870009</v>
      </c>
      <c r="E355" s="40" t="s">
        <v>179</v>
      </c>
      <c r="F355" s="45">
        <f t="shared" si="12"/>
        <v>156000000000001</v>
      </c>
      <c r="G355" s="30" t="s">
        <v>25</v>
      </c>
      <c r="H355" s="31">
        <v>28774</v>
      </c>
      <c r="I355" s="50" t="s">
        <v>260</v>
      </c>
      <c r="J355" s="40" t="s">
        <v>192</v>
      </c>
      <c r="K355" s="40" t="s">
        <v>259</v>
      </c>
      <c r="L355" s="51" t="s">
        <v>258</v>
      </c>
      <c r="M355" s="52">
        <v>24000000065981</v>
      </c>
      <c r="N355" s="50"/>
      <c r="P355" s="55" t="str">
        <f t="shared" si="11"/>
        <v xml:space="preserve">PERFORM "SchData-OLTP-Master"."Func_TblCitizenIdentity_SET"(varSystemLoginSession, null, null, null, varInstitutionBranchID, 25000000000352::bigint, 'Rhino Priawan'::varchar, '7371101110870009'::varchar, 156000000000001::bigint, NULL::bigint, '1978-10-11'::timestamp, NULL::bigint, NULL::bigint, NULL::bigint, NULL::bigint,  24000000065981::bigint, NULL::bigint, NULL::bigint, NULL::bigint, 'Bontoduri 5 STP I No. 3'::varchar, 2::smallint, 10::smallint);
</v>
      </c>
    </row>
    <row r="356" spans="2:16" x14ac:dyDescent="0.25">
      <c r="B356" s="28">
        <f>[1]DataLookUp!$B356</f>
        <v>25000000000353</v>
      </c>
      <c r="C356" s="29" t="str">
        <f>VLOOKUP(B356, [1]DataLookUp!$B$4:$D$621, 2, FALSE)</f>
        <v>Rian Yushak</v>
      </c>
      <c r="D356" s="29" t="str">
        <f>VLOOKUP(B356, [1]DataLookUp!$B$4:$D$621, 3, FALSE)</f>
        <v/>
      </c>
      <c r="E356" s="40"/>
      <c r="F356" s="45" t="str">
        <f t="shared" si="12"/>
        <v/>
      </c>
      <c r="G356" s="30"/>
      <c r="H356" s="31"/>
      <c r="I356" s="50"/>
      <c r="J356" s="40"/>
      <c r="K356" s="40"/>
      <c r="L356" s="51"/>
      <c r="M356" s="52"/>
      <c r="N356" s="50"/>
      <c r="P356" s="55" t="str">
        <f t="shared" si="11"/>
        <v/>
      </c>
    </row>
    <row r="357" spans="2:16" x14ac:dyDescent="0.25">
      <c r="B357" s="28">
        <f>[1]DataLookUp!$B357</f>
        <v>25000000000354</v>
      </c>
      <c r="C357" s="29" t="str">
        <f>VLOOKUP(B357, [1]DataLookUp!$B$4:$D$621, 2, FALSE)</f>
        <v>Riandi</v>
      </c>
      <c r="D357" s="29" t="str">
        <f>VLOOKUP(B357, [1]DataLookUp!$B$4:$D$621, 3, FALSE)</f>
        <v/>
      </c>
      <c r="E357" s="40"/>
      <c r="F357" s="45" t="str">
        <f t="shared" si="12"/>
        <v/>
      </c>
      <c r="G357" s="30"/>
      <c r="H357" s="31"/>
      <c r="I357" s="50"/>
      <c r="J357" s="40"/>
      <c r="K357" s="40"/>
      <c r="L357" s="51"/>
      <c r="M357" s="52"/>
      <c r="N357" s="50"/>
      <c r="P357" s="55" t="str">
        <f t="shared" si="11"/>
        <v/>
      </c>
    </row>
    <row r="358" spans="2:16" x14ac:dyDescent="0.25">
      <c r="B358" s="28">
        <f>[1]DataLookUp!$B358</f>
        <v>25000000000355</v>
      </c>
      <c r="C358" s="29" t="str">
        <f>VLOOKUP(B358, [1]DataLookUp!$B$4:$D$621, 2, FALSE)</f>
        <v>Ricky Samuel</v>
      </c>
      <c r="D358" s="29" t="str">
        <f>VLOOKUP(B358, [1]DataLookUp!$B$4:$D$621, 3, FALSE)</f>
        <v/>
      </c>
      <c r="E358" s="40"/>
      <c r="F358" s="45" t="str">
        <f t="shared" si="12"/>
        <v/>
      </c>
      <c r="G358" s="30"/>
      <c r="H358" s="31"/>
      <c r="I358" s="50"/>
      <c r="J358" s="40"/>
      <c r="K358" s="40"/>
      <c r="L358" s="51"/>
      <c r="M358" s="52"/>
      <c r="N358" s="50"/>
      <c r="P358" s="55" t="str">
        <f t="shared" si="11"/>
        <v/>
      </c>
    </row>
    <row r="359" spans="2:16" x14ac:dyDescent="0.25">
      <c r="B359" s="28">
        <f>[1]DataLookUp!$B359</f>
        <v>25000000000356</v>
      </c>
      <c r="C359" s="29" t="str">
        <f>VLOOKUP(B359, [1]DataLookUp!$B$4:$D$621, 2, FALSE)</f>
        <v>Ridwan Nurhadi</v>
      </c>
      <c r="D359" s="29" t="str">
        <f>VLOOKUP(B359, [1]DataLookUp!$B$4:$D$621, 3, FALSE)</f>
        <v/>
      </c>
      <c r="E359" s="40"/>
      <c r="F359" s="45" t="str">
        <f t="shared" si="12"/>
        <v/>
      </c>
      <c r="G359" s="30"/>
      <c r="H359" s="31"/>
      <c r="I359" s="50"/>
      <c r="J359" s="40"/>
      <c r="K359" s="40"/>
      <c r="L359" s="51"/>
      <c r="M359" s="52"/>
      <c r="N359" s="50"/>
      <c r="P359" s="55" t="str">
        <f t="shared" si="11"/>
        <v/>
      </c>
    </row>
    <row r="360" spans="2:16" x14ac:dyDescent="0.25">
      <c r="B360" s="28">
        <f>[1]DataLookUp!$B360</f>
        <v>25000000000357</v>
      </c>
      <c r="C360" s="29" t="str">
        <f>VLOOKUP(B360, [1]DataLookUp!$B$4:$D$621, 2, FALSE)</f>
        <v>Rifki</v>
      </c>
      <c r="D360" s="29" t="str">
        <f>VLOOKUP(B360, [1]DataLookUp!$B$4:$D$621, 3, FALSE)</f>
        <v/>
      </c>
      <c r="E360" s="40"/>
      <c r="F360" s="45" t="str">
        <f t="shared" si="12"/>
        <v/>
      </c>
      <c r="G360" s="30"/>
      <c r="H360" s="31"/>
      <c r="I360" s="50"/>
      <c r="J360" s="40"/>
      <c r="K360" s="40"/>
      <c r="L360" s="51"/>
      <c r="M360" s="52"/>
      <c r="N360" s="50"/>
      <c r="P360" s="55" t="str">
        <f t="shared" si="11"/>
        <v/>
      </c>
    </row>
    <row r="361" spans="2:16" x14ac:dyDescent="0.25">
      <c r="B361" s="28">
        <f>[1]DataLookUp!$B361</f>
        <v>25000000000358</v>
      </c>
      <c r="C361" s="29" t="str">
        <f>VLOOKUP(B361, [1]DataLookUp!$B$4:$D$621, 2, FALSE)</f>
        <v>Rika Ginting</v>
      </c>
      <c r="D361" s="29" t="str">
        <f>VLOOKUP(B361, [1]DataLookUp!$B$4:$D$621, 3, FALSE)</f>
        <v/>
      </c>
      <c r="E361" s="40"/>
      <c r="F361" s="45" t="str">
        <f t="shared" si="12"/>
        <v/>
      </c>
      <c r="G361" s="30"/>
      <c r="H361" s="31"/>
      <c r="I361" s="50"/>
      <c r="J361" s="40"/>
      <c r="K361" s="40"/>
      <c r="L361" s="51"/>
      <c r="M361" s="52"/>
      <c r="N361" s="50"/>
      <c r="P361" s="55" t="str">
        <f t="shared" si="11"/>
        <v/>
      </c>
    </row>
    <row r="362" spans="2:16" x14ac:dyDescent="0.25">
      <c r="B362" s="28">
        <f>[1]DataLookUp!$B362</f>
        <v>25000000000359</v>
      </c>
      <c r="C362" s="29" t="str">
        <f>VLOOKUP(B362, [1]DataLookUp!$B$4:$D$621, 2, FALSE)</f>
        <v>Riki Chairul Anwar</v>
      </c>
      <c r="D362" s="29" t="str">
        <f>VLOOKUP(B362, [1]DataLookUp!$B$4:$D$621, 3, FALSE)</f>
        <v/>
      </c>
      <c r="E362" s="40"/>
      <c r="F362" s="45" t="str">
        <f t="shared" si="12"/>
        <v/>
      </c>
      <c r="G362" s="30"/>
      <c r="H362" s="31"/>
      <c r="I362" s="50"/>
      <c r="J362" s="40"/>
      <c r="K362" s="40"/>
      <c r="L362" s="51"/>
      <c r="M362" s="52"/>
      <c r="N362" s="50"/>
      <c r="P362" s="55" t="str">
        <f t="shared" si="11"/>
        <v/>
      </c>
    </row>
    <row r="363" spans="2:16" x14ac:dyDescent="0.25">
      <c r="B363" s="28">
        <f>[1]DataLookUp!$B363</f>
        <v>25000000000360</v>
      </c>
      <c r="C363" s="29" t="str">
        <f>VLOOKUP(B363, [1]DataLookUp!$B$4:$D$621, 2, FALSE)</f>
        <v>Riki Evindra</v>
      </c>
      <c r="D363" s="29" t="str">
        <f>VLOOKUP(B363, [1]DataLookUp!$B$4:$D$621, 3, FALSE)</f>
        <v/>
      </c>
      <c r="E363" s="40"/>
      <c r="F363" s="45" t="str">
        <f t="shared" si="12"/>
        <v/>
      </c>
      <c r="G363" s="30"/>
      <c r="H363" s="31"/>
      <c r="I363" s="50"/>
      <c r="J363" s="40"/>
      <c r="K363" s="40"/>
      <c r="L363" s="51"/>
      <c r="M363" s="52"/>
      <c r="N363" s="50"/>
      <c r="P363" s="55" t="str">
        <f t="shared" si="11"/>
        <v/>
      </c>
    </row>
    <row r="364" spans="2:16" x14ac:dyDescent="0.25">
      <c r="B364" s="28">
        <f>[1]DataLookUp!$B364</f>
        <v>25000000000361</v>
      </c>
      <c r="C364" s="29" t="str">
        <f>VLOOKUP(B364, [1]DataLookUp!$B$4:$D$621, 2, FALSE)</f>
        <v>Rinaldi Asrin</v>
      </c>
      <c r="D364" s="29" t="str">
        <f>VLOOKUP(B364, [1]DataLookUp!$B$4:$D$621, 3, FALSE)</f>
        <v/>
      </c>
      <c r="E364" s="40"/>
      <c r="F364" s="45" t="str">
        <f t="shared" si="12"/>
        <v/>
      </c>
      <c r="G364" s="30"/>
      <c r="H364" s="31"/>
      <c r="I364" s="50"/>
      <c r="J364" s="40"/>
      <c r="K364" s="40"/>
      <c r="L364" s="51"/>
      <c r="M364" s="52"/>
      <c r="N364" s="50"/>
      <c r="P364" s="55" t="str">
        <f t="shared" si="11"/>
        <v/>
      </c>
    </row>
    <row r="365" spans="2:16" x14ac:dyDescent="0.25">
      <c r="B365" s="28">
        <f>[1]DataLookUp!$B365</f>
        <v>25000000000362</v>
      </c>
      <c r="C365" s="29" t="str">
        <f>VLOOKUP(B365, [1]DataLookUp!$B$4:$D$621, 2, FALSE)</f>
        <v>Rio Hakim</v>
      </c>
      <c r="D365" s="29" t="str">
        <f>VLOOKUP(B365, [1]DataLookUp!$B$4:$D$621, 3, FALSE)</f>
        <v/>
      </c>
      <c r="E365" s="40"/>
      <c r="F365" s="45" t="str">
        <f t="shared" si="12"/>
        <v/>
      </c>
      <c r="G365" s="30"/>
      <c r="H365" s="31"/>
      <c r="I365" s="50"/>
      <c r="J365" s="40"/>
      <c r="K365" s="40"/>
      <c r="L365" s="51"/>
      <c r="M365" s="52"/>
      <c r="N365" s="50"/>
      <c r="P365" s="55" t="str">
        <f t="shared" si="11"/>
        <v/>
      </c>
    </row>
    <row r="366" spans="2:16" x14ac:dyDescent="0.25">
      <c r="B366" s="28">
        <f>[1]DataLookUp!$B366</f>
        <v>25000000000363</v>
      </c>
      <c r="C366" s="29" t="str">
        <f>VLOOKUP(B366, [1]DataLookUp!$B$4:$D$621, 2, FALSE)</f>
        <v>Rio Martha</v>
      </c>
      <c r="D366" s="29" t="str">
        <f>VLOOKUP(B366, [1]DataLookUp!$B$4:$D$621, 3, FALSE)</f>
        <v/>
      </c>
      <c r="E366" s="40"/>
      <c r="F366" s="45" t="str">
        <f t="shared" si="12"/>
        <v/>
      </c>
      <c r="G366" s="30"/>
      <c r="H366" s="31"/>
      <c r="I366" s="50"/>
      <c r="J366" s="40"/>
      <c r="K366" s="40"/>
      <c r="L366" s="51"/>
      <c r="M366" s="52"/>
      <c r="N366" s="50"/>
      <c r="P366" s="55" t="str">
        <f t="shared" si="11"/>
        <v/>
      </c>
    </row>
    <row r="367" spans="2:16" x14ac:dyDescent="0.25">
      <c r="B367" s="28">
        <f>[1]DataLookUp!$B367</f>
        <v>25000000000364</v>
      </c>
      <c r="C367" s="29" t="str">
        <f>VLOOKUP(B367, [1]DataLookUp!$B$4:$D$621, 2, FALSE)</f>
        <v>Risdyanto Risdyanto</v>
      </c>
      <c r="D367" s="29" t="str">
        <f>VLOOKUP(B367, [1]DataLookUp!$B$4:$D$621, 3, FALSE)</f>
        <v/>
      </c>
      <c r="E367" s="40"/>
      <c r="F367" s="45" t="str">
        <f t="shared" si="12"/>
        <v/>
      </c>
      <c r="G367" s="30"/>
      <c r="H367" s="31"/>
      <c r="I367" s="50"/>
      <c r="J367" s="40"/>
      <c r="K367" s="40"/>
      <c r="L367" s="51"/>
      <c r="M367" s="52"/>
      <c r="N367" s="50"/>
      <c r="P367" s="55" t="str">
        <f t="shared" si="11"/>
        <v/>
      </c>
    </row>
    <row r="368" spans="2:16" x14ac:dyDescent="0.25">
      <c r="B368" s="28">
        <f>[1]DataLookUp!$B368</f>
        <v>25000000000365</v>
      </c>
      <c r="C368" s="29" t="str">
        <f>VLOOKUP(B368, [1]DataLookUp!$B$4:$D$621, 2, FALSE)</f>
        <v>Rizak Tri Septian</v>
      </c>
      <c r="D368" s="29" t="str">
        <f>VLOOKUP(B368, [1]DataLookUp!$B$4:$D$621, 3, FALSE)</f>
        <v/>
      </c>
      <c r="E368" s="40"/>
      <c r="F368" s="45" t="str">
        <f t="shared" si="12"/>
        <v/>
      </c>
      <c r="G368" s="30"/>
      <c r="H368" s="31"/>
      <c r="I368" s="50"/>
      <c r="J368" s="40"/>
      <c r="K368" s="40"/>
      <c r="L368" s="51"/>
      <c r="M368" s="52"/>
      <c r="N368" s="50"/>
      <c r="P368" s="55" t="str">
        <f t="shared" si="11"/>
        <v/>
      </c>
    </row>
    <row r="369" spans="2:16" x14ac:dyDescent="0.25">
      <c r="B369" s="28">
        <f>[1]DataLookUp!$B369</f>
        <v>25000000000366</v>
      </c>
      <c r="C369" s="29" t="str">
        <f>VLOOKUP(B369, [1]DataLookUp!$B$4:$D$621, 2, FALSE)</f>
        <v>Rizki Akbar</v>
      </c>
      <c r="D369" s="29" t="str">
        <f>VLOOKUP(B369, [1]DataLookUp!$B$4:$D$621, 3, FALSE)</f>
        <v/>
      </c>
      <c r="E369" s="40"/>
      <c r="F369" s="45" t="str">
        <f t="shared" si="12"/>
        <v/>
      </c>
      <c r="G369" s="30"/>
      <c r="H369" s="31"/>
      <c r="I369" s="50"/>
      <c r="J369" s="40"/>
      <c r="K369" s="40"/>
      <c r="L369" s="51"/>
      <c r="M369" s="52"/>
      <c r="N369" s="50"/>
      <c r="P369" s="55" t="str">
        <f t="shared" si="11"/>
        <v/>
      </c>
    </row>
    <row r="370" spans="2:16" x14ac:dyDescent="0.25">
      <c r="B370" s="28">
        <f>[1]DataLookUp!$B370</f>
        <v>25000000000367</v>
      </c>
      <c r="C370" s="29" t="str">
        <f>VLOOKUP(B370, [1]DataLookUp!$B$4:$D$621, 2, FALSE)</f>
        <v>Rizky Fauzy</v>
      </c>
      <c r="D370" s="29" t="str">
        <f>VLOOKUP(B370, [1]DataLookUp!$B$4:$D$621, 3, FALSE)</f>
        <v/>
      </c>
      <c r="E370" s="40"/>
      <c r="F370" s="45" t="str">
        <f t="shared" si="12"/>
        <v/>
      </c>
      <c r="G370" s="30"/>
      <c r="H370" s="31"/>
      <c r="I370" s="50"/>
      <c r="J370" s="40"/>
      <c r="K370" s="40"/>
      <c r="L370" s="51"/>
      <c r="M370" s="52"/>
      <c r="N370" s="50"/>
      <c r="P370" s="55" t="str">
        <f t="shared" si="11"/>
        <v/>
      </c>
    </row>
    <row r="371" spans="2:16" x14ac:dyDescent="0.25">
      <c r="B371" s="28">
        <f>[1]DataLookUp!$B371</f>
        <v>25000000000368</v>
      </c>
      <c r="C371" s="29" t="str">
        <f>VLOOKUP(B371, [1]DataLookUp!$B$4:$D$621, 2, FALSE)</f>
        <v>Rizky Reza Pradipta</v>
      </c>
      <c r="D371" s="29" t="str">
        <f>VLOOKUP(B371, [1]DataLookUp!$B$4:$D$621, 3, FALSE)</f>
        <v/>
      </c>
      <c r="E371" s="40"/>
      <c r="F371" s="45" t="str">
        <f t="shared" si="12"/>
        <v/>
      </c>
      <c r="G371" s="30"/>
      <c r="H371" s="31"/>
      <c r="I371" s="50"/>
      <c r="J371" s="40"/>
      <c r="K371" s="40"/>
      <c r="L371" s="51"/>
      <c r="M371" s="52"/>
      <c r="N371" s="50"/>
      <c r="P371" s="55" t="str">
        <f t="shared" si="11"/>
        <v/>
      </c>
    </row>
    <row r="372" spans="2:16" x14ac:dyDescent="0.25">
      <c r="B372" s="28">
        <f>[1]DataLookUp!$B372</f>
        <v>25000000000369</v>
      </c>
      <c r="C372" s="29" t="str">
        <f>VLOOKUP(B372, [1]DataLookUp!$B$4:$D$621, 2, FALSE)</f>
        <v>Rohendi Rohendi</v>
      </c>
      <c r="D372" s="29" t="str">
        <f>VLOOKUP(B372, [1]DataLookUp!$B$4:$D$621, 3, FALSE)</f>
        <v/>
      </c>
      <c r="E372" s="40"/>
      <c r="F372" s="45" t="str">
        <f t="shared" si="12"/>
        <v/>
      </c>
      <c r="G372" s="30"/>
      <c r="H372" s="31"/>
      <c r="I372" s="50"/>
      <c r="J372" s="40"/>
      <c r="K372" s="40"/>
      <c r="L372" s="51"/>
      <c r="M372" s="52"/>
      <c r="N372" s="50"/>
      <c r="P372" s="55" t="str">
        <f t="shared" si="11"/>
        <v/>
      </c>
    </row>
    <row r="373" spans="2:16" x14ac:dyDescent="0.25">
      <c r="B373" s="28">
        <f>[1]DataLookUp!$B373</f>
        <v>25000000000370</v>
      </c>
      <c r="C373" s="29" t="str">
        <f>VLOOKUP(B373, [1]DataLookUp!$B$4:$D$621, 2, FALSE)</f>
        <v>Rohmani</v>
      </c>
      <c r="D373" s="29" t="str">
        <f>VLOOKUP(B373, [1]DataLookUp!$B$4:$D$621, 3, FALSE)</f>
        <v/>
      </c>
      <c r="E373" s="40"/>
      <c r="F373" s="45" t="str">
        <f t="shared" si="12"/>
        <v/>
      </c>
      <c r="G373" s="30"/>
      <c r="H373" s="31"/>
      <c r="I373" s="50"/>
      <c r="J373" s="40"/>
      <c r="K373" s="40"/>
      <c r="L373" s="51"/>
      <c r="M373" s="52"/>
      <c r="N373" s="50"/>
      <c r="P373" s="55" t="str">
        <f t="shared" si="11"/>
        <v/>
      </c>
    </row>
    <row r="374" spans="2:16" x14ac:dyDescent="0.25">
      <c r="B374" s="28">
        <f>[1]DataLookUp!$B374</f>
        <v>25000000000371</v>
      </c>
      <c r="C374" s="29" t="str">
        <f>VLOOKUP(B374, [1]DataLookUp!$B$4:$D$621, 2, FALSE)</f>
        <v>Rommel Hutapea</v>
      </c>
      <c r="D374" s="29" t="str">
        <f>VLOOKUP(B374, [1]DataLookUp!$B$4:$D$621, 3, FALSE)</f>
        <v/>
      </c>
      <c r="E374" s="40"/>
      <c r="F374" s="45" t="str">
        <f t="shared" si="12"/>
        <v/>
      </c>
      <c r="G374" s="30"/>
      <c r="H374" s="31"/>
      <c r="I374" s="50"/>
      <c r="J374" s="40"/>
      <c r="K374" s="40"/>
      <c r="L374" s="51"/>
      <c r="M374" s="52"/>
      <c r="N374" s="50"/>
      <c r="P374" s="55" t="str">
        <f t="shared" si="11"/>
        <v/>
      </c>
    </row>
    <row r="375" spans="2:16" ht="25.5" x14ac:dyDescent="0.25">
      <c r="B375" s="28">
        <f>[1]DataLookUp!$B375</f>
        <v>25000000000372</v>
      </c>
      <c r="C375" s="29" t="str">
        <f>VLOOKUP(B375, [1]DataLookUp!$B$4:$D$621, 2, FALSE)</f>
        <v>Roy Aditya</v>
      </c>
      <c r="D375" s="29" t="str">
        <f>VLOOKUP(B375, [1]DataLookUp!$B$4:$D$621, 3, FALSE)</f>
        <v>3175042308790007</v>
      </c>
      <c r="E375" s="40" t="s">
        <v>179</v>
      </c>
      <c r="F375" s="45">
        <f t="shared" si="12"/>
        <v>156000000000001</v>
      </c>
      <c r="G375" s="30" t="s">
        <v>6</v>
      </c>
      <c r="H375" s="31">
        <v>29090</v>
      </c>
      <c r="I375" s="50" t="s">
        <v>316</v>
      </c>
      <c r="J375" s="40" t="s">
        <v>209</v>
      </c>
      <c r="K375" s="40" t="s">
        <v>192</v>
      </c>
      <c r="L375" s="51" t="s">
        <v>315</v>
      </c>
      <c r="M375" s="52">
        <v>24000000032551</v>
      </c>
      <c r="N375" s="50"/>
      <c r="P375" s="55" t="str">
        <f t="shared" si="11"/>
        <v xml:space="preserve">PERFORM "SchData-OLTP-Master"."Func_TblCitizenIdentity_SET"(varSystemLoginSession, null, null, null, varInstitutionBranchID, 25000000000372::bigint, 'Roy Aditya'::varchar, '3175042308790007'::varchar, 156000000000001::bigint, NULL::bigint, '1979-08-23'::timestamp, NULL::bigint, NULL::bigint, NULL::bigint, NULL::bigint,  24000000032551::bigint, NULL::bigint, NULL::bigint, NULL::bigint, 'Jl. Pucung Raya No. 17'::varchar, 11::smallint, 2::smallint);
</v>
      </c>
    </row>
    <row r="376" spans="2:16" x14ac:dyDescent="0.25">
      <c r="B376" s="28">
        <f>[1]DataLookUp!$B376</f>
        <v>25000000000373</v>
      </c>
      <c r="C376" s="29" t="str">
        <f>VLOOKUP(B376, [1]DataLookUp!$B$4:$D$621, 2, FALSE)</f>
        <v>Rubah</v>
      </c>
      <c r="D376" s="29" t="str">
        <f>VLOOKUP(B376, [1]DataLookUp!$B$4:$D$621, 3, FALSE)</f>
        <v/>
      </c>
      <c r="E376" s="40"/>
      <c r="F376" s="45" t="str">
        <f t="shared" si="12"/>
        <v/>
      </c>
      <c r="G376" s="30"/>
      <c r="H376" s="31"/>
      <c r="I376" s="50"/>
      <c r="J376" s="40"/>
      <c r="K376" s="40"/>
      <c r="L376" s="51"/>
      <c r="M376" s="52"/>
      <c r="N376" s="50"/>
      <c r="P376" s="55" t="str">
        <f t="shared" si="11"/>
        <v/>
      </c>
    </row>
    <row r="377" spans="2:16" x14ac:dyDescent="0.25">
      <c r="B377" s="28">
        <f>[1]DataLookUp!$B377</f>
        <v>25000000000374</v>
      </c>
      <c r="C377" s="29" t="str">
        <f>VLOOKUP(B377, [1]DataLookUp!$B$4:$D$621, 2, FALSE)</f>
        <v>Rudi Junaedi</v>
      </c>
      <c r="D377" s="29" t="str">
        <f>VLOOKUP(B377, [1]DataLookUp!$B$4:$D$621, 3, FALSE)</f>
        <v/>
      </c>
      <c r="E377" s="40"/>
      <c r="F377" s="45" t="str">
        <f t="shared" si="12"/>
        <v/>
      </c>
      <c r="G377" s="30"/>
      <c r="H377" s="31"/>
      <c r="I377" s="50"/>
      <c r="J377" s="40"/>
      <c r="K377" s="40"/>
      <c r="L377" s="51"/>
      <c r="M377" s="52"/>
      <c r="N377" s="50"/>
      <c r="P377" s="55" t="str">
        <f t="shared" si="11"/>
        <v/>
      </c>
    </row>
    <row r="378" spans="2:16" x14ac:dyDescent="0.25">
      <c r="B378" s="28">
        <f>[1]DataLookUp!$B378</f>
        <v>25000000000375</v>
      </c>
      <c r="C378" s="29" t="str">
        <f>VLOOKUP(B378, [1]DataLookUp!$B$4:$D$621, 2, FALSE)</f>
        <v>Ruswandi</v>
      </c>
      <c r="D378" s="29" t="str">
        <f>VLOOKUP(B378, [1]DataLookUp!$B$4:$D$621, 3, FALSE)</f>
        <v/>
      </c>
      <c r="E378" s="40"/>
      <c r="F378" s="45" t="str">
        <f t="shared" si="12"/>
        <v/>
      </c>
      <c r="G378" s="30"/>
      <c r="H378" s="31"/>
      <c r="I378" s="50"/>
      <c r="J378" s="40"/>
      <c r="K378" s="40"/>
      <c r="L378" s="51"/>
      <c r="M378" s="52"/>
      <c r="N378" s="50"/>
      <c r="P378" s="55" t="str">
        <f t="shared" si="11"/>
        <v/>
      </c>
    </row>
    <row r="379" spans="2:16" x14ac:dyDescent="0.25">
      <c r="B379" s="28">
        <f>[1]DataLookUp!$B379</f>
        <v>25000000000376</v>
      </c>
      <c r="C379" s="29" t="str">
        <f>VLOOKUP(B379, [1]DataLookUp!$B$4:$D$621, 2, FALSE)</f>
        <v>Ryan Bagus Sasminta</v>
      </c>
      <c r="D379" s="29" t="str">
        <f>VLOOKUP(B379, [1]DataLookUp!$B$4:$D$621, 3, FALSE)</f>
        <v/>
      </c>
      <c r="E379" s="40"/>
      <c r="F379" s="45" t="str">
        <f t="shared" si="12"/>
        <v/>
      </c>
      <c r="G379" s="30"/>
      <c r="H379" s="31"/>
      <c r="I379" s="50"/>
      <c r="J379" s="40"/>
      <c r="K379" s="40"/>
      <c r="L379" s="51"/>
      <c r="M379" s="52"/>
      <c r="N379" s="50"/>
      <c r="P379" s="55" t="str">
        <f t="shared" si="11"/>
        <v/>
      </c>
    </row>
    <row r="380" spans="2:16" x14ac:dyDescent="0.25">
      <c r="B380" s="28">
        <f>[1]DataLookUp!$B380</f>
        <v>25000000000377</v>
      </c>
      <c r="C380" s="29" t="str">
        <f>VLOOKUP(B380, [1]DataLookUp!$B$4:$D$621, 2, FALSE)</f>
        <v>Saarah Andriani</v>
      </c>
      <c r="D380" s="29" t="str">
        <f>VLOOKUP(B380, [1]DataLookUp!$B$4:$D$621, 3, FALSE)</f>
        <v/>
      </c>
      <c r="E380" s="40"/>
      <c r="F380" s="45" t="str">
        <f t="shared" si="12"/>
        <v/>
      </c>
      <c r="G380" s="30"/>
      <c r="H380" s="31"/>
      <c r="I380" s="50"/>
      <c r="J380" s="40"/>
      <c r="K380" s="40"/>
      <c r="L380" s="51"/>
      <c r="M380" s="52"/>
      <c r="N380" s="50"/>
      <c r="P380" s="55" t="str">
        <f t="shared" si="11"/>
        <v/>
      </c>
    </row>
    <row r="381" spans="2:16" x14ac:dyDescent="0.25">
      <c r="B381" s="28">
        <f>[1]DataLookUp!$B381</f>
        <v>25000000000378</v>
      </c>
      <c r="C381" s="29" t="str">
        <f>VLOOKUP(B381, [1]DataLookUp!$B$4:$D$621, 2, FALSE)</f>
        <v>Safira Nurbaiti</v>
      </c>
      <c r="D381" s="29" t="str">
        <f>VLOOKUP(B381, [1]DataLookUp!$B$4:$D$621, 3, FALSE)</f>
        <v/>
      </c>
      <c r="E381" s="40"/>
      <c r="F381" s="45" t="str">
        <f t="shared" si="12"/>
        <v/>
      </c>
      <c r="G381" s="30"/>
      <c r="H381" s="31"/>
      <c r="I381" s="50"/>
      <c r="J381" s="40"/>
      <c r="K381" s="40"/>
      <c r="L381" s="51"/>
      <c r="M381" s="52"/>
      <c r="N381" s="50"/>
      <c r="P381" s="55" t="str">
        <f t="shared" si="11"/>
        <v/>
      </c>
    </row>
    <row r="382" spans="2:16" x14ac:dyDescent="0.25">
      <c r="B382" s="28">
        <f>[1]DataLookUp!$B382</f>
        <v>25000000000379</v>
      </c>
      <c r="C382" s="29" t="str">
        <f>VLOOKUP(B382, [1]DataLookUp!$B$4:$D$621, 2, FALSE)</f>
        <v>Saifulloh</v>
      </c>
      <c r="D382" s="29" t="str">
        <f>VLOOKUP(B382, [1]DataLookUp!$B$4:$D$621, 3, FALSE)</f>
        <v/>
      </c>
      <c r="E382" s="40"/>
      <c r="F382" s="45" t="str">
        <f t="shared" si="12"/>
        <v/>
      </c>
      <c r="G382" s="30"/>
      <c r="H382" s="31"/>
      <c r="I382" s="50"/>
      <c r="J382" s="40"/>
      <c r="K382" s="40"/>
      <c r="L382" s="51"/>
      <c r="M382" s="52"/>
      <c r="N382" s="50"/>
      <c r="P382" s="55" t="str">
        <f t="shared" si="11"/>
        <v/>
      </c>
    </row>
    <row r="383" spans="2:16" x14ac:dyDescent="0.25">
      <c r="B383" s="28">
        <f>[1]DataLookUp!$B383</f>
        <v>25000000000380</v>
      </c>
      <c r="C383" s="29" t="str">
        <f>VLOOKUP(B383, [1]DataLookUp!$B$4:$D$621, 2, FALSE)</f>
        <v>Saifuloh</v>
      </c>
      <c r="D383" s="29" t="str">
        <f>VLOOKUP(B383, [1]DataLookUp!$B$4:$D$621, 3, FALSE)</f>
        <v/>
      </c>
      <c r="E383" s="40"/>
      <c r="F383" s="45" t="str">
        <f t="shared" si="12"/>
        <v/>
      </c>
      <c r="G383" s="30"/>
      <c r="H383" s="31"/>
      <c r="I383" s="50"/>
      <c r="J383" s="40"/>
      <c r="K383" s="40"/>
      <c r="L383" s="51"/>
      <c r="M383" s="52"/>
      <c r="N383" s="50"/>
      <c r="P383" s="55" t="str">
        <f t="shared" si="11"/>
        <v/>
      </c>
    </row>
    <row r="384" spans="2:16" x14ac:dyDescent="0.25">
      <c r="B384" s="28">
        <f>[1]DataLookUp!$B384</f>
        <v>25000000000381</v>
      </c>
      <c r="C384" s="29" t="str">
        <f>VLOOKUP(B384, [1]DataLookUp!$B$4:$D$621, 2, FALSE)</f>
        <v>Sakinah Tantriani Lubis</v>
      </c>
      <c r="D384" s="29" t="str">
        <f>VLOOKUP(B384, [1]DataLookUp!$B$4:$D$621, 3, FALSE)</f>
        <v/>
      </c>
      <c r="E384" s="40"/>
      <c r="F384" s="45" t="str">
        <f t="shared" si="12"/>
        <v/>
      </c>
      <c r="G384" s="30"/>
      <c r="H384" s="31"/>
      <c r="I384" s="50"/>
      <c r="J384" s="40"/>
      <c r="K384" s="40"/>
      <c r="L384" s="51"/>
      <c r="M384" s="52"/>
      <c r="N384" s="50"/>
      <c r="P384" s="55" t="str">
        <f t="shared" si="11"/>
        <v/>
      </c>
    </row>
    <row r="385" spans="2:16" x14ac:dyDescent="0.25">
      <c r="B385" s="28">
        <f>[1]DataLookUp!$B385</f>
        <v>25000000000382</v>
      </c>
      <c r="C385" s="29" t="str">
        <f>VLOOKUP(B385, [1]DataLookUp!$B$4:$D$621, 2, FALSE)</f>
        <v>Abdul Samad</v>
      </c>
      <c r="D385" s="29" t="str">
        <f>VLOOKUP(B385, [1]DataLookUp!$B$4:$D$621, 3, FALSE)</f>
        <v/>
      </c>
      <c r="E385" s="40"/>
      <c r="F385" s="45" t="str">
        <f t="shared" si="12"/>
        <v/>
      </c>
      <c r="G385" s="30"/>
      <c r="H385" s="31"/>
      <c r="I385" s="50"/>
      <c r="J385" s="40"/>
      <c r="K385" s="40"/>
      <c r="L385" s="51"/>
      <c r="M385" s="52"/>
      <c r="N385" s="50"/>
      <c r="P385" s="55" t="str">
        <f t="shared" si="11"/>
        <v/>
      </c>
    </row>
    <row r="386" spans="2:16" x14ac:dyDescent="0.25">
      <c r="B386" s="28">
        <f>[1]DataLookUp!$B386</f>
        <v>25000000000383</v>
      </c>
      <c r="C386" s="29" t="str">
        <f>VLOOKUP(B386, [1]DataLookUp!$B$4:$D$621, 2, FALSE)</f>
        <v>Samsul Hadi</v>
      </c>
      <c r="D386" s="29" t="str">
        <f>VLOOKUP(B386, [1]DataLookUp!$B$4:$D$621, 3, FALSE)</f>
        <v/>
      </c>
      <c r="E386" s="40"/>
      <c r="F386" s="45" t="str">
        <f t="shared" si="12"/>
        <v/>
      </c>
      <c r="G386" s="30"/>
      <c r="H386" s="31"/>
      <c r="I386" s="50"/>
      <c r="J386" s="40"/>
      <c r="K386" s="40"/>
      <c r="L386" s="51"/>
      <c r="M386" s="52"/>
      <c r="N386" s="50"/>
      <c r="P386" s="55" t="str">
        <f t="shared" si="11"/>
        <v/>
      </c>
    </row>
    <row r="387" spans="2:16" x14ac:dyDescent="0.25">
      <c r="B387" s="28">
        <f>[1]DataLookUp!$B387</f>
        <v>25000000000384</v>
      </c>
      <c r="C387" s="29" t="str">
        <f>VLOOKUP(B387, [1]DataLookUp!$B$4:$D$621, 2, FALSE)</f>
        <v>Sandika</v>
      </c>
      <c r="D387" s="29" t="str">
        <f>VLOOKUP(B387, [1]DataLookUp!$B$4:$D$621, 3, FALSE)</f>
        <v/>
      </c>
      <c r="E387" s="40"/>
      <c r="F387" s="45" t="str">
        <f t="shared" si="12"/>
        <v/>
      </c>
      <c r="G387" s="30"/>
      <c r="H387" s="31"/>
      <c r="I387" s="50"/>
      <c r="J387" s="40"/>
      <c r="K387" s="40"/>
      <c r="L387" s="51"/>
      <c r="M387" s="52"/>
      <c r="N387" s="50"/>
      <c r="P387" s="55" t="str">
        <f t="shared" si="11"/>
        <v/>
      </c>
    </row>
    <row r="388" spans="2:16" x14ac:dyDescent="0.25">
      <c r="B388" s="28">
        <f>[1]DataLookUp!$B388</f>
        <v>25000000000385</v>
      </c>
      <c r="C388" s="29" t="str">
        <f>VLOOKUP(B388, [1]DataLookUp!$B$4:$D$621, 2, FALSE)</f>
        <v>Sang Toga Sitompul</v>
      </c>
      <c r="D388" s="29" t="str">
        <f>VLOOKUP(B388, [1]DataLookUp!$B$4:$D$621, 3, FALSE)</f>
        <v/>
      </c>
      <c r="E388" s="40"/>
      <c r="F388" s="45" t="str">
        <f t="shared" si="12"/>
        <v/>
      </c>
      <c r="G388" s="30"/>
      <c r="H388" s="31"/>
      <c r="I388" s="50"/>
      <c r="J388" s="40"/>
      <c r="K388" s="40"/>
      <c r="L388" s="51"/>
      <c r="M388" s="52"/>
      <c r="N388" s="50"/>
      <c r="P388" s="55" t="str">
        <f t="shared" si="11"/>
        <v/>
      </c>
    </row>
    <row r="389" spans="2:16" x14ac:dyDescent="0.25">
      <c r="B389" s="28">
        <f>[1]DataLookUp!$B389</f>
        <v>25000000000386</v>
      </c>
      <c r="C389" s="29" t="str">
        <f>VLOOKUP(B389, [1]DataLookUp!$B$4:$D$621, 2, FALSE)</f>
        <v>Santi Dewi R. W.</v>
      </c>
      <c r="D389" s="29" t="str">
        <f>VLOOKUP(B389, [1]DataLookUp!$B$4:$D$621, 3, FALSE)</f>
        <v/>
      </c>
      <c r="E389" s="40"/>
      <c r="F389" s="45" t="str">
        <f t="shared" si="12"/>
        <v/>
      </c>
      <c r="G389" s="30"/>
      <c r="H389" s="31"/>
      <c r="I389" s="50"/>
      <c r="J389" s="40"/>
      <c r="K389" s="40"/>
      <c r="L389" s="51"/>
      <c r="M389" s="52"/>
      <c r="N389" s="50"/>
      <c r="P389" s="55" t="str">
        <f t="shared" ref="P389:P452" si="13">IF(EXACT(D389, ""), "", CONCATENATE("PERFORM ""SchData-OLTP-Master"".""Func_TblCitizenIdentity_SET""(varSystemLoginSession, null, null, null, varInstitutionBranchID, ",  IF(EXACT(B389, ""), "NULL", B389), "::bigint, '", C389, "'::varchar, '", D389, "'::varchar, ", IF(EXACT(F389, ""), "NULL", F389), "::bigint, ", "NULL", "::bigint, '", TEXT(H389, "YYYY-MM-DD"), "'::timestamp, ", "NULL", "::bigint, ", "NULL", "::bigint, ", "NULL", "::bigint, ", "NULL", "::bigint,  ", IF(EXACT(M389, ""), "NULL", M389), "::bigint, ", "NULL", "::bigint, ", "NULL", "::bigint, ", "NULL", "::bigint, '", CONCATENATE(I389, IF(EXACT(M389, ""), " "&amp;L389, "")), "'::varchar, ", IF(EXACT(J389, ""), "NULL", J389*1), "::smallint, ", IF(EXACT(K389, ""), "NULL", K389*1), "::smallint);
"))</f>
        <v/>
      </c>
    </row>
    <row r="390" spans="2:16" x14ac:dyDescent="0.25">
      <c r="B390" s="28">
        <f>[1]DataLookUp!$B390</f>
        <v>25000000000387</v>
      </c>
      <c r="C390" s="29" t="str">
        <f>VLOOKUP(B390, [1]DataLookUp!$B$4:$D$621, 2, FALSE)</f>
        <v>Sarah Sibarani</v>
      </c>
      <c r="D390" s="29" t="str">
        <f>VLOOKUP(B390, [1]DataLookUp!$B$4:$D$621, 3, FALSE)</f>
        <v/>
      </c>
      <c r="E390" s="40"/>
      <c r="F390" s="45" t="str">
        <f t="shared" si="12"/>
        <v/>
      </c>
      <c r="G390" s="30"/>
      <c r="H390" s="31"/>
      <c r="I390" s="50"/>
      <c r="J390" s="40"/>
      <c r="K390" s="40"/>
      <c r="L390" s="51"/>
      <c r="M390" s="52"/>
      <c r="N390" s="50"/>
      <c r="P390" s="55" t="str">
        <f t="shared" si="13"/>
        <v/>
      </c>
    </row>
    <row r="391" spans="2:16" x14ac:dyDescent="0.25">
      <c r="B391" s="28">
        <f>[1]DataLookUp!$B391</f>
        <v>25000000000388</v>
      </c>
      <c r="C391" s="29" t="str">
        <f>VLOOKUP(B391, [1]DataLookUp!$B$4:$D$621, 2, FALSE)</f>
        <v>Sarif Hidayatul Umah</v>
      </c>
      <c r="D391" s="29" t="str">
        <f>VLOOKUP(B391, [1]DataLookUp!$B$4:$D$621, 3, FALSE)</f>
        <v/>
      </c>
      <c r="E391" s="40"/>
      <c r="F391" s="45" t="str">
        <f t="shared" si="12"/>
        <v/>
      </c>
      <c r="G391" s="30"/>
      <c r="H391" s="31"/>
      <c r="I391" s="50"/>
      <c r="J391" s="40"/>
      <c r="K391" s="40"/>
      <c r="L391" s="51"/>
      <c r="M391" s="52"/>
      <c r="N391" s="50"/>
      <c r="P391" s="55" t="str">
        <f t="shared" si="13"/>
        <v/>
      </c>
    </row>
    <row r="392" spans="2:16" x14ac:dyDescent="0.25">
      <c r="B392" s="28">
        <f>[1]DataLookUp!$B392</f>
        <v>25000000000389</v>
      </c>
      <c r="C392" s="29" t="str">
        <f>VLOOKUP(B392, [1]DataLookUp!$B$4:$D$621, 2, FALSE)</f>
        <v>Satria Budi Raharja</v>
      </c>
      <c r="D392" s="29" t="str">
        <f>VLOOKUP(B392, [1]DataLookUp!$B$4:$D$621, 3, FALSE)</f>
        <v/>
      </c>
      <c r="E392" s="40"/>
      <c r="F392" s="45" t="str">
        <f t="shared" si="12"/>
        <v/>
      </c>
      <c r="G392" s="30"/>
      <c r="H392" s="31"/>
      <c r="I392" s="50"/>
      <c r="J392" s="40"/>
      <c r="K392" s="40"/>
      <c r="L392" s="51"/>
      <c r="M392" s="52"/>
      <c r="N392" s="50"/>
      <c r="P392" s="55" t="str">
        <f t="shared" si="13"/>
        <v/>
      </c>
    </row>
    <row r="393" spans="2:16" x14ac:dyDescent="0.25">
      <c r="B393" s="28">
        <f>[1]DataLookUp!$B393</f>
        <v>25000000000390</v>
      </c>
      <c r="C393" s="29" t="str">
        <f>VLOOKUP(B393, [1]DataLookUp!$B$4:$D$621, 2, FALSE)</f>
        <v>Saut M. P. L. Tobing</v>
      </c>
      <c r="D393" s="29" t="str">
        <f>VLOOKUP(B393, [1]DataLookUp!$B$4:$D$621, 3, FALSE)</f>
        <v/>
      </c>
      <c r="E393" s="40"/>
      <c r="F393" s="45" t="str">
        <f t="shared" si="12"/>
        <v/>
      </c>
      <c r="G393" s="30"/>
      <c r="H393" s="31"/>
      <c r="I393" s="50"/>
      <c r="J393" s="40"/>
      <c r="K393" s="40"/>
      <c r="L393" s="51"/>
      <c r="M393" s="52"/>
      <c r="N393" s="50"/>
      <c r="P393" s="55" t="str">
        <f t="shared" si="13"/>
        <v/>
      </c>
    </row>
    <row r="394" spans="2:16" x14ac:dyDescent="0.25">
      <c r="B394" s="28">
        <f>[1]DataLookUp!$B394</f>
        <v>25000000000391</v>
      </c>
      <c r="C394" s="29" t="str">
        <f>VLOOKUP(B394, [1]DataLookUp!$B$4:$D$621, 2, FALSE)</f>
        <v>Seftiyan Hadi Maulana</v>
      </c>
      <c r="D394" s="29" t="str">
        <f>VLOOKUP(B394, [1]DataLookUp!$B$4:$D$621, 3, FALSE)</f>
        <v>3276022909900017</v>
      </c>
      <c r="E394" s="40" t="s">
        <v>179</v>
      </c>
      <c r="F394" s="45">
        <f t="shared" si="12"/>
        <v>156000000000001</v>
      </c>
      <c r="G394" s="30" t="s">
        <v>7</v>
      </c>
      <c r="H394" s="31">
        <v>33145</v>
      </c>
      <c r="I394" s="50" t="s">
        <v>262</v>
      </c>
      <c r="J394" s="40" t="s">
        <v>191</v>
      </c>
      <c r="K394" s="40" t="s">
        <v>183</v>
      </c>
      <c r="L394" s="51" t="s">
        <v>261</v>
      </c>
      <c r="M394" s="52">
        <v>24000000032203</v>
      </c>
      <c r="N394" s="50"/>
      <c r="P394" s="55" t="str">
        <f t="shared" si="13"/>
        <v xml:space="preserve">PERFORM "SchData-OLTP-Master"."Func_TblCitizenIdentity_SET"(varSystemLoginSession, null, null, null, varInstitutionBranchID, 25000000000391::bigint, 'Seftiyan Hadi Maulana'::varchar, '3276022909900017'::varchar, 156000000000001::bigint, NULL::bigint, '1990-09-29'::timestamp, NULL::bigint, NULL::bigint, NULL::bigint, NULL::bigint,  24000000032203::bigint, NULL::bigint, NULL::bigint, NULL::bigint, 'Kp. Palsigunung, Jl. H Ichang No.15'::varchar, 9::smallint, 1::smallint);
</v>
      </c>
    </row>
    <row r="395" spans="2:16" x14ac:dyDescent="0.25">
      <c r="B395" s="28">
        <f>[1]DataLookUp!$B395</f>
        <v>25000000000392</v>
      </c>
      <c r="C395" s="29" t="str">
        <f>VLOOKUP(B395, [1]DataLookUp!$B$4:$D$621, 2, FALSE)</f>
        <v>Sena Andi Satria</v>
      </c>
      <c r="D395" s="29" t="str">
        <f>VLOOKUP(B395, [1]DataLookUp!$B$4:$D$621, 3, FALSE)</f>
        <v/>
      </c>
      <c r="E395" s="40"/>
      <c r="F395" s="45" t="str">
        <f t="shared" ref="F395:F458" si="14">IF(EXACT(E395, ""), "", IF(EXACT(E395, "L"), 156000000000001, 156000000000002))</f>
        <v/>
      </c>
      <c r="G395" s="30"/>
      <c r="H395" s="31"/>
      <c r="I395" s="50"/>
      <c r="J395" s="40"/>
      <c r="K395" s="40"/>
      <c r="L395" s="51"/>
      <c r="M395" s="52"/>
      <c r="N395" s="50"/>
      <c r="P395" s="55" t="str">
        <f t="shared" si="13"/>
        <v/>
      </c>
    </row>
    <row r="396" spans="2:16" x14ac:dyDescent="0.25">
      <c r="B396" s="28">
        <f>[1]DataLookUp!$B396</f>
        <v>25000000000393</v>
      </c>
      <c r="C396" s="29" t="str">
        <f>VLOOKUP(B396, [1]DataLookUp!$B$4:$D$621, 2, FALSE)</f>
        <v>Setiadi</v>
      </c>
      <c r="D396" s="29" t="str">
        <f>VLOOKUP(B396, [1]DataLookUp!$B$4:$D$621, 3, FALSE)</f>
        <v>3174030112750005</v>
      </c>
      <c r="E396" s="40" t="s">
        <v>179</v>
      </c>
      <c r="F396" s="45">
        <f t="shared" si="14"/>
        <v>156000000000001</v>
      </c>
      <c r="G396" s="30" t="s">
        <v>6</v>
      </c>
      <c r="H396" s="31">
        <v>27729</v>
      </c>
      <c r="I396" s="50" t="s">
        <v>264</v>
      </c>
      <c r="J396" s="40" t="s">
        <v>259</v>
      </c>
      <c r="K396" s="40" t="s">
        <v>187</v>
      </c>
      <c r="L396" s="51" t="s">
        <v>263</v>
      </c>
      <c r="M396" s="52">
        <v>24000000032481</v>
      </c>
      <c r="N396" s="50"/>
      <c r="P396" s="55" t="str">
        <f t="shared" si="13"/>
        <v xml:space="preserve">PERFORM "SchData-OLTP-Master"."Func_TblCitizenIdentity_SET"(varSystemLoginSession, null, null, null, varInstitutionBranchID, 25000000000393::bigint, 'Setiadi'::varchar, '3174030112750005'::varchar, 156000000000001::bigint, NULL::bigint, '1975-12-01'::timestamp, NULL::bigint, NULL::bigint, NULL::bigint, NULL::bigint,  24000000032481::bigint, NULL::bigint, NULL::bigint, NULL::bigint, 'Jl. Bangka Buntu II No. 4'::varchar, 10::smallint, 5::smallint);
</v>
      </c>
    </row>
    <row r="397" spans="2:16" x14ac:dyDescent="0.25">
      <c r="B397" s="28">
        <f>[1]DataLookUp!$B397</f>
        <v>25000000000394</v>
      </c>
      <c r="C397" s="29" t="str">
        <f>VLOOKUP(B397, [1]DataLookUp!$B$4:$D$621, 2, FALSE)</f>
        <v>Sherly Tamira</v>
      </c>
      <c r="D397" s="29" t="str">
        <f>VLOOKUP(B397, [1]DataLookUp!$B$4:$D$621, 3, FALSE)</f>
        <v/>
      </c>
      <c r="E397" s="40"/>
      <c r="F397" s="45" t="str">
        <f t="shared" si="14"/>
        <v/>
      </c>
      <c r="G397" s="30"/>
      <c r="H397" s="31"/>
      <c r="I397" s="50"/>
      <c r="J397" s="40"/>
      <c r="K397" s="40"/>
      <c r="L397" s="51"/>
      <c r="M397" s="52"/>
      <c r="N397" s="50"/>
      <c r="P397" s="55" t="str">
        <f t="shared" si="13"/>
        <v/>
      </c>
    </row>
    <row r="398" spans="2:16" x14ac:dyDescent="0.25">
      <c r="B398" s="28">
        <f>[1]DataLookUp!$B398</f>
        <v>25000000000395</v>
      </c>
      <c r="C398" s="29" t="str">
        <f>VLOOKUP(B398, [1]DataLookUp!$B$4:$D$621, 2, FALSE)</f>
        <v>Shihab</v>
      </c>
      <c r="D398" s="29" t="str">
        <f>VLOOKUP(B398, [1]DataLookUp!$B$4:$D$621, 3, FALSE)</f>
        <v/>
      </c>
      <c r="E398" s="40"/>
      <c r="F398" s="45" t="str">
        <f t="shared" si="14"/>
        <v/>
      </c>
      <c r="G398" s="30"/>
      <c r="H398" s="31"/>
      <c r="I398" s="50"/>
      <c r="J398" s="40"/>
      <c r="K398" s="40"/>
      <c r="L398" s="51"/>
      <c r="M398" s="52"/>
      <c r="N398" s="50"/>
      <c r="P398" s="55" t="str">
        <f t="shared" si="13"/>
        <v/>
      </c>
    </row>
    <row r="399" spans="2:16" x14ac:dyDescent="0.25">
      <c r="B399" s="28">
        <f>[1]DataLookUp!$B399</f>
        <v>25000000000396</v>
      </c>
      <c r="C399" s="29" t="str">
        <f>VLOOKUP(B399, [1]DataLookUp!$B$4:$D$621, 2, FALSE)</f>
        <v>Shobarin Jabar</v>
      </c>
      <c r="D399" s="29" t="str">
        <f>VLOOKUP(B399, [1]DataLookUp!$B$4:$D$621, 3, FALSE)</f>
        <v/>
      </c>
      <c r="E399" s="40"/>
      <c r="F399" s="45" t="str">
        <f t="shared" si="14"/>
        <v/>
      </c>
      <c r="G399" s="30"/>
      <c r="H399" s="31"/>
      <c r="I399" s="50"/>
      <c r="J399" s="40"/>
      <c r="K399" s="40"/>
      <c r="L399" s="51"/>
      <c r="M399" s="52"/>
      <c r="N399" s="50"/>
      <c r="P399" s="55" t="str">
        <f t="shared" si="13"/>
        <v/>
      </c>
    </row>
    <row r="400" spans="2:16" x14ac:dyDescent="0.25">
      <c r="B400" s="28">
        <f>[1]DataLookUp!$B400</f>
        <v>25000000000397</v>
      </c>
      <c r="C400" s="29" t="str">
        <f>VLOOKUP(B400, [1]DataLookUp!$B$4:$D$621, 2, FALSE)</f>
        <v>Sholehah</v>
      </c>
      <c r="D400" s="29" t="str">
        <f>VLOOKUP(B400, [1]DataLookUp!$B$4:$D$621, 3, FALSE)</f>
        <v>3674056205940005</v>
      </c>
      <c r="E400" s="40" t="s">
        <v>180</v>
      </c>
      <c r="F400" s="45">
        <f t="shared" si="14"/>
        <v>156000000000002</v>
      </c>
      <c r="G400" s="30" t="s">
        <v>24</v>
      </c>
      <c r="H400" s="31">
        <v>34476</v>
      </c>
      <c r="I400" s="50" t="s">
        <v>266</v>
      </c>
      <c r="J400" s="40" t="s">
        <v>192</v>
      </c>
      <c r="K400" s="40" t="s">
        <v>204</v>
      </c>
      <c r="L400" s="51" t="s">
        <v>265</v>
      </c>
      <c r="M400" s="52">
        <v>24000000026341</v>
      </c>
      <c r="N400" s="50"/>
      <c r="P400" s="55" t="str">
        <f t="shared" si="13"/>
        <v xml:space="preserve">PERFORM "SchData-OLTP-Master"."Func_TblCitizenIdentity_SET"(varSystemLoginSession, null, null, null, varInstitutionBranchID, 25000000000397::bigint, 'Sholehah'::varchar, '3674056205940005'::varchar, 156000000000002::bigint, NULL::bigint, '1994-05-22'::timestamp, NULL::bigint, NULL::bigint, NULL::bigint, NULL::bigint,  24000000026341::bigint, NULL::bigint, NULL::bigint, NULL::bigint, 'Jl. Rusa V'::varchar, 2::smallint, 4::smallint);
</v>
      </c>
    </row>
    <row r="401" spans="2:16" x14ac:dyDescent="0.25">
      <c r="B401" s="28">
        <f>[1]DataLookUp!$B401</f>
        <v>25000000000398</v>
      </c>
      <c r="C401" s="29" t="str">
        <f>VLOOKUP(B401, [1]DataLookUp!$B$4:$D$621, 2, FALSE)</f>
        <v>Sigit Rudiantono</v>
      </c>
      <c r="D401" s="29" t="str">
        <f>VLOOKUP(B401, [1]DataLookUp!$B$4:$D$621, 3, FALSE)</f>
        <v/>
      </c>
      <c r="E401" s="40"/>
      <c r="F401" s="45" t="str">
        <f t="shared" si="14"/>
        <v/>
      </c>
      <c r="G401" s="30"/>
      <c r="H401" s="31"/>
      <c r="I401" s="50"/>
      <c r="J401" s="40"/>
      <c r="K401" s="40"/>
      <c r="L401" s="51"/>
      <c r="M401" s="52"/>
      <c r="N401" s="50"/>
      <c r="P401" s="55" t="str">
        <f t="shared" si="13"/>
        <v/>
      </c>
    </row>
    <row r="402" spans="2:16" x14ac:dyDescent="0.25">
      <c r="B402" s="28">
        <f>[1]DataLookUp!$B402</f>
        <v>25000000000399</v>
      </c>
      <c r="C402" s="29" t="str">
        <f>VLOOKUP(B402, [1]DataLookUp!$B$4:$D$621, 2, FALSE)</f>
        <v>Silvia Putri</v>
      </c>
      <c r="D402" s="29" t="str">
        <f>VLOOKUP(B402, [1]DataLookUp!$B$4:$D$621, 3, FALSE)</f>
        <v/>
      </c>
      <c r="E402" s="40"/>
      <c r="F402" s="45" t="str">
        <f t="shared" si="14"/>
        <v/>
      </c>
      <c r="G402" s="30"/>
      <c r="H402" s="31"/>
      <c r="I402" s="50"/>
      <c r="J402" s="40"/>
      <c r="K402" s="40"/>
      <c r="L402" s="51"/>
      <c r="M402" s="52"/>
      <c r="N402" s="50"/>
      <c r="P402" s="55" t="str">
        <f t="shared" si="13"/>
        <v/>
      </c>
    </row>
    <row r="403" spans="2:16" x14ac:dyDescent="0.25">
      <c r="B403" s="28">
        <f>[1]DataLookUp!$B403</f>
        <v>25000000000400</v>
      </c>
      <c r="C403" s="29" t="str">
        <f>VLOOKUP(B403, [1]DataLookUp!$B$4:$D$621, 2, FALSE)</f>
        <v>Simron Ronaldi Nasution</v>
      </c>
      <c r="D403" s="29" t="str">
        <f>VLOOKUP(B403, [1]DataLookUp!$B$4:$D$621, 3, FALSE)</f>
        <v/>
      </c>
      <c r="E403" s="40"/>
      <c r="F403" s="45" t="str">
        <f t="shared" si="14"/>
        <v/>
      </c>
      <c r="G403" s="30"/>
      <c r="H403" s="31"/>
      <c r="I403" s="50"/>
      <c r="J403" s="40"/>
      <c r="K403" s="40"/>
      <c r="L403" s="51"/>
      <c r="M403" s="52"/>
      <c r="N403" s="50"/>
      <c r="P403" s="55" t="str">
        <f t="shared" si="13"/>
        <v/>
      </c>
    </row>
    <row r="404" spans="2:16" x14ac:dyDescent="0.25">
      <c r="B404" s="28">
        <f>[1]DataLookUp!$B404</f>
        <v>25000000000401</v>
      </c>
      <c r="C404" s="29" t="str">
        <f>VLOOKUP(B404, [1]DataLookUp!$B$4:$D$621, 2, FALSE)</f>
        <v>Sinta Vera Trikawati</v>
      </c>
      <c r="D404" s="29" t="str">
        <f>VLOOKUP(B404, [1]DataLookUp!$B$4:$D$621, 3, FALSE)</f>
        <v/>
      </c>
      <c r="E404" s="40"/>
      <c r="F404" s="45" t="str">
        <f t="shared" si="14"/>
        <v/>
      </c>
      <c r="G404" s="30"/>
      <c r="H404" s="31"/>
      <c r="I404" s="50"/>
      <c r="J404" s="40"/>
      <c r="K404" s="40"/>
      <c r="L404" s="51"/>
      <c r="M404" s="52"/>
      <c r="N404" s="50"/>
      <c r="P404" s="55" t="str">
        <f t="shared" si="13"/>
        <v/>
      </c>
    </row>
    <row r="405" spans="2:16" x14ac:dyDescent="0.25">
      <c r="B405" s="28">
        <f>[1]DataLookUp!$B405</f>
        <v>25000000000402</v>
      </c>
      <c r="C405" s="29" t="str">
        <f>VLOOKUP(B405, [1]DataLookUp!$B$4:$D$621, 2, FALSE)</f>
        <v>Sir Muhammad Zafrulloh Khan</v>
      </c>
      <c r="D405" s="29" t="str">
        <f>VLOOKUP(B405, [1]DataLookUp!$B$4:$D$621, 3, FALSE)</f>
        <v/>
      </c>
      <c r="E405" s="40"/>
      <c r="F405" s="45" t="str">
        <f t="shared" si="14"/>
        <v/>
      </c>
      <c r="G405" s="30"/>
      <c r="H405" s="31"/>
      <c r="I405" s="50"/>
      <c r="J405" s="40"/>
      <c r="K405" s="40"/>
      <c r="L405" s="51"/>
      <c r="M405" s="52"/>
      <c r="N405" s="50"/>
      <c r="P405" s="55" t="str">
        <f t="shared" si="13"/>
        <v/>
      </c>
    </row>
    <row r="406" spans="2:16" x14ac:dyDescent="0.25">
      <c r="B406" s="28">
        <f>[1]DataLookUp!$B406</f>
        <v>25000000000403</v>
      </c>
      <c r="C406" s="29" t="str">
        <f>VLOOKUP(B406, [1]DataLookUp!$B$4:$D$621, 2, FALSE)</f>
        <v>Siska Marlina</v>
      </c>
      <c r="D406" s="29" t="str">
        <f>VLOOKUP(B406, [1]DataLookUp!$B$4:$D$621, 3, FALSE)</f>
        <v/>
      </c>
      <c r="E406" s="40"/>
      <c r="F406" s="45" t="str">
        <f t="shared" si="14"/>
        <v/>
      </c>
      <c r="G406" s="30"/>
      <c r="H406" s="31"/>
      <c r="I406" s="50"/>
      <c r="J406" s="40"/>
      <c r="K406" s="40"/>
      <c r="L406" s="51"/>
      <c r="M406" s="52"/>
      <c r="N406" s="50"/>
      <c r="P406" s="55" t="str">
        <f t="shared" si="13"/>
        <v/>
      </c>
    </row>
    <row r="407" spans="2:16" x14ac:dyDescent="0.25">
      <c r="B407" s="28">
        <f>[1]DataLookUp!$B407</f>
        <v>25000000000404</v>
      </c>
      <c r="C407" s="29" t="str">
        <f>VLOOKUP(B407, [1]DataLookUp!$B$4:$D$621, 2, FALSE)</f>
        <v>Siswanto</v>
      </c>
      <c r="D407" s="29" t="str">
        <f>VLOOKUP(B407, [1]DataLookUp!$B$4:$D$621, 3, FALSE)</f>
        <v/>
      </c>
      <c r="E407" s="40"/>
      <c r="F407" s="45" t="str">
        <f t="shared" si="14"/>
        <v/>
      </c>
      <c r="G407" s="30"/>
      <c r="H407" s="31"/>
      <c r="I407" s="50"/>
      <c r="J407" s="40"/>
      <c r="K407" s="40"/>
      <c r="L407" s="51"/>
      <c r="M407" s="52"/>
      <c r="N407" s="50"/>
      <c r="P407" s="55" t="str">
        <f t="shared" si="13"/>
        <v/>
      </c>
    </row>
    <row r="408" spans="2:16" x14ac:dyDescent="0.25">
      <c r="B408" s="28">
        <f>[1]DataLookUp!$B408</f>
        <v>25000000000405</v>
      </c>
      <c r="C408" s="29" t="str">
        <f>VLOOKUP(B408, [1]DataLookUp!$B$4:$D$621, 2, FALSE)</f>
        <v>Siti Mulyani</v>
      </c>
      <c r="D408" s="29" t="str">
        <f>VLOOKUP(B408, [1]DataLookUp!$B$4:$D$621, 3, FALSE)</f>
        <v/>
      </c>
      <c r="E408" s="40"/>
      <c r="F408" s="45" t="str">
        <f t="shared" si="14"/>
        <v/>
      </c>
      <c r="G408" s="30"/>
      <c r="H408" s="31"/>
      <c r="I408" s="50"/>
      <c r="J408" s="40"/>
      <c r="K408" s="40"/>
      <c r="L408" s="51"/>
      <c r="M408" s="52"/>
      <c r="N408" s="50"/>
      <c r="P408" s="55" t="str">
        <f t="shared" si="13"/>
        <v/>
      </c>
    </row>
    <row r="409" spans="2:16" x14ac:dyDescent="0.25">
      <c r="B409" s="28">
        <f>[1]DataLookUp!$B409</f>
        <v>25000000000406</v>
      </c>
      <c r="C409" s="29" t="str">
        <f>VLOOKUP(B409, [1]DataLookUp!$B$4:$D$621, 2, FALSE)</f>
        <v>Sjanti Devi</v>
      </c>
      <c r="D409" s="29" t="str">
        <f>VLOOKUP(B409, [1]DataLookUp!$B$4:$D$621, 3, FALSE)</f>
        <v/>
      </c>
      <c r="E409" s="40"/>
      <c r="F409" s="45" t="str">
        <f t="shared" si="14"/>
        <v/>
      </c>
      <c r="G409" s="30"/>
      <c r="H409" s="31"/>
      <c r="I409" s="50"/>
      <c r="J409" s="40"/>
      <c r="K409" s="40"/>
      <c r="L409" s="51"/>
      <c r="M409" s="52"/>
      <c r="N409" s="50"/>
      <c r="P409" s="55" t="str">
        <f t="shared" si="13"/>
        <v/>
      </c>
    </row>
    <row r="410" spans="2:16" x14ac:dyDescent="0.25">
      <c r="B410" s="28">
        <f>[1]DataLookUp!$B410</f>
        <v>25000000000407</v>
      </c>
      <c r="C410" s="29" t="str">
        <f>VLOOKUP(B410, [1]DataLookUp!$B$4:$D$621, 2, FALSE)</f>
        <v>Slamet Budi Setiawan</v>
      </c>
      <c r="D410" s="29" t="str">
        <f>VLOOKUP(B410, [1]DataLookUp!$B$4:$D$621, 3, FALSE)</f>
        <v/>
      </c>
      <c r="E410" s="40"/>
      <c r="F410" s="45" t="str">
        <f t="shared" si="14"/>
        <v/>
      </c>
      <c r="G410" s="30"/>
      <c r="H410" s="31"/>
      <c r="I410" s="50"/>
      <c r="J410" s="40"/>
      <c r="K410" s="40"/>
      <c r="L410" s="51"/>
      <c r="M410" s="52"/>
      <c r="N410" s="50"/>
      <c r="P410" s="55" t="str">
        <f t="shared" si="13"/>
        <v/>
      </c>
    </row>
    <row r="411" spans="2:16" x14ac:dyDescent="0.25">
      <c r="B411" s="28">
        <f>[1]DataLookUp!$B411</f>
        <v>25000000000408</v>
      </c>
      <c r="C411" s="29" t="str">
        <f>VLOOKUP(B411, [1]DataLookUp!$B$4:$D$621, 2, FALSE)</f>
        <v>Sofyan Maulana</v>
      </c>
      <c r="D411" s="29" t="str">
        <f>VLOOKUP(B411, [1]DataLookUp!$B$4:$D$621, 3, FALSE)</f>
        <v/>
      </c>
      <c r="E411" s="40"/>
      <c r="F411" s="45" t="str">
        <f t="shared" si="14"/>
        <v/>
      </c>
      <c r="G411" s="30"/>
      <c r="H411" s="31"/>
      <c r="I411" s="50"/>
      <c r="J411" s="40"/>
      <c r="K411" s="40"/>
      <c r="L411" s="51"/>
      <c r="M411" s="52"/>
      <c r="N411" s="50"/>
      <c r="P411" s="55" t="str">
        <f t="shared" si="13"/>
        <v/>
      </c>
    </row>
    <row r="412" spans="2:16" x14ac:dyDescent="0.25">
      <c r="B412" s="28">
        <f>[1]DataLookUp!$B412</f>
        <v>25000000000409</v>
      </c>
      <c r="C412" s="29" t="str">
        <f>VLOOKUP(B412, [1]DataLookUp!$B$4:$D$621, 2, FALSE)</f>
        <v>Subagio</v>
      </c>
      <c r="D412" s="29" t="str">
        <f>VLOOKUP(B412, [1]DataLookUp!$B$4:$D$621, 3, FALSE)</f>
        <v/>
      </c>
      <c r="E412" s="40"/>
      <c r="F412" s="45" t="str">
        <f t="shared" si="14"/>
        <v/>
      </c>
      <c r="G412" s="30"/>
      <c r="H412" s="31"/>
      <c r="I412" s="50"/>
      <c r="J412" s="40"/>
      <c r="K412" s="40"/>
      <c r="L412" s="51"/>
      <c r="M412" s="52"/>
      <c r="N412" s="50"/>
      <c r="P412" s="55" t="str">
        <f t="shared" si="13"/>
        <v/>
      </c>
    </row>
    <row r="413" spans="2:16" x14ac:dyDescent="0.25">
      <c r="B413" s="28">
        <f>[1]DataLookUp!$B413</f>
        <v>25000000000410</v>
      </c>
      <c r="C413" s="29" t="str">
        <f>VLOOKUP(B413, [1]DataLookUp!$B$4:$D$621, 2, FALSE)</f>
        <v>Suci Mardiana</v>
      </c>
      <c r="D413" s="29" t="str">
        <f>VLOOKUP(B413, [1]DataLookUp!$B$4:$D$621, 3, FALSE)</f>
        <v/>
      </c>
      <c r="E413" s="40"/>
      <c r="F413" s="45" t="str">
        <f t="shared" si="14"/>
        <v/>
      </c>
      <c r="G413" s="30"/>
      <c r="H413" s="31"/>
      <c r="I413" s="50"/>
      <c r="J413" s="40"/>
      <c r="K413" s="40"/>
      <c r="L413" s="51"/>
      <c r="M413" s="52"/>
      <c r="N413" s="50"/>
      <c r="P413" s="55" t="str">
        <f t="shared" si="13"/>
        <v/>
      </c>
    </row>
    <row r="414" spans="2:16" x14ac:dyDescent="0.25">
      <c r="B414" s="28">
        <f>[1]DataLookUp!$B414</f>
        <v>25000000000411</v>
      </c>
      <c r="C414" s="29" t="str">
        <f>VLOOKUP(B414, [1]DataLookUp!$B$4:$D$621, 2, FALSE)</f>
        <v>Suci Rachma Sari</v>
      </c>
      <c r="D414" s="29" t="str">
        <f>VLOOKUP(B414, [1]DataLookUp!$B$4:$D$621, 3, FALSE)</f>
        <v/>
      </c>
      <c r="E414" s="40"/>
      <c r="F414" s="45" t="str">
        <f t="shared" si="14"/>
        <v/>
      </c>
      <c r="G414" s="30"/>
      <c r="H414" s="31"/>
      <c r="I414" s="50"/>
      <c r="J414" s="40"/>
      <c r="K414" s="40"/>
      <c r="L414" s="51"/>
      <c r="M414" s="52"/>
      <c r="N414" s="50"/>
      <c r="P414" s="55" t="str">
        <f t="shared" si="13"/>
        <v/>
      </c>
    </row>
    <row r="415" spans="2:16" x14ac:dyDescent="0.25">
      <c r="B415" s="28">
        <f>[1]DataLookUp!$B415</f>
        <v>25000000000412</v>
      </c>
      <c r="C415" s="29" t="str">
        <f>VLOOKUP(B415, [1]DataLookUp!$B$4:$D$621, 2, FALSE)</f>
        <v>Sudarlan</v>
      </c>
      <c r="D415" s="29" t="str">
        <f>VLOOKUP(B415, [1]DataLookUp!$B$4:$D$621, 3, FALSE)</f>
        <v>3173061206730012</v>
      </c>
      <c r="E415" s="40" t="s">
        <v>179</v>
      </c>
      <c r="F415" s="45">
        <f t="shared" si="14"/>
        <v>156000000000001</v>
      </c>
      <c r="G415" s="30" t="s">
        <v>6</v>
      </c>
      <c r="H415" s="31">
        <v>26462</v>
      </c>
      <c r="I415" s="50" t="s">
        <v>268</v>
      </c>
      <c r="J415" s="40" t="s">
        <v>186</v>
      </c>
      <c r="K415" s="40" t="s">
        <v>190</v>
      </c>
      <c r="L415" s="51" t="s">
        <v>267</v>
      </c>
      <c r="M415" s="52">
        <v>24000000032366</v>
      </c>
      <c r="N415" s="50"/>
      <c r="P415" s="55" t="str">
        <f t="shared" si="13"/>
        <v xml:space="preserve">PERFORM "SchData-OLTP-Master"."Func_TblCitizenIdentity_SET"(varSystemLoginSession, null, null, null, varInstitutionBranchID, 25000000000412::bigint, 'Sudarlan'::varchar, '3173061206730012'::varchar, 156000000000001::bigint, NULL::bigint, '1972-06-12'::timestamp, NULL::bigint, NULL::bigint, NULL::bigint, NULL::bigint,  24000000032366::bigint, NULL::bigint, NULL::bigint, NULL::bigint, 'Jl. Tanjung Pura No. 44'::varchar, 3::smallint, 8::smallint);
</v>
      </c>
    </row>
    <row r="416" spans="2:16" x14ac:dyDescent="0.25">
      <c r="B416" s="28">
        <f>[1]DataLookUp!$B416</f>
        <v>25000000000413</v>
      </c>
      <c r="C416" s="29" t="str">
        <f>VLOOKUP(B416, [1]DataLookUp!$B$4:$D$621, 2, FALSE)</f>
        <v>Sufie Amalia</v>
      </c>
      <c r="D416" s="29" t="str">
        <f>VLOOKUP(B416, [1]DataLookUp!$B$4:$D$621, 3, FALSE)</f>
        <v/>
      </c>
      <c r="E416" s="40"/>
      <c r="F416" s="45" t="str">
        <f t="shared" si="14"/>
        <v/>
      </c>
      <c r="G416" s="30"/>
      <c r="H416" s="31"/>
      <c r="I416" s="50"/>
      <c r="J416" s="40"/>
      <c r="K416" s="40"/>
      <c r="L416" s="51"/>
      <c r="M416" s="52"/>
      <c r="N416" s="50"/>
      <c r="P416" s="55" t="str">
        <f t="shared" si="13"/>
        <v/>
      </c>
    </row>
    <row r="417" spans="2:20" x14ac:dyDescent="0.25">
      <c r="B417" s="28">
        <f>[1]DataLookUp!$B417</f>
        <v>25000000000414</v>
      </c>
      <c r="C417" s="29" t="str">
        <f>VLOOKUP(B417, [1]DataLookUp!$B$4:$D$621, 2, FALSE)</f>
        <v>Sugeng Ismanto</v>
      </c>
      <c r="D417" s="29" t="str">
        <f>VLOOKUP(B417, [1]DataLookUp!$B$4:$D$621, 3, FALSE)</f>
        <v/>
      </c>
      <c r="E417" s="40"/>
      <c r="F417" s="45" t="str">
        <f t="shared" si="14"/>
        <v/>
      </c>
      <c r="G417" s="30"/>
      <c r="H417" s="31"/>
      <c r="I417" s="50"/>
      <c r="J417" s="40"/>
      <c r="K417" s="40"/>
      <c r="L417" s="51"/>
      <c r="M417" s="52"/>
      <c r="N417" s="50"/>
      <c r="P417" s="55" t="str">
        <f t="shared" si="13"/>
        <v/>
      </c>
    </row>
    <row r="418" spans="2:20" x14ac:dyDescent="0.25">
      <c r="B418" s="28">
        <f>[1]DataLookUp!$B418</f>
        <v>25000000000415</v>
      </c>
      <c r="C418" s="29" t="str">
        <f>VLOOKUP(B418, [1]DataLookUp!$B$4:$D$621, 2, FALSE)</f>
        <v>Sugiarto</v>
      </c>
      <c r="D418" s="29" t="str">
        <f>VLOOKUP(B418, [1]DataLookUp!$B$4:$D$621, 3, FALSE)</f>
        <v>3174071006860011</v>
      </c>
      <c r="E418" s="40" t="s">
        <v>179</v>
      </c>
      <c r="F418" s="45">
        <f t="shared" si="14"/>
        <v>156000000000001</v>
      </c>
      <c r="G418" s="30" t="s">
        <v>23</v>
      </c>
      <c r="H418" s="31">
        <v>31573</v>
      </c>
      <c r="I418" s="50" t="s">
        <v>321</v>
      </c>
      <c r="J418" s="40" t="s">
        <v>204</v>
      </c>
      <c r="K418" s="40" t="s">
        <v>259</v>
      </c>
      <c r="L418" s="51" t="s">
        <v>320</v>
      </c>
      <c r="M418" s="52">
        <v>24000000032499</v>
      </c>
      <c r="N418" s="50"/>
      <c r="P418" s="55" t="str">
        <f t="shared" si="13"/>
        <v xml:space="preserve">PERFORM "SchData-OLTP-Master"."Func_TblCitizenIdentity_SET"(varSystemLoginSession, null, null, null, varInstitutionBranchID, 25000000000415::bigint, 'Sugiarto'::varchar, '3174071006860011'::varchar, 156000000000001::bigint, NULL::bigint, '1986-06-10'::timestamp, NULL::bigint, NULL::bigint, NULL::bigint, NULL::bigint,  24000000032499::bigint, NULL::bigint, NULL::bigint, NULL::bigint, 'Jl. Haji Gaim Gg. H. Tohir No. 35'::varchar, 4::smallint, 10::smallint);
</v>
      </c>
    </row>
    <row r="419" spans="2:20" x14ac:dyDescent="0.25">
      <c r="B419" s="28">
        <f>[1]DataLookUp!$B419</f>
        <v>25000000000416</v>
      </c>
      <c r="C419" s="29" t="str">
        <f>VLOOKUP(B419, [1]DataLookUp!$B$4:$D$621, 2, FALSE)</f>
        <v>Sulih</v>
      </c>
      <c r="D419" s="29" t="str">
        <f>VLOOKUP(B419, [1]DataLookUp!$B$4:$D$621, 3, FALSE)</f>
        <v/>
      </c>
      <c r="E419" s="40"/>
      <c r="F419" s="45" t="str">
        <f t="shared" si="14"/>
        <v/>
      </c>
      <c r="G419" s="30"/>
      <c r="H419" s="31"/>
      <c r="I419" s="50"/>
      <c r="J419" s="40"/>
      <c r="K419" s="40"/>
      <c r="L419" s="51"/>
      <c r="M419" s="52"/>
      <c r="N419" s="50"/>
      <c r="P419" s="55" t="str">
        <f t="shared" si="13"/>
        <v/>
      </c>
      <c r="S419" s="15" t="s">
        <v>337</v>
      </c>
    </row>
    <row r="420" spans="2:20" x14ac:dyDescent="0.25">
      <c r="B420" s="28">
        <f>[1]DataLookUp!$B420</f>
        <v>25000000000417</v>
      </c>
      <c r="C420" s="29" t="str">
        <f>VLOOKUP(B420, [1]DataLookUp!$B$4:$D$621, 2, FALSE)</f>
        <v>Sumadi</v>
      </c>
      <c r="D420" s="29" t="str">
        <f>VLOOKUP(B420, [1]DataLookUp!$B$4:$D$621, 3, FALSE)</f>
        <v/>
      </c>
      <c r="E420" s="40"/>
      <c r="F420" s="45" t="str">
        <f t="shared" si="14"/>
        <v/>
      </c>
      <c r="G420" s="30"/>
      <c r="H420" s="31"/>
      <c r="I420" s="50"/>
      <c r="J420" s="40"/>
      <c r="K420" s="40"/>
      <c r="L420" s="51"/>
      <c r="M420" s="52"/>
      <c r="N420" s="50"/>
      <c r="P420" s="55" t="str">
        <f t="shared" si="13"/>
        <v/>
      </c>
      <c r="T420" s="15" t="s">
        <v>338</v>
      </c>
    </row>
    <row r="421" spans="2:20" x14ac:dyDescent="0.25">
      <c r="B421" s="28">
        <f>[1]DataLookUp!$B421</f>
        <v>25000000000418</v>
      </c>
      <c r="C421" s="29" t="str">
        <f>VLOOKUP(B421, [1]DataLookUp!$B$4:$D$621, 2, FALSE)</f>
        <v>Sumirat</v>
      </c>
      <c r="D421" s="29" t="str">
        <f>VLOOKUP(B421, [1]DataLookUp!$B$4:$D$621, 3, FALSE)</f>
        <v/>
      </c>
      <c r="E421" s="40"/>
      <c r="F421" s="45" t="str">
        <f t="shared" si="14"/>
        <v/>
      </c>
      <c r="G421" s="30"/>
      <c r="H421" s="31"/>
      <c r="I421" s="50"/>
      <c r="J421" s="40"/>
      <c r="K421" s="40"/>
      <c r="L421" s="51"/>
      <c r="M421" s="52"/>
      <c r="N421" s="50"/>
      <c r="P421" s="55" t="str">
        <f t="shared" si="13"/>
        <v/>
      </c>
      <c r="T421" s="15" t="s">
        <v>339</v>
      </c>
    </row>
    <row r="422" spans="2:20" x14ac:dyDescent="0.25">
      <c r="B422" s="28">
        <f>[1]DataLookUp!$B422</f>
        <v>25000000000419</v>
      </c>
      <c r="C422" s="29" t="str">
        <f>VLOOKUP(B422, [1]DataLookUp!$B$4:$D$621, 2, FALSE)</f>
        <v>Sunaryati</v>
      </c>
      <c r="D422" s="29" t="str">
        <f>VLOOKUP(B422, [1]DataLookUp!$B$4:$D$621, 3, FALSE)</f>
        <v/>
      </c>
      <c r="E422" s="40"/>
      <c r="F422" s="45" t="str">
        <f t="shared" si="14"/>
        <v/>
      </c>
      <c r="G422" s="30"/>
      <c r="H422" s="31"/>
      <c r="I422" s="50"/>
      <c r="J422" s="40"/>
      <c r="K422" s="40"/>
      <c r="L422" s="51"/>
      <c r="M422" s="52"/>
      <c r="N422" s="50"/>
      <c r="P422" s="55" t="str">
        <f t="shared" si="13"/>
        <v/>
      </c>
      <c r="T422" s="15" t="s">
        <v>340</v>
      </c>
    </row>
    <row r="423" spans="2:20" x14ac:dyDescent="0.25">
      <c r="B423" s="28">
        <f>[1]DataLookUp!$B423</f>
        <v>25000000000420</v>
      </c>
      <c r="C423" s="29" t="str">
        <f>VLOOKUP(B423, [1]DataLookUp!$B$4:$D$621, 2, FALSE)</f>
        <v>Supriyadi</v>
      </c>
      <c r="D423" s="29" t="str">
        <f>VLOOKUP(B423, [1]DataLookUp!$B$4:$D$621, 3, FALSE)</f>
        <v/>
      </c>
      <c r="E423" s="40"/>
      <c r="F423" s="45" t="str">
        <f t="shared" si="14"/>
        <v/>
      </c>
      <c r="G423" s="30"/>
      <c r="H423" s="31"/>
      <c r="I423" s="50"/>
      <c r="J423" s="40"/>
      <c r="K423" s="40"/>
      <c r="L423" s="51"/>
      <c r="M423" s="52"/>
      <c r="N423" s="50"/>
      <c r="P423" s="55" t="str">
        <f t="shared" si="13"/>
        <v/>
      </c>
      <c r="T423" s="15" t="s">
        <v>341</v>
      </c>
    </row>
    <row r="424" spans="2:20" x14ac:dyDescent="0.25">
      <c r="B424" s="28">
        <f>[1]DataLookUp!$B424</f>
        <v>25000000000421</v>
      </c>
      <c r="C424" s="29" t="str">
        <f>VLOOKUP(B424, [1]DataLookUp!$B$4:$D$621, 2, FALSE)</f>
        <v>Suriono Suriono</v>
      </c>
      <c r="D424" s="29" t="str">
        <f>VLOOKUP(B424, [1]DataLookUp!$B$4:$D$621, 3, FALSE)</f>
        <v/>
      </c>
      <c r="E424" s="40"/>
      <c r="F424" s="45" t="str">
        <f t="shared" si="14"/>
        <v/>
      </c>
      <c r="G424" s="30"/>
      <c r="H424" s="31"/>
      <c r="I424" s="50"/>
      <c r="J424" s="40"/>
      <c r="K424" s="40"/>
      <c r="L424" s="51"/>
      <c r="M424" s="52"/>
      <c r="N424" s="50"/>
      <c r="P424" s="55" t="str">
        <f t="shared" si="13"/>
        <v/>
      </c>
      <c r="T424" s="15" t="s">
        <v>342</v>
      </c>
    </row>
    <row r="425" spans="2:20" x14ac:dyDescent="0.25">
      <c r="B425" s="28">
        <f>[1]DataLookUp!$B425</f>
        <v>25000000000422</v>
      </c>
      <c r="C425" s="29" t="str">
        <f>VLOOKUP(B425, [1]DataLookUp!$B$4:$D$621, 2, FALSE)</f>
        <v>Surono</v>
      </c>
      <c r="D425" s="29" t="str">
        <f>VLOOKUP(B425, [1]DataLookUp!$B$4:$D$621, 3, FALSE)</f>
        <v/>
      </c>
      <c r="E425" s="40"/>
      <c r="F425" s="45" t="str">
        <f t="shared" si="14"/>
        <v/>
      </c>
      <c r="G425" s="30"/>
      <c r="H425" s="31"/>
      <c r="I425" s="50"/>
      <c r="J425" s="40"/>
      <c r="K425" s="40"/>
      <c r="L425" s="51"/>
      <c r="M425" s="52"/>
      <c r="N425" s="50"/>
      <c r="P425" s="55" t="str">
        <f t="shared" si="13"/>
        <v/>
      </c>
      <c r="T425" s="15" t="s">
        <v>343</v>
      </c>
    </row>
    <row r="426" spans="2:20" x14ac:dyDescent="0.25">
      <c r="B426" s="28">
        <f>[1]DataLookUp!$B426</f>
        <v>25000000000423</v>
      </c>
      <c r="C426" s="29" t="str">
        <f>VLOOKUP(B426, [1]DataLookUp!$B$4:$D$621, 2, FALSE)</f>
        <v>Surtoyo Syukri</v>
      </c>
      <c r="D426" s="29" t="str">
        <f>VLOOKUP(B426, [1]DataLookUp!$B$4:$D$621, 3, FALSE)</f>
        <v/>
      </c>
      <c r="E426" s="40"/>
      <c r="F426" s="45" t="str">
        <f t="shared" si="14"/>
        <v/>
      </c>
      <c r="G426" s="30"/>
      <c r="H426" s="31"/>
      <c r="I426" s="50"/>
      <c r="J426" s="40"/>
      <c r="K426" s="40"/>
      <c r="L426" s="51"/>
      <c r="M426" s="52"/>
      <c r="N426" s="50"/>
      <c r="P426" s="55" t="str">
        <f t="shared" si="13"/>
        <v/>
      </c>
      <c r="T426" s="15" t="s">
        <v>344</v>
      </c>
    </row>
    <row r="427" spans="2:20" x14ac:dyDescent="0.25">
      <c r="B427" s="28">
        <f>[1]DataLookUp!$B427</f>
        <v>25000000000424</v>
      </c>
      <c r="C427" s="29" t="str">
        <f>VLOOKUP(B427, [1]DataLookUp!$B$4:$D$621, 2, FALSE)</f>
        <v>Suryadi</v>
      </c>
      <c r="D427" s="29" t="str">
        <f>VLOOKUP(B427, [1]DataLookUp!$B$4:$D$621, 3, FALSE)</f>
        <v/>
      </c>
      <c r="E427" s="40"/>
      <c r="F427" s="45" t="str">
        <f t="shared" si="14"/>
        <v/>
      </c>
      <c r="G427" s="30"/>
      <c r="H427" s="31"/>
      <c r="I427" s="50"/>
      <c r="J427" s="40"/>
      <c r="K427" s="40"/>
      <c r="L427" s="51"/>
      <c r="M427" s="52"/>
      <c r="N427" s="50"/>
      <c r="P427" s="55" t="str">
        <f t="shared" si="13"/>
        <v/>
      </c>
      <c r="T427" s="15" t="s">
        <v>345</v>
      </c>
    </row>
    <row r="428" spans="2:20" x14ac:dyDescent="0.25">
      <c r="B428" s="28">
        <f>[1]DataLookUp!$B428</f>
        <v>25000000000425</v>
      </c>
      <c r="C428" s="29" t="str">
        <f>VLOOKUP(B428, [1]DataLookUp!$B$4:$D$621, 2, FALSE)</f>
        <v>Susilawati</v>
      </c>
      <c r="D428" s="29" t="str">
        <f>VLOOKUP(B428, [1]DataLookUp!$B$4:$D$621, 3, FALSE)</f>
        <v/>
      </c>
      <c r="E428" s="40"/>
      <c r="F428" s="45" t="str">
        <f t="shared" si="14"/>
        <v/>
      </c>
      <c r="G428" s="30"/>
      <c r="H428" s="31"/>
      <c r="I428" s="50"/>
      <c r="J428" s="40"/>
      <c r="K428" s="40"/>
      <c r="L428" s="51"/>
      <c r="M428" s="52"/>
      <c r="N428" s="50"/>
      <c r="P428" s="55" t="str">
        <f t="shared" si="13"/>
        <v/>
      </c>
      <c r="T428" s="15" t="s">
        <v>346</v>
      </c>
    </row>
    <row r="429" spans="2:20" x14ac:dyDescent="0.25">
      <c r="B429" s="28">
        <f>[1]DataLookUp!$B429</f>
        <v>25000000000426</v>
      </c>
      <c r="C429" s="29" t="str">
        <f>VLOOKUP(B429, [1]DataLookUp!$B$4:$D$621, 2, FALSE)</f>
        <v>Sutarno</v>
      </c>
      <c r="D429" s="29" t="str">
        <f>VLOOKUP(B429, [1]DataLookUp!$B$4:$D$621, 3, FALSE)</f>
        <v/>
      </c>
      <c r="E429" s="40"/>
      <c r="F429" s="45" t="str">
        <f t="shared" si="14"/>
        <v/>
      </c>
      <c r="G429" s="30"/>
      <c r="H429" s="31"/>
      <c r="I429" s="50"/>
      <c r="J429" s="40"/>
      <c r="K429" s="40"/>
      <c r="L429" s="51"/>
      <c r="M429" s="52"/>
      <c r="N429" s="50"/>
      <c r="P429" s="55" t="str">
        <f t="shared" si="13"/>
        <v/>
      </c>
      <c r="T429" s="15" t="s">
        <v>347</v>
      </c>
    </row>
    <row r="430" spans="2:20" x14ac:dyDescent="0.25">
      <c r="B430" s="28">
        <f>[1]DataLookUp!$B430</f>
        <v>25000000000427</v>
      </c>
      <c r="C430" s="29" t="str">
        <f>VLOOKUP(B430, [1]DataLookUp!$B$4:$D$621, 2, FALSE)</f>
        <v>Sutra Riandi</v>
      </c>
      <c r="D430" s="29" t="str">
        <f>VLOOKUP(B430, [1]DataLookUp!$B$4:$D$621, 3, FALSE)</f>
        <v/>
      </c>
      <c r="E430" s="40"/>
      <c r="F430" s="45" t="str">
        <f t="shared" si="14"/>
        <v/>
      </c>
      <c r="G430" s="30"/>
      <c r="H430" s="31"/>
      <c r="I430" s="50"/>
      <c r="J430" s="40"/>
      <c r="K430" s="40"/>
      <c r="L430" s="51"/>
      <c r="M430" s="52"/>
      <c r="N430" s="50"/>
      <c r="P430" s="55" t="str">
        <f t="shared" si="13"/>
        <v/>
      </c>
      <c r="T430" s="15" t="s">
        <v>348</v>
      </c>
    </row>
    <row r="431" spans="2:20" x14ac:dyDescent="0.25">
      <c r="B431" s="28">
        <f>[1]DataLookUp!$B431</f>
        <v>25000000000428</v>
      </c>
      <c r="C431" s="29" t="str">
        <f>VLOOKUP(B431, [1]DataLookUp!$B$4:$D$621, 2, FALSE)</f>
        <v>Suyanto</v>
      </c>
      <c r="D431" s="29" t="str">
        <f>VLOOKUP(B431, [1]DataLookUp!$B$4:$D$621, 3, FALSE)</f>
        <v/>
      </c>
      <c r="E431" s="40"/>
      <c r="F431" s="45" t="str">
        <f t="shared" si="14"/>
        <v/>
      </c>
      <c r="G431" s="30"/>
      <c r="H431" s="31"/>
      <c r="I431" s="50"/>
      <c r="J431" s="40"/>
      <c r="K431" s="40"/>
      <c r="L431" s="51"/>
      <c r="M431" s="52"/>
      <c r="N431" s="50"/>
      <c r="P431" s="55" t="str">
        <f t="shared" si="13"/>
        <v/>
      </c>
      <c r="T431" s="15" t="s">
        <v>347</v>
      </c>
    </row>
    <row r="432" spans="2:20" x14ac:dyDescent="0.25">
      <c r="B432" s="28">
        <f>[1]DataLookUp!$B432</f>
        <v>25000000000429</v>
      </c>
      <c r="C432" s="29" t="str">
        <f>VLOOKUP(B432, [1]DataLookUp!$B$4:$D$621, 2, FALSE)</f>
        <v>Swar Jono</v>
      </c>
      <c r="D432" s="29" t="str">
        <f>VLOOKUP(B432, [1]DataLookUp!$B$4:$D$621, 3, FALSE)</f>
        <v/>
      </c>
      <c r="E432" s="40"/>
      <c r="F432" s="45" t="str">
        <f t="shared" si="14"/>
        <v/>
      </c>
      <c r="G432" s="30"/>
      <c r="H432" s="31"/>
      <c r="I432" s="50"/>
      <c r="J432" s="40"/>
      <c r="K432" s="40"/>
      <c r="L432" s="51"/>
      <c r="M432" s="52"/>
      <c r="N432" s="50"/>
      <c r="P432" s="55" t="str">
        <f t="shared" si="13"/>
        <v/>
      </c>
      <c r="T432" s="15" t="s">
        <v>349</v>
      </c>
    </row>
    <row r="433" spans="2:23" x14ac:dyDescent="0.25">
      <c r="B433" s="28">
        <f>[1]DataLookUp!$B433</f>
        <v>25000000000430</v>
      </c>
      <c r="C433" s="29" t="str">
        <f>VLOOKUP(B433, [1]DataLookUp!$B$4:$D$621, 2, FALSE)</f>
        <v>Syafruddin</v>
      </c>
      <c r="D433" s="29" t="str">
        <f>VLOOKUP(B433, [1]DataLookUp!$B$4:$D$621, 3, FALSE)</f>
        <v/>
      </c>
      <c r="E433" s="40"/>
      <c r="F433" s="45" t="str">
        <f t="shared" si="14"/>
        <v/>
      </c>
      <c r="G433" s="30"/>
      <c r="H433" s="31"/>
      <c r="I433" s="50"/>
      <c r="J433" s="40"/>
      <c r="K433" s="40"/>
      <c r="L433" s="51"/>
      <c r="M433" s="52"/>
      <c r="N433" s="50"/>
      <c r="P433" s="55" t="str">
        <f t="shared" si="13"/>
        <v/>
      </c>
      <c r="T433" s="15" t="s">
        <v>347</v>
      </c>
    </row>
    <row r="434" spans="2:23" x14ac:dyDescent="0.25">
      <c r="B434" s="28">
        <f>[1]DataLookUp!$B434</f>
        <v>25000000000431</v>
      </c>
      <c r="C434" s="29" t="str">
        <f>VLOOKUP(B434, [1]DataLookUp!$B$4:$D$621, 2, FALSE)</f>
        <v>Syafrudin Machmud</v>
      </c>
      <c r="D434" s="29" t="str">
        <f>VLOOKUP(B434, [1]DataLookUp!$B$4:$D$621, 3, FALSE)</f>
        <v/>
      </c>
      <c r="E434" s="40"/>
      <c r="F434" s="45" t="str">
        <f t="shared" si="14"/>
        <v/>
      </c>
      <c r="G434" s="30"/>
      <c r="H434" s="31"/>
      <c r="I434" s="50"/>
      <c r="J434" s="40"/>
      <c r="K434" s="40"/>
      <c r="L434" s="51"/>
      <c r="M434" s="52"/>
      <c r="N434" s="50"/>
      <c r="P434" s="55" t="str">
        <f t="shared" si="13"/>
        <v/>
      </c>
      <c r="T434" s="15" t="s">
        <v>350</v>
      </c>
    </row>
    <row r="435" spans="2:23" x14ac:dyDescent="0.25">
      <c r="B435" s="28">
        <f>[1]DataLookUp!$B435</f>
        <v>25000000000432</v>
      </c>
      <c r="C435" s="29" t="str">
        <f>VLOOKUP(B435, [1]DataLookUp!$B$4:$D$621, 2, FALSE)</f>
        <v>Syahrizal</v>
      </c>
      <c r="D435" s="29" t="str">
        <f>VLOOKUP(B435, [1]DataLookUp!$B$4:$D$621, 3, FALSE)</f>
        <v/>
      </c>
      <c r="E435" s="40"/>
      <c r="F435" s="45" t="str">
        <f t="shared" si="14"/>
        <v/>
      </c>
      <c r="G435" s="30"/>
      <c r="H435" s="31"/>
      <c r="I435" s="50"/>
      <c r="J435" s="40"/>
      <c r="K435" s="40"/>
      <c r="L435" s="51"/>
      <c r="M435" s="52"/>
      <c r="N435" s="50"/>
      <c r="P435" s="55" t="str">
        <f t="shared" si="13"/>
        <v/>
      </c>
      <c r="T435" s="15" t="s">
        <v>351</v>
      </c>
    </row>
    <row r="436" spans="2:23" x14ac:dyDescent="0.25">
      <c r="B436" s="28">
        <f>[1]DataLookUp!$B436</f>
        <v>25000000000433</v>
      </c>
      <c r="C436" s="29" t="str">
        <f>VLOOKUP(B436, [1]DataLookUp!$B$4:$D$621, 2, FALSE)</f>
        <v>Syaiful Idjam</v>
      </c>
      <c r="D436" s="29" t="str">
        <f>VLOOKUP(B436, [1]DataLookUp!$B$4:$D$621, 3, FALSE)</f>
        <v/>
      </c>
      <c r="E436" s="40"/>
      <c r="F436" s="45" t="str">
        <f t="shared" si="14"/>
        <v/>
      </c>
      <c r="G436" s="30"/>
      <c r="H436" s="31"/>
      <c r="I436" s="50"/>
      <c r="J436" s="40"/>
      <c r="K436" s="40"/>
      <c r="L436" s="51"/>
      <c r="M436" s="52"/>
      <c r="N436" s="50"/>
      <c r="P436" s="55" t="str">
        <f t="shared" si="13"/>
        <v/>
      </c>
      <c r="S436" s="15" t="s">
        <v>352</v>
      </c>
    </row>
    <row r="437" spans="2:23" x14ac:dyDescent="0.25">
      <c r="B437" s="28">
        <f>[1]DataLookUp!$B437</f>
        <v>25000000000434</v>
      </c>
      <c r="C437" s="29" t="str">
        <f>VLOOKUP(B437, [1]DataLookUp!$B$4:$D$621, 2, FALSE)</f>
        <v>Tajuddin Assubki Ismail</v>
      </c>
      <c r="D437" s="29" t="str">
        <f>VLOOKUP(B437, [1]DataLookUp!$B$4:$D$621, 3, FALSE)</f>
        <v/>
      </c>
      <c r="E437" s="40"/>
      <c r="F437" s="45" t="str">
        <f t="shared" si="14"/>
        <v/>
      </c>
      <c r="G437" s="30"/>
      <c r="H437" s="31"/>
      <c r="I437" s="50"/>
      <c r="J437" s="40"/>
      <c r="K437" s="40"/>
      <c r="L437" s="51"/>
      <c r="M437" s="52"/>
      <c r="N437" s="50"/>
      <c r="P437" s="55" t="str">
        <f t="shared" si="13"/>
        <v/>
      </c>
      <c r="T437" s="15" t="s">
        <v>353</v>
      </c>
    </row>
    <row r="438" spans="2:23" x14ac:dyDescent="0.25">
      <c r="B438" s="28">
        <f>[1]DataLookUp!$B438</f>
        <v>25000000000435</v>
      </c>
      <c r="C438" s="29" t="str">
        <f>VLOOKUP(B438, [1]DataLookUp!$B$4:$D$621, 2, FALSE)</f>
        <v>Taslim</v>
      </c>
      <c r="D438" s="29" t="str">
        <f>VLOOKUP(B438, [1]DataLookUp!$B$4:$D$621, 3, FALSE)</f>
        <v/>
      </c>
      <c r="E438" s="40"/>
      <c r="F438" s="45" t="str">
        <f t="shared" si="14"/>
        <v/>
      </c>
      <c r="G438" s="30"/>
      <c r="H438" s="31"/>
      <c r="I438" s="50"/>
      <c r="J438" s="40"/>
      <c r="K438" s="40"/>
      <c r="L438" s="51"/>
      <c r="M438" s="52"/>
      <c r="N438" s="50"/>
      <c r="P438" s="55" t="str">
        <f t="shared" si="13"/>
        <v/>
      </c>
      <c r="T438" s="15" t="s">
        <v>337</v>
      </c>
    </row>
    <row r="439" spans="2:23" x14ac:dyDescent="0.25">
      <c r="B439" s="28">
        <f>[1]DataLookUp!$B439</f>
        <v>25000000000436</v>
      </c>
      <c r="C439" s="29" t="str">
        <f>VLOOKUP(B439, [1]DataLookUp!$B$4:$D$621, 2, FALSE)</f>
        <v>Taufik Mulia Pane</v>
      </c>
      <c r="D439" s="29" t="str">
        <f>VLOOKUP(B439, [1]DataLookUp!$B$4:$D$621, 3, FALSE)</f>
        <v/>
      </c>
      <c r="E439" s="40"/>
      <c r="F439" s="45" t="str">
        <f t="shared" si="14"/>
        <v/>
      </c>
      <c r="G439" s="30"/>
      <c r="H439" s="31"/>
      <c r="I439" s="50"/>
      <c r="J439" s="40"/>
      <c r="K439" s="40"/>
      <c r="L439" s="51"/>
      <c r="M439" s="52"/>
      <c r="N439" s="50"/>
      <c r="P439" s="55" t="str">
        <f t="shared" si="13"/>
        <v/>
      </c>
      <c r="U439" s="15" t="s">
        <v>353</v>
      </c>
    </row>
    <row r="440" spans="2:23" x14ac:dyDescent="0.25">
      <c r="B440" s="28">
        <f>[1]DataLookUp!$B440</f>
        <v>25000000000437</v>
      </c>
      <c r="C440" s="29" t="str">
        <f>VLOOKUP(B440, [1]DataLookUp!$B$4:$D$621, 2, FALSE)</f>
        <v>Tedy Harseno</v>
      </c>
      <c r="D440" s="29" t="str">
        <f>VLOOKUP(B440, [1]DataLookUp!$B$4:$D$621, 3, FALSE)</f>
        <v/>
      </c>
      <c r="E440" s="40"/>
      <c r="F440" s="45" t="str">
        <f t="shared" si="14"/>
        <v/>
      </c>
      <c r="G440" s="30"/>
      <c r="H440" s="31"/>
      <c r="I440" s="50"/>
      <c r="J440" s="40"/>
      <c r="K440" s="40"/>
      <c r="L440" s="51"/>
      <c r="M440" s="52"/>
      <c r="N440" s="50"/>
      <c r="P440" s="55" t="str">
        <f t="shared" si="13"/>
        <v/>
      </c>
      <c r="U440" s="15" t="s">
        <v>354</v>
      </c>
    </row>
    <row r="441" spans="2:23" x14ac:dyDescent="0.25">
      <c r="B441" s="28">
        <f>[1]DataLookUp!$B441</f>
        <v>25000000000438</v>
      </c>
      <c r="C441" s="29" t="str">
        <f>VLOOKUP(B441, [1]DataLookUp!$B$4:$D$621, 2, FALSE)</f>
        <v>Teguh Joko Pamuji</v>
      </c>
      <c r="D441" s="29" t="str">
        <f>VLOOKUP(B441, [1]DataLookUp!$B$4:$D$621, 3, FALSE)</f>
        <v/>
      </c>
      <c r="E441" s="40"/>
      <c r="F441" s="45" t="str">
        <f t="shared" si="14"/>
        <v/>
      </c>
      <c r="G441" s="30"/>
      <c r="H441" s="31"/>
      <c r="I441" s="50"/>
      <c r="J441" s="40"/>
      <c r="K441" s="40"/>
      <c r="L441" s="51"/>
      <c r="M441" s="52"/>
      <c r="N441" s="50"/>
      <c r="P441" s="55" t="str">
        <f t="shared" si="13"/>
        <v/>
      </c>
      <c r="V441" s="15" t="s">
        <v>355</v>
      </c>
    </row>
    <row r="442" spans="2:23" x14ac:dyDescent="0.25">
      <c r="B442" s="28">
        <f>[1]DataLookUp!$B442</f>
        <v>25000000000439</v>
      </c>
      <c r="C442" s="29" t="str">
        <f>VLOOKUP(B442, [1]DataLookUp!$B$4:$D$621, 2, FALSE)</f>
        <v>Teguh Pratama Januzir Sukin</v>
      </c>
      <c r="D442" s="29" t="str">
        <f>VLOOKUP(B442, [1]DataLookUp!$B$4:$D$621, 3, FALSE)</f>
        <v>3174092710810006</v>
      </c>
      <c r="E442" s="40" t="s">
        <v>179</v>
      </c>
      <c r="F442" s="45">
        <f t="shared" si="14"/>
        <v>156000000000001</v>
      </c>
      <c r="G442" s="30" t="s">
        <v>6</v>
      </c>
      <c r="H442" s="31">
        <v>29886</v>
      </c>
      <c r="I442" s="50" t="s">
        <v>274</v>
      </c>
      <c r="J442" s="40" t="s">
        <v>192</v>
      </c>
      <c r="K442" s="40" t="s">
        <v>192</v>
      </c>
      <c r="L442" s="51" t="s">
        <v>273</v>
      </c>
      <c r="M442" s="52">
        <v>24000000032461</v>
      </c>
      <c r="N442" s="50"/>
      <c r="P442" s="55" t="str">
        <f t="shared" si="13"/>
        <v xml:space="preserve">PERFORM "SchData-OLTP-Master"."Func_TblCitizenIdentity_SET"(varSystemLoginSession, null, null, null, varInstitutionBranchID, 25000000000439::bigint, 'Teguh Pratama Januzir Sukin'::varchar, '3174092710810006'::varchar, 156000000000001::bigint, NULL::bigint, '1981-10-27'::timestamp, NULL::bigint, NULL::bigint, NULL::bigint, NULL::bigint,  24000000032461::bigint, NULL::bigint, NULL::bigint, NULL::bigint, 'Jl. Rancho Indah No. 26F'::varchar, 2::smallint, 2::smallint);
</v>
      </c>
      <c r="W442" s="15" t="s">
        <v>356</v>
      </c>
    </row>
    <row r="443" spans="2:23" x14ac:dyDescent="0.25">
      <c r="B443" s="28">
        <f>[1]DataLookUp!$B443</f>
        <v>25000000000440</v>
      </c>
      <c r="C443" s="29" t="str">
        <f>VLOOKUP(B443, [1]DataLookUp!$B$4:$D$621, 2, FALSE)</f>
        <v>Teguh Susanto</v>
      </c>
      <c r="D443" s="29" t="str">
        <f>VLOOKUP(B443, [1]DataLookUp!$B$4:$D$621, 3, FALSE)</f>
        <v/>
      </c>
      <c r="E443" s="40"/>
      <c r="F443" s="45" t="str">
        <f t="shared" si="14"/>
        <v/>
      </c>
      <c r="G443" s="30"/>
      <c r="H443" s="31"/>
      <c r="I443" s="50"/>
      <c r="J443" s="40"/>
      <c r="K443" s="40"/>
      <c r="L443" s="51"/>
      <c r="M443" s="52"/>
      <c r="N443" s="50"/>
      <c r="P443" s="55" t="str">
        <f t="shared" si="13"/>
        <v/>
      </c>
      <c r="V443" s="15" t="s">
        <v>357</v>
      </c>
    </row>
    <row r="444" spans="2:23" x14ac:dyDescent="0.25">
      <c r="B444" s="28">
        <f>[1]DataLookUp!$B444</f>
        <v>25000000000441</v>
      </c>
      <c r="C444" s="29" t="str">
        <f>VLOOKUP(B444, [1]DataLookUp!$B$4:$D$621, 2, FALSE)</f>
        <v>Tenri Sumange</v>
      </c>
      <c r="D444" s="29" t="str">
        <f>VLOOKUP(B444, [1]DataLookUp!$B$4:$D$621, 3, FALSE)</f>
        <v/>
      </c>
      <c r="E444" s="40"/>
      <c r="F444" s="45" t="str">
        <f t="shared" si="14"/>
        <v/>
      </c>
      <c r="G444" s="30"/>
      <c r="H444" s="31"/>
      <c r="I444" s="50"/>
      <c r="J444" s="40"/>
      <c r="K444" s="40"/>
      <c r="L444" s="51"/>
      <c r="M444" s="52"/>
      <c r="N444" s="50"/>
      <c r="P444" s="55" t="str">
        <f t="shared" si="13"/>
        <v/>
      </c>
      <c r="W444" s="15" t="s">
        <v>358</v>
      </c>
    </row>
    <row r="445" spans="2:23" x14ac:dyDescent="0.25">
      <c r="B445" s="28">
        <f>[1]DataLookUp!$B445</f>
        <v>25000000000442</v>
      </c>
      <c r="C445" s="29" t="str">
        <f>VLOOKUP(B445, [1]DataLookUp!$B$4:$D$621, 2, FALSE)</f>
        <v>Teuku Zulkifli</v>
      </c>
      <c r="D445" s="29" t="str">
        <f>VLOOKUP(B445, [1]DataLookUp!$B$4:$D$621, 3, FALSE)</f>
        <v/>
      </c>
      <c r="E445" s="40"/>
      <c r="F445" s="45" t="str">
        <f t="shared" si="14"/>
        <v/>
      </c>
      <c r="G445" s="30"/>
      <c r="H445" s="31"/>
      <c r="I445" s="50"/>
      <c r="J445" s="40"/>
      <c r="K445" s="40"/>
      <c r="L445" s="51"/>
      <c r="M445" s="52"/>
      <c r="N445" s="50"/>
      <c r="P445" s="55" t="str">
        <f t="shared" si="13"/>
        <v/>
      </c>
      <c r="U445" s="15" t="s">
        <v>359</v>
      </c>
    </row>
    <row r="446" spans="2:23" x14ac:dyDescent="0.25">
      <c r="B446" s="28">
        <f>[1]DataLookUp!$B446</f>
        <v>25000000000443</v>
      </c>
      <c r="C446" s="29" t="str">
        <f>VLOOKUP(B446, [1]DataLookUp!$B$4:$D$621, 2, FALSE)</f>
        <v>Tiara Kemalasari</v>
      </c>
      <c r="D446" s="29" t="str">
        <f>VLOOKUP(B446, [1]DataLookUp!$B$4:$D$621, 3, FALSE)</f>
        <v/>
      </c>
      <c r="E446" s="40"/>
      <c r="F446" s="45" t="str">
        <f t="shared" si="14"/>
        <v/>
      </c>
      <c r="G446" s="30"/>
      <c r="H446" s="31"/>
      <c r="I446" s="50"/>
      <c r="J446" s="40"/>
      <c r="K446" s="40"/>
      <c r="L446" s="51"/>
      <c r="M446" s="52"/>
      <c r="N446" s="50"/>
      <c r="P446" s="55" t="str">
        <f t="shared" si="13"/>
        <v/>
      </c>
      <c r="U446" s="15" t="s">
        <v>360</v>
      </c>
    </row>
    <row r="447" spans="2:23" x14ac:dyDescent="0.25">
      <c r="B447" s="28">
        <f>[1]DataLookUp!$B447</f>
        <v>25000000000444</v>
      </c>
      <c r="C447" s="29" t="str">
        <f>VLOOKUP(B447, [1]DataLookUp!$B$4:$D$621, 2, FALSE)</f>
        <v>Tjhang Linawati</v>
      </c>
      <c r="D447" s="29" t="str">
        <f>VLOOKUP(B447, [1]DataLookUp!$B$4:$D$621, 3, FALSE)</f>
        <v/>
      </c>
      <c r="E447" s="40"/>
      <c r="F447" s="45" t="str">
        <f t="shared" si="14"/>
        <v/>
      </c>
      <c r="G447" s="30"/>
      <c r="H447" s="31"/>
      <c r="I447" s="50"/>
      <c r="J447" s="40"/>
      <c r="K447" s="40"/>
      <c r="L447" s="51"/>
      <c r="M447" s="52"/>
      <c r="N447" s="50"/>
      <c r="P447" s="55" t="str">
        <f t="shared" si="13"/>
        <v/>
      </c>
      <c r="U447" s="15" t="s">
        <v>353</v>
      </c>
    </row>
    <row r="448" spans="2:23" x14ac:dyDescent="0.25">
      <c r="B448" s="28">
        <f>[1]DataLookUp!$B448</f>
        <v>25000000000445</v>
      </c>
      <c r="C448" s="29" t="str">
        <f>VLOOKUP(B448, [1]DataLookUp!$B$4:$D$621, 2, FALSE)</f>
        <v>Totok Kristianto</v>
      </c>
      <c r="D448" s="29" t="str">
        <f>VLOOKUP(B448, [1]DataLookUp!$B$4:$D$621, 3, FALSE)</f>
        <v/>
      </c>
      <c r="E448" s="40"/>
      <c r="F448" s="45" t="str">
        <f t="shared" si="14"/>
        <v/>
      </c>
      <c r="G448" s="30"/>
      <c r="H448" s="31"/>
      <c r="I448" s="50"/>
      <c r="J448" s="40"/>
      <c r="K448" s="40"/>
      <c r="L448" s="51"/>
      <c r="M448" s="52"/>
      <c r="N448" s="50"/>
      <c r="P448" s="55" t="str">
        <f t="shared" si="13"/>
        <v/>
      </c>
      <c r="U448" s="15" t="s">
        <v>361</v>
      </c>
    </row>
    <row r="449" spans="2:22" x14ac:dyDescent="0.25">
      <c r="B449" s="28">
        <f>[1]DataLookUp!$B449</f>
        <v>25000000000446</v>
      </c>
      <c r="C449" s="29" t="str">
        <f>VLOOKUP(B449, [1]DataLookUp!$B$4:$D$621, 2, FALSE)</f>
        <v>Tri Aji</v>
      </c>
      <c r="D449" s="29" t="str">
        <f>VLOOKUP(B449, [1]DataLookUp!$B$4:$D$621, 3, FALSE)</f>
        <v/>
      </c>
      <c r="E449" s="40"/>
      <c r="F449" s="45" t="str">
        <f t="shared" si="14"/>
        <v/>
      </c>
      <c r="G449" s="30"/>
      <c r="H449" s="31"/>
      <c r="I449" s="50"/>
      <c r="J449" s="40"/>
      <c r="K449" s="40"/>
      <c r="L449" s="51"/>
      <c r="M449" s="52"/>
      <c r="N449" s="50"/>
      <c r="P449" s="55" t="str">
        <f t="shared" si="13"/>
        <v/>
      </c>
      <c r="V449" s="15" t="s">
        <v>353</v>
      </c>
    </row>
    <row r="450" spans="2:22" x14ac:dyDescent="0.25">
      <c r="B450" s="28">
        <f>[1]DataLookUp!$B450</f>
        <v>25000000000447</v>
      </c>
      <c r="C450" s="29" t="str">
        <f>VLOOKUP(B450, [1]DataLookUp!$B$4:$D$621, 2, FALSE)</f>
        <v>Tri M. Saputra</v>
      </c>
      <c r="D450" s="29" t="str">
        <f>VLOOKUP(B450, [1]DataLookUp!$B$4:$D$621, 3, FALSE)</f>
        <v/>
      </c>
      <c r="E450" s="40"/>
      <c r="F450" s="45" t="str">
        <f t="shared" si="14"/>
        <v/>
      </c>
      <c r="G450" s="30"/>
      <c r="H450" s="31"/>
      <c r="I450" s="50"/>
      <c r="J450" s="40"/>
      <c r="K450" s="40"/>
      <c r="L450" s="51"/>
      <c r="M450" s="52"/>
      <c r="N450" s="50"/>
      <c r="P450" s="55" t="str">
        <f t="shared" si="13"/>
        <v/>
      </c>
      <c r="V450" s="15" t="s">
        <v>362</v>
      </c>
    </row>
    <row r="451" spans="2:22" x14ac:dyDescent="0.25">
      <c r="B451" s="28">
        <f>[1]DataLookUp!$B451</f>
        <v>25000000000448</v>
      </c>
      <c r="C451" s="29" t="str">
        <f>VLOOKUP(B451, [1]DataLookUp!$B$4:$D$621, 2, FALSE)</f>
        <v>Triani Irma</v>
      </c>
      <c r="D451" s="29" t="str">
        <f>VLOOKUP(B451, [1]DataLookUp!$B$4:$D$621, 3, FALSE)</f>
        <v/>
      </c>
      <c r="E451" s="40"/>
      <c r="F451" s="45" t="str">
        <f t="shared" si="14"/>
        <v/>
      </c>
      <c r="G451" s="30"/>
      <c r="H451" s="31"/>
      <c r="I451" s="50"/>
      <c r="J451" s="40"/>
      <c r="K451" s="40"/>
      <c r="L451" s="51"/>
      <c r="M451" s="52"/>
      <c r="N451" s="50"/>
      <c r="P451" s="55" t="str">
        <f t="shared" si="13"/>
        <v/>
      </c>
      <c r="V451" s="15" t="s">
        <v>363</v>
      </c>
    </row>
    <row r="452" spans="2:22" x14ac:dyDescent="0.25">
      <c r="B452" s="28">
        <f>[1]DataLookUp!$B452</f>
        <v>25000000000449</v>
      </c>
      <c r="C452" s="29" t="str">
        <f>VLOOKUP(B452, [1]DataLookUp!$B$4:$D$621, 2, FALSE)</f>
        <v>Trisyanto</v>
      </c>
      <c r="D452" s="29" t="str">
        <f>VLOOKUP(B452, [1]DataLookUp!$B$4:$D$621, 3, FALSE)</f>
        <v/>
      </c>
      <c r="E452" s="40"/>
      <c r="F452" s="45" t="str">
        <f t="shared" si="14"/>
        <v/>
      </c>
      <c r="G452" s="30"/>
      <c r="H452" s="31"/>
      <c r="I452" s="50"/>
      <c r="J452" s="40"/>
      <c r="K452" s="40"/>
      <c r="L452" s="51"/>
      <c r="M452" s="52"/>
      <c r="N452" s="50"/>
      <c r="P452" s="55" t="str">
        <f t="shared" si="13"/>
        <v/>
      </c>
      <c r="V452" s="15" t="s">
        <v>364</v>
      </c>
    </row>
    <row r="453" spans="2:22" x14ac:dyDescent="0.25">
      <c r="B453" s="28">
        <f>[1]DataLookUp!$B453</f>
        <v>25000000000450</v>
      </c>
      <c r="C453" s="29" t="str">
        <f>VLOOKUP(B453, [1]DataLookUp!$B$4:$D$621, 2, FALSE)</f>
        <v>Triwiarti Dibya</v>
      </c>
      <c r="D453" s="29" t="str">
        <f>VLOOKUP(B453, [1]DataLookUp!$B$4:$D$621, 3, FALSE)</f>
        <v/>
      </c>
      <c r="E453" s="40"/>
      <c r="F453" s="45" t="str">
        <f t="shared" si="14"/>
        <v/>
      </c>
      <c r="G453" s="30"/>
      <c r="H453" s="31"/>
      <c r="I453" s="50"/>
      <c r="J453" s="40"/>
      <c r="K453" s="40"/>
      <c r="L453" s="51"/>
      <c r="M453" s="52"/>
      <c r="N453" s="50"/>
      <c r="P453" s="55" t="str">
        <f t="shared" ref="P453:P516" si="15">IF(EXACT(D453, ""), "", CONCATENATE("PERFORM ""SchData-OLTP-Master"".""Func_TblCitizenIdentity_SET""(varSystemLoginSession, null, null, null, varInstitutionBranchID, ",  IF(EXACT(B453, ""), "NULL", B453), "::bigint, '", C453, "'::varchar, '", D453, "'::varchar, ", IF(EXACT(F453, ""), "NULL", F453), "::bigint, ", "NULL", "::bigint, '", TEXT(H453, "YYYY-MM-DD"), "'::timestamp, ", "NULL", "::bigint, ", "NULL", "::bigint, ", "NULL", "::bigint, ", "NULL", "::bigint,  ", IF(EXACT(M453, ""), "NULL", M453), "::bigint, ", "NULL", "::bigint, ", "NULL", "::bigint, ", "NULL", "::bigint, '", CONCATENATE(I453, IF(EXACT(M453, ""), " "&amp;L453, "")), "'::varchar, ", IF(EXACT(J453, ""), "NULL", J453*1), "::smallint, ", IF(EXACT(K453, ""), "NULL", K453*1), "::smallint);
"))</f>
        <v/>
      </c>
      <c r="U453" s="15" t="s">
        <v>365</v>
      </c>
    </row>
    <row r="454" spans="2:22" x14ac:dyDescent="0.25">
      <c r="B454" s="28">
        <f>[1]DataLookUp!$B454</f>
        <v>25000000000451</v>
      </c>
      <c r="C454" s="29" t="str">
        <f>VLOOKUP(B454, [1]DataLookUp!$B$4:$D$621, 2, FALSE)</f>
        <v>Triyono</v>
      </c>
      <c r="D454" s="29" t="str">
        <f>VLOOKUP(B454, [1]DataLookUp!$B$4:$D$621, 3, FALSE)</f>
        <v/>
      </c>
      <c r="E454" s="40"/>
      <c r="F454" s="45" t="str">
        <f t="shared" si="14"/>
        <v/>
      </c>
      <c r="G454" s="30"/>
      <c r="H454" s="31"/>
      <c r="I454" s="50"/>
      <c r="J454" s="40"/>
      <c r="K454" s="40"/>
      <c r="L454" s="51"/>
      <c r="M454" s="52"/>
      <c r="N454" s="50"/>
      <c r="P454" s="55" t="str">
        <f t="shared" si="15"/>
        <v/>
      </c>
      <c r="U454" s="15" t="s">
        <v>347</v>
      </c>
    </row>
    <row r="455" spans="2:22" ht="25.5" x14ac:dyDescent="0.25">
      <c r="B455" s="28">
        <f>[1]DataLookUp!$B455</f>
        <v>25000000000452</v>
      </c>
      <c r="C455" s="29" t="str">
        <f>VLOOKUP(B455, [1]DataLookUp!$B$4:$D$621, 2, FALSE)</f>
        <v>Turita Pramuning Marantina</v>
      </c>
      <c r="D455" s="29" t="str">
        <f>VLOOKUP(B455, [1]DataLookUp!$B$4:$D$621, 3, FALSE)</f>
        <v>3174074303660008</v>
      </c>
      <c r="E455" s="40" t="s">
        <v>180</v>
      </c>
      <c r="F455" s="45">
        <f t="shared" si="14"/>
        <v>156000000000002</v>
      </c>
      <c r="G455" s="30" t="s">
        <v>6</v>
      </c>
      <c r="H455" s="31">
        <v>24169</v>
      </c>
      <c r="I455" s="51" t="s">
        <v>480</v>
      </c>
      <c r="J455" s="40"/>
      <c r="K455" s="40"/>
      <c r="L455" s="51" t="s">
        <v>19</v>
      </c>
      <c r="M455" s="52">
        <v>24000000032496</v>
      </c>
      <c r="N455" s="50"/>
      <c r="P455" s="55" t="str">
        <f t="shared" si="15"/>
        <v xml:space="preserve">PERFORM "SchData-OLTP-Master"."Func_TblCitizenIdentity_SET"(varSystemLoginSession, null, null, null, varInstitutionBranchID, 25000000000452::bigint, 'Turita Pramuning Marantina'::varchar, '3174074303660008'::varchar, 156000000000002::bigint, NULL::bigint, '1966-03-03'::timestamp, NULL::bigint, NULL::bigint, NULL::bigint, NULL::bigint,  24000000032496::bigint, NULL::bigint, NULL::bigint, NULL::bigint, 'Jl. Puri Mediteran I PB 3D No. 28 Puri Bintaro Sektor 9 Kawasan Bintaro Jaya'::varchar, NULL::smallint, NULL::smallint);
</v>
      </c>
      <c r="U455" s="15" t="s">
        <v>338</v>
      </c>
    </row>
    <row r="456" spans="2:22" x14ac:dyDescent="0.25">
      <c r="B456" s="28">
        <f>[1]DataLookUp!$B456</f>
        <v>25000000000453</v>
      </c>
      <c r="C456" s="29" t="str">
        <f>VLOOKUP(B456, [1]DataLookUp!$B$4:$D$621, 2, FALSE)</f>
        <v>Tutus Ary</v>
      </c>
      <c r="D456" s="29" t="str">
        <f>VLOOKUP(B456, [1]DataLookUp!$B$4:$D$621, 3, FALSE)</f>
        <v/>
      </c>
      <c r="E456" s="40"/>
      <c r="F456" s="45" t="str">
        <f t="shared" si="14"/>
        <v/>
      </c>
      <c r="G456" s="30"/>
      <c r="H456" s="31"/>
      <c r="I456" s="50"/>
      <c r="J456" s="40"/>
      <c r="K456" s="40"/>
      <c r="L456" s="51"/>
      <c r="M456" s="52"/>
      <c r="N456" s="50"/>
      <c r="P456" s="55" t="str">
        <f t="shared" si="15"/>
        <v/>
      </c>
      <c r="U456" s="15" t="s">
        <v>339</v>
      </c>
    </row>
    <row r="457" spans="2:22" x14ac:dyDescent="0.25">
      <c r="B457" s="28">
        <f>[1]DataLookUp!$B457</f>
        <v>25000000000454</v>
      </c>
      <c r="C457" s="29" t="str">
        <f>VLOOKUP(B457, [1]DataLookUp!$B$4:$D$621, 2, FALSE)</f>
        <v>Ubaidillah</v>
      </c>
      <c r="D457" s="29" t="str">
        <f>VLOOKUP(B457, [1]DataLookUp!$B$4:$D$621, 3, FALSE)</f>
        <v/>
      </c>
      <c r="E457" s="40"/>
      <c r="F457" s="45" t="str">
        <f t="shared" si="14"/>
        <v/>
      </c>
      <c r="G457" s="30"/>
      <c r="H457" s="31"/>
      <c r="I457" s="50"/>
      <c r="J457" s="40"/>
      <c r="K457" s="40"/>
      <c r="L457" s="51"/>
      <c r="M457" s="52"/>
      <c r="N457" s="50"/>
      <c r="P457" s="55" t="str">
        <f t="shared" si="15"/>
        <v/>
      </c>
      <c r="U457" s="15" t="s">
        <v>340</v>
      </c>
    </row>
    <row r="458" spans="2:22" x14ac:dyDescent="0.25">
      <c r="B458" s="28">
        <f>[1]DataLookUp!$B458</f>
        <v>25000000000455</v>
      </c>
      <c r="C458" s="29" t="str">
        <f>VLOOKUP(B458, [1]DataLookUp!$B$4:$D$621, 2, FALSE)</f>
        <v>Ujang Barma</v>
      </c>
      <c r="D458" s="29" t="str">
        <f>VLOOKUP(B458, [1]DataLookUp!$B$4:$D$621, 3, FALSE)</f>
        <v/>
      </c>
      <c r="E458" s="40"/>
      <c r="F458" s="45" t="str">
        <f t="shared" si="14"/>
        <v/>
      </c>
      <c r="G458" s="30"/>
      <c r="H458" s="31"/>
      <c r="I458" s="50"/>
      <c r="J458" s="40"/>
      <c r="K458" s="40"/>
      <c r="L458" s="51"/>
      <c r="M458" s="52"/>
      <c r="N458" s="50"/>
      <c r="P458" s="55" t="str">
        <f t="shared" si="15"/>
        <v/>
      </c>
      <c r="U458" s="15" t="s">
        <v>341</v>
      </c>
    </row>
    <row r="459" spans="2:22" x14ac:dyDescent="0.25">
      <c r="B459" s="28">
        <f>[1]DataLookUp!$B459</f>
        <v>25000000000456</v>
      </c>
      <c r="C459" s="29" t="str">
        <f>VLOOKUP(B459, [1]DataLookUp!$B$4:$D$621, 2, FALSE)</f>
        <v>Ujang Suryana</v>
      </c>
      <c r="D459" s="29" t="str">
        <f>VLOOKUP(B459, [1]DataLookUp!$B$4:$D$621, 3, FALSE)</f>
        <v/>
      </c>
      <c r="E459" s="40"/>
      <c r="F459" s="45" t="str">
        <f t="shared" ref="F459:F522" si="16">IF(EXACT(E459, ""), "", IF(EXACT(E459, "L"), 156000000000001, 156000000000002))</f>
        <v/>
      </c>
      <c r="G459" s="30"/>
      <c r="H459" s="31"/>
      <c r="I459" s="50"/>
      <c r="J459" s="40"/>
      <c r="K459" s="40"/>
      <c r="L459" s="51"/>
      <c r="M459" s="52"/>
      <c r="N459" s="50"/>
      <c r="P459" s="55" t="str">
        <f t="shared" si="15"/>
        <v/>
      </c>
      <c r="U459" s="15" t="s">
        <v>342</v>
      </c>
    </row>
    <row r="460" spans="2:22" x14ac:dyDescent="0.25">
      <c r="B460" s="28">
        <f>[1]DataLookUp!$B460</f>
        <v>25000000000457</v>
      </c>
      <c r="C460" s="29" t="str">
        <f>VLOOKUP(B460, [1]DataLookUp!$B$4:$D$621, 2, FALSE)</f>
        <v>Ulman Juanda</v>
      </c>
      <c r="D460" s="29" t="str">
        <f>VLOOKUP(B460, [1]DataLookUp!$B$4:$D$621, 3, FALSE)</f>
        <v/>
      </c>
      <c r="E460" s="40"/>
      <c r="F460" s="45" t="str">
        <f t="shared" si="16"/>
        <v/>
      </c>
      <c r="G460" s="30"/>
      <c r="H460" s="31"/>
      <c r="I460" s="50"/>
      <c r="J460" s="40"/>
      <c r="K460" s="40"/>
      <c r="L460" s="51"/>
      <c r="M460" s="52"/>
      <c r="N460" s="50"/>
      <c r="P460" s="55" t="str">
        <f t="shared" si="15"/>
        <v/>
      </c>
      <c r="U460" s="15" t="s">
        <v>343</v>
      </c>
    </row>
    <row r="461" spans="2:22" x14ac:dyDescent="0.25">
      <c r="B461" s="28">
        <f>[1]DataLookUp!$B461</f>
        <v>25000000000458</v>
      </c>
      <c r="C461" s="29" t="str">
        <f>VLOOKUP(B461, [1]DataLookUp!$B$4:$D$621, 2, FALSE)</f>
        <v>Urbanus Boimau</v>
      </c>
      <c r="D461" s="29" t="str">
        <f>VLOOKUP(B461, [1]DataLookUp!$B$4:$D$621, 3, FALSE)</f>
        <v>3175022605760013</v>
      </c>
      <c r="E461" s="40" t="s">
        <v>179</v>
      </c>
      <c r="F461" s="45">
        <f t="shared" si="16"/>
        <v>156000000000001</v>
      </c>
      <c r="G461" s="30" t="s">
        <v>22</v>
      </c>
      <c r="H461" s="31">
        <v>27906</v>
      </c>
      <c r="I461" s="50" t="s">
        <v>328</v>
      </c>
      <c r="J461" s="40" t="s">
        <v>183</v>
      </c>
      <c r="K461" s="40" t="s">
        <v>186</v>
      </c>
      <c r="L461" s="51" t="s">
        <v>327</v>
      </c>
      <c r="M461" s="52">
        <v>24000000032579</v>
      </c>
      <c r="N461" s="50"/>
      <c r="P461" s="55" t="str">
        <f t="shared" si="15"/>
        <v xml:space="preserve">PERFORM "SchData-OLTP-Master"."Func_TblCitizenIdentity_SET"(varSystemLoginSession, null, null, null, varInstitutionBranchID, 25000000000458::bigint, 'Urbanus Boimau'::varchar, '3175022605760013'::varchar, 156000000000001::bigint, NULL::bigint, '1976-05-26'::timestamp, NULL::bigint, NULL::bigint, NULL::bigint, NULL::bigint,  24000000032579::bigint, NULL::bigint, NULL::bigint, NULL::bigint, 'Jl. Jatinegara Kaum No. 18A'::varchar, 1::smallint, 3::smallint);
</v>
      </c>
      <c r="U461" s="15" t="s">
        <v>344</v>
      </c>
    </row>
    <row r="462" spans="2:22" x14ac:dyDescent="0.25">
      <c r="B462" s="28">
        <f>[1]DataLookUp!$B462</f>
        <v>25000000000459</v>
      </c>
      <c r="C462" s="29" t="str">
        <f>VLOOKUP(B462, [1]DataLookUp!$B$4:$D$621, 2, FALSE)</f>
        <v>Uswatun Hasamah</v>
      </c>
      <c r="D462" s="29" t="str">
        <f>VLOOKUP(B462, [1]DataLookUp!$B$4:$D$621, 3, FALSE)</f>
        <v/>
      </c>
      <c r="E462" s="40"/>
      <c r="F462" s="45" t="str">
        <f t="shared" si="16"/>
        <v/>
      </c>
      <c r="G462" s="30"/>
      <c r="H462" s="31"/>
      <c r="I462" s="50"/>
      <c r="J462" s="40"/>
      <c r="K462" s="40"/>
      <c r="L462" s="51"/>
      <c r="M462" s="52"/>
      <c r="N462" s="50"/>
      <c r="P462" s="55" t="str">
        <f t="shared" si="15"/>
        <v/>
      </c>
      <c r="U462" s="15" t="s">
        <v>345</v>
      </c>
    </row>
    <row r="463" spans="2:22" x14ac:dyDescent="0.25">
      <c r="B463" s="28">
        <f>[1]DataLookUp!$B463</f>
        <v>25000000000460</v>
      </c>
      <c r="C463" s="29" t="str">
        <f>VLOOKUP(B463, [1]DataLookUp!$B$4:$D$621, 2, FALSE)</f>
        <v>Uswatun Khasanah</v>
      </c>
      <c r="D463" s="29" t="str">
        <f>VLOOKUP(B463, [1]DataLookUp!$B$4:$D$621, 3, FALSE)</f>
        <v/>
      </c>
      <c r="E463" s="40"/>
      <c r="F463" s="45" t="str">
        <f t="shared" si="16"/>
        <v/>
      </c>
      <c r="G463" s="30"/>
      <c r="H463" s="31"/>
      <c r="I463" s="50"/>
      <c r="J463" s="40"/>
      <c r="K463" s="40"/>
      <c r="L463" s="51"/>
      <c r="M463" s="52"/>
      <c r="N463" s="50"/>
      <c r="P463" s="55" t="str">
        <f t="shared" si="15"/>
        <v/>
      </c>
      <c r="U463" s="15" t="s">
        <v>346</v>
      </c>
    </row>
    <row r="464" spans="2:22" x14ac:dyDescent="0.25">
      <c r="B464" s="28">
        <f>[1]DataLookUp!$B464</f>
        <v>25000000000461</v>
      </c>
      <c r="C464" s="29" t="str">
        <f>VLOOKUP(B464, [1]DataLookUp!$B$4:$D$621, 2, FALSE)</f>
        <v>Utami Dewi</v>
      </c>
      <c r="D464" s="29" t="str">
        <f>VLOOKUP(B464, [1]DataLookUp!$B$4:$D$621, 3, FALSE)</f>
        <v/>
      </c>
      <c r="E464" s="40"/>
      <c r="F464" s="45" t="str">
        <f t="shared" si="16"/>
        <v/>
      </c>
      <c r="G464" s="30"/>
      <c r="H464" s="31"/>
      <c r="I464" s="50"/>
      <c r="J464" s="40"/>
      <c r="K464" s="40"/>
      <c r="L464" s="51"/>
      <c r="M464" s="52"/>
      <c r="N464" s="50"/>
      <c r="P464" s="55" t="str">
        <f t="shared" si="15"/>
        <v/>
      </c>
      <c r="U464" s="15" t="s">
        <v>347</v>
      </c>
    </row>
    <row r="465" spans="2:22" x14ac:dyDescent="0.25">
      <c r="B465" s="28">
        <f>[1]DataLookUp!$B465</f>
        <v>25000000000462</v>
      </c>
      <c r="C465" s="29" t="str">
        <f>VLOOKUP(B465, [1]DataLookUp!$B$4:$D$621, 2, FALSE)</f>
        <v>Utanto</v>
      </c>
      <c r="D465" s="29" t="str">
        <f>VLOOKUP(B465, [1]DataLookUp!$B$4:$D$621, 3, FALSE)</f>
        <v/>
      </c>
      <c r="E465" s="40"/>
      <c r="F465" s="45" t="str">
        <f t="shared" si="16"/>
        <v/>
      </c>
      <c r="G465" s="30"/>
      <c r="H465" s="31"/>
      <c r="I465" s="50"/>
      <c r="J465" s="40"/>
      <c r="K465" s="40"/>
      <c r="L465" s="51"/>
      <c r="M465" s="52"/>
      <c r="N465" s="50"/>
      <c r="P465" s="55" t="str">
        <f t="shared" si="15"/>
        <v/>
      </c>
      <c r="U465" s="15" t="s">
        <v>348</v>
      </c>
    </row>
    <row r="466" spans="2:22" x14ac:dyDescent="0.25">
      <c r="B466" s="28">
        <f>[1]DataLookUp!$B466</f>
        <v>25000000000463</v>
      </c>
      <c r="C466" s="29" t="str">
        <f>VLOOKUP(B466, [1]DataLookUp!$B$4:$D$621, 2, FALSE)</f>
        <v>Veradita Yulanda</v>
      </c>
      <c r="D466" s="29" t="str">
        <f>VLOOKUP(B466, [1]DataLookUp!$B$4:$D$621, 3, FALSE)</f>
        <v/>
      </c>
      <c r="E466" s="40"/>
      <c r="F466" s="45" t="str">
        <f t="shared" si="16"/>
        <v/>
      </c>
      <c r="G466" s="30"/>
      <c r="H466" s="31"/>
      <c r="I466" s="50"/>
      <c r="J466" s="40"/>
      <c r="K466" s="40"/>
      <c r="L466" s="51"/>
      <c r="M466" s="52"/>
      <c r="N466" s="50"/>
      <c r="P466" s="55" t="str">
        <f t="shared" si="15"/>
        <v/>
      </c>
      <c r="U466" s="15" t="s">
        <v>347</v>
      </c>
    </row>
    <row r="467" spans="2:22" x14ac:dyDescent="0.25">
      <c r="B467" s="28">
        <f>[1]DataLookUp!$B467</f>
        <v>25000000000464</v>
      </c>
      <c r="C467" s="29" t="str">
        <f>VLOOKUP(B467, [1]DataLookUp!$B$4:$D$621, 2, FALSE)</f>
        <v>Vidhy Kartika Putri</v>
      </c>
      <c r="D467" s="29" t="str">
        <f>VLOOKUP(B467, [1]DataLookUp!$B$4:$D$621, 3, FALSE)</f>
        <v/>
      </c>
      <c r="E467" s="40"/>
      <c r="F467" s="45" t="str">
        <f t="shared" si="16"/>
        <v/>
      </c>
      <c r="G467" s="30"/>
      <c r="H467" s="31"/>
      <c r="I467" s="50"/>
      <c r="J467" s="40"/>
      <c r="K467" s="40"/>
      <c r="L467" s="51"/>
      <c r="M467" s="52"/>
      <c r="N467" s="50"/>
      <c r="P467" s="55" t="str">
        <f t="shared" si="15"/>
        <v/>
      </c>
      <c r="U467" s="15" t="s">
        <v>366</v>
      </c>
    </row>
    <row r="468" spans="2:22" x14ac:dyDescent="0.25">
      <c r="B468" s="28">
        <f>[1]DataLookUp!$B468</f>
        <v>25000000000465</v>
      </c>
      <c r="C468" s="29" t="str">
        <f>VLOOKUP(B468, [1]DataLookUp!$B$4:$D$621, 2, FALSE)</f>
        <v>Vonny Agram</v>
      </c>
      <c r="D468" s="29" t="str">
        <f>VLOOKUP(B468, [1]DataLookUp!$B$4:$D$621, 3, FALSE)</f>
        <v/>
      </c>
      <c r="E468" s="40"/>
      <c r="F468" s="45" t="str">
        <f t="shared" si="16"/>
        <v/>
      </c>
      <c r="G468" s="30"/>
      <c r="H468" s="31"/>
      <c r="I468" s="50"/>
      <c r="J468" s="40"/>
      <c r="K468" s="40"/>
      <c r="L468" s="51"/>
      <c r="M468" s="52"/>
      <c r="N468" s="50"/>
      <c r="P468" s="55" t="str">
        <f t="shared" si="15"/>
        <v/>
      </c>
      <c r="T468" s="15" t="s">
        <v>352</v>
      </c>
    </row>
    <row r="469" spans="2:22" x14ac:dyDescent="0.25">
      <c r="B469" s="28">
        <f>[1]DataLookUp!$B469</f>
        <v>25000000000466</v>
      </c>
      <c r="C469" s="29" t="str">
        <f>VLOOKUP(B469, [1]DataLookUp!$B$4:$D$621, 2, FALSE)</f>
        <v>Wahyu</v>
      </c>
      <c r="D469" s="29" t="str">
        <f>VLOOKUP(B469, [1]DataLookUp!$B$4:$D$621, 3, FALSE)</f>
        <v/>
      </c>
      <c r="E469" s="40"/>
      <c r="F469" s="45" t="str">
        <f t="shared" si="16"/>
        <v/>
      </c>
      <c r="G469" s="30"/>
      <c r="H469" s="31"/>
      <c r="I469" s="50"/>
      <c r="J469" s="40"/>
      <c r="K469" s="40"/>
      <c r="L469" s="51"/>
      <c r="M469" s="52"/>
      <c r="N469" s="50"/>
      <c r="P469" s="55" t="str">
        <f t="shared" si="15"/>
        <v/>
      </c>
      <c r="U469" s="15" t="s">
        <v>353</v>
      </c>
    </row>
    <row r="470" spans="2:22" x14ac:dyDescent="0.25">
      <c r="B470" s="28">
        <f>[1]DataLookUp!$B470</f>
        <v>25000000000467</v>
      </c>
      <c r="C470" s="29" t="str">
        <f>VLOOKUP(B470, [1]DataLookUp!$B$4:$D$621, 2, FALSE)</f>
        <v>Wahyu Ramadhani</v>
      </c>
      <c r="D470" s="29" t="str">
        <f>VLOOKUP(B470, [1]DataLookUp!$B$4:$D$621, 3, FALSE)</f>
        <v/>
      </c>
      <c r="E470" s="40"/>
      <c r="F470" s="45" t="str">
        <f t="shared" si="16"/>
        <v/>
      </c>
      <c r="G470" s="30"/>
      <c r="H470" s="31"/>
      <c r="I470" s="50"/>
      <c r="J470" s="40"/>
      <c r="K470" s="40"/>
      <c r="L470" s="51"/>
      <c r="M470" s="52"/>
      <c r="N470" s="50"/>
      <c r="P470" s="55" t="str">
        <f t="shared" si="15"/>
        <v/>
      </c>
      <c r="U470" s="15" t="s">
        <v>337</v>
      </c>
    </row>
    <row r="471" spans="2:22" x14ac:dyDescent="0.25">
      <c r="B471" s="28">
        <f>[1]DataLookUp!$B471</f>
        <v>25000000000468</v>
      </c>
      <c r="C471" s="29" t="str">
        <f>VLOOKUP(B471, [1]DataLookUp!$B$4:$D$621, 2, FALSE)</f>
        <v>Wahyu Widodo</v>
      </c>
      <c r="D471" s="29" t="str">
        <f>VLOOKUP(B471, [1]DataLookUp!$B$4:$D$621, 3, FALSE)</f>
        <v/>
      </c>
      <c r="E471" s="40"/>
      <c r="F471" s="45" t="str">
        <f t="shared" si="16"/>
        <v/>
      </c>
      <c r="G471" s="30"/>
      <c r="H471" s="31"/>
      <c r="I471" s="50"/>
      <c r="J471" s="40"/>
      <c r="K471" s="40"/>
      <c r="L471" s="51"/>
      <c r="M471" s="52"/>
      <c r="N471" s="50"/>
      <c r="P471" s="55" t="str">
        <f t="shared" si="15"/>
        <v/>
      </c>
      <c r="V471" s="15" t="s">
        <v>338</v>
      </c>
    </row>
    <row r="472" spans="2:22" x14ac:dyDescent="0.25">
      <c r="B472" s="28">
        <f>[1]DataLookUp!$B472</f>
        <v>25000000000469</v>
      </c>
      <c r="C472" s="29" t="str">
        <f>VLOOKUP(B472, [1]DataLookUp!$B$4:$D$621, 2, FALSE)</f>
        <v>Warsito Edy Saputra</v>
      </c>
      <c r="D472" s="29" t="str">
        <f>VLOOKUP(B472, [1]DataLookUp!$B$4:$D$621, 3, FALSE)</f>
        <v/>
      </c>
      <c r="E472" s="40"/>
      <c r="F472" s="45" t="str">
        <f t="shared" si="16"/>
        <v/>
      </c>
      <c r="G472" s="30"/>
      <c r="H472" s="31"/>
      <c r="I472" s="50"/>
      <c r="J472" s="40"/>
      <c r="K472" s="40"/>
      <c r="L472" s="51"/>
      <c r="M472" s="52"/>
      <c r="N472" s="50"/>
      <c r="P472" s="55" t="str">
        <f t="shared" si="15"/>
        <v/>
      </c>
      <c r="V472" s="15" t="s">
        <v>339</v>
      </c>
    </row>
    <row r="473" spans="2:22" x14ac:dyDescent="0.25">
      <c r="B473" s="28">
        <f>[1]DataLookUp!$B473</f>
        <v>25000000000470</v>
      </c>
      <c r="C473" s="29" t="str">
        <f>VLOOKUP(B473, [1]DataLookUp!$B$4:$D$621, 2, FALSE)</f>
        <v>Weldi Wimar</v>
      </c>
      <c r="D473" s="29" t="str">
        <f>VLOOKUP(B473, [1]DataLookUp!$B$4:$D$621, 3, FALSE)</f>
        <v/>
      </c>
      <c r="E473" s="40"/>
      <c r="F473" s="45" t="str">
        <f t="shared" si="16"/>
        <v/>
      </c>
      <c r="G473" s="30"/>
      <c r="H473" s="31"/>
      <c r="I473" s="50"/>
      <c r="J473" s="40"/>
      <c r="K473" s="40"/>
      <c r="L473" s="51"/>
      <c r="M473" s="52"/>
      <c r="N473" s="50"/>
      <c r="P473" s="55" t="str">
        <f t="shared" si="15"/>
        <v/>
      </c>
      <c r="V473" s="15" t="s">
        <v>340</v>
      </c>
    </row>
    <row r="474" spans="2:22" x14ac:dyDescent="0.25">
      <c r="B474" s="28">
        <f>[1]DataLookUp!$B474</f>
        <v>25000000000471</v>
      </c>
      <c r="C474" s="29" t="str">
        <f>VLOOKUP(B474, [1]DataLookUp!$B$4:$D$621, 2, FALSE)</f>
        <v>Wendy Septiyan</v>
      </c>
      <c r="D474" s="29" t="str">
        <f>VLOOKUP(B474, [1]DataLookUp!$B$4:$D$621, 3, FALSE)</f>
        <v/>
      </c>
      <c r="E474" s="40"/>
      <c r="F474" s="45" t="str">
        <f t="shared" si="16"/>
        <v/>
      </c>
      <c r="G474" s="30"/>
      <c r="H474" s="31"/>
      <c r="I474" s="50"/>
      <c r="J474" s="40"/>
      <c r="K474" s="40"/>
      <c r="L474" s="51"/>
      <c r="M474" s="52"/>
      <c r="N474" s="50"/>
      <c r="P474" s="55" t="str">
        <f t="shared" si="15"/>
        <v/>
      </c>
      <c r="V474" s="15" t="s">
        <v>341</v>
      </c>
    </row>
    <row r="475" spans="2:22" x14ac:dyDescent="0.25">
      <c r="B475" s="28">
        <f>[1]DataLookUp!$B475</f>
        <v>25000000000472</v>
      </c>
      <c r="C475" s="29" t="str">
        <f>VLOOKUP(B475, [1]DataLookUp!$B$4:$D$621, 2, FALSE)</f>
        <v>Willy Indarto</v>
      </c>
      <c r="D475" s="29" t="str">
        <f>VLOOKUP(B475, [1]DataLookUp!$B$4:$D$621, 3, FALSE)</f>
        <v/>
      </c>
      <c r="E475" s="40"/>
      <c r="F475" s="45" t="str">
        <f t="shared" si="16"/>
        <v/>
      </c>
      <c r="G475" s="30"/>
      <c r="H475" s="31"/>
      <c r="I475" s="50"/>
      <c r="J475" s="40"/>
      <c r="K475" s="40"/>
      <c r="L475" s="51"/>
      <c r="M475" s="52"/>
      <c r="N475" s="50"/>
      <c r="P475" s="55" t="str">
        <f t="shared" si="15"/>
        <v/>
      </c>
      <c r="V475" s="15" t="s">
        <v>342</v>
      </c>
    </row>
    <row r="476" spans="2:22" x14ac:dyDescent="0.25">
      <c r="B476" s="28">
        <f>[1]DataLookUp!$B476</f>
        <v>25000000000473</v>
      </c>
      <c r="C476" s="29" t="str">
        <f>VLOOKUP(B476, [1]DataLookUp!$B$4:$D$621, 2, FALSE)</f>
        <v>Winda Suherman</v>
      </c>
      <c r="D476" s="29" t="str">
        <f>VLOOKUP(B476, [1]DataLookUp!$B$4:$D$621, 3, FALSE)</f>
        <v/>
      </c>
      <c r="E476" s="40"/>
      <c r="F476" s="45" t="str">
        <f t="shared" si="16"/>
        <v/>
      </c>
      <c r="G476" s="30"/>
      <c r="H476" s="31"/>
      <c r="I476" s="50"/>
      <c r="J476" s="40"/>
      <c r="K476" s="40"/>
      <c r="L476" s="51"/>
      <c r="M476" s="52"/>
      <c r="N476" s="50"/>
      <c r="P476" s="55" t="str">
        <f t="shared" si="15"/>
        <v/>
      </c>
      <c r="V476" s="15" t="s">
        <v>343</v>
      </c>
    </row>
    <row r="477" spans="2:22" x14ac:dyDescent="0.25">
      <c r="B477" s="28">
        <f>[1]DataLookUp!$B477</f>
        <v>25000000000474</v>
      </c>
      <c r="C477" s="29" t="str">
        <f>VLOOKUP(B477, [1]DataLookUp!$B$4:$D$621, 2, FALSE)</f>
        <v>Wisnu Ardian</v>
      </c>
      <c r="D477" s="29" t="str">
        <f>VLOOKUP(B477, [1]DataLookUp!$B$4:$D$621, 3, FALSE)</f>
        <v/>
      </c>
      <c r="E477" s="40"/>
      <c r="F477" s="45" t="str">
        <f t="shared" si="16"/>
        <v/>
      </c>
      <c r="G477" s="30"/>
      <c r="H477" s="31"/>
      <c r="I477" s="50"/>
      <c r="J477" s="40"/>
      <c r="K477" s="40"/>
      <c r="L477" s="51"/>
      <c r="M477" s="52"/>
      <c r="N477" s="50"/>
      <c r="P477" s="55" t="str">
        <f t="shared" si="15"/>
        <v/>
      </c>
      <c r="V477" s="15" t="s">
        <v>367</v>
      </c>
    </row>
    <row r="478" spans="2:22" x14ac:dyDescent="0.25">
      <c r="B478" s="28">
        <f>[1]DataLookUp!$B478</f>
        <v>25000000000475</v>
      </c>
      <c r="C478" s="29" t="str">
        <f>VLOOKUP(B478, [1]DataLookUp!$B$4:$D$621, 2, FALSE)</f>
        <v>Wisudanto C. Suntoyo</v>
      </c>
      <c r="D478" s="29" t="str">
        <f>VLOOKUP(B478, [1]DataLookUp!$B$4:$D$621, 3, FALSE)</f>
        <v/>
      </c>
      <c r="E478" s="40"/>
      <c r="F478" s="45" t="str">
        <f t="shared" si="16"/>
        <v/>
      </c>
      <c r="G478" s="30"/>
      <c r="H478" s="31"/>
      <c r="I478" s="50"/>
      <c r="J478" s="40"/>
      <c r="K478" s="40"/>
      <c r="L478" s="51"/>
      <c r="M478" s="52"/>
      <c r="N478" s="50"/>
      <c r="P478" s="55" t="str">
        <f t="shared" si="15"/>
        <v/>
      </c>
      <c r="V478" s="15" t="s">
        <v>368</v>
      </c>
    </row>
    <row r="479" spans="2:22" x14ac:dyDescent="0.25">
      <c r="B479" s="28">
        <f>[1]DataLookUp!$B479</f>
        <v>25000000000476</v>
      </c>
      <c r="C479" s="29" t="str">
        <f>VLOOKUP(B479, [1]DataLookUp!$B$4:$D$621, 2, FALSE)</f>
        <v>Yahya Adyasa Febriansyah</v>
      </c>
      <c r="D479" s="29" t="str">
        <f>VLOOKUP(B479, [1]DataLookUp!$B$4:$D$621, 3, FALSE)</f>
        <v/>
      </c>
      <c r="E479" s="40"/>
      <c r="F479" s="45" t="str">
        <f t="shared" si="16"/>
        <v/>
      </c>
      <c r="G479" s="30"/>
      <c r="H479" s="31"/>
      <c r="I479" s="50"/>
      <c r="J479" s="40"/>
      <c r="K479" s="40"/>
      <c r="L479" s="51"/>
      <c r="M479" s="52"/>
      <c r="N479" s="50"/>
      <c r="P479" s="55" t="str">
        <f t="shared" si="15"/>
        <v/>
      </c>
      <c r="V479" s="15" t="s">
        <v>369</v>
      </c>
    </row>
    <row r="480" spans="2:22" x14ac:dyDescent="0.25">
      <c r="B480" s="28">
        <f>[1]DataLookUp!$B480</f>
        <v>25000000000477</v>
      </c>
      <c r="C480" s="29" t="str">
        <f>VLOOKUP(B480, [1]DataLookUp!$B$4:$D$621, 2, FALSE)</f>
        <v>Yakup Sunaryo</v>
      </c>
      <c r="D480" s="29" t="str">
        <f>VLOOKUP(B480, [1]DataLookUp!$B$4:$D$621, 3, FALSE)</f>
        <v/>
      </c>
      <c r="E480" s="40"/>
      <c r="F480" s="45" t="str">
        <f t="shared" si="16"/>
        <v/>
      </c>
      <c r="G480" s="30"/>
      <c r="H480" s="31"/>
      <c r="I480" s="50"/>
      <c r="J480" s="40"/>
      <c r="K480" s="40"/>
      <c r="L480" s="51"/>
      <c r="M480" s="52"/>
      <c r="N480" s="50"/>
      <c r="P480" s="55" t="str">
        <f t="shared" si="15"/>
        <v/>
      </c>
      <c r="V480" s="15" t="s">
        <v>347</v>
      </c>
    </row>
    <row r="481" spans="2:24" x14ac:dyDescent="0.25">
      <c r="B481" s="28">
        <f>[1]DataLookUp!$B481</f>
        <v>25000000000478</v>
      </c>
      <c r="C481" s="29" t="str">
        <f>VLOOKUP(B481, [1]DataLookUp!$B$4:$D$621, 2, FALSE)</f>
        <v>Yanuar Tri Ananda</v>
      </c>
      <c r="D481" s="29" t="str">
        <f>VLOOKUP(B481, [1]DataLookUp!$B$4:$D$621, 3, FALSE)</f>
        <v/>
      </c>
      <c r="E481" s="40"/>
      <c r="F481" s="45" t="str">
        <f t="shared" si="16"/>
        <v/>
      </c>
      <c r="G481" s="30"/>
      <c r="H481" s="31"/>
      <c r="I481" s="50"/>
      <c r="J481" s="40"/>
      <c r="K481" s="40"/>
      <c r="L481" s="51"/>
      <c r="M481" s="52"/>
      <c r="N481" s="50"/>
      <c r="P481" s="55" t="str">
        <f t="shared" si="15"/>
        <v/>
      </c>
      <c r="V481" s="15" t="s">
        <v>348</v>
      </c>
    </row>
    <row r="482" spans="2:24" x14ac:dyDescent="0.25">
      <c r="B482" s="28">
        <f>[1]DataLookUp!$B482</f>
        <v>25000000000479</v>
      </c>
      <c r="C482" s="29" t="str">
        <f>VLOOKUP(B482, [1]DataLookUp!$B$4:$D$621, 2, FALSE)</f>
        <v>Yasir Liem</v>
      </c>
      <c r="D482" s="29" t="str">
        <f>VLOOKUP(B482, [1]DataLookUp!$B$4:$D$621, 3, FALSE)</f>
        <v/>
      </c>
      <c r="E482" s="40"/>
      <c r="F482" s="45" t="str">
        <f t="shared" si="16"/>
        <v/>
      </c>
      <c r="G482" s="30"/>
      <c r="H482" s="31"/>
      <c r="I482" s="50"/>
      <c r="J482" s="40"/>
      <c r="K482" s="40"/>
      <c r="L482" s="51"/>
      <c r="M482" s="52"/>
      <c r="N482" s="50"/>
      <c r="P482" s="55" t="str">
        <f t="shared" si="15"/>
        <v/>
      </c>
      <c r="V482" s="15" t="s">
        <v>347</v>
      </c>
    </row>
    <row r="483" spans="2:24" x14ac:dyDescent="0.25">
      <c r="B483" s="28">
        <f>[1]DataLookUp!$B483</f>
        <v>25000000000480</v>
      </c>
      <c r="C483" s="29" t="str">
        <f>VLOOKUP(B483, [1]DataLookUp!$B$4:$D$621, 2, FALSE)</f>
        <v>Yefri Hendrayani</v>
      </c>
      <c r="D483" s="29" t="str">
        <f>VLOOKUP(B483, [1]DataLookUp!$B$4:$D$621, 3, FALSE)</f>
        <v/>
      </c>
      <c r="E483" s="40"/>
      <c r="F483" s="45" t="str">
        <f t="shared" si="16"/>
        <v/>
      </c>
      <c r="G483" s="30"/>
      <c r="H483" s="31"/>
      <c r="I483" s="50"/>
      <c r="J483" s="40"/>
      <c r="K483" s="40"/>
      <c r="L483" s="51"/>
      <c r="M483" s="52"/>
      <c r="N483" s="50"/>
      <c r="P483" s="55" t="str">
        <f t="shared" si="15"/>
        <v/>
      </c>
      <c r="V483" s="15" t="s">
        <v>370</v>
      </c>
    </row>
    <row r="484" spans="2:24" x14ac:dyDescent="0.25">
      <c r="B484" s="28">
        <f>[1]DataLookUp!$B484</f>
        <v>25000000000481</v>
      </c>
      <c r="C484" s="29" t="str">
        <f>VLOOKUP(B484, [1]DataLookUp!$B$4:$D$621, 2, FALSE)</f>
        <v>Yessi Setiarini</v>
      </c>
      <c r="D484" s="29" t="str">
        <f>VLOOKUP(B484, [1]DataLookUp!$B$4:$D$621, 3, FALSE)</f>
        <v/>
      </c>
      <c r="E484" s="40"/>
      <c r="F484" s="45" t="str">
        <f t="shared" si="16"/>
        <v/>
      </c>
      <c r="G484" s="30"/>
      <c r="H484" s="31"/>
      <c r="I484" s="50"/>
      <c r="J484" s="40"/>
      <c r="K484" s="40"/>
      <c r="L484" s="51"/>
      <c r="M484" s="52"/>
      <c r="N484" s="50"/>
      <c r="P484" s="55" t="str">
        <f t="shared" si="15"/>
        <v/>
      </c>
      <c r="W484" s="15" t="s">
        <v>371</v>
      </c>
    </row>
    <row r="485" spans="2:24" x14ac:dyDescent="0.25">
      <c r="B485" s="28">
        <f>[1]DataLookUp!$B485</f>
        <v>25000000000482</v>
      </c>
      <c r="C485" s="29" t="str">
        <f>VLOOKUP(B485, [1]DataLookUp!$B$4:$D$621, 2, FALSE)</f>
        <v>Yorid Fae</v>
      </c>
      <c r="D485" s="29" t="str">
        <f>VLOOKUP(B485, [1]DataLookUp!$B$4:$D$621, 3, FALSE)</f>
        <v/>
      </c>
      <c r="E485" s="40"/>
      <c r="F485" s="45" t="str">
        <f t="shared" si="16"/>
        <v/>
      </c>
      <c r="G485" s="30"/>
      <c r="H485" s="31"/>
      <c r="I485" s="50"/>
      <c r="J485" s="40"/>
      <c r="K485" s="40"/>
      <c r="L485" s="51"/>
      <c r="M485" s="52"/>
      <c r="N485" s="50"/>
      <c r="P485" s="55" t="str">
        <f t="shared" si="15"/>
        <v/>
      </c>
      <c r="X485" s="15" t="s">
        <v>372</v>
      </c>
    </row>
    <row r="486" spans="2:24" x14ac:dyDescent="0.25">
      <c r="B486" s="28">
        <f>[1]DataLookUp!$B486</f>
        <v>25000000000483</v>
      </c>
      <c r="C486" s="29" t="str">
        <f>VLOOKUP(B486, [1]DataLookUp!$B$4:$D$621, 2, FALSE)</f>
        <v>Yosef Hang Wan</v>
      </c>
      <c r="D486" s="29" t="str">
        <f>VLOOKUP(B486, [1]DataLookUp!$B$4:$D$621, 3, FALSE)</f>
        <v/>
      </c>
      <c r="E486" s="40"/>
      <c r="F486" s="45" t="str">
        <f t="shared" si="16"/>
        <v/>
      </c>
      <c r="G486" s="30"/>
      <c r="H486" s="31"/>
      <c r="I486" s="50"/>
      <c r="J486" s="40"/>
      <c r="K486" s="40"/>
      <c r="L486" s="51"/>
      <c r="M486" s="52"/>
      <c r="N486" s="50"/>
      <c r="P486" s="55" t="str">
        <f t="shared" si="15"/>
        <v/>
      </c>
      <c r="W486" s="15" t="s">
        <v>373</v>
      </c>
    </row>
    <row r="487" spans="2:24" x14ac:dyDescent="0.25">
      <c r="B487" s="28">
        <f>[1]DataLookUp!$B487</f>
        <v>25000000000484</v>
      </c>
      <c r="C487" s="29" t="str">
        <f>VLOOKUP(B487, [1]DataLookUp!$B$4:$D$621, 2, FALSE)</f>
        <v>Yossie Deliana</v>
      </c>
      <c r="D487" s="29" t="str">
        <f>VLOOKUP(B487, [1]DataLookUp!$B$4:$D$621, 3, FALSE)</f>
        <v/>
      </c>
      <c r="E487" s="40"/>
      <c r="F487" s="45" t="str">
        <f t="shared" si="16"/>
        <v/>
      </c>
      <c r="G487" s="30"/>
      <c r="H487" s="31"/>
      <c r="I487" s="50"/>
      <c r="J487" s="40"/>
      <c r="K487" s="40"/>
      <c r="L487" s="51"/>
      <c r="M487" s="52"/>
      <c r="N487" s="50"/>
      <c r="P487" s="55" t="str">
        <f t="shared" si="15"/>
        <v/>
      </c>
      <c r="U487" s="15" t="s">
        <v>352</v>
      </c>
    </row>
    <row r="488" spans="2:24" x14ac:dyDescent="0.25">
      <c r="B488" s="28">
        <f>[1]DataLookUp!$B488</f>
        <v>25000000000485</v>
      </c>
      <c r="C488" s="29" t="str">
        <f>VLOOKUP(B488, [1]DataLookUp!$B$4:$D$621, 2, FALSE)</f>
        <v>Yudi Rahmadi</v>
      </c>
      <c r="D488" s="29" t="str">
        <f>VLOOKUP(B488, [1]DataLookUp!$B$4:$D$621, 3, FALSE)</f>
        <v/>
      </c>
      <c r="E488" s="40"/>
      <c r="F488" s="45" t="str">
        <f t="shared" si="16"/>
        <v/>
      </c>
      <c r="G488" s="30"/>
      <c r="H488" s="31"/>
      <c r="I488" s="50"/>
      <c r="J488" s="40"/>
      <c r="K488" s="40"/>
      <c r="L488" s="51"/>
      <c r="M488" s="52"/>
      <c r="N488" s="50"/>
      <c r="P488" s="55" t="str">
        <f t="shared" si="15"/>
        <v/>
      </c>
      <c r="V488" s="15" t="s">
        <v>353</v>
      </c>
    </row>
    <row r="489" spans="2:24" x14ac:dyDescent="0.25">
      <c r="B489" s="28">
        <f>[1]DataLookUp!$B489</f>
        <v>25000000000486</v>
      </c>
      <c r="C489" s="29" t="str">
        <f>VLOOKUP(B489, [1]DataLookUp!$B$4:$D$621, 2, FALSE)</f>
        <v>Yudo Jati Rahmat Satrio</v>
      </c>
      <c r="D489" s="29" t="str">
        <f>VLOOKUP(B489, [1]DataLookUp!$B$4:$D$621, 3, FALSE)</f>
        <v/>
      </c>
      <c r="E489" s="40"/>
      <c r="F489" s="45" t="str">
        <f t="shared" si="16"/>
        <v/>
      </c>
      <c r="G489" s="30"/>
      <c r="H489" s="31"/>
      <c r="I489" s="50"/>
      <c r="J489" s="40"/>
      <c r="K489" s="40"/>
      <c r="L489" s="51"/>
      <c r="M489" s="52"/>
      <c r="N489" s="50"/>
      <c r="P489" s="55" t="str">
        <f t="shared" si="15"/>
        <v/>
      </c>
      <c r="V489" s="15" t="s">
        <v>374</v>
      </c>
    </row>
    <row r="490" spans="2:24" x14ac:dyDescent="0.25">
      <c r="B490" s="28">
        <f>[1]DataLookUp!$B490</f>
        <v>25000000000487</v>
      </c>
      <c r="C490" s="29" t="str">
        <f>VLOOKUP(B490, [1]DataLookUp!$B$4:$D$621, 2, FALSE)</f>
        <v>Yuliandaru Suryoatmodjo</v>
      </c>
      <c r="D490" s="29" t="str">
        <f>VLOOKUP(B490, [1]DataLookUp!$B$4:$D$621, 3, FALSE)</f>
        <v>3275090407740011</v>
      </c>
      <c r="E490" s="40" t="s">
        <v>179</v>
      </c>
      <c r="F490" s="45">
        <f t="shared" si="16"/>
        <v>156000000000001</v>
      </c>
      <c r="G490" s="30" t="s">
        <v>21</v>
      </c>
      <c r="H490" s="31">
        <v>27214</v>
      </c>
      <c r="I490" s="50" t="s">
        <v>282</v>
      </c>
      <c r="J490" s="40"/>
      <c r="K490" s="40"/>
      <c r="L490" s="51" t="s">
        <v>281</v>
      </c>
      <c r="M490" s="52">
        <v>24000000032050</v>
      </c>
      <c r="N490" s="50"/>
      <c r="P490" s="55" t="str">
        <f t="shared" si="15"/>
        <v xml:space="preserve">PERFORM "SchData-OLTP-Master"."Func_TblCitizenIdentity_SET"(varSystemLoginSession, null, null, null, varInstitutionBranchID, 25000000000487::bigint, 'Yuliandaru Suryoatmodjo'::varchar, '3275090407740011'::varchar, 156000000000001::bigint, NULL::bigint, '1974-07-04'::timestamp, NULL::bigint, NULL::bigint, NULL::bigint, NULL::bigint,  24000000032050::bigint, NULL::bigint, NULL::bigint, NULL::bigint, 'Komp. Dosen IKIP Blok II No. 115'::varchar, NULL::smallint, NULL::smallint);
</v>
      </c>
      <c r="V490" s="15" t="s">
        <v>337</v>
      </c>
    </row>
    <row r="491" spans="2:24" x14ac:dyDescent="0.25">
      <c r="B491" s="28">
        <f>[1]DataLookUp!$B491</f>
        <v>25000000000488</v>
      </c>
      <c r="C491" s="29" t="str">
        <f>VLOOKUP(B491, [1]DataLookUp!$B$4:$D$621, 2, FALSE)</f>
        <v>Yulianta</v>
      </c>
      <c r="D491" s="29" t="str">
        <f>VLOOKUP(B491, [1]DataLookUp!$B$4:$D$621, 3, FALSE)</f>
        <v/>
      </c>
      <c r="E491" s="40"/>
      <c r="F491" s="45" t="str">
        <f t="shared" si="16"/>
        <v/>
      </c>
      <c r="G491" s="30"/>
      <c r="H491" s="31"/>
      <c r="I491" s="50"/>
      <c r="J491" s="40"/>
      <c r="K491" s="40"/>
      <c r="L491" s="51"/>
      <c r="M491" s="52"/>
      <c r="N491" s="50"/>
      <c r="P491" s="55" t="str">
        <f t="shared" si="15"/>
        <v/>
      </c>
      <c r="W491" s="15" t="s">
        <v>338</v>
      </c>
    </row>
    <row r="492" spans="2:24" x14ac:dyDescent="0.25">
      <c r="B492" s="28">
        <f>[1]DataLookUp!$B492</f>
        <v>25000000000489</v>
      </c>
      <c r="C492" s="29" t="str">
        <f>VLOOKUP(B492, [1]DataLookUp!$B$4:$D$621, 2, FALSE)</f>
        <v>Yulianti</v>
      </c>
      <c r="D492" s="29" t="str">
        <f>VLOOKUP(B492, [1]DataLookUp!$B$4:$D$621, 3, FALSE)</f>
        <v/>
      </c>
      <c r="E492" s="40"/>
      <c r="F492" s="45" t="str">
        <f t="shared" si="16"/>
        <v/>
      </c>
      <c r="G492" s="30"/>
      <c r="H492" s="31"/>
      <c r="I492" s="50"/>
      <c r="J492" s="40"/>
      <c r="K492" s="40"/>
      <c r="L492" s="51"/>
      <c r="M492" s="52"/>
      <c r="N492" s="50"/>
      <c r="P492" s="55" t="str">
        <f t="shared" si="15"/>
        <v/>
      </c>
      <c r="W492" s="15" t="s">
        <v>339</v>
      </c>
    </row>
    <row r="493" spans="2:24" x14ac:dyDescent="0.25">
      <c r="B493" s="28">
        <f>[1]DataLookUp!$B493</f>
        <v>25000000000490</v>
      </c>
      <c r="C493" s="29" t="str">
        <f>VLOOKUP(B493, [1]DataLookUp!$B$4:$D$621, 2, FALSE)</f>
        <v>Yulius</v>
      </c>
      <c r="D493" s="29" t="str">
        <f>VLOOKUP(B493, [1]DataLookUp!$B$4:$D$621, 3, FALSE)</f>
        <v/>
      </c>
      <c r="E493" s="40"/>
      <c r="F493" s="45" t="str">
        <f t="shared" si="16"/>
        <v/>
      </c>
      <c r="G493" s="30"/>
      <c r="H493" s="31"/>
      <c r="I493" s="50"/>
      <c r="J493" s="40"/>
      <c r="K493" s="40"/>
      <c r="L493" s="51"/>
      <c r="M493" s="52"/>
      <c r="N493" s="50"/>
      <c r="P493" s="55" t="str">
        <f t="shared" si="15"/>
        <v/>
      </c>
      <c r="W493" s="15" t="s">
        <v>340</v>
      </c>
    </row>
    <row r="494" spans="2:24" x14ac:dyDescent="0.25">
      <c r="B494" s="28">
        <f>[1]DataLookUp!$B494</f>
        <v>25000000000491</v>
      </c>
      <c r="C494" s="29" t="str">
        <f>VLOOKUP(B494, [1]DataLookUp!$B$4:$D$621, 2, FALSE)</f>
        <v>Yunni Sazili</v>
      </c>
      <c r="D494" s="29" t="str">
        <f>VLOOKUP(B494, [1]DataLookUp!$B$4:$D$621, 3, FALSE)</f>
        <v/>
      </c>
      <c r="E494" s="40"/>
      <c r="F494" s="45" t="str">
        <f t="shared" si="16"/>
        <v/>
      </c>
      <c r="G494" s="30"/>
      <c r="H494" s="31"/>
      <c r="I494" s="50"/>
      <c r="J494" s="40"/>
      <c r="K494" s="40"/>
      <c r="L494" s="51"/>
      <c r="M494" s="52"/>
      <c r="N494" s="50"/>
      <c r="P494" s="55" t="str">
        <f t="shared" si="15"/>
        <v/>
      </c>
      <c r="W494" s="15" t="s">
        <v>341</v>
      </c>
    </row>
    <row r="495" spans="2:24" x14ac:dyDescent="0.25">
      <c r="B495" s="28">
        <f>[1]DataLookUp!$B495</f>
        <v>25000000000492</v>
      </c>
      <c r="C495" s="29" t="str">
        <f>VLOOKUP(B495, [1]DataLookUp!$B$4:$D$621, 2, FALSE)</f>
        <v>Yusman</v>
      </c>
      <c r="D495" s="29" t="str">
        <f>VLOOKUP(B495, [1]DataLookUp!$B$4:$D$621, 3, FALSE)</f>
        <v/>
      </c>
      <c r="E495" s="40"/>
      <c r="F495" s="45" t="str">
        <f t="shared" si="16"/>
        <v/>
      </c>
      <c r="G495" s="30"/>
      <c r="H495" s="31"/>
      <c r="I495" s="50"/>
      <c r="J495" s="40"/>
      <c r="K495" s="40"/>
      <c r="L495" s="51"/>
      <c r="M495" s="52"/>
      <c r="N495" s="50"/>
      <c r="P495" s="55" t="str">
        <f t="shared" si="15"/>
        <v/>
      </c>
      <c r="W495" s="15" t="s">
        <v>342</v>
      </c>
    </row>
    <row r="496" spans="2:24" x14ac:dyDescent="0.25">
      <c r="B496" s="28">
        <f>[1]DataLookUp!$B496</f>
        <v>25000000000493</v>
      </c>
      <c r="C496" s="29" t="str">
        <f>VLOOKUP(B496, [1]DataLookUp!$B$4:$D$621, 2, FALSE)</f>
        <v>Yusri Azhar</v>
      </c>
      <c r="D496" s="29" t="str">
        <f>VLOOKUP(B496, [1]DataLookUp!$B$4:$D$621, 3, FALSE)</f>
        <v/>
      </c>
      <c r="E496" s="40"/>
      <c r="F496" s="45" t="str">
        <f t="shared" si="16"/>
        <v/>
      </c>
      <c r="G496" s="30"/>
      <c r="H496" s="31"/>
      <c r="I496" s="50"/>
      <c r="J496" s="40"/>
      <c r="K496" s="40"/>
      <c r="L496" s="51"/>
      <c r="M496" s="52"/>
      <c r="N496" s="50"/>
      <c r="P496" s="55" t="str">
        <f t="shared" si="15"/>
        <v/>
      </c>
      <c r="W496" s="15" t="s">
        <v>343</v>
      </c>
    </row>
    <row r="497" spans="2:24" x14ac:dyDescent="0.25">
      <c r="B497" s="28">
        <f>[1]DataLookUp!$B497</f>
        <v>25000000000494</v>
      </c>
      <c r="C497" s="29" t="str">
        <f>VLOOKUP(B497, [1]DataLookUp!$B$4:$D$621, 2, FALSE)</f>
        <v>Zafrizal</v>
      </c>
      <c r="D497" s="29" t="str">
        <f>VLOOKUP(B497, [1]DataLookUp!$B$4:$D$621, 3, FALSE)</f>
        <v/>
      </c>
      <c r="E497" s="40"/>
      <c r="F497" s="45" t="str">
        <f t="shared" si="16"/>
        <v/>
      </c>
      <c r="G497" s="30"/>
      <c r="H497" s="31"/>
      <c r="I497" s="50"/>
      <c r="J497" s="40"/>
      <c r="K497" s="40"/>
      <c r="L497" s="51"/>
      <c r="M497" s="52"/>
      <c r="N497" s="50"/>
      <c r="P497" s="55" t="str">
        <f t="shared" si="15"/>
        <v/>
      </c>
      <c r="W497" s="15" t="s">
        <v>344</v>
      </c>
    </row>
    <row r="498" spans="2:24" x14ac:dyDescent="0.25">
      <c r="B498" s="28">
        <f>[1]DataLookUp!$B498</f>
        <v>25000000000495</v>
      </c>
      <c r="C498" s="29" t="str">
        <f>VLOOKUP(B498, [1]DataLookUp!$B$4:$D$621, 2, FALSE)</f>
        <v>Zafrizal Rifla (Ucok)</v>
      </c>
      <c r="D498" s="29" t="str">
        <f>VLOOKUP(B498, [1]DataLookUp!$B$4:$D$621, 3, FALSE)</f>
        <v/>
      </c>
      <c r="E498" s="40"/>
      <c r="F498" s="45" t="str">
        <f t="shared" si="16"/>
        <v/>
      </c>
      <c r="G498" s="30"/>
      <c r="H498" s="31"/>
      <c r="I498" s="50"/>
      <c r="J498" s="40"/>
      <c r="K498" s="40"/>
      <c r="L498" s="51"/>
      <c r="M498" s="52"/>
      <c r="N498" s="50"/>
      <c r="P498" s="55" t="str">
        <f t="shared" si="15"/>
        <v/>
      </c>
      <c r="W498" s="15" t="s">
        <v>347</v>
      </c>
    </row>
    <row r="499" spans="2:24" x14ac:dyDescent="0.25">
      <c r="B499" s="28">
        <f>[1]DataLookUp!$B499</f>
        <v>25000000000496</v>
      </c>
      <c r="C499" s="29" t="str">
        <f>VLOOKUP(B499, [1]DataLookUp!$B$4:$D$621, 2, FALSE)</f>
        <v>Zainuddin</v>
      </c>
      <c r="D499" s="29" t="str">
        <f>VLOOKUP(B499, [1]DataLookUp!$B$4:$D$621, 3, FALSE)</f>
        <v/>
      </c>
      <c r="E499" s="40"/>
      <c r="F499" s="45" t="str">
        <f t="shared" si="16"/>
        <v/>
      </c>
      <c r="G499" s="30"/>
      <c r="H499" s="31"/>
      <c r="I499" s="50"/>
      <c r="J499" s="40"/>
      <c r="K499" s="40"/>
      <c r="L499" s="51"/>
      <c r="M499" s="52"/>
      <c r="N499" s="50"/>
      <c r="P499" s="55" t="str">
        <f t="shared" si="15"/>
        <v/>
      </c>
      <c r="W499" s="15" t="s">
        <v>348</v>
      </c>
    </row>
    <row r="500" spans="2:24" x14ac:dyDescent="0.25">
      <c r="B500" s="28">
        <f>[1]DataLookUp!$B500</f>
        <v>25000000000497</v>
      </c>
      <c r="C500" s="29" t="str">
        <f>VLOOKUP(B500, [1]DataLookUp!$B$4:$D$621, 2, FALSE)</f>
        <v>Zainudin Anwar</v>
      </c>
      <c r="D500" s="29" t="str">
        <f>VLOOKUP(B500, [1]DataLookUp!$B$4:$D$621, 3, FALSE)</f>
        <v>3174090601960003</v>
      </c>
      <c r="E500" s="40" t="s">
        <v>179</v>
      </c>
      <c r="F500" s="45">
        <f t="shared" si="16"/>
        <v>156000000000001</v>
      </c>
      <c r="G500" s="30" t="s">
        <v>6</v>
      </c>
      <c r="H500" s="31">
        <v>35070</v>
      </c>
      <c r="I500" s="50" t="s">
        <v>284</v>
      </c>
      <c r="J500" s="40" t="s">
        <v>192</v>
      </c>
      <c r="K500" s="40" t="s">
        <v>189</v>
      </c>
      <c r="L500" s="51" t="s">
        <v>283</v>
      </c>
      <c r="M500" s="52">
        <v>24000000032458</v>
      </c>
      <c r="N500" s="50"/>
      <c r="P500" s="55" t="str">
        <f t="shared" si="15"/>
        <v xml:space="preserve">PERFORM "SchData-OLTP-Master"."Func_TblCitizenIdentity_SET"(varSystemLoginSession, null, null, null, varInstitutionBranchID, 25000000000497::bigint, 'Zainudin Anwar'::varchar, '3174090601960003'::varchar, 156000000000001::bigint, NULL::bigint, '1996-01-06'::timestamp, NULL::bigint, NULL::bigint, NULL::bigint, NULL::bigint,  24000000032458::bigint, NULL::bigint, NULL::bigint, NULL::bigint, 'Jl. Jagakarsa I No. 6'::varchar, 2::smallint, 7::smallint);
</v>
      </c>
      <c r="W500" s="15" t="s">
        <v>347</v>
      </c>
    </row>
    <row r="501" spans="2:24" x14ac:dyDescent="0.25">
      <c r="B501" s="28">
        <f>[1]DataLookUp!$B501</f>
        <v>25000000000498</v>
      </c>
      <c r="C501" s="29" t="str">
        <f>VLOOKUP(B501, [1]DataLookUp!$B$4:$D$621, 2, FALSE)</f>
        <v>Zaire Dite Biscaya</v>
      </c>
      <c r="D501" s="29" t="str">
        <f>VLOOKUP(B501, [1]DataLookUp!$B$4:$D$621, 3, FALSE)</f>
        <v/>
      </c>
      <c r="E501" s="40"/>
      <c r="F501" s="45" t="str">
        <f t="shared" si="16"/>
        <v/>
      </c>
      <c r="G501" s="30"/>
      <c r="H501" s="31"/>
      <c r="I501" s="50"/>
      <c r="J501" s="40"/>
      <c r="K501" s="40"/>
      <c r="L501" s="51"/>
      <c r="M501" s="52"/>
      <c r="N501" s="50"/>
      <c r="P501" s="55" t="str">
        <f t="shared" si="15"/>
        <v/>
      </c>
      <c r="W501" s="15" t="s">
        <v>366</v>
      </c>
    </row>
    <row r="502" spans="2:24" x14ac:dyDescent="0.25">
      <c r="B502" s="28">
        <f>[1]DataLookUp!$B502</f>
        <v>25000000000499</v>
      </c>
      <c r="C502" s="29" t="str">
        <f>VLOOKUP(B502, [1]DataLookUp!$B$4:$D$621, 2, FALSE)</f>
        <v>Zalfi Yandri</v>
      </c>
      <c r="D502" s="29" t="str">
        <f>VLOOKUP(B502, [1]DataLookUp!$B$4:$D$621, 3, FALSE)</f>
        <v/>
      </c>
      <c r="E502" s="40"/>
      <c r="F502" s="45" t="str">
        <f t="shared" si="16"/>
        <v/>
      </c>
      <c r="G502" s="30"/>
      <c r="H502" s="31"/>
      <c r="I502" s="50"/>
      <c r="J502" s="40"/>
      <c r="K502" s="40"/>
      <c r="L502" s="51"/>
      <c r="M502" s="52"/>
      <c r="N502" s="50"/>
      <c r="P502" s="55" t="str">
        <f t="shared" si="15"/>
        <v/>
      </c>
      <c r="V502" s="15" t="s">
        <v>352</v>
      </c>
    </row>
    <row r="503" spans="2:24" x14ac:dyDescent="0.25">
      <c r="B503" s="28">
        <f>[1]DataLookUp!$B503</f>
        <v>25000000000500</v>
      </c>
      <c r="C503" s="29" t="str">
        <f>VLOOKUP(B503, [1]DataLookUp!$B$4:$D$621, 2, FALSE)</f>
        <v>Zam Roji</v>
      </c>
      <c r="D503" s="29" t="str">
        <f>VLOOKUP(B503, [1]DataLookUp!$B$4:$D$621, 3, FALSE)</f>
        <v/>
      </c>
      <c r="E503" s="40"/>
      <c r="F503" s="45" t="str">
        <f t="shared" si="16"/>
        <v/>
      </c>
      <c r="G503" s="30"/>
      <c r="H503" s="31"/>
      <c r="I503" s="50"/>
      <c r="J503" s="40"/>
      <c r="K503" s="40"/>
      <c r="L503" s="51"/>
      <c r="M503" s="52"/>
      <c r="N503" s="50"/>
      <c r="P503" s="55" t="str">
        <f t="shared" si="15"/>
        <v/>
      </c>
      <c r="W503" s="15" t="s">
        <v>353</v>
      </c>
    </row>
    <row r="504" spans="2:24" x14ac:dyDescent="0.25">
      <c r="B504" s="28">
        <f>[1]DataLookUp!$B504</f>
        <v>25000000000501</v>
      </c>
      <c r="C504" s="29" t="str">
        <f>VLOOKUP(B504, [1]DataLookUp!$B$4:$D$621, 2, FALSE)</f>
        <v>Zulfikar K. Siregar</v>
      </c>
      <c r="D504" s="29" t="str">
        <f>VLOOKUP(B504, [1]DataLookUp!$B$4:$D$621, 3, FALSE)</f>
        <v>1271201607700004</v>
      </c>
      <c r="E504" s="40" t="s">
        <v>179</v>
      </c>
      <c r="F504" s="45">
        <f t="shared" si="16"/>
        <v>156000000000001</v>
      </c>
      <c r="G504" s="30" t="s">
        <v>20</v>
      </c>
      <c r="H504" s="31">
        <v>25765</v>
      </c>
      <c r="I504" s="50" t="s">
        <v>286</v>
      </c>
      <c r="J504" s="40"/>
      <c r="K504" s="40"/>
      <c r="L504" s="51" t="s">
        <v>285</v>
      </c>
      <c r="M504" s="52">
        <v>24000000012131</v>
      </c>
      <c r="N504" s="50"/>
      <c r="P504" s="55" t="str">
        <f t="shared" si="15"/>
        <v xml:space="preserve">PERFORM "SchData-OLTP-Master"."Func_TblCitizenIdentity_SET"(varSystemLoginSession, null, null, null, varInstitutionBranchID, 25000000000501::bigint, 'Zulfikar K. Siregar'::varchar, '1271201607700004'::varchar, 156000000000001::bigint, NULL::bigint, '1970-07-16'::timestamp, NULL::bigint, NULL::bigint, NULL::bigint, NULL::bigint,  24000000012131::bigint, NULL::bigint, NULL::bigint, NULL::bigint, 'Jl. Intertip No. 14'::varchar, NULL::smallint, NULL::smallint);
</v>
      </c>
      <c r="W504" s="15" t="s">
        <v>337</v>
      </c>
    </row>
    <row r="505" spans="2:24" x14ac:dyDescent="0.25">
      <c r="B505" s="28">
        <f>[1]DataLookUp!$B505</f>
        <v>25000000000502</v>
      </c>
      <c r="C505" s="29" t="str">
        <f>VLOOKUP(B505, [1]DataLookUp!$B$4:$D$621, 2, FALSE)</f>
        <v>Adythia Adikara</v>
      </c>
      <c r="D505" s="29" t="str">
        <f>VLOOKUP(B505, [1]DataLookUp!$B$4:$D$621, 3, FALSE)</f>
        <v/>
      </c>
      <c r="E505" s="40"/>
      <c r="F505" s="45" t="str">
        <f t="shared" si="16"/>
        <v/>
      </c>
      <c r="G505" s="30"/>
      <c r="H505" s="31"/>
      <c r="I505" s="50"/>
      <c r="J505" s="40"/>
      <c r="K505" s="40"/>
      <c r="L505" s="51"/>
      <c r="M505" s="52"/>
      <c r="N505" s="50"/>
      <c r="P505" s="55" t="str">
        <f t="shared" si="15"/>
        <v/>
      </c>
      <c r="X505" s="15" t="s">
        <v>338</v>
      </c>
    </row>
    <row r="506" spans="2:24" x14ac:dyDescent="0.25">
      <c r="B506" s="28">
        <f>[1]DataLookUp!$B506</f>
        <v>25000000000503</v>
      </c>
      <c r="C506" s="29" t="str">
        <f>VLOOKUP(B506, [1]DataLookUp!$B$4:$D$621, 2, FALSE)</f>
        <v>Agus Sopyan Hadi</v>
      </c>
      <c r="D506" s="29" t="str">
        <f>VLOOKUP(B506, [1]DataLookUp!$B$4:$D$621, 3, FALSE)</f>
        <v/>
      </c>
      <c r="E506" s="40"/>
      <c r="F506" s="45" t="str">
        <f t="shared" si="16"/>
        <v/>
      </c>
      <c r="G506" s="30"/>
      <c r="H506" s="31"/>
      <c r="I506" s="50"/>
      <c r="J506" s="40"/>
      <c r="K506" s="40"/>
      <c r="L506" s="51"/>
      <c r="M506" s="52"/>
      <c r="N506" s="50"/>
      <c r="P506" s="55" t="str">
        <f t="shared" si="15"/>
        <v/>
      </c>
      <c r="X506" s="15" t="s">
        <v>339</v>
      </c>
    </row>
    <row r="507" spans="2:24" x14ac:dyDescent="0.25">
      <c r="B507" s="28">
        <f>[1]DataLookUp!$B507</f>
        <v>25000000000504</v>
      </c>
      <c r="C507" s="29" t="str">
        <f>VLOOKUP(B507, [1]DataLookUp!$B$4:$D$621, 2, FALSE)</f>
        <v>Azis Purwandana</v>
      </c>
      <c r="D507" s="29" t="str">
        <f>VLOOKUP(B507, [1]DataLookUp!$B$4:$D$621, 3, FALSE)</f>
        <v/>
      </c>
      <c r="E507" s="40"/>
      <c r="F507" s="45" t="str">
        <f t="shared" si="16"/>
        <v/>
      </c>
      <c r="G507" s="30"/>
      <c r="H507" s="31"/>
      <c r="I507" s="50"/>
      <c r="J507" s="40"/>
      <c r="K507" s="40"/>
      <c r="L507" s="51"/>
      <c r="M507" s="52"/>
      <c r="N507" s="50"/>
      <c r="P507" s="55" t="str">
        <f t="shared" si="15"/>
        <v/>
      </c>
      <c r="X507" s="15" t="s">
        <v>340</v>
      </c>
    </row>
    <row r="508" spans="2:24" x14ac:dyDescent="0.25">
      <c r="B508" s="28">
        <f>[1]DataLookUp!$B508</f>
        <v>25000000000505</v>
      </c>
      <c r="C508" s="29" t="str">
        <f>VLOOKUP(B508, [1]DataLookUp!$B$4:$D$621, 2, FALSE)</f>
        <v>Heryanto</v>
      </c>
      <c r="D508" s="29" t="str">
        <f>VLOOKUP(B508, [1]DataLookUp!$B$4:$D$621, 3, FALSE)</f>
        <v/>
      </c>
      <c r="E508" s="40"/>
      <c r="F508" s="45" t="str">
        <f t="shared" si="16"/>
        <v/>
      </c>
      <c r="G508" s="30"/>
      <c r="H508" s="31"/>
      <c r="I508" s="50"/>
      <c r="J508" s="40"/>
      <c r="K508" s="40"/>
      <c r="L508" s="51"/>
      <c r="M508" s="52"/>
      <c r="N508" s="50"/>
      <c r="P508" s="55" t="str">
        <f t="shared" si="15"/>
        <v/>
      </c>
      <c r="X508" s="15" t="s">
        <v>341</v>
      </c>
    </row>
    <row r="509" spans="2:24" x14ac:dyDescent="0.25">
      <c r="B509" s="28">
        <f>[1]DataLookUp!$B509</f>
        <v>25000000000506</v>
      </c>
      <c r="C509" s="29" t="str">
        <f>VLOOKUP(B509, [1]DataLookUp!$B$4:$D$621, 2, FALSE)</f>
        <v>Imran</v>
      </c>
      <c r="D509" s="29" t="str">
        <f>VLOOKUP(B509, [1]DataLookUp!$B$4:$D$621, 3, FALSE)</f>
        <v/>
      </c>
      <c r="E509" s="40"/>
      <c r="F509" s="45" t="str">
        <f t="shared" si="16"/>
        <v/>
      </c>
      <c r="G509" s="30"/>
      <c r="H509" s="31"/>
      <c r="I509" s="50"/>
      <c r="J509" s="40"/>
      <c r="K509" s="40"/>
      <c r="L509" s="51"/>
      <c r="M509" s="52"/>
      <c r="N509" s="50"/>
      <c r="P509" s="55" t="str">
        <f t="shared" si="15"/>
        <v/>
      </c>
      <c r="X509" s="15" t="s">
        <v>342</v>
      </c>
    </row>
    <row r="510" spans="2:24" x14ac:dyDescent="0.25">
      <c r="B510" s="28">
        <f>[1]DataLookUp!$B510</f>
        <v>25000000000507</v>
      </c>
      <c r="C510" s="29" t="str">
        <f>VLOOKUP(B510, [1]DataLookUp!$B$4:$D$621, 2, FALSE)</f>
        <v>Khamim Taryono</v>
      </c>
      <c r="D510" s="29" t="str">
        <f>VLOOKUP(B510, [1]DataLookUp!$B$4:$D$621, 3, FALSE)</f>
        <v/>
      </c>
      <c r="E510" s="40"/>
      <c r="F510" s="45" t="str">
        <f t="shared" si="16"/>
        <v/>
      </c>
      <c r="G510" s="30"/>
      <c r="H510" s="31"/>
      <c r="I510" s="50"/>
      <c r="J510" s="40"/>
      <c r="K510" s="40"/>
      <c r="L510" s="51"/>
      <c r="M510" s="52"/>
      <c r="N510" s="50"/>
      <c r="P510" s="55" t="str">
        <f t="shared" si="15"/>
        <v/>
      </c>
      <c r="X510" s="15" t="s">
        <v>375</v>
      </c>
    </row>
    <row r="511" spans="2:24" x14ac:dyDescent="0.25">
      <c r="B511" s="28">
        <f>[1]DataLookUp!$B511</f>
        <v>25000000000508</v>
      </c>
      <c r="C511" s="29" t="str">
        <f>VLOOKUP(B511, [1]DataLookUp!$B$4:$D$621, 2, FALSE)</f>
        <v>Rafi Artman Siddiq</v>
      </c>
      <c r="D511" s="29" t="str">
        <f>VLOOKUP(B511, [1]DataLookUp!$B$4:$D$621, 3, FALSE)</f>
        <v/>
      </c>
      <c r="E511" s="40"/>
      <c r="F511" s="45" t="str">
        <f t="shared" si="16"/>
        <v/>
      </c>
      <c r="G511" s="30"/>
      <c r="H511" s="31"/>
      <c r="I511" s="50"/>
      <c r="J511" s="40"/>
      <c r="K511" s="40"/>
      <c r="L511" s="51"/>
      <c r="M511" s="52"/>
      <c r="N511" s="50"/>
      <c r="P511" s="55" t="str">
        <f t="shared" si="15"/>
        <v/>
      </c>
      <c r="X511" s="15" t="s">
        <v>344</v>
      </c>
    </row>
    <row r="512" spans="2:24" x14ac:dyDescent="0.25">
      <c r="B512" s="28">
        <f>[1]DataLookUp!$B512</f>
        <v>25000000000509</v>
      </c>
      <c r="C512" s="29" t="str">
        <f>VLOOKUP(B512, [1]DataLookUp!$B$4:$D$621, 2, FALSE)</f>
        <v>Riza Emir Subekti</v>
      </c>
      <c r="D512" s="29" t="str">
        <f>VLOOKUP(B512, [1]DataLookUp!$B$4:$D$621, 3, FALSE)</f>
        <v>3275053003920010</v>
      </c>
      <c r="E512" s="40" t="s">
        <v>179</v>
      </c>
      <c r="F512" s="45">
        <f t="shared" si="16"/>
        <v>156000000000001</v>
      </c>
      <c r="G512" s="30" t="s">
        <v>6</v>
      </c>
      <c r="H512" s="31">
        <v>33846</v>
      </c>
      <c r="I512" s="50"/>
      <c r="J512" s="40"/>
      <c r="K512" s="40"/>
      <c r="L512" s="51"/>
      <c r="M512" s="52"/>
      <c r="N512" s="50"/>
      <c r="P512" s="55" t="str">
        <f t="shared" si="15"/>
        <v xml:space="preserve">PERFORM "SchData-OLTP-Master"."Func_TblCitizenIdentity_SET"(varSystemLoginSession, null, null, null, varInstitutionBranchID, 25000000000509::bigint, 'Riza Emir Subekti'::varchar, '3275053003920010'::varchar, 156000000000001::bigint, NULL::bigint, '1992-08-30'::timestamp, NULL::bigint, NULL::bigint, NULL::bigint, NULL::bigint,  NULL::bigint, NULL::bigint, NULL::bigint, NULL::bigint, ' '::varchar, NULL::smallint, NULL::smallint);
</v>
      </c>
      <c r="X512" s="15" t="s">
        <v>347</v>
      </c>
    </row>
    <row r="513" spans="2:26" x14ac:dyDescent="0.25">
      <c r="B513" s="28">
        <f>[1]DataLookUp!$B513</f>
        <v>25000000000510</v>
      </c>
      <c r="C513" s="29" t="str">
        <f>VLOOKUP(B513, [1]DataLookUp!$B$4:$D$621, 2, FALSE)</f>
        <v>Slamet Riadi</v>
      </c>
      <c r="D513" s="29" t="str">
        <f>VLOOKUP(B513, [1]DataLookUp!$B$4:$D$621, 3, FALSE)</f>
        <v/>
      </c>
      <c r="E513" s="40"/>
      <c r="F513" s="45" t="str">
        <f t="shared" si="16"/>
        <v/>
      </c>
      <c r="G513" s="30"/>
      <c r="H513" s="31"/>
      <c r="I513" s="50"/>
      <c r="J513" s="40"/>
      <c r="K513" s="40"/>
      <c r="L513" s="51"/>
      <c r="M513" s="52"/>
      <c r="N513" s="50"/>
      <c r="P513" s="55" t="str">
        <f t="shared" si="15"/>
        <v/>
      </c>
      <c r="X513" s="15" t="s">
        <v>348</v>
      </c>
    </row>
    <row r="514" spans="2:26" x14ac:dyDescent="0.25">
      <c r="B514" s="28">
        <f>[1]DataLookUp!$B514</f>
        <v>25000000000511</v>
      </c>
      <c r="C514" s="29" t="str">
        <f>VLOOKUP(B514, [1]DataLookUp!$B$4:$D$621, 2, FALSE)</f>
        <v>Wisnu Andra Isdianto</v>
      </c>
      <c r="D514" s="29" t="str">
        <f>VLOOKUP(B514, [1]DataLookUp!$B$4:$D$621, 3, FALSE)</f>
        <v/>
      </c>
      <c r="E514" s="40"/>
      <c r="F514" s="45" t="str">
        <f t="shared" si="16"/>
        <v/>
      </c>
      <c r="G514" s="30"/>
      <c r="H514" s="31"/>
      <c r="I514" s="50"/>
      <c r="J514" s="40"/>
      <c r="K514" s="40"/>
      <c r="L514" s="51"/>
      <c r="M514" s="52"/>
      <c r="N514" s="50"/>
      <c r="P514" s="55" t="str">
        <f t="shared" si="15"/>
        <v/>
      </c>
      <c r="X514" s="15" t="s">
        <v>347</v>
      </c>
    </row>
    <row r="515" spans="2:26" x14ac:dyDescent="0.25">
      <c r="B515" s="28">
        <f>[1]DataLookUp!$B515</f>
        <v>25000000000512</v>
      </c>
      <c r="C515" s="29" t="str">
        <f>VLOOKUP(B515, [1]DataLookUp!$B$4:$D$621, 2, FALSE)</f>
        <v>Agus Budi Setiawan</v>
      </c>
      <c r="D515" s="29" t="str">
        <f>VLOOKUP(B515, [1]DataLookUp!$B$4:$D$621, 3, FALSE)</f>
        <v/>
      </c>
      <c r="E515" s="40"/>
      <c r="F515" s="45" t="str">
        <f t="shared" si="16"/>
        <v/>
      </c>
      <c r="G515" s="30"/>
      <c r="H515" s="31"/>
      <c r="I515" s="50"/>
      <c r="J515" s="40"/>
      <c r="K515" s="40"/>
      <c r="L515" s="51"/>
      <c r="M515" s="52"/>
      <c r="N515" s="50"/>
      <c r="P515" s="55" t="str">
        <f t="shared" si="15"/>
        <v/>
      </c>
      <c r="X515" s="15" t="s">
        <v>366</v>
      </c>
    </row>
    <row r="516" spans="2:26" x14ac:dyDescent="0.25">
      <c r="B516" s="28">
        <f>[1]DataLookUp!$B516</f>
        <v>25000000000513</v>
      </c>
      <c r="C516" s="29" t="str">
        <f>VLOOKUP(B516, [1]DataLookUp!$B$4:$D$621, 2, FALSE)</f>
        <v>Ahmad Choerul</v>
      </c>
      <c r="D516" s="29" t="str">
        <f>VLOOKUP(B516, [1]DataLookUp!$B$4:$D$621, 3, FALSE)</f>
        <v>3175101105950001</v>
      </c>
      <c r="E516" s="40" t="s">
        <v>179</v>
      </c>
      <c r="F516" s="45">
        <f t="shared" si="16"/>
        <v>156000000000001</v>
      </c>
      <c r="G516" s="30" t="s">
        <v>6</v>
      </c>
      <c r="H516" s="31">
        <v>34830</v>
      </c>
      <c r="I516" s="50" t="s">
        <v>199</v>
      </c>
      <c r="J516" s="40" t="s">
        <v>188</v>
      </c>
      <c r="K516" s="40" t="s">
        <v>192</v>
      </c>
      <c r="L516" s="51" t="s">
        <v>200</v>
      </c>
      <c r="M516" s="52">
        <v>24000000032523</v>
      </c>
      <c r="N516" s="50"/>
      <c r="P516" s="55" t="str">
        <f t="shared" si="15"/>
        <v xml:space="preserve">PERFORM "SchData-OLTP-Master"."Func_TblCitizenIdentity_SET"(varSystemLoginSession, null, null, null, varInstitutionBranchID, 25000000000513::bigint, 'Ahmad Choerul'::varchar, '3175101105950001'::varchar, 156000000000001::bigint, NULL::bigint, '1995-05-11'::timestamp, NULL::bigint, NULL::bigint, NULL::bigint, NULL::bigint,  24000000032523::bigint, NULL::bigint, NULL::bigint, NULL::bigint, 'Jl. Gempol No. 22'::varchar, 6::smallint, 2::smallint);
</v>
      </c>
      <c r="W516" s="15" t="s">
        <v>352</v>
      </c>
    </row>
    <row r="517" spans="2:26" x14ac:dyDescent="0.25">
      <c r="B517" s="28">
        <f>[1]DataLookUp!$B517</f>
        <v>25000000000514</v>
      </c>
      <c r="C517" s="29" t="str">
        <f>VLOOKUP(B517, [1]DataLookUp!$B$4:$D$621, 2, FALSE)</f>
        <v>Achmad Yunadi</v>
      </c>
      <c r="D517" s="29" t="str">
        <f>VLOOKUP(B517, [1]DataLookUp!$B$4:$D$621, 3, FALSE)</f>
        <v/>
      </c>
      <c r="E517" s="40"/>
      <c r="F517" s="45" t="str">
        <f t="shared" si="16"/>
        <v/>
      </c>
      <c r="G517" s="30"/>
      <c r="H517" s="31"/>
      <c r="I517" s="50"/>
      <c r="J517" s="40"/>
      <c r="K517" s="40"/>
      <c r="L517" s="51"/>
      <c r="M517" s="52"/>
      <c r="N517" s="50"/>
      <c r="P517" s="55" t="str">
        <f t="shared" ref="P517:P580" si="17">IF(EXACT(D517, ""), "", CONCATENATE("PERFORM ""SchData-OLTP-Master"".""Func_TblCitizenIdentity_SET""(varSystemLoginSession, null, null, null, varInstitutionBranchID, ",  IF(EXACT(B517, ""), "NULL", B517), "::bigint, '", C517, "'::varchar, '", D517, "'::varchar, ", IF(EXACT(F517, ""), "NULL", F517), "::bigint, ", "NULL", "::bigint, '", TEXT(H517, "YYYY-MM-DD"), "'::timestamp, ", "NULL", "::bigint, ", "NULL", "::bigint, ", "NULL", "::bigint, ", "NULL", "::bigint,  ", IF(EXACT(M517, ""), "NULL", M517), "::bigint, ", "NULL", "::bigint, ", "NULL", "::bigint, ", "NULL", "::bigint, '", CONCATENATE(I517, IF(EXACT(M517, ""), " "&amp;L517, "")), "'::varchar, ", IF(EXACT(J517, ""), "NULL", J517*1), "::smallint, ", IF(EXACT(K517, ""), "NULL", K517*1), "::smallint);
"))</f>
        <v/>
      </c>
      <c r="X517" s="15" t="s">
        <v>353</v>
      </c>
    </row>
    <row r="518" spans="2:26" x14ac:dyDescent="0.25">
      <c r="B518" s="28">
        <f>[1]DataLookUp!$B518</f>
        <v>25000000000515</v>
      </c>
      <c r="C518" s="29" t="str">
        <f>VLOOKUP(B518, [1]DataLookUp!$B$4:$D$621, 2, FALSE)</f>
        <v>Asep mulyana</v>
      </c>
      <c r="D518" s="29" t="str">
        <f>VLOOKUP(B518, [1]DataLookUp!$B$4:$D$621, 3, FALSE)</f>
        <v/>
      </c>
      <c r="E518" s="40"/>
      <c r="F518" s="45" t="str">
        <f t="shared" si="16"/>
        <v/>
      </c>
      <c r="G518" s="30"/>
      <c r="H518" s="31"/>
      <c r="I518" s="50"/>
      <c r="J518" s="40"/>
      <c r="K518" s="40"/>
      <c r="L518" s="51"/>
      <c r="M518" s="52"/>
      <c r="N518" s="50"/>
      <c r="P518" s="55" t="str">
        <f t="shared" si="17"/>
        <v/>
      </c>
      <c r="X518" s="15" t="s">
        <v>337</v>
      </c>
    </row>
    <row r="519" spans="2:26" x14ac:dyDescent="0.25">
      <c r="B519" s="28">
        <f>[1]DataLookUp!$B519</f>
        <v>25000000000516</v>
      </c>
      <c r="C519" s="29" t="str">
        <f>VLOOKUP(B519, [1]DataLookUp!$B$4:$D$621, 2, FALSE)</f>
        <v>Bagus Isdiantara</v>
      </c>
      <c r="D519" s="29" t="str">
        <f>VLOOKUP(B519, [1]DataLookUp!$B$4:$D$621, 3, FALSE)</f>
        <v/>
      </c>
      <c r="E519" s="40"/>
      <c r="F519" s="45" t="str">
        <f t="shared" si="16"/>
        <v/>
      </c>
      <c r="G519" s="30"/>
      <c r="H519" s="31"/>
      <c r="I519" s="50"/>
      <c r="J519" s="40"/>
      <c r="K519" s="40"/>
      <c r="L519" s="51"/>
      <c r="M519" s="52"/>
      <c r="N519" s="50"/>
      <c r="P519" s="55" t="str">
        <f t="shared" si="17"/>
        <v/>
      </c>
      <c r="Y519" s="15" t="s">
        <v>376</v>
      </c>
    </row>
    <row r="520" spans="2:26" x14ac:dyDescent="0.25">
      <c r="B520" s="28">
        <f>[1]DataLookUp!$B520</f>
        <v>25000000000517</v>
      </c>
      <c r="C520" s="29" t="str">
        <f>VLOOKUP(B520, [1]DataLookUp!$B$4:$D$621, 2, FALSE)</f>
        <v>Cahyana</v>
      </c>
      <c r="D520" s="29" t="str">
        <f>VLOOKUP(B520, [1]DataLookUp!$B$4:$D$621, 3, FALSE)</f>
        <v>3273250505830006</v>
      </c>
      <c r="E520" s="40" t="s">
        <v>179</v>
      </c>
      <c r="F520" s="45">
        <f t="shared" si="16"/>
        <v>156000000000001</v>
      </c>
      <c r="G520" s="30" t="s">
        <v>13</v>
      </c>
      <c r="H520" s="31">
        <v>30441</v>
      </c>
      <c r="I520" s="50" t="s">
        <v>301</v>
      </c>
      <c r="J520" s="40" t="s">
        <v>187</v>
      </c>
      <c r="K520" s="40" t="s">
        <v>230</v>
      </c>
      <c r="L520" s="51" t="s">
        <v>300</v>
      </c>
      <c r="M520" s="52">
        <v>24000000032222</v>
      </c>
      <c r="N520" s="50"/>
      <c r="P520" s="55" t="str">
        <f t="shared" si="17"/>
        <v xml:space="preserve">PERFORM "SchData-OLTP-Master"."Func_TblCitizenIdentity_SET"(varSystemLoginSession, null, null, null, varInstitutionBranchID, 25000000000517::bigint, 'Cahyana'::varchar, '3273250505830006'::varchar, 156000000000001::bigint, NULL::bigint, '1983-05-05'::timestamp, NULL::bigint, NULL::bigint, NULL::bigint, NULL::bigint,  24000000032222::bigint, NULL::bigint, NULL::bigint, NULL::bigint, 'Komp. Pelita Air Service Blok H4 No. 9'::varchar, 5::smallint, 15::smallint);
</v>
      </c>
      <c r="Z520" s="15" t="s">
        <v>377</v>
      </c>
    </row>
    <row r="521" spans="2:26" x14ac:dyDescent="0.25">
      <c r="B521" s="28">
        <f>[1]DataLookUp!$B521</f>
        <v>25000000000518</v>
      </c>
      <c r="C521" s="29" t="str">
        <f>VLOOKUP(B521, [1]DataLookUp!$B$4:$D$621, 2, FALSE)</f>
        <v>Dede Hartanto</v>
      </c>
      <c r="D521" s="29" t="str">
        <f>VLOOKUP(B521, [1]DataLookUp!$B$4:$D$621, 3, FALSE)</f>
        <v/>
      </c>
      <c r="E521" s="40"/>
      <c r="F521" s="45" t="str">
        <f t="shared" si="16"/>
        <v/>
      </c>
      <c r="G521" s="30"/>
      <c r="H521" s="31"/>
      <c r="I521" s="50"/>
      <c r="J521" s="40"/>
      <c r="K521" s="40"/>
      <c r="L521" s="51"/>
      <c r="M521" s="52"/>
      <c r="N521" s="50"/>
      <c r="P521" s="55" t="str">
        <f t="shared" si="17"/>
        <v/>
      </c>
      <c r="Z521" s="15" t="s">
        <v>378</v>
      </c>
    </row>
    <row r="522" spans="2:26" x14ac:dyDescent="0.25">
      <c r="B522" s="28">
        <f>[1]DataLookUp!$B522</f>
        <v>25000000000519</v>
      </c>
      <c r="C522" s="29" t="str">
        <f>VLOOKUP(B522, [1]DataLookUp!$B$4:$D$621, 2, FALSE)</f>
        <v>Denny Achmad Ferlando</v>
      </c>
      <c r="D522" s="29" t="str">
        <f>VLOOKUP(B522, [1]DataLookUp!$B$4:$D$621, 3, FALSE)</f>
        <v/>
      </c>
      <c r="E522" s="40"/>
      <c r="F522" s="45" t="str">
        <f t="shared" si="16"/>
        <v/>
      </c>
      <c r="G522" s="30"/>
      <c r="H522" s="31"/>
      <c r="I522" s="50"/>
      <c r="J522" s="40"/>
      <c r="K522" s="40"/>
      <c r="L522" s="51"/>
      <c r="M522" s="52"/>
      <c r="N522" s="50"/>
      <c r="P522" s="55" t="str">
        <f t="shared" si="17"/>
        <v/>
      </c>
      <c r="Z522" s="15" t="s">
        <v>379</v>
      </c>
    </row>
    <row r="523" spans="2:26" x14ac:dyDescent="0.25">
      <c r="B523" s="28">
        <f>[1]DataLookUp!$B523</f>
        <v>25000000000520</v>
      </c>
      <c r="C523" s="29" t="str">
        <f>VLOOKUP(B523, [1]DataLookUp!$B$4:$D$621, 2, FALSE)</f>
        <v>Dian Setiawan</v>
      </c>
      <c r="D523" s="29" t="str">
        <f>VLOOKUP(B523, [1]DataLookUp!$B$4:$D$621, 3, FALSE)</f>
        <v/>
      </c>
      <c r="E523" s="40"/>
      <c r="F523" s="45" t="str">
        <f t="shared" ref="F523:F586" si="18">IF(EXACT(E523, ""), "", IF(EXACT(E523, "L"), 156000000000001, 156000000000002))</f>
        <v/>
      </c>
      <c r="G523" s="30"/>
      <c r="H523" s="31"/>
      <c r="I523" s="50"/>
      <c r="J523" s="40"/>
      <c r="K523" s="40"/>
      <c r="L523" s="51"/>
      <c r="M523" s="52"/>
      <c r="N523" s="50"/>
      <c r="P523" s="55" t="str">
        <f t="shared" si="17"/>
        <v/>
      </c>
      <c r="Y523" s="15" t="s">
        <v>377</v>
      </c>
    </row>
    <row r="524" spans="2:26" x14ac:dyDescent="0.25">
      <c r="B524" s="28">
        <f>[1]DataLookUp!$B524</f>
        <v>25000000000521</v>
      </c>
      <c r="C524" s="29" t="str">
        <f>VLOOKUP(B524, [1]DataLookUp!$B$4:$D$621, 2, FALSE)</f>
        <v>Fabrian Danang Destiyara</v>
      </c>
      <c r="D524" s="29" t="str">
        <f>VLOOKUP(B524, [1]DataLookUp!$B$4:$D$621, 3, FALSE)</f>
        <v>3174030112980003</v>
      </c>
      <c r="E524" s="40" t="s">
        <v>179</v>
      </c>
      <c r="F524" s="45">
        <f t="shared" si="18"/>
        <v>156000000000001</v>
      </c>
      <c r="G524" s="30" t="s">
        <v>6</v>
      </c>
      <c r="H524" s="31">
        <v>36130</v>
      </c>
      <c r="I524" s="50" t="s">
        <v>309</v>
      </c>
      <c r="J524" s="40" t="s">
        <v>308</v>
      </c>
      <c r="K524" s="40" t="s">
        <v>187</v>
      </c>
      <c r="L524" s="51" t="s">
        <v>307</v>
      </c>
      <c r="M524" s="52">
        <v>24000000032479</v>
      </c>
      <c r="N524" s="50"/>
      <c r="P524" s="55" t="str">
        <f t="shared" si="17"/>
        <v xml:space="preserve">PERFORM "SchData-OLTP-Master"."Func_TblCitizenIdentity_SET"(varSystemLoginSession, null, null, null, varInstitutionBranchID, 25000000000521::bigint, 'Fabrian Danang Destiyara'::varchar, '3174030112980003'::varchar, 156000000000001::bigint, NULL::bigint, '1998-12-01'::timestamp, NULL::bigint, NULL::bigint, NULL::bigint, NULL::bigint,  24000000032479::bigint, NULL::bigint, NULL::bigint, NULL::bigint, 'Jl. Poncol Jaya'::varchar, 14::smallint, 5::smallint);
</v>
      </c>
      <c r="Y524" s="15" t="s">
        <v>380</v>
      </c>
    </row>
    <row r="525" spans="2:26" x14ac:dyDescent="0.25">
      <c r="B525" s="28">
        <f>[1]DataLookUp!$B525</f>
        <v>25000000000522</v>
      </c>
      <c r="C525" s="29" t="str">
        <f>VLOOKUP(B525, [1]DataLookUp!$B$4:$D$621, 2, FALSE)</f>
        <v>Ferdian Kriswantoro</v>
      </c>
      <c r="D525" s="29" t="str">
        <f>VLOOKUP(B525, [1]DataLookUp!$B$4:$D$621, 3, FALSE)</f>
        <v/>
      </c>
      <c r="E525" s="40"/>
      <c r="F525" s="45" t="str">
        <f t="shared" si="18"/>
        <v/>
      </c>
      <c r="G525" s="30"/>
      <c r="H525" s="31"/>
      <c r="I525" s="50"/>
      <c r="J525" s="40"/>
      <c r="K525" s="40"/>
      <c r="L525" s="51"/>
      <c r="M525" s="52"/>
      <c r="N525" s="50"/>
      <c r="P525" s="55" t="str">
        <f t="shared" si="17"/>
        <v/>
      </c>
      <c r="Y525" s="15" t="s">
        <v>381</v>
      </c>
    </row>
    <row r="526" spans="2:26" x14ac:dyDescent="0.25">
      <c r="B526" s="28">
        <f>[1]DataLookUp!$B526</f>
        <v>25000000000523</v>
      </c>
      <c r="C526" s="29" t="str">
        <f>VLOOKUP(B526, [1]DataLookUp!$B$4:$D$621, 2, FALSE)</f>
        <v>Fuzi Mafrozi</v>
      </c>
      <c r="D526" s="29" t="str">
        <f>VLOOKUP(B526, [1]DataLookUp!$B$4:$D$621, 3, FALSE)</f>
        <v/>
      </c>
      <c r="E526" s="40"/>
      <c r="F526" s="45" t="str">
        <f t="shared" si="18"/>
        <v/>
      </c>
      <c r="G526" s="30"/>
      <c r="H526" s="31"/>
      <c r="I526" s="50"/>
      <c r="J526" s="40"/>
      <c r="K526" s="40"/>
      <c r="L526" s="51"/>
      <c r="M526" s="52"/>
      <c r="N526" s="50"/>
      <c r="P526" s="55" t="str">
        <f t="shared" si="17"/>
        <v/>
      </c>
      <c r="Y526" s="15" t="s">
        <v>382</v>
      </c>
    </row>
    <row r="527" spans="2:26" x14ac:dyDescent="0.25">
      <c r="B527" s="28">
        <f>[1]DataLookUp!$B527</f>
        <v>25000000000524</v>
      </c>
      <c r="C527" s="29" t="str">
        <f>VLOOKUP(B527, [1]DataLookUp!$B$4:$D$621, 2, FALSE)</f>
        <v>Gilang Setiawan</v>
      </c>
      <c r="D527" s="29" t="str">
        <f>VLOOKUP(B527, [1]DataLookUp!$B$4:$D$621, 3, FALSE)</f>
        <v/>
      </c>
      <c r="E527" s="40"/>
      <c r="F527" s="45" t="str">
        <f t="shared" si="18"/>
        <v/>
      </c>
      <c r="G527" s="30"/>
      <c r="H527" s="31"/>
      <c r="I527" s="50"/>
      <c r="J527" s="40"/>
      <c r="K527" s="40"/>
      <c r="L527" s="51"/>
      <c r="M527" s="52"/>
      <c r="N527" s="50"/>
      <c r="P527" s="55" t="str">
        <f t="shared" si="17"/>
        <v/>
      </c>
      <c r="Y527" s="15" t="s">
        <v>383</v>
      </c>
    </row>
    <row r="528" spans="2:26" x14ac:dyDescent="0.25">
      <c r="B528" s="28">
        <f>[1]DataLookUp!$B528</f>
        <v>25000000000525</v>
      </c>
      <c r="C528" s="29" t="str">
        <f>VLOOKUP(B528, [1]DataLookUp!$B$4:$D$621, 2, FALSE)</f>
        <v>Idris Affandi</v>
      </c>
      <c r="D528" s="29" t="str">
        <f>VLOOKUP(B528, [1]DataLookUp!$B$4:$D$621, 3, FALSE)</f>
        <v/>
      </c>
      <c r="E528" s="40"/>
      <c r="F528" s="45" t="str">
        <f t="shared" si="18"/>
        <v/>
      </c>
      <c r="G528" s="30"/>
      <c r="H528" s="31"/>
      <c r="I528" s="50"/>
      <c r="J528" s="40"/>
      <c r="K528" s="40"/>
      <c r="L528" s="51"/>
      <c r="M528" s="52"/>
      <c r="N528" s="50"/>
      <c r="P528" s="55" t="str">
        <f t="shared" si="17"/>
        <v/>
      </c>
      <c r="Y528" s="15" t="s">
        <v>347</v>
      </c>
    </row>
    <row r="529" spans="2:27" x14ac:dyDescent="0.25">
      <c r="B529" s="28">
        <f>[1]DataLookUp!$B529</f>
        <v>25000000000526</v>
      </c>
      <c r="C529" s="29" t="str">
        <f>VLOOKUP(B529, [1]DataLookUp!$B$4:$D$621, 2, FALSE)</f>
        <v>Indra Wijaya</v>
      </c>
      <c r="D529" s="29" t="str">
        <f>VLOOKUP(B529, [1]DataLookUp!$B$4:$D$621, 3, FALSE)</f>
        <v/>
      </c>
      <c r="E529" s="40"/>
      <c r="F529" s="45" t="str">
        <f t="shared" si="18"/>
        <v/>
      </c>
      <c r="G529" s="30"/>
      <c r="H529" s="31"/>
      <c r="I529" s="50"/>
      <c r="J529" s="40"/>
      <c r="K529" s="40"/>
      <c r="L529" s="51"/>
      <c r="M529" s="52"/>
      <c r="N529" s="50"/>
      <c r="P529" s="55" t="str">
        <f t="shared" si="17"/>
        <v/>
      </c>
      <c r="Y529" s="15" t="s">
        <v>384</v>
      </c>
    </row>
    <row r="530" spans="2:27" x14ac:dyDescent="0.25">
      <c r="B530" s="28">
        <f>[1]DataLookUp!$B530</f>
        <v>25000000000527</v>
      </c>
      <c r="C530" s="29" t="str">
        <f>VLOOKUP(B530, [1]DataLookUp!$B$4:$D$621, 2, FALSE)</f>
        <v>Irma Maulidawati</v>
      </c>
      <c r="D530" s="29" t="str">
        <f>VLOOKUP(B530, [1]DataLookUp!$B$4:$D$621, 3, FALSE)</f>
        <v>3174096508970001</v>
      </c>
      <c r="E530" s="40" t="s">
        <v>180</v>
      </c>
      <c r="F530" s="45">
        <f t="shared" si="18"/>
        <v>156000000000002</v>
      </c>
      <c r="G530" s="30" t="s">
        <v>6</v>
      </c>
      <c r="H530" s="31">
        <v>35667</v>
      </c>
      <c r="I530" s="50" t="s">
        <v>227</v>
      </c>
      <c r="J530" s="40" t="s">
        <v>204</v>
      </c>
      <c r="K530" s="40" t="s">
        <v>188</v>
      </c>
      <c r="L530" s="51" t="s">
        <v>226</v>
      </c>
      <c r="M530" s="52">
        <v>24000000032461</v>
      </c>
      <c r="N530" s="50"/>
      <c r="P530" s="55" t="str">
        <f t="shared" si="17"/>
        <v xml:space="preserve">PERFORM "SchData-OLTP-Master"."Func_TblCitizenIdentity_SET"(varSystemLoginSession, null, null, null, varInstitutionBranchID, 25000000000527::bigint, 'Irma Maulidawati'::varchar, '3174096508970001'::varchar, 156000000000002::bigint, NULL::bigint, '1997-08-25'::timestamp, NULL::bigint, NULL::bigint, NULL::bigint, NULL::bigint,  24000000032461::bigint, NULL::bigint, NULL::bigint, NULL::bigint, 'Jl. Nangka Gg. Masjid Nurul Huda No.14'::varchar, 4::smallint, 6::smallint);
</v>
      </c>
      <c r="Y530" s="15" t="s">
        <v>347</v>
      </c>
    </row>
    <row r="531" spans="2:27" x14ac:dyDescent="0.25">
      <c r="B531" s="28">
        <f>[1]DataLookUp!$B531</f>
        <v>25000000000528</v>
      </c>
      <c r="C531" s="29" t="str">
        <f>VLOOKUP(B531, [1]DataLookUp!$B$4:$D$621, 2, FALSE)</f>
        <v>Istikaro Fauziah</v>
      </c>
      <c r="D531" s="29" t="str">
        <f>VLOOKUP(B531, [1]DataLookUp!$B$4:$D$621, 3, FALSE)</f>
        <v>3174054210980004</v>
      </c>
      <c r="E531" s="40" t="s">
        <v>180</v>
      </c>
      <c r="F531" s="45">
        <f t="shared" si="18"/>
        <v>156000000000002</v>
      </c>
      <c r="G531" s="30" t="s">
        <v>6</v>
      </c>
      <c r="H531" s="31">
        <v>36070</v>
      </c>
      <c r="I531" s="50" t="s">
        <v>310</v>
      </c>
      <c r="J531" s="40" t="s">
        <v>190</v>
      </c>
      <c r="K531" s="40" t="s">
        <v>201</v>
      </c>
      <c r="L531" s="51" t="s">
        <v>228</v>
      </c>
      <c r="M531" s="52">
        <v>24000000032481</v>
      </c>
      <c r="N531" s="50"/>
      <c r="P531" s="55" t="str">
        <f t="shared" si="17"/>
        <v xml:space="preserve">PERFORM "SchData-OLTP-Master"."Func_TblCitizenIdentity_SET"(varSystemLoginSession, null, null, null, varInstitutionBranchID, 25000000000528::bigint, 'Istikaro Fauziah'::varchar, '3174054210980004'::varchar, 156000000000002::bigint, NULL::bigint, '1998-10-02'::timestamp, NULL::bigint, NULL::bigint, NULL::bigint, NULL::bigint,  24000000032481::bigint, NULL::bigint, NULL::bigint, NULL::bigint, 'Jl. Bangka VIII Gg. Manggis No.5'::varchar, 8::smallint, 12::smallint);
</v>
      </c>
      <c r="Y531" s="15" t="s">
        <v>385</v>
      </c>
    </row>
    <row r="532" spans="2:27" x14ac:dyDescent="0.25">
      <c r="B532" s="28">
        <f>[1]DataLookUp!$B532</f>
        <v>25000000000529</v>
      </c>
      <c r="C532" s="29" t="str">
        <f>VLOOKUP(B532, [1]DataLookUp!$B$4:$D$621, 2, FALSE)</f>
        <v>Muhammad Lukbani</v>
      </c>
      <c r="D532" s="29" t="str">
        <f>VLOOKUP(B532, [1]DataLookUp!$B$4:$D$621, 3, FALSE)</f>
        <v/>
      </c>
      <c r="E532" s="40"/>
      <c r="F532" s="45" t="str">
        <f t="shared" si="18"/>
        <v/>
      </c>
      <c r="G532" s="30"/>
      <c r="H532" s="31"/>
      <c r="I532" s="50"/>
      <c r="J532" s="40"/>
      <c r="K532" s="40"/>
      <c r="L532" s="51"/>
      <c r="M532" s="52"/>
      <c r="N532" s="50"/>
      <c r="P532" s="55" t="str">
        <f t="shared" si="17"/>
        <v/>
      </c>
      <c r="X532" s="15" t="s">
        <v>352</v>
      </c>
    </row>
    <row r="533" spans="2:27" x14ac:dyDescent="0.25">
      <c r="B533" s="28">
        <f>[1]DataLookUp!$B533</f>
        <v>25000000000530</v>
      </c>
      <c r="C533" s="29" t="str">
        <f>VLOOKUP(B533, [1]DataLookUp!$B$4:$D$621, 2, FALSE)</f>
        <v>Muhammad Sholikhun</v>
      </c>
      <c r="D533" s="29" t="str">
        <f>VLOOKUP(B533, [1]DataLookUp!$B$4:$D$621, 3, FALSE)</f>
        <v/>
      </c>
      <c r="E533" s="40"/>
      <c r="F533" s="45" t="str">
        <f t="shared" si="18"/>
        <v/>
      </c>
      <c r="G533" s="30"/>
      <c r="H533" s="31"/>
      <c r="I533" s="50"/>
      <c r="J533" s="40"/>
      <c r="K533" s="40"/>
      <c r="L533" s="51"/>
      <c r="M533" s="52"/>
      <c r="N533" s="50"/>
      <c r="P533" s="55" t="str">
        <f t="shared" si="17"/>
        <v/>
      </c>
      <c r="Y533" s="15" t="s">
        <v>353</v>
      </c>
    </row>
    <row r="534" spans="2:27" x14ac:dyDescent="0.25">
      <c r="B534" s="28">
        <f>[1]DataLookUp!$B534</f>
        <v>25000000000531</v>
      </c>
      <c r="C534" s="29" t="str">
        <f>VLOOKUP(B534, [1]DataLookUp!$B$4:$D$621, 2, FALSE)</f>
        <v>Muhammad Syarifudin</v>
      </c>
      <c r="D534" s="29" t="str">
        <f>VLOOKUP(B534, [1]DataLookUp!$B$4:$D$621, 3, FALSE)</f>
        <v/>
      </c>
      <c r="E534" s="40"/>
      <c r="F534" s="45" t="str">
        <f t="shared" si="18"/>
        <v/>
      </c>
      <c r="G534" s="30"/>
      <c r="H534" s="31"/>
      <c r="I534" s="50"/>
      <c r="J534" s="40"/>
      <c r="K534" s="40"/>
      <c r="L534" s="51"/>
      <c r="M534" s="52"/>
      <c r="N534" s="50"/>
      <c r="P534" s="55" t="str">
        <f t="shared" si="17"/>
        <v/>
      </c>
      <c r="Y534" s="15" t="s">
        <v>337</v>
      </c>
    </row>
    <row r="535" spans="2:27" x14ac:dyDescent="0.25">
      <c r="B535" s="28">
        <f>[1]DataLookUp!$B535</f>
        <v>25000000000532</v>
      </c>
      <c r="C535" s="29" t="str">
        <f>VLOOKUP(B535, [1]DataLookUp!$B$4:$D$621, 2, FALSE)</f>
        <v>Nadia Rizkiah</v>
      </c>
      <c r="D535" s="29" t="str">
        <f>VLOOKUP(B535, [1]DataLookUp!$B$4:$D$621, 3, FALSE)</f>
        <v/>
      </c>
      <c r="E535" s="40"/>
      <c r="F535" s="45" t="str">
        <f t="shared" si="18"/>
        <v/>
      </c>
      <c r="G535" s="30"/>
      <c r="H535" s="31"/>
      <c r="I535" s="50"/>
      <c r="J535" s="40"/>
      <c r="K535" s="40"/>
      <c r="L535" s="51"/>
      <c r="M535" s="52"/>
      <c r="N535" s="50"/>
      <c r="P535" s="55" t="str">
        <f t="shared" si="17"/>
        <v/>
      </c>
      <c r="Z535" s="15" t="s">
        <v>386</v>
      </c>
    </row>
    <row r="536" spans="2:27" x14ac:dyDescent="0.25">
      <c r="B536" s="28">
        <f>[1]DataLookUp!$B536</f>
        <v>25000000000533</v>
      </c>
      <c r="C536" s="29" t="str">
        <f>VLOOKUP(B536, [1]DataLookUp!$B$4:$D$621, 2, FALSE)</f>
        <v>Nikko Septian</v>
      </c>
      <c r="D536" s="29" t="str">
        <f>VLOOKUP(B536, [1]DataLookUp!$B$4:$D$621, 3, FALSE)</f>
        <v/>
      </c>
      <c r="E536" s="40"/>
      <c r="F536" s="45" t="str">
        <f t="shared" si="18"/>
        <v/>
      </c>
      <c r="G536" s="30"/>
      <c r="H536" s="31"/>
      <c r="I536" s="50"/>
      <c r="J536" s="40"/>
      <c r="K536" s="40"/>
      <c r="L536" s="51"/>
      <c r="M536" s="52"/>
      <c r="N536" s="50"/>
      <c r="P536" s="55" t="str">
        <f t="shared" si="17"/>
        <v/>
      </c>
      <c r="Z536" s="15" t="s">
        <v>387</v>
      </c>
    </row>
    <row r="537" spans="2:27" x14ac:dyDescent="0.25">
      <c r="B537" s="28">
        <f>[1]DataLookUp!$B537</f>
        <v>25000000000534</v>
      </c>
      <c r="C537" s="29" t="str">
        <f>VLOOKUP(B537, [1]DataLookUp!$B$4:$D$621, 2, FALSE)</f>
        <v>Novizan</v>
      </c>
      <c r="D537" s="29" t="str">
        <f>VLOOKUP(B537, [1]DataLookUp!$B$4:$D$621, 3, FALSE)</f>
        <v/>
      </c>
      <c r="E537" s="40"/>
      <c r="F537" s="45" t="str">
        <f t="shared" si="18"/>
        <v/>
      </c>
      <c r="G537" s="30"/>
      <c r="H537" s="31"/>
      <c r="I537" s="50"/>
      <c r="J537" s="40"/>
      <c r="K537" s="40"/>
      <c r="L537" s="51"/>
      <c r="M537" s="52"/>
      <c r="N537" s="50"/>
      <c r="P537" s="55" t="str">
        <f t="shared" si="17"/>
        <v/>
      </c>
      <c r="Y537" s="15" t="s">
        <v>352</v>
      </c>
    </row>
    <row r="538" spans="2:27" x14ac:dyDescent="0.25">
      <c r="B538" s="28">
        <f>[1]DataLookUp!$B538</f>
        <v>25000000000535</v>
      </c>
      <c r="C538" s="29" t="str">
        <f>VLOOKUP(B538, [1]DataLookUp!$B$4:$D$621, 2, FALSE)</f>
        <v>Oqi Suhaqi Yunus</v>
      </c>
      <c r="D538" s="29" t="str">
        <f>VLOOKUP(B538, [1]DataLookUp!$B$4:$D$621, 3, FALSE)</f>
        <v/>
      </c>
      <c r="E538" s="40"/>
      <c r="F538" s="45" t="str">
        <f t="shared" si="18"/>
        <v/>
      </c>
      <c r="G538" s="30"/>
      <c r="H538" s="31"/>
      <c r="I538" s="50"/>
      <c r="J538" s="40"/>
      <c r="K538" s="40"/>
      <c r="L538" s="51"/>
      <c r="M538" s="52"/>
      <c r="N538" s="50"/>
      <c r="P538" s="55" t="str">
        <f t="shared" si="17"/>
        <v/>
      </c>
      <c r="Z538" s="15" t="s">
        <v>353</v>
      </c>
    </row>
    <row r="539" spans="2:27" x14ac:dyDescent="0.25">
      <c r="B539" s="28">
        <f>[1]DataLookUp!$B539</f>
        <v>25000000000536</v>
      </c>
      <c r="C539" s="29" t="str">
        <f>VLOOKUP(B539, [1]DataLookUp!$B$4:$D$621, 2, FALSE)</f>
        <v>Restu Dwi Anjayani</v>
      </c>
      <c r="D539" s="29" t="str">
        <f>VLOOKUP(B539, [1]DataLookUp!$B$4:$D$621, 3, FALSE)</f>
        <v>3216085507950007</v>
      </c>
      <c r="E539" s="40" t="s">
        <v>180</v>
      </c>
      <c r="F539" s="45">
        <f t="shared" si="18"/>
        <v>156000000000002</v>
      </c>
      <c r="G539" s="30" t="s">
        <v>6</v>
      </c>
      <c r="H539" s="31">
        <v>34895</v>
      </c>
      <c r="I539" s="50" t="s">
        <v>254</v>
      </c>
      <c r="J539" s="40" t="s">
        <v>192</v>
      </c>
      <c r="K539" s="40" t="s">
        <v>188</v>
      </c>
      <c r="L539" s="51" t="s">
        <v>253</v>
      </c>
      <c r="M539" s="52">
        <v>24000000026293</v>
      </c>
      <c r="N539" s="50"/>
      <c r="P539" s="55" t="str">
        <f t="shared" si="17"/>
        <v xml:space="preserve">PERFORM "SchData-OLTP-Master"."Func_TblCitizenIdentity_SET"(varSystemLoginSession, null, null, null, varInstitutionBranchID, 25000000000536::bigint, 'Restu Dwi Anjayani'::varchar, '3216085507950007'::varchar, 156000000000002::bigint, NULL::bigint, '1995-07-15'::timestamp, NULL::bigint, NULL::bigint, NULL::bigint, NULL::bigint,  24000000026293::bigint, NULL::bigint, NULL::bigint, NULL::bigint, 'Jl. Amal Gang Muit No. 32'::varchar, 2::smallint, 6::smallint);
</v>
      </c>
      <c r="Z539" s="15" t="s">
        <v>337</v>
      </c>
    </row>
    <row r="540" spans="2:27" x14ac:dyDescent="0.25">
      <c r="B540" s="28">
        <f>[1]DataLookUp!$B540</f>
        <v>25000000000537</v>
      </c>
      <c r="C540" s="29" t="str">
        <f>VLOOKUP(B540, [1]DataLookUp!$B$4:$D$621, 2, FALSE)</f>
        <v>Rizal Amri</v>
      </c>
      <c r="D540" s="29" t="str">
        <f>VLOOKUP(B540, [1]DataLookUp!$B$4:$D$621, 3, FALSE)</f>
        <v/>
      </c>
      <c r="E540" s="40"/>
      <c r="F540" s="45" t="str">
        <f t="shared" si="18"/>
        <v/>
      </c>
      <c r="G540" s="30"/>
      <c r="H540" s="31"/>
      <c r="I540" s="50"/>
      <c r="J540" s="40"/>
      <c r="K540" s="40"/>
      <c r="L540" s="51"/>
      <c r="M540" s="52"/>
      <c r="N540" s="50"/>
      <c r="P540" s="55" t="str">
        <f t="shared" si="17"/>
        <v/>
      </c>
      <c r="AA540" s="15" t="s">
        <v>388</v>
      </c>
    </row>
    <row r="541" spans="2:27" x14ac:dyDescent="0.25">
      <c r="B541" s="28">
        <f>[1]DataLookUp!$B541</f>
        <v>25000000000538</v>
      </c>
      <c r="C541" s="29" t="str">
        <f>VLOOKUP(B541, [1]DataLookUp!$B$4:$D$621, 2, FALSE)</f>
        <v>Ronny Anindika Arnold</v>
      </c>
      <c r="D541" s="29" t="str">
        <f>VLOOKUP(B541, [1]DataLookUp!$B$4:$D$621, 3, FALSE)</f>
        <v/>
      </c>
      <c r="E541" s="40"/>
      <c r="F541" s="45" t="str">
        <f t="shared" si="18"/>
        <v/>
      </c>
      <c r="G541" s="30"/>
      <c r="H541" s="31"/>
      <c r="I541" s="50"/>
      <c r="J541" s="40"/>
      <c r="K541" s="40"/>
      <c r="L541" s="51"/>
      <c r="M541" s="52"/>
      <c r="N541" s="50"/>
      <c r="P541" s="55" t="str">
        <f t="shared" si="17"/>
        <v/>
      </c>
      <c r="Z541" s="15" t="s">
        <v>389</v>
      </c>
    </row>
    <row r="542" spans="2:27" x14ac:dyDescent="0.25">
      <c r="B542" s="28">
        <f>[1]DataLookUp!$B542</f>
        <v>25000000000539</v>
      </c>
      <c r="C542" s="29" t="str">
        <f>VLOOKUP(B542, [1]DataLookUp!$B$4:$D$621, 2, FALSE)</f>
        <v>Samta Harahap</v>
      </c>
      <c r="D542" s="29" t="str">
        <f>VLOOKUP(B542, [1]DataLookUp!$B$4:$D$621, 3, FALSE)</f>
        <v/>
      </c>
      <c r="E542" s="40"/>
      <c r="F542" s="45" t="str">
        <f t="shared" si="18"/>
        <v/>
      </c>
      <c r="G542" s="30"/>
      <c r="H542" s="31"/>
      <c r="I542" s="50"/>
      <c r="J542" s="40"/>
      <c r="K542" s="40"/>
      <c r="L542" s="51"/>
      <c r="M542" s="52"/>
      <c r="N542" s="50"/>
      <c r="P542" s="55" t="str">
        <f t="shared" si="17"/>
        <v/>
      </c>
      <c r="Y542" s="15" t="s">
        <v>390</v>
      </c>
    </row>
    <row r="543" spans="2:27" x14ac:dyDescent="0.25">
      <c r="B543" s="28">
        <f>[1]DataLookUp!$B543</f>
        <v>25000000000540</v>
      </c>
      <c r="C543" s="29" t="str">
        <f>VLOOKUP(B543, [1]DataLookUp!$B$4:$D$621, 2, FALSE)</f>
        <v>Vingky Hendriek Yomerlin</v>
      </c>
      <c r="D543" s="29" t="str">
        <f>VLOOKUP(B543, [1]DataLookUp!$B$4:$D$621, 3, FALSE)</f>
        <v/>
      </c>
      <c r="E543" s="40"/>
      <c r="F543" s="45" t="str">
        <f t="shared" si="18"/>
        <v/>
      </c>
      <c r="G543" s="30"/>
      <c r="H543" s="31"/>
      <c r="I543" s="50"/>
      <c r="J543" s="40"/>
      <c r="K543" s="40"/>
      <c r="L543" s="51"/>
      <c r="M543" s="52"/>
      <c r="N543" s="50"/>
      <c r="P543" s="55" t="str">
        <f t="shared" si="17"/>
        <v/>
      </c>
      <c r="Z543" s="15" t="s">
        <v>391</v>
      </c>
    </row>
    <row r="544" spans="2:27" x14ac:dyDescent="0.25">
      <c r="B544" s="28">
        <f>[1]DataLookUp!$B544</f>
        <v>25000000000541</v>
      </c>
      <c r="C544" s="29" t="str">
        <f>VLOOKUP(B544, [1]DataLookUp!$B$4:$D$621, 2, FALSE)</f>
        <v>Wahyu Teluk Naga</v>
      </c>
      <c r="D544" s="29" t="str">
        <f>VLOOKUP(B544, [1]DataLookUp!$B$4:$D$621, 3, FALSE)</f>
        <v/>
      </c>
      <c r="E544" s="40"/>
      <c r="F544" s="45" t="str">
        <f t="shared" si="18"/>
        <v/>
      </c>
      <c r="G544" s="30"/>
      <c r="H544" s="31"/>
      <c r="I544" s="50"/>
      <c r="J544" s="40"/>
      <c r="K544" s="40"/>
      <c r="L544" s="51"/>
      <c r="M544" s="52"/>
      <c r="N544" s="50"/>
      <c r="P544" s="55" t="str">
        <f t="shared" si="17"/>
        <v/>
      </c>
      <c r="AA544" s="15" t="s">
        <v>353</v>
      </c>
    </row>
    <row r="545" spans="2:29" x14ac:dyDescent="0.25">
      <c r="B545" s="28">
        <f>[1]DataLookUp!$B545</f>
        <v>25000000000542</v>
      </c>
      <c r="C545" s="29" t="str">
        <f>VLOOKUP(B545, [1]DataLookUp!$B$4:$D$621, 2, FALSE)</f>
        <v>Wardah Laily Khoiriyah</v>
      </c>
      <c r="D545" s="29" t="str">
        <f>VLOOKUP(B545, [1]DataLookUp!$B$4:$D$621, 3, FALSE)</f>
        <v>3671065910970003</v>
      </c>
      <c r="E545" s="40" t="s">
        <v>180</v>
      </c>
      <c r="F545" s="45">
        <f t="shared" si="18"/>
        <v>156000000000002</v>
      </c>
      <c r="G545" s="30" t="s">
        <v>19</v>
      </c>
      <c r="H545" s="31">
        <v>35722</v>
      </c>
      <c r="I545" s="50" t="s">
        <v>276</v>
      </c>
      <c r="J545" s="40" t="s">
        <v>192</v>
      </c>
      <c r="K545" s="40" t="s">
        <v>188</v>
      </c>
      <c r="L545" s="51" t="s">
        <v>275</v>
      </c>
      <c r="M545" s="52">
        <v>24000000026322</v>
      </c>
      <c r="N545" s="50"/>
      <c r="P545" s="55" t="str">
        <f t="shared" si="17"/>
        <v xml:space="preserve">PERFORM "SchData-OLTP-Master"."Func_TblCitizenIdentity_SET"(varSystemLoginSession, null, null, null, varInstitutionBranchID, 25000000000542::bigint, 'Wardah Laily Khoiriyah'::varchar, '3671065910970003'::varchar, 156000000000002::bigint, NULL::bigint, '1997-10-19'::timestamp, NULL::bigint, NULL::bigint, NULL::bigint, NULL::bigint,  24000000026322::bigint, NULL::bigint, NULL::bigint, NULL::bigint, 'Jl. Matahari Gg. Sulaeman'::varchar, 2::smallint, 6::smallint);
</v>
      </c>
      <c r="AA545" s="15" t="s">
        <v>337</v>
      </c>
    </row>
    <row r="546" spans="2:29" x14ac:dyDescent="0.25">
      <c r="B546" s="28">
        <f>[1]DataLookUp!$B546</f>
        <v>25000000000543</v>
      </c>
      <c r="C546" s="29" t="str">
        <f>VLOOKUP(B546, [1]DataLookUp!$B$4:$D$621, 2, FALSE)</f>
        <v>Wawan Kusworo</v>
      </c>
      <c r="D546" s="29" t="str">
        <f>VLOOKUP(B546, [1]DataLookUp!$B$4:$D$621, 3, FALSE)</f>
        <v/>
      </c>
      <c r="E546" s="40"/>
      <c r="F546" s="45" t="str">
        <f t="shared" si="18"/>
        <v/>
      </c>
      <c r="G546" s="30"/>
      <c r="H546" s="31"/>
      <c r="I546" s="50"/>
      <c r="J546" s="40"/>
      <c r="K546" s="40"/>
      <c r="L546" s="51"/>
      <c r="M546" s="52"/>
      <c r="N546" s="50"/>
      <c r="P546" s="55" t="str">
        <f t="shared" si="17"/>
        <v/>
      </c>
      <c r="AB546" s="15" t="s">
        <v>338</v>
      </c>
    </row>
    <row r="547" spans="2:29" x14ac:dyDescent="0.25">
      <c r="B547" s="28">
        <f>[1]DataLookUp!$B547</f>
        <v>25000000000544</v>
      </c>
      <c r="C547" s="29" t="str">
        <f>VLOOKUP(B547, [1]DataLookUp!$B$4:$D$621, 2, FALSE)</f>
        <v>Wulanraniasih</v>
      </c>
      <c r="D547" s="29" t="str">
        <f>VLOOKUP(B547, [1]DataLookUp!$B$4:$D$621, 3, FALSE)</f>
        <v/>
      </c>
      <c r="E547" s="40"/>
      <c r="F547" s="45" t="str">
        <f t="shared" si="18"/>
        <v/>
      </c>
      <c r="G547" s="30"/>
      <c r="H547" s="31"/>
      <c r="I547" s="50"/>
      <c r="J547" s="40"/>
      <c r="K547" s="40"/>
      <c r="L547" s="51"/>
      <c r="M547" s="52"/>
      <c r="N547" s="50"/>
      <c r="P547" s="55" t="str">
        <f t="shared" si="17"/>
        <v/>
      </c>
      <c r="AB547" s="15" t="s">
        <v>339</v>
      </c>
    </row>
    <row r="548" spans="2:29" x14ac:dyDescent="0.25">
      <c r="B548" s="28">
        <f>[1]DataLookUp!$B548</f>
        <v>25000000000545</v>
      </c>
      <c r="C548" s="29" t="str">
        <f>VLOOKUP(B548, [1]DataLookUp!$B$4:$D$621, 2, FALSE)</f>
        <v>Yogi Perbangkara</v>
      </c>
      <c r="D548" s="29" t="str">
        <f>VLOOKUP(B548, [1]DataLookUp!$B$4:$D$621, 3, FALSE)</f>
        <v>3201290804850007</v>
      </c>
      <c r="E548" s="40" t="s">
        <v>179</v>
      </c>
      <c r="F548" s="45">
        <f t="shared" si="18"/>
        <v>156000000000001</v>
      </c>
      <c r="G548" s="30" t="s">
        <v>7</v>
      </c>
      <c r="H548" s="31">
        <v>31145</v>
      </c>
      <c r="I548" s="50" t="s">
        <v>280</v>
      </c>
      <c r="J548" s="40" t="s">
        <v>204</v>
      </c>
      <c r="K548" s="40" t="s">
        <v>183</v>
      </c>
      <c r="L548" s="51" t="s">
        <v>279</v>
      </c>
      <c r="M548" s="52">
        <v>24000000027165</v>
      </c>
      <c r="N548" s="50"/>
      <c r="P548" s="55" t="str">
        <f t="shared" si="17"/>
        <v xml:space="preserve">PERFORM "SchData-OLTP-Master"."Func_TblCitizenIdentity_SET"(varSystemLoginSession, null, null, null, varInstitutionBranchID, 25000000000545::bigint, 'Yogi Perbangkara'::varchar, '3201290804850007'::varchar, 156000000000001::bigint, NULL::bigint, '1985-04-08'::timestamp, NULL::bigint, NULL::bigint, NULL::bigint, NULL::bigint,  24000000027165::bigint, NULL::bigint, NULL::bigint, NULL::bigint, 'Ciomas Hills Cluster Pangrango, Blok A5 No. 17'::varchar, 4::smallint, 1::smallint);
</v>
      </c>
      <c r="AB548" s="15" t="s">
        <v>340</v>
      </c>
    </row>
    <row r="549" spans="2:29" x14ac:dyDescent="0.25">
      <c r="B549" s="28">
        <f>[1]DataLookUp!$B549</f>
        <v>25000000000546</v>
      </c>
      <c r="C549" s="29" t="str">
        <f>VLOOKUP(B549, [1]DataLookUp!$B$4:$D$621, 2, FALSE)</f>
        <v>Yusuf Fathurahman</v>
      </c>
      <c r="D549" s="29" t="str">
        <f>VLOOKUP(B549, [1]DataLookUp!$B$4:$D$621, 3, FALSE)</f>
        <v/>
      </c>
      <c r="E549" s="40"/>
      <c r="F549" s="45" t="str">
        <f t="shared" si="18"/>
        <v/>
      </c>
      <c r="G549" s="30"/>
      <c r="H549" s="31"/>
      <c r="I549" s="50"/>
      <c r="J549" s="40"/>
      <c r="K549" s="40"/>
      <c r="L549" s="51"/>
      <c r="M549" s="52"/>
      <c r="N549" s="50"/>
      <c r="P549" s="55" t="str">
        <f t="shared" si="17"/>
        <v/>
      </c>
      <c r="AB549" s="15" t="s">
        <v>341</v>
      </c>
    </row>
    <row r="550" spans="2:29" x14ac:dyDescent="0.25">
      <c r="B550" s="28">
        <f>[1]DataLookUp!$B550</f>
        <v>25000000000547</v>
      </c>
      <c r="C550" s="29" t="str">
        <f>VLOOKUP(B550, [1]DataLookUp!$B$4:$D$621, 2, FALSE)</f>
        <v>Zeinurani</v>
      </c>
      <c r="D550" s="29" t="str">
        <f>VLOOKUP(B550, [1]DataLookUp!$B$4:$D$621, 3, FALSE)</f>
        <v/>
      </c>
      <c r="E550" s="40"/>
      <c r="F550" s="45" t="str">
        <f t="shared" si="18"/>
        <v/>
      </c>
      <c r="G550" s="30"/>
      <c r="H550" s="31"/>
      <c r="I550" s="50"/>
      <c r="J550" s="40"/>
      <c r="K550" s="40"/>
      <c r="L550" s="51"/>
      <c r="M550" s="52"/>
      <c r="N550" s="50"/>
      <c r="P550" s="55" t="str">
        <f t="shared" si="17"/>
        <v/>
      </c>
      <c r="AB550" s="15" t="s">
        <v>342</v>
      </c>
    </row>
    <row r="551" spans="2:29" x14ac:dyDescent="0.25">
      <c r="B551" s="28">
        <f>[1]DataLookUp!$B551</f>
        <v>25000000000548</v>
      </c>
      <c r="C551" s="29" t="str">
        <f>VLOOKUP(B551, [1]DataLookUp!$B$4:$D$621, 2, FALSE)</f>
        <v>Sulaeman</v>
      </c>
      <c r="D551" s="29" t="str">
        <f>VLOOKUP(B551, [1]DataLookUp!$B$4:$D$621, 3, FALSE)</f>
        <v>3201301508830001</v>
      </c>
      <c r="E551" s="40" t="s">
        <v>179</v>
      </c>
      <c r="F551" s="45">
        <f t="shared" si="18"/>
        <v>156000000000001</v>
      </c>
      <c r="G551" s="30" t="s">
        <v>7</v>
      </c>
      <c r="H551" s="31">
        <v>30543</v>
      </c>
      <c r="I551" s="50" t="s">
        <v>323</v>
      </c>
      <c r="J551" s="40"/>
      <c r="K551" s="40"/>
      <c r="L551" s="51" t="s">
        <v>322</v>
      </c>
      <c r="M551" s="52">
        <v>24000000027448</v>
      </c>
      <c r="N551" s="50"/>
      <c r="P551" s="55" t="str">
        <f t="shared" si="17"/>
        <v xml:space="preserve">PERFORM "SchData-OLTP-Master"."Func_TblCitizenIdentity_SET"(varSystemLoginSession, null, null, null, varInstitutionBranchID, 25000000000548::bigint, 'Sulaeman'::varchar, '3201301508830001'::varchar, 156000000000001::bigint, NULL::bigint, '1983-08-15'::timestamp, NULL::bigint, NULL::bigint, NULL::bigint, NULL::bigint,  24000000027448::bigint, NULL::bigint, NULL::bigint, NULL::bigint, 'Kp. Situdaun'::varchar, NULL::smallint, NULL::smallint);
</v>
      </c>
      <c r="AB551" s="15" t="s">
        <v>344</v>
      </c>
    </row>
    <row r="552" spans="2:29" x14ac:dyDescent="0.25">
      <c r="B552" s="28">
        <f>[1]DataLookUp!$B552</f>
        <v>25000000000549</v>
      </c>
      <c r="C552" s="29" t="str">
        <f>VLOOKUP(B552, [1]DataLookUp!$B$4:$D$621, 2, FALSE)</f>
        <v>Agus Nuryadi</v>
      </c>
      <c r="D552" s="29" t="str">
        <f>VLOOKUP(B552, [1]DataLookUp!$B$4:$D$621, 3, FALSE)</f>
        <v/>
      </c>
      <c r="E552" s="40"/>
      <c r="F552" s="45" t="str">
        <f t="shared" si="18"/>
        <v/>
      </c>
      <c r="G552" s="30"/>
      <c r="H552" s="31"/>
      <c r="I552" s="50"/>
      <c r="J552" s="40"/>
      <c r="K552" s="40"/>
      <c r="L552" s="51"/>
      <c r="M552" s="52"/>
      <c r="N552" s="50"/>
      <c r="P552" s="55" t="str">
        <f t="shared" si="17"/>
        <v/>
      </c>
      <c r="AB552" s="15" t="s">
        <v>347</v>
      </c>
    </row>
    <row r="553" spans="2:29" x14ac:dyDescent="0.25">
      <c r="B553" s="28">
        <f>[1]DataLookUp!$B553</f>
        <v>25000000000550</v>
      </c>
      <c r="C553" s="29" t="str">
        <f>VLOOKUP(B553, [1]DataLookUp!$B$4:$D$621, 2, FALSE)</f>
        <v>Dian Tri Rahmawati</v>
      </c>
      <c r="D553" s="29" t="str">
        <f>VLOOKUP(B553, [1]DataLookUp!$B$4:$D$621, 3, FALSE)</f>
        <v>3172046605010007</v>
      </c>
      <c r="E553" s="40" t="s">
        <v>180</v>
      </c>
      <c r="F553" s="45">
        <f t="shared" si="18"/>
        <v>156000000000002</v>
      </c>
      <c r="G553" s="30" t="s">
        <v>18</v>
      </c>
      <c r="H553" s="31">
        <v>37037</v>
      </c>
      <c r="I553" s="50" t="s">
        <v>305</v>
      </c>
      <c r="J553" s="40" t="s">
        <v>187</v>
      </c>
      <c r="K553" s="40" t="s">
        <v>192</v>
      </c>
      <c r="L553" s="51" t="s">
        <v>304</v>
      </c>
      <c r="M553" s="52">
        <v>24000000032586</v>
      </c>
      <c r="N553" s="50"/>
      <c r="P553" s="55" t="str">
        <f t="shared" si="17"/>
        <v xml:space="preserve">PERFORM "SchData-OLTP-Master"."Func_TblCitizenIdentity_SET"(varSystemLoginSession, null, null, null, varInstitutionBranchID, 25000000000550::bigint, 'Dian Tri Rahmawati'::varchar, '3172046605010007'::varchar, 156000000000002::bigint, NULL::bigint, '2001-05-26'::timestamp, NULL::bigint, NULL::bigint, NULL::bigint, NULL::bigint,  24000000032586::bigint, NULL::bigint, NULL::bigint, NULL::bigint, 'Jl. Kebantenan 3 No.42 '::varchar, 5::smallint, 2::smallint);
</v>
      </c>
      <c r="AB553" s="15" t="s">
        <v>392</v>
      </c>
    </row>
    <row r="554" spans="2:29" x14ac:dyDescent="0.25">
      <c r="B554" s="28">
        <f>[1]DataLookUp!$B554</f>
        <v>25000000000551</v>
      </c>
      <c r="C554" s="29" t="str">
        <f>VLOOKUP(B554, [1]DataLookUp!$B$4:$D$621, 2, FALSE)</f>
        <v>Langgeng Eko Dwiantoro</v>
      </c>
      <c r="D554" s="29" t="str">
        <f>VLOOKUP(B554, [1]DataLookUp!$B$4:$D$621, 3, FALSE)</f>
        <v>3173081411840012</v>
      </c>
      <c r="E554" s="40" t="s">
        <v>179</v>
      </c>
      <c r="F554" s="45">
        <f t="shared" si="18"/>
        <v>156000000000001</v>
      </c>
      <c r="G554" s="30" t="s">
        <v>17</v>
      </c>
      <c r="H554" s="31">
        <v>31000</v>
      </c>
      <c r="I554" s="50" t="s">
        <v>314</v>
      </c>
      <c r="J554" s="40"/>
      <c r="K554" s="40"/>
      <c r="L554" s="51" t="s">
        <v>313</v>
      </c>
      <c r="M554" s="52">
        <v>24000000026853</v>
      </c>
      <c r="N554" s="50"/>
      <c r="P554" s="55" t="str">
        <f t="shared" si="17"/>
        <v xml:space="preserve">PERFORM "SchData-OLTP-Master"."Func_TblCitizenIdentity_SET"(varSystemLoginSession, null, null, null, varInstitutionBranchID, 25000000000551::bigint, 'Langgeng Eko Dwiantoro'::varchar, '3173081411840012'::varchar, 156000000000001::bigint, NULL::bigint, '1984-11-14'::timestamp, NULL::bigint, NULL::bigint, NULL::bigint, NULL::bigint,  24000000026853::bigint, NULL::bigint, NULL::bigint, NULL::bigint, 'Perum Puri Persada Indah Blok CA No. 33 '::varchar, NULL::smallint, NULL::smallint);
</v>
      </c>
      <c r="AA554" s="15" t="s">
        <v>352</v>
      </c>
    </row>
    <row r="555" spans="2:29" x14ac:dyDescent="0.25">
      <c r="B555" s="28">
        <f>[1]DataLookUp!$B555</f>
        <v>25000000000552</v>
      </c>
      <c r="C555" s="29" t="str">
        <f>VLOOKUP(B555, [1]DataLookUp!$B$4:$D$621, 2, FALSE)</f>
        <v>Aldi Rizaldi</v>
      </c>
      <c r="D555" s="29" t="str">
        <f>VLOOKUP(B555, [1]DataLookUp!$B$4:$D$621, 3, FALSE)</f>
        <v/>
      </c>
      <c r="E555" s="40"/>
      <c r="F555" s="45" t="str">
        <f t="shared" si="18"/>
        <v/>
      </c>
      <c r="G555" s="30"/>
      <c r="H555" s="31"/>
      <c r="I555" s="50"/>
      <c r="J555" s="40"/>
      <c r="K555" s="40"/>
      <c r="L555" s="51"/>
      <c r="M555" s="52"/>
      <c r="N555" s="50"/>
      <c r="P555" s="55" t="str">
        <f t="shared" si="17"/>
        <v/>
      </c>
      <c r="AB555" s="15" t="s">
        <v>353</v>
      </c>
    </row>
    <row r="556" spans="2:29" x14ac:dyDescent="0.25">
      <c r="B556" s="28">
        <f>[1]DataLookUp!$B556</f>
        <v>25000000000553</v>
      </c>
      <c r="C556" s="29" t="str">
        <f>VLOOKUP(B556, [1]DataLookUp!$B$4:$D$621, 2, FALSE)</f>
        <v>Masimin</v>
      </c>
      <c r="D556" s="29" t="str">
        <f>VLOOKUP(B556, [1]DataLookUp!$B$4:$D$621, 3, FALSE)</f>
        <v/>
      </c>
      <c r="E556" s="40"/>
      <c r="F556" s="45" t="str">
        <f t="shared" si="18"/>
        <v/>
      </c>
      <c r="G556" s="30"/>
      <c r="H556" s="31"/>
      <c r="I556" s="50"/>
      <c r="J556" s="40"/>
      <c r="K556" s="40"/>
      <c r="L556" s="51"/>
      <c r="M556" s="52"/>
      <c r="N556" s="50"/>
      <c r="P556" s="55" t="str">
        <f t="shared" si="17"/>
        <v/>
      </c>
      <c r="AB556" s="15" t="s">
        <v>337</v>
      </c>
    </row>
    <row r="557" spans="2:29" x14ac:dyDescent="0.25">
      <c r="B557" s="28">
        <f>[1]DataLookUp!$B557</f>
        <v>25000000000554</v>
      </c>
      <c r="C557" s="29" t="str">
        <f>VLOOKUP(B557, [1]DataLookUp!$B$4:$D$621, 2, FALSE)</f>
        <v>Santoso Dwi Cahyo</v>
      </c>
      <c r="D557" s="29" t="str">
        <f>VLOOKUP(B557, [1]DataLookUp!$B$4:$D$621, 3, FALSE)</f>
        <v/>
      </c>
      <c r="E557" s="40"/>
      <c r="F557" s="45" t="str">
        <f t="shared" si="18"/>
        <v/>
      </c>
      <c r="G557" s="30"/>
      <c r="H557" s="31"/>
      <c r="I557" s="50"/>
      <c r="J557" s="40"/>
      <c r="K557" s="40"/>
      <c r="L557" s="51"/>
      <c r="M557" s="52"/>
      <c r="N557" s="50"/>
      <c r="P557" s="55" t="str">
        <f t="shared" si="17"/>
        <v/>
      </c>
      <c r="AC557" s="15" t="s">
        <v>393</v>
      </c>
    </row>
    <row r="558" spans="2:29" x14ac:dyDescent="0.25">
      <c r="B558" s="28">
        <f>[1]DataLookUp!$B558</f>
        <v>25000000000555</v>
      </c>
      <c r="C558" s="29" t="str">
        <f>VLOOKUP(B558, [1]DataLookUp!$B$4:$D$621, 2, FALSE)</f>
        <v>Wartono</v>
      </c>
      <c r="D558" s="29" t="str">
        <f>VLOOKUP(B558, [1]DataLookUp!$B$4:$D$621, 3, FALSE)</f>
        <v/>
      </c>
      <c r="E558" s="40"/>
      <c r="F558" s="45" t="str">
        <f t="shared" si="18"/>
        <v/>
      </c>
      <c r="G558" s="30"/>
      <c r="H558" s="31"/>
      <c r="I558" s="50"/>
      <c r="J558" s="40"/>
      <c r="K558" s="40"/>
      <c r="L558" s="51"/>
      <c r="M558" s="52"/>
      <c r="N558" s="50"/>
      <c r="P558" s="55" t="str">
        <f t="shared" si="17"/>
        <v/>
      </c>
      <c r="AC558" s="15" t="s">
        <v>347</v>
      </c>
    </row>
    <row r="559" spans="2:29" x14ac:dyDescent="0.25">
      <c r="B559" s="28">
        <f>[1]DataLookUp!$B559</f>
        <v>25000000000556</v>
      </c>
      <c r="C559" s="29" t="str">
        <f>VLOOKUP(B559, [1]DataLookUp!$B$4:$D$621, 2, FALSE)</f>
        <v>Yusarman</v>
      </c>
      <c r="D559" s="29" t="str">
        <f>VLOOKUP(B559, [1]DataLookUp!$B$4:$D$621, 3, FALSE)</f>
        <v/>
      </c>
      <c r="E559" s="40"/>
      <c r="F559" s="45" t="str">
        <f t="shared" si="18"/>
        <v/>
      </c>
      <c r="G559" s="30"/>
      <c r="H559" s="31"/>
      <c r="I559" s="50"/>
      <c r="J559" s="40"/>
      <c r="K559" s="40"/>
      <c r="L559" s="51"/>
      <c r="M559" s="52"/>
      <c r="N559" s="50"/>
      <c r="P559" s="55" t="str">
        <f t="shared" si="17"/>
        <v/>
      </c>
      <c r="AC559" s="15" t="s">
        <v>338</v>
      </c>
    </row>
    <row r="560" spans="2:29" x14ac:dyDescent="0.25">
      <c r="B560" s="28">
        <f>[1]DataLookUp!$B560</f>
        <v>25000000000557</v>
      </c>
      <c r="C560" s="29" t="str">
        <f>VLOOKUP(B560, [1]DataLookUp!$B$4:$D$621, 2, FALSE)</f>
        <v>Abdul Rachman</v>
      </c>
      <c r="D560" s="29" t="str">
        <f>VLOOKUP(B560, [1]DataLookUp!$B$4:$D$621, 3, FALSE)</f>
        <v/>
      </c>
      <c r="E560" s="40"/>
      <c r="F560" s="45" t="str">
        <f t="shared" si="18"/>
        <v/>
      </c>
      <c r="G560" s="30"/>
      <c r="H560" s="31"/>
      <c r="I560" s="50"/>
      <c r="J560" s="40"/>
      <c r="K560" s="40"/>
      <c r="L560" s="51"/>
      <c r="M560" s="52"/>
      <c r="N560" s="50"/>
      <c r="P560" s="55" t="str">
        <f t="shared" si="17"/>
        <v/>
      </c>
      <c r="AC560" s="15" t="s">
        <v>339</v>
      </c>
    </row>
    <row r="561" spans="2:30" x14ac:dyDescent="0.25">
      <c r="B561" s="28">
        <f>[1]DataLookUp!$B561</f>
        <v>25000000000558</v>
      </c>
      <c r="C561" s="29" t="str">
        <f>VLOOKUP(B561, [1]DataLookUp!$B$4:$D$621, 2, FALSE)</f>
        <v>Aden Bagus</v>
      </c>
      <c r="D561" s="29" t="str">
        <f>VLOOKUP(B561, [1]DataLookUp!$B$4:$D$621, 3, FALSE)</f>
        <v/>
      </c>
      <c r="E561" s="40"/>
      <c r="F561" s="45" t="str">
        <f t="shared" si="18"/>
        <v/>
      </c>
      <c r="G561" s="30"/>
      <c r="H561" s="31"/>
      <c r="I561" s="50"/>
      <c r="J561" s="40"/>
      <c r="K561" s="40"/>
      <c r="L561" s="51"/>
      <c r="M561" s="52"/>
      <c r="N561" s="50"/>
      <c r="P561" s="55" t="str">
        <f t="shared" si="17"/>
        <v/>
      </c>
      <c r="AC561" s="15" t="s">
        <v>340</v>
      </c>
    </row>
    <row r="562" spans="2:30" ht="25.5" x14ac:dyDescent="0.25">
      <c r="B562" s="28">
        <f>[1]DataLookUp!$B562</f>
        <v>25000000000559</v>
      </c>
      <c r="C562" s="29" t="str">
        <f>VLOOKUP(B562, [1]DataLookUp!$B$4:$D$621, 2, FALSE)</f>
        <v>Adhe Kurniawan</v>
      </c>
      <c r="D562" s="29" t="str">
        <f>VLOOKUP(B562, [1]DataLookUp!$B$4:$D$621, 3, FALSE)</f>
        <v>3216050912800006</v>
      </c>
      <c r="E562" s="40" t="s">
        <v>179</v>
      </c>
      <c r="F562" s="45">
        <f t="shared" si="18"/>
        <v>156000000000001</v>
      </c>
      <c r="G562" s="30" t="s">
        <v>16</v>
      </c>
      <c r="H562" s="31">
        <v>29564</v>
      </c>
      <c r="I562" s="50" t="s">
        <v>290</v>
      </c>
      <c r="J562" s="40"/>
      <c r="K562" s="40"/>
      <c r="L562" s="51" t="s">
        <v>291</v>
      </c>
      <c r="M562" s="52">
        <v>24000000027002</v>
      </c>
      <c r="N562" s="50"/>
      <c r="P562" s="55" t="str">
        <f t="shared" si="17"/>
        <v xml:space="preserve">PERFORM "SchData-OLTP-Master"."Func_TblCitizenIdentity_SET"(varSystemLoginSession, null, null, null, varInstitutionBranchID, 25000000000559::bigint, 'Adhe Kurniawan'::varchar, '3216050912800006'::varchar, 156000000000001::bigint, NULL::bigint, '1980-12-09'::timestamp, NULL::bigint, NULL::bigint, NULL::bigint, NULL::bigint,  24000000027002::bigint, NULL::bigint, NULL::bigint, NULL::bigint, 'Bumi Anggrek Blok M No.153'::varchar, NULL::smallint, NULL::smallint);
</v>
      </c>
      <c r="AC562" s="15" t="s">
        <v>341</v>
      </c>
    </row>
    <row r="563" spans="2:30" x14ac:dyDescent="0.25">
      <c r="B563" s="28">
        <f>[1]DataLookUp!$B563</f>
        <v>25000000000560</v>
      </c>
      <c r="C563" s="29" t="str">
        <f>VLOOKUP(B563, [1]DataLookUp!$B$4:$D$621, 2, FALSE)</f>
        <v>Ahmad Fauzi</v>
      </c>
      <c r="D563" s="29" t="str">
        <f>VLOOKUP(B563, [1]DataLookUp!$B$4:$D$621, 3, FALSE)</f>
        <v/>
      </c>
      <c r="E563" s="40"/>
      <c r="F563" s="45" t="str">
        <f t="shared" si="18"/>
        <v/>
      </c>
      <c r="G563" s="30"/>
      <c r="H563" s="31"/>
      <c r="I563" s="50"/>
      <c r="J563" s="40"/>
      <c r="K563" s="40"/>
      <c r="L563" s="51"/>
      <c r="M563" s="52"/>
      <c r="N563" s="50"/>
      <c r="P563" s="55" t="str">
        <f t="shared" si="17"/>
        <v/>
      </c>
      <c r="AC563" s="15" t="s">
        <v>342</v>
      </c>
    </row>
    <row r="564" spans="2:30" x14ac:dyDescent="0.25">
      <c r="B564" s="28">
        <f>[1]DataLookUp!$B564</f>
        <v>25000000000561</v>
      </c>
      <c r="C564" s="29" t="str">
        <f>VLOOKUP(B564, [1]DataLookUp!$B$4:$D$621, 2, FALSE)</f>
        <v>Ahmad Gunawan</v>
      </c>
      <c r="D564" s="29" t="str">
        <f>VLOOKUP(B564, [1]DataLookUp!$B$4:$D$621, 3, FALSE)</f>
        <v/>
      </c>
      <c r="E564" s="40"/>
      <c r="F564" s="45" t="str">
        <f t="shared" si="18"/>
        <v/>
      </c>
      <c r="G564" s="30"/>
      <c r="H564" s="31"/>
      <c r="I564" s="50"/>
      <c r="J564" s="40"/>
      <c r="K564" s="40"/>
      <c r="L564" s="51"/>
      <c r="M564" s="52"/>
      <c r="N564" s="50"/>
      <c r="P564" s="55" t="str">
        <f t="shared" si="17"/>
        <v/>
      </c>
      <c r="AC564" s="15" t="s">
        <v>344</v>
      </c>
    </row>
    <row r="565" spans="2:30" x14ac:dyDescent="0.25">
      <c r="B565" s="28">
        <f>[1]DataLookUp!$B565</f>
        <v>25000000000562</v>
      </c>
      <c r="C565" s="29" t="str">
        <f>VLOOKUP(B565, [1]DataLookUp!$B$4:$D$621, 2, FALSE)</f>
        <v>Andri Andriyan</v>
      </c>
      <c r="D565" s="29" t="str">
        <f>VLOOKUP(B565, [1]DataLookUp!$B$4:$D$621, 3, FALSE)</f>
        <v/>
      </c>
      <c r="E565" s="40"/>
      <c r="F565" s="45" t="str">
        <f t="shared" si="18"/>
        <v/>
      </c>
      <c r="G565" s="30"/>
      <c r="H565" s="31"/>
      <c r="I565" s="50"/>
      <c r="J565" s="40"/>
      <c r="K565" s="40"/>
      <c r="L565" s="51"/>
      <c r="M565" s="52"/>
      <c r="N565" s="50"/>
      <c r="P565" s="55" t="str">
        <f t="shared" si="17"/>
        <v/>
      </c>
      <c r="AC565" s="15" t="s">
        <v>347</v>
      </c>
    </row>
    <row r="566" spans="2:30" x14ac:dyDescent="0.25">
      <c r="B566" s="28">
        <f>[1]DataLookUp!$B566</f>
        <v>25000000000563</v>
      </c>
      <c r="C566" s="29" t="str">
        <f>VLOOKUP(B566, [1]DataLookUp!$B$4:$D$621, 2, FALSE)</f>
        <v>Budi Sulistianto</v>
      </c>
      <c r="D566" s="29" t="str">
        <f>VLOOKUP(B566, [1]DataLookUp!$B$4:$D$621, 3, FALSE)</f>
        <v/>
      </c>
      <c r="E566" s="40"/>
      <c r="F566" s="45" t="str">
        <f t="shared" si="18"/>
        <v/>
      </c>
      <c r="G566" s="30"/>
      <c r="H566" s="31"/>
      <c r="I566" s="50"/>
      <c r="J566" s="40"/>
      <c r="K566" s="40"/>
      <c r="L566" s="51"/>
      <c r="M566" s="52"/>
      <c r="N566" s="50"/>
      <c r="P566" s="55" t="str">
        <f t="shared" si="17"/>
        <v/>
      </c>
      <c r="AC566" s="15" t="s">
        <v>353</v>
      </c>
    </row>
    <row r="567" spans="2:30" x14ac:dyDescent="0.25">
      <c r="B567" s="28">
        <f>[1]DataLookUp!$B567</f>
        <v>25000000000564</v>
      </c>
      <c r="C567" s="29" t="str">
        <f>VLOOKUP(B567, [1]DataLookUp!$B$4:$D$621, 2, FALSE)</f>
        <v>Eka Budi</v>
      </c>
      <c r="D567" s="29" t="str">
        <f>VLOOKUP(B567, [1]DataLookUp!$B$4:$D$621, 3, FALSE)</f>
        <v/>
      </c>
      <c r="E567" s="40"/>
      <c r="F567" s="45" t="str">
        <f t="shared" si="18"/>
        <v/>
      </c>
      <c r="G567" s="30"/>
      <c r="H567" s="31"/>
      <c r="I567" s="50"/>
      <c r="J567" s="40"/>
      <c r="K567" s="40"/>
      <c r="L567" s="51"/>
      <c r="M567" s="52"/>
      <c r="N567" s="50"/>
      <c r="P567" s="55" t="str">
        <f t="shared" si="17"/>
        <v/>
      </c>
      <c r="AC567" s="15" t="s">
        <v>394</v>
      </c>
    </row>
    <row r="568" spans="2:30" x14ac:dyDescent="0.25">
      <c r="B568" s="28">
        <f>[1]DataLookUp!$B568</f>
        <v>25000000000565</v>
      </c>
      <c r="C568" s="29" t="str">
        <f>VLOOKUP(B568, [1]DataLookUp!$B$4:$D$621, 2, FALSE)</f>
        <v>Eka Kurniawan</v>
      </c>
      <c r="D568" s="29" t="str">
        <f>VLOOKUP(B568, [1]DataLookUp!$B$4:$D$621, 3, FALSE)</f>
        <v/>
      </c>
      <c r="E568" s="40"/>
      <c r="F568" s="45" t="str">
        <f t="shared" si="18"/>
        <v/>
      </c>
      <c r="G568" s="30"/>
      <c r="H568" s="31"/>
      <c r="I568" s="50"/>
      <c r="J568" s="40"/>
      <c r="K568" s="40"/>
      <c r="L568" s="51"/>
      <c r="M568" s="52"/>
      <c r="N568" s="50"/>
      <c r="P568" s="55" t="str">
        <f t="shared" si="17"/>
        <v/>
      </c>
      <c r="AC568" s="15" t="s">
        <v>353</v>
      </c>
    </row>
    <row r="569" spans="2:30" x14ac:dyDescent="0.25">
      <c r="B569" s="28">
        <f>[1]DataLookUp!$B569</f>
        <v>25000000000566</v>
      </c>
      <c r="C569" s="29" t="str">
        <f>VLOOKUP(B569, [1]DataLookUp!$B$4:$D$621, 2, FALSE)</f>
        <v>Haerul Gunawan</v>
      </c>
      <c r="D569" s="29" t="str">
        <f>VLOOKUP(B569, [1]DataLookUp!$B$4:$D$621, 3, FALSE)</f>
        <v/>
      </c>
      <c r="E569" s="40"/>
      <c r="F569" s="45" t="str">
        <f t="shared" si="18"/>
        <v/>
      </c>
      <c r="G569" s="30"/>
      <c r="H569" s="31"/>
      <c r="I569" s="50"/>
      <c r="J569" s="40"/>
      <c r="K569" s="40"/>
      <c r="L569" s="51"/>
      <c r="M569" s="52"/>
      <c r="N569" s="50"/>
      <c r="P569" s="55" t="str">
        <f t="shared" si="17"/>
        <v/>
      </c>
      <c r="AC569" s="15" t="s">
        <v>395</v>
      </c>
    </row>
    <row r="570" spans="2:30" x14ac:dyDescent="0.25">
      <c r="B570" s="28">
        <f>[1]DataLookUp!$B570</f>
        <v>25000000000567</v>
      </c>
      <c r="C570" s="29" t="str">
        <f>VLOOKUP(B570, [1]DataLookUp!$B$4:$D$621, 2, FALSE)</f>
        <v>Irvan Agus</v>
      </c>
      <c r="D570" s="29" t="str">
        <f>VLOOKUP(B570, [1]DataLookUp!$B$4:$D$621, 3, FALSE)</f>
        <v/>
      </c>
      <c r="E570" s="40"/>
      <c r="F570" s="45" t="str">
        <f t="shared" si="18"/>
        <v/>
      </c>
      <c r="G570" s="30"/>
      <c r="H570" s="31"/>
      <c r="I570" s="50"/>
      <c r="J570" s="40"/>
      <c r="K570" s="40"/>
      <c r="L570" s="51"/>
      <c r="M570" s="52"/>
      <c r="N570" s="50"/>
      <c r="P570" s="55" t="str">
        <f t="shared" si="17"/>
        <v/>
      </c>
      <c r="AC570" s="15" t="s">
        <v>376</v>
      </c>
    </row>
    <row r="571" spans="2:30" x14ac:dyDescent="0.25">
      <c r="B571" s="28">
        <f>[1]DataLookUp!$B571</f>
        <v>25000000000568</v>
      </c>
      <c r="C571" s="29" t="str">
        <f>VLOOKUP(B571, [1]DataLookUp!$B$4:$D$621, 2, FALSE)</f>
        <v>Joshika Pradirga</v>
      </c>
      <c r="D571" s="29" t="str">
        <f>VLOOKUP(B571, [1]DataLookUp!$B$4:$D$621, 3, FALSE)</f>
        <v/>
      </c>
      <c r="E571" s="40"/>
      <c r="F571" s="45" t="str">
        <f t="shared" si="18"/>
        <v/>
      </c>
      <c r="G571" s="30"/>
      <c r="H571" s="31"/>
      <c r="I571" s="50"/>
      <c r="J571" s="40"/>
      <c r="K571" s="40"/>
      <c r="L571" s="51"/>
      <c r="M571" s="52"/>
      <c r="N571" s="50"/>
      <c r="P571" s="55" t="str">
        <f t="shared" si="17"/>
        <v/>
      </c>
      <c r="AD571" s="15" t="s">
        <v>396</v>
      </c>
    </row>
    <row r="572" spans="2:30" x14ac:dyDescent="0.25">
      <c r="B572" s="28">
        <f>[1]DataLookUp!$B572</f>
        <v>25000000000569</v>
      </c>
      <c r="C572" s="29" t="str">
        <f>VLOOKUP(B572, [1]DataLookUp!$B$4:$D$621, 2, FALSE)</f>
        <v>Khaidir</v>
      </c>
      <c r="D572" s="29" t="str">
        <f>VLOOKUP(B572, [1]DataLookUp!$B$4:$D$621, 3, FALSE)</f>
        <v/>
      </c>
      <c r="E572" s="40"/>
      <c r="F572" s="45" t="str">
        <f t="shared" si="18"/>
        <v/>
      </c>
      <c r="G572" s="30"/>
      <c r="H572" s="31"/>
      <c r="I572" s="50"/>
      <c r="J572" s="40"/>
      <c r="K572" s="40"/>
      <c r="L572" s="51"/>
      <c r="M572" s="52"/>
      <c r="N572" s="50"/>
      <c r="P572" s="55" t="str">
        <f t="shared" si="17"/>
        <v/>
      </c>
      <c r="AD572" s="15" t="s">
        <v>397</v>
      </c>
    </row>
    <row r="573" spans="2:30" x14ac:dyDescent="0.25">
      <c r="B573" s="28">
        <f>[1]DataLookUp!$B573</f>
        <v>25000000000570</v>
      </c>
      <c r="C573" s="29" t="str">
        <f>VLOOKUP(B573, [1]DataLookUp!$B$4:$D$621, 2, FALSE)</f>
        <v>Latip Muhlanto</v>
      </c>
      <c r="D573" s="29" t="str">
        <f>VLOOKUP(B573, [1]DataLookUp!$B$4:$D$621, 3, FALSE)</f>
        <v/>
      </c>
      <c r="E573" s="40"/>
      <c r="F573" s="45" t="str">
        <f t="shared" si="18"/>
        <v/>
      </c>
      <c r="G573" s="30"/>
      <c r="H573" s="31"/>
      <c r="I573" s="50"/>
      <c r="J573" s="40"/>
      <c r="K573" s="40"/>
      <c r="L573" s="51"/>
      <c r="M573" s="52"/>
      <c r="N573" s="50"/>
      <c r="P573" s="55" t="str">
        <f t="shared" si="17"/>
        <v/>
      </c>
      <c r="AD573" s="15" t="s">
        <v>398</v>
      </c>
    </row>
    <row r="574" spans="2:30" x14ac:dyDescent="0.25">
      <c r="B574" s="28">
        <f>[1]DataLookUp!$B574</f>
        <v>25000000000571</v>
      </c>
      <c r="C574" s="29" t="str">
        <f>VLOOKUP(B574, [1]DataLookUp!$B$4:$D$621, 2, FALSE)</f>
        <v>Leonardo Putra</v>
      </c>
      <c r="D574" s="29" t="str">
        <f>VLOOKUP(B574, [1]DataLookUp!$B$4:$D$621, 3, FALSE)</f>
        <v/>
      </c>
      <c r="E574" s="40"/>
      <c r="F574" s="45" t="str">
        <f t="shared" si="18"/>
        <v/>
      </c>
      <c r="G574" s="30"/>
      <c r="H574" s="31"/>
      <c r="I574" s="50"/>
      <c r="J574" s="40"/>
      <c r="K574" s="40"/>
      <c r="L574" s="51"/>
      <c r="M574" s="52"/>
      <c r="N574" s="50"/>
      <c r="P574" s="55" t="str">
        <f t="shared" si="17"/>
        <v/>
      </c>
      <c r="AD574" s="15" t="s">
        <v>399</v>
      </c>
    </row>
    <row r="575" spans="2:30" x14ac:dyDescent="0.25">
      <c r="B575" s="28">
        <f>[1]DataLookUp!$B575</f>
        <v>25000000000572</v>
      </c>
      <c r="C575" s="29" t="str">
        <f>VLOOKUP(B575, [1]DataLookUp!$B$4:$D$621, 2, FALSE)</f>
        <v>Muhammad Ramadani</v>
      </c>
      <c r="D575" s="29" t="str">
        <f>VLOOKUP(B575, [1]DataLookUp!$B$4:$D$621, 3, FALSE)</f>
        <v/>
      </c>
      <c r="E575" s="40"/>
      <c r="F575" s="45" t="str">
        <f t="shared" si="18"/>
        <v/>
      </c>
      <c r="G575" s="30"/>
      <c r="H575" s="31"/>
      <c r="I575" s="50"/>
      <c r="J575" s="40"/>
      <c r="K575" s="40"/>
      <c r="L575" s="51"/>
      <c r="M575" s="52"/>
      <c r="N575" s="50"/>
      <c r="P575" s="55" t="str">
        <f t="shared" si="17"/>
        <v/>
      </c>
      <c r="AD575" s="15" t="s">
        <v>364</v>
      </c>
    </row>
    <row r="576" spans="2:30" x14ac:dyDescent="0.25">
      <c r="B576" s="28">
        <f>[1]DataLookUp!$B576</f>
        <v>25000000000573</v>
      </c>
      <c r="C576" s="29" t="str">
        <f>VLOOKUP(B576, [1]DataLookUp!$B$4:$D$621, 2, FALSE)</f>
        <v>Musdalipa</v>
      </c>
      <c r="D576" s="29" t="str">
        <f>VLOOKUP(B576, [1]DataLookUp!$B$4:$D$621, 3, FALSE)</f>
        <v/>
      </c>
      <c r="E576" s="40"/>
      <c r="F576" s="45" t="str">
        <f t="shared" si="18"/>
        <v/>
      </c>
      <c r="G576" s="30"/>
      <c r="H576" s="31"/>
      <c r="I576" s="50"/>
      <c r="J576" s="40"/>
      <c r="K576" s="40"/>
      <c r="L576" s="51"/>
      <c r="M576" s="52"/>
      <c r="N576" s="50"/>
      <c r="P576" s="55" t="str">
        <f t="shared" si="17"/>
        <v/>
      </c>
      <c r="AC576" s="15" t="s">
        <v>364</v>
      </c>
    </row>
    <row r="577" spans="2:31" x14ac:dyDescent="0.25">
      <c r="B577" s="28">
        <f>[1]DataLookUp!$B577</f>
        <v>25000000000574</v>
      </c>
      <c r="C577" s="29" t="str">
        <f>VLOOKUP(B577, [1]DataLookUp!$B$4:$D$621, 2, FALSE)</f>
        <v>Nico Melky</v>
      </c>
      <c r="D577" s="29" t="str">
        <f>VLOOKUP(B577, [1]DataLookUp!$B$4:$D$621, 3, FALSE)</f>
        <v/>
      </c>
      <c r="E577" s="40"/>
      <c r="F577" s="45" t="str">
        <f t="shared" si="18"/>
        <v/>
      </c>
      <c r="G577" s="30"/>
      <c r="H577" s="31"/>
      <c r="I577" s="50"/>
      <c r="J577" s="40"/>
      <c r="K577" s="40"/>
      <c r="L577" s="51"/>
      <c r="M577" s="52"/>
      <c r="N577" s="50"/>
      <c r="P577" s="55" t="str">
        <f t="shared" si="17"/>
        <v/>
      </c>
      <c r="AC577" s="15" t="s">
        <v>400</v>
      </c>
    </row>
    <row r="578" spans="2:31" x14ac:dyDescent="0.25">
      <c r="B578" s="28">
        <f>[1]DataLookUp!$B578</f>
        <v>25000000000575</v>
      </c>
      <c r="C578" s="29" t="str">
        <f>VLOOKUP(B578, [1]DataLookUp!$B$4:$D$621, 2, FALSE)</f>
        <v>Rahmata Novanisa</v>
      </c>
      <c r="D578" s="29" t="str">
        <f>VLOOKUP(B578, [1]DataLookUp!$B$4:$D$621, 3, FALSE)</f>
        <v>3404026711900001</v>
      </c>
      <c r="E578" s="40" t="s">
        <v>180</v>
      </c>
      <c r="F578" s="45">
        <f t="shared" si="18"/>
        <v>156000000000002</v>
      </c>
      <c r="G578" s="30" t="s">
        <v>15</v>
      </c>
      <c r="H578" s="31">
        <v>33204</v>
      </c>
      <c r="I578" s="50" t="s">
        <v>250</v>
      </c>
      <c r="J578" s="40" t="s">
        <v>188</v>
      </c>
      <c r="K578" s="40" t="s">
        <v>204</v>
      </c>
      <c r="L578" s="51" t="s">
        <v>249</v>
      </c>
      <c r="M578" s="52">
        <v>24000000049988</v>
      </c>
      <c r="N578" s="50"/>
      <c r="P578" s="55" t="str">
        <f t="shared" si="17"/>
        <v xml:space="preserve">PERFORM "SchData-OLTP-Master"."Func_TblCitizenIdentity_SET"(varSystemLoginSession, null, null, null, varInstitutionBranchID, 25000000000575::bigint, 'Rahmata Novanisa'::varchar, '3404026711900001'::varchar, 156000000000002::bigint, NULL::bigint, '1990-11-27'::timestamp, NULL::bigint, NULL::bigint, NULL::bigint, NULL::bigint,  24000000049988::bigint, NULL::bigint, NULL::bigint, NULL::bigint, 'Sarirejo No. 138 Meguwo'::varchar, 6::smallint, 4::smallint);
</v>
      </c>
      <c r="AB578" s="15" t="s">
        <v>352</v>
      </c>
    </row>
    <row r="579" spans="2:31" x14ac:dyDescent="0.25">
      <c r="B579" s="28">
        <f>[1]DataLookUp!$B579</f>
        <v>25000000000576</v>
      </c>
      <c r="C579" s="29" t="str">
        <f>VLOOKUP(B579, [1]DataLookUp!$B$4:$D$621, 2, FALSE)</f>
        <v>Satrio Dhiaputra</v>
      </c>
      <c r="D579" s="29" t="str">
        <f>VLOOKUP(B579, [1]DataLookUp!$B$4:$D$621, 3, FALSE)</f>
        <v/>
      </c>
      <c r="E579" s="40"/>
      <c r="F579" s="45" t="str">
        <f t="shared" si="18"/>
        <v/>
      </c>
      <c r="G579" s="30"/>
      <c r="H579" s="31"/>
      <c r="I579" s="50"/>
      <c r="J579" s="40"/>
      <c r="K579" s="40"/>
      <c r="L579" s="51"/>
      <c r="M579" s="52"/>
      <c r="N579" s="50"/>
      <c r="P579" s="55" t="str">
        <f t="shared" si="17"/>
        <v/>
      </c>
      <c r="AC579" s="15" t="s">
        <v>353</v>
      </c>
    </row>
    <row r="580" spans="2:31" x14ac:dyDescent="0.25">
      <c r="B580" s="28">
        <f>[1]DataLookUp!$B580</f>
        <v>25000000000577</v>
      </c>
      <c r="C580" s="29" t="str">
        <f>VLOOKUP(B580, [1]DataLookUp!$B$4:$D$621, 2, FALSE)</f>
        <v>Sudirman</v>
      </c>
      <c r="D580" s="29" t="str">
        <f>VLOOKUP(B580, [1]DataLookUp!$B$4:$D$621, 3, FALSE)</f>
        <v/>
      </c>
      <c r="E580" s="40"/>
      <c r="F580" s="45" t="str">
        <f t="shared" si="18"/>
        <v/>
      </c>
      <c r="G580" s="30"/>
      <c r="H580" s="31"/>
      <c r="I580" s="50"/>
      <c r="J580" s="40"/>
      <c r="K580" s="40"/>
      <c r="L580" s="51"/>
      <c r="M580" s="52"/>
      <c r="N580" s="50"/>
      <c r="P580" s="55" t="str">
        <f t="shared" si="17"/>
        <v/>
      </c>
      <c r="AC580" s="15" t="s">
        <v>337</v>
      </c>
    </row>
    <row r="581" spans="2:31" x14ac:dyDescent="0.25">
      <c r="B581" s="28">
        <f>[1]DataLookUp!$B581</f>
        <v>25000000000578</v>
      </c>
      <c r="C581" s="29" t="str">
        <f>VLOOKUP(B581, [1]DataLookUp!$B$4:$D$621, 2, FALSE)</f>
        <v>Suparji</v>
      </c>
      <c r="D581" s="29" t="str">
        <f>VLOOKUP(B581, [1]DataLookUp!$B$4:$D$621, 3, FALSE)</f>
        <v/>
      </c>
      <c r="E581" s="40"/>
      <c r="F581" s="45" t="str">
        <f t="shared" si="18"/>
        <v/>
      </c>
      <c r="G581" s="30"/>
      <c r="H581" s="31"/>
      <c r="I581" s="50"/>
      <c r="J581" s="40"/>
      <c r="K581" s="40"/>
      <c r="L581" s="51"/>
      <c r="M581" s="52"/>
      <c r="N581" s="50"/>
      <c r="P581" s="55" t="str">
        <f t="shared" ref="P581:P620" si="19">IF(EXACT(D581, ""), "", CONCATENATE("PERFORM ""SchData-OLTP-Master"".""Func_TblCitizenIdentity_SET""(varSystemLoginSession, null, null, null, varInstitutionBranchID, ",  IF(EXACT(B581, ""), "NULL", B581), "::bigint, '", C581, "'::varchar, '", D581, "'::varchar, ", IF(EXACT(F581, ""), "NULL", F581), "::bigint, ", "NULL", "::bigint, '", TEXT(H581, "YYYY-MM-DD"), "'::timestamp, ", "NULL", "::bigint, ", "NULL", "::bigint, ", "NULL", "::bigint, ", "NULL", "::bigint,  ", IF(EXACT(M581, ""), "NULL", M581), "::bigint, ", "NULL", "::bigint, ", "NULL", "::bigint, ", "NULL", "::bigint, '", CONCATENATE(I581, IF(EXACT(M581, ""), " "&amp;L581, "")), "'::varchar, ", IF(EXACT(J581, ""), "NULL", J581*1), "::smallint, ", IF(EXACT(K581, ""), "NULL", K581*1), "::smallint);
"))</f>
        <v/>
      </c>
      <c r="AD581" s="15" t="s">
        <v>393</v>
      </c>
    </row>
    <row r="582" spans="2:31" x14ac:dyDescent="0.25">
      <c r="B582" s="28">
        <f>[1]DataLookUp!$B582</f>
        <v>25000000000579</v>
      </c>
      <c r="C582" s="29" t="str">
        <f>VLOOKUP(B582, [1]DataLookUp!$B$4:$D$621, 2, FALSE)</f>
        <v>Taufik Iskandar</v>
      </c>
      <c r="D582" s="29" t="str">
        <f>VLOOKUP(B582, [1]DataLookUp!$B$4:$D$621, 3, FALSE)</f>
        <v/>
      </c>
      <c r="E582" s="40"/>
      <c r="F582" s="45" t="str">
        <f t="shared" si="18"/>
        <v/>
      </c>
      <c r="G582" s="30"/>
      <c r="H582" s="31"/>
      <c r="I582" s="50"/>
      <c r="J582" s="40"/>
      <c r="K582" s="40"/>
      <c r="L582" s="51"/>
      <c r="M582" s="52"/>
      <c r="N582" s="50"/>
      <c r="P582" s="55" t="str">
        <f t="shared" si="19"/>
        <v/>
      </c>
      <c r="AD582" s="15" t="s">
        <v>347</v>
      </c>
    </row>
    <row r="583" spans="2:31" ht="25.5" x14ac:dyDescent="0.25">
      <c r="B583" s="28">
        <f>[1]DataLookUp!$B583</f>
        <v>25000000000580</v>
      </c>
      <c r="C583" s="29" t="str">
        <f>VLOOKUP(B583, [1]DataLookUp!$B$4:$D$621, 2, FALSE)</f>
        <v>Tegar Hersaputra</v>
      </c>
      <c r="D583" s="29" t="str">
        <f>VLOOKUP(B583, [1]DataLookUp!$B$4:$D$621, 3, FALSE)</f>
        <v>3578032706850002</v>
      </c>
      <c r="E583" s="40" t="s">
        <v>179</v>
      </c>
      <c r="F583" s="45">
        <f t="shared" si="18"/>
        <v>156000000000001</v>
      </c>
      <c r="G583" s="30" t="s">
        <v>14</v>
      </c>
      <c r="H583" s="31">
        <v>31225</v>
      </c>
      <c r="I583" s="51" t="s">
        <v>272</v>
      </c>
      <c r="J583" s="40" t="s">
        <v>183</v>
      </c>
      <c r="K583" s="40" t="s">
        <v>189</v>
      </c>
      <c r="L583" s="51" t="s">
        <v>271</v>
      </c>
      <c r="M583" s="52">
        <v>24000000032187</v>
      </c>
      <c r="N583" s="50"/>
      <c r="P583" s="55" t="str">
        <f t="shared" si="19"/>
        <v xml:space="preserve">PERFORM "SchData-OLTP-Master"."Func_TblCitizenIdentity_SET"(varSystemLoginSession, null, null, null, varInstitutionBranchID, 25000000000580::bigint, 'Tegar Hersaputra'::varchar, '3578032706850002'::varchar, 156000000000001::bigint, NULL::bigint, '1985-06-27'::timestamp, NULL::bigint, NULL::bigint, NULL::bigint, NULL::bigint,  24000000032187::bigint, NULL::bigint, NULL::bigint, NULL::bigint, 'Perum Puri Arsana, Jl. Raya Ciputat Sawangan No. A15'::varchar, 1::smallint, 7::smallint);
</v>
      </c>
      <c r="AD583" s="15" t="s">
        <v>338</v>
      </c>
    </row>
    <row r="584" spans="2:31" x14ac:dyDescent="0.25">
      <c r="B584" s="28">
        <f>[1]DataLookUp!$B584</f>
        <v>25000000000581</v>
      </c>
      <c r="C584" s="29" t="str">
        <f>VLOOKUP(B584, [1]DataLookUp!$B$4:$D$621, 2, FALSE)</f>
        <v>Togar Sihombing</v>
      </c>
      <c r="D584" s="29" t="str">
        <f>VLOOKUP(B584, [1]DataLookUp!$B$4:$D$621, 3, FALSE)</f>
        <v/>
      </c>
      <c r="E584" s="40"/>
      <c r="F584" s="45" t="str">
        <f t="shared" si="18"/>
        <v/>
      </c>
      <c r="G584" s="30"/>
      <c r="H584" s="31"/>
      <c r="I584" s="50"/>
      <c r="J584" s="40"/>
      <c r="K584" s="40"/>
      <c r="L584" s="51"/>
      <c r="M584" s="52"/>
      <c r="N584" s="50"/>
      <c r="P584" s="55" t="str">
        <f t="shared" si="19"/>
        <v/>
      </c>
      <c r="AD584" s="15" t="s">
        <v>339</v>
      </c>
    </row>
    <row r="585" spans="2:31" x14ac:dyDescent="0.25">
      <c r="B585" s="28">
        <f>[1]DataLookUp!$B585</f>
        <v>25000000000582</v>
      </c>
      <c r="C585" s="29" t="str">
        <f>VLOOKUP(B585, [1]DataLookUp!$B$4:$D$621, 2, FALSE)</f>
        <v>Wisnu Trenggono Wirayuda</v>
      </c>
      <c r="D585" s="29" t="str">
        <f>VLOOKUP(B585, [1]DataLookUp!$B$4:$D$621, 3, FALSE)</f>
        <v>3175042505000006</v>
      </c>
      <c r="E585" s="40" t="s">
        <v>179</v>
      </c>
      <c r="F585" s="45">
        <f t="shared" si="18"/>
        <v>156000000000001</v>
      </c>
      <c r="G585" s="30" t="s">
        <v>6</v>
      </c>
      <c r="H585" s="31">
        <v>36671</v>
      </c>
      <c r="I585" s="50" t="s">
        <v>278</v>
      </c>
      <c r="J585" s="40" t="s">
        <v>259</v>
      </c>
      <c r="K585" s="40" t="s">
        <v>192</v>
      </c>
      <c r="L585" s="51" t="s">
        <v>277</v>
      </c>
      <c r="M585" s="52">
        <v>24000000032552</v>
      </c>
      <c r="N585" s="50"/>
      <c r="P585" s="55" t="str">
        <f t="shared" si="19"/>
        <v xml:space="preserve">PERFORM "SchData-OLTP-Master"."Func_TblCitizenIdentity_SET"(varSystemLoginSession, null, null, null, varInstitutionBranchID, 25000000000582::bigint, 'Wisnu Trenggono Wirayuda'::varchar, '3175042505000006'::varchar, 156000000000001::bigint, NULL::bigint, '2000-05-25'::timestamp, NULL::bigint, NULL::bigint, NULL::bigint, NULL::bigint,  24000000032552::bigint, NULL::bigint, NULL::bigint, NULL::bigint, 'Jl. Batu Sari 1'::varchar, 10::smallint, 2::smallint);
</v>
      </c>
      <c r="AD585" s="15" t="s">
        <v>340</v>
      </c>
    </row>
    <row r="586" spans="2:31" x14ac:dyDescent="0.25">
      <c r="B586" s="28">
        <f>[1]DataLookUp!$B586</f>
        <v>25000000000583</v>
      </c>
      <c r="C586" s="29" t="str">
        <f>VLOOKUP(B586, [1]DataLookUp!$B$4:$D$621, 2, FALSE)</f>
        <v>Yogo</v>
      </c>
      <c r="D586" s="29" t="str">
        <f>VLOOKUP(B586, [1]DataLookUp!$B$4:$D$621, 3, FALSE)</f>
        <v/>
      </c>
      <c r="E586" s="40"/>
      <c r="F586" s="45" t="str">
        <f t="shared" si="18"/>
        <v/>
      </c>
      <c r="G586" s="30"/>
      <c r="H586" s="31"/>
      <c r="I586" s="50"/>
      <c r="J586" s="40"/>
      <c r="K586" s="40"/>
      <c r="L586" s="51"/>
      <c r="M586" s="52"/>
      <c r="N586" s="50"/>
      <c r="P586" s="55" t="str">
        <f t="shared" si="19"/>
        <v/>
      </c>
      <c r="AD586" s="15" t="s">
        <v>341</v>
      </c>
    </row>
    <row r="587" spans="2:31" x14ac:dyDescent="0.25">
      <c r="B587" s="28">
        <f>[1]DataLookUp!$B587</f>
        <v>25000000000584</v>
      </c>
      <c r="C587" s="29" t="str">
        <f>VLOOKUP(B587, [1]DataLookUp!$B$4:$D$621, 2, FALSE)</f>
        <v>Yustiana Firda</v>
      </c>
      <c r="D587" s="29" t="str">
        <f>VLOOKUP(B587, [1]DataLookUp!$B$4:$D$621, 3, FALSE)</f>
        <v/>
      </c>
      <c r="E587" s="40"/>
      <c r="F587" s="45" t="str">
        <f t="shared" ref="F587:F620" si="20">IF(EXACT(E587, ""), "", IF(EXACT(E587, "L"), 156000000000001, 156000000000002))</f>
        <v/>
      </c>
      <c r="G587" s="30"/>
      <c r="H587" s="31"/>
      <c r="I587" s="50"/>
      <c r="J587" s="40"/>
      <c r="K587" s="40"/>
      <c r="L587" s="51"/>
      <c r="M587" s="52"/>
      <c r="N587" s="50"/>
      <c r="P587" s="55" t="str">
        <f t="shared" si="19"/>
        <v/>
      </c>
      <c r="AD587" s="15" t="s">
        <v>342</v>
      </c>
    </row>
    <row r="588" spans="2:31" x14ac:dyDescent="0.25">
      <c r="B588" s="28">
        <f>[1]DataLookUp!$B588</f>
        <v>25000000000585</v>
      </c>
      <c r="C588" s="29" t="str">
        <f>VLOOKUP(B588, [1]DataLookUp!$B$4:$D$621, 2, FALSE)</f>
        <v>Zainal Abidin</v>
      </c>
      <c r="D588" s="29" t="str">
        <f>VLOOKUP(B588, [1]DataLookUp!$B$4:$D$621, 3, FALSE)</f>
        <v/>
      </c>
      <c r="E588" s="40"/>
      <c r="F588" s="45" t="str">
        <f t="shared" si="20"/>
        <v/>
      </c>
      <c r="G588" s="30"/>
      <c r="H588" s="31"/>
      <c r="I588" s="50"/>
      <c r="J588" s="40"/>
      <c r="K588" s="40"/>
      <c r="L588" s="51"/>
      <c r="M588" s="52"/>
      <c r="N588" s="50"/>
      <c r="P588" s="55" t="str">
        <f t="shared" si="19"/>
        <v/>
      </c>
      <c r="AD588" s="15" t="s">
        <v>344</v>
      </c>
    </row>
    <row r="589" spans="2:31" x14ac:dyDescent="0.25">
      <c r="B589" s="28">
        <f>[1]DataLookUp!$B589</f>
        <v>25000000000586</v>
      </c>
      <c r="C589" s="29" t="str">
        <f>VLOOKUP(B589, [1]DataLookUp!$B$4:$D$621, 2, FALSE)</f>
        <v>Budi Sandika</v>
      </c>
      <c r="D589" s="29" t="str">
        <f>VLOOKUP(B589, [1]DataLookUp!$B$4:$D$621, 3, FALSE)</f>
        <v/>
      </c>
      <c r="E589" s="40"/>
      <c r="F589" s="45" t="str">
        <f t="shared" si="20"/>
        <v/>
      </c>
      <c r="G589" s="30"/>
      <c r="H589" s="31"/>
      <c r="I589" s="50"/>
      <c r="J589" s="40"/>
      <c r="K589" s="40"/>
      <c r="L589" s="51"/>
      <c r="M589" s="52"/>
      <c r="N589" s="50"/>
      <c r="P589" s="55" t="str">
        <f t="shared" si="19"/>
        <v/>
      </c>
      <c r="AD589" s="15" t="s">
        <v>347</v>
      </c>
    </row>
    <row r="590" spans="2:31" x14ac:dyDescent="0.25">
      <c r="B590" s="28">
        <f>[1]DataLookUp!$B590</f>
        <v>25000000000587</v>
      </c>
      <c r="C590" s="29" t="str">
        <f>VLOOKUP(B590, [1]DataLookUp!$B$4:$D$621, 2, FALSE)</f>
        <v>Fachri Azhar</v>
      </c>
      <c r="D590" s="29" t="str">
        <f>VLOOKUP(B590, [1]DataLookUp!$B$4:$D$621, 3, FALSE)</f>
        <v/>
      </c>
      <c r="E590" s="40"/>
      <c r="F590" s="45" t="str">
        <f t="shared" si="20"/>
        <v/>
      </c>
      <c r="G590" s="30"/>
      <c r="H590" s="31"/>
      <c r="I590" s="50"/>
      <c r="J590" s="40"/>
      <c r="K590" s="40"/>
      <c r="L590" s="51"/>
      <c r="M590" s="52"/>
      <c r="N590" s="50"/>
      <c r="P590" s="55" t="str">
        <f t="shared" si="19"/>
        <v/>
      </c>
      <c r="AD590" s="15" t="s">
        <v>376</v>
      </c>
    </row>
    <row r="591" spans="2:31" x14ac:dyDescent="0.25">
      <c r="B591" s="28">
        <f>[1]DataLookUp!$B591</f>
        <v>25000000000588</v>
      </c>
      <c r="C591" s="29" t="str">
        <f>VLOOKUP(B591, [1]DataLookUp!$B$4:$D$621, 2, FALSE)</f>
        <v>Firmansyah Awaludin</v>
      </c>
      <c r="D591" s="29" t="str">
        <f>VLOOKUP(B591, [1]DataLookUp!$B$4:$D$621, 3, FALSE)</f>
        <v/>
      </c>
      <c r="E591" s="40"/>
      <c r="F591" s="45" t="str">
        <f t="shared" si="20"/>
        <v/>
      </c>
      <c r="G591" s="30"/>
      <c r="H591" s="31"/>
      <c r="I591" s="50"/>
      <c r="J591" s="40"/>
      <c r="K591" s="40"/>
      <c r="L591" s="51"/>
      <c r="M591" s="52"/>
      <c r="N591" s="50"/>
      <c r="P591" s="55" t="str">
        <f t="shared" si="19"/>
        <v/>
      </c>
      <c r="AE591" s="15" t="s">
        <v>401</v>
      </c>
    </row>
    <row r="592" spans="2:31" x14ac:dyDescent="0.25">
      <c r="B592" s="28">
        <f>[1]DataLookUp!$B592</f>
        <v>25000000000589</v>
      </c>
      <c r="C592" s="29" t="str">
        <f>VLOOKUP(B592, [1]DataLookUp!$B$4:$D$621, 2, FALSE)</f>
        <v>Iman Faisal Abdurahman</v>
      </c>
      <c r="D592" s="29" t="str">
        <f>VLOOKUP(B592, [1]DataLookUp!$B$4:$D$621, 3, FALSE)</f>
        <v>3201070101760014</v>
      </c>
      <c r="E592" s="40" t="s">
        <v>179</v>
      </c>
      <c r="F592" s="45">
        <f t="shared" si="20"/>
        <v>156000000000001</v>
      </c>
      <c r="G592" s="30" t="s">
        <v>13</v>
      </c>
      <c r="H592" s="31">
        <v>27760</v>
      </c>
      <c r="I592" s="50" t="s">
        <v>312</v>
      </c>
      <c r="J592" s="40" t="s">
        <v>183</v>
      </c>
      <c r="K592" s="40" t="s">
        <v>209</v>
      </c>
      <c r="L592" s="51" t="s">
        <v>311</v>
      </c>
      <c r="M592" s="52">
        <v>24000000027143</v>
      </c>
      <c r="N592" s="50"/>
      <c r="P592" s="55" t="str">
        <f t="shared" si="19"/>
        <v xml:space="preserve">PERFORM "SchData-OLTP-Master"."Func_TblCitizenIdentity_SET"(varSystemLoginSession, null, null, null, varInstitutionBranchID, 25000000000589::bigint, 'Iman Faisal Abdurahman'::varchar, '3201070101760014'::varchar, 156000000000001::bigint, NULL::bigint, '1976-01-01'::timestamp, NULL::bigint, NULL::bigint, NULL::bigint, NULL::bigint,  24000000027143::bigint, NULL::bigint, NULL::bigint, NULL::bigint, 'Kp. Cigorowong'::varchar, 1::smallint, 11::smallint);
</v>
      </c>
      <c r="AE592" s="15" t="s">
        <v>402</v>
      </c>
    </row>
    <row r="593" spans="2:31" x14ac:dyDescent="0.25">
      <c r="B593" s="28">
        <f>[1]DataLookUp!$B593</f>
        <v>25000000000590</v>
      </c>
      <c r="C593" s="29" t="str">
        <f>VLOOKUP(B593, [1]DataLookUp!$B$4:$D$621, 2, FALSE)</f>
        <v>Muhammad Irfan Alfikri Rayana</v>
      </c>
      <c r="D593" s="29" t="str">
        <f>VLOOKUP(B593, [1]DataLookUp!$B$4:$D$621, 3, FALSE)</f>
        <v/>
      </c>
      <c r="E593" s="40"/>
      <c r="F593" s="45" t="str">
        <f t="shared" si="20"/>
        <v/>
      </c>
      <c r="G593" s="30"/>
      <c r="H593" s="31"/>
      <c r="I593" s="50"/>
      <c r="J593" s="40"/>
      <c r="K593" s="40"/>
      <c r="L593" s="51"/>
      <c r="M593" s="52"/>
      <c r="N593" s="50"/>
      <c r="P593" s="55" t="str">
        <f t="shared" si="19"/>
        <v/>
      </c>
      <c r="AE593" s="15" t="s">
        <v>403</v>
      </c>
    </row>
    <row r="594" spans="2:31" x14ac:dyDescent="0.25">
      <c r="B594" s="28">
        <f>[1]DataLookUp!$B594</f>
        <v>25000000000591</v>
      </c>
      <c r="C594" s="29" t="str">
        <f>VLOOKUP(B594, [1]DataLookUp!$B$4:$D$621, 2, FALSE)</f>
        <v>Syafri Johansah</v>
      </c>
      <c r="D594" s="29" t="str">
        <f>VLOOKUP(B594, [1]DataLookUp!$B$4:$D$621, 3, FALSE)</f>
        <v/>
      </c>
      <c r="E594" s="40"/>
      <c r="F594" s="45" t="str">
        <f t="shared" si="20"/>
        <v/>
      </c>
      <c r="G594" s="30"/>
      <c r="H594" s="31"/>
      <c r="I594" s="50"/>
      <c r="J594" s="40"/>
      <c r="K594" s="40"/>
      <c r="L594" s="51"/>
      <c r="M594" s="52"/>
      <c r="N594" s="50"/>
      <c r="P594" s="55" t="str">
        <f t="shared" si="19"/>
        <v/>
      </c>
      <c r="AD594" s="15" t="s">
        <v>353</v>
      </c>
    </row>
    <row r="595" spans="2:31" x14ac:dyDescent="0.25">
      <c r="B595" s="28">
        <f>[1]DataLookUp!$B595</f>
        <v>25000000000592</v>
      </c>
      <c r="C595" s="29" t="str">
        <f>VLOOKUP(B595, [1]DataLookUp!$B$4:$D$621, 2, FALSE)</f>
        <v>Agus Sobar</v>
      </c>
      <c r="D595" s="29" t="str">
        <f>VLOOKUP(B595, [1]DataLookUp!$B$4:$D$621, 3, FALSE)</f>
        <v/>
      </c>
      <c r="E595" s="40"/>
      <c r="F595" s="45" t="str">
        <f t="shared" si="20"/>
        <v/>
      </c>
      <c r="G595" s="30"/>
      <c r="H595" s="31"/>
      <c r="I595" s="50"/>
      <c r="J595" s="40"/>
      <c r="K595" s="40"/>
      <c r="L595" s="51"/>
      <c r="M595" s="52"/>
      <c r="N595" s="50"/>
      <c r="P595" s="55" t="str">
        <f t="shared" si="19"/>
        <v/>
      </c>
      <c r="AD595" s="15" t="s">
        <v>394</v>
      </c>
    </row>
    <row r="596" spans="2:31" x14ac:dyDescent="0.25">
      <c r="B596" s="28">
        <f>[1]DataLookUp!$B596</f>
        <v>25000000000593</v>
      </c>
      <c r="C596" s="29" t="str">
        <f>VLOOKUP(B596, [1]DataLookUp!$B$4:$D$621, 2, FALSE)</f>
        <v>Ahmad Sandi Asyuri</v>
      </c>
      <c r="D596" s="29" t="str">
        <f>VLOOKUP(B596, [1]DataLookUp!$B$4:$D$621, 3, FALSE)</f>
        <v>3275063007960011</v>
      </c>
      <c r="E596" s="40" t="s">
        <v>179</v>
      </c>
      <c r="F596" s="45">
        <f t="shared" si="20"/>
        <v>156000000000001</v>
      </c>
      <c r="G596" s="30" t="s">
        <v>12</v>
      </c>
      <c r="H596" s="31">
        <v>35246</v>
      </c>
      <c r="I596" s="50" t="s">
        <v>193</v>
      </c>
      <c r="J596" s="40" t="s">
        <v>186</v>
      </c>
      <c r="K596" s="40" t="s">
        <v>186</v>
      </c>
      <c r="L596" s="51" t="s">
        <v>195</v>
      </c>
      <c r="M596" s="52">
        <v>24000000032056</v>
      </c>
      <c r="N596" s="50"/>
      <c r="P596" s="55" t="str">
        <f t="shared" si="19"/>
        <v xml:space="preserve">PERFORM "SchData-OLTP-Master"."Func_TblCitizenIdentity_SET"(varSystemLoginSession, null, null, null, varInstitutionBranchID, 25000000000593::bigint, 'Ahmad Sandi Asyuri'::varchar, '3275063007960011'::varchar, 156000000000001::bigint, NULL::bigint, '1996-06-30'::timestamp, NULL::bigint, NULL::bigint, NULL::bigint, NULL::bigint,  24000000032056::bigint, NULL::bigint, NULL::bigint, NULL::bigint, 'Jl. Arrahmah No. 29 '::varchar, 3::smallint, 3::smallint);
</v>
      </c>
      <c r="AD596" s="15" t="s">
        <v>353</v>
      </c>
    </row>
    <row r="597" spans="2:31" x14ac:dyDescent="0.25">
      <c r="B597" s="28">
        <f>[1]DataLookUp!$B597</f>
        <v>25000000000594</v>
      </c>
      <c r="C597" s="29" t="str">
        <f>VLOOKUP(B597, [1]DataLookUp!$B$4:$D$621, 2, FALSE)</f>
        <v>Andi Mapasoro</v>
      </c>
      <c r="D597" s="29" t="str">
        <f>VLOOKUP(B597, [1]DataLookUp!$B$4:$D$621, 3, FALSE)</f>
        <v>3172030304730004</v>
      </c>
      <c r="E597" s="40" t="s">
        <v>179</v>
      </c>
      <c r="F597" s="45">
        <f t="shared" si="20"/>
        <v>156000000000001</v>
      </c>
      <c r="G597" s="30" t="s">
        <v>11</v>
      </c>
      <c r="H597" s="31">
        <v>26757</v>
      </c>
      <c r="I597" s="50" t="s">
        <v>194</v>
      </c>
      <c r="J597" s="40" t="s">
        <v>183</v>
      </c>
      <c r="K597" s="40" t="s">
        <v>184</v>
      </c>
      <c r="L597" s="51" t="s">
        <v>185</v>
      </c>
      <c r="M597" s="52">
        <v>24000000032585</v>
      </c>
      <c r="N597" s="50"/>
      <c r="P597" s="55" t="str">
        <f t="shared" si="19"/>
        <v xml:space="preserve">PERFORM "SchData-OLTP-Master"."Func_TblCitizenIdentity_SET"(varSystemLoginSession, null, null, null, varInstitutionBranchID, 25000000000594::bigint, 'Andi Mapasoro'::varchar, '3172030304730004'::varchar, 156000000000001::bigint, NULL::bigint, '1973-04-03'::timestamp, NULL::bigint, NULL::bigint, NULL::bigint, NULL::bigint,  24000000032585::bigint, NULL::bigint, NULL::bigint, NULL::bigint, 'Jl. Lorong 1C No. 12A'::varchar, 1::smallint, 13::smallint);
</v>
      </c>
      <c r="AD597" s="15" t="s">
        <v>404</v>
      </c>
    </row>
    <row r="598" spans="2:31" x14ac:dyDescent="0.25">
      <c r="B598" s="28">
        <f>[1]DataLookUp!$B598</f>
        <v>25000000000595</v>
      </c>
      <c r="C598" s="29" t="str">
        <f>VLOOKUP(B598, [1]DataLookUp!$B$4:$D$621, 2, FALSE)</f>
        <v>Arie Gustaman</v>
      </c>
      <c r="D598" s="29" t="str">
        <f>VLOOKUP(B598, [1]DataLookUp!$B$4:$D$621, 3, FALSE)</f>
        <v/>
      </c>
      <c r="E598" s="40"/>
      <c r="F598" s="45" t="str">
        <f t="shared" si="20"/>
        <v/>
      </c>
      <c r="G598" s="30"/>
      <c r="H598" s="31"/>
      <c r="I598" s="50"/>
      <c r="J598" s="40"/>
      <c r="K598" s="40"/>
      <c r="L598" s="51"/>
      <c r="M598" s="52"/>
      <c r="N598" s="50"/>
      <c r="P598" s="55" t="str">
        <f t="shared" si="19"/>
        <v/>
      </c>
      <c r="AD598" s="15" t="s">
        <v>376</v>
      </c>
    </row>
    <row r="599" spans="2:31" x14ac:dyDescent="0.25">
      <c r="B599" s="28">
        <f>[1]DataLookUp!$B599</f>
        <v>25000000000596</v>
      </c>
      <c r="C599" s="29" t="str">
        <f>VLOOKUP(B599, [1]DataLookUp!$B$4:$D$621, 2, FALSE)</f>
        <v>Arief Yulianto</v>
      </c>
      <c r="D599" s="29" t="str">
        <f>VLOOKUP(B599, [1]DataLookUp!$B$4:$D$621, 3, FALSE)</f>
        <v>3305170207940005</v>
      </c>
      <c r="E599" s="40" t="s">
        <v>179</v>
      </c>
      <c r="F599" s="45">
        <f t="shared" si="20"/>
        <v>156000000000001</v>
      </c>
      <c r="G599" s="30" t="s">
        <v>10</v>
      </c>
      <c r="H599" s="31">
        <v>34517</v>
      </c>
      <c r="I599" s="50" t="s">
        <v>297</v>
      </c>
      <c r="J599" s="40" t="s">
        <v>186</v>
      </c>
      <c r="K599" s="40" t="s">
        <v>186</v>
      </c>
      <c r="L599" s="51" t="s">
        <v>296</v>
      </c>
      <c r="M599" s="52"/>
      <c r="N599" s="50"/>
      <c r="P599" s="55" t="str">
        <f t="shared" si="19"/>
        <v xml:space="preserve">PERFORM "SchData-OLTP-Master"."Func_TblCitizenIdentity_SET"(varSystemLoginSession, null, null, null, varInstitutionBranchID, 25000000000596::bigint, 'Arief Yulianto'::varchar, '3305170207940005'::varchar, 156000000000001::bigint, NULL::bigint, '1994-07-02'::timestamp, NULL::bigint, NULL::bigint, NULL::bigint, NULL::bigint,  NULL::bigint, NULL::bigint, NULL::bigint, NULL::bigint, 'Kp. Talaga Kec Cikupa, Kab Tangerang, Provinsi Banten '::varchar, 3::smallint, 3::smallint);
</v>
      </c>
      <c r="AE599" s="15" t="s">
        <v>405</v>
      </c>
    </row>
    <row r="600" spans="2:31" ht="25.5" x14ac:dyDescent="0.25">
      <c r="B600" s="28">
        <f>[1]DataLookUp!$B600</f>
        <v>25000000000597</v>
      </c>
      <c r="C600" s="29" t="str">
        <f>VLOOKUP(B600, [1]DataLookUp!$B$4:$D$621, 2, FALSE)</f>
        <v>Burhan</v>
      </c>
      <c r="D600" s="29" t="str">
        <f>VLOOKUP(B600, [1]DataLookUp!$B$4:$D$621, 3, FALSE)</f>
        <v>3174031404610002</v>
      </c>
      <c r="E600" s="40" t="s">
        <v>179</v>
      </c>
      <c r="F600" s="45">
        <f t="shared" si="20"/>
        <v>156000000000001</v>
      </c>
      <c r="G600" s="30" t="s">
        <v>6</v>
      </c>
      <c r="H600" s="31">
        <v>29690</v>
      </c>
      <c r="I600" s="50" t="s">
        <v>299</v>
      </c>
      <c r="J600" s="40" t="s">
        <v>186</v>
      </c>
      <c r="K600" s="40" t="s">
        <v>189</v>
      </c>
      <c r="L600" s="51" t="s">
        <v>298</v>
      </c>
      <c r="M600" s="52">
        <v>24000000032481</v>
      </c>
      <c r="N600" s="50"/>
      <c r="P600" s="55" t="str">
        <f t="shared" si="19"/>
        <v xml:space="preserve">PERFORM "SchData-OLTP-Master"."Func_TblCitizenIdentity_SET"(varSystemLoginSession, null, null, null, varInstitutionBranchID, 25000000000597::bigint, 'Burhan'::varchar, '3174031404610002'::varchar, 156000000000001::bigint, NULL::bigint, '1981-04-14'::timestamp, NULL::bigint, NULL::bigint, NULL::bigint, NULL::bigint,  24000000032481::bigint, NULL::bigint, NULL::bigint, NULL::bigint, 'Gg. Damai'::varchar, 3::smallint, 7::smallint);
</v>
      </c>
      <c r="AE600" s="15" t="s">
        <v>406</v>
      </c>
    </row>
    <row r="601" spans="2:31" x14ac:dyDescent="0.25">
      <c r="B601" s="28">
        <f>[1]DataLookUp!$B601</f>
        <v>25000000000598</v>
      </c>
      <c r="C601" s="29" t="str">
        <f>VLOOKUP(B601, [1]DataLookUp!$B$4:$D$621, 2, FALSE)</f>
        <v>Deby Syahputa</v>
      </c>
      <c r="D601" s="29" t="str">
        <f>VLOOKUP(B601, [1]DataLookUp!$B$4:$D$621, 3, FALSE)</f>
        <v/>
      </c>
      <c r="E601" s="40"/>
      <c r="F601" s="45" t="str">
        <f t="shared" si="20"/>
        <v/>
      </c>
      <c r="G601" s="30"/>
      <c r="H601" s="31"/>
      <c r="I601" s="50"/>
      <c r="J601" s="40"/>
      <c r="K601" s="40"/>
      <c r="L601" s="51"/>
      <c r="M601" s="52"/>
      <c r="N601" s="50"/>
      <c r="P601" s="55" t="str">
        <f t="shared" si="19"/>
        <v/>
      </c>
      <c r="AE601" s="15" t="s">
        <v>364</v>
      </c>
    </row>
    <row r="602" spans="2:31" x14ac:dyDescent="0.25">
      <c r="B602" s="28">
        <f>[1]DataLookUp!$B602</f>
        <v>25000000000599</v>
      </c>
      <c r="C602" s="29" t="str">
        <f>VLOOKUP(B602, [1]DataLookUp!$B$4:$D$621, 2, FALSE)</f>
        <v>Ibrahim Arya Yuda</v>
      </c>
      <c r="D602" s="29" t="str">
        <f>VLOOKUP(B602, [1]DataLookUp!$B$4:$D$621, 3, FALSE)</f>
        <v/>
      </c>
      <c r="E602" s="40"/>
      <c r="F602" s="45" t="str">
        <f t="shared" si="20"/>
        <v/>
      </c>
      <c r="G602" s="30"/>
      <c r="H602" s="31"/>
      <c r="I602" s="50"/>
      <c r="J602" s="40"/>
      <c r="K602" s="40"/>
      <c r="L602" s="51"/>
      <c r="M602" s="52"/>
      <c r="N602" s="50"/>
      <c r="P602" s="55" t="str">
        <f t="shared" si="19"/>
        <v/>
      </c>
      <c r="AD602" s="15" t="s">
        <v>364</v>
      </c>
    </row>
    <row r="603" spans="2:31" x14ac:dyDescent="0.25">
      <c r="B603" s="28">
        <f>[1]DataLookUp!$B603</f>
        <v>25000000000600</v>
      </c>
      <c r="C603" s="29" t="str">
        <f>VLOOKUP(B603, [1]DataLookUp!$B$4:$D$621, 2, FALSE)</f>
        <v>Jamil</v>
      </c>
      <c r="D603" s="29" t="str">
        <f>VLOOKUP(B603, [1]DataLookUp!$B$4:$D$621, 3, FALSE)</f>
        <v/>
      </c>
      <c r="E603" s="40"/>
      <c r="F603" s="45" t="str">
        <f t="shared" si="20"/>
        <v/>
      </c>
      <c r="G603" s="30"/>
      <c r="H603" s="31"/>
      <c r="I603" s="50"/>
      <c r="J603" s="40"/>
      <c r="K603" s="40"/>
      <c r="L603" s="51"/>
      <c r="M603" s="52"/>
      <c r="N603" s="50"/>
      <c r="P603" s="55" t="str">
        <f t="shared" si="19"/>
        <v/>
      </c>
      <c r="AD603" s="15" t="s">
        <v>400</v>
      </c>
    </row>
    <row r="604" spans="2:31" x14ac:dyDescent="0.25">
      <c r="B604" s="28">
        <f>[1]DataLookUp!$B604</f>
        <v>25000000000601</v>
      </c>
      <c r="C604" s="29" t="str">
        <f>VLOOKUP(B604, [1]DataLookUp!$B$4:$D$621, 2, FALSE)</f>
        <v>Kiki Prasetyo</v>
      </c>
      <c r="D604" s="29" t="str">
        <f>VLOOKUP(B604, [1]DataLookUp!$B$4:$D$621, 3, FALSE)</f>
        <v/>
      </c>
      <c r="E604" s="40"/>
      <c r="F604" s="45" t="str">
        <f t="shared" si="20"/>
        <v/>
      </c>
      <c r="G604" s="30"/>
      <c r="H604" s="31"/>
      <c r="I604" s="50"/>
      <c r="J604" s="40"/>
      <c r="K604" s="40"/>
      <c r="L604" s="51"/>
      <c r="M604" s="52"/>
      <c r="N604" s="50"/>
      <c r="P604" s="55" t="str">
        <f t="shared" si="19"/>
        <v/>
      </c>
      <c r="AC604" s="15" t="s">
        <v>352</v>
      </c>
    </row>
    <row r="605" spans="2:31" x14ac:dyDescent="0.25">
      <c r="B605" s="28">
        <f>[1]DataLookUp!$B605</f>
        <v>25000000000602</v>
      </c>
      <c r="C605" s="29" t="str">
        <f>VLOOKUP(B605, [1]DataLookUp!$B$4:$D$621, 2, FALSE)</f>
        <v>Mochamad Ulul Azmi Wira Utama</v>
      </c>
      <c r="D605" s="29" t="str">
        <f>VLOOKUP(B605, [1]DataLookUp!$B$4:$D$621, 3, FALSE)</f>
        <v>3201022807940001</v>
      </c>
      <c r="E605" s="40" t="s">
        <v>179</v>
      </c>
      <c r="F605" s="45">
        <f t="shared" si="20"/>
        <v>156000000000001</v>
      </c>
      <c r="G605" s="30" t="s">
        <v>6</v>
      </c>
      <c r="H605" s="31">
        <v>34543</v>
      </c>
      <c r="I605" s="50" t="s">
        <v>242</v>
      </c>
      <c r="J605" s="40" t="s">
        <v>186</v>
      </c>
      <c r="K605" s="40" t="s">
        <v>241</v>
      </c>
      <c r="L605" s="51" t="s">
        <v>240</v>
      </c>
      <c r="M605" s="52">
        <v>24000000032038</v>
      </c>
      <c r="N605" s="50"/>
      <c r="P605" s="55" t="str">
        <f t="shared" si="19"/>
        <v xml:space="preserve">PERFORM "SchData-OLTP-Master"."Func_TblCitizenIdentity_SET"(varSystemLoginSession, null, null, null, varInstitutionBranchID, 25000000000602::bigint, 'Mochamad Ulul Azmi Wira Utama'::varchar, '3201022807940001'::varchar, 156000000000001::bigint, NULL::bigint, '1994-07-28'::timestamp, NULL::bigint, NULL::bigint, NULL::bigint, NULL::bigint,  24000000032038::bigint, NULL::bigint, NULL::bigint, NULL::bigint, 'Pesona Anggrek Blok F 17/21'::varchar, 3::smallint, 24::smallint);
</v>
      </c>
      <c r="AD605" s="15" t="s">
        <v>353</v>
      </c>
    </row>
    <row r="606" spans="2:31" x14ac:dyDescent="0.25">
      <c r="B606" s="28">
        <f>[1]DataLookUp!$B606</f>
        <v>25000000000603</v>
      </c>
      <c r="C606" s="29" t="str">
        <f>VLOOKUP(B606, [1]DataLookUp!$B$4:$D$621, 2, FALSE)</f>
        <v>Muhammad Bilal Sharony</v>
      </c>
      <c r="D606" s="29" t="str">
        <f>VLOOKUP(B606, [1]DataLookUp!$B$4:$D$621, 3, FALSE)</f>
        <v/>
      </c>
      <c r="E606" s="40"/>
      <c r="F606" s="45" t="str">
        <f t="shared" si="20"/>
        <v/>
      </c>
      <c r="G606" s="30"/>
      <c r="H606" s="31"/>
      <c r="I606" s="50"/>
      <c r="J606" s="40"/>
      <c r="K606" s="40"/>
      <c r="L606" s="51"/>
      <c r="M606" s="52"/>
      <c r="N606" s="50"/>
      <c r="P606" s="55" t="str">
        <f t="shared" si="19"/>
        <v/>
      </c>
      <c r="AD606" s="15" t="s">
        <v>337</v>
      </c>
    </row>
    <row r="607" spans="2:31" x14ac:dyDescent="0.25">
      <c r="B607" s="28">
        <f>[1]DataLookUp!$B607</f>
        <v>25000000000604</v>
      </c>
      <c r="C607" s="29" t="str">
        <f>VLOOKUP(B607, [1]DataLookUp!$B$4:$D$621, 2, FALSE)</f>
        <v>Muhammad Hairul</v>
      </c>
      <c r="D607" s="29" t="str">
        <f>VLOOKUP(B607, [1]DataLookUp!$B$4:$D$621, 3, FALSE)</f>
        <v/>
      </c>
      <c r="E607" s="40"/>
      <c r="F607" s="45" t="str">
        <f t="shared" si="20"/>
        <v/>
      </c>
      <c r="G607" s="30"/>
      <c r="H607" s="31"/>
      <c r="I607" s="50"/>
      <c r="J607" s="40"/>
      <c r="K607" s="40"/>
      <c r="L607" s="51"/>
      <c r="M607" s="52"/>
      <c r="N607" s="50"/>
      <c r="P607" s="55" t="str">
        <f t="shared" si="19"/>
        <v/>
      </c>
      <c r="AE607" s="15" t="s">
        <v>393</v>
      </c>
    </row>
    <row r="608" spans="2:31" x14ac:dyDescent="0.25">
      <c r="B608" s="28">
        <f>[1]DataLookUp!$B608</f>
        <v>25000000000605</v>
      </c>
      <c r="C608" s="29" t="str">
        <f>VLOOKUP(B608, [1]DataLookUp!$B$4:$D$621, 2, FALSE)</f>
        <v>Muhammad Rizal</v>
      </c>
      <c r="D608" s="29" t="str">
        <f>VLOOKUP(B608, [1]DataLookUp!$B$4:$D$621, 3, FALSE)</f>
        <v>3173070507890002</v>
      </c>
      <c r="E608" s="40" t="s">
        <v>179</v>
      </c>
      <c r="F608" s="45">
        <f t="shared" si="20"/>
        <v>156000000000001</v>
      </c>
      <c r="G608" s="30" t="s">
        <v>6</v>
      </c>
      <c r="H608" s="31">
        <v>32694</v>
      </c>
      <c r="I608" s="50" t="s">
        <v>244</v>
      </c>
      <c r="J608" s="40" t="s">
        <v>189</v>
      </c>
      <c r="K608" s="40" t="s">
        <v>192</v>
      </c>
      <c r="L608" s="51" t="s">
        <v>243</v>
      </c>
      <c r="M608" s="52">
        <v>24000000032386</v>
      </c>
      <c r="N608" s="50"/>
      <c r="P608" s="55" t="str">
        <f t="shared" si="19"/>
        <v xml:space="preserve">PERFORM "SchData-OLTP-Master"."Func_TblCitizenIdentity_SET"(varSystemLoginSession, null, null, null, varInstitutionBranchID, 25000000000605::bigint, 'Muhammad Rizal'::varchar, '3173070507890002'::varchar, 156000000000001::bigint, NULL::bigint, '1989-07-05'::timestamp, NULL::bigint, NULL::bigint, NULL::bigint, NULL::bigint,  24000000032386::bigint, NULL::bigint, NULL::bigint, NULL::bigint, 'Komp. HANKAM Jl. Beo G-57 '::varchar, 7::smallint, 2::smallint);
</v>
      </c>
      <c r="AE608" s="15" t="s">
        <v>347</v>
      </c>
    </row>
    <row r="609" spans="2:32" x14ac:dyDescent="0.25">
      <c r="B609" s="28">
        <f>[1]DataLookUp!$B609</f>
        <v>25000000000606</v>
      </c>
      <c r="C609" s="29" t="str">
        <f>VLOOKUP(B609, [1]DataLookUp!$B$4:$D$621, 2, FALSE)</f>
        <v>Rahmad Dwifar</v>
      </c>
      <c r="D609" s="29" t="str">
        <f>VLOOKUP(B609, [1]DataLookUp!$B$4:$D$621, 3, FALSE)</f>
        <v>1371102805980004</v>
      </c>
      <c r="E609" s="40" t="s">
        <v>179</v>
      </c>
      <c r="F609" s="45">
        <f t="shared" si="20"/>
        <v>156000000000001</v>
      </c>
      <c r="G609" s="30" t="s">
        <v>9</v>
      </c>
      <c r="H609" s="31">
        <v>35943</v>
      </c>
      <c r="I609" s="50" t="s">
        <v>252</v>
      </c>
      <c r="J609" s="40" t="s">
        <v>187</v>
      </c>
      <c r="K609" s="40" t="s">
        <v>204</v>
      </c>
      <c r="L609" s="51" t="s">
        <v>251</v>
      </c>
      <c r="M609" s="52">
        <v>24000000032183</v>
      </c>
      <c r="N609" s="50"/>
      <c r="P609" s="55" t="str">
        <f t="shared" si="19"/>
        <v xml:space="preserve">PERFORM "SchData-OLTP-Master"."Func_TblCitizenIdentity_SET"(varSystemLoginSession, null, null, null, varInstitutionBranchID, 25000000000606::bigint, 'Rahmad Dwifar'::varchar, '1371102805980004'::varchar, 156000000000001::bigint, NULL::bigint, '1998-05-28'::timestamp, NULL::bigint, NULL::bigint, NULL::bigint, NULL::bigint,  24000000032183::bigint, NULL::bigint, NULL::bigint, NULL::bigint, 'JL. H. Mustofa No. 32'::varchar, 5::smallint, 4::smallint);
</v>
      </c>
      <c r="AE609" s="15" t="s">
        <v>338</v>
      </c>
    </row>
    <row r="610" spans="2:32" x14ac:dyDescent="0.25">
      <c r="B610" s="28">
        <f>[1]DataLookUp!$B610</f>
        <v>25000000000607</v>
      </c>
      <c r="C610" s="29" t="str">
        <f>VLOOKUP(B610, [1]DataLookUp!$B$4:$D$621, 2, FALSE)</f>
        <v>Reza Sanjaya</v>
      </c>
      <c r="D610" s="29" t="str">
        <f>VLOOKUP(B610, [1]DataLookUp!$B$4:$D$621, 3, FALSE)</f>
        <v/>
      </c>
      <c r="E610" s="40"/>
      <c r="F610" s="45" t="str">
        <f t="shared" si="20"/>
        <v/>
      </c>
      <c r="G610" s="30"/>
      <c r="H610" s="31"/>
      <c r="I610" s="50"/>
      <c r="J610" s="40"/>
      <c r="K610" s="40"/>
      <c r="L610" s="51"/>
      <c r="M610" s="52"/>
      <c r="N610" s="50"/>
      <c r="P610" s="55" t="str">
        <f t="shared" si="19"/>
        <v/>
      </c>
      <c r="AE610" s="15" t="s">
        <v>339</v>
      </c>
    </row>
    <row r="611" spans="2:32" x14ac:dyDescent="0.25">
      <c r="B611" s="28">
        <f>[1]DataLookUp!$B611</f>
        <v>25000000000608</v>
      </c>
      <c r="C611" s="29" t="str">
        <f>VLOOKUP(B611, [1]DataLookUp!$B$4:$D$621, 2, FALSE)</f>
        <v>Ridwan Nur Muttaqin</v>
      </c>
      <c r="D611" s="29" t="str">
        <f>VLOOKUP(B611, [1]DataLookUp!$B$4:$D$621, 3, FALSE)</f>
        <v>3308102707940002</v>
      </c>
      <c r="E611" s="40" t="s">
        <v>179</v>
      </c>
      <c r="F611" s="45">
        <f t="shared" si="20"/>
        <v>156000000000001</v>
      </c>
      <c r="G611" s="30" t="s">
        <v>8</v>
      </c>
      <c r="H611" s="31">
        <v>34542</v>
      </c>
      <c r="I611" s="50" t="s">
        <v>255</v>
      </c>
      <c r="J611" s="40"/>
      <c r="K611" s="40"/>
      <c r="L611" s="51"/>
      <c r="M611" s="52"/>
      <c r="N611" s="50"/>
      <c r="P611" s="55" t="str">
        <f t="shared" si="19"/>
        <v xml:space="preserve">PERFORM "SchData-OLTP-Master"."Func_TblCitizenIdentity_SET"(varSystemLoginSession, null, null, null, varInstitutionBranchID, 25000000000608::bigint, 'Ridwan Nur Muttaqin'::varchar, '3308102707940002'::varchar, 156000000000001::bigint, NULL::bigint, '1994-07-27'::timestamp, NULL::bigint, NULL::bigint, NULL::bigint, NULL::bigint,  NULL::bigint, NULL::bigint, NULL::bigint, NULL::bigint, 'Griya Mulia Cisauk Blok D No. 37 '::varchar, NULL::smallint, NULL::smallint);
</v>
      </c>
      <c r="AE611" s="15" t="s">
        <v>340</v>
      </c>
    </row>
    <row r="612" spans="2:32" x14ac:dyDescent="0.25">
      <c r="B612" s="28">
        <f>[1]DataLookUp!$B612</f>
        <v>25000000000609</v>
      </c>
      <c r="C612" s="29" t="str">
        <f>VLOOKUP(B612, [1]DataLookUp!$B$4:$D$621, 2, FALSE)</f>
        <v xml:space="preserve">Risaldi </v>
      </c>
      <c r="D612" s="29" t="str">
        <f>VLOOKUP(B612, [1]DataLookUp!$B$4:$D$621, 3, FALSE)</f>
        <v/>
      </c>
      <c r="E612" s="40"/>
      <c r="F612" s="45" t="str">
        <f t="shared" si="20"/>
        <v/>
      </c>
      <c r="G612" s="30"/>
      <c r="H612" s="31"/>
      <c r="I612" s="50"/>
      <c r="J612" s="40"/>
      <c r="K612" s="40"/>
      <c r="L612" s="51"/>
      <c r="M612" s="52"/>
      <c r="N612" s="50"/>
      <c r="P612" s="55" t="str">
        <f t="shared" si="19"/>
        <v/>
      </c>
      <c r="AE612" s="15" t="s">
        <v>341</v>
      </c>
    </row>
    <row r="613" spans="2:32" x14ac:dyDescent="0.25">
      <c r="B613" s="28">
        <f>[1]DataLookUp!$B613</f>
        <v>25000000000610</v>
      </c>
      <c r="C613" s="29" t="str">
        <f>VLOOKUP(B613, [1]DataLookUp!$B$4:$D$621, 2, FALSE)</f>
        <v>Risty Alawiyah</v>
      </c>
      <c r="D613" s="29" t="str">
        <f>VLOOKUP(B613, [1]DataLookUp!$B$4:$D$621, 3, FALSE)</f>
        <v>3201305605900001</v>
      </c>
      <c r="E613" s="40" t="s">
        <v>180</v>
      </c>
      <c r="F613" s="45">
        <f t="shared" si="20"/>
        <v>156000000000002</v>
      </c>
      <c r="G613" s="30" t="s">
        <v>7</v>
      </c>
      <c r="H613" s="31">
        <v>33009</v>
      </c>
      <c r="I613" s="50" t="s">
        <v>257</v>
      </c>
      <c r="J613" s="40" t="s">
        <v>184</v>
      </c>
      <c r="K613" s="40" t="s">
        <v>183</v>
      </c>
      <c r="L613" s="51" t="s">
        <v>256</v>
      </c>
      <c r="M613" s="52"/>
      <c r="N613" s="50"/>
      <c r="P613" s="55" t="str">
        <f t="shared" si="19"/>
        <v xml:space="preserve">PERFORM "SchData-OLTP-Master"."Func_TblCitizenIdentity_SET"(varSystemLoginSession, null, null, null, varInstitutionBranchID, 25000000000610::bigint, 'Risty Alawiyah'::varchar, '3201305605900001'::varchar, 156000000000002::bigint, NULL::bigint, '1990-05-16'::timestamp, NULL::bigint, NULL::bigint, NULL::bigint, NULL::bigint,  NULL::bigint, NULL::bigint, NULL::bigint, NULL::bigint, 'Jl. Panti Asuhan A/6 Kel. Cipinang, Kec. Jatinegara, Jakarta Timur'::varchar, 13::smallint, 1::smallint);
</v>
      </c>
      <c r="AE613" s="15" t="s">
        <v>342</v>
      </c>
    </row>
    <row r="614" spans="2:32" x14ac:dyDescent="0.25">
      <c r="B614" s="28">
        <f>[1]DataLookUp!$B614</f>
        <v>25000000000611</v>
      </c>
      <c r="C614" s="29" t="str">
        <f>VLOOKUP(B614, [1]DataLookUp!$B$4:$D$621, 2, FALSE)</f>
        <v>Rustono</v>
      </c>
      <c r="D614" s="29" t="str">
        <f>VLOOKUP(B614, [1]DataLookUp!$B$4:$D$621, 3, FALSE)</f>
        <v>3174032511700006</v>
      </c>
      <c r="E614" s="40" t="s">
        <v>179</v>
      </c>
      <c r="F614" s="45">
        <f t="shared" si="20"/>
        <v>156000000000001</v>
      </c>
      <c r="G614" s="30" t="s">
        <v>6</v>
      </c>
      <c r="H614" s="31">
        <v>25897</v>
      </c>
      <c r="I614" s="50" t="s">
        <v>317</v>
      </c>
      <c r="J614" s="40" t="s">
        <v>201</v>
      </c>
      <c r="K614" s="40" t="s">
        <v>186</v>
      </c>
      <c r="L614" s="51" t="s">
        <v>481</v>
      </c>
      <c r="M614" s="52">
        <v>24000000032059</v>
      </c>
      <c r="N614" s="50"/>
      <c r="P614" s="55" t="str">
        <f t="shared" si="19"/>
        <v xml:space="preserve">PERFORM "SchData-OLTP-Master"."Func_TblCitizenIdentity_SET"(varSystemLoginSession, null, null, null, varInstitutionBranchID, 25000000000611::bigint, 'Rustono'::varchar, '3174032511700006'::varchar, 156000000000001::bigint, NULL::bigint, '1970-11-25'::timestamp, NULL::bigint, NULL::bigint, NULL::bigint, NULL::bigint,  24000000032059::bigint, NULL::bigint, NULL::bigint, NULL::bigint, 'Kp. Ciketing'::varchar, 12::smallint, 3::smallint);
</v>
      </c>
      <c r="AE614" s="15" t="s">
        <v>344</v>
      </c>
    </row>
    <row r="615" spans="2:32" ht="25.5" x14ac:dyDescent="0.25">
      <c r="B615" s="28">
        <f>[1]DataLookUp!$B615</f>
        <v>25000000000612</v>
      </c>
      <c r="C615" s="29" t="str">
        <f>VLOOKUP(B615, [1]DataLookUp!$B$4:$D$621, 2, FALSE)</f>
        <v>Solihin</v>
      </c>
      <c r="D615" s="29" t="str">
        <f>VLOOKUP(B615, [1]DataLookUp!$B$4:$D$621, 3, FALSE)</f>
        <v>3174030307740005</v>
      </c>
      <c r="E615" s="40" t="s">
        <v>179</v>
      </c>
      <c r="F615" s="45">
        <f t="shared" si="20"/>
        <v>156000000000001</v>
      </c>
      <c r="G615" s="30" t="s">
        <v>5</v>
      </c>
      <c r="H615" s="31">
        <v>27213</v>
      </c>
      <c r="I615" s="50" t="s">
        <v>319</v>
      </c>
      <c r="J615" s="40" t="s">
        <v>259</v>
      </c>
      <c r="K615" s="40" t="s">
        <v>183</v>
      </c>
      <c r="L615" s="51" t="s">
        <v>318</v>
      </c>
      <c r="M615" s="52">
        <v>24000000032480</v>
      </c>
      <c r="N615" s="50"/>
      <c r="P615" s="55" t="str">
        <f t="shared" si="19"/>
        <v xml:space="preserve">PERFORM "SchData-OLTP-Master"."Func_TblCitizenIdentity_SET"(varSystemLoginSession, null, null, null, varInstitutionBranchID, 25000000000612::bigint, 'Solihin'::varchar, '3174030307740005'::varchar, 156000000000001::bigint, NULL::bigint, '1974-07-03'::timestamp, NULL::bigint, NULL::bigint, NULL::bigint, NULL::bigint,  24000000032480::bigint, NULL::bigint, NULL::bigint, NULL::bigint, 'Jl. Kapten Tendean Gg. Jati'::varchar, 10::smallint, 1::smallint);
</v>
      </c>
      <c r="AE615" s="15" t="s">
        <v>347</v>
      </c>
    </row>
    <row r="616" spans="2:32" x14ac:dyDescent="0.25">
      <c r="B616" s="28">
        <f>[1]DataLookUp!$B616</f>
        <v>25000000000613</v>
      </c>
      <c r="C616" s="29" t="str">
        <f>VLOOKUP(B616, [1]DataLookUp!$B$4:$D$621, 2, FALSE)</f>
        <v>Supriatna</v>
      </c>
      <c r="D616" s="29" t="str">
        <f>VLOOKUP(B616, [1]DataLookUp!$B$4:$D$621, 3, FALSE)</f>
        <v>3276062106750003</v>
      </c>
      <c r="E616" s="40" t="s">
        <v>179</v>
      </c>
      <c r="F616" s="45">
        <f t="shared" si="20"/>
        <v>156000000000001</v>
      </c>
      <c r="G616" s="30" t="s">
        <v>4</v>
      </c>
      <c r="H616" s="31">
        <v>27627</v>
      </c>
      <c r="I616" s="50" t="s">
        <v>325</v>
      </c>
      <c r="J616" s="40" t="s">
        <v>204</v>
      </c>
      <c r="K616" s="40" t="s">
        <v>192</v>
      </c>
      <c r="L616" s="51" t="s">
        <v>324</v>
      </c>
      <c r="M616" s="52">
        <v>24000000032181</v>
      </c>
      <c r="N616" s="50"/>
      <c r="P616" s="55" t="str">
        <f t="shared" si="19"/>
        <v xml:space="preserve">PERFORM "SchData-OLTP-Master"."Func_TblCitizenIdentity_SET"(varSystemLoginSession, null, null, null, varInstitutionBranchID, 25000000000613::bigint, 'Supriatna'::varchar, '3276062106750003'::varchar, 156000000000001::bigint, NULL::bigint, '1975-08-21'::timestamp, NULL::bigint, NULL::bigint, NULL::bigint, NULL::bigint,  24000000032181::bigint, NULL::bigint, NULL::bigint, NULL::bigint, 'Jl. Mandar No. 1'::varchar, 4::smallint, 2::smallint);
</v>
      </c>
      <c r="AE616" s="15" t="s">
        <v>376</v>
      </c>
    </row>
    <row r="617" spans="2:32" x14ac:dyDescent="0.25">
      <c r="B617" s="28">
        <f>[1]DataLookUp!$B617</f>
        <v>25000000000614</v>
      </c>
      <c r="C617" s="29" t="str">
        <f>VLOOKUP(B617, [1]DataLookUp!$B$4:$D$621, 2, FALSE)</f>
        <v>Taufik Aminudin</v>
      </c>
      <c r="D617" s="29" t="str">
        <f>VLOOKUP(B617, [1]DataLookUp!$B$4:$D$621, 3, FALSE)</f>
        <v/>
      </c>
      <c r="E617" s="40"/>
      <c r="F617" s="45" t="str">
        <f t="shared" si="20"/>
        <v/>
      </c>
      <c r="G617" s="30"/>
      <c r="H617" s="31"/>
      <c r="I617" s="50"/>
      <c r="J617" s="40"/>
      <c r="K617" s="40"/>
      <c r="L617" s="51"/>
      <c r="M617" s="52"/>
      <c r="N617" s="50"/>
      <c r="P617" s="55" t="str">
        <f t="shared" si="19"/>
        <v/>
      </c>
      <c r="AF617" s="15" t="s">
        <v>407</v>
      </c>
    </row>
    <row r="618" spans="2:32" x14ac:dyDescent="0.25">
      <c r="B618" s="28">
        <f>[1]DataLookUp!$B618</f>
        <v>25000000000615</v>
      </c>
      <c r="C618" s="29" t="str">
        <f>VLOOKUP(B618, [1]DataLookUp!$B$4:$D$621, 2, FALSE)</f>
        <v>Taufiq Aminudin</v>
      </c>
      <c r="D618" s="29" t="str">
        <f>VLOOKUP(B618, [1]DataLookUp!$B$4:$D$621, 3, FALSE)</f>
        <v/>
      </c>
      <c r="E618" s="40"/>
      <c r="F618" s="45" t="str">
        <f t="shared" si="20"/>
        <v/>
      </c>
      <c r="G618" s="30"/>
      <c r="H618" s="31"/>
      <c r="I618" s="50"/>
      <c r="J618" s="40"/>
      <c r="K618" s="40"/>
      <c r="L618" s="51"/>
      <c r="M618" s="52"/>
      <c r="N618" s="50"/>
      <c r="P618" s="55" t="str">
        <f t="shared" si="19"/>
        <v/>
      </c>
      <c r="AF618" s="15" t="s">
        <v>408</v>
      </c>
    </row>
    <row r="619" spans="2:32" x14ac:dyDescent="0.25">
      <c r="B619" s="28">
        <f>[1]DataLookUp!$B619</f>
        <v>25000000000616</v>
      </c>
      <c r="C619" s="29" t="str">
        <f>VLOOKUP(B619, [1]DataLookUp!$B$4:$D$621, 2, FALSE)</f>
        <v>Timotius Tabun</v>
      </c>
      <c r="D619" s="29" t="str">
        <f>VLOOKUP(B619, [1]DataLookUp!$B$4:$D$621, 3, FALSE)</f>
        <v>3603121805810006</v>
      </c>
      <c r="E619" s="40" t="s">
        <v>179</v>
      </c>
      <c r="F619" s="45">
        <f t="shared" si="20"/>
        <v>156000000000001</v>
      </c>
      <c r="G619" s="30" t="s">
        <v>3</v>
      </c>
      <c r="H619" s="31">
        <v>29724</v>
      </c>
      <c r="I619" s="50" t="s">
        <v>326</v>
      </c>
      <c r="J619" s="40"/>
      <c r="K619" s="40"/>
      <c r="L619" s="51"/>
      <c r="M619" s="52"/>
      <c r="N619" s="50"/>
      <c r="P619" s="55" t="str">
        <f t="shared" si="19"/>
        <v xml:space="preserve">PERFORM "SchData-OLTP-Master"."Func_TblCitizenIdentity_SET"(varSystemLoginSession, null, null, null, varInstitutionBranchID, 25000000000616::bigint, 'Timotius Tabun'::varchar, '3603121805810006'::varchar, 156000000000001::bigint, NULL::bigint, '1981-05-18'::timestamp, NULL::bigint, NULL::bigint, NULL::bigint, NULL::bigint,  NULL::bigint, NULL::bigint, NULL::bigint, NULL::bigint, 'Cengkareng '::varchar, NULL::smallint, NULL::smallint);
</v>
      </c>
      <c r="AF619" s="15" t="s">
        <v>409</v>
      </c>
    </row>
    <row r="620" spans="2:32" x14ac:dyDescent="0.25">
      <c r="B620" s="28">
        <f>[1]DataLookUp!$B620</f>
        <v>25000000000617</v>
      </c>
      <c r="C620" s="29" t="str">
        <f>VLOOKUP(B620, [1]DataLookUp!$B$4:$D$621, 2, FALSE)</f>
        <v>Wiyadianto</v>
      </c>
      <c r="D620" s="29" t="str">
        <f>VLOOKUP(B620, [1]DataLookUp!$B$4:$D$621, 3, FALSE)</f>
        <v/>
      </c>
      <c r="E620" s="40"/>
      <c r="F620" s="45" t="str">
        <f t="shared" si="20"/>
        <v/>
      </c>
      <c r="G620" s="30"/>
      <c r="H620" s="31"/>
      <c r="I620" s="50"/>
      <c r="J620" s="40"/>
      <c r="K620" s="40"/>
      <c r="L620" s="51"/>
      <c r="M620" s="52"/>
      <c r="N620" s="50"/>
      <c r="P620" s="55" t="str">
        <f t="shared" si="19"/>
        <v/>
      </c>
      <c r="AE620" s="15" t="s">
        <v>353</v>
      </c>
    </row>
    <row r="621" spans="2:32" x14ac:dyDescent="0.25">
      <c r="B621" s="32"/>
      <c r="C621" s="33"/>
      <c r="D621" s="33"/>
      <c r="E621" s="41"/>
      <c r="F621" s="46"/>
      <c r="G621" s="34"/>
      <c r="H621" s="35"/>
      <c r="I621" s="33"/>
      <c r="J621" s="41"/>
      <c r="K621" s="41"/>
      <c r="L621" s="53"/>
      <c r="M621" s="54"/>
      <c r="N621" s="33"/>
      <c r="AE621" s="15" t="s">
        <v>394</v>
      </c>
    </row>
    <row r="622" spans="2:32" x14ac:dyDescent="0.25">
      <c r="AE622" s="15" t="s">
        <v>353</v>
      </c>
    </row>
    <row r="623" spans="2:32" x14ac:dyDescent="0.25">
      <c r="B623" s="36"/>
      <c r="AE623" s="15" t="s">
        <v>410</v>
      </c>
    </row>
    <row r="624" spans="2:32" x14ac:dyDescent="0.25">
      <c r="B624" s="36"/>
      <c r="AE624" s="15" t="s">
        <v>376</v>
      </c>
    </row>
    <row r="625" spans="2:32" x14ac:dyDescent="0.25">
      <c r="B625" s="36"/>
      <c r="AF625" s="15" t="s">
        <v>411</v>
      </c>
    </row>
    <row r="626" spans="2:32" x14ac:dyDescent="0.25">
      <c r="B626" s="36"/>
      <c r="AF626" s="15" t="s">
        <v>412</v>
      </c>
    </row>
    <row r="627" spans="2:32" x14ac:dyDescent="0.25">
      <c r="B627" s="36"/>
      <c r="AF627" s="15" t="s">
        <v>364</v>
      </c>
    </row>
    <row r="628" spans="2:32" x14ac:dyDescent="0.25">
      <c r="B628" s="36"/>
      <c r="AE628" s="15" t="s">
        <v>364</v>
      </c>
    </row>
    <row r="629" spans="2:32" x14ac:dyDescent="0.25">
      <c r="B629" s="36"/>
      <c r="AE629" s="15" t="s">
        <v>400</v>
      </c>
    </row>
    <row r="630" spans="2:32" x14ac:dyDescent="0.25">
      <c r="B630" s="36"/>
      <c r="AD630" s="15" t="s">
        <v>352</v>
      </c>
    </row>
    <row r="631" spans="2:32" x14ac:dyDescent="0.25">
      <c r="B631" s="36"/>
      <c r="AE631" s="15" t="s">
        <v>353</v>
      </c>
    </row>
    <row r="632" spans="2:32" x14ac:dyDescent="0.25">
      <c r="B632" s="36"/>
      <c r="AE632" s="15" t="s">
        <v>337</v>
      </c>
    </row>
    <row r="633" spans="2:32" x14ac:dyDescent="0.25">
      <c r="B633" s="36"/>
      <c r="AF633" s="15" t="s">
        <v>393</v>
      </c>
    </row>
    <row r="634" spans="2:32" x14ac:dyDescent="0.25">
      <c r="B634" s="36"/>
      <c r="AF634" s="15" t="s">
        <v>347</v>
      </c>
    </row>
    <row r="635" spans="2:32" x14ac:dyDescent="0.25">
      <c r="B635" s="36"/>
      <c r="AF635" s="15" t="s">
        <v>338</v>
      </c>
    </row>
    <row r="636" spans="2:32" x14ac:dyDescent="0.25">
      <c r="B636" s="36"/>
      <c r="AF636" s="15" t="s">
        <v>339</v>
      </c>
    </row>
    <row r="637" spans="2:32" x14ac:dyDescent="0.25">
      <c r="B637" s="36"/>
      <c r="AF637" s="15" t="s">
        <v>340</v>
      </c>
    </row>
    <row r="638" spans="2:32" x14ac:dyDescent="0.25">
      <c r="B638" s="36"/>
      <c r="AF638" s="15" t="s">
        <v>341</v>
      </c>
    </row>
    <row r="639" spans="2:32" x14ac:dyDescent="0.25">
      <c r="B639" s="36"/>
      <c r="AF639" s="15" t="s">
        <v>342</v>
      </c>
    </row>
    <row r="640" spans="2:32" x14ac:dyDescent="0.25">
      <c r="B640" s="36"/>
      <c r="AF640" s="15" t="s">
        <v>344</v>
      </c>
    </row>
    <row r="641" spans="2:33" x14ac:dyDescent="0.25">
      <c r="B641" s="36"/>
      <c r="AF641" s="15" t="s">
        <v>347</v>
      </c>
    </row>
    <row r="642" spans="2:33" x14ac:dyDescent="0.25">
      <c r="B642" s="36"/>
      <c r="AF642" s="15" t="s">
        <v>413</v>
      </c>
    </row>
    <row r="643" spans="2:33" x14ac:dyDescent="0.25">
      <c r="B643" s="36"/>
      <c r="AF643" s="15" t="s">
        <v>392</v>
      </c>
    </row>
    <row r="644" spans="2:33" x14ac:dyDescent="0.25">
      <c r="B644" s="36"/>
      <c r="AE644" s="15" t="s">
        <v>352</v>
      </c>
    </row>
    <row r="645" spans="2:33" x14ac:dyDescent="0.25">
      <c r="AF645" s="15" t="s">
        <v>353</v>
      </c>
    </row>
    <row r="646" spans="2:33" x14ac:dyDescent="0.25">
      <c r="AF646" s="15" t="s">
        <v>337</v>
      </c>
    </row>
    <row r="647" spans="2:33" x14ac:dyDescent="0.25">
      <c r="AG647" s="15" t="s">
        <v>393</v>
      </c>
    </row>
    <row r="648" spans="2:33" x14ac:dyDescent="0.25">
      <c r="AG648" s="15" t="s">
        <v>347</v>
      </c>
    </row>
    <row r="649" spans="2:33" x14ac:dyDescent="0.25">
      <c r="AG649" s="15" t="s">
        <v>338</v>
      </c>
    </row>
    <row r="650" spans="2:33" x14ac:dyDescent="0.25">
      <c r="AG650" s="15" t="s">
        <v>339</v>
      </c>
    </row>
    <row r="651" spans="2:33" x14ac:dyDescent="0.25">
      <c r="AG651" s="15" t="s">
        <v>340</v>
      </c>
    </row>
    <row r="652" spans="2:33" x14ac:dyDescent="0.25">
      <c r="AG652" s="15" t="s">
        <v>341</v>
      </c>
    </row>
    <row r="653" spans="2:33" x14ac:dyDescent="0.25">
      <c r="AG653" s="15" t="s">
        <v>342</v>
      </c>
    </row>
    <row r="654" spans="2:33" x14ac:dyDescent="0.25">
      <c r="AG654" s="15" t="s">
        <v>344</v>
      </c>
    </row>
    <row r="655" spans="2:33" x14ac:dyDescent="0.25">
      <c r="AG655" s="15" t="s">
        <v>347</v>
      </c>
    </row>
    <row r="656" spans="2:33" x14ac:dyDescent="0.25">
      <c r="AG656" s="15" t="s">
        <v>376</v>
      </c>
    </row>
    <row r="657" spans="32:34" x14ac:dyDescent="0.25">
      <c r="AH657" s="15" t="s">
        <v>414</v>
      </c>
    </row>
    <row r="658" spans="32:34" x14ac:dyDescent="0.25">
      <c r="AH658" s="15" t="s">
        <v>415</v>
      </c>
    </row>
    <row r="659" spans="32:34" x14ac:dyDescent="0.25">
      <c r="AH659" s="15" t="s">
        <v>416</v>
      </c>
    </row>
    <row r="660" spans="32:34" x14ac:dyDescent="0.25">
      <c r="AG660" s="15" t="s">
        <v>353</v>
      </c>
    </row>
    <row r="661" spans="32:34" x14ac:dyDescent="0.25">
      <c r="AG661" s="15" t="s">
        <v>394</v>
      </c>
    </row>
    <row r="662" spans="32:34" x14ac:dyDescent="0.25">
      <c r="AG662" s="15" t="s">
        <v>353</v>
      </c>
    </row>
    <row r="663" spans="32:34" x14ac:dyDescent="0.25">
      <c r="AG663" s="15" t="s">
        <v>417</v>
      </c>
    </row>
    <row r="664" spans="32:34" x14ac:dyDescent="0.25">
      <c r="AG664" s="15" t="s">
        <v>376</v>
      </c>
    </row>
    <row r="665" spans="32:34" x14ac:dyDescent="0.25">
      <c r="AH665" s="15" t="s">
        <v>418</v>
      </c>
    </row>
    <row r="666" spans="32:34" x14ac:dyDescent="0.25">
      <c r="AH666" s="15" t="s">
        <v>419</v>
      </c>
    </row>
    <row r="667" spans="32:34" x14ac:dyDescent="0.25">
      <c r="AH667" s="15" t="s">
        <v>364</v>
      </c>
    </row>
    <row r="668" spans="32:34" x14ac:dyDescent="0.25">
      <c r="AG668" s="15" t="s">
        <v>364</v>
      </c>
    </row>
    <row r="669" spans="32:34" x14ac:dyDescent="0.25">
      <c r="AG669" s="15" t="s">
        <v>400</v>
      </c>
    </row>
    <row r="670" spans="32:34" x14ac:dyDescent="0.25">
      <c r="AF670" s="15" t="s">
        <v>352</v>
      </c>
    </row>
    <row r="671" spans="32:34" x14ac:dyDescent="0.25">
      <c r="AG671" s="15" t="s">
        <v>353</v>
      </c>
    </row>
    <row r="672" spans="32:34" x14ac:dyDescent="0.25">
      <c r="AG672" s="15" t="s">
        <v>337</v>
      </c>
    </row>
    <row r="673" spans="33:35" x14ac:dyDescent="0.25">
      <c r="AH673" s="15" t="s">
        <v>420</v>
      </c>
    </row>
    <row r="674" spans="33:35" x14ac:dyDescent="0.25">
      <c r="AH674" s="15" t="s">
        <v>347</v>
      </c>
    </row>
    <row r="675" spans="33:35" x14ac:dyDescent="0.25">
      <c r="AH675" s="15" t="s">
        <v>376</v>
      </c>
    </row>
    <row r="676" spans="33:35" x14ac:dyDescent="0.25">
      <c r="AI676" s="15" t="s">
        <v>421</v>
      </c>
    </row>
    <row r="677" spans="33:35" x14ac:dyDescent="0.25">
      <c r="AI677" s="15" t="s">
        <v>422</v>
      </c>
    </row>
    <row r="678" spans="33:35" x14ac:dyDescent="0.25">
      <c r="AI678" s="15" t="s">
        <v>379</v>
      </c>
    </row>
    <row r="679" spans="33:35" x14ac:dyDescent="0.25">
      <c r="AH679" s="15" t="s">
        <v>421</v>
      </c>
    </row>
    <row r="680" spans="33:35" x14ac:dyDescent="0.25">
      <c r="AH680" s="15" t="s">
        <v>423</v>
      </c>
    </row>
    <row r="681" spans="33:35" x14ac:dyDescent="0.25">
      <c r="AH681" s="15" t="s">
        <v>424</v>
      </c>
    </row>
    <row r="682" spans="33:35" x14ac:dyDescent="0.25">
      <c r="AH682" s="15" t="s">
        <v>425</v>
      </c>
    </row>
    <row r="683" spans="33:35" x14ac:dyDescent="0.25">
      <c r="AH683" s="15" t="s">
        <v>426</v>
      </c>
    </row>
    <row r="684" spans="33:35" x14ac:dyDescent="0.25">
      <c r="AH684" s="15" t="s">
        <v>347</v>
      </c>
    </row>
    <row r="685" spans="33:35" x14ac:dyDescent="0.25">
      <c r="AH685" s="15" t="s">
        <v>427</v>
      </c>
    </row>
    <row r="686" spans="33:35" x14ac:dyDescent="0.25">
      <c r="AH686" s="15" t="s">
        <v>428</v>
      </c>
    </row>
    <row r="687" spans="33:35" x14ac:dyDescent="0.25">
      <c r="AG687" s="15" t="s">
        <v>352</v>
      </c>
    </row>
    <row r="688" spans="33:35" x14ac:dyDescent="0.25">
      <c r="AH688" s="15" t="s">
        <v>429</v>
      </c>
    </row>
    <row r="689" spans="33:36" x14ac:dyDescent="0.25">
      <c r="AG689" s="15" t="s">
        <v>430</v>
      </c>
    </row>
    <row r="690" spans="33:36" x14ac:dyDescent="0.25">
      <c r="AH690" s="15" t="s">
        <v>431</v>
      </c>
    </row>
    <row r="691" spans="33:36" x14ac:dyDescent="0.25">
      <c r="AI691" s="15" t="s">
        <v>432</v>
      </c>
    </row>
    <row r="692" spans="33:36" x14ac:dyDescent="0.25">
      <c r="AJ692" s="15" t="s">
        <v>433</v>
      </c>
    </row>
    <row r="693" spans="33:36" x14ac:dyDescent="0.25">
      <c r="AI693" s="15" t="s">
        <v>364</v>
      </c>
    </row>
    <row r="694" spans="33:36" x14ac:dyDescent="0.25">
      <c r="AG694" s="15" t="s">
        <v>434</v>
      </c>
    </row>
    <row r="695" spans="33:36" x14ac:dyDescent="0.25">
      <c r="AG695" s="15" t="s">
        <v>337</v>
      </c>
    </row>
    <row r="696" spans="33:36" x14ac:dyDescent="0.25">
      <c r="AH696" s="15" t="s">
        <v>435</v>
      </c>
    </row>
    <row r="697" spans="33:36" x14ac:dyDescent="0.25">
      <c r="AH697" s="15" t="s">
        <v>347</v>
      </c>
    </row>
    <row r="698" spans="33:36" x14ac:dyDescent="0.25">
      <c r="AH698" s="15" t="s">
        <v>376</v>
      </c>
    </row>
    <row r="699" spans="33:36" x14ac:dyDescent="0.25">
      <c r="AI699" s="15" t="s">
        <v>421</v>
      </c>
    </row>
    <row r="700" spans="33:36" x14ac:dyDescent="0.25">
      <c r="AI700" s="15" t="s">
        <v>422</v>
      </c>
    </row>
    <row r="701" spans="33:36" x14ac:dyDescent="0.25">
      <c r="AI701" s="15" t="s">
        <v>379</v>
      </c>
    </row>
    <row r="702" spans="33:36" x14ac:dyDescent="0.25">
      <c r="AH702" s="15" t="s">
        <v>421</v>
      </c>
    </row>
    <row r="703" spans="33:36" x14ac:dyDescent="0.25">
      <c r="AH703" s="15" t="s">
        <v>423</v>
      </c>
    </row>
    <row r="704" spans="33:36" x14ac:dyDescent="0.25">
      <c r="AH704" s="15" t="s">
        <v>424</v>
      </c>
    </row>
    <row r="705" spans="33:36" x14ac:dyDescent="0.25">
      <c r="AH705" s="15" t="s">
        <v>425</v>
      </c>
    </row>
    <row r="706" spans="33:36" x14ac:dyDescent="0.25">
      <c r="AH706" s="15" t="s">
        <v>426</v>
      </c>
    </row>
    <row r="707" spans="33:36" x14ac:dyDescent="0.25">
      <c r="AH707" s="15" t="s">
        <v>347</v>
      </c>
    </row>
    <row r="708" spans="33:36" x14ac:dyDescent="0.25">
      <c r="AH708" s="15" t="s">
        <v>427</v>
      </c>
    </row>
    <row r="709" spans="33:36" x14ac:dyDescent="0.25">
      <c r="AH709" s="15" t="s">
        <v>428</v>
      </c>
    </row>
    <row r="710" spans="33:36" x14ac:dyDescent="0.25">
      <c r="AG710" s="15" t="s">
        <v>352</v>
      </c>
    </row>
    <row r="711" spans="33:36" x14ac:dyDescent="0.25">
      <c r="AH711" s="15" t="s">
        <v>429</v>
      </c>
    </row>
    <row r="712" spans="33:36" x14ac:dyDescent="0.25">
      <c r="AG712" s="15" t="s">
        <v>430</v>
      </c>
    </row>
    <row r="713" spans="33:36" x14ac:dyDescent="0.25">
      <c r="AH713" s="15" t="s">
        <v>436</v>
      </c>
    </row>
    <row r="714" spans="33:36" x14ac:dyDescent="0.25">
      <c r="AI714" s="15" t="s">
        <v>432</v>
      </c>
    </row>
    <row r="715" spans="33:36" x14ac:dyDescent="0.25">
      <c r="AJ715" s="15" t="s">
        <v>433</v>
      </c>
    </row>
    <row r="716" spans="33:36" x14ac:dyDescent="0.25">
      <c r="AI716" s="15" t="s">
        <v>364</v>
      </c>
    </row>
    <row r="717" spans="33:36" x14ac:dyDescent="0.25">
      <c r="AG717" s="15" t="s">
        <v>389</v>
      </c>
    </row>
    <row r="718" spans="33:36" x14ac:dyDescent="0.25">
      <c r="AH718" s="15" t="s">
        <v>391</v>
      </c>
    </row>
    <row r="719" spans="33:36" x14ac:dyDescent="0.25">
      <c r="AI719" s="15" t="s">
        <v>437</v>
      </c>
    </row>
    <row r="720" spans="33:36" x14ac:dyDescent="0.25">
      <c r="AJ720" s="15" t="s">
        <v>438</v>
      </c>
    </row>
    <row r="721" spans="31:37" x14ac:dyDescent="0.25">
      <c r="AK721" s="15" t="s">
        <v>439</v>
      </c>
    </row>
    <row r="722" spans="31:37" x14ac:dyDescent="0.25">
      <c r="AH722" s="15" t="s">
        <v>391</v>
      </c>
    </row>
    <row r="723" spans="31:37" x14ac:dyDescent="0.25">
      <c r="AI723" s="15" t="s">
        <v>440</v>
      </c>
    </row>
    <row r="724" spans="31:37" x14ac:dyDescent="0.25">
      <c r="AJ724" s="15" t="s">
        <v>438</v>
      </c>
    </row>
    <row r="725" spans="31:37" x14ac:dyDescent="0.25">
      <c r="AK725" s="15" t="s">
        <v>441</v>
      </c>
    </row>
    <row r="726" spans="31:37" x14ac:dyDescent="0.25">
      <c r="AF726" s="15" t="s">
        <v>389</v>
      </c>
    </row>
    <row r="727" spans="31:37" x14ac:dyDescent="0.25">
      <c r="AE727" s="15" t="s">
        <v>434</v>
      </c>
    </row>
    <row r="728" spans="31:37" x14ac:dyDescent="0.25">
      <c r="AE728" s="15" t="s">
        <v>337</v>
      </c>
    </row>
    <row r="729" spans="31:37" x14ac:dyDescent="0.25">
      <c r="AF729" s="15" t="s">
        <v>393</v>
      </c>
    </row>
    <row r="730" spans="31:37" x14ac:dyDescent="0.25">
      <c r="AF730" s="15" t="s">
        <v>347</v>
      </c>
    </row>
    <row r="731" spans="31:37" x14ac:dyDescent="0.25">
      <c r="AF731" s="15" t="s">
        <v>338</v>
      </c>
    </row>
    <row r="732" spans="31:37" x14ac:dyDescent="0.25">
      <c r="AF732" s="15" t="s">
        <v>339</v>
      </c>
    </row>
    <row r="733" spans="31:37" x14ac:dyDescent="0.25">
      <c r="AF733" s="15" t="s">
        <v>340</v>
      </c>
    </row>
    <row r="734" spans="31:37" x14ac:dyDescent="0.25">
      <c r="AF734" s="15" t="s">
        <v>341</v>
      </c>
    </row>
    <row r="735" spans="31:37" x14ac:dyDescent="0.25">
      <c r="AF735" s="15" t="s">
        <v>342</v>
      </c>
    </row>
    <row r="736" spans="31:37" x14ac:dyDescent="0.25">
      <c r="AF736" s="15" t="s">
        <v>344</v>
      </c>
    </row>
    <row r="737" spans="31:34" x14ac:dyDescent="0.25">
      <c r="AF737" s="15" t="s">
        <v>347</v>
      </c>
    </row>
    <row r="738" spans="31:34" x14ac:dyDescent="0.25">
      <c r="AF738" s="15" t="s">
        <v>413</v>
      </c>
    </row>
    <row r="739" spans="31:34" x14ac:dyDescent="0.25">
      <c r="AF739" s="15" t="s">
        <v>392</v>
      </c>
    </row>
    <row r="740" spans="31:34" x14ac:dyDescent="0.25">
      <c r="AE740" s="15" t="s">
        <v>352</v>
      </c>
    </row>
    <row r="741" spans="31:34" x14ac:dyDescent="0.25">
      <c r="AF741" s="15" t="s">
        <v>353</v>
      </c>
    </row>
    <row r="742" spans="31:34" x14ac:dyDescent="0.25">
      <c r="AF742" s="15" t="s">
        <v>337</v>
      </c>
    </row>
    <row r="743" spans="31:34" x14ac:dyDescent="0.25">
      <c r="AG743" s="15" t="s">
        <v>420</v>
      </c>
    </row>
    <row r="744" spans="31:34" x14ac:dyDescent="0.25">
      <c r="AG744" s="15" t="s">
        <v>347</v>
      </c>
    </row>
    <row r="745" spans="31:34" x14ac:dyDescent="0.25">
      <c r="AG745" s="15" t="s">
        <v>376</v>
      </c>
    </row>
    <row r="746" spans="31:34" x14ac:dyDescent="0.25">
      <c r="AH746" s="15" t="s">
        <v>421</v>
      </c>
    </row>
    <row r="747" spans="31:34" x14ac:dyDescent="0.25">
      <c r="AH747" s="15" t="s">
        <v>422</v>
      </c>
    </row>
    <row r="748" spans="31:34" x14ac:dyDescent="0.25">
      <c r="AH748" s="15" t="s">
        <v>379</v>
      </c>
    </row>
    <row r="749" spans="31:34" x14ac:dyDescent="0.25">
      <c r="AG749" s="15" t="s">
        <v>421</v>
      </c>
    </row>
    <row r="750" spans="31:34" x14ac:dyDescent="0.25">
      <c r="AG750" s="15" t="s">
        <v>423</v>
      </c>
    </row>
    <row r="751" spans="31:34" x14ac:dyDescent="0.25">
      <c r="AG751" s="15" t="s">
        <v>424</v>
      </c>
    </row>
    <row r="752" spans="31:34" x14ac:dyDescent="0.25">
      <c r="AG752" s="15" t="s">
        <v>425</v>
      </c>
    </row>
    <row r="753" spans="32:35" x14ac:dyDescent="0.25">
      <c r="AG753" s="15" t="s">
        <v>426</v>
      </c>
    </row>
    <row r="754" spans="32:35" x14ac:dyDescent="0.25">
      <c r="AG754" s="15" t="s">
        <v>347</v>
      </c>
    </row>
    <row r="755" spans="32:35" x14ac:dyDescent="0.25">
      <c r="AG755" s="15" t="s">
        <v>442</v>
      </c>
    </row>
    <row r="756" spans="32:35" x14ac:dyDescent="0.25">
      <c r="AG756" s="15" t="s">
        <v>443</v>
      </c>
    </row>
    <row r="757" spans="32:35" x14ac:dyDescent="0.25">
      <c r="AF757" s="15" t="s">
        <v>352</v>
      </c>
    </row>
    <row r="758" spans="32:35" x14ac:dyDescent="0.25">
      <c r="AG758" s="15" t="s">
        <v>444</v>
      </c>
    </row>
    <row r="759" spans="32:35" x14ac:dyDescent="0.25">
      <c r="AF759" s="15" t="s">
        <v>430</v>
      </c>
    </row>
    <row r="760" spans="32:35" x14ac:dyDescent="0.25">
      <c r="AG760" s="15" t="s">
        <v>431</v>
      </c>
    </row>
    <row r="761" spans="32:35" x14ac:dyDescent="0.25">
      <c r="AH761" s="15" t="s">
        <v>432</v>
      </c>
    </row>
    <row r="762" spans="32:35" x14ac:dyDescent="0.25">
      <c r="AI762" s="15" t="s">
        <v>433</v>
      </c>
    </row>
    <row r="763" spans="32:35" x14ac:dyDescent="0.25">
      <c r="AH763" s="15" t="s">
        <v>364</v>
      </c>
    </row>
    <row r="764" spans="32:35" x14ac:dyDescent="0.25">
      <c r="AF764" s="15" t="s">
        <v>434</v>
      </c>
    </row>
    <row r="765" spans="32:35" x14ac:dyDescent="0.25">
      <c r="AF765" s="15" t="s">
        <v>337</v>
      </c>
    </row>
    <row r="766" spans="32:35" x14ac:dyDescent="0.25">
      <c r="AG766" s="15" t="s">
        <v>435</v>
      </c>
    </row>
    <row r="767" spans="32:35" x14ac:dyDescent="0.25">
      <c r="AG767" s="15" t="s">
        <v>347</v>
      </c>
    </row>
    <row r="768" spans="32:35" x14ac:dyDescent="0.25">
      <c r="AG768" s="15" t="s">
        <v>376</v>
      </c>
    </row>
    <row r="769" spans="32:34" x14ac:dyDescent="0.25">
      <c r="AH769" s="15" t="s">
        <v>421</v>
      </c>
    </row>
    <row r="770" spans="32:34" x14ac:dyDescent="0.25">
      <c r="AH770" s="15" t="s">
        <v>422</v>
      </c>
    </row>
    <row r="771" spans="32:34" x14ac:dyDescent="0.25">
      <c r="AH771" s="15" t="s">
        <v>379</v>
      </c>
    </row>
    <row r="772" spans="32:34" x14ac:dyDescent="0.25">
      <c r="AG772" s="15" t="s">
        <v>421</v>
      </c>
    </row>
    <row r="773" spans="32:34" x14ac:dyDescent="0.25">
      <c r="AG773" s="15" t="s">
        <v>423</v>
      </c>
    </row>
    <row r="774" spans="32:34" x14ac:dyDescent="0.25">
      <c r="AG774" s="15" t="s">
        <v>424</v>
      </c>
    </row>
    <row r="775" spans="32:34" x14ac:dyDescent="0.25">
      <c r="AG775" s="15" t="s">
        <v>425</v>
      </c>
    </row>
    <row r="776" spans="32:34" x14ac:dyDescent="0.25">
      <c r="AG776" s="15" t="s">
        <v>426</v>
      </c>
    </row>
    <row r="777" spans="32:34" x14ac:dyDescent="0.25">
      <c r="AG777" s="15" t="s">
        <v>347</v>
      </c>
    </row>
    <row r="778" spans="32:34" x14ac:dyDescent="0.25">
      <c r="AG778" s="15" t="s">
        <v>442</v>
      </c>
    </row>
    <row r="779" spans="32:34" x14ac:dyDescent="0.25">
      <c r="AG779" s="15" t="s">
        <v>443</v>
      </c>
    </row>
    <row r="780" spans="32:34" x14ac:dyDescent="0.25">
      <c r="AF780" s="15" t="s">
        <v>352</v>
      </c>
    </row>
    <row r="781" spans="32:34" x14ac:dyDescent="0.25">
      <c r="AG781" s="15" t="s">
        <v>444</v>
      </c>
    </row>
    <row r="782" spans="32:34" x14ac:dyDescent="0.25">
      <c r="AF782" s="15" t="s">
        <v>430</v>
      </c>
    </row>
    <row r="783" spans="32:34" x14ac:dyDescent="0.25">
      <c r="AG783" s="15" t="s">
        <v>436</v>
      </c>
    </row>
    <row r="784" spans="32:34" x14ac:dyDescent="0.25">
      <c r="AH784" s="15" t="s">
        <v>432</v>
      </c>
    </row>
    <row r="785" spans="30:35" x14ac:dyDescent="0.25">
      <c r="AI785" s="15" t="s">
        <v>433</v>
      </c>
    </row>
    <row r="786" spans="30:35" x14ac:dyDescent="0.25">
      <c r="AH786" s="15" t="s">
        <v>364</v>
      </c>
    </row>
    <row r="787" spans="30:35" x14ac:dyDescent="0.25">
      <c r="AF787" s="15" t="s">
        <v>389</v>
      </c>
    </row>
    <row r="788" spans="30:35" x14ac:dyDescent="0.25">
      <c r="AE788" s="15" t="s">
        <v>389</v>
      </c>
    </row>
    <row r="789" spans="30:35" x14ac:dyDescent="0.25">
      <c r="AF789" s="15" t="s">
        <v>391</v>
      </c>
    </row>
    <row r="790" spans="30:35" x14ac:dyDescent="0.25">
      <c r="AG790" s="15" t="s">
        <v>445</v>
      </c>
    </row>
    <row r="791" spans="30:35" x14ac:dyDescent="0.25">
      <c r="AH791" s="15" t="s">
        <v>438</v>
      </c>
    </row>
    <row r="792" spans="30:35" x14ac:dyDescent="0.25">
      <c r="AI792" s="15" t="s">
        <v>446</v>
      </c>
    </row>
    <row r="793" spans="30:35" x14ac:dyDescent="0.25">
      <c r="AF793" s="15" t="s">
        <v>391</v>
      </c>
    </row>
    <row r="794" spans="30:35" x14ac:dyDescent="0.25">
      <c r="AG794" s="15" t="s">
        <v>447</v>
      </c>
    </row>
    <row r="795" spans="30:35" x14ac:dyDescent="0.25">
      <c r="AH795" s="15" t="s">
        <v>438</v>
      </c>
    </row>
    <row r="796" spans="30:35" x14ac:dyDescent="0.25">
      <c r="AI796" s="15" t="s">
        <v>448</v>
      </c>
    </row>
    <row r="797" spans="30:35" x14ac:dyDescent="0.25">
      <c r="AD797" s="15" t="s">
        <v>434</v>
      </c>
    </row>
    <row r="798" spans="30:35" x14ac:dyDescent="0.25">
      <c r="AD798" s="15" t="s">
        <v>337</v>
      </c>
    </row>
    <row r="799" spans="30:35" x14ac:dyDescent="0.25">
      <c r="AE799" s="15" t="s">
        <v>393</v>
      </c>
    </row>
    <row r="800" spans="30:35" x14ac:dyDescent="0.25">
      <c r="AE800" s="15" t="s">
        <v>347</v>
      </c>
    </row>
    <row r="801" spans="30:33" x14ac:dyDescent="0.25">
      <c r="AE801" s="15" t="s">
        <v>338</v>
      </c>
    </row>
    <row r="802" spans="30:33" x14ac:dyDescent="0.25">
      <c r="AE802" s="15" t="s">
        <v>339</v>
      </c>
    </row>
    <row r="803" spans="30:33" x14ac:dyDescent="0.25">
      <c r="AE803" s="15" t="s">
        <v>340</v>
      </c>
    </row>
    <row r="804" spans="30:33" x14ac:dyDescent="0.25">
      <c r="AE804" s="15" t="s">
        <v>341</v>
      </c>
    </row>
    <row r="805" spans="30:33" x14ac:dyDescent="0.25">
      <c r="AE805" s="15" t="s">
        <v>342</v>
      </c>
    </row>
    <row r="806" spans="30:33" x14ac:dyDescent="0.25">
      <c r="AE806" s="15" t="s">
        <v>344</v>
      </c>
    </row>
    <row r="807" spans="30:33" x14ac:dyDescent="0.25">
      <c r="AE807" s="15" t="s">
        <v>347</v>
      </c>
    </row>
    <row r="808" spans="30:33" x14ac:dyDescent="0.25">
      <c r="AE808" s="15" t="s">
        <v>449</v>
      </c>
    </row>
    <row r="809" spans="30:33" x14ac:dyDescent="0.25">
      <c r="AE809" s="15" t="s">
        <v>392</v>
      </c>
    </row>
    <row r="810" spans="30:33" x14ac:dyDescent="0.25">
      <c r="AD810" s="15" t="s">
        <v>352</v>
      </c>
    </row>
    <row r="811" spans="30:33" x14ac:dyDescent="0.25">
      <c r="AE811" s="15" t="s">
        <v>353</v>
      </c>
    </row>
    <row r="812" spans="30:33" x14ac:dyDescent="0.25">
      <c r="AE812" s="15" t="s">
        <v>337</v>
      </c>
    </row>
    <row r="813" spans="30:33" x14ac:dyDescent="0.25">
      <c r="AF813" s="15" t="s">
        <v>420</v>
      </c>
    </row>
    <row r="814" spans="30:33" x14ac:dyDescent="0.25">
      <c r="AF814" s="15" t="s">
        <v>347</v>
      </c>
    </row>
    <row r="815" spans="30:33" x14ac:dyDescent="0.25">
      <c r="AF815" s="15" t="s">
        <v>376</v>
      </c>
    </row>
    <row r="816" spans="30:33" x14ac:dyDescent="0.25">
      <c r="AG816" s="15" t="s">
        <v>421</v>
      </c>
    </row>
    <row r="817" spans="31:34" x14ac:dyDescent="0.25">
      <c r="AG817" s="15" t="s">
        <v>422</v>
      </c>
    </row>
    <row r="818" spans="31:34" x14ac:dyDescent="0.25">
      <c r="AG818" s="15" t="s">
        <v>379</v>
      </c>
    </row>
    <row r="819" spans="31:34" x14ac:dyDescent="0.25">
      <c r="AF819" s="15" t="s">
        <v>421</v>
      </c>
    </row>
    <row r="820" spans="31:34" x14ac:dyDescent="0.25">
      <c r="AF820" s="15" t="s">
        <v>423</v>
      </c>
    </row>
    <row r="821" spans="31:34" x14ac:dyDescent="0.25">
      <c r="AF821" s="15" t="s">
        <v>424</v>
      </c>
    </row>
    <row r="822" spans="31:34" x14ac:dyDescent="0.25">
      <c r="AF822" s="15" t="s">
        <v>425</v>
      </c>
    </row>
    <row r="823" spans="31:34" x14ac:dyDescent="0.25">
      <c r="AF823" s="15" t="s">
        <v>426</v>
      </c>
    </row>
    <row r="824" spans="31:34" x14ac:dyDescent="0.25">
      <c r="AF824" s="15" t="s">
        <v>347</v>
      </c>
    </row>
    <row r="825" spans="31:34" x14ac:dyDescent="0.25">
      <c r="AF825" s="15" t="s">
        <v>450</v>
      </c>
    </row>
    <row r="826" spans="31:34" x14ac:dyDescent="0.25">
      <c r="AF826" s="15" t="s">
        <v>451</v>
      </c>
    </row>
    <row r="827" spans="31:34" x14ac:dyDescent="0.25">
      <c r="AE827" s="15" t="s">
        <v>352</v>
      </c>
    </row>
    <row r="828" spans="31:34" x14ac:dyDescent="0.25">
      <c r="AF828" s="15" t="s">
        <v>452</v>
      </c>
    </row>
    <row r="829" spans="31:34" x14ac:dyDescent="0.25">
      <c r="AE829" s="15" t="s">
        <v>430</v>
      </c>
    </row>
    <row r="830" spans="31:34" x14ac:dyDescent="0.25">
      <c r="AF830" s="15" t="s">
        <v>431</v>
      </c>
    </row>
    <row r="831" spans="31:34" x14ac:dyDescent="0.25">
      <c r="AG831" s="15" t="s">
        <v>432</v>
      </c>
    </row>
    <row r="832" spans="31:34" x14ac:dyDescent="0.25">
      <c r="AH832" s="15" t="s">
        <v>433</v>
      </c>
    </row>
    <row r="833" spans="31:33" x14ac:dyDescent="0.25">
      <c r="AG833" s="15" t="s">
        <v>364</v>
      </c>
    </row>
    <row r="834" spans="31:33" x14ac:dyDescent="0.25">
      <c r="AE834" s="15" t="s">
        <v>434</v>
      </c>
    </row>
    <row r="835" spans="31:33" x14ac:dyDescent="0.25">
      <c r="AE835" s="15" t="s">
        <v>337</v>
      </c>
    </row>
    <row r="836" spans="31:33" x14ac:dyDescent="0.25">
      <c r="AF836" s="15" t="s">
        <v>435</v>
      </c>
    </row>
    <row r="837" spans="31:33" x14ac:dyDescent="0.25">
      <c r="AF837" s="15" t="s">
        <v>347</v>
      </c>
    </row>
    <row r="838" spans="31:33" x14ac:dyDescent="0.25">
      <c r="AF838" s="15" t="s">
        <v>376</v>
      </c>
    </row>
    <row r="839" spans="31:33" x14ac:dyDescent="0.25">
      <c r="AG839" s="15" t="s">
        <v>421</v>
      </c>
    </row>
    <row r="840" spans="31:33" x14ac:dyDescent="0.25">
      <c r="AG840" s="15" t="s">
        <v>422</v>
      </c>
    </row>
    <row r="841" spans="31:33" x14ac:dyDescent="0.25">
      <c r="AG841" s="15" t="s">
        <v>379</v>
      </c>
    </row>
    <row r="842" spans="31:33" x14ac:dyDescent="0.25">
      <c r="AF842" s="15" t="s">
        <v>421</v>
      </c>
    </row>
    <row r="843" spans="31:33" x14ac:dyDescent="0.25">
      <c r="AF843" s="15" t="s">
        <v>423</v>
      </c>
    </row>
    <row r="844" spans="31:33" x14ac:dyDescent="0.25">
      <c r="AF844" s="15" t="s">
        <v>424</v>
      </c>
    </row>
    <row r="845" spans="31:33" x14ac:dyDescent="0.25">
      <c r="AF845" s="15" t="s">
        <v>425</v>
      </c>
    </row>
    <row r="846" spans="31:33" x14ac:dyDescent="0.25">
      <c r="AF846" s="15" t="s">
        <v>426</v>
      </c>
    </row>
    <row r="847" spans="31:33" x14ac:dyDescent="0.25">
      <c r="AF847" s="15" t="s">
        <v>347</v>
      </c>
    </row>
    <row r="848" spans="31:33" x14ac:dyDescent="0.25">
      <c r="AF848" s="15" t="s">
        <v>450</v>
      </c>
    </row>
    <row r="849" spans="30:34" x14ac:dyDescent="0.25">
      <c r="AF849" s="15" t="s">
        <v>451</v>
      </c>
    </row>
    <row r="850" spans="30:34" x14ac:dyDescent="0.25">
      <c r="AE850" s="15" t="s">
        <v>352</v>
      </c>
    </row>
    <row r="851" spans="30:34" x14ac:dyDescent="0.25">
      <c r="AF851" s="15" t="s">
        <v>452</v>
      </c>
    </row>
    <row r="852" spans="30:34" x14ac:dyDescent="0.25">
      <c r="AE852" s="15" t="s">
        <v>430</v>
      </c>
    </row>
    <row r="853" spans="30:34" x14ac:dyDescent="0.25">
      <c r="AF853" s="15" t="s">
        <v>436</v>
      </c>
    </row>
    <row r="854" spans="30:34" x14ac:dyDescent="0.25">
      <c r="AG854" s="15" t="s">
        <v>432</v>
      </c>
    </row>
    <row r="855" spans="30:34" x14ac:dyDescent="0.25">
      <c r="AH855" s="15" t="s">
        <v>433</v>
      </c>
    </row>
    <row r="856" spans="30:34" x14ac:dyDescent="0.25">
      <c r="AG856" s="15" t="s">
        <v>364</v>
      </c>
    </row>
    <row r="857" spans="30:34" x14ac:dyDescent="0.25">
      <c r="AE857" s="15" t="s">
        <v>389</v>
      </c>
    </row>
    <row r="858" spans="30:34" x14ac:dyDescent="0.25">
      <c r="AD858" s="15" t="s">
        <v>389</v>
      </c>
    </row>
    <row r="859" spans="30:34" x14ac:dyDescent="0.25">
      <c r="AE859" s="15" t="s">
        <v>391</v>
      </c>
    </row>
    <row r="860" spans="30:34" x14ac:dyDescent="0.25">
      <c r="AF860" s="15" t="s">
        <v>453</v>
      </c>
    </row>
    <row r="861" spans="30:34" x14ac:dyDescent="0.25">
      <c r="AG861" s="15" t="s">
        <v>438</v>
      </c>
    </row>
    <row r="862" spans="30:34" x14ac:dyDescent="0.25">
      <c r="AH862" s="15" t="s">
        <v>454</v>
      </c>
    </row>
    <row r="863" spans="30:34" x14ac:dyDescent="0.25">
      <c r="AE863" s="15" t="s">
        <v>391</v>
      </c>
    </row>
    <row r="864" spans="30:34" x14ac:dyDescent="0.25">
      <c r="AF864" s="15" t="s">
        <v>455</v>
      </c>
    </row>
    <row r="865" spans="29:34" x14ac:dyDescent="0.25">
      <c r="AG865" s="15" t="s">
        <v>438</v>
      </c>
    </row>
    <row r="866" spans="29:34" x14ac:dyDescent="0.25">
      <c r="AH866" s="15" t="s">
        <v>456</v>
      </c>
    </row>
    <row r="867" spans="29:34" x14ac:dyDescent="0.25">
      <c r="AC867" s="15" t="s">
        <v>434</v>
      </c>
    </row>
    <row r="868" spans="29:34" x14ac:dyDescent="0.25">
      <c r="AC868" s="15" t="s">
        <v>337</v>
      </c>
    </row>
    <row r="869" spans="29:34" x14ac:dyDescent="0.25">
      <c r="AD869" s="15" t="s">
        <v>393</v>
      </c>
    </row>
    <row r="870" spans="29:34" x14ac:dyDescent="0.25">
      <c r="AD870" s="15" t="s">
        <v>347</v>
      </c>
    </row>
    <row r="871" spans="29:34" x14ac:dyDescent="0.25">
      <c r="AD871" s="15" t="s">
        <v>338</v>
      </c>
    </row>
    <row r="872" spans="29:34" x14ac:dyDescent="0.25">
      <c r="AD872" s="15" t="s">
        <v>339</v>
      </c>
    </row>
    <row r="873" spans="29:34" x14ac:dyDescent="0.25">
      <c r="AD873" s="15" t="s">
        <v>340</v>
      </c>
    </row>
    <row r="874" spans="29:34" x14ac:dyDescent="0.25">
      <c r="AD874" s="15" t="s">
        <v>341</v>
      </c>
    </row>
    <row r="875" spans="29:34" x14ac:dyDescent="0.25">
      <c r="AD875" s="15" t="s">
        <v>342</v>
      </c>
    </row>
    <row r="876" spans="29:34" x14ac:dyDescent="0.25">
      <c r="AD876" s="15" t="s">
        <v>344</v>
      </c>
    </row>
    <row r="877" spans="29:34" x14ac:dyDescent="0.25">
      <c r="AD877" s="15" t="s">
        <v>347</v>
      </c>
    </row>
    <row r="878" spans="29:34" x14ac:dyDescent="0.25">
      <c r="AD878" s="15" t="s">
        <v>457</v>
      </c>
    </row>
    <row r="879" spans="29:34" x14ac:dyDescent="0.25">
      <c r="AD879" s="15" t="s">
        <v>392</v>
      </c>
    </row>
    <row r="880" spans="29:34" x14ac:dyDescent="0.25">
      <c r="AC880" s="15" t="s">
        <v>352</v>
      </c>
    </row>
    <row r="881" spans="30:32" x14ac:dyDescent="0.25">
      <c r="AD881" s="15" t="s">
        <v>353</v>
      </c>
    </row>
    <row r="882" spans="30:32" x14ac:dyDescent="0.25">
      <c r="AD882" s="15" t="s">
        <v>337</v>
      </c>
    </row>
    <row r="883" spans="30:32" x14ac:dyDescent="0.25">
      <c r="AE883" s="15" t="s">
        <v>420</v>
      </c>
    </row>
    <row r="884" spans="30:32" x14ac:dyDescent="0.25">
      <c r="AE884" s="15" t="s">
        <v>347</v>
      </c>
    </row>
    <row r="885" spans="30:32" x14ac:dyDescent="0.25">
      <c r="AE885" s="15" t="s">
        <v>376</v>
      </c>
    </row>
    <row r="886" spans="30:32" x14ac:dyDescent="0.25">
      <c r="AF886" s="15" t="s">
        <v>421</v>
      </c>
    </row>
    <row r="887" spans="30:32" x14ac:dyDescent="0.25">
      <c r="AF887" s="15" t="s">
        <v>422</v>
      </c>
    </row>
    <row r="888" spans="30:32" x14ac:dyDescent="0.25">
      <c r="AF888" s="15" t="s">
        <v>379</v>
      </c>
    </row>
    <row r="889" spans="30:32" x14ac:dyDescent="0.25">
      <c r="AE889" s="15" t="s">
        <v>421</v>
      </c>
    </row>
    <row r="890" spans="30:32" x14ac:dyDescent="0.25">
      <c r="AE890" s="15" t="s">
        <v>423</v>
      </c>
    </row>
    <row r="891" spans="30:32" x14ac:dyDescent="0.25">
      <c r="AE891" s="15" t="s">
        <v>424</v>
      </c>
    </row>
    <row r="892" spans="30:32" x14ac:dyDescent="0.25">
      <c r="AE892" s="15" t="s">
        <v>425</v>
      </c>
    </row>
    <row r="893" spans="30:32" x14ac:dyDescent="0.25">
      <c r="AE893" s="15" t="s">
        <v>426</v>
      </c>
    </row>
    <row r="894" spans="30:32" x14ac:dyDescent="0.25">
      <c r="AE894" s="15" t="s">
        <v>347</v>
      </c>
    </row>
    <row r="895" spans="30:32" x14ac:dyDescent="0.25">
      <c r="AE895" s="15" t="s">
        <v>458</v>
      </c>
    </row>
    <row r="896" spans="30:32" x14ac:dyDescent="0.25">
      <c r="AE896" s="15" t="s">
        <v>459</v>
      </c>
    </row>
    <row r="897" spans="30:33" x14ac:dyDescent="0.25">
      <c r="AD897" s="15" t="s">
        <v>352</v>
      </c>
    </row>
    <row r="898" spans="30:33" x14ac:dyDescent="0.25">
      <c r="AE898" s="15" t="s">
        <v>460</v>
      </c>
    </row>
    <row r="899" spans="30:33" x14ac:dyDescent="0.25">
      <c r="AD899" s="15" t="s">
        <v>430</v>
      </c>
    </row>
    <row r="900" spans="30:33" x14ac:dyDescent="0.25">
      <c r="AE900" s="15" t="s">
        <v>431</v>
      </c>
    </row>
    <row r="901" spans="30:33" x14ac:dyDescent="0.25">
      <c r="AF901" s="15" t="s">
        <v>432</v>
      </c>
    </row>
    <row r="902" spans="30:33" x14ac:dyDescent="0.25">
      <c r="AG902" s="15" t="s">
        <v>433</v>
      </c>
    </row>
    <row r="903" spans="30:33" x14ac:dyDescent="0.25">
      <c r="AF903" s="15" t="s">
        <v>364</v>
      </c>
    </row>
    <row r="904" spans="30:33" x14ac:dyDescent="0.25">
      <c r="AD904" s="15" t="s">
        <v>434</v>
      </c>
    </row>
    <row r="905" spans="30:33" x14ac:dyDescent="0.25">
      <c r="AD905" s="15" t="s">
        <v>337</v>
      </c>
    </row>
    <row r="906" spans="30:33" x14ac:dyDescent="0.25">
      <c r="AE906" s="15" t="s">
        <v>435</v>
      </c>
    </row>
    <row r="907" spans="30:33" x14ac:dyDescent="0.25">
      <c r="AE907" s="15" t="s">
        <v>347</v>
      </c>
    </row>
    <row r="908" spans="30:33" x14ac:dyDescent="0.25">
      <c r="AE908" s="15" t="s">
        <v>376</v>
      </c>
    </row>
    <row r="909" spans="30:33" x14ac:dyDescent="0.25">
      <c r="AF909" s="15" t="s">
        <v>421</v>
      </c>
    </row>
    <row r="910" spans="30:33" x14ac:dyDescent="0.25">
      <c r="AF910" s="15" t="s">
        <v>422</v>
      </c>
    </row>
    <row r="911" spans="30:33" x14ac:dyDescent="0.25">
      <c r="AF911" s="15" t="s">
        <v>379</v>
      </c>
    </row>
    <row r="912" spans="30:33" x14ac:dyDescent="0.25">
      <c r="AE912" s="15" t="s">
        <v>421</v>
      </c>
    </row>
    <row r="913" spans="29:33" x14ac:dyDescent="0.25">
      <c r="AE913" s="15" t="s">
        <v>423</v>
      </c>
    </row>
    <row r="914" spans="29:33" x14ac:dyDescent="0.25">
      <c r="AE914" s="15" t="s">
        <v>424</v>
      </c>
    </row>
    <row r="915" spans="29:33" x14ac:dyDescent="0.25">
      <c r="AE915" s="15" t="s">
        <v>425</v>
      </c>
    </row>
    <row r="916" spans="29:33" x14ac:dyDescent="0.25">
      <c r="AE916" s="15" t="s">
        <v>426</v>
      </c>
    </row>
    <row r="917" spans="29:33" x14ac:dyDescent="0.25">
      <c r="AE917" s="15" t="s">
        <v>347</v>
      </c>
    </row>
    <row r="918" spans="29:33" x14ac:dyDescent="0.25">
      <c r="AE918" s="15" t="s">
        <v>458</v>
      </c>
    </row>
    <row r="919" spans="29:33" x14ac:dyDescent="0.25">
      <c r="AE919" s="15" t="s">
        <v>459</v>
      </c>
    </row>
    <row r="920" spans="29:33" x14ac:dyDescent="0.25">
      <c r="AD920" s="15" t="s">
        <v>352</v>
      </c>
    </row>
    <row r="921" spans="29:33" x14ac:dyDescent="0.25">
      <c r="AE921" s="15" t="s">
        <v>460</v>
      </c>
    </row>
    <row r="922" spans="29:33" x14ac:dyDescent="0.25">
      <c r="AD922" s="15" t="s">
        <v>430</v>
      </c>
    </row>
    <row r="923" spans="29:33" x14ac:dyDescent="0.25">
      <c r="AE923" s="15" t="s">
        <v>436</v>
      </c>
    </row>
    <row r="924" spans="29:33" x14ac:dyDescent="0.25">
      <c r="AF924" s="15" t="s">
        <v>432</v>
      </c>
    </row>
    <row r="925" spans="29:33" x14ac:dyDescent="0.25">
      <c r="AG925" s="15" t="s">
        <v>433</v>
      </c>
    </row>
    <row r="926" spans="29:33" x14ac:dyDescent="0.25">
      <c r="AF926" s="15" t="s">
        <v>364</v>
      </c>
    </row>
    <row r="927" spans="29:33" x14ac:dyDescent="0.25">
      <c r="AD927" s="15" t="s">
        <v>389</v>
      </c>
    </row>
    <row r="928" spans="29:33" x14ac:dyDescent="0.25">
      <c r="AC928" s="15" t="s">
        <v>389</v>
      </c>
    </row>
    <row r="929" spans="28:33" x14ac:dyDescent="0.25">
      <c r="AD929" s="15" t="s">
        <v>391</v>
      </c>
    </row>
    <row r="930" spans="28:33" x14ac:dyDescent="0.25">
      <c r="AE930" s="15" t="s">
        <v>461</v>
      </c>
    </row>
    <row r="931" spans="28:33" x14ac:dyDescent="0.25">
      <c r="AF931" s="15" t="s">
        <v>438</v>
      </c>
    </row>
    <row r="932" spans="28:33" x14ac:dyDescent="0.25">
      <c r="AG932" s="15" t="s">
        <v>462</v>
      </c>
    </row>
    <row r="933" spans="28:33" x14ac:dyDescent="0.25">
      <c r="AD933" s="15" t="s">
        <v>391</v>
      </c>
    </row>
    <row r="934" spans="28:33" x14ac:dyDescent="0.25">
      <c r="AE934" s="15" t="s">
        <v>463</v>
      </c>
    </row>
    <row r="935" spans="28:33" x14ac:dyDescent="0.25">
      <c r="AF935" s="15" t="s">
        <v>438</v>
      </c>
    </row>
    <row r="936" spans="28:33" x14ac:dyDescent="0.25">
      <c r="AG936" s="15" t="s">
        <v>464</v>
      </c>
    </row>
    <row r="937" spans="28:33" x14ac:dyDescent="0.25">
      <c r="AB937" s="15" t="s">
        <v>434</v>
      </c>
    </row>
    <row r="938" spans="28:33" x14ac:dyDescent="0.25">
      <c r="AB938" s="15" t="s">
        <v>337</v>
      </c>
    </row>
    <row r="939" spans="28:33" x14ac:dyDescent="0.25">
      <c r="AC939" s="15" t="s">
        <v>393</v>
      </c>
    </row>
    <row r="940" spans="28:33" x14ac:dyDescent="0.25">
      <c r="AC940" s="15" t="s">
        <v>347</v>
      </c>
    </row>
    <row r="941" spans="28:33" x14ac:dyDescent="0.25">
      <c r="AC941" s="15" t="s">
        <v>338</v>
      </c>
    </row>
    <row r="942" spans="28:33" x14ac:dyDescent="0.25">
      <c r="AC942" s="15" t="s">
        <v>339</v>
      </c>
    </row>
    <row r="943" spans="28:33" x14ac:dyDescent="0.25">
      <c r="AC943" s="15" t="s">
        <v>340</v>
      </c>
    </row>
    <row r="944" spans="28:33" x14ac:dyDescent="0.25">
      <c r="AC944" s="15" t="s">
        <v>341</v>
      </c>
    </row>
    <row r="945" spans="28:31" x14ac:dyDescent="0.25">
      <c r="AC945" s="15" t="s">
        <v>342</v>
      </c>
    </row>
    <row r="946" spans="28:31" x14ac:dyDescent="0.25">
      <c r="AC946" s="15" t="s">
        <v>344</v>
      </c>
    </row>
    <row r="947" spans="28:31" x14ac:dyDescent="0.25">
      <c r="AC947" s="15" t="s">
        <v>347</v>
      </c>
    </row>
    <row r="948" spans="28:31" x14ac:dyDescent="0.25">
      <c r="AC948" s="15" t="s">
        <v>392</v>
      </c>
    </row>
    <row r="949" spans="28:31" x14ac:dyDescent="0.25">
      <c r="AB949" s="15" t="s">
        <v>352</v>
      </c>
    </row>
    <row r="950" spans="28:31" x14ac:dyDescent="0.25">
      <c r="AC950" s="15" t="s">
        <v>353</v>
      </c>
    </row>
    <row r="951" spans="28:31" x14ac:dyDescent="0.25">
      <c r="AC951" s="15" t="s">
        <v>337</v>
      </c>
    </row>
    <row r="952" spans="28:31" x14ac:dyDescent="0.25">
      <c r="AD952" s="15" t="s">
        <v>420</v>
      </c>
    </row>
    <row r="953" spans="28:31" x14ac:dyDescent="0.25">
      <c r="AD953" s="15" t="s">
        <v>347</v>
      </c>
    </row>
    <row r="954" spans="28:31" x14ac:dyDescent="0.25">
      <c r="AD954" s="15" t="s">
        <v>376</v>
      </c>
    </row>
    <row r="955" spans="28:31" x14ac:dyDescent="0.25">
      <c r="AE955" s="15" t="s">
        <v>421</v>
      </c>
    </row>
    <row r="956" spans="28:31" x14ac:dyDescent="0.25">
      <c r="AE956" s="15" t="s">
        <v>422</v>
      </c>
    </row>
    <row r="957" spans="28:31" x14ac:dyDescent="0.25">
      <c r="AE957" s="15" t="s">
        <v>379</v>
      </c>
    </row>
    <row r="958" spans="28:31" x14ac:dyDescent="0.25">
      <c r="AD958" s="15" t="s">
        <v>421</v>
      </c>
    </row>
    <row r="959" spans="28:31" x14ac:dyDescent="0.25">
      <c r="AD959" s="15" t="s">
        <v>423</v>
      </c>
    </row>
    <row r="960" spans="28:31" x14ac:dyDescent="0.25">
      <c r="AD960" s="15" t="s">
        <v>424</v>
      </c>
    </row>
    <row r="961" spans="29:32" x14ac:dyDescent="0.25">
      <c r="AD961" s="15" t="s">
        <v>425</v>
      </c>
    </row>
    <row r="962" spans="29:32" x14ac:dyDescent="0.25">
      <c r="AD962" s="15" t="s">
        <v>426</v>
      </c>
    </row>
    <row r="963" spans="29:32" x14ac:dyDescent="0.25">
      <c r="AD963" s="15" t="s">
        <v>347</v>
      </c>
    </row>
    <row r="964" spans="29:32" x14ac:dyDescent="0.25">
      <c r="AD964" s="15" t="s">
        <v>465</v>
      </c>
    </row>
    <row r="965" spans="29:32" x14ac:dyDescent="0.25">
      <c r="AC965" s="15" t="s">
        <v>352</v>
      </c>
    </row>
    <row r="966" spans="29:32" x14ac:dyDescent="0.25">
      <c r="AD966" s="15" t="s">
        <v>466</v>
      </c>
    </row>
    <row r="967" spans="29:32" x14ac:dyDescent="0.25">
      <c r="AC967" s="15" t="s">
        <v>430</v>
      </c>
    </row>
    <row r="968" spans="29:32" x14ac:dyDescent="0.25">
      <c r="AD968" s="15" t="s">
        <v>431</v>
      </c>
    </row>
    <row r="969" spans="29:32" x14ac:dyDescent="0.25">
      <c r="AE969" s="15" t="s">
        <v>432</v>
      </c>
    </row>
    <row r="970" spans="29:32" x14ac:dyDescent="0.25">
      <c r="AF970" s="15" t="s">
        <v>433</v>
      </c>
    </row>
    <row r="971" spans="29:32" x14ac:dyDescent="0.25">
      <c r="AE971" s="15" t="s">
        <v>364</v>
      </c>
    </row>
    <row r="972" spans="29:32" x14ac:dyDescent="0.25">
      <c r="AC972" s="15" t="s">
        <v>434</v>
      </c>
    </row>
    <row r="973" spans="29:32" x14ac:dyDescent="0.25">
      <c r="AC973" s="15" t="s">
        <v>337</v>
      </c>
    </row>
    <row r="974" spans="29:32" x14ac:dyDescent="0.25">
      <c r="AD974" s="15" t="s">
        <v>435</v>
      </c>
    </row>
    <row r="975" spans="29:32" x14ac:dyDescent="0.25">
      <c r="AD975" s="15" t="s">
        <v>347</v>
      </c>
    </row>
    <row r="976" spans="29:32" x14ac:dyDescent="0.25">
      <c r="AD976" s="15" t="s">
        <v>376</v>
      </c>
    </row>
    <row r="977" spans="29:32" x14ac:dyDescent="0.25">
      <c r="AE977" s="15" t="s">
        <v>421</v>
      </c>
    </row>
    <row r="978" spans="29:32" x14ac:dyDescent="0.25">
      <c r="AE978" s="15" t="s">
        <v>422</v>
      </c>
    </row>
    <row r="979" spans="29:32" x14ac:dyDescent="0.25">
      <c r="AE979" s="15" t="s">
        <v>379</v>
      </c>
    </row>
    <row r="980" spans="29:32" x14ac:dyDescent="0.25">
      <c r="AD980" s="15" t="s">
        <v>421</v>
      </c>
    </row>
    <row r="981" spans="29:32" x14ac:dyDescent="0.25">
      <c r="AD981" s="15" t="s">
        <v>423</v>
      </c>
    </row>
    <row r="982" spans="29:32" x14ac:dyDescent="0.25">
      <c r="AD982" s="15" t="s">
        <v>424</v>
      </c>
    </row>
    <row r="983" spans="29:32" x14ac:dyDescent="0.25">
      <c r="AD983" s="15" t="s">
        <v>425</v>
      </c>
    </row>
    <row r="984" spans="29:32" x14ac:dyDescent="0.25">
      <c r="AD984" s="15" t="s">
        <v>426</v>
      </c>
    </row>
    <row r="985" spans="29:32" x14ac:dyDescent="0.25">
      <c r="AD985" s="15" t="s">
        <v>347</v>
      </c>
    </row>
    <row r="986" spans="29:32" x14ac:dyDescent="0.25">
      <c r="AD986" s="15" t="s">
        <v>465</v>
      </c>
    </row>
    <row r="987" spans="29:32" x14ac:dyDescent="0.25">
      <c r="AC987" s="15" t="s">
        <v>352</v>
      </c>
    </row>
    <row r="988" spans="29:32" x14ac:dyDescent="0.25">
      <c r="AD988" s="15" t="s">
        <v>466</v>
      </c>
    </row>
    <row r="989" spans="29:32" x14ac:dyDescent="0.25">
      <c r="AC989" s="15" t="s">
        <v>430</v>
      </c>
    </row>
    <row r="990" spans="29:32" x14ac:dyDescent="0.25">
      <c r="AD990" s="15" t="s">
        <v>436</v>
      </c>
    </row>
    <row r="991" spans="29:32" x14ac:dyDescent="0.25">
      <c r="AE991" s="15" t="s">
        <v>432</v>
      </c>
    </row>
    <row r="992" spans="29:32" x14ac:dyDescent="0.25">
      <c r="AF992" s="15" t="s">
        <v>433</v>
      </c>
    </row>
    <row r="993" spans="24:31" x14ac:dyDescent="0.25">
      <c r="AE993" s="15" t="s">
        <v>364</v>
      </c>
    </row>
    <row r="994" spans="24:31" x14ac:dyDescent="0.25">
      <c r="AC994" s="15" t="s">
        <v>389</v>
      </c>
    </row>
    <row r="995" spans="24:31" x14ac:dyDescent="0.25">
      <c r="AB995" s="15" t="s">
        <v>389</v>
      </c>
    </row>
    <row r="996" spans="24:31" x14ac:dyDescent="0.25">
      <c r="AA996" s="15" t="s">
        <v>467</v>
      </c>
    </row>
    <row r="997" spans="24:31" x14ac:dyDescent="0.25">
      <c r="AB997" s="15" t="s">
        <v>438</v>
      </c>
    </row>
    <row r="998" spans="24:31" x14ac:dyDescent="0.25">
      <c r="AC998" s="15" t="s">
        <v>468</v>
      </c>
    </row>
    <row r="999" spans="24:31" x14ac:dyDescent="0.25">
      <c r="AC999" s="15" t="s">
        <v>469</v>
      </c>
    </row>
    <row r="1000" spans="24:31" x14ac:dyDescent="0.25">
      <c r="AC1000" s="15" t="s">
        <v>470</v>
      </c>
    </row>
    <row r="1001" spans="24:31" x14ac:dyDescent="0.25">
      <c r="X1001" s="15" t="s">
        <v>389</v>
      </c>
    </row>
    <row r="1002" spans="24:31" x14ac:dyDescent="0.25">
      <c r="Y1002" s="15" t="s">
        <v>391</v>
      </c>
    </row>
    <row r="1003" spans="24:31" x14ac:dyDescent="0.25">
      <c r="Z1003" s="15" t="s">
        <v>353</v>
      </c>
    </row>
    <row r="1004" spans="24:31" x14ac:dyDescent="0.25">
      <c r="Z1004" s="15" t="s">
        <v>337</v>
      </c>
    </row>
    <row r="1005" spans="24:31" x14ac:dyDescent="0.25">
      <c r="AA1005" s="15" t="s">
        <v>471</v>
      </c>
    </row>
    <row r="1006" spans="24:31" x14ac:dyDescent="0.25">
      <c r="AA1006" s="15" t="s">
        <v>472</v>
      </c>
    </row>
    <row r="1007" spans="24:31" x14ac:dyDescent="0.25">
      <c r="Z1007" s="15" t="s">
        <v>473</v>
      </c>
    </row>
    <row r="1008" spans="24:31" x14ac:dyDescent="0.25">
      <c r="AA1008" s="15" t="s">
        <v>438</v>
      </c>
    </row>
    <row r="1009" spans="20:28" x14ac:dyDescent="0.25">
      <c r="AB1009" s="15" t="s">
        <v>474</v>
      </c>
    </row>
    <row r="1010" spans="20:28" x14ac:dyDescent="0.25">
      <c r="W1010" s="15" t="s">
        <v>389</v>
      </c>
    </row>
    <row r="1011" spans="20:28" x14ac:dyDescent="0.25">
      <c r="V1011" s="15" t="s">
        <v>374</v>
      </c>
    </row>
    <row r="1012" spans="20:28" x14ac:dyDescent="0.25">
      <c r="V1012" s="15" t="s">
        <v>389</v>
      </c>
    </row>
    <row r="1013" spans="20:28" x14ac:dyDescent="0.25">
      <c r="W1013" s="15" t="s">
        <v>391</v>
      </c>
    </row>
    <row r="1014" spans="20:28" x14ac:dyDescent="0.25">
      <c r="X1014" s="15" t="s">
        <v>353</v>
      </c>
    </row>
    <row r="1015" spans="20:28" x14ac:dyDescent="0.25">
      <c r="X1015" s="15" t="s">
        <v>337</v>
      </c>
    </row>
    <row r="1016" spans="20:28" x14ac:dyDescent="0.25">
      <c r="Y1016" s="15" t="s">
        <v>475</v>
      </c>
    </row>
    <row r="1017" spans="20:28" x14ac:dyDescent="0.25">
      <c r="Y1017" s="15" t="s">
        <v>476</v>
      </c>
    </row>
    <row r="1018" spans="20:28" x14ac:dyDescent="0.25">
      <c r="Y1018" s="15" t="s">
        <v>477</v>
      </c>
    </row>
    <row r="1019" spans="20:28" x14ac:dyDescent="0.25">
      <c r="X1019" s="15" t="s">
        <v>478</v>
      </c>
    </row>
    <row r="1020" spans="20:28" x14ac:dyDescent="0.25">
      <c r="Y1020" s="15" t="s">
        <v>438</v>
      </c>
    </row>
    <row r="1021" spans="20:28" x14ac:dyDescent="0.25">
      <c r="Z1021" s="15" t="s">
        <v>479</v>
      </c>
    </row>
    <row r="1022" spans="20:28" x14ac:dyDescent="0.25">
      <c r="U1022" s="15" t="s">
        <v>389</v>
      </c>
    </row>
    <row r="1023" spans="20:28" x14ac:dyDescent="0.25">
      <c r="T1023" s="15" t="s">
        <v>389</v>
      </c>
    </row>
  </sheetData>
  <pageMargins left="0.7" right="0.7" top="0.75" bottom="0.75" header="0.3" footer="0.3"/>
  <ignoredErrors>
    <ignoredError sqref="J597:K597 J596:K596 J15:K15 J516:K516 J78:K78 J85:K85 J95:K95 J109:K109 J119:K119 J126:K126 J128:K128 I141:K141 J171:K171 J530:K531 J235:K235 J256:K256 J279:K279 J605:K605 J608:K608 J304:K304 J310:K310 J578:K578 J609:K609 J539:K539 J613:K613 J355:K355 J394:K394 J396:K396 J400:K400 J415:K415 J281:K281 J583:K583 J442:K442 J545:K545 J585:K585 J548:K548 J500:K500 J20:K20 J54:K54 J599:K599 J600:K600 J520:K520 J96:K96 J553:K553 J524:K524 J592:K592 J375:K375 J614:K614 J615:K615 J418:K418 J616:K616 J461:K461 J10:K1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76"/>
  <sheetViews>
    <sheetView topLeftCell="A61" workbookViewId="0">
      <selection activeCell="C76" sqref="C76"/>
    </sheetView>
  </sheetViews>
  <sheetFormatPr defaultRowHeight="15" x14ac:dyDescent="0.25"/>
  <cols>
    <col min="2" max="2" width="28.85546875" bestFit="1" customWidth="1"/>
    <col min="3" max="3" width="109.85546875" bestFit="1" customWidth="1"/>
  </cols>
  <sheetData>
    <row r="2" spans="2:4" x14ac:dyDescent="0.25">
      <c r="B2" s="1"/>
      <c r="C2" s="1"/>
      <c r="D2" s="1"/>
    </row>
    <row r="3" spans="2:4" x14ac:dyDescent="0.25">
      <c r="B3" s="3" t="s">
        <v>109</v>
      </c>
      <c r="C3" s="2" t="s">
        <v>40</v>
      </c>
      <c r="D3" s="2" t="s">
        <v>179</v>
      </c>
    </row>
    <row r="4" spans="2:4" x14ac:dyDescent="0.25">
      <c r="B4" s="3" t="s">
        <v>110</v>
      </c>
      <c r="C4" s="2" t="s">
        <v>41</v>
      </c>
      <c r="D4" s="2" t="s">
        <v>179</v>
      </c>
    </row>
    <row r="5" spans="2:4" x14ac:dyDescent="0.25">
      <c r="B5" s="3" t="s">
        <v>111</v>
      </c>
      <c r="C5" s="3" t="s">
        <v>42</v>
      </c>
      <c r="D5" s="3" t="s">
        <v>180</v>
      </c>
    </row>
    <row r="6" spans="2:4" x14ac:dyDescent="0.25">
      <c r="B6" s="7" t="s">
        <v>112</v>
      </c>
      <c r="C6" s="3" t="s">
        <v>43</v>
      </c>
      <c r="D6" s="3" t="s">
        <v>179</v>
      </c>
    </row>
    <row r="7" spans="2:4" x14ac:dyDescent="0.25">
      <c r="B7" s="3" t="s">
        <v>113</v>
      </c>
      <c r="C7" s="3" t="s">
        <v>44</v>
      </c>
      <c r="D7" s="3" t="s">
        <v>180</v>
      </c>
    </row>
    <row r="8" spans="2:4" x14ac:dyDescent="0.25">
      <c r="B8" s="3" t="s">
        <v>114</v>
      </c>
      <c r="C8" s="3" t="s">
        <v>45</v>
      </c>
      <c r="D8" s="3" t="s">
        <v>179</v>
      </c>
    </row>
    <row r="9" spans="2:4" x14ac:dyDescent="0.25">
      <c r="B9" s="3" t="s">
        <v>115</v>
      </c>
      <c r="C9" s="3" t="s">
        <v>46</v>
      </c>
      <c r="D9" s="3" t="s">
        <v>179</v>
      </c>
    </row>
    <row r="10" spans="2:4" x14ac:dyDescent="0.25">
      <c r="B10" s="3" t="s">
        <v>116</v>
      </c>
      <c r="C10" s="3" t="s">
        <v>47</v>
      </c>
      <c r="D10" s="3" t="s">
        <v>179</v>
      </c>
    </row>
    <row r="11" spans="2:4" x14ac:dyDescent="0.25">
      <c r="B11" s="3" t="s">
        <v>117</v>
      </c>
      <c r="C11" s="3" t="s">
        <v>48</v>
      </c>
      <c r="D11" s="3" t="s">
        <v>179</v>
      </c>
    </row>
    <row r="12" spans="2:4" x14ac:dyDescent="0.25">
      <c r="B12" s="3" t="s">
        <v>118</v>
      </c>
      <c r="C12" s="3" t="s">
        <v>49</v>
      </c>
      <c r="D12" s="3" t="s">
        <v>179</v>
      </c>
    </row>
    <row r="13" spans="2:4" x14ac:dyDescent="0.25">
      <c r="B13" s="3" t="s">
        <v>119</v>
      </c>
      <c r="C13" s="3" t="s">
        <v>50</v>
      </c>
      <c r="D13" s="3" t="s">
        <v>179</v>
      </c>
    </row>
    <row r="14" spans="2:4" x14ac:dyDescent="0.25">
      <c r="B14" s="3" t="s">
        <v>120</v>
      </c>
      <c r="C14" s="3" t="s">
        <v>51</v>
      </c>
      <c r="D14" s="3" t="s">
        <v>179</v>
      </c>
    </row>
    <row r="15" spans="2:4" x14ac:dyDescent="0.25">
      <c r="B15" s="3" t="s">
        <v>121</v>
      </c>
      <c r="C15" s="3" t="s">
        <v>52</v>
      </c>
      <c r="D15" s="3" t="s">
        <v>179</v>
      </c>
    </row>
    <row r="16" spans="2:4" x14ac:dyDescent="0.25">
      <c r="B16" s="3" t="s">
        <v>122</v>
      </c>
      <c r="C16" s="3" t="s">
        <v>53</v>
      </c>
      <c r="D16" s="3" t="s">
        <v>179</v>
      </c>
    </row>
    <row r="17" spans="2:4" x14ac:dyDescent="0.25">
      <c r="B17" s="3" t="s">
        <v>123</v>
      </c>
      <c r="C17" s="3" t="s">
        <v>54</v>
      </c>
      <c r="D17" s="3" t="s">
        <v>180</v>
      </c>
    </row>
    <row r="18" spans="2:4" x14ac:dyDescent="0.25">
      <c r="B18" s="3" t="s">
        <v>124</v>
      </c>
      <c r="C18" s="3" t="s">
        <v>55</v>
      </c>
      <c r="D18" s="3" t="s">
        <v>180</v>
      </c>
    </row>
    <row r="19" spans="2:4" x14ac:dyDescent="0.25">
      <c r="B19" s="3" t="s">
        <v>125</v>
      </c>
      <c r="C19" s="3" t="s">
        <v>56</v>
      </c>
      <c r="D19" s="3" t="s">
        <v>180</v>
      </c>
    </row>
    <row r="20" spans="2:4" x14ac:dyDescent="0.25">
      <c r="B20" s="3" t="s">
        <v>126</v>
      </c>
      <c r="C20" s="3" t="s">
        <v>57</v>
      </c>
      <c r="D20" s="3" t="s">
        <v>179</v>
      </c>
    </row>
    <row r="21" spans="2:4" x14ac:dyDescent="0.25">
      <c r="B21" s="3" t="s">
        <v>127</v>
      </c>
      <c r="C21" s="3" t="s">
        <v>58</v>
      </c>
      <c r="D21" s="3" t="s">
        <v>179</v>
      </c>
    </row>
    <row r="22" spans="2:4" x14ac:dyDescent="0.25">
      <c r="B22" s="3" t="s">
        <v>128</v>
      </c>
      <c r="C22" s="3" t="s">
        <v>59</v>
      </c>
      <c r="D22" s="3" t="s">
        <v>180</v>
      </c>
    </row>
    <row r="23" spans="2:4" x14ac:dyDescent="0.25">
      <c r="B23" s="3" t="s">
        <v>129</v>
      </c>
      <c r="C23" s="3" t="s">
        <v>60</v>
      </c>
      <c r="D23" s="3" t="s">
        <v>179</v>
      </c>
    </row>
    <row r="24" spans="2:4" x14ac:dyDescent="0.25">
      <c r="B24" s="3" t="s">
        <v>130</v>
      </c>
      <c r="C24" s="3" t="s">
        <v>61</v>
      </c>
      <c r="D24" s="3" t="s">
        <v>179</v>
      </c>
    </row>
    <row r="25" spans="2:4" x14ac:dyDescent="0.25">
      <c r="B25" s="3" t="s">
        <v>131</v>
      </c>
      <c r="C25" s="3" t="s">
        <v>62</v>
      </c>
      <c r="D25" s="3" t="s">
        <v>179</v>
      </c>
    </row>
    <row r="26" spans="2:4" x14ac:dyDescent="0.25">
      <c r="B26" s="3" t="s">
        <v>132</v>
      </c>
      <c r="C26" s="3" t="s">
        <v>63</v>
      </c>
      <c r="D26" s="3" t="s">
        <v>179</v>
      </c>
    </row>
    <row r="27" spans="2:4" x14ac:dyDescent="0.25">
      <c r="B27" s="3" t="s">
        <v>133</v>
      </c>
      <c r="C27" s="3" t="s">
        <v>64</v>
      </c>
      <c r="D27" s="3" t="s">
        <v>180</v>
      </c>
    </row>
    <row r="28" spans="2:4" x14ac:dyDescent="0.25">
      <c r="B28" s="3" t="s">
        <v>134</v>
      </c>
      <c r="C28" s="3" t="s">
        <v>65</v>
      </c>
      <c r="D28" s="3" t="s">
        <v>179</v>
      </c>
    </row>
    <row r="29" spans="2:4" x14ac:dyDescent="0.25">
      <c r="B29" s="2" t="s">
        <v>135</v>
      </c>
      <c r="C29" s="3" t="s">
        <v>66</v>
      </c>
      <c r="D29" s="3" t="s">
        <v>180</v>
      </c>
    </row>
    <row r="30" spans="2:4" x14ac:dyDescent="0.25">
      <c r="B30" s="2" t="s">
        <v>136</v>
      </c>
      <c r="C30" s="3" t="s">
        <v>67</v>
      </c>
      <c r="D30" s="3" t="s">
        <v>179</v>
      </c>
    </row>
    <row r="31" spans="2:4" x14ac:dyDescent="0.25">
      <c r="B31" s="3" t="s">
        <v>137</v>
      </c>
      <c r="C31" s="3" t="s">
        <v>68</v>
      </c>
      <c r="D31" s="3" t="s">
        <v>180</v>
      </c>
    </row>
    <row r="32" spans="2:4" x14ac:dyDescent="0.25">
      <c r="B32" s="3" t="s">
        <v>138</v>
      </c>
      <c r="C32" s="3" t="s">
        <v>69</v>
      </c>
      <c r="D32" s="3" t="s">
        <v>179</v>
      </c>
    </row>
    <row r="33" spans="2:4" x14ac:dyDescent="0.25">
      <c r="B33" s="3" t="s">
        <v>139</v>
      </c>
      <c r="C33" s="3" t="s">
        <v>70</v>
      </c>
      <c r="D33" s="3" t="s">
        <v>180</v>
      </c>
    </row>
    <row r="34" spans="2:4" x14ac:dyDescent="0.25">
      <c r="B34" s="3" t="s">
        <v>140</v>
      </c>
      <c r="C34" s="3" t="s">
        <v>71</v>
      </c>
      <c r="D34" s="3" t="s">
        <v>179</v>
      </c>
    </row>
    <row r="35" spans="2:4" x14ac:dyDescent="0.25">
      <c r="B35" s="3" t="s">
        <v>141</v>
      </c>
      <c r="C35" s="4" t="s">
        <v>72</v>
      </c>
      <c r="D35" s="3" t="s">
        <v>179</v>
      </c>
    </row>
    <row r="36" spans="2:4" x14ac:dyDescent="0.25">
      <c r="B36" s="3" t="s">
        <v>142</v>
      </c>
      <c r="C36" s="3" t="s">
        <v>73</v>
      </c>
      <c r="D36" s="3" t="s">
        <v>179</v>
      </c>
    </row>
    <row r="37" spans="2:4" x14ac:dyDescent="0.25">
      <c r="B37" s="3" t="s">
        <v>143</v>
      </c>
      <c r="C37" s="3" t="s">
        <v>74</v>
      </c>
      <c r="D37" s="3" t="s">
        <v>180</v>
      </c>
    </row>
    <row r="38" spans="2:4" x14ac:dyDescent="0.25">
      <c r="B38" s="3" t="s">
        <v>144</v>
      </c>
      <c r="C38" s="3" t="s">
        <v>75</v>
      </c>
      <c r="D38" s="3" t="s">
        <v>179</v>
      </c>
    </row>
    <row r="39" spans="2:4" x14ac:dyDescent="0.25">
      <c r="B39" s="3" t="s">
        <v>145</v>
      </c>
      <c r="C39" s="3" t="s">
        <v>76</v>
      </c>
      <c r="D39" s="3" t="s">
        <v>179</v>
      </c>
    </row>
    <row r="40" spans="2:4" x14ac:dyDescent="0.25">
      <c r="B40" s="3" t="s">
        <v>146</v>
      </c>
      <c r="C40" s="3" t="s">
        <v>77</v>
      </c>
      <c r="D40" s="3" t="s">
        <v>179</v>
      </c>
    </row>
    <row r="41" spans="2:4" x14ac:dyDescent="0.25">
      <c r="B41" s="3" t="s">
        <v>147</v>
      </c>
      <c r="C41" s="3" t="s">
        <v>78</v>
      </c>
      <c r="D41" s="3" t="s">
        <v>179</v>
      </c>
    </row>
    <row r="42" spans="2:4" x14ac:dyDescent="0.25">
      <c r="B42" s="3" t="s">
        <v>148</v>
      </c>
      <c r="C42" s="4" t="s">
        <v>79</v>
      </c>
      <c r="D42" s="3" t="s">
        <v>180</v>
      </c>
    </row>
    <row r="43" spans="2:4" x14ac:dyDescent="0.25">
      <c r="B43" s="3" t="s">
        <v>149</v>
      </c>
      <c r="C43" s="3" t="s">
        <v>80</v>
      </c>
      <c r="D43" s="3" t="s">
        <v>180</v>
      </c>
    </row>
    <row r="44" spans="2:4" x14ac:dyDescent="0.25">
      <c r="B44" s="3" t="s">
        <v>150</v>
      </c>
      <c r="C44" s="3" t="s">
        <v>81</v>
      </c>
      <c r="D44" s="3" t="s">
        <v>179</v>
      </c>
    </row>
    <row r="45" spans="2:4" x14ac:dyDescent="0.25">
      <c r="B45" s="3" t="s">
        <v>151</v>
      </c>
      <c r="C45" s="3" t="s">
        <v>82</v>
      </c>
      <c r="D45" s="3" t="s">
        <v>179</v>
      </c>
    </row>
    <row r="46" spans="2:4" x14ac:dyDescent="0.25">
      <c r="B46" s="3" t="s">
        <v>152</v>
      </c>
      <c r="C46" s="3" t="s">
        <v>83</v>
      </c>
      <c r="D46" s="3" t="s">
        <v>179</v>
      </c>
    </row>
    <row r="47" spans="2:4" x14ac:dyDescent="0.25">
      <c r="B47" s="3" t="s">
        <v>153</v>
      </c>
      <c r="C47" s="3" t="s">
        <v>84</v>
      </c>
      <c r="D47" s="3" t="s">
        <v>179</v>
      </c>
    </row>
    <row r="48" spans="2:4" x14ac:dyDescent="0.25">
      <c r="B48" s="3" t="s">
        <v>154</v>
      </c>
      <c r="C48" s="3" t="s">
        <v>85</v>
      </c>
      <c r="D48" s="3" t="s">
        <v>179</v>
      </c>
    </row>
    <row r="49" spans="2:4" x14ac:dyDescent="0.25">
      <c r="B49" s="5"/>
      <c r="C49" s="5"/>
      <c r="D49" s="5"/>
    </row>
    <row r="50" spans="2:4" x14ac:dyDescent="0.25">
      <c r="B50" s="1"/>
      <c r="C50" s="1"/>
      <c r="D50" s="1"/>
    </row>
    <row r="51" spans="2:4" x14ac:dyDescent="0.25">
      <c r="B51" s="8" t="s">
        <v>155</v>
      </c>
      <c r="C51" s="3" t="s">
        <v>86</v>
      </c>
      <c r="D51" s="3" t="s">
        <v>179</v>
      </c>
    </row>
    <row r="52" spans="2:4" x14ac:dyDescent="0.25">
      <c r="B52" s="8" t="s">
        <v>156</v>
      </c>
      <c r="C52" s="3" t="s">
        <v>87</v>
      </c>
      <c r="D52" s="3" t="s">
        <v>180</v>
      </c>
    </row>
    <row r="53" spans="2:4" x14ac:dyDescent="0.25">
      <c r="B53" s="3" t="s">
        <v>157</v>
      </c>
      <c r="C53" s="3" t="s">
        <v>88</v>
      </c>
      <c r="D53" s="3" t="s">
        <v>179</v>
      </c>
    </row>
    <row r="54" spans="2:4" x14ac:dyDescent="0.25">
      <c r="B54" s="3" t="s">
        <v>158</v>
      </c>
      <c r="C54" s="3" t="s">
        <v>89</v>
      </c>
      <c r="D54" s="3" t="s">
        <v>179</v>
      </c>
    </row>
    <row r="55" spans="2:4" x14ac:dyDescent="0.25">
      <c r="B55" s="3" t="s">
        <v>159</v>
      </c>
      <c r="C55" s="3" t="s">
        <v>86</v>
      </c>
      <c r="D55" s="3" t="s">
        <v>179</v>
      </c>
    </row>
    <row r="56" spans="2:4" x14ac:dyDescent="0.25">
      <c r="B56" s="6"/>
      <c r="C56" s="6"/>
      <c r="D56" s="3"/>
    </row>
    <row r="57" spans="2:4" x14ac:dyDescent="0.25">
      <c r="B57" s="1"/>
      <c r="C57" s="1"/>
      <c r="D57" s="1"/>
    </row>
    <row r="58" spans="2:4" x14ac:dyDescent="0.25">
      <c r="B58" s="3" t="s">
        <v>160</v>
      </c>
      <c r="C58" s="3" t="s">
        <v>90</v>
      </c>
      <c r="D58" s="3" t="s">
        <v>179</v>
      </c>
    </row>
    <row r="59" spans="2:4" x14ac:dyDescent="0.25">
      <c r="B59" s="3" t="s">
        <v>161</v>
      </c>
      <c r="C59" s="3" t="s">
        <v>91</v>
      </c>
      <c r="D59" s="3" t="s">
        <v>179</v>
      </c>
    </row>
    <row r="60" spans="2:4" x14ac:dyDescent="0.25">
      <c r="B60" s="3" t="s">
        <v>162</v>
      </c>
      <c r="C60" s="3" t="s">
        <v>92</v>
      </c>
      <c r="D60" s="3" t="s">
        <v>179</v>
      </c>
    </row>
    <row r="61" spans="2:4" x14ac:dyDescent="0.25">
      <c r="B61" s="3" t="s">
        <v>163</v>
      </c>
      <c r="C61" s="3" t="s">
        <v>93</v>
      </c>
      <c r="D61" s="3" t="s">
        <v>179</v>
      </c>
    </row>
    <row r="62" spans="2:4" x14ac:dyDescent="0.25">
      <c r="B62" s="3" t="s">
        <v>164</v>
      </c>
      <c r="C62" s="3" t="s">
        <v>94</v>
      </c>
      <c r="D62" s="3" t="s">
        <v>179</v>
      </c>
    </row>
    <row r="63" spans="2:4" x14ac:dyDescent="0.25">
      <c r="B63" s="3" t="s">
        <v>165</v>
      </c>
      <c r="C63" s="3" t="s">
        <v>95</v>
      </c>
      <c r="D63" s="3" t="s">
        <v>180</v>
      </c>
    </row>
    <row r="64" spans="2:4" x14ac:dyDescent="0.25">
      <c r="B64" s="3" t="s">
        <v>166</v>
      </c>
      <c r="C64" s="3" t="s">
        <v>96</v>
      </c>
      <c r="D64" s="3" t="s">
        <v>179</v>
      </c>
    </row>
    <row r="65" spans="2:4" x14ac:dyDescent="0.25">
      <c r="B65" s="3" t="s">
        <v>167</v>
      </c>
      <c r="C65" s="3" t="s">
        <v>97</v>
      </c>
      <c r="D65" s="3" t="s">
        <v>179</v>
      </c>
    </row>
    <row r="66" spans="2:4" x14ac:dyDescent="0.25">
      <c r="B66" s="3" t="s">
        <v>168</v>
      </c>
      <c r="C66" s="3" t="s">
        <v>98</v>
      </c>
      <c r="D66" s="3" t="s">
        <v>179</v>
      </c>
    </row>
    <row r="67" spans="2:4" x14ac:dyDescent="0.25">
      <c r="B67" s="9" t="s">
        <v>169</v>
      </c>
      <c r="C67" s="3" t="s">
        <v>99</v>
      </c>
      <c r="D67" s="3" t="s">
        <v>179</v>
      </c>
    </row>
    <row r="68" spans="2:4" x14ac:dyDescent="0.25">
      <c r="B68" s="3" t="s">
        <v>170</v>
      </c>
      <c r="C68" s="3" t="s">
        <v>100</v>
      </c>
      <c r="D68" s="3" t="s">
        <v>179</v>
      </c>
    </row>
    <row r="69" spans="2:4" x14ac:dyDescent="0.25">
      <c r="B69" s="3" t="s">
        <v>171</v>
      </c>
      <c r="C69" s="3" t="s">
        <v>101</v>
      </c>
      <c r="D69" s="3" t="s">
        <v>179</v>
      </c>
    </row>
    <row r="70" spans="2:4" x14ac:dyDescent="0.25">
      <c r="B70" s="3" t="s">
        <v>172</v>
      </c>
      <c r="C70" s="3" t="s">
        <v>102</v>
      </c>
      <c r="D70" s="3" t="s">
        <v>179</v>
      </c>
    </row>
    <row r="71" spans="2:4" x14ac:dyDescent="0.25">
      <c r="B71" s="3" t="s">
        <v>173</v>
      </c>
      <c r="C71" s="3" t="s">
        <v>103</v>
      </c>
      <c r="D71" s="3" t="s">
        <v>179</v>
      </c>
    </row>
    <row r="72" spans="2:4" x14ac:dyDescent="0.25">
      <c r="B72" s="3" t="s">
        <v>174</v>
      </c>
      <c r="C72" s="3" t="s">
        <v>104</v>
      </c>
      <c r="D72" s="3" t="s">
        <v>179</v>
      </c>
    </row>
    <row r="73" spans="2:4" x14ac:dyDescent="0.25">
      <c r="B73" s="3" t="s">
        <v>175</v>
      </c>
      <c r="C73" s="3" t="s">
        <v>105</v>
      </c>
      <c r="D73" s="3" t="s">
        <v>179</v>
      </c>
    </row>
    <row r="74" spans="2:4" x14ac:dyDescent="0.25">
      <c r="B74" s="3" t="s">
        <v>176</v>
      </c>
      <c r="C74" s="3" t="s">
        <v>106</v>
      </c>
      <c r="D74" s="3" t="s">
        <v>179</v>
      </c>
    </row>
    <row r="75" spans="2:4" x14ac:dyDescent="0.25">
      <c r="B75" s="3" t="s">
        <v>177</v>
      </c>
      <c r="C75" s="3" t="s">
        <v>107</v>
      </c>
      <c r="D75" s="3" t="s">
        <v>179</v>
      </c>
    </row>
    <row r="76" spans="2:4" x14ac:dyDescent="0.25">
      <c r="B76" s="3" t="s">
        <v>178</v>
      </c>
      <c r="C76" s="3" t="s">
        <v>108</v>
      </c>
      <c r="D76" s="3" t="s">
        <v>179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2025-12-24T11:42:57Z</dcterms:modified>
</cp:coreProperties>
</file>