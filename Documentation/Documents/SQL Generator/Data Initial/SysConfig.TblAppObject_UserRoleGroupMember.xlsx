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6585"/>
  </bookViews>
  <sheets>
    <sheet name="MAIN" sheetId="1" r:id="rId1"/>
    <sheet name="DataLookUp" sheetId="2" r:id="rId2"/>
  </sheets>
  <externalReferences>
    <externalReference r:id="rId3"/>
    <externalReference r:id="rId4"/>
  </externalReferences>
  <calcPr calcId="152511"/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4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B81" i="1"/>
  <c r="C81" i="1"/>
  <c r="B82" i="1"/>
  <c r="C82" i="1"/>
  <c r="B83" i="1"/>
  <c r="C83" i="1"/>
  <c r="B84" i="1"/>
  <c r="C84" i="1"/>
  <c r="B75" i="1"/>
  <c r="C75" i="1"/>
  <c r="B76" i="1"/>
  <c r="C76" i="1"/>
  <c r="B77" i="1"/>
  <c r="C77" i="1"/>
  <c r="B78" i="1"/>
  <c r="C78" i="1"/>
  <c r="B79" i="1"/>
  <c r="C79" i="1"/>
  <c r="B80" i="1"/>
  <c r="C80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E12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B4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4" i="1"/>
  <c r="C2" i="2" l="1"/>
  <c r="G4" i="1" l="1"/>
  <c r="B4" i="2" s="1"/>
  <c r="C4" i="2" s="1"/>
  <c r="G5" i="1" l="1"/>
  <c r="B5" i="2" s="1"/>
  <c r="C5" i="2" s="1"/>
  <c r="G6" i="1" l="1"/>
  <c r="B6" i="2" s="1"/>
  <c r="C6" i="2" s="1"/>
  <c r="G7" i="1" l="1"/>
  <c r="B7" i="2" s="1"/>
  <c r="C7" i="2" s="1"/>
  <c r="G8" i="1"/>
  <c r="B8" i="2" s="1"/>
  <c r="C8" i="2" s="1"/>
  <c r="G9" i="1" l="1"/>
  <c r="B9" i="2" s="1"/>
  <c r="C9" i="2" s="1"/>
  <c r="G10" i="1"/>
  <c r="B10" i="2" s="1"/>
  <c r="C10" i="2" s="1"/>
  <c r="G11" i="1" l="1"/>
  <c r="B11" i="2" s="1"/>
  <c r="C11" i="2" s="1"/>
  <c r="G12" i="1" l="1"/>
  <c r="B12" i="2" s="1"/>
  <c r="C12" i="2" s="1"/>
  <c r="G13" i="1" l="1"/>
  <c r="G14" i="1" l="1"/>
  <c r="B14" i="2" s="1"/>
  <c r="C14" i="2" s="1"/>
  <c r="B13" i="2"/>
  <c r="C13" i="2" s="1"/>
  <c r="G15" i="1"/>
  <c r="B15" i="2" s="1"/>
  <c r="C15" i="2" s="1"/>
  <c r="G16" i="1" l="1"/>
  <c r="B16" i="2" s="1"/>
  <c r="C16" i="2" s="1"/>
  <c r="G17" i="1" l="1"/>
  <c r="B17" i="2" s="1"/>
  <c r="C17" i="2" s="1"/>
  <c r="G18" i="1" l="1"/>
  <c r="B18" i="2" s="1"/>
  <c r="C18" i="2" s="1"/>
  <c r="G19" i="1" l="1"/>
  <c r="B19" i="2" s="1"/>
  <c r="C19" i="2" s="1"/>
  <c r="G20" i="1" l="1"/>
  <c r="G21" i="1" l="1"/>
  <c r="B21" i="2" s="1"/>
  <c r="C21" i="2" s="1"/>
  <c r="B20" i="2"/>
  <c r="C20" i="2" s="1"/>
  <c r="G22" i="1"/>
  <c r="B22" i="2" s="1"/>
  <c r="C22" i="2" s="1"/>
  <c r="G23" i="1" l="1"/>
  <c r="B23" i="2" s="1"/>
  <c r="C23" i="2" s="1"/>
  <c r="G24" i="1" l="1"/>
  <c r="B24" i="2" s="1"/>
  <c r="C24" i="2" s="1"/>
  <c r="G25" i="1" l="1"/>
  <c r="B25" i="2" s="1"/>
  <c r="C25" i="2" s="1"/>
  <c r="G26" i="1" l="1"/>
  <c r="G27" i="1" l="1"/>
  <c r="B27" i="2" s="1"/>
  <c r="C27" i="2" s="1"/>
  <c r="B26" i="2"/>
  <c r="C26" i="2" s="1"/>
  <c r="G28" i="1"/>
  <c r="B28" i="2" s="1"/>
  <c r="C28" i="2" s="1"/>
  <c r="G29" i="1" l="1"/>
  <c r="B29" i="2" s="1"/>
  <c r="C29" i="2" s="1"/>
  <c r="G30" i="1" l="1"/>
  <c r="B30" i="2" s="1"/>
  <c r="C30" i="2" s="1"/>
  <c r="G31" i="1" l="1"/>
  <c r="B31" i="2" s="1"/>
  <c r="C31" i="2" s="1"/>
  <c r="G32" i="1" l="1"/>
  <c r="B32" i="2" s="1"/>
  <c r="C32" i="2" s="1"/>
  <c r="G33" i="1" l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</calcChain>
</file>

<file path=xl/sharedStrings.xml><?xml version="1.0" encoding="utf-8"?>
<sst xmlns="http://schemas.openxmlformats.org/spreadsheetml/2006/main" count="7" uniqueCount="7">
  <si>
    <t>SYS_PID Prediction</t>
  </si>
  <si>
    <t>SQL Syntax</t>
  </si>
  <si>
    <t>Sys_PID</t>
  </si>
  <si>
    <t>User Role Group Name</t>
  </si>
  <si>
    <t>User Role Name</t>
  </si>
  <si>
    <t>User Role RefID</t>
  </si>
  <si>
    <t>User Role Group RefID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</si>
</sst>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color theme="3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0" xfId="0" applyFont="1" applyFill="1"/>
    <xf numFmtId="1" fontId="2" fillId="3" borderId="2" xfId="0" applyNumberFormat="1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 wrapText="1"/>
    </xf>
    <xf numFmtId="1" fontId="4" fillId="6" borderId="4" xfId="0" applyNumberFormat="1" applyFont="1" applyFill="1" applyBorder="1" applyAlignment="1"/>
    <xf numFmtId="1" fontId="4" fillId="6" borderId="5" xfId="0" applyNumberFormat="1" applyFont="1" applyFill="1" applyBorder="1" applyAlignment="1"/>
    <xf numFmtId="0" fontId="6" fillId="0" borderId="1" xfId="0" applyFont="1" applyBorder="1"/>
    <xf numFmtId="1" fontId="5" fillId="2" borderId="1" xfId="0" applyNumberFormat="1" applyFont="1" applyFill="1" applyBorder="1" applyAlignment="1">
      <alignment horizontal="center"/>
    </xf>
    <xf numFmtId="1" fontId="3" fillId="4" borderId="6" xfId="0" applyNumberFormat="1" applyFont="1" applyFill="1" applyBorder="1" applyAlignment="1">
      <alignment horizontal="center" vertical="center" wrapText="1"/>
    </xf>
    <xf numFmtId="1" fontId="1" fillId="5" borderId="8" xfId="0" applyNumberFormat="1" applyFont="1" applyFill="1" applyBorder="1" applyAlignment="1">
      <alignment horizontal="center"/>
    </xf>
    <xf numFmtId="1" fontId="1" fillId="0" borderId="0" xfId="0" applyNumberFormat="1" applyFont="1"/>
    <xf numFmtId="1" fontId="1" fillId="7" borderId="7" xfId="0" applyNumberFormat="1" applyFont="1" applyFill="1" applyBorder="1"/>
    <xf numFmtId="1" fontId="1" fillId="7" borderId="1" xfId="0" applyNumberFormat="1" applyFont="1" applyFill="1" applyBorder="1"/>
    <xf numFmtId="0" fontId="1" fillId="8" borderId="7" xfId="0" applyFont="1" applyFill="1" applyBorder="1"/>
    <xf numFmtId="0" fontId="1" fillId="8" borderId="1" xfId="0" applyFont="1" applyFill="1" applyBorder="1"/>
    <xf numFmtId="1" fontId="3" fillId="4" borderId="9" xfId="0" applyNumberFormat="1" applyFont="1" applyFill="1" applyBorder="1" applyAlignment="1">
      <alignment horizontal="center" vertical="center" wrapText="1"/>
    </xf>
    <xf numFmtId="1" fontId="1" fillId="5" borderId="10" xfId="0" applyNumberFormat="1" applyFont="1" applyFill="1" applyBorder="1"/>
    <xf numFmtId="0" fontId="1" fillId="0" borderId="0" xfId="0" applyNumberFormat="1" applyFont="1"/>
    <xf numFmtId="0" fontId="3" fillId="4" borderId="7" xfId="0" applyNumberFormat="1" applyFont="1" applyFill="1" applyBorder="1" applyAlignment="1">
      <alignment horizontal="center" vertical="center" wrapText="1"/>
    </xf>
    <xf numFmtId="0" fontId="3" fillId="4" borderId="9" xfId="0" applyNumberFormat="1" applyFont="1" applyFill="1" applyBorder="1" applyAlignment="1">
      <alignment horizontal="center" vertical="center" wrapText="1"/>
    </xf>
    <xf numFmtId="1" fontId="1" fillId="5" borderId="11" xfId="0" applyNumberFormat="1" applyFont="1" applyFill="1" applyBorder="1"/>
    <xf numFmtId="0" fontId="1" fillId="5" borderId="10" xfId="0" applyNumberFormat="1" applyFont="1" applyFill="1" applyBorder="1"/>
    <xf numFmtId="1" fontId="1" fillId="0" borderId="1" xfId="0" applyNumberFormat="1" applyFont="1" applyFill="1" applyBorder="1"/>
    <xf numFmtId="0" fontId="1" fillId="7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ysConfig.TblAppObject_UserRo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ysConfig.TblAppObject_UserRoleGro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LookUp"/>
    </sheetNames>
    <sheetDataSet>
      <sheetData sheetId="0"/>
      <sheetData sheetId="1">
        <row r="4">
          <cell r="B4">
            <v>95000000000001</v>
          </cell>
          <cell r="C4" t="str">
            <v>Super User</v>
          </cell>
        </row>
        <row r="5">
          <cell r="B5">
            <v>95000000000002</v>
          </cell>
          <cell r="C5" t="str">
            <v>Guest</v>
          </cell>
        </row>
        <row r="6">
          <cell r="B6" t="str">
            <v/>
          </cell>
          <cell r="C6" t="str">
            <v/>
          </cell>
        </row>
        <row r="7">
          <cell r="B7">
            <v>95000000000003</v>
          </cell>
          <cell r="C7" t="str">
            <v>Default Employee Role</v>
          </cell>
        </row>
        <row r="8">
          <cell r="B8" t="str">
            <v/>
          </cell>
          <cell r="C8" t="str">
            <v/>
          </cell>
        </row>
        <row r="9">
          <cell r="B9">
            <v>95000000000004</v>
          </cell>
          <cell r="C9" t="str">
            <v>Share Holder</v>
          </cell>
        </row>
        <row r="10">
          <cell r="B10">
            <v>95000000000005</v>
          </cell>
          <cell r="C10" t="str">
            <v>Stack Holder</v>
          </cell>
        </row>
        <row r="11">
          <cell r="B11">
            <v>95000000000006</v>
          </cell>
          <cell r="C11" t="str">
            <v>Public Accounting Firm</v>
          </cell>
        </row>
        <row r="12">
          <cell r="B12">
            <v>95000000000007</v>
          </cell>
          <cell r="C12" t="str">
            <v>Commissary</v>
          </cell>
        </row>
        <row r="13">
          <cell r="B13" t="str">
            <v/>
          </cell>
          <cell r="C13" t="str">
            <v/>
          </cell>
        </row>
        <row r="14">
          <cell r="B14">
            <v>95000000000008</v>
          </cell>
          <cell r="C14" t="str">
            <v>Director</v>
          </cell>
        </row>
        <row r="15">
          <cell r="B15">
            <v>95000000000009</v>
          </cell>
          <cell r="C15" t="str">
            <v>President Director</v>
          </cell>
        </row>
        <row r="16">
          <cell r="B16">
            <v>95000000000010</v>
          </cell>
          <cell r="C16" t="str">
            <v>Finance Director</v>
          </cell>
        </row>
        <row r="17">
          <cell r="B17">
            <v>95000000000011</v>
          </cell>
          <cell r="C17" t="str">
            <v>Operational Director</v>
          </cell>
        </row>
        <row r="18">
          <cell r="B18">
            <v>95000000000012</v>
          </cell>
          <cell r="C18" t="str">
            <v>Marketing Director</v>
          </cell>
        </row>
        <row r="19">
          <cell r="B19">
            <v>95000000000013</v>
          </cell>
          <cell r="C19" t="str">
            <v>Information Technology Director</v>
          </cell>
        </row>
        <row r="20">
          <cell r="B20" t="str">
            <v/>
          </cell>
          <cell r="C20" t="str">
            <v/>
          </cell>
        </row>
        <row r="21">
          <cell r="B21">
            <v>95000000000014</v>
          </cell>
          <cell r="C21" t="str">
            <v>Project General Manager</v>
          </cell>
        </row>
        <row r="22">
          <cell r="B22">
            <v>95000000000015</v>
          </cell>
          <cell r="C22" t="str">
            <v>Project Management Officer</v>
          </cell>
        </row>
        <row r="23">
          <cell r="B23">
            <v>95000000000016</v>
          </cell>
          <cell r="C23" t="str">
            <v>Finance, Accounting, &amp; Tax General Manager</v>
          </cell>
        </row>
        <row r="24">
          <cell r="B24">
            <v>95000000000017</v>
          </cell>
          <cell r="C24" t="str">
            <v>HR, GA, &amp; TAM General Manager</v>
          </cell>
        </row>
        <row r="25">
          <cell r="B25">
            <v>95000000000018</v>
          </cell>
          <cell r="C25" t="str">
            <v>Sales General Manager</v>
          </cell>
        </row>
        <row r="26">
          <cell r="B26" t="str">
            <v/>
          </cell>
          <cell r="C26" t="str">
            <v/>
          </cell>
        </row>
        <row r="27">
          <cell r="B27">
            <v>95000000000019</v>
          </cell>
          <cell r="C27" t="str">
            <v>Project Manager</v>
          </cell>
        </row>
        <row r="28">
          <cell r="B28">
            <v>95000000000020</v>
          </cell>
          <cell r="C28" t="str">
            <v>Site Manager</v>
          </cell>
        </row>
        <row r="29">
          <cell r="B29">
            <v>95000000000021</v>
          </cell>
          <cell r="C29" t="str">
            <v>Project Controller Coordinator</v>
          </cell>
        </row>
        <row r="30">
          <cell r="B30">
            <v>95000000000022</v>
          </cell>
          <cell r="C30" t="str">
            <v>Project Controller Staff</v>
          </cell>
        </row>
        <row r="31">
          <cell r="B31">
            <v>95000000000023</v>
          </cell>
          <cell r="C31" t="str">
            <v>Project Administrator Coordinator</v>
          </cell>
        </row>
        <row r="32">
          <cell r="B32">
            <v>95000000000024</v>
          </cell>
          <cell r="C32" t="str">
            <v>Project Administrator Staff</v>
          </cell>
        </row>
        <row r="33">
          <cell r="B33">
            <v>95000000000025</v>
          </cell>
          <cell r="C33" t="str">
            <v>Project Worker Coordinator</v>
          </cell>
        </row>
        <row r="34">
          <cell r="B34">
            <v>95000000000026</v>
          </cell>
          <cell r="C34" t="str">
            <v>Project Worker Staff</v>
          </cell>
        </row>
        <row r="35">
          <cell r="B35" t="str">
            <v/>
          </cell>
          <cell r="C35" t="str">
            <v/>
          </cell>
        </row>
        <row r="36">
          <cell r="B36">
            <v>95000000000027</v>
          </cell>
          <cell r="C36" t="str">
            <v>Finance Manager</v>
          </cell>
        </row>
        <row r="37">
          <cell r="B37">
            <v>95000000000028</v>
          </cell>
          <cell r="C37" t="str">
            <v>Cashier &amp; Treasury Coordinator</v>
          </cell>
        </row>
        <row r="38">
          <cell r="B38">
            <v>95000000000029</v>
          </cell>
          <cell r="C38" t="str">
            <v>Cashier &amp; Treasury Staff</v>
          </cell>
        </row>
        <row r="39">
          <cell r="B39">
            <v>95000000000030</v>
          </cell>
          <cell r="C39" t="str">
            <v>Cost Controller Coordinator</v>
          </cell>
        </row>
        <row r="40">
          <cell r="B40">
            <v>95000000000031</v>
          </cell>
          <cell r="C40" t="str">
            <v>Cost Controller Staff</v>
          </cell>
        </row>
        <row r="41">
          <cell r="B41" t="str">
            <v/>
          </cell>
          <cell r="C41" t="str">
            <v/>
          </cell>
        </row>
        <row r="42">
          <cell r="B42">
            <v>95000000000032</v>
          </cell>
          <cell r="C42" t="str">
            <v>Accounting &amp; Tax Manager</v>
          </cell>
        </row>
        <row r="43">
          <cell r="B43">
            <v>95000000000033</v>
          </cell>
          <cell r="C43" t="str">
            <v>Accounting &amp; Tax Coordinator</v>
          </cell>
        </row>
        <row r="44">
          <cell r="B44">
            <v>95000000000034</v>
          </cell>
          <cell r="C44" t="str">
            <v>Accounting &amp; Tax Staff</v>
          </cell>
        </row>
        <row r="45">
          <cell r="B45" t="str">
            <v/>
          </cell>
          <cell r="C45" t="str">
            <v/>
          </cell>
        </row>
        <row r="46">
          <cell r="B46">
            <v>95000000000035</v>
          </cell>
          <cell r="C46" t="str">
            <v>IT System Manager</v>
          </cell>
        </row>
        <row r="47">
          <cell r="B47">
            <v>95000000000036</v>
          </cell>
          <cell r="C47" t="str">
            <v>IT System Engineer Coordinator</v>
          </cell>
        </row>
        <row r="48">
          <cell r="B48">
            <v>95000000000037</v>
          </cell>
          <cell r="C48" t="str">
            <v>IT System Engineer Staff</v>
          </cell>
        </row>
        <row r="49">
          <cell r="B49">
            <v>95000000000038</v>
          </cell>
          <cell r="C49" t="str">
            <v>IT Software Engineer Coordinator</v>
          </cell>
        </row>
        <row r="50">
          <cell r="B50">
            <v>95000000000039</v>
          </cell>
          <cell r="C50" t="str">
            <v>IT Software Engineer Staff</v>
          </cell>
        </row>
        <row r="51">
          <cell r="B51" t="str">
            <v/>
          </cell>
          <cell r="C51" t="str">
            <v/>
          </cell>
        </row>
        <row r="52">
          <cell r="B52">
            <v>95000000000040</v>
          </cell>
          <cell r="C52" t="str">
            <v>Procurement Manager</v>
          </cell>
        </row>
        <row r="53">
          <cell r="B53">
            <v>95000000000041</v>
          </cell>
          <cell r="C53" t="str">
            <v>Procurement Coordinator</v>
          </cell>
        </row>
        <row r="54">
          <cell r="B54">
            <v>95000000000042</v>
          </cell>
          <cell r="C54" t="str">
            <v>Procurement Staff</v>
          </cell>
        </row>
        <row r="55">
          <cell r="B55" t="str">
            <v/>
          </cell>
          <cell r="C55" t="str">
            <v/>
          </cell>
        </row>
        <row r="56">
          <cell r="B56">
            <v>95000000000043</v>
          </cell>
          <cell r="C56" t="str">
            <v>Sales Manager</v>
          </cell>
        </row>
        <row r="57">
          <cell r="B57">
            <v>95000000000044</v>
          </cell>
          <cell r="C57" t="str">
            <v>Sales Coordinator</v>
          </cell>
        </row>
        <row r="58">
          <cell r="B58">
            <v>95000000000045</v>
          </cell>
          <cell r="C58" t="str">
            <v>Bid And Sales Administrator Staff</v>
          </cell>
        </row>
        <row r="59">
          <cell r="B59">
            <v>95000000000046</v>
          </cell>
          <cell r="C59" t="str">
            <v>Sales Estimator Coordinator</v>
          </cell>
        </row>
        <row r="60">
          <cell r="B60">
            <v>95000000000047</v>
          </cell>
          <cell r="C60" t="str">
            <v>Sales Estimator Staff</v>
          </cell>
        </row>
        <row r="61">
          <cell r="B61" t="str">
            <v/>
          </cell>
          <cell r="C61" t="str">
            <v/>
          </cell>
        </row>
        <row r="62">
          <cell r="B62">
            <v>95000000000048</v>
          </cell>
          <cell r="C62" t="str">
            <v>Health Safety Environment Manager</v>
          </cell>
        </row>
        <row r="63">
          <cell r="B63">
            <v>95000000000049</v>
          </cell>
          <cell r="C63" t="str">
            <v>Health Safety Environment Coordinator</v>
          </cell>
        </row>
        <row r="64">
          <cell r="B64">
            <v>95000000000050</v>
          </cell>
          <cell r="C64" t="str">
            <v>Health Safety Environment Staff</v>
          </cell>
        </row>
        <row r="65">
          <cell r="B65" t="str">
            <v/>
          </cell>
          <cell r="C65" t="str">
            <v/>
          </cell>
        </row>
        <row r="66">
          <cell r="B66">
            <v>95000000000051</v>
          </cell>
          <cell r="C66" t="str">
            <v>Human Resource Development Manager</v>
          </cell>
        </row>
        <row r="67">
          <cell r="B67">
            <v>95000000000052</v>
          </cell>
          <cell r="C67" t="str">
            <v>Human Resource Development Coordinator</v>
          </cell>
        </row>
        <row r="68">
          <cell r="B68">
            <v>95000000000053</v>
          </cell>
          <cell r="C68" t="str">
            <v>Human Resource Development Staff</v>
          </cell>
        </row>
        <row r="69">
          <cell r="B69" t="str">
            <v/>
          </cell>
          <cell r="C69" t="str">
            <v/>
          </cell>
        </row>
        <row r="70">
          <cell r="B70">
            <v>95000000000054</v>
          </cell>
          <cell r="C70" t="str">
            <v>General Affairs Manager</v>
          </cell>
        </row>
        <row r="71">
          <cell r="B71">
            <v>95000000000055</v>
          </cell>
          <cell r="C71" t="str">
            <v>General Affairs Coordinator</v>
          </cell>
        </row>
        <row r="72">
          <cell r="B72">
            <v>95000000000056</v>
          </cell>
          <cell r="C72" t="str">
            <v>General Affairs Staff</v>
          </cell>
        </row>
        <row r="73">
          <cell r="B73" t="str">
            <v/>
          </cell>
          <cell r="C73" t="str">
            <v/>
          </cell>
        </row>
        <row r="74">
          <cell r="B74">
            <v>95000000000057</v>
          </cell>
          <cell r="C74" t="str">
            <v>Legal Manager</v>
          </cell>
        </row>
        <row r="75">
          <cell r="B75">
            <v>95000000000058</v>
          </cell>
          <cell r="C75" t="str">
            <v>Legal Coordinator</v>
          </cell>
        </row>
        <row r="76">
          <cell r="B76">
            <v>95000000000059</v>
          </cell>
          <cell r="C76" t="str">
            <v>Legal Staff</v>
          </cell>
        </row>
        <row r="77">
          <cell r="B77" t="str">
            <v/>
          </cell>
          <cell r="C77" t="str">
            <v/>
          </cell>
        </row>
        <row r="78">
          <cell r="B78">
            <v>95000000000060</v>
          </cell>
          <cell r="C78" t="str">
            <v>Tools And Asset Manager</v>
          </cell>
        </row>
        <row r="79">
          <cell r="B79">
            <v>95000000000061</v>
          </cell>
          <cell r="C79" t="str">
            <v>Tools And Asset Coordinator</v>
          </cell>
        </row>
        <row r="80">
          <cell r="B80">
            <v>95000000000062</v>
          </cell>
          <cell r="C80" t="str">
            <v>Tools And Asset Staff</v>
          </cell>
        </row>
        <row r="81">
          <cell r="B81" t="str">
            <v/>
          </cell>
          <cell r="C81" t="str">
            <v/>
          </cell>
        </row>
        <row r="82">
          <cell r="B82">
            <v>95000000000063</v>
          </cell>
          <cell r="C82" t="str">
            <v>Engineering Manager</v>
          </cell>
        </row>
        <row r="83">
          <cell r="B83">
            <v>95000000000064</v>
          </cell>
          <cell r="C83" t="str">
            <v>Engineering Coordinator</v>
          </cell>
        </row>
        <row r="84">
          <cell r="B84">
            <v>95000000000065</v>
          </cell>
          <cell r="C84" t="str">
            <v>Engineering Staff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LookUp"/>
    </sheetNames>
    <sheetDataSet>
      <sheetData sheetId="0"/>
      <sheetData sheetId="1">
        <row r="4">
          <cell r="B4">
            <v>252000000000001</v>
          </cell>
          <cell r="C4" t="str">
            <v>System</v>
          </cell>
        </row>
        <row r="5">
          <cell r="B5">
            <v>252000000000002</v>
          </cell>
          <cell r="C5" t="str">
            <v>External</v>
          </cell>
        </row>
        <row r="6">
          <cell r="B6">
            <v>252000000000003</v>
          </cell>
          <cell r="C6" t="str">
            <v>Board Of Director</v>
          </cell>
        </row>
        <row r="7">
          <cell r="B7">
            <v>252000000000004</v>
          </cell>
          <cell r="C7" t="str">
            <v>Board Of Comissioner</v>
          </cell>
        </row>
        <row r="8">
          <cell r="B8">
            <v>252000000000005</v>
          </cell>
          <cell r="C8" t="str">
            <v>Top Level Management</v>
          </cell>
        </row>
        <row r="9">
          <cell r="B9">
            <v>252000000000006</v>
          </cell>
          <cell r="C9" t="str">
            <v>Department - Business Development</v>
          </cell>
        </row>
        <row r="10">
          <cell r="B10">
            <v>252000000000007</v>
          </cell>
          <cell r="C10" t="str">
            <v>Department - Information Technology</v>
          </cell>
        </row>
        <row r="11">
          <cell r="B11">
            <v>252000000000008</v>
          </cell>
          <cell r="C11" t="str">
            <v>Department - Sales &amp; Marketing</v>
          </cell>
        </row>
        <row r="12">
          <cell r="B12">
            <v>252000000000009</v>
          </cell>
          <cell r="C12" t="str">
            <v>Department - Finance &amp; Accounting</v>
          </cell>
        </row>
        <row r="13">
          <cell r="B13">
            <v>252000000000010</v>
          </cell>
          <cell r="C13" t="str">
            <v>Department - Human Resource Development</v>
          </cell>
        </row>
        <row r="14">
          <cell r="B14">
            <v>252000000000011</v>
          </cell>
          <cell r="C14" t="str">
            <v>Department - Health Safety Environment</v>
          </cell>
        </row>
        <row r="15">
          <cell r="B15">
            <v>252000000000012</v>
          </cell>
          <cell r="C15" t="str">
            <v>Department - Logistics &amp; Warehouse</v>
          </cell>
        </row>
        <row r="16">
          <cell r="B16">
            <v>252000000000013</v>
          </cell>
          <cell r="C16" t="str">
            <v>Department - Legal</v>
          </cell>
        </row>
        <row r="17">
          <cell r="B17">
            <v>252000000000014</v>
          </cell>
          <cell r="C17" t="str">
            <v>Department - Tools &amp; Asset Management</v>
          </cell>
        </row>
        <row r="18">
          <cell r="B18">
            <v>252000000000015</v>
          </cell>
          <cell r="C18" t="str">
            <v>Department - Project</v>
          </cell>
        </row>
        <row r="19">
          <cell r="B19">
            <v>252000000000016</v>
          </cell>
          <cell r="C19" t="str">
            <v>Department - Procurement</v>
          </cell>
        </row>
        <row r="20">
          <cell r="B20">
            <v>252000000000017</v>
          </cell>
          <cell r="C20" t="str">
            <v>Department - Civil And Mechanical Engineering</v>
          </cell>
        </row>
        <row r="21">
          <cell r="B21">
            <v>252000000000018</v>
          </cell>
          <cell r="C21" t="str">
            <v>Department - Corporate Social Responsibility</v>
          </cell>
        </row>
        <row r="22">
          <cell r="B22">
            <v>252000000000019</v>
          </cell>
          <cell r="C22" t="str">
            <v>Department - Project Management Office</v>
          </cell>
        </row>
        <row r="23">
          <cell r="B23">
            <v>252000000000020</v>
          </cell>
          <cell r="C23" t="str">
            <v>Department - Bid &amp; Proposal</v>
          </cell>
        </row>
        <row r="24">
          <cell r="B24">
            <v>252000000000021</v>
          </cell>
          <cell r="C24" t="str">
            <v>Department - Estimator</v>
          </cell>
        </row>
        <row r="25">
          <cell r="B25">
            <v>252000000000022</v>
          </cell>
          <cell r="C25" t="str">
            <v>Department - Non Department</v>
          </cell>
        </row>
        <row r="26">
          <cell r="B26">
            <v>252000000000023</v>
          </cell>
          <cell r="C26" t="str">
            <v>Department - Operation &amp; Business Development</v>
          </cell>
        </row>
        <row r="27">
          <cell r="B27">
            <v>252000000000024</v>
          </cell>
          <cell r="C27" t="str">
            <v>Department - Business Development</v>
          </cell>
        </row>
        <row r="28">
          <cell r="B28">
            <v>252000000000025</v>
          </cell>
          <cell r="C28" t="str">
            <v>Department - Finance &amp; Accounting</v>
          </cell>
        </row>
        <row r="29">
          <cell r="B29">
            <v>252000000000026</v>
          </cell>
          <cell r="C29" t="str">
            <v>Department - Sales</v>
          </cell>
        </row>
        <row r="30">
          <cell r="B30">
            <v>252000000000027</v>
          </cell>
          <cell r="C30" t="str">
            <v>Department - Operation &amp; Maintenance</v>
          </cell>
        </row>
        <row r="31">
          <cell r="B31">
            <v>252000000000028</v>
          </cell>
          <cell r="C31" t="str">
            <v>Department - Warehouse &amp; TAM</v>
          </cell>
        </row>
        <row r="32">
          <cell r="B32" t="str">
            <v/>
          </cell>
          <cell r="C32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J84"/>
  <sheetViews>
    <sheetView tabSelected="1" workbookViewId="0">
      <pane xSplit="2" ySplit="3" topLeftCell="C78" activePane="bottomRight" state="frozen"/>
      <selection pane="topRight" activeCell="C1" sqref="C1"/>
      <selection pane="bottomLeft" activeCell="A4" sqref="A4"/>
      <selection pane="bottomRight" activeCell="I89" sqref="I89"/>
    </sheetView>
  </sheetViews>
  <sheetFormatPr defaultRowHeight="12.75" x14ac:dyDescent="0.2"/>
  <cols>
    <col min="1" max="1" width="2.85546875" style="1" customWidth="1"/>
    <col min="2" max="2" width="14" style="12" bestFit="1" customWidth="1"/>
    <col min="3" max="3" width="32.7109375" style="12" bestFit="1" customWidth="1"/>
    <col min="4" max="4" width="14" style="12" bestFit="1" customWidth="1"/>
    <col min="5" max="5" width="33.42578125" style="19" bestFit="1" customWidth="1"/>
    <col min="6" max="6" width="2.85546875" style="3" customWidth="1"/>
    <col min="7" max="7" width="14" style="2" bestFit="1" customWidth="1"/>
    <col min="8" max="8" width="22.28515625" style="1" customWidth="1"/>
    <col min="9" max="16384" width="9.140625" style="1"/>
  </cols>
  <sheetData>
    <row r="1" spans="2:10" ht="13.5" thickBot="1" x14ac:dyDescent="0.25"/>
    <row r="2" spans="2:10" ht="25.5" x14ac:dyDescent="0.2">
      <c r="B2" s="20" t="s">
        <v>5</v>
      </c>
      <c r="C2" s="20" t="s">
        <v>4</v>
      </c>
      <c r="D2" s="20" t="s">
        <v>6</v>
      </c>
      <c r="E2" s="21" t="s">
        <v>3</v>
      </c>
      <c r="G2" s="4" t="s">
        <v>0</v>
      </c>
      <c r="H2" s="5" t="s">
        <v>1</v>
      </c>
    </row>
    <row r="3" spans="2:10" ht="13.5" thickBot="1" x14ac:dyDescent="0.25">
      <c r="B3" s="22"/>
      <c r="C3" s="22"/>
      <c r="D3" s="22"/>
      <c r="E3" s="23"/>
      <c r="G3" s="6">
        <v>253000000000000</v>
      </c>
      <c r="H3" s="7"/>
    </row>
    <row r="4" spans="2:10" x14ac:dyDescent="0.2">
      <c r="B4" s="14">
        <f>IF(EXACT([1]DataLookUp!$B4, ""), "", [1]DataLookUp!$B4)</f>
        <v>95000000000001</v>
      </c>
      <c r="C4" s="14" t="str">
        <f>IF(EXACT(B4, ""), "", [1]DataLookUp!$C4)</f>
        <v>Super User</v>
      </c>
      <c r="D4" s="24">
        <v>252000000000001</v>
      </c>
      <c r="E4" s="25" t="str">
        <f>IF(EXACT(D4, ""), "", VLOOKUP(D4, [2]DataLookUp!$B$4:$C$32, 2, FALSE))</f>
        <v>System</v>
      </c>
      <c r="G4" s="9">
        <f xml:space="preserve"> G3 + IF(EXACT(H4, ""), 0, 1)</f>
        <v>253000000000001</v>
      </c>
      <c r="H4" s="8" t="str">
        <f>IF(AND(EXACT(B4, ""), EXACT(D4, "")), "", CONCATENATE("PERFORM ""SchSysConfig"".""Func_TblAppObject_UserRole_SET""(varSystemLoginSession, null::bigint, null::varchar, null::timestamptz, null::timestamptz, null::varchar, varInstitutionBranchID, varBaseCurrencyID, ", (IF(EXACT(B4, ""), "NULL", CONCATENATE("'", B4, "'"))),"::varchar);"))</f>
        <v>PERFORM "SchSysConfig"."Func_TblAppObject_UserRole_SET"(varSystemLoginSession, null::bigint, null::varchar, null::timestamptz, null::timestamptz, null::varchar, varInstitutionBranchID, varBaseCurrencyID, '95000000000001'::varchar);</v>
      </c>
      <c r="J4" s="1" t="str">
        <f>IF(EXACT($H4, ""), "", 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"'userRoleGroup_RefID', ", IF(EXACT($D4, ""), "null", CONCATENATE("'", SUBSTITUTE($D4, "'", "\'"), "'")), "::bigint, ",
"'userRole_RefID', ", IF(EXACT($B4, ""), "null", CONCATENATE("'", SUBSTITUTE($B4, "'", "\'"), "'")), "::bigint",
")))::varchar;"))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'252000000000001'::bigint, 'userRole_RefID', '95000000000001'::bigint)))::varchar;</v>
      </c>
    </row>
    <row r="5" spans="2:10" x14ac:dyDescent="0.2">
      <c r="B5" s="14">
        <f>IF(EXACT([1]DataLookUp!$B5, ""), "", [1]DataLookUp!$B5)</f>
        <v>95000000000002</v>
      </c>
      <c r="C5" s="14" t="str">
        <f>IF(EXACT(B5, ""), "", [1]DataLookUp!$C5)</f>
        <v>Guest</v>
      </c>
      <c r="D5" s="24">
        <v>252000000000001</v>
      </c>
      <c r="E5" s="25" t="str">
        <f>IF(EXACT(D5, ""), "", VLOOKUP(D5, [2]DataLookUp!$B$4:$C$32, 2, FALSE))</f>
        <v>System</v>
      </c>
      <c r="G5" s="9">
        <f xml:space="preserve"> G4 + IF(EXACT(H5, ""), 0, 1)</f>
        <v>253000000000002</v>
      </c>
      <c r="H5" s="8" t="str">
        <f t="shared" ref="H5:H33" si="0">IF(AND(EXACT(B5, ""), EXACT(D5, "")), "", CONCATENATE("PERFORM ""SchSysConfig"".""Func_TblAppObject_UserRole_SET""(varSystemLoginSession, null::bigint, null::varchar, null::timestamptz, null::timestamptz, null::varchar, varInstitutionBranchID, varBaseCurrencyID, ", (IF(EXACT(B5, ""), "NULL", CONCATENATE("'", B5, "'"))),"::varchar);"))</f>
        <v>PERFORM "SchSysConfig"."Func_TblAppObject_UserRole_SET"(varSystemLoginSession, null::bigint, null::varchar, null::timestamptz, null::timestamptz, null::varchar, varInstitutionBranchID, varBaseCurrencyID, '95000000000002'::varchar);</v>
      </c>
      <c r="J5" s="1" t="str">
        <f t="shared" ref="J5:J68" si="1">IF(EXACT($H5, ""), "", 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"'userRoleGroup_RefID', ", IF(EXACT($D5, ""), "null", CONCATENATE("'", SUBSTITUTE($D5, "'", "\'"), "'")), "::bigint, ",
"'userRole_RefID', ", IF(EXACT($B5, ""), "null", CONCATENATE("'", SUBSTITUTE($B5, "'", "\'"), "'")), "::bigint",
")))::varchar;"))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'252000000000001'::bigint, 'userRole_RefID', '95000000000002'::bigint)))::varchar;</v>
      </c>
    </row>
    <row r="6" spans="2:10" x14ac:dyDescent="0.2">
      <c r="B6" s="14" t="str">
        <f>IF(EXACT([1]DataLookUp!$B6, ""), "", [1]DataLookUp!$B6)</f>
        <v/>
      </c>
      <c r="C6" s="14" t="str">
        <f>IF(EXACT(B6, ""), "", [1]DataLookUp!$C6)</f>
        <v/>
      </c>
      <c r="D6" s="24"/>
      <c r="E6" s="25" t="str">
        <f>IF(EXACT(D6, ""), "", VLOOKUP(D6, [2]DataLookUp!$B$4:$C$32, 2, FALSE))</f>
        <v/>
      </c>
      <c r="G6" s="9">
        <f t="shared" ref="G6:G33" si="2" xml:space="preserve"> G5 + IF(EXACT(H6, ""), 0, 1)</f>
        <v>253000000000002</v>
      </c>
      <c r="H6" s="8" t="str">
        <f t="shared" si="0"/>
        <v/>
      </c>
      <c r="J6" s="1" t="str">
        <f t="shared" si="1"/>
        <v/>
      </c>
    </row>
    <row r="7" spans="2:10" x14ac:dyDescent="0.2">
      <c r="B7" s="14">
        <f>IF(EXACT([1]DataLookUp!$B7, ""), "", [1]DataLookUp!$B7)</f>
        <v>95000000000003</v>
      </c>
      <c r="C7" s="14" t="str">
        <f>IF(EXACT(B7, ""), "", [1]DataLookUp!$C7)</f>
        <v>Default Employee Role</v>
      </c>
      <c r="D7" s="24">
        <v>252000000000001</v>
      </c>
      <c r="E7" s="25" t="str">
        <f>IF(EXACT(D7, ""), "", VLOOKUP(D7, [2]DataLookUp!$B$4:$C$32, 2, FALSE))</f>
        <v>System</v>
      </c>
      <c r="G7" s="9">
        <f t="shared" si="2"/>
        <v>253000000000003</v>
      </c>
      <c r="H7" s="8" t="str">
        <f t="shared" si="0"/>
        <v>PERFORM "SchSysConfig"."Func_TblAppObject_UserRole_SET"(varSystemLoginSession, null::bigint, null::varchar, null::timestamptz, null::timestamptz, null::varchar, varInstitutionBranchID, varBaseCurrencyID, '95000000000003'::varchar);</v>
      </c>
      <c r="J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'252000000000001'::bigint, 'userRole_RefID', '95000000000003'::bigint)))::varchar;</v>
      </c>
    </row>
    <row r="8" spans="2:10" x14ac:dyDescent="0.2">
      <c r="B8" s="14" t="str">
        <f>IF(EXACT([1]DataLookUp!$B8, ""), "", [1]DataLookUp!$B8)</f>
        <v/>
      </c>
      <c r="C8" s="14" t="str">
        <f>IF(EXACT(B8, ""), "", [1]DataLookUp!$C8)</f>
        <v/>
      </c>
      <c r="D8" s="24"/>
      <c r="E8" s="25" t="str">
        <f>IF(EXACT(D8, ""), "", VLOOKUP(D8, [2]DataLookUp!$B$4:$C$32, 2, FALSE))</f>
        <v/>
      </c>
      <c r="G8" s="9">
        <f t="shared" si="2"/>
        <v>253000000000003</v>
      </c>
      <c r="H8" s="8" t="str">
        <f t="shared" si="0"/>
        <v/>
      </c>
      <c r="J8" s="1" t="str">
        <f t="shared" si="1"/>
        <v/>
      </c>
    </row>
    <row r="9" spans="2:10" x14ac:dyDescent="0.2">
      <c r="B9" s="14">
        <f>IF(EXACT([1]DataLookUp!$B9, ""), "", [1]DataLookUp!$B9)</f>
        <v>95000000000004</v>
      </c>
      <c r="C9" s="14" t="str">
        <f>IF(EXACT(B9, ""), "", [1]DataLookUp!$C9)</f>
        <v>Share Holder</v>
      </c>
      <c r="D9" s="24">
        <v>252000000000002</v>
      </c>
      <c r="E9" s="25" t="str">
        <f>IF(EXACT(D9, ""), "", VLOOKUP(D9, [2]DataLookUp!$B$4:$C$32, 2, FALSE))</f>
        <v>External</v>
      </c>
      <c r="G9" s="9">
        <f t="shared" si="2"/>
        <v>253000000000004</v>
      </c>
      <c r="H9" s="8" t="str">
        <f t="shared" si="0"/>
        <v>PERFORM "SchSysConfig"."Func_TblAppObject_UserRole_SET"(varSystemLoginSession, null::bigint, null::varchar, null::timestamptz, null::timestamptz, null::varchar, varInstitutionBranchID, varBaseCurrencyID, '95000000000004'::varchar);</v>
      </c>
      <c r="J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'252000000000002'::bigint, 'userRole_RefID', '95000000000004'::bigint)))::varchar;</v>
      </c>
    </row>
    <row r="10" spans="2:10" x14ac:dyDescent="0.2">
      <c r="B10" s="14">
        <f>IF(EXACT([1]DataLookUp!$B10, ""), "", [1]DataLookUp!$B10)</f>
        <v>95000000000005</v>
      </c>
      <c r="C10" s="14" t="str">
        <f>IF(EXACT(B10, ""), "", [1]DataLookUp!$C10)</f>
        <v>Stack Holder</v>
      </c>
      <c r="D10" s="24">
        <v>252000000000002</v>
      </c>
      <c r="E10" s="25" t="str">
        <f>IF(EXACT(D10, ""), "", VLOOKUP(D10, [2]DataLookUp!$B$4:$C$32, 2, FALSE))</f>
        <v>External</v>
      </c>
      <c r="G10" s="9">
        <f t="shared" si="2"/>
        <v>253000000000005</v>
      </c>
      <c r="H10" s="8" t="str">
        <f t="shared" si="0"/>
        <v>PERFORM "SchSysConfig"."Func_TblAppObject_UserRole_SET"(varSystemLoginSession, null::bigint, null::varchar, null::timestamptz, null::timestamptz, null::varchar, varInstitutionBranchID, varBaseCurrencyID, '95000000000005'::varchar);</v>
      </c>
      <c r="J1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'252000000000002'::bigint, 'userRole_RefID', '95000000000005'::bigint)))::varchar;</v>
      </c>
    </row>
    <row r="11" spans="2:10" x14ac:dyDescent="0.2">
      <c r="B11" s="14">
        <f>IF(EXACT([1]DataLookUp!$B11, ""), "", [1]DataLookUp!$B11)</f>
        <v>95000000000006</v>
      </c>
      <c r="C11" s="14" t="str">
        <f>IF(EXACT(B11, ""), "", [1]DataLookUp!$C11)</f>
        <v>Public Accounting Firm</v>
      </c>
      <c r="D11" s="24">
        <v>252000000000002</v>
      </c>
      <c r="E11" s="25" t="str">
        <f>IF(EXACT(D11, ""), "", VLOOKUP(D11, [2]DataLookUp!$B$4:$C$32, 2, FALSE))</f>
        <v>External</v>
      </c>
      <c r="G11" s="9">
        <f t="shared" si="2"/>
        <v>253000000000006</v>
      </c>
      <c r="H11" s="8" t="str">
        <f t="shared" si="0"/>
        <v>PERFORM "SchSysConfig"."Func_TblAppObject_UserRole_SET"(varSystemLoginSession, null::bigint, null::varchar, null::timestamptz, null::timestamptz, null::varchar, varInstitutionBranchID, varBaseCurrencyID, '95000000000006'::varchar);</v>
      </c>
      <c r="J11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'252000000000002'::bigint, 'userRole_RefID', '95000000000006'::bigint)))::varchar;</v>
      </c>
    </row>
    <row r="12" spans="2:10" x14ac:dyDescent="0.2">
      <c r="B12" s="14">
        <f>IF(EXACT([1]DataLookUp!$B12, ""), "", [1]DataLookUp!$B12)</f>
        <v>95000000000007</v>
      </c>
      <c r="C12" s="14" t="str">
        <f>IF(EXACT(B12, ""), "", [1]DataLookUp!$C12)</f>
        <v>Commissary</v>
      </c>
      <c r="D12" s="24">
        <v>252000000000004</v>
      </c>
      <c r="E12" s="25" t="str">
        <f>IF(EXACT(D12, ""), "", VLOOKUP(D12, [2]DataLookUp!$B$4:$C$32, 2, FALSE))</f>
        <v>Board Of Comissioner</v>
      </c>
      <c r="G12" s="9">
        <f t="shared" si="2"/>
        <v>253000000000007</v>
      </c>
      <c r="H12" s="8" t="str">
        <f t="shared" si="0"/>
        <v>PERFORM "SchSysConfig"."Func_TblAppObject_UserRole_SET"(varSystemLoginSession, null::bigint, null::varchar, null::timestamptz, null::timestamptz, null::varchar, varInstitutionBranchID, varBaseCurrencyID, '95000000000007'::varchar);</v>
      </c>
      <c r="J1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'252000000000004'::bigint, 'userRole_RefID', '95000000000007'::bigint)))::varchar;</v>
      </c>
    </row>
    <row r="13" spans="2:10" x14ac:dyDescent="0.2">
      <c r="B13" s="14" t="str">
        <f>IF(EXACT([1]DataLookUp!$B13, ""), "", [1]DataLookUp!$B13)</f>
        <v/>
      </c>
      <c r="C13" s="14" t="str">
        <f>IF(EXACT(B13, ""), "", [1]DataLookUp!$C13)</f>
        <v/>
      </c>
      <c r="D13" s="24"/>
      <c r="E13" s="25" t="str">
        <f>IF(EXACT(D13, ""), "", VLOOKUP(D13, [2]DataLookUp!$B$4:$C$32, 2, FALSE))</f>
        <v/>
      </c>
      <c r="G13" s="9">
        <f t="shared" si="2"/>
        <v>253000000000007</v>
      </c>
      <c r="H13" s="8" t="str">
        <f t="shared" si="0"/>
        <v/>
      </c>
      <c r="J13" s="1" t="str">
        <f t="shared" si="1"/>
        <v/>
      </c>
    </row>
    <row r="14" spans="2:10" x14ac:dyDescent="0.2">
      <c r="B14" s="14">
        <f>IF(EXACT([1]DataLookUp!$B14, ""), "", [1]DataLookUp!$B14)</f>
        <v>95000000000008</v>
      </c>
      <c r="C14" s="14" t="str">
        <f>IF(EXACT(B14, ""), "", [1]DataLookUp!$C14)</f>
        <v>Director</v>
      </c>
      <c r="D14" s="24">
        <v>252000000000003</v>
      </c>
      <c r="E14" s="25" t="str">
        <f>IF(EXACT(D14, ""), "", VLOOKUP(D14, [2]DataLookUp!$B$4:$C$32, 2, FALSE))</f>
        <v>Board Of Director</v>
      </c>
      <c r="G14" s="9">
        <f t="shared" si="2"/>
        <v>253000000000008</v>
      </c>
      <c r="H14" s="8" t="str">
        <f t="shared" si="0"/>
        <v>PERFORM "SchSysConfig"."Func_TblAppObject_UserRole_SET"(varSystemLoginSession, null::bigint, null::varchar, null::timestamptz, null::timestamptz, null::varchar, varInstitutionBranchID, varBaseCurrencyID, '95000000000008'::varchar);</v>
      </c>
      <c r="J1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'252000000000003'::bigint, 'userRole_RefID', '95000000000008'::bigint)))::varchar;</v>
      </c>
    </row>
    <row r="15" spans="2:10" x14ac:dyDescent="0.2">
      <c r="B15" s="14">
        <f>IF(EXACT([1]DataLookUp!$B15, ""), "", [1]DataLookUp!$B15)</f>
        <v>95000000000009</v>
      </c>
      <c r="C15" s="14" t="str">
        <f>IF(EXACT(B15, ""), "", [1]DataLookUp!$C15)</f>
        <v>President Director</v>
      </c>
      <c r="D15" s="24">
        <v>252000000000003</v>
      </c>
      <c r="E15" s="25" t="str">
        <f>IF(EXACT(D15, ""), "", VLOOKUP(D15, [2]DataLookUp!$B$4:$C$32, 2, FALSE))</f>
        <v>Board Of Director</v>
      </c>
      <c r="G15" s="9">
        <f t="shared" si="2"/>
        <v>253000000000009</v>
      </c>
      <c r="H15" s="8" t="str">
        <f t="shared" si="0"/>
        <v>PERFORM "SchSysConfig"."Func_TblAppObject_UserRole_SET"(varSystemLoginSession, null::bigint, null::varchar, null::timestamptz, null::timestamptz, null::varchar, varInstitutionBranchID, varBaseCurrencyID, '95000000000009'::varchar);</v>
      </c>
      <c r="J15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'252000000000003'::bigint, 'userRole_RefID', '95000000000009'::bigint)))::varchar;</v>
      </c>
    </row>
    <row r="16" spans="2:10" x14ac:dyDescent="0.2">
      <c r="B16" s="14">
        <f>IF(EXACT([1]DataLookUp!$B16, ""), "", [1]DataLookUp!$B16)</f>
        <v>95000000000010</v>
      </c>
      <c r="C16" s="14" t="str">
        <f>IF(EXACT(B16, ""), "", [1]DataLookUp!$C16)</f>
        <v>Finance Director</v>
      </c>
      <c r="D16" s="24">
        <v>252000000000003</v>
      </c>
      <c r="E16" s="25" t="str">
        <f>IF(EXACT(D16, ""), "", VLOOKUP(D16, [2]DataLookUp!$B$4:$C$32, 2, FALSE))</f>
        <v>Board Of Director</v>
      </c>
      <c r="G16" s="9">
        <f t="shared" si="2"/>
        <v>253000000000010</v>
      </c>
      <c r="H16" s="8" t="str">
        <f t="shared" si="0"/>
        <v>PERFORM "SchSysConfig"."Func_TblAppObject_UserRole_SET"(varSystemLoginSession, null::bigint, null::varchar, null::timestamptz, null::timestamptz, null::varchar, varInstitutionBranchID, varBaseCurrencyID, '95000000000010'::varchar);</v>
      </c>
      <c r="J1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'252000000000003'::bigint, 'userRole_RefID', '95000000000010'::bigint)))::varchar;</v>
      </c>
    </row>
    <row r="17" spans="2:10" x14ac:dyDescent="0.2">
      <c r="B17" s="14">
        <f>IF(EXACT([1]DataLookUp!$B17, ""), "", [1]DataLookUp!$B17)</f>
        <v>95000000000011</v>
      </c>
      <c r="C17" s="14" t="str">
        <f>IF(EXACT(B17, ""), "", [1]DataLookUp!$C17)</f>
        <v>Operational Director</v>
      </c>
      <c r="D17" s="24">
        <v>252000000000003</v>
      </c>
      <c r="E17" s="25" t="str">
        <f>IF(EXACT(D17, ""), "", VLOOKUP(D17, [2]DataLookUp!$B$4:$C$32, 2, FALSE))</f>
        <v>Board Of Director</v>
      </c>
      <c r="G17" s="9">
        <f t="shared" si="2"/>
        <v>253000000000011</v>
      </c>
      <c r="H17" s="8" t="str">
        <f t="shared" si="0"/>
        <v>PERFORM "SchSysConfig"."Func_TblAppObject_UserRole_SET"(varSystemLoginSession, null::bigint, null::varchar, null::timestamptz, null::timestamptz, null::varchar, varInstitutionBranchID, varBaseCurrencyID, '95000000000011'::varchar);</v>
      </c>
      <c r="J1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'252000000000003'::bigint, 'userRole_RefID', '95000000000011'::bigint)))::varchar;</v>
      </c>
    </row>
    <row r="18" spans="2:10" x14ac:dyDescent="0.2">
      <c r="B18" s="14">
        <f>IF(EXACT([1]DataLookUp!$B18, ""), "", [1]DataLookUp!$B18)</f>
        <v>95000000000012</v>
      </c>
      <c r="C18" s="14" t="str">
        <f>IF(EXACT(B18, ""), "", [1]DataLookUp!$C18)</f>
        <v>Marketing Director</v>
      </c>
      <c r="D18" s="24">
        <v>252000000000003</v>
      </c>
      <c r="E18" s="25" t="str">
        <f>IF(EXACT(D18, ""), "", VLOOKUP(D18, [2]DataLookUp!$B$4:$C$32, 2, FALSE))</f>
        <v>Board Of Director</v>
      </c>
      <c r="G18" s="9">
        <f t="shared" si="2"/>
        <v>253000000000012</v>
      </c>
      <c r="H18" s="8" t="str">
        <f t="shared" si="0"/>
        <v>PERFORM "SchSysConfig"."Func_TblAppObject_UserRole_SET"(varSystemLoginSession, null::bigint, null::varchar, null::timestamptz, null::timestamptz, null::varchar, varInstitutionBranchID, varBaseCurrencyID, '95000000000012'::varchar);</v>
      </c>
      <c r="J1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'252000000000003'::bigint, 'userRole_RefID', '95000000000012'::bigint)))::varchar;</v>
      </c>
    </row>
    <row r="19" spans="2:10" x14ac:dyDescent="0.2">
      <c r="B19" s="14">
        <f>IF(EXACT([1]DataLookUp!$B19, ""), "", [1]DataLookUp!$B19)</f>
        <v>95000000000013</v>
      </c>
      <c r="C19" s="14" t="str">
        <f>IF(EXACT(B19, ""), "", [1]DataLookUp!$C19)</f>
        <v>Information Technology Director</v>
      </c>
      <c r="D19" s="24">
        <v>252000000000003</v>
      </c>
      <c r="E19" s="25" t="str">
        <f>IF(EXACT(D19, ""), "", VLOOKUP(D19, [2]DataLookUp!$B$4:$C$32, 2, FALSE))</f>
        <v>Board Of Director</v>
      </c>
      <c r="G19" s="9">
        <f t="shared" si="2"/>
        <v>253000000000013</v>
      </c>
      <c r="H19" s="8" t="str">
        <f t="shared" si="0"/>
        <v>PERFORM "SchSysConfig"."Func_TblAppObject_UserRole_SET"(varSystemLoginSession, null::bigint, null::varchar, null::timestamptz, null::timestamptz, null::varchar, varInstitutionBranchID, varBaseCurrencyID, '95000000000013'::varchar);</v>
      </c>
      <c r="J1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'252000000000003'::bigint, 'userRole_RefID', '95000000000013'::bigint)))::varchar;</v>
      </c>
    </row>
    <row r="20" spans="2:10" x14ac:dyDescent="0.2">
      <c r="B20" s="14" t="str">
        <f>IF(EXACT([1]DataLookUp!$B20, ""), "", [1]DataLookUp!$B20)</f>
        <v/>
      </c>
      <c r="C20" s="14" t="str">
        <f>IF(EXACT(B20, ""), "", [1]DataLookUp!$C20)</f>
        <v/>
      </c>
      <c r="D20" s="24"/>
      <c r="E20" s="25" t="str">
        <f>IF(EXACT(D20, ""), "", VLOOKUP(D20, [2]DataLookUp!$B$4:$C$32, 2, FALSE))</f>
        <v/>
      </c>
      <c r="G20" s="9">
        <f t="shared" si="2"/>
        <v>253000000000013</v>
      </c>
      <c r="H20" s="8" t="str">
        <f t="shared" si="0"/>
        <v/>
      </c>
      <c r="J20" s="1" t="str">
        <f t="shared" si="1"/>
        <v/>
      </c>
    </row>
    <row r="21" spans="2:10" x14ac:dyDescent="0.2">
      <c r="B21" s="14">
        <f>IF(EXACT([1]DataLookUp!$B21, ""), "", [1]DataLookUp!$B21)</f>
        <v>95000000000014</v>
      </c>
      <c r="C21" s="14" t="str">
        <f>IF(EXACT(B21, ""), "", [1]DataLookUp!$C21)</f>
        <v>Project General Manager</v>
      </c>
      <c r="D21" s="24">
        <v>252000000000005</v>
      </c>
      <c r="E21" s="25" t="str">
        <f>IF(EXACT(D21, ""), "", VLOOKUP(D21, [2]DataLookUp!$B$4:$C$32, 2, FALSE))</f>
        <v>Top Level Management</v>
      </c>
      <c r="G21" s="9">
        <f t="shared" si="2"/>
        <v>253000000000014</v>
      </c>
      <c r="H21" s="8" t="str">
        <f t="shared" si="0"/>
        <v>PERFORM "SchSysConfig"."Func_TblAppObject_UserRole_SET"(varSystemLoginSession, null::bigint, null::varchar, null::timestamptz, null::timestamptz, null::varchar, varInstitutionBranchID, varBaseCurrencyID, '95000000000014'::varchar);</v>
      </c>
      <c r="J21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'252000000000005'::bigint, 'userRole_RefID', '95000000000014'::bigint)))::varchar;</v>
      </c>
    </row>
    <row r="22" spans="2:10" x14ac:dyDescent="0.2">
      <c r="B22" s="14">
        <f>IF(EXACT([1]DataLookUp!$B22, ""), "", [1]DataLookUp!$B22)</f>
        <v>95000000000015</v>
      </c>
      <c r="C22" s="14" t="str">
        <f>IF(EXACT(B22, ""), "", [1]DataLookUp!$C22)</f>
        <v>Project Management Officer</v>
      </c>
      <c r="D22" s="24">
        <v>252000000000005</v>
      </c>
      <c r="E22" s="25" t="str">
        <f>IF(EXACT(D22, ""), "", VLOOKUP(D22, [2]DataLookUp!$B$4:$C$32, 2, FALSE))</f>
        <v>Top Level Management</v>
      </c>
      <c r="G22" s="9">
        <f t="shared" si="2"/>
        <v>253000000000015</v>
      </c>
      <c r="H22" s="8" t="str">
        <f t="shared" si="0"/>
        <v>PERFORM "SchSysConfig"."Func_TblAppObject_UserRole_SET"(varSystemLoginSession, null::bigint, null::varchar, null::timestamptz, null::timestamptz, null::varchar, varInstitutionBranchID, varBaseCurrencyID, '95000000000015'::varchar);</v>
      </c>
      <c r="J2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'252000000000005'::bigint, 'userRole_RefID', '95000000000015'::bigint)))::varchar;</v>
      </c>
    </row>
    <row r="23" spans="2:10" x14ac:dyDescent="0.2">
      <c r="B23" s="14">
        <f>IF(EXACT([1]DataLookUp!$B23, ""), "", [1]DataLookUp!$B23)</f>
        <v>95000000000016</v>
      </c>
      <c r="C23" s="14" t="str">
        <f>IF(EXACT(B23, ""), "", [1]DataLookUp!$C23)</f>
        <v>Finance, Accounting, &amp; Tax General Manager</v>
      </c>
      <c r="D23" s="24">
        <v>252000000000005</v>
      </c>
      <c r="E23" s="25" t="str">
        <f>IF(EXACT(D23, ""), "", VLOOKUP(D23, [2]DataLookUp!$B$4:$C$32, 2, FALSE))</f>
        <v>Top Level Management</v>
      </c>
      <c r="G23" s="9">
        <f t="shared" si="2"/>
        <v>253000000000016</v>
      </c>
      <c r="H23" s="8" t="str">
        <f t="shared" si="0"/>
        <v>PERFORM "SchSysConfig"."Func_TblAppObject_UserRole_SET"(varSystemLoginSession, null::bigint, null::varchar, null::timestamptz, null::timestamptz, null::varchar, varInstitutionBranchID, varBaseCurrencyID, '95000000000016'::varchar);</v>
      </c>
      <c r="J2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'252000000000005'::bigint, 'userRole_RefID', '95000000000016'::bigint)))::varchar;</v>
      </c>
    </row>
    <row r="24" spans="2:10" x14ac:dyDescent="0.2">
      <c r="B24" s="14">
        <f>IF(EXACT([1]DataLookUp!$B24, ""), "", [1]DataLookUp!$B24)</f>
        <v>95000000000017</v>
      </c>
      <c r="C24" s="14" t="str">
        <f>IF(EXACT(B24, ""), "", [1]DataLookUp!$C24)</f>
        <v>HR, GA, &amp; TAM General Manager</v>
      </c>
      <c r="D24" s="24">
        <v>252000000000005</v>
      </c>
      <c r="E24" s="25" t="str">
        <f>IF(EXACT(D24, ""), "", VLOOKUP(D24, [2]DataLookUp!$B$4:$C$32, 2, FALSE))</f>
        <v>Top Level Management</v>
      </c>
      <c r="G24" s="9">
        <f t="shared" si="2"/>
        <v>253000000000017</v>
      </c>
      <c r="H24" s="8" t="str">
        <f t="shared" si="0"/>
        <v>PERFORM "SchSysConfig"."Func_TblAppObject_UserRole_SET"(varSystemLoginSession, null::bigint, null::varchar, null::timestamptz, null::timestamptz, null::varchar, varInstitutionBranchID, varBaseCurrencyID, '95000000000017'::varchar);</v>
      </c>
      <c r="J2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'252000000000005'::bigint, 'userRole_RefID', '95000000000017'::bigint)))::varchar;</v>
      </c>
    </row>
    <row r="25" spans="2:10" x14ac:dyDescent="0.2">
      <c r="B25" s="14">
        <f>IF(EXACT([1]DataLookUp!$B25, ""), "", [1]DataLookUp!$B25)</f>
        <v>95000000000018</v>
      </c>
      <c r="C25" s="14" t="str">
        <f>IF(EXACT(B25, ""), "", [1]DataLookUp!$C25)</f>
        <v>Sales General Manager</v>
      </c>
      <c r="D25" s="24">
        <v>252000000000005</v>
      </c>
      <c r="E25" s="25" t="str">
        <f>IF(EXACT(D25, ""), "", VLOOKUP(D25, [2]DataLookUp!$B$4:$C$32, 2, FALSE))</f>
        <v>Top Level Management</v>
      </c>
      <c r="G25" s="9">
        <f t="shared" si="2"/>
        <v>253000000000018</v>
      </c>
      <c r="H25" s="8" t="str">
        <f t="shared" si="0"/>
        <v>PERFORM "SchSysConfig"."Func_TblAppObject_UserRole_SET"(varSystemLoginSession, null::bigint, null::varchar, null::timestamptz, null::timestamptz, null::varchar, varInstitutionBranchID, varBaseCurrencyID, '95000000000018'::varchar);</v>
      </c>
      <c r="J25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'252000000000005'::bigint, 'userRole_RefID', '95000000000018'::bigint)))::varchar;</v>
      </c>
    </row>
    <row r="26" spans="2:10" x14ac:dyDescent="0.2">
      <c r="B26" s="14" t="str">
        <f>IF(EXACT([1]DataLookUp!$B26, ""), "", [1]DataLookUp!$B26)</f>
        <v/>
      </c>
      <c r="C26" s="14" t="str">
        <f>IF(EXACT(B26, ""), "", [1]DataLookUp!$C26)</f>
        <v/>
      </c>
      <c r="D26" s="24"/>
      <c r="E26" s="25" t="str">
        <f>IF(EXACT(D26, ""), "", VLOOKUP(D26, [2]DataLookUp!$B$4:$C$32, 2, FALSE))</f>
        <v/>
      </c>
      <c r="G26" s="9">
        <f t="shared" si="2"/>
        <v>253000000000018</v>
      </c>
      <c r="H26" s="8" t="str">
        <f t="shared" si="0"/>
        <v/>
      </c>
      <c r="J26" s="1" t="str">
        <f t="shared" si="1"/>
        <v/>
      </c>
    </row>
    <row r="27" spans="2:10" x14ac:dyDescent="0.2">
      <c r="B27" s="14">
        <f>IF(EXACT([1]DataLookUp!$B27, ""), "", [1]DataLookUp!$B27)</f>
        <v>95000000000019</v>
      </c>
      <c r="C27" s="14" t="str">
        <f>IF(EXACT(B27, ""), "", [1]DataLookUp!$C27)</f>
        <v>Project Manager</v>
      </c>
      <c r="D27" s="24">
        <v>252000000000015</v>
      </c>
      <c r="E27" s="25" t="str">
        <f>IF(EXACT(D27, ""), "", VLOOKUP(D27, [2]DataLookUp!$B$4:$C$32, 2, FALSE))</f>
        <v>Department - Project</v>
      </c>
      <c r="G27" s="9">
        <f t="shared" si="2"/>
        <v>253000000000019</v>
      </c>
      <c r="H27" s="8" t="str">
        <f t="shared" si="0"/>
        <v>PERFORM "SchSysConfig"."Func_TblAppObject_UserRole_SET"(varSystemLoginSession, null::bigint, null::varchar, null::timestamptz, null::timestamptz, null::varchar, varInstitutionBranchID, varBaseCurrencyID, '95000000000019'::varchar);</v>
      </c>
      <c r="J2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'252000000000015'::bigint, 'userRole_RefID', '95000000000019'::bigint)))::varchar;</v>
      </c>
    </row>
    <row r="28" spans="2:10" x14ac:dyDescent="0.2">
      <c r="B28" s="14">
        <f>IF(EXACT([1]DataLookUp!$B28, ""), "", [1]DataLookUp!$B28)</f>
        <v>95000000000020</v>
      </c>
      <c r="C28" s="14" t="str">
        <f>IF(EXACT(B28, ""), "", [1]DataLookUp!$C28)</f>
        <v>Site Manager</v>
      </c>
      <c r="D28" s="24">
        <v>252000000000015</v>
      </c>
      <c r="E28" s="25" t="str">
        <f>IF(EXACT(D28, ""), "", VLOOKUP(D28, [2]DataLookUp!$B$4:$C$32, 2, FALSE))</f>
        <v>Department - Project</v>
      </c>
      <c r="G28" s="9">
        <f t="shared" si="2"/>
        <v>253000000000020</v>
      </c>
      <c r="H28" s="8" t="str">
        <f t="shared" si="0"/>
        <v>PERFORM "SchSysConfig"."Func_TblAppObject_UserRole_SET"(varSystemLoginSession, null::bigint, null::varchar, null::timestamptz, null::timestamptz, null::varchar, varInstitutionBranchID, varBaseCurrencyID, '95000000000020'::varchar);</v>
      </c>
      <c r="J2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'252000000000015'::bigint, 'userRole_RefID', '95000000000020'::bigint)))::varchar;</v>
      </c>
    </row>
    <row r="29" spans="2:10" x14ac:dyDescent="0.2">
      <c r="B29" s="14">
        <f>IF(EXACT([1]DataLookUp!$B29, ""), "", [1]DataLookUp!$B29)</f>
        <v>95000000000021</v>
      </c>
      <c r="C29" s="14" t="str">
        <f>IF(EXACT(B29, ""), "", [1]DataLookUp!$C29)</f>
        <v>Project Controller Coordinator</v>
      </c>
      <c r="D29" s="24">
        <v>252000000000015</v>
      </c>
      <c r="E29" s="25" t="str">
        <f>IF(EXACT(D29, ""), "", VLOOKUP(D29, [2]DataLookUp!$B$4:$C$32, 2, FALSE))</f>
        <v>Department - Project</v>
      </c>
      <c r="G29" s="9">
        <f t="shared" si="2"/>
        <v>253000000000021</v>
      </c>
      <c r="H29" s="8" t="str">
        <f t="shared" si="0"/>
        <v>PERFORM "SchSysConfig"."Func_TblAppObject_UserRole_SET"(varSystemLoginSession, null::bigint, null::varchar, null::timestamptz, null::timestamptz, null::varchar, varInstitutionBranchID, varBaseCurrencyID, '95000000000021'::varchar);</v>
      </c>
      <c r="J2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'252000000000015'::bigint, 'userRole_RefID', '95000000000021'::bigint)))::varchar;</v>
      </c>
    </row>
    <row r="30" spans="2:10" x14ac:dyDescent="0.2">
      <c r="B30" s="14">
        <f>IF(EXACT([1]DataLookUp!$B30, ""), "", [1]DataLookUp!$B30)</f>
        <v>95000000000022</v>
      </c>
      <c r="C30" s="14" t="str">
        <f>IF(EXACT(B30, ""), "", [1]DataLookUp!$C30)</f>
        <v>Project Controller Staff</v>
      </c>
      <c r="D30" s="24">
        <v>252000000000015</v>
      </c>
      <c r="E30" s="25" t="str">
        <f>IF(EXACT(D30, ""), "", VLOOKUP(D30, [2]DataLookUp!$B$4:$C$32, 2, FALSE))</f>
        <v>Department - Project</v>
      </c>
      <c r="G30" s="9">
        <f t="shared" si="2"/>
        <v>253000000000022</v>
      </c>
      <c r="H30" s="8" t="str">
        <f t="shared" si="0"/>
        <v>PERFORM "SchSysConfig"."Func_TblAppObject_UserRole_SET"(varSystemLoginSession, null::bigint, null::varchar, null::timestamptz, null::timestamptz, null::varchar, varInstitutionBranchID, varBaseCurrencyID, '95000000000022'::varchar);</v>
      </c>
      <c r="J3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'252000000000015'::bigint, 'userRole_RefID', '95000000000022'::bigint)))::varchar;</v>
      </c>
    </row>
    <row r="31" spans="2:10" x14ac:dyDescent="0.2">
      <c r="B31" s="14">
        <f>IF(EXACT([1]DataLookUp!$B31, ""), "", [1]DataLookUp!$B31)</f>
        <v>95000000000023</v>
      </c>
      <c r="C31" s="14" t="str">
        <f>IF(EXACT(B31, ""), "", [1]DataLookUp!$C31)</f>
        <v>Project Administrator Coordinator</v>
      </c>
      <c r="D31" s="24">
        <v>252000000000015</v>
      </c>
      <c r="E31" s="25" t="str">
        <f>IF(EXACT(D31, ""), "", VLOOKUP(D31, [2]DataLookUp!$B$4:$C$32, 2, FALSE))</f>
        <v>Department - Project</v>
      </c>
      <c r="G31" s="9">
        <f t="shared" si="2"/>
        <v>253000000000023</v>
      </c>
      <c r="H31" s="8" t="str">
        <f t="shared" si="0"/>
        <v>PERFORM "SchSysConfig"."Func_TblAppObject_UserRole_SET"(varSystemLoginSession, null::bigint, null::varchar, null::timestamptz, null::timestamptz, null::varchar, varInstitutionBranchID, varBaseCurrencyID, '95000000000023'::varchar);</v>
      </c>
      <c r="J31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'252000000000015'::bigint, 'userRole_RefID', '95000000000023'::bigint)))::varchar;</v>
      </c>
    </row>
    <row r="32" spans="2:10" x14ac:dyDescent="0.2">
      <c r="B32" s="14">
        <f>IF(EXACT([1]DataLookUp!$B32, ""), "", [1]DataLookUp!$B32)</f>
        <v>95000000000024</v>
      </c>
      <c r="C32" s="14" t="str">
        <f>IF(EXACT(B32, ""), "", [1]DataLookUp!$C32)</f>
        <v>Project Administrator Staff</v>
      </c>
      <c r="D32" s="24">
        <v>252000000000015</v>
      </c>
      <c r="E32" s="25" t="str">
        <f>IF(EXACT(D32, ""), "", VLOOKUP(D32, [2]DataLookUp!$B$4:$C$32, 2, FALSE))</f>
        <v>Department - Project</v>
      </c>
      <c r="G32" s="9">
        <f t="shared" si="2"/>
        <v>253000000000024</v>
      </c>
      <c r="H32" s="8" t="str">
        <f t="shared" si="0"/>
        <v>PERFORM "SchSysConfig"."Func_TblAppObject_UserRole_SET"(varSystemLoginSession, null::bigint, null::varchar, null::timestamptz, null::timestamptz, null::varchar, varInstitutionBranchID, varBaseCurrencyID, '95000000000024'::varchar);</v>
      </c>
      <c r="J3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'252000000000015'::bigint, 'userRole_RefID', '95000000000024'::bigint)))::varchar;</v>
      </c>
    </row>
    <row r="33" spans="2:10" x14ac:dyDescent="0.2">
      <c r="B33" s="14">
        <f>IF(EXACT([1]DataLookUp!$B33, ""), "", [1]DataLookUp!$B33)</f>
        <v>95000000000025</v>
      </c>
      <c r="C33" s="14" t="str">
        <f>IF(EXACT(B33, ""), "", [1]DataLookUp!$C33)</f>
        <v>Project Worker Coordinator</v>
      </c>
      <c r="D33" s="24">
        <v>252000000000015</v>
      </c>
      <c r="E33" s="25" t="str">
        <f>IF(EXACT(D33, ""), "", VLOOKUP(D33, [2]DataLookUp!$B$4:$C$32, 2, FALSE))</f>
        <v>Department - Project</v>
      </c>
      <c r="G33" s="9">
        <f t="shared" si="2"/>
        <v>253000000000025</v>
      </c>
      <c r="H33" s="8" t="str">
        <f t="shared" si="0"/>
        <v>PERFORM "SchSysConfig"."Func_TblAppObject_UserRole_SET"(varSystemLoginSession, null::bigint, null::varchar, null::timestamptz, null::timestamptz, null::varchar, varInstitutionBranchID, varBaseCurrencyID, '95000000000025'::varchar);</v>
      </c>
      <c r="J3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'252000000000015'::bigint, 'userRole_RefID', '95000000000025'::bigint)))::varchar;</v>
      </c>
    </row>
    <row r="34" spans="2:10" x14ac:dyDescent="0.2">
      <c r="B34" s="14">
        <f>IF(EXACT([1]DataLookUp!$B34, ""), "", [1]DataLookUp!$B34)</f>
        <v>95000000000026</v>
      </c>
      <c r="C34" s="14" t="str">
        <f>IF(EXACT(B34, ""), "", [1]DataLookUp!$C34)</f>
        <v>Project Worker Staff</v>
      </c>
      <c r="D34" s="24">
        <v>252000000000015</v>
      </c>
      <c r="E34" s="25" t="str">
        <f>IF(EXACT(D34, ""), "", VLOOKUP(D34, [2]DataLookUp!$B$4:$C$32, 2, FALSE))</f>
        <v>Department - Project</v>
      </c>
      <c r="G34" s="9">
        <f t="shared" ref="G34:G84" si="3" xml:space="preserve"> G33 + IF(EXACT(H34, ""), 0, 1)</f>
        <v>253000000000026</v>
      </c>
      <c r="H34" s="8" t="str">
        <f t="shared" ref="H34:H84" si="4">IF(AND(EXACT(B34, ""), EXACT(D34, "")), "", CONCATENATE("PERFORM ""SchSysConfig"".""Func_TblAppObject_UserRole_SET""(varSystemLoginSession, null::bigint, null::varchar, null::timestamptz, null::timestamptz, null::varchar, varInstitutionBranchID, varBaseCurrencyID, ", (IF(EXACT(B34, ""), "NULL", CONCATENATE("'", B34, "'"))),"::varchar);"))</f>
        <v>PERFORM "SchSysConfig"."Func_TblAppObject_UserRole_SET"(varSystemLoginSession, null::bigint, null::varchar, null::timestamptz, null::timestamptz, null::varchar, varInstitutionBranchID, varBaseCurrencyID, '95000000000026'::varchar);</v>
      </c>
      <c r="J3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'252000000000015'::bigint, 'userRole_RefID', '95000000000026'::bigint)))::varchar;</v>
      </c>
    </row>
    <row r="35" spans="2:10" x14ac:dyDescent="0.2">
      <c r="B35" s="14" t="str">
        <f>IF(EXACT([1]DataLookUp!$B35, ""), "", [1]DataLookUp!$B35)</f>
        <v/>
      </c>
      <c r="C35" s="14" t="str">
        <f>IF(EXACT(B35, ""), "", [1]DataLookUp!$C35)</f>
        <v/>
      </c>
      <c r="D35" s="24"/>
      <c r="E35" s="25" t="str">
        <f>IF(EXACT(D35, ""), "", VLOOKUP(D35, [2]DataLookUp!$B$4:$C$32, 2, FALSE))</f>
        <v/>
      </c>
      <c r="G35" s="9">
        <f t="shared" si="3"/>
        <v>253000000000026</v>
      </c>
      <c r="H35" s="8" t="str">
        <f t="shared" si="4"/>
        <v/>
      </c>
      <c r="J35" s="1" t="str">
        <f t="shared" si="1"/>
        <v/>
      </c>
    </row>
    <row r="36" spans="2:10" x14ac:dyDescent="0.2">
      <c r="B36" s="14">
        <f>IF(EXACT([1]DataLookUp!$B36, ""), "", [1]DataLookUp!$B36)</f>
        <v>95000000000027</v>
      </c>
      <c r="C36" s="14" t="str">
        <f>IF(EXACT(B36, ""), "", [1]DataLookUp!$C36)</f>
        <v>Finance Manager</v>
      </c>
      <c r="D36" s="24">
        <v>252000000000009</v>
      </c>
      <c r="E36" s="25" t="str">
        <f>IF(EXACT(D36, ""), "", VLOOKUP(D36, [2]DataLookUp!$B$4:$C$32, 2, FALSE))</f>
        <v>Department - Finance &amp; Accounting</v>
      </c>
      <c r="G36" s="9">
        <f t="shared" si="3"/>
        <v>253000000000027</v>
      </c>
      <c r="H36" s="8" t="str">
        <f t="shared" si="4"/>
        <v>PERFORM "SchSysConfig"."Func_TblAppObject_UserRole_SET"(varSystemLoginSession, null::bigint, null::varchar, null::timestamptz, null::timestamptz, null::varchar, varInstitutionBranchID, varBaseCurrencyID, '95000000000027'::varchar);</v>
      </c>
      <c r="J3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'252000000000009'::bigint, 'userRole_RefID', '95000000000027'::bigint)))::varchar;</v>
      </c>
    </row>
    <row r="37" spans="2:10" x14ac:dyDescent="0.2">
      <c r="B37" s="14">
        <f>IF(EXACT([1]DataLookUp!$B37, ""), "", [1]DataLookUp!$B37)</f>
        <v>95000000000028</v>
      </c>
      <c r="C37" s="14" t="str">
        <f>IF(EXACT(B37, ""), "", [1]DataLookUp!$C37)</f>
        <v>Cashier &amp; Treasury Coordinator</v>
      </c>
      <c r="D37" s="24">
        <v>252000000000009</v>
      </c>
      <c r="E37" s="25" t="str">
        <f>IF(EXACT(D37, ""), "", VLOOKUP(D37, [2]DataLookUp!$B$4:$C$32, 2, FALSE))</f>
        <v>Department - Finance &amp; Accounting</v>
      </c>
      <c r="G37" s="9">
        <f t="shared" si="3"/>
        <v>253000000000028</v>
      </c>
      <c r="H37" s="8" t="str">
        <f t="shared" si="4"/>
        <v>PERFORM "SchSysConfig"."Func_TblAppObject_UserRole_SET"(varSystemLoginSession, null::bigint, null::varchar, null::timestamptz, null::timestamptz, null::varchar, varInstitutionBranchID, varBaseCurrencyID, '95000000000028'::varchar);</v>
      </c>
      <c r="J3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'252000000000009'::bigint, 'userRole_RefID', '95000000000028'::bigint)))::varchar;</v>
      </c>
    </row>
    <row r="38" spans="2:10" x14ac:dyDescent="0.2">
      <c r="B38" s="14">
        <f>IF(EXACT([1]DataLookUp!$B38, ""), "", [1]DataLookUp!$B38)</f>
        <v>95000000000029</v>
      </c>
      <c r="C38" s="14" t="str">
        <f>IF(EXACT(B38, ""), "", [1]DataLookUp!$C38)</f>
        <v>Cashier &amp; Treasury Staff</v>
      </c>
      <c r="D38" s="24">
        <v>252000000000009</v>
      </c>
      <c r="E38" s="25" t="str">
        <f>IF(EXACT(D38, ""), "", VLOOKUP(D38, [2]DataLookUp!$B$4:$C$32, 2, FALSE))</f>
        <v>Department - Finance &amp; Accounting</v>
      </c>
      <c r="G38" s="9">
        <f t="shared" si="3"/>
        <v>253000000000029</v>
      </c>
      <c r="H38" s="8" t="str">
        <f t="shared" si="4"/>
        <v>PERFORM "SchSysConfig"."Func_TblAppObject_UserRole_SET"(varSystemLoginSession, null::bigint, null::varchar, null::timestamptz, null::timestamptz, null::varchar, varInstitutionBranchID, varBaseCurrencyID, '95000000000029'::varchar);</v>
      </c>
      <c r="J3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'252000000000009'::bigint, 'userRole_RefID', '95000000000029'::bigint)))::varchar;</v>
      </c>
    </row>
    <row r="39" spans="2:10" x14ac:dyDescent="0.2">
      <c r="B39" s="14">
        <f>IF(EXACT([1]DataLookUp!$B39, ""), "", [1]DataLookUp!$B39)</f>
        <v>95000000000030</v>
      </c>
      <c r="C39" s="14" t="str">
        <f>IF(EXACT(B39, ""), "", [1]DataLookUp!$C39)</f>
        <v>Cost Controller Coordinator</v>
      </c>
      <c r="D39" s="24">
        <v>252000000000009</v>
      </c>
      <c r="E39" s="25" t="str">
        <f>IF(EXACT(D39, ""), "", VLOOKUP(D39, [2]DataLookUp!$B$4:$C$32, 2, FALSE))</f>
        <v>Department - Finance &amp; Accounting</v>
      </c>
      <c r="G39" s="9">
        <f t="shared" si="3"/>
        <v>253000000000030</v>
      </c>
      <c r="H39" s="8" t="str">
        <f t="shared" si="4"/>
        <v>PERFORM "SchSysConfig"."Func_TblAppObject_UserRole_SET"(varSystemLoginSession, null::bigint, null::varchar, null::timestamptz, null::timestamptz, null::varchar, varInstitutionBranchID, varBaseCurrencyID, '95000000000030'::varchar);</v>
      </c>
      <c r="J3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'252000000000009'::bigint, 'userRole_RefID', '95000000000030'::bigint)))::varchar;</v>
      </c>
    </row>
    <row r="40" spans="2:10" x14ac:dyDescent="0.2">
      <c r="B40" s="14">
        <f>IF(EXACT([1]DataLookUp!$B40, ""), "", [1]DataLookUp!$B40)</f>
        <v>95000000000031</v>
      </c>
      <c r="C40" s="14" t="str">
        <f>IF(EXACT(B40, ""), "", [1]DataLookUp!$C40)</f>
        <v>Cost Controller Staff</v>
      </c>
      <c r="D40" s="24">
        <v>252000000000009</v>
      </c>
      <c r="E40" s="25" t="str">
        <f>IF(EXACT(D40, ""), "", VLOOKUP(D40, [2]DataLookUp!$B$4:$C$32, 2, FALSE))</f>
        <v>Department - Finance &amp; Accounting</v>
      </c>
      <c r="G40" s="9">
        <f t="shared" si="3"/>
        <v>253000000000031</v>
      </c>
      <c r="H40" s="8" t="str">
        <f t="shared" si="4"/>
        <v>PERFORM "SchSysConfig"."Func_TblAppObject_UserRole_SET"(varSystemLoginSession, null::bigint, null::varchar, null::timestamptz, null::timestamptz, null::varchar, varInstitutionBranchID, varBaseCurrencyID, '95000000000031'::varchar);</v>
      </c>
      <c r="J4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'252000000000009'::bigint, 'userRole_RefID', '95000000000031'::bigint)))::varchar;</v>
      </c>
    </row>
    <row r="41" spans="2:10" x14ac:dyDescent="0.2">
      <c r="B41" s="14" t="str">
        <f>IF(EXACT([1]DataLookUp!$B41, ""), "", [1]DataLookUp!$B41)</f>
        <v/>
      </c>
      <c r="C41" s="14" t="str">
        <f>IF(EXACT(B41, ""), "", [1]DataLookUp!$C41)</f>
        <v/>
      </c>
      <c r="D41" s="24"/>
      <c r="E41" s="25" t="str">
        <f>IF(EXACT(D41, ""), "", VLOOKUP(D41, [2]DataLookUp!$B$4:$C$32, 2, FALSE))</f>
        <v/>
      </c>
      <c r="G41" s="9">
        <f t="shared" si="3"/>
        <v>253000000000031</v>
      </c>
      <c r="H41" s="8" t="str">
        <f t="shared" si="4"/>
        <v/>
      </c>
      <c r="J41" s="1" t="str">
        <f t="shared" si="1"/>
        <v/>
      </c>
    </row>
    <row r="42" spans="2:10" x14ac:dyDescent="0.2">
      <c r="B42" s="14">
        <f>IF(EXACT([1]DataLookUp!$B42, ""), "", [1]DataLookUp!$B42)</f>
        <v>95000000000032</v>
      </c>
      <c r="C42" s="14" t="str">
        <f>IF(EXACT(B42, ""), "", [1]DataLookUp!$C42)</f>
        <v>Accounting &amp; Tax Manager</v>
      </c>
      <c r="D42" s="24">
        <v>252000000000009</v>
      </c>
      <c r="E42" s="25" t="str">
        <f>IF(EXACT(D42, ""), "", VLOOKUP(D42, [2]DataLookUp!$B$4:$C$32, 2, FALSE))</f>
        <v>Department - Finance &amp; Accounting</v>
      </c>
      <c r="G42" s="9">
        <f t="shared" si="3"/>
        <v>253000000000032</v>
      </c>
      <c r="H42" s="8" t="str">
        <f t="shared" si="4"/>
        <v>PERFORM "SchSysConfig"."Func_TblAppObject_UserRole_SET"(varSystemLoginSession, null::bigint, null::varchar, null::timestamptz, null::timestamptz, null::varchar, varInstitutionBranchID, varBaseCurrencyID, '95000000000032'::varchar);</v>
      </c>
      <c r="J4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'252000000000009'::bigint, 'userRole_RefID', '95000000000032'::bigint)))::varchar;</v>
      </c>
    </row>
    <row r="43" spans="2:10" x14ac:dyDescent="0.2">
      <c r="B43" s="14">
        <f>IF(EXACT([1]DataLookUp!$B43, ""), "", [1]DataLookUp!$B43)</f>
        <v>95000000000033</v>
      </c>
      <c r="C43" s="14" t="str">
        <f>IF(EXACT(B43, ""), "", [1]DataLookUp!$C43)</f>
        <v>Accounting &amp; Tax Coordinator</v>
      </c>
      <c r="D43" s="24">
        <v>252000000000009</v>
      </c>
      <c r="E43" s="25" t="str">
        <f>IF(EXACT(D43, ""), "", VLOOKUP(D43, [2]DataLookUp!$B$4:$C$32, 2, FALSE))</f>
        <v>Department - Finance &amp; Accounting</v>
      </c>
      <c r="G43" s="9">
        <f t="shared" si="3"/>
        <v>253000000000033</v>
      </c>
      <c r="H43" s="8" t="str">
        <f t="shared" si="4"/>
        <v>PERFORM "SchSysConfig"."Func_TblAppObject_UserRole_SET"(varSystemLoginSession, null::bigint, null::varchar, null::timestamptz, null::timestamptz, null::varchar, varInstitutionBranchID, varBaseCurrencyID, '95000000000033'::varchar);</v>
      </c>
      <c r="J4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'252000000000009'::bigint, 'userRole_RefID', '95000000000033'::bigint)))::varchar;</v>
      </c>
    </row>
    <row r="44" spans="2:10" x14ac:dyDescent="0.2">
      <c r="B44" s="14">
        <f>IF(EXACT([1]DataLookUp!$B44, ""), "", [1]DataLookUp!$B44)</f>
        <v>95000000000034</v>
      </c>
      <c r="C44" s="14" t="str">
        <f>IF(EXACT(B44, ""), "", [1]DataLookUp!$C44)</f>
        <v>Accounting &amp; Tax Staff</v>
      </c>
      <c r="D44" s="24">
        <v>252000000000009</v>
      </c>
      <c r="E44" s="25" t="str">
        <f>IF(EXACT(D44, ""), "", VLOOKUP(D44, [2]DataLookUp!$B$4:$C$32, 2, FALSE))</f>
        <v>Department - Finance &amp; Accounting</v>
      </c>
      <c r="G44" s="9">
        <f t="shared" si="3"/>
        <v>253000000000034</v>
      </c>
      <c r="H44" s="8" t="str">
        <f t="shared" si="4"/>
        <v>PERFORM "SchSysConfig"."Func_TblAppObject_UserRole_SET"(varSystemLoginSession, null::bigint, null::varchar, null::timestamptz, null::timestamptz, null::varchar, varInstitutionBranchID, varBaseCurrencyID, '95000000000034'::varchar);</v>
      </c>
      <c r="J4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'252000000000009'::bigint, 'userRole_RefID', '95000000000034'::bigint)))::varchar;</v>
      </c>
    </row>
    <row r="45" spans="2:10" x14ac:dyDescent="0.2">
      <c r="B45" s="14" t="str">
        <f>IF(EXACT([1]DataLookUp!$B45, ""), "", [1]DataLookUp!$B45)</f>
        <v/>
      </c>
      <c r="C45" s="14" t="str">
        <f>IF(EXACT(B45, ""), "", [1]DataLookUp!$C45)</f>
        <v/>
      </c>
      <c r="D45" s="24"/>
      <c r="E45" s="25" t="str">
        <f>IF(EXACT(D45, ""), "", VLOOKUP(D45, [2]DataLookUp!$B$4:$C$32, 2, FALSE))</f>
        <v/>
      </c>
      <c r="G45" s="9">
        <f t="shared" si="3"/>
        <v>253000000000034</v>
      </c>
      <c r="H45" s="8" t="str">
        <f t="shared" si="4"/>
        <v/>
      </c>
      <c r="J45" s="1" t="str">
        <f t="shared" si="1"/>
        <v/>
      </c>
    </row>
    <row r="46" spans="2:10" x14ac:dyDescent="0.2">
      <c r="B46" s="14">
        <f>IF(EXACT([1]DataLookUp!$B46, ""), "", [1]DataLookUp!$B46)</f>
        <v>95000000000035</v>
      </c>
      <c r="C46" s="14" t="str">
        <f>IF(EXACT(B46, ""), "", [1]DataLookUp!$C46)</f>
        <v>IT System Manager</v>
      </c>
      <c r="D46" s="24">
        <v>252000000000007</v>
      </c>
      <c r="E46" s="25" t="str">
        <f>IF(EXACT(D46, ""), "", VLOOKUP(D46, [2]DataLookUp!$B$4:$C$32, 2, FALSE))</f>
        <v>Department - Information Technology</v>
      </c>
      <c r="G46" s="9">
        <f t="shared" si="3"/>
        <v>253000000000035</v>
      </c>
      <c r="H46" s="8" t="str">
        <f t="shared" si="4"/>
        <v>PERFORM "SchSysConfig"."Func_TblAppObject_UserRole_SET"(varSystemLoginSession, null::bigint, null::varchar, null::timestamptz, null::timestamptz, null::varchar, varInstitutionBranchID, varBaseCurrencyID, '95000000000035'::varchar);</v>
      </c>
      <c r="J4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'252000000000007'::bigint, 'userRole_RefID', '95000000000035'::bigint)))::varchar;</v>
      </c>
    </row>
    <row r="47" spans="2:10" x14ac:dyDescent="0.2">
      <c r="B47" s="14">
        <f>IF(EXACT([1]DataLookUp!$B47, ""), "", [1]DataLookUp!$B47)</f>
        <v>95000000000036</v>
      </c>
      <c r="C47" s="14" t="str">
        <f>IF(EXACT(B47, ""), "", [1]DataLookUp!$C47)</f>
        <v>IT System Engineer Coordinator</v>
      </c>
      <c r="D47" s="24">
        <v>252000000000007</v>
      </c>
      <c r="E47" s="25" t="str">
        <f>IF(EXACT(D47, ""), "", VLOOKUP(D47, [2]DataLookUp!$B$4:$C$32, 2, FALSE))</f>
        <v>Department - Information Technology</v>
      </c>
      <c r="G47" s="9">
        <f t="shared" si="3"/>
        <v>253000000000036</v>
      </c>
      <c r="H47" s="8" t="str">
        <f t="shared" si="4"/>
        <v>PERFORM "SchSysConfig"."Func_TblAppObject_UserRole_SET"(varSystemLoginSession, null::bigint, null::varchar, null::timestamptz, null::timestamptz, null::varchar, varInstitutionBranchID, varBaseCurrencyID, '95000000000036'::varchar);</v>
      </c>
      <c r="J4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'252000000000007'::bigint, 'userRole_RefID', '95000000000036'::bigint)))::varchar;</v>
      </c>
    </row>
    <row r="48" spans="2:10" x14ac:dyDescent="0.2">
      <c r="B48" s="14">
        <f>IF(EXACT([1]DataLookUp!$B48, ""), "", [1]DataLookUp!$B48)</f>
        <v>95000000000037</v>
      </c>
      <c r="C48" s="14" t="str">
        <f>IF(EXACT(B48, ""), "", [1]DataLookUp!$C48)</f>
        <v>IT System Engineer Staff</v>
      </c>
      <c r="D48" s="24">
        <v>252000000000007</v>
      </c>
      <c r="E48" s="25" t="str">
        <f>IF(EXACT(D48, ""), "", VLOOKUP(D48, [2]DataLookUp!$B$4:$C$32, 2, FALSE))</f>
        <v>Department - Information Technology</v>
      </c>
      <c r="G48" s="9">
        <f t="shared" si="3"/>
        <v>253000000000037</v>
      </c>
      <c r="H48" s="8" t="str">
        <f t="shared" si="4"/>
        <v>PERFORM "SchSysConfig"."Func_TblAppObject_UserRole_SET"(varSystemLoginSession, null::bigint, null::varchar, null::timestamptz, null::timestamptz, null::varchar, varInstitutionBranchID, varBaseCurrencyID, '95000000000037'::varchar);</v>
      </c>
      <c r="J4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'252000000000007'::bigint, 'userRole_RefID', '95000000000037'::bigint)))::varchar;</v>
      </c>
    </row>
    <row r="49" spans="2:10" x14ac:dyDescent="0.2">
      <c r="B49" s="14">
        <f>IF(EXACT([1]DataLookUp!$B49, ""), "", [1]DataLookUp!$B49)</f>
        <v>95000000000038</v>
      </c>
      <c r="C49" s="14" t="str">
        <f>IF(EXACT(B49, ""), "", [1]DataLookUp!$C49)</f>
        <v>IT Software Engineer Coordinator</v>
      </c>
      <c r="D49" s="24">
        <v>252000000000007</v>
      </c>
      <c r="E49" s="25" t="str">
        <f>IF(EXACT(D49, ""), "", VLOOKUP(D49, [2]DataLookUp!$B$4:$C$32, 2, FALSE))</f>
        <v>Department - Information Technology</v>
      </c>
      <c r="G49" s="9">
        <f t="shared" si="3"/>
        <v>253000000000038</v>
      </c>
      <c r="H49" s="8" t="str">
        <f t="shared" si="4"/>
        <v>PERFORM "SchSysConfig"."Func_TblAppObject_UserRole_SET"(varSystemLoginSession, null::bigint, null::varchar, null::timestamptz, null::timestamptz, null::varchar, varInstitutionBranchID, varBaseCurrencyID, '95000000000038'::varchar);</v>
      </c>
      <c r="J4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'252000000000007'::bigint, 'userRole_RefID', '95000000000038'::bigint)))::varchar;</v>
      </c>
    </row>
    <row r="50" spans="2:10" x14ac:dyDescent="0.2">
      <c r="B50" s="14">
        <f>IF(EXACT([1]DataLookUp!$B50, ""), "", [1]DataLookUp!$B50)</f>
        <v>95000000000039</v>
      </c>
      <c r="C50" s="14" t="str">
        <f>IF(EXACT(B50, ""), "", [1]DataLookUp!$C50)</f>
        <v>IT Software Engineer Staff</v>
      </c>
      <c r="D50" s="24">
        <v>252000000000007</v>
      </c>
      <c r="E50" s="25" t="str">
        <f>IF(EXACT(D50, ""), "", VLOOKUP(D50, [2]DataLookUp!$B$4:$C$32, 2, FALSE))</f>
        <v>Department - Information Technology</v>
      </c>
      <c r="G50" s="9">
        <f t="shared" si="3"/>
        <v>253000000000039</v>
      </c>
      <c r="H50" s="8" t="str">
        <f t="shared" si="4"/>
        <v>PERFORM "SchSysConfig"."Func_TblAppObject_UserRole_SET"(varSystemLoginSession, null::bigint, null::varchar, null::timestamptz, null::timestamptz, null::varchar, varInstitutionBranchID, varBaseCurrencyID, '95000000000039'::varchar);</v>
      </c>
      <c r="J5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'252000000000007'::bigint, 'userRole_RefID', '95000000000039'::bigint)))::varchar;</v>
      </c>
    </row>
    <row r="51" spans="2:10" x14ac:dyDescent="0.2">
      <c r="B51" s="14" t="str">
        <f>IF(EXACT([1]DataLookUp!$B51, ""), "", [1]DataLookUp!$B51)</f>
        <v/>
      </c>
      <c r="C51" s="14" t="str">
        <f>IF(EXACT(B51, ""), "", [1]DataLookUp!$C51)</f>
        <v/>
      </c>
      <c r="D51" s="24"/>
      <c r="E51" s="25" t="str">
        <f>IF(EXACT(D51, ""), "", VLOOKUP(D51, [2]DataLookUp!$B$4:$C$32, 2, FALSE))</f>
        <v/>
      </c>
      <c r="G51" s="9">
        <f t="shared" si="3"/>
        <v>253000000000039</v>
      </c>
      <c r="H51" s="8" t="str">
        <f t="shared" si="4"/>
        <v/>
      </c>
      <c r="J51" s="1" t="str">
        <f t="shared" si="1"/>
        <v/>
      </c>
    </row>
    <row r="52" spans="2:10" x14ac:dyDescent="0.2">
      <c r="B52" s="14">
        <f>IF(EXACT([1]DataLookUp!$B52, ""), "", [1]DataLookUp!$B52)</f>
        <v>95000000000040</v>
      </c>
      <c r="C52" s="14" t="str">
        <f>IF(EXACT(B52, ""), "", [1]DataLookUp!$C52)</f>
        <v>Procurement Manager</v>
      </c>
      <c r="D52" s="24">
        <v>252000000000016</v>
      </c>
      <c r="E52" s="25" t="str">
        <f>IF(EXACT(D52, ""), "", VLOOKUP(D52, [2]DataLookUp!$B$4:$C$32, 2, FALSE))</f>
        <v>Department - Procurement</v>
      </c>
      <c r="G52" s="9">
        <f t="shared" si="3"/>
        <v>253000000000040</v>
      </c>
      <c r="H52" s="8" t="str">
        <f t="shared" si="4"/>
        <v>PERFORM "SchSysConfig"."Func_TblAppObject_UserRole_SET"(varSystemLoginSession, null::bigint, null::varchar, null::timestamptz, null::timestamptz, null::varchar, varInstitutionBranchID, varBaseCurrencyID, '95000000000040'::varchar);</v>
      </c>
      <c r="J5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'252000000000016'::bigint, 'userRole_RefID', '95000000000040'::bigint)))::varchar;</v>
      </c>
    </row>
    <row r="53" spans="2:10" x14ac:dyDescent="0.2">
      <c r="B53" s="14">
        <f>IF(EXACT([1]DataLookUp!$B53, ""), "", [1]DataLookUp!$B53)</f>
        <v>95000000000041</v>
      </c>
      <c r="C53" s="14" t="str">
        <f>IF(EXACT(B53, ""), "", [1]DataLookUp!$C53)</f>
        <v>Procurement Coordinator</v>
      </c>
      <c r="D53" s="24">
        <v>252000000000016</v>
      </c>
      <c r="E53" s="25" t="str">
        <f>IF(EXACT(D53, ""), "", VLOOKUP(D53, [2]DataLookUp!$B$4:$C$32, 2, FALSE))</f>
        <v>Department - Procurement</v>
      </c>
      <c r="G53" s="9">
        <f t="shared" si="3"/>
        <v>253000000000041</v>
      </c>
      <c r="H53" s="8" t="str">
        <f t="shared" si="4"/>
        <v>PERFORM "SchSysConfig"."Func_TblAppObject_UserRole_SET"(varSystemLoginSession, null::bigint, null::varchar, null::timestamptz, null::timestamptz, null::varchar, varInstitutionBranchID, varBaseCurrencyID, '95000000000041'::varchar);</v>
      </c>
      <c r="J5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'252000000000016'::bigint, 'userRole_RefID', '95000000000041'::bigint)))::varchar;</v>
      </c>
    </row>
    <row r="54" spans="2:10" x14ac:dyDescent="0.2">
      <c r="B54" s="14">
        <f>IF(EXACT([1]DataLookUp!$B54, ""), "", [1]DataLookUp!$B54)</f>
        <v>95000000000042</v>
      </c>
      <c r="C54" s="14" t="str">
        <f>IF(EXACT(B54, ""), "", [1]DataLookUp!$C54)</f>
        <v>Procurement Staff</v>
      </c>
      <c r="D54" s="24">
        <v>252000000000016</v>
      </c>
      <c r="E54" s="25" t="str">
        <f>IF(EXACT(D54, ""), "", VLOOKUP(D54, [2]DataLookUp!$B$4:$C$32, 2, FALSE))</f>
        <v>Department - Procurement</v>
      </c>
      <c r="G54" s="9">
        <f t="shared" si="3"/>
        <v>253000000000042</v>
      </c>
      <c r="H54" s="8" t="str">
        <f t="shared" si="4"/>
        <v>PERFORM "SchSysConfig"."Func_TblAppObject_UserRole_SET"(varSystemLoginSession, null::bigint, null::varchar, null::timestamptz, null::timestamptz, null::varchar, varInstitutionBranchID, varBaseCurrencyID, '95000000000042'::varchar);</v>
      </c>
      <c r="J5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'252000000000016'::bigint, 'userRole_RefID', '95000000000042'::bigint)))::varchar;</v>
      </c>
    </row>
    <row r="55" spans="2:10" x14ac:dyDescent="0.2">
      <c r="B55" s="14" t="str">
        <f>IF(EXACT([1]DataLookUp!$B55, ""), "", [1]DataLookUp!$B55)</f>
        <v/>
      </c>
      <c r="C55" s="14" t="str">
        <f>IF(EXACT(B55, ""), "", [1]DataLookUp!$C55)</f>
        <v/>
      </c>
      <c r="D55" s="24"/>
      <c r="E55" s="25" t="str">
        <f>IF(EXACT(D55, ""), "", VLOOKUP(D55, [2]DataLookUp!$B$4:$C$32, 2, FALSE))</f>
        <v/>
      </c>
      <c r="G55" s="9">
        <f t="shared" si="3"/>
        <v>253000000000042</v>
      </c>
      <c r="H55" s="8" t="str">
        <f t="shared" si="4"/>
        <v/>
      </c>
      <c r="J55" s="1" t="str">
        <f t="shared" si="1"/>
        <v/>
      </c>
    </row>
    <row r="56" spans="2:10" x14ac:dyDescent="0.2">
      <c r="B56" s="14">
        <f>IF(EXACT([1]DataLookUp!$B56, ""), "", [1]DataLookUp!$B56)</f>
        <v>95000000000043</v>
      </c>
      <c r="C56" s="14" t="str">
        <f>IF(EXACT(B56, ""), "", [1]DataLookUp!$C56)</f>
        <v>Sales Manager</v>
      </c>
      <c r="D56" s="24">
        <v>252000000000008</v>
      </c>
      <c r="E56" s="25" t="str">
        <f>IF(EXACT(D56, ""), "", VLOOKUP(D56, [2]DataLookUp!$B$4:$C$32, 2, FALSE))</f>
        <v>Department - Sales &amp; Marketing</v>
      </c>
      <c r="G56" s="9">
        <f t="shared" si="3"/>
        <v>253000000000043</v>
      </c>
      <c r="H56" s="8" t="str">
        <f t="shared" si="4"/>
        <v>PERFORM "SchSysConfig"."Func_TblAppObject_UserRole_SET"(varSystemLoginSession, null::bigint, null::varchar, null::timestamptz, null::timestamptz, null::varchar, varInstitutionBranchID, varBaseCurrencyID, '95000000000043'::varchar);</v>
      </c>
      <c r="J5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'252000000000008'::bigint, 'userRole_RefID', '95000000000043'::bigint)))::varchar;</v>
      </c>
    </row>
    <row r="57" spans="2:10" x14ac:dyDescent="0.2">
      <c r="B57" s="14">
        <f>IF(EXACT([1]DataLookUp!$B57, ""), "", [1]DataLookUp!$B57)</f>
        <v>95000000000044</v>
      </c>
      <c r="C57" s="14" t="str">
        <f>IF(EXACT(B57, ""), "", [1]DataLookUp!$C57)</f>
        <v>Sales Coordinator</v>
      </c>
      <c r="D57" s="24">
        <v>252000000000008</v>
      </c>
      <c r="E57" s="25" t="str">
        <f>IF(EXACT(D57, ""), "", VLOOKUP(D57, [2]DataLookUp!$B$4:$C$32, 2, FALSE))</f>
        <v>Department - Sales &amp; Marketing</v>
      </c>
      <c r="G57" s="9">
        <f t="shared" si="3"/>
        <v>253000000000044</v>
      </c>
      <c r="H57" s="8" t="str">
        <f t="shared" si="4"/>
        <v>PERFORM "SchSysConfig"."Func_TblAppObject_UserRole_SET"(varSystemLoginSession, null::bigint, null::varchar, null::timestamptz, null::timestamptz, null::varchar, varInstitutionBranchID, varBaseCurrencyID, '95000000000044'::varchar);</v>
      </c>
      <c r="J5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'252000000000008'::bigint, 'userRole_RefID', '95000000000044'::bigint)))::varchar;</v>
      </c>
    </row>
    <row r="58" spans="2:10" x14ac:dyDescent="0.2">
      <c r="B58" s="14">
        <f>IF(EXACT([1]DataLookUp!$B58, ""), "", [1]DataLookUp!$B58)</f>
        <v>95000000000045</v>
      </c>
      <c r="C58" s="14" t="str">
        <f>IF(EXACT(B58, ""), "", [1]DataLookUp!$C58)</f>
        <v>Bid And Sales Administrator Staff</v>
      </c>
      <c r="D58" s="24">
        <v>252000000000008</v>
      </c>
      <c r="E58" s="25" t="str">
        <f>IF(EXACT(D58, ""), "", VLOOKUP(D58, [2]DataLookUp!$B$4:$C$32, 2, FALSE))</f>
        <v>Department - Sales &amp; Marketing</v>
      </c>
      <c r="G58" s="9">
        <f t="shared" si="3"/>
        <v>253000000000045</v>
      </c>
      <c r="H58" s="8" t="str">
        <f t="shared" si="4"/>
        <v>PERFORM "SchSysConfig"."Func_TblAppObject_UserRole_SET"(varSystemLoginSession, null::bigint, null::varchar, null::timestamptz, null::timestamptz, null::varchar, varInstitutionBranchID, varBaseCurrencyID, '95000000000045'::varchar);</v>
      </c>
      <c r="J5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'252000000000008'::bigint, 'userRole_RefID', '95000000000045'::bigint)))::varchar;</v>
      </c>
    </row>
    <row r="59" spans="2:10" x14ac:dyDescent="0.2">
      <c r="B59" s="14">
        <f>IF(EXACT([1]DataLookUp!$B59, ""), "", [1]DataLookUp!$B59)</f>
        <v>95000000000046</v>
      </c>
      <c r="C59" s="14" t="str">
        <f>IF(EXACT(B59, ""), "", [1]DataLookUp!$C59)</f>
        <v>Sales Estimator Coordinator</v>
      </c>
      <c r="D59" s="24">
        <v>252000000000008</v>
      </c>
      <c r="E59" s="25" t="str">
        <f>IF(EXACT(D59, ""), "", VLOOKUP(D59, [2]DataLookUp!$B$4:$C$32, 2, FALSE))</f>
        <v>Department - Sales &amp; Marketing</v>
      </c>
      <c r="G59" s="9">
        <f t="shared" si="3"/>
        <v>253000000000046</v>
      </c>
      <c r="H59" s="8" t="str">
        <f t="shared" si="4"/>
        <v>PERFORM "SchSysConfig"."Func_TblAppObject_UserRole_SET"(varSystemLoginSession, null::bigint, null::varchar, null::timestamptz, null::timestamptz, null::varchar, varInstitutionBranchID, varBaseCurrencyID, '95000000000046'::varchar);</v>
      </c>
      <c r="J5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'252000000000008'::bigint, 'userRole_RefID', '95000000000046'::bigint)))::varchar;</v>
      </c>
    </row>
    <row r="60" spans="2:10" x14ac:dyDescent="0.2">
      <c r="B60" s="14">
        <f>IF(EXACT([1]DataLookUp!$B60, ""), "", [1]DataLookUp!$B60)</f>
        <v>95000000000047</v>
      </c>
      <c r="C60" s="14" t="str">
        <f>IF(EXACT(B60, ""), "", [1]DataLookUp!$C60)</f>
        <v>Sales Estimator Staff</v>
      </c>
      <c r="D60" s="24">
        <v>252000000000008</v>
      </c>
      <c r="E60" s="25" t="str">
        <f>IF(EXACT(D60, ""), "", VLOOKUP(D60, [2]DataLookUp!$B$4:$C$32, 2, FALSE))</f>
        <v>Department - Sales &amp; Marketing</v>
      </c>
      <c r="G60" s="9">
        <f t="shared" si="3"/>
        <v>253000000000047</v>
      </c>
      <c r="H60" s="8" t="str">
        <f t="shared" si="4"/>
        <v>PERFORM "SchSysConfig"."Func_TblAppObject_UserRole_SET"(varSystemLoginSession, null::bigint, null::varchar, null::timestamptz, null::timestamptz, null::varchar, varInstitutionBranchID, varBaseCurrencyID, '95000000000047'::varchar);</v>
      </c>
      <c r="J6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'252000000000008'::bigint, 'userRole_RefID', '95000000000047'::bigint)))::varchar;</v>
      </c>
    </row>
    <row r="61" spans="2:10" x14ac:dyDescent="0.2">
      <c r="B61" s="14" t="str">
        <f>IF(EXACT([1]DataLookUp!$B61, ""), "", [1]DataLookUp!$B61)</f>
        <v/>
      </c>
      <c r="C61" s="14" t="str">
        <f>IF(EXACT(B61, ""), "", [1]DataLookUp!$C61)</f>
        <v/>
      </c>
      <c r="D61" s="24"/>
      <c r="E61" s="25" t="str">
        <f>IF(EXACT(D61, ""), "", VLOOKUP(D61, [2]DataLookUp!$B$4:$C$32, 2, FALSE))</f>
        <v/>
      </c>
      <c r="G61" s="9">
        <f t="shared" si="3"/>
        <v>253000000000047</v>
      </c>
      <c r="H61" s="8" t="str">
        <f t="shared" si="4"/>
        <v/>
      </c>
      <c r="J61" s="1" t="str">
        <f t="shared" si="1"/>
        <v/>
      </c>
    </row>
    <row r="62" spans="2:10" x14ac:dyDescent="0.2">
      <c r="B62" s="14">
        <f>IF(EXACT([1]DataLookUp!$B62, ""), "", [1]DataLookUp!$B62)</f>
        <v>95000000000048</v>
      </c>
      <c r="C62" s="14" t="str">
        <f>IF(EXACT(B62, ""), "", [1]DataLookUp!$C62)</f>
        <v>Health Safety Environment Manager</v>
      </c>
      <c r="D62" s="24">
        <v>252000000000011</v>
      </c>
      <c r="E62" s="25" t="str">
        <f>IF(EXACT(D62, ""), "", VLOOKUP(D62, [2]DataLookUp!$B$4:$C$32, 2, FALSE))</f>
        <v>Department - Health Safety Environment</v>
      </c>
      <c r="G62" s="9">
        <f t="shared" si="3"/>
        <v>253000000000048</v>
      </c>
      <c r="H62" s="8" t="str">
        <f t="shared" si="4"/>
        <v>PERFORM "SchSysConfig"."Func_TblAppObject_UserRole_SET"(varSystemLoginSession, null::bigint, null::varchar, null::timestamptz, null::timestamptz, null::varchar, varInstitutionBranchID, varBaseCurrencyID, '95000000000048'::varchar);</v>
      </c>
      <c r="J6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'252000000000011'::bigint, 'userRole_RefID', '95000000000048'::bigint)))::varchar;</v>
      </c>
    </row>
    <row r="63" spans="2:10" x14ac:dyDescent="0.2">
      <c r="B63" s="14">
        <f>IF(EXACT([1]DataLookUp!$B63, ""), "", [1]DataLookUp!$B63)</f>
        <v>95000000000049</v>
      </c>
      <c r="C63" s="14" t="str">
        <f>IF(EXACT(B63, ""), "", [1]DataLookUp!$C63)</f>
        <v>Health Safety Environment Coordinator</v>
      </c>
      <c r="D63" s="24">
        <v>252000000000011</v>
      </c>
      <c r="E63" s="25" t="str">
        <f>IF(EXACT(D63, ""), "", VLOOKUP(D63, [2]DataLookUp!$B$4:$C$32, 2, FALSE))</f>
        <v>Department - Health Safety Environment</v>
      </c>
      <c r="G63" s="9">
        <f t="shared" si="3"/>
        <v>253000000000049</v>
      </c>
      <c r="H63" s="8" t="str">
        <f t="shared" si="4"/>
        <v>PERFORM "SchSysConfig"."Func_TblAppObject_UserRole_SET"(varSystemLoginSession, null::bigint, null::varchar, null::timestamptz, null::timestamptz, null::varchar, varInstitutionBranchID, varBaseCurrencyID, '95000000000049'::varchar);</v>
      </c>
      <c r="J6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'252000000000011'::bigint, 'userRole_RefID', '95000000000049'::bigint)))::varchar;</v>
      </c>
    </row>
    <row r="64" spans="2:10" x14ac:dyDescent="0.2">
      <c r="B64" s="14">
        <f>IF(EXACT([1]DataLookUp!$B64, ""), "", [1]DataLookUp!$B64)</f>
        <v>95000000000050</v>
      </c>
      <c r="C64" s="14" t="str">
        <f>IF(EXACT(B64, ""), "", [1]DataLookUp!$C64)</f>
        <v>Health Safety Environment Staff</v>
      </c>
      <c r="D64" s="24">
        <v>252000000000011</v>
      </c>
      <c r="E64" s="25" t="str">
        <f>IF(EXACT(D64, ""), "", VLOOKUP(D64, [2]DataLookUp!$B$4:$C$32, 2, FALSE))</f>
        <v>Department - Health Safety Environment</v>
      </c>
      <c r="G64" s="9">
        <f t="shared" si="3"/>
        <v>253000000000050</v>
      </c>
      <c r="H64" s="8" t="str">
        <f t="shared" si="4"/>
        <v>PERFORM "SchSysConfig"."Func_TblAppObject_UserRole_SET"(varSystemLoginSession, null::bigint, null::varchar, null::timestamptz, null::timestamptz, null::varchar, varInstitutionBranchID, varBaseCurrencyID, '95000000000050'::varchar);</v>
      </c>
      <c r="J6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'252000000000011'::bigint, 'userRole_RefID', '95000000000050'::bigint)))::varchar;</v>
      </c>
    </row>
    <row r="65" spans="2:10" x14ac:dyDescent="0.2">
      <c r="B65" s="14" t="str">
        <f>IF(EXACT([1]DataLookUp!$B65, ""), "", [1]DataLookUp!$B65)</f>
        <v/>
      </c>
      <c r="C65" s="14" t="str">
        <f>IF(EXACT(B65, ""), "", [1]DataLookUp!$C65)</f>
        <v/>
      </c>
      <c r="D65" s="24"/>
      <c r="E65" s="25" t="str">
        <f>IF(EXACT(D65, ""), "", VLOOKUP(D65, [2]DataLookUp!$B$4:$C$32, 2, FALSE))</f>
        <v/>
      </c>
      <c r="G65" s="9">
        <f t="shared" si="3"/>
        <v>253000000000050</v>
      </c>
      <c r="H65" s="8" t="str">
        <f t="shared" si="4"/>
        <v/>
      </c>
      <c r="J65" s="1" t="str">
        <f t="shared" si="1"/>
        <v/>
      </c>
    </row>
    <row r="66" spans="2:10" x14ac:dyDescent="0.2">
      <c r="B66" s="14">
        <f>IF(EXACT([1]DataLookUp!$B66, ""), "", [1]DataLookUp!$B66)</f>
        <v>95000000000051</v>
      </c>
      <c r="C66" s="14" t="str">
        <f>IF(EXACT(B66, ""), "", [1]DataLookUp!$C66)</f>
        <v>Human Resource Development Manager</v>
      </c>
      <c r="D66" s="24">
        <v>252000000000010</v>
      </c>
      <c r="E66" s="25" t="str">
        <f>IF(EXACT(D66, ""), "", VLOOKUP(D66, [2]DataLookUp!$B$4:$C$32, 2, FALSE))</f>
        <v>Department - Human Resource Development</v>
      </c>
      <c r="G66" s="9">
        <f t="shared" si="3"/>
        <v>253000000000051</v>
      </c>
      <c r="H66" s="8" t="str">
        <f t="shared" si="4"/>
        <v>PERFORM "SchSysConfig"."Func_TblAppObject_UserRole_SET"(varSystemLoginSession, null::bigint, null::varchar, null::timestamptz, null::timestamptz, null::varchar, varInstitutionBranchID, varBaseCurrencyID, '95000000000051'::varchar);</v>
      </c>
      <c r="J6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'252000000000010'::bigint, 'userRole_RefID', '95000000000051'::bigint)))::varchar;</v>
      </c>
    </row>
    <row r="67" spans="2:10" x14ac:dyDescent="0.2">
      <c r="B67" s="14">
        <f>IF(EXACT([1]DataLookUp!$B67, ""), "", [1]DataLookUp!$B67)</f>
        <v>95000000000052</v>
      </c>
      <c r="C67" s="14" t="str">
        <f>IF(EXACT(B67, ""), "", [1]DataLookUp!$C67)</f>
        <v>Human Resource Development Coordinator</v>
      </c>
      <c r="D67" s="24">
        <v>252000000000010</v>
      </c>
      <c r="E67" s="25" t="str">
        <f>IF(EXACT(D67, ""), "", VLOOKUP(D67, [2]DataLookUp!$B$4:$C$32, 2, FALSE))</f>
        <v>Department - Human Resource Development</v>
      </c>
      <c r="G67" s="9">
        <f t="shared" si="3"/>
        <v>253000000000052</v>
      </c>
      <c r="H67" s="8" t="str">
        <f t="shared" si="4"/>
        <v>PERFORM "SchSysConfig"."Func_TblAppObject_UserRole_SET"(varSystemLoginSession, null::bigint, null::varchar, null::timestamptz, null::timestamptz, null::varchar, varInstitutionBranchID, varBaseCurrencyID, '95000000000052'::varchar);</v>
      </c>
      <c r="J6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'252000000000010'::bigint, 'userRole_RefID', '95000000000052'::bigint)))::varchar;</v>
      </c>
    </row>
    <row r="68" spans="2:10" x14ac:dyDescent="0.2">
      <c r="B68" s="14">
        <f>IF(EXACT([1]DataLookUp!$B68, ""), "", [1]DataLookUp!$B68)</f>
        <v>95000000000053</v>
      </c>
      <c r="C68" s="14" t="str">
        <f>IF(EXACT(B68, ""), "", [1]DataLookUp!$C68)</f>
        <v>Human Resource Development Staff</v>
      </c>
      <c r="D68" s="24">
        <v>252000000000010</v>
      </c>
      <c r="E68" s="25" t="str">
        <f>IF(EXACT(D68, ""), "", VLOOKUP(D68, [2]DataLookUp!$B$4:$C$32, 2, FALSE))</f>
        <v>Department - Human Resource Development</v>
      </c>
      <c r="G68" s="9">
        <f t="shared" si="3"/>
        <v>253000000000053</v>
      </c>
      <c r="H68" s="8" t="str">
        <f t="shared" si="4"/>
        <v>PERFORM "SchSysConfig"."Func_TblAppObject_UserRole_SET"(varSystemLoginSession, null::bigint, null::varchar, null::timestamptz, null::timestamptz, null::varchar, varInstitutionBranchID, varBaseCurrencyID, '95000000000053'::varchar);</v>
      </c>
      <c r="J6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'252000000000010'::bigint, 'userRole_RefID', '95000000000053'::bigint)))::varchar;</v>
      </c>
    </row>
    <row r="69" spans="2:10" x14ac:dyDescent="0.2">
      <c r="B69" s="14" t="str">
        <f>IF(EXACT([1]DataLookUp!$B69, ""), "", [1]DataLookUp!$B69)</f>
        <v/>
      </c>
      <c r="C69" s="14" t="str">
        <f>IF(EXACT(B69, ""), "", [1]DataLookUp!$C69)</f>
        <v/>
      </c>
      <c r="D69" s="24"/>
      <c r="E69" s="25" t="str">
        <f>IF(EXACT(D69, ""), "", VLOOKUP(D69, [2]DataLookUp!$B$4:$C$32, 2, FALSE))</f>
        <v/>
      </c>
      <c r="G69" s="9">
        <f t="shared" si="3"/>
        <v>253000000000053</v>
      </c>
      <c r="H69" s="8" t="str">
        <f t="shared" si="4"/>
        <v/>
      </c>
      <c r="J69" s="1" t="str">
        <f t="shared" ref="J69:J84" si="5">IF(EXACT($H69, ""), "", 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"'userRoleGroup_RefID', ", IF(EXACT($D69, ""), "null", CONCATENATE("'", SUBSTITUTE($D69, "'", "\'"), "'")), "::bigint, ",
"'userRole_RefID', ", IF(EXACT($B69, ""), "null", CONCATENATE("'", SUBSTITUTE($B69, "'", "\'"), "'")), "::bigint",
")))::varchar;"))</f>
        <v/>
      </c>
    </row>
    <row r="70" spans="2:10" x14ac:dyDescent="0.2">
      <c r="B70" s="14">
        <f>IF(EXACT([1]DataLookUp!$B70, ""), "", [1]DataLookUp!$B70)</f>
        <v>95000000000054</v>
      </c>
      <c r="C70" s="14" t="str">
        <f>IF(EXACT(B70, ""), "", [1]DataLookUp!$C70)</f>
        <v>General Affairs Manager</v>
      </c>
      <c r="D70" s="24">
        <v>252000000000010</v>
      </c>
      <c r="E70" s="25" t="str">
        <f>IF(EXACT(D70, ""), "", VLOOKUP(D70, [2]DataLookUp!$B$4:$C$32, 2, FALSE))</f>
        <v>Department - Human Resource Development</v>
      </c>
      <c r="G70" s="9">
        <f t="shared" si="3"/>
        <v>253000000000054</v>
      </c>
      <c r="H70" s="8" t="str">
        <f t="shared" si="4"/>
        <v>PERFORM "SchSysConfig"."Func_TblAppObject_UserRole_SET"(varSystemLoginSession, null::bigint, null::varchar, null::timestamptz, null::timestamptz, null::varchar, varInstitutionBranchID, varBaseCurrencyID, '95000000000054'::varchar);</v>
      </c>
      <c r="J70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'252000000000010'::bigint, 'userRole_RefID', '95000000000054'::bigint)))::varchar;</v>
      </c>
    </row>
    <row r="71" spans="2:10" x14ac:dyDescent="0.2">
      <c r="B71" s="14">
        <f>IF(EXACT([1]DataLookUp!$B71, ""), "", [1]DataLookUp!$B71)</f>
        <v>95000000000055</v>
      </c>
      <c r="C71" s="14" t="str">
        <f>IF(EXACT(B71, ""), "", [1]DataLookUp!$C71)</f>
        <v>General Affairs Coordinator</v>
      </c>
      <c r="D71" s="24">
        <v>252000000000010</v>
      </c>
      <c r="E71" s="25" t="str">
        <f>IF(EXACT(D71, ""), "", VLOOKUP(D71, [2]DataLookUp!$B$4:$C$32, 2, FALSE))</f>
        <v>Department - Human Resource Development</v>
      </c>
      <c r="G71" s="9">
        <f t="shared" si="3"/>
        <v>253000000000055</v>
      </c>
      <c r="H71" s="8" t="str">
        <f t="shared" si="4"/>
        <v>PERFORM "SchSysConfig"."Func_TblAppObject_UserRole_SET"(varSystemLoginSession, null::bigint, null::varchar, null::timestamptz, null::timestamptz, null::varchar, varInstitutionBranchID, varBaseCurrencyID, '95000000000055'::varchar);</v>
      </c>
      <c r="J71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'252000000000010'::bigint, 'userRole_RefID', '95000000000055'::bigint)))::varchar;</v>
      </c>
    </row>
    <row r="72" spans="2:10" x14ac:dyDescent="0.2">
      <c r="B72" s="14">
        <f>IF(EXACT([1]DataLookUp!$B72, ""), "", [1]DataLookUp!$B72)</f>
        <v>95000000000056</v>
      </c>
      <c r="C72" s="14" t="str">
        <f>IF(EXACT(B72, ""), "", [1]DataLookUp!$C72)</f>
        <v>General Affairs Staff</v>
      </c>
      <c r="D72" s="24">
        <v>252000000000010</v>
      </c>
      <c r="E72" s="25" t="str">
        <f>IF(EXACT(D72, ""), "", VLOOKUP(D72, [2]DataLookUp!$B$4:$C$32, 2, FALSE))</f>
        <v>Department - Human Resource Development</v>
      </c>
      <c r="G72" s="9">
        <f t="shared" si="3"/>
        <v>253000000000056</v>
      </c>
      <c r="H72" s="8" t="str">
        <f t="shared" si="4"/>
        <v>PERFORM "SchSysConfig"."Func_TblAppObject_UserRole_SET"(varSystemLoginSession, null::bigint, null::varchar, null::timestamptz, null::timestamptz, null::varchar, varInstitutionBranchID, varBaseCurrencyID, '95000000000056'::varchar);</v>
      </c>
      <c r="J72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'252000000000010'::bigint, 'userRole_RefID', '95000000000056'::bigint)))::varchar;</v>
      </c>
    </row>
    <row r="73" spans="2:10" x14ac:dyDescent="0.2">
      <c r="B73" s="14" t="str">
        <f>IF(EXACT([1]DataLookUp!$B73, ""), "", [1]DataLookUp!$B73)</f>
        <v/>
      </c>
      <c r="C73" s="14" t="str">
        <f>IF(EXACT(B73, ""), "", [1]DataLookUp!$C73)</f>
        <v/>
      </c>
      <c r="D73" s="24"/>
      <c r="E73" s="25" t="str">
        <f>IF(EXACT(D73, ""), "", VLOOKUP(D73, [2]DataLookUp!$B$4:$C$32, 2, FALSE))</f>
        <v/>
      </c>
      <c r="G73" s="9">
        <f t="shared" si="3"/>
        <v>253000000000056</v>
      </c>
      <c r="H73" s="8" t="str">
        <f t="shared" si="4"/>
        <v/>
      </c>
      <c r="J73" s="1" t="str">
        <f t="shared" si="5"/>
        <v/>
      </c>
    </row>
    <row r="74" spans="2:10" x14ac:dyDescent="0.2">
      <c r="B74" s="14">
        <f>IF(EXACT([1]DataLookUp!$B74, ""), "", [1]DataLookUp!$B74)</f>
        <v>95000000000057</v>
      </c>
      <c r="C74" s="14" t="str">
        <f>IF(EXACT(B74, ""), "", [1]DataLookUp!$C74)</f>
        <v>Legal Manager</v>
      </c>
      <c r="D74" s="24">
        <v>252000000000013</v>
      </c>
      <c r="E74" s="25" t="str">
        <f>IF(EXACT(D74, ""), "", VLOOKUP(D74, [2]DataLookUp!$B$4:$C$32, 2, FALSE))</f>
        <v>Department - Legal</v>
      </c>
      <c r="G74" s="9">
        <f t="shared" si="3"/>
        <v>253000000000057</v>
      </c>
      <c r="H74" s="8" t="str">
        <f t="shared" si="4"/>
        <v>PERFORM "SchSysConfig"."Func_TblAppObject_UserRole_SET"(varSystemLoginSession, null::bigint, null::varchar, null::timestamptz, null::timestamptz, null::varchar, varInstitutionBranchID, varBaseCurrencyID, '95000000000057'::varchar);</v>
      </c>
      <c r="J74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'252000000000013'::bigint, 'userRole_RefID', '95000000000057'::bigint)))::varchar;</v>
      </c>
    </row>
    <row r="75" spans="2:10" x14ac:dyDescent="0.2">
      <c r="B75" s="14">
        <f>IF(EXACT([1]DataLookUp!$B75, ""), "", [1]DataLookUp!$B75)</f>
        <v>95000000000058</v>
      </c>
      <c r="C75" s="14" t="str">
        <f>IF(EXACT(B75, ""), "", [1]DataLookUp!$C75)</f>
        <v>Legal Coordinator</v>
      </c>
      <c r="D75" s="24">
        <v>252000000000013</v>
      </c>
      <c r="E75" s="25" t="str">
        <f>IF(EXACT(D75, ""), "", VLOOKUP(D75, [2]DataLookUp!$B$4:$C$32, 2, FALSE))</f>
        <v>Department - Legal</v>
      </c>
      <c r="G75" s="9">
        <f t="shared" si="3"/>
        <v>253000000000058</v>
      </c>
      <c r="H75" s="8" t="str">
        <f t="shared" si="4"/>
        <v>PERFORM "SchSysConfig"."Func_TblAppObject_UserRole_SET"(varSystemLoginSession, null::bigint, null::varchar, null::timestamptz, null::timestamptz, null::varchar, varInstitutionBranchID, varBaseCurrencyID, '95000000000058'::varchar);</v>
      </c>
      <c r="J75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'252000000000013'::bigint, 'userRole_RefID', '95000000000058'::bigint)))::varchar;</v>
      </c>
    </row>
    <row r="76" spans="2:10" x14ac:dyDescent="0.2">
      <c r="B76" s="14">
        <f>IF(EXACT([1]DataLookUp!$B76, ""), "", [1]DataLookUp!$B76)</f>
        <v>95000000000059</v>
      </c>
      <c r="C76" s="14" t="str">
        <f>IF(EXACT(B76, ""), "", [1]DataLookUp!$C76)</f>
        <v>Legal Staff</v>
      </c>
      <c r="D76" s="24">
        <v>252000000000013</v>
      </c>
      <c r="E76" s="25" t="str">
        <f>IF(EXACT(D76, ""), "", VLOOKUP(D76, [2]DataLookUp!$B$4:$C$32, 2, FALSE))</f>
        <v>Department - Legal</v>
      </c>
      <c r="G76" s="9">
        <f t="shared" si="3"/>
        <v>253000000000059</v>
      </c>
      <c r="H76" s="8" t="str">
        <f t="shared" si="4"/>
        <v>PERFORM "SchSysConfig"."Func_TblAppObject_UserRole_SET"(varSystemLoginSession, null::bigint, null::varchar, null::timestamptz, null::timestamptz, null::varchar, varInstitutionBranchID, varBaseCurrencyID, '95000000000059'::varchar);</v>
      </c>
      <c r="J76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'252000000000013'::bigint, 'userRole_RefID', '95000000000059'::bigint)))::varchar;</v>
      </c>
    </row>
    <row r="77" spans="2:10" x14ac:dyDescent="0.2">
      <c r="B77" s="14" t="str">
        <f>IF(EXACT([1]DataLookUp!$B77, ""), "", [1]DataLookUp!$B77)</f>
        <v/>
      </c>
      <c r="C77" s="14" t="str">
        <f>IF(EXACT(B77, ""), "", [1]DataLookUp!$C77)</f>
        <v/>
      </c>
      <c r="D77" s="24"/>
      <c r="E77" s="25" t="str">
        <f>IF(EXACT(D77, ""), "", VLOOKUP(D77, [2]DataLookUp!$B$4:$C$32, 2, FALSE))</f>
        <v/>
      </c>
      <c r="G77" s="9">
        <f t="shared" si="3"/>
        <v>253000000000059</v>
      </c>
      <c r="H77" s="8" t="str">
        <f t="shared" si="4"/>
        <v/>
      </c>
      <c r="J77" s="1" t="str">
        <f t="shared" si="5"/>
        <v/>
      </c>
    </row>
    <row r="78" spans="2:10" x14ac:dyDescent="0.2">
      <c r="B78" s="14">
        <f>IF(EXACT([1]DataLookUp!$B78, ""), "", [1]DataLookUp!$B78)</f>
        <v>95000000000060</v>
      </c>
      <c r="C78" s="14" t="str">
        <f>IF(EXACT(B78, ""), "", [1]DataLookUp!$C78)</f>
        <v>Tools And Asset Manager</v>
      </c>
      <c r="D78" s="24">
        <v>252000000000014</v>
      </c>
      <c r="E78" s="25" t="str">
        <f>IF(EXACT(D78, ""), "", VLOOKUP(D78, [2]DataLookUp!$B$4:$C$32, 2, FALSE))</f>
        <v>Department - Tools &amp; Asset Management</v>
      </c>
      <c r="G78" s="9">
        <f t="shared" si="3"/>
        <v>253000000000060</v>
      </c>
      <c r="H78" s="8" t="str">
        <f t="shared" si="4"/>
        <v>PERFORM "SchSysConfig"."Func_TblAppObject_UserRole_SET"(varSystemLoginSession, null::bigint, null::varchar, null::timestamptz, null::timestamptz, null::varchar, varInstitutionBranchID, varBaseCurrencyID, '95000000000060'::varchar);</v>
      </c>
      <c r="J78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'252000000000014'::bigint, 'userRole_RefID', '95000000000060'::bigint)))::varchar;</v>
      </c>
    </row>
    <row r="79" spans="2:10" x14ac:dyDescent="0.2">
      <c r="B79" s="14">
        <f>IF(EXACT([1]DataLookUp!$B79, ""), "", [1]DataLookUp!$B79)</f>
        <v>95000000000061</v>
      </c>
      <c r="C79" s="14" t="str">
        <f>IF(EXACT(B79, ""), "", [1]DataLookUp!$C79)</f>
        <v>Tools And Asset Coordinator</v>
      </c>
      <c r="D79" s="24">
        <v>252000000000014</v>
      </c>
      <c r="E79" s="25" t="str">
        <f>IF(EXACT(D79, ""), "", VLOOKUP(D79, [2]DataLookUp!$B$4:$C$32, 2, FALSE))</f>
        <v>Department - Tools &amp; Asset Management</v>
      </c>
      <c r="G79" s="9">
        <f t="shared" si="3"/>
        <v>253000000000061</v>
      </c>
      <c r="H79" s="8" t="str">
        <f t="shared" si="4"/>
        <v>PERFORM "SchSysConfig"."Func_TblAppObject_UserRole_SET"(varSystemLoginSession, null::bigint, null::varchar, null::timestamptz, null::timestamptz, null::varchar, varInstitutionBranchID, varBaseCurrencyID, '95000000000061'::varchar);</v>
      </c>
      <c r="J79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'252000000000014'::bigint, 'userRole_RefID', '95000000000061'::bigint)))::varchar;</v>
      </c>
    </row>
    <row r="80" spans="2:10" x14ac:dyDescent="0.2">
      <c r="B80" s="14">
        <f>IF(EXACT([1]DataLookUp!$B80, ""), "", [1]DataLookUp!$B80)</f>
        <v>95000000000062</v>
      </c>
      <c r="C80" s="14" t="str">
        <f>IF(EXACT(B80, ""), "", [1]DataLookUp!$C80)</f>
        <v>Tools And Asset Staff</v>
      </c>
      <c r="D80" s="24">
        <v>252000000000014</v>
      </c>
      <c r="E80" s="25" t="str">
        <f>IF(EXACT(D80, ""), "", VLOOKUP(D80, [2]DataLookUp!$B$4:$C$32, 2, FALSE))</f>
        <v>Department - Tools &amp; Asset Management</v>
      </c>
      <c r="G80" s="9">
        <f t="shared" si="3"/>
        <v>253000000000062</v>
      </c>
      <c r="H80" s="8" t="str">
        <f t="shared" si="4"/>
        <v>PERFORM "SchSysConfig"."Func_TblAppObject_UserRole_SET"(varSystemLoginSession, null::bigint, null::varchar, null::timestamptz, null::timestamptz, null::varchar, varInstitutionBranchID, varBaseCurrencyID, '95000000000062'::varchar);</v>
      </c>
      <c r="J80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'252000000000014'::bigint, 'userRole_RefID', '95000000000062'::bigint)))::varchar;</v>
      </c>
    </row>
    <row r="81" spans="2:10" x14ac:dyDescent="0.2">
      <c r="B81" s="14" t="str">
        <f>IF(EXACT([1]DataLookUp!$B81, ""), "", [1]DataLookUp!$B81)</f>
        <v/>
      </c>
      <c r="C81" s="14" t="str">
        <f>IF(EXACT(B81, ""), "", [1]DataLookUp!$C81)</f>
        <v/>
      </c>
      <c r="D81" s="24"/>
      <c r="E81" s="25" t="str">
        <f>IF(EXACT(D81, ""), "", VLOOKUP(D81, [2]DataLookUp!$B$4:$C$32, 2, FALSE))</f>
        <v/>
      </c>
      <c r="G81" s="9">
        <f t="shared" si="3"/>
        <v>253000000000062</v>
      </c>
      <c r="H81" s="8" t="str">
        <f t="shared" si="4"/>
        <v/>
      </c>
      <c r="J81" s="1" t="str">
        <f t="shared" si="5"/>
        <v/>
      </c>
    </row>
    <row r="82" spans="2:10" x14ac:dyDescent="0.2">
      <c r="B82" s="14">
        <f>IF(EXACT([1]DataLookUp!$B82, ""), "", [1]DataLookUp!$B82)</f>
        <v>95000000000063</v>
      </c>
      <c r="C82" s="14" t="str">
        <f>IF(EXACT(B82, ""), "", [1]DataLookUp!$C82)</f>
        <v>Engineering Manager</v>
      </c>
      <c r="D82" s="24">
        <v>252000000000017</v>
      </c>
      <c r="E82" s="25" t="str">
        <f>IF(EXACT(D82, ""), "", VLOOKUP(D82, [2]DataLookUp!$B$4:$C$32, 2, FALSE))</f>
        <v>Department - Civil And Mechanical Engineering</v>
      </c>
      <c r="G82" s="9">
        <f t="shared" si="3"/>
        <v>253000000000063</v>
      </c>
      <c r="H82" s="8" t="str">
        <f t="shared" si="4"/>
        <v>PERFORM "SchSysConfig"."Func_TblAppObject_UserRole_SET"(varSystemLoginSession, null::bigint, null::varchar, null::timestamptz, null::timestamptz, null::varchar, varInstitutionBranchID, varBaseCurrencyID, '95000000000063'::varchar);</v>
      </c>
      <c r="J82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'252000000000017'::bigint, 'userRole_RefID', '95000000000063'::bigint)))::varchar;</v>
      </c>
    </row>
    <row r="83" spans="2:10" x14ac:dyDescent="0.2">
      <c r="B83" s="14">
        <f>IF(EXACT([1]DataLookUp!$B83, ""), "", [1]DataLookUp!$B83)</f>
        <v>95000000000064</v>
      </c>
      <c r="C83" s="14" t="str">
        <f>IF(EXACT(B83, ""), "", [1]DataLookUp!$C83)</f>
        <v>Engineering Coordinator</v>
      </c>
      <c r="D83" s="24">
        <v>252000000000017</v>
      </c>
      <c r="E83" s="25" t="str">
        <f>IF(EXACT(D83, ""), "", VLOOKUP(D83, [2]DataLookUp!$B$4:$C$32, 2, FALSE))</f>
        <v>Department - Civil And Mechanical Engineering</v>
      </c>
      <c r="G83" s="9">
        <f t="shared" si="3"/>
        <v>253000000000064</v>
      </c>
      <c r="H83" s="8" t="str">
        <f t="shared" si="4"/>
        <v>PERFORM "SchSysConfig"."Func_TblAppObject_UserRole_SET"(varSystemLoginSession, null::bigint, null::varchar, null::timestamptz, null::timestamptz, null::varchar, varInstitutionBranchID, varBaseCurrencyID, '95000000000064'::varchar);</v>
      </c>
      <c r="J83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'252000000000017'::bigint, 'userRole_RefID', '95000000000064'::bigint)))::varchar;</v>
      </c>
    </row>
    <row r="84" spans="2:10" x14ac:dyDescent="0.2">
      <c r="B84" s="14">
        <f>IF(EXACT([1]DataLookUp!$B84, ""), "", [1]DataLookUp!$B84)</f>
        <v>95000000000065</v>
      </c>
      <c r="C84" s="14" t="str">
        <f>IF(EXACT(B84, ""), "", [1]DataLookUp!$C84)</f>
        <v>Engineering Staff</v>
      </c>
      <c r="D84" s="24">
        <v>252000000000017</v>
      </c>
      <c r="E84" s="25" t="str">
        <f>IF(EXACT(D84, ""), "", VLOOKUP(D84, [2]DataLookUp!$B$4:$C$32, 2, FALSE))</f>
        <v>Department - Civil And Mechanical Engineering</v>
      </c>
      <c r="G84" s="9">
        <f t="shared" si="3"/>
        <v>253000000000065</v>
      </c>
      <c r="H84" s="8" t="str">
        <f t="shared" si="4"/>
        <v>PERFORM "SchSysConfig"."Func_TblAppObject_UserRole_SET"(varSystemLoginSession, null::bigint, null::varchar, null::timestamptz, null::timestamptz, null::varchar, varInstitutionBranchID, varBaseCurrencyID, '95000000000065'::varchar);</v>
      </c>
      <c r="J84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varInstitutionBranchID::bigint,'sysBaseCurrency_RefID',varBaseCurrencyID::bigint,'userRoleGroup_RefID', '252000000000017'::bigint, 'userRole_RefID', '95000000000065'::bigint)))::varchar;</v>
      </c>
    </row>
  </sheetData>
  <conditionalFormatting sqref="G4:G84">
    <cfRule type="expression" dxfId="1" priority="19">
      <formula>EXACT(G3, G4)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C3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3" sqref="C13"/>
    </sheetView>
  </sheetViews>
  <sheetFormatPr defaultRowHeight="15" x14ac:dyDescent="0.25"/>
  <cols>
    <col min="1" max="1" width="3" customWidth="1"/>
    <col min="2" max="2" width="14" style="12" bestFit="1" customWidth="1"/>
    <col min="3" max="3" width="34.7109375" style="1" bestFit="1" customWidth="1"/>
  </cols>
  <sheetData>
    <row r="1" spans="2:3" ht="15.75" thickBot="1" x14ac:dyDescent="0.3"/>
    <row r="2" spans="2:3" x14ac:dyDescent="0.25">
      <c r="B2" s="10" t="s">
        <v>2</v>
      </c>
      <c r="C2" s="17" t="str">
        <f>MAIN!B2</f>
        <v>User Role RefID</v>
      </c>
    </row>
    <row r="3" spans="2:3" ht="15.75" thickBot="1" x14ac:dyDescent="0.3">
      <c r="B3" s="11"/>
      <c r="C3" s="18"/>
    </row>
    <row r="4" spans="2:3" x14ac:dyDescent="0.25">
      <c r="B4" s="13">
        <f>IF(AND(EXACT(MAIN!$B4, ""), EXACT(MAIN!$E4, "")), "", MAIN!$G4)</f>
        <v>253000000000001</v>
      </c>
      <c r="C4" s="15">
        <f>IF(EXACT(B4, ""), "", IF(EXACT(MAIN!B4, ""), IF(EXACT(MAIN!D4, ""), "", CONCATENATE("Department - ", MAIN!E4)), MAIN!B4))</f>
        <v>95000000000001</v>
      </c>
    </row>
    <row r="5" spans="2:3" x14ac:dyDescent="0.25">
      <c r="B5" s="14">
        <f>IF(AND(EXACT(MAIN!$B5, ""), EXACT(MAIN!$E5, "")), "", MAIN!$G5)</f>
        <v>253000000000002</v>
      </c>
      <c r="C5" s="16">
        <f>IF(EXACT(B5, ""), "", IF(EXACT(MAIN!B5, ""), IF(EXACT(MAIN!D5, ""), "", CONCATENATE("Department - ", MAIN!E5)), MAIN!B5))</f>
        <v>95000000000002</v>
      </c>
    </row>
    <row r="6" spans="2:3" x14ac:dyDescent="0.25">
      <c r="B6" s="14" t="str">
        <f>IF(AND(EXACT(MAIN!$B6, ""), EXACT(MAIN!$E6, "")), "", MAIN!$G6)</f>
        <v/>
      </c>
      <c r="C6" s="16" t="str">
        <f>IF(EXACT(B6, ""), "", IF(EXACT(MAIN!B6, ""), IF(EXACT(MAIN!D6, ""), "", CONCATENATE("Department - ", MAIN!E6)), MAIN!B6))</f>
        <v/>
      </c>
    </row>
    <row r="7" spans="2:3" x14ac:dyDescent="0.25">
      <c r="B7" s="14">
        <f>IF(AND(EXACT(MAIN!$B7, ""), EXACT(MAIN!$E7, "")), "", MAIN!$G7)</f>
        <v>253000000000003</v>
      </c>
      <c r="C7" s="16">
        <f>IF(EXACT(B7, ""), "", IF(EXACT(MAIN!B7, ""), IF(EXACT(MAIN!D7, ""), "", CONCATENATE("Department - ", MAIN!E7)), MAIN!B7))</f>
        <v>95000000000003</v>
      </c>
    </row>
    <row r="8" spans="2:3" x14ac:dyDescent="0.25">
      <c r="B8" s="14" t="str">
        <f>IF(AND(EXACT(MAIN!$B8, ""), EXACT(MAIN!$E8, "")), "", MAIN!$G8)</f>
        <v/>
      </c>
      <c r="C8" s="16" t="str">
        <f>IF(EXACT(B8, ""), "", IF(EXACT(MAIN!B8, ""), IF(EXACT(MAIN!D8, ""), "", CONCATENATE("Department - ", MAIN!E8)), MAIN!B8))</f>
        <v/>
      </c>
    </row>
    <row r="9" spans="2:3" x14ac:dyDescent="0.25">
      <c r="B9" s="14">
        <f>IF(AND(EXACT(MAIN!$B9, ""), EXACT(MAIN!$E9, "")), "", MAIN!$G9)</f>
        <v>253000000000004</v>
      </c>
      <c r="C9" s="16">
        <f>IF(EXACT(B9, ""), "", IF(EXACT(MAIN!B9, ""), IF(EXACT(MAIN!D9, ""), "", CONCATENATE("Department - ", MAIN!E9)), MAIN!B9))</f>
        <v>95000000000004</v>
      </c>
    </row>
    <row r="10" spans="2:3" x14ac:dyDescent="0.25">
      <c r="B10" s="14">
        <f>IF(AND(EXACT(MAIN!$B10, ""), EXACT(MAIN!$E10, "")), "", MAIN!$G10)</f>
        <v>253000000000005</v>
      </c>
      <c r="C10" s="16">
        <f>IF(EXACT(B10, ""), "", IF(EXACT(MAIN!B10, ""), IF(EXACT(MAIN!D10, ""), "", CONCATENATE("Department - ", MAIN!E10)), MAIN!B10))</f>
        <v>95000000000005</v>
      </c>
    </row>
    <row r="11" spans="2:3" x14ac:dyDescent="0.25">
      <c r="B11" s="14">
        <f>IF(AND(EXACT(MAIN!$B11, ""), EXACT(MAIN!$E11, "")), "", MAIN!$G11)</f>
        <v>253000000000006</v>
      </c>
      <c r="C11" s="16">
        <f>IF(EXACT(B11, ""), "", IF(EXACT(MAIN!B11, ""), IF(EXACT(MAIN!D11, ""), "", CONCATENATE("Department - ", MAIN!E11)), MAIN!B11))</f>
        <v>95000000000006</v>
      </c>
    </row>
    <row r="12" spans="2:3" x14ac:dyDescent="0.25">
      <c r="B12" s="14">
        <f>IF(AND(EXACT(MAIN!$B12, ""), EXACT(MAIN!$E12, "")), "", MAIN!$G12)</f>
        <v>253000000000007</v>
      </c>
      <c r="C12" s="16">
        <f>IF(EXACT(B12, ""), "", IF(EXACT(MAIN!B12, ""), IF(EXACT(MAIN!D12, ""), "", CONCATENATE("Department - ", MAIN!E12)), MAIN!B12))</f>
        <v>95000000000007</v>
      </c>
    </row>
    <row r="13" spans="2:3" x14ac:dyDescent="0.25">
      <c r="B13" s="14" t="str">
        <f>IF(AND(EXACT(MAIN!$B13, ""), EXACT(MAIN!$E13, "")), "", MAIN!$G13)</f>
        <v/>
      </c>
      <c r="C13" s="16" t="str">
        <f>IF(EXACT(B13, ""), "", IF(EXACT(MAIN!B13, ""), IF(EXACT(MAIN!D13, ""), "", CONCATENATE("Department - ", MAIN!E13)), MAIN!B13))</f>
        <v/>
      </c>
    </row>
    <row r="14" spans="2:3" x14ac:dyDescent="0.25">
      <c r="B14" s="14">
        <f>IF(AND(EXACT(MAIN!$B14, ""), EXACT(MAIN!$E14, "")), "", MAIN!$G14)</f>
        <v>253000000000008</v>
      </c>
      <c r="C14" s="16">
        <f>IF(EXACT(B14, ""), "", IF(EXACT(MAIN!B14, ""), IF(EXACT(MAIN!D14, ""), "", CONCATENATE("Department - ", MAIN!E14)), MAIN!B14))</f>
        <v>95000000000008</v>
      </c>
    </row>
    <row r="15" spans="2:3" x14ac:dyDescent="0.25">
      <c r="B15" s="14">
        <f>IF(AND(EXACT(MAIN!$B15, ""), EXACT(MAIN!$E15, "")), "", MAIN!$G15)</f>
        <v>253000000000009</v>
      </c>
      <c r="C15" s="16">
        <f>IF(EXACT(B15, ""), "", IF(EXACT(MAIN!B15, ""), IF(EXACT(MAIN!D15, ""), "", CONCATENATE("Department - ", MAIN!E15)), MAIN!B15))</f>
        <v>95000000000009</v>
      </c>
    </row>
    <row r="16" spans="2:3" x14ac:dyDescent="0.25">
      <c r="B16" s="14">
        <f>IF(AND(EXACT(MAIN!$B16, ""), EXACT(MAIN!$E16, "")), "", MAIN!$G16)</f>
        <v>253000000000010</v>
      </c>
      <c r="C16" s="16">
        <f>IF(EXACT(B16, ""), "", IF(EXACT(MAIN!B16, ""), IF(EXACT(MAIN!D16, ""), "", CONCATENATE("Department - ", MAIN!E16)), MAIN!B16))</f>
        <v>95000000000010</v>
      </c>
    </row>
    <row r="17" spans="2:3" x14ac:dyDescent="0.25">
      <c r="B17" s="14">
        <f>IF(AND(EXACT(MAIN!$B17, ""), EXACT(MAIN!$E17, "")), "", MAIN!$G17)</f>
        <v>253000000000011</v>
      </c>
      <c r="C17" s="16">
        <f>IF(EXACT(B17, ""), "", IF(EXACT(MAIN!B17, ""), IF(EXACT(MAIN!D17, ""), "", CONCATENATE("Department - ", MAIN!E17)), MAIN!B17))</f>
        <v>95000000000011</v>
      </c>
    </row>
    <row r="18" spans="2:3" x14ac:dyDescent="0.25">
      <c r="B18" s="14">
        <f>IF(AND(EXACT(MAIN!$B18, ""), EXACT(MAIN!$E18, "")), "", MAIN!$G18)</f>
        <v>253000000000012</v>
      </c>
      <c r="C18" s="16">
        <f>IF(EXACT(B18, ""), "", IF(EXACT(MAIN!B18, ""), IF(EXACT(MAIN!D18, ""), "", CONCATENATE("Department - ", MAIN!E18)), MAIN!B18))</f>
        <v>95000000000012</v>
      </c>
    </row>
    <row r="19" spans="2:3" x14ac:dyDescent="0.25">
      <c r="B19" s="14">
        <f>IF(AND(EXACT(MAIN!$B19, ""), EXACT(MAIN!$E19, "")), "", MAIN!$G19)</f>
        <v>253000000000013</v>
      </c>
      <c r="C19" s="16">
        <f>IF(EXACT(B19, ""), "", IF(EXACT(MAIN!B19, ""), IF(EXACT(MAIN!D19, ""), "", CONCATENATE("Department - ", MAIN!E19)), MAIN!B19))</f>
        <v>95000000000013</v>
      </c>
    </row>
    <row r="20" spans="2:3" x14ac:dyDescent="0.25">
      <c r="B20" s="14" t="str">
        <f>IF(AND(EXACT(MAIN!$B20, ""), EXACT(MAIN!$E20, "")), "", MAIN!$G20)</f>
        <v/>
      </c>
      <c r="C20" s="16" t="str">
        <f>IF(EXACT(B20, ""), "", IF(EXACT(MAIN!B20, ""), IF(EXACT(MAIN!D20, ""), "", CONCATENATE("Department - ", MAIN!E20)), MAIN!B20))</f>
        <v/>
      </c>
    </row>
    <row r="21" spans="2:3" x14ac:dyDescent="0.25">
      <c r="B21" s="14">
        <f>IF(AND(EXACT(MAIN!$B21, ""), EXACT(MAIN!$E21, "")), "", MAIN!$G21)</f>
        <v>253000000000014</v>
      </c>
      <c r="C21" s="16">
        <f>IF(EXACT(B21, ""), "", IF(EXACT(MAIN!B21, ""), IF(EXACT(MAIN!D21, ""), "", CONCATENATE("Department - ", MAIN!E21)), MAIN!B21))</f>
        <v>95000000000014</v>
      </c>
    </row>
    <row r="22" spans="2:3" x14ac:dyDescent="0.25">
      <c r="B22" s="14">
        <f>IF(AND(EXACT(MAIN!$B22, ""), EXACT(MAIN!$E22, "")), "", MAIN!$G22)</f>
        <v>253000000000015</v>
      </c>
      <c r="C22" s="16">
        <f>IF(EXACT(B22, ""), "", IF(EXACT(MAIN!B22, ""), IF(EXACT(MAIN!D22, ""), "", CONCATENATE("Department - ", MAIN!E22)), MAIN!B22))</f>
        <v>95000000000015</v>
      </c>
    </row>
    <row r="23" spans="2:3" x14ac:dyDescent="0.25">
      <c r="B23" s="14">
        <f>IF(AND(EXACT(MAIN!$B23, ""), EXACT(MAIN!$E23, "")), "", MAIN!$G23)</f>
        <v>253000000000016</v>
      </c>
      <c r="C23" s="16">
        <f>IF(EXACT(B23, ""), "", IF(EXACT(MAIN!B23, ""), IF(EXACT(MAIN!D23, ""), "", CONCATENATE("Department - ", MAIN!E23)), MAIN!B23))</f>
        <v>95000000000016</v>
      </c>
    </row>
    <row r="24" spans="2:3" x14ac:dyDescent="0.25">
      <c r="B24" s="14">
        <f>IF(AND(EXACT(MAIN!$B24, ""), EXACT(MAIN!$E24, "")), "", MAIN!$G24)</f>
        <v>253000000000017</v>
      </c>
      <c r="C24" s="16">
        <f>IF(EXACT(B24, ""), "", IF(EXACT(MAIN!B24, ""), IF(EXACT(MAIN!D24, ""), "", CONCATENATE("Department - ", MAIN!E24)), MAIN!B24))</f>
        <v>95000000000017</v>
      </c>
    </row>
    <row r="25" spans="2:3" x14ac:dyDescent="0.25">
      <c r="B25" s="14">
        <f>IF(AND(EXACT(MAIN!$B25, ""), EXACT(MAIN!$E25, "")), "", MAIN!$G25)</f>
        <v>253000000000018</v>
      </c>
      <c r="C25" s="16">
        <f>IF(EXACT(B25, ""), "", IF(EXACT(MAIN!B25, ""), IF(EXACT(MAIN!D25, ""), "", CONCATENATE("Department - ", MAIN!E25)), MAIN!B25))</f>
        <v>95000000000018</v>
      </c>
    </row>
    <row r="26" spans="2:3" x14ac:dyDescent="0.25">
      <c r="B26" s="14" t="str">
        <f>IF(AND(EXACT(MAIN!$B26, ""), EXACT(MAIN!$E26, "")), "", MAIN!$G26)</f>
        <v/>
      </c>
      <c r="C26" s="16" t="str">
        <f>IF(EXACT(B26, ""), "", IF(EXACT(MAIN!B26, ""), IF(EXACT(MAIN!D26, ""), "", CONCATENATE("Department - ", MAIN!E26)), MAIN!B26))</f>
        <v/>
      </c>
    </row>
    <row r="27" spans="2:3" x14ac:dyDescent="0.25">
      <c r="B27" s="14">
        <f>IF(AND(EXACT(MAIN!$B27, ""), EXACT(MAIN!$E27, "")), "", MAIN!$G27)</f>
        <v>253000000000019</v>
      </c>
      <c r="C27" s="16">
        <f>IF(EXACT(B27, ""), "", IF(EXACT(MAIN!B27, ""), IF(EXACT(MAIN!D27, ""), "", CONCATENATE("Department - ", MAIN!E27)), MAIN!B27))</f>
        <v>95000000000019</v>
      </c>
    </row>
    <row r="28" spans="2:3" x14ac:dyDescent="0.25">
      <c r="B28" s="14">
        <f>IF(AND(EXACT(MAIN!$B28, ""), EXACT(MAIN!$E28, "")), "", MAIN!$G28)</f>
        <v>253000000000020</v>
      </c>
      <c r="C28" s="16">
        <f>IF(EXACT(B28, ""), "", IF(EXACT(MAIN!B28, ""), IF(EXACT(MAIN!D28, ""), "", CONCATENATE("Department - ", MAIN!E28)), MAIN!B28))</f>
        <v>95000000000020</v>
      </c>
    </row>
    <row r="29" spans="2:3" x14ac:dyDescent="0.25">
      <c r="B29" s="14">
        <f>IF(AND(EXACT(MAIN!$B29, ""), EXACT(MAIN!$E29, "")), "", MAIN!$G29)</f>
        <v>253000000000021</v>
      </c>
      <c r="C29" s="16">
        <f>IF(EXACT(B29, ""), "", IF(EXACT(MAIN!B29, ""), IF(EXACT(MAIN!D29, ""), "", CONCATENATE("Department - ", MAIN!E29)), MAIN!B29))</f>
        <v>95000000000021</v>
      </c>
    </row>
    <row r="30" spans="2:3" x14ac:dyDescent="0.25">
      <c r="B30" s="14">
        <f>IF(AND(EXACT(MAIN!$B30, ""), EXACT(MAIN!$E30, "")), "", MAIN!$G30)</f>
        <v>253000000000022</v>
      </c>
      <c r="C30" s="16">
        <f>IF(EXACT(B30, ""), "", IF(EXACT(MAIN!B30, ""), IF(EXACT(MAIN!D30, ""), "", CONCATENATE("Department - ", MAIN!E30)), MAIN!B30))</f>
        <v>95000000000022</v>
      </c>
    </row>
    <row r="31" spans="2:3" x14ac:dyDescent="0.25">
      <c r="B31" s="14">
        <f>IF(AND(EXACT(MAIN!$B31, ""), EXACT(MAIN!$E31, "")), "", MAIN!$G31)</f>
        <v>253000000000023</v>
      </c>
      <c r="C31" s="16">
        <f>IF(EXACT(B31, ""), "", IF(EXACT(MAIN!B31, ""), IF(EXACT(MAIN!D31, ""), "", CONCATENATE("Department - ", MAIN!E31)), MAIN!B31))</f>
        <v>95000000000023</v>
      </c>
    </row>
    <row r="32" spans="2:3" x14ac:dyDescent="0.25">
      <c r="B32" s="14">
        <f>IF(AND(EXACT(MAIN!$B32, ""), EXACT(MAIN!$E32, "")), "", MAIN!$G32)</f>
        <v>253000000000024</v>
      </c>
      <c r="C32" s="16">
        <f>IF(EXACT(B32, ""), "", IF(EXACT(MAIN!B32, ""), IF(EXACT(MAIN!D32, ""), "", CONCATENATE("Department - ", MAIN!E32)), MAIN!B32))</f>
        <v>95000000000024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DataLookUp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2026-06-25T05:16:08Z</dcterms:modified>
</cp:coreProperties>
</file>