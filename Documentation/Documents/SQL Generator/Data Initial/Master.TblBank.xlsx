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000" activeTab="2"/>
  </bookViews>
  <sheets>
    <sheet name="MAIN" sheetId="5" r:id="rId1"/>
    <sheet name="DataLookUp2" sheetId="6" r:id="rId2"/>
    <sheet name="DataLookUp" sheetId="1" r:id="rId3"/>
    <sheet name="Sheet2 (2)" sheetId="4" r:id="rId4"/>
  </sheet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J12" i="1"/>
  <c r="J13" i="1"/>
  <c r="J14" i="1"/>
  <c r="J15" i="1"/>
  <c r="J16" i="1"/>
  <c r="J17" i="1"/>
  <c r="J18" i="1"/>
  <c r="J19" i="1"/>
  <c r="J20" i="1"/>
  <c r="J21" i="1"/>
  <c r="J22" i="1"/>
  <c r="J23" i="1"/>
  <c r="J4" i="1"/>
  <c r="J5" i="1"/>
  <c r="J6" i="1"/>
  <c r="J7" i="1"/>
  <c r="J8" i="1"/>
  <c r="J9" i="1"/>
  <c r="J10" i="1"/>
  <c r="J11" i="1"/>
  <c r="J3" i="1"/>
  <c r="J2" i="1"/>
  <c r="D25" i="6" l="1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B21" i="6"/>
  <c r="C21" i="6"/>
  <c r="B22" i="6"/>
  <c r="C22" i="6"/>
  <c r="B23" i="6"/>
  <c r="C23" i="6"/>
  <c r="B24" i="6"/>
  <c r="C24" i="6"/>
  <c r="B25" i="6"/>
  <c r="C25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11" i="6"/>
  <c r="C11" i="6" s="1"/>
  <c r="B10" i="6"/>
  <c r="C10" i="6" s="1"/>
  <c r="B9" i="6"/>
  <c r="C9" i="6" s="1"/>
  <c r="B8" i="6"/>
  <c r="C8" i="6" s="1"/>
  <c r="B7" i="6"/>
  <c r="C7" i="6" s="1"/>
  <c r="B6" i="6"/>
  <c r="C6" i="6" s="1"/>
  <c r="B5" i="6"/>
  <c r="C5" i="6" s="1"/>
  <c r="B4" i="6"/>
  <c r="F4" i="5"/>
  <c r="C4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4" i="5"/>
  <c r="F5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</calcChain>
</file>

<file path=xl/sharedStrings.xml><?xml version="1.0" encoding="utf-8"?>
<sst xmlns="http://schemas.openxmlformats.org/spreadsheetml/2006/main" count="210" uniqueCount="114">
  <si>
    <t>Mandiri</t>
  </si>
  <si>
    <t>BNI</t>
  </si>
  <si>
    <t>BRI</t>
  </si>
  <si>
    <t>BTN</t>
  </si>
  <si>
    <t>BCA</t>
  </si>
  <si>
    <t>SYS_PID</t>
  </si>
  <si>
    <t>Bank Mandiri</t>
  </si>
  <si>
    <t>Bank Rakyat Indonesia</t>
  </si>
  <si>
    <t>Bank Negara Indonesia</t>
  </si>
  <si>
    <t>Bank Tabungan Negara</t>
  </si>
  <si>
    <t>Bank Central Asia</t>
  </si>
  <si>
    <t>BMRIIDJA</t>
  </si>
  <si>
    <t>BRINIDJA</t>
  </si>
  <si>
    <t>BNINIDJA</t>
  </si>
  <si>
    <t>BTANIDJA</t>
  </si>
  <si>
    <t>CENAIDJA</t>
  </si>
  <si>
    <t>Bank Mega</t>
  </si>
  <si>
    <t>MEGAIDJA</t>
  </si>
  <si>
    <t>Bank Permata</t>
  </si>
  <si>
    <t>BBBAIDJA</t>
  </si>
  <si>
    <t>Bank Danamon</t>
  </si>
  <si>
    <t>BDINIDJA</t>
  </si>
  <si>
    <t>Bank KB Bukopin</t>
  </si>
  <si>
    <t>BBUKIDJA</t>
  </si>
  <si>
    <t>Bank Syariah Indonesia</t>
  </si>
  <si>
    <t>BSI</t>
  </si>
  <si>
    <t>BSMDIDJA</t>
  </si>
  <si>
    <t>Bank OCBC Nilai Inti Sari Penyimpanan</t>
  </si>
  <si>
    <t>OCBC NISP</t>
  </si>
  <si>
    <t>NISPIDJA</t>
  </si>
  <si>
    <t>Bank Tabungan Pensiunan Nasional</t>
  </si>
  <si>
    <t>BTPN</t>
  </si>
  <si>
    <t>SUNIIDJA</t>
  </si>
  <si>
    <t>Bank Pan Indonesia</t>
  </si>
  <si>
    <t>PINBIDJA</t>
  </si>
  <si>
    <t>Bank Maybank Indonesia</t>
  </si>
  <si>
    <t>IBBKIDJA</t>
  </si>
  <si>
    <t>Bank CIMB Niaga</t>
  </si>
  <si>
    <t>BNIAIDJA</t>
  </si>
  <si>
    <t>SWIFT Code</t>
  </si>
  <si>
    <t>Name</t>
  </si>
  <si>
    <t>Acronym</t>
  </si>
  <si>
    <t>Standard Chartered Bank</t>
  </si>
  <si>
    <t>Standard Chartered</t>
  </si>
  <si>
    <t>Sales Journal</t>
  </si>
  <si>
    <t>Petty Cash</t>
  </si>
  <si>
    <t>Permata</t>
  </si>
  <si>
    <t>OCBC</t>
  </si>
  <si>
    <t>NiagaS200</t>
  </si>
  <si>
    <t>Niaga Syariah</t>
  </si>
  <si>
    <t>NIAGA</t>
  </si>
  <si>
    <t>Niaga</t>
  </si>
  <si>
    <t>Mandiri - IDR 1304</t>
  </si>
  <si>
    <t>Journal Voucher</t>
  </si>
  <si>
    <t>Commonwealth</t>
  </si>
  <si>
    <t>BSI - 6928</t>
  </si>
  <si>
    <t>BSI - 1347</t>
  </si>
  <si>
    <t>BRI - IDR 5300</t>
  </si>
  <si>
    <t>BRI - IDR 4304</t>
  </si>
  <si>
    <t>BNI396</t>
  </si>
  <si>
    <t>BJAWABARAT - IDR 0888</t>
  </si>
  <si>
    <t>BCS</t>
  </si>
  <si>
    <t>BCM</t>
  </si>
  <si>
    <t>BCA-750</t>
  </si>
  <si>
    <t>Bank KALSEL</t>
  </si>
  <si>
    <t>Bank Jatim - 1616</t>
  </si>
  <si>
    <t>Bank Jatim</t>
  </si>
  <si>
    <t>Bank Bukopin</t>
  </si>
  <si>
    <t>BANK BUKOPIN</t>
  </si>
  <si>
    <t>Bank BRI Syariah</t>
  </si>
  <si>
    <t>BANK BRI CAB PUTRI HIJAU</t>
  </si>
  <si>
    <t>Bank Bengkulu</t>
  </si>
  <si>
    <t>Bank Pembangunan Daerah Bengkulu</t>
  </si>
  <si>
    <t>Bank Rakyat Indonesia Syariah</t>
  </si>
  <si>
    <t>Bank Pembangunan Daerah Jawa Timur</t>
  </si>
  <si>
    <t>Bank Pembangunan Daerah Kalimantan Selatan</t>
  </si>
  <si>
    <t>BPD Bengkulu</t>
  </si>
  <si>
    <t>BPD Jatim</t>
  </si>
  <si>
    <t>BPD Kalsel</t>
  </si>
  <si>
    <t>Bank Pembangunan Daerah Jawa Barat Banten</t>
  </si>
  <si>
    <t>BJB</t>
  </si>
  <si>
    <t>Bank Commonwealth</t>
  </si>
  <si>
    <t>BICNIDJA</t>
  </si>
  <si>
    <t>SCBLIDJX</t>
  </si>
  <si>
    <t>Bank Standard Chartered</t>
  </si>
  <si>
    <t>BRISIDJA</t>
  </si>
  <si>
    <t>PDBKIDJ1</t>
  </si>
  <si>
    <t>PDJBIDJA</t>
  </si>
  <si>
    <t>BJTMIDJA</t>
  </si>
  <si>
    <t>BRI Syariah</t>
  </si>
  <si>
    <t>CIMB Niaga</t>
  </si>
  <si>
    <t>Bank Name</t>
  </si>
  <si>
    <t>SYS_PID Prediction</t>
  </si>
  <si>
    <t>SQL Syntax</t>
  </si>
  <si>
    <t>PDKSIDJ1</t>
  </si>
  <si>
    <t>Sys_PID</t>
  </si>
  <si>
    <t>Bank Acronym</t>
  </si>
  <si>
    <t>Bank Code</t>
  </si>
  <si>
    <t>MRI</t>
  </si>
  <si>
    <t>MEG</t>
  </si>
  <si>
    <t>PER</t>
  </si>
  <si>
    <t>DAN</t>
  </si>
  <si>
    <t>BUK</t>
  </si>
  <si>
    <t>OCB</t>
  </si>
  <si>
    <t>TPN</t>
  </si>
  <si>
    <t>PAN</t>
  </si>
  <si>
    <t>MAY</t>
  </si>
  <si>
    <t>CMW</t>
  </si>
  <si>
    <t>SCD</t>
  </si>
  <si>
    <t>CIM</t>
  </si>
  <si>
    <t>RIS</t>
  </si>
  <si>
    <t>PDB</t>
  </si>
  <si>
    <t>PDJ</t>
  </si>
  <si>
    <t>PDK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</si>
</sst>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rgb="FF00206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1" fillId="2" borderId="0" xfId="0" applyNumberFormat="1" applyFont="1" applyFill="1" applyAlignment="1">
      <alignment horizontal="center"/>
    </xf>
    <xf numFmtId="1" fontId="2" fillId="3" borderId="0" xfId="0" applyNumberFormat="1" applyFont="1" applyFill="1"/>
    <xf numFmtId="0" fontId="2" fillId="0" borderId="0" xfId="0" applyFont="1"/>
    <xf numFmtId="1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/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1" fontId="4" fillId="6" borderId="7" xfId="0" applyNumberFormat="1" applyFont="1" applyFill="1" applyBorder="1" applyAlignment="1"/>
    <xf numFmtId="1" fontId="4" fillId="6" borderId="8" xfId="0" applyNumberFormat="1" applyFont="1" applyFill="1" applyBorder="1" applyAlignment="1"/>
    <xf numFmtId="1" fontId="5" fillId="3" borderId="9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1" fontId="5" fillId="3" borderId="3" xfId="0" applyNumberFormat="1" applyFont="1" applyFill="1" applyBorder="1" applyAlignment="1">
      <alignment horizontal="center"/>
    </xf>
    <xf numFmtId="0" fontId="6" fillId="0" borderId="3" xfId="0" applyFont="1" applyBorder="1"/>
    <xf numFmtId="0" fontId="6" fillId="0" borderId="9" xfId="0" applyFont="1" applyBorder="1"/>
    <xf numFmtId="1" fontId="2" fillId="0" borderId="10" xfId="0" applyNumberFormat="1" applyFont="1" applyBorder="1"/>
    <xf numFmtId="0" fontId="3" fillId="4" borderId="11" xfId="0" applyFont="1" applyFill="1" applyBorder="1" applyAlignment="1">
      <alignment horizontal="center" vertical="center" wrapText="1"/>
    </xf>
    <xf numFmtId="0" fontId="2" fillId="5" borderId="12" xfId="0" applyFont="1" applyFill="1" applyBorder="1"/>
    <xf numFmtId="0" fontId="0" fillId="0" borderId="0" xfId="0" applyNumberFormat="1"/>
    <xf numFmtId="0" fontId="3" fillId="4" borderId="1" xfId="0" applyNumberFormat="1" applyFont="1" applyFill="1" applyBorder="1" applyAlignment="1">
      <alignment horizontal="center" vertical="center" wrapText="1"/>
    </xf>
    <xf numFmtId="0" fontId="2" fillId="5" borderId="2" xfId="0" applyNumberFormat="1" applyFont="1" applyFill="1" applyBorder="1"/>
    <xf numFmtId="0" fontId="2" fillId="7" borderId="9" xfId="0" applyFont="1" applyFill="1" applyBorder="1"/>
    <xf numFmtId="1" fontId="2" fillId="3" borderId="9" xfId="0" applyNumberFormat="1" applyFont="1" applyFill="1" applyBorder="1"/>
    <xf numFmtId="0" fontId="0" fillId="0" borderId="10" xfId="0" applyNumberFormat="1" applyBorder="1"/>
    <xf numFmtId="0" fontId="0" fillId="0" borderId="10" xfId="0" applyBorder="1"/>
    <xf numFmtId="0" fontId="3" fillId="4" borderId="13" xfId="0" applyFont="1" applyFill="1" applyBorder="1" applyAlignment="1">
      <alignment horizontal="center" vertical="center" wrapText="1"/>
    </xf>
    <xf numFmtId="0" fontId="2" fillId="5" borderId="14" xfId="0" applyFont="1" applyFill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26"/>
  <sheetViews>
    <sheetView workbookViewId="0">
      <selection activeCell="G12" sqref="G12"/>
    </sheetView>
  </sheetViews>
  <sheetFormatPr defaultRowHeight="12.75" x14ac:dyDescent="0.2"/>
  <cols>
    <col min="1" max="1" width="9.140625" style="3"/>
    <col min="2" max="2" width="34.28515625" style="3" bestFit="1" customWidth="1"/>
    <col min="3" max="3" width="10.85546875" style="3" bestFit="1" customWidth="1"/>
    <col min="4" max="4" width="14.42578125" style="3" customWidth="1"/>
    <col min="5" max="5" width="9.140625" style="3"/>
    <col min="6" max="6" width="14" style="4" bestFit="1" customWidth="1"/>
    <col min="7" max="7" width="67.140625" style="3" customWidth="1"/>
    <col min="8" max="16384" width="9.140625" style="3"/>
  </cols>
  <sheetData>
    <row r="1" spans="2:7" s="6" customFormat="1" ht="13.5" thickBot="1" x14ac:dyDescent="0.25">
      <c r="B1" s="5"/>
      <c r="C1" s="5"/>
      <c r="D1" s="5"/>
    </row>
    <row r="2" spans="2:7" s="6" customFormat="1" ht="25.5" x14ac:dyDescent="0.2">
      <c r="B2" s="7" t="s">
        <v>91</v>
      </c>
      <c r="C2" s="9" t="s">
        <v>41</v>
      </c>
      <c r="D2" s="9" t="s">
        <v>39</v>
      </c>
      <c r="F2" s="11" t="s">
        <v>92</v>
      </c>
      <c r="G2" s="12" t="s">
        <v>93</v>
      </c>
    </row>
    <row r="3" spans="2:7" s="6" customFormat="1" ht="13.5" thickBot="1" x14ac:dyDescent="0.25">
      <c r="B3" s="8"/>
      <c r="C3" s="10"/>
      <c r="D3" s="10"/>
      <c r="F3" s="13">
        <v>166000000000000</v>
      </c>
      <c r="G3" s="14"/>
    </row>
    <row r="4" spans="2:7" x14ac:dyDescent="0.2">
      <c r="B4" s="16" t="s">
        <v>6</v>
      </c>
      <c r="C4" s="16"/>
      <c r="D4" s="16" t="s">
        <v>11</v>
      </c>
      <c r="F4" s="19">
        <f xml:space="preserve"> F3 + IF(EXACT(G4, ""), 0, 1)</f>
        <v>166000000000001</v>
      </c>
      <c r="G4" s="20" t="str">
        <f>IF(EXACT(B4, ""), "", CONCATENATE("PERFORM ""SchData-OLTP-Master"".""Func_TblBank_SET""(varSystemLoginSession, null::bigint, null::varchar, null::varchar, varInstitutionBranchID, varBaseCurrencyID, '", B4, "', ", IF(EXACT(C4, ""), "null", CONCATENATE("'", C4, "'")), ", '", D4, "');"))</f>
        <v>PERFORM "SchData-OLTP-Master"."Func_TblBank_SET"(varSystemLoginSession, null::bigint, null::varchar, null::varchar, varInstitutionBranchID, varBaseCurrencyID, 'Bank Mandiri', null, 'BMRIIDJA');</v>
      </c>
    </row>
    <row r="5" spans="2:7" x14ac:dyDescent="0.2">
      <c r="B5" s="17" t="s">
        <v>7</v>
      </c>
      <c r="C5" s="17" t="s">
        <v>2</v>
      </c>
      <c r="D5" s="17" t="s">
        <v>12</v>
      </c>
      <c r="F5" s="15">
        <f t="shared" ref="F5:F25" si="0" xml:space="preserve"> F4 + IF(EXACT(G5, ""), 0, 1)</f>
        <v>166000000000002</v>
      </c>
      <c r="G5" s="21" t="str">
        <f t="shared" ref="G5:G25" si="1">IF(EXACT(B5, ""), "", CONCATENATE("PERFORM ""SchData-OLTP-Master"".""Func_TblBank_SET""(varSystemLoginSession, null::bigint, null::varchar, null::varchar, varInstitutionBranchID, varBaseCurrencyID, '", B5, "', ", IF(EXACT(C5, ""), "null", CONCATENATE("'", C5, "'")), ", '", D5, "');"))</f>
        <v>PERFORM "SchData-OLTP-Master"."Func_TblBank_SET"(varSystemLoginSession, null::bigint, null::varchar, null::varchar, varInstitutionBranchID, varBaseCurrencyID, 'Bank Rakyat Indonesia', 'BRI', 'BRINIDJA');</v>
      </c>
    </row>
    <row r="6" spans="2:7" x14ac:dyDescent="0.2">
      <c r="B6" s="17" t="s">
        <v>8</v>
      </c>
      <c r="C6" s="17" t="s">
        <v>1</v>
      </c>
      <c r="D6" s="17" t="s">
        <v>13</v>
      </c>
      <c r="F6" s="15">
        <f t="shared" si="0"/>
        <v>166000000000003</v>
      </c>
      <c r="G6" s="21" t="str">
        <f t="shared" si="1"/>
        <v>PERFORM "SchData-OLTP-Master"."Func_TblBank_SET"(varSystemLoginSession, null::bigint, null::varchar, null::varchar, varInstitutionBranchID, varBaseCurrencyID, 'Bank Negara Indonesia', 'BNI', 'BNINIDJA');</v>
      </c>
    </row>
    <row r="7" spans="2:7" x14ac:dyDescent="0.2">
      <c r="B7" s="17" t="s">
        <v>9</v>
      </c>
      <c r="C7" s="17" t="s">
        <v>3</v>
      </c>
      <c r="D7" s="17" t="s">
        <v>14</v>
      </c>
      <c r="F7" s="15">
        <f t="shared" si="0"/>
        <v>166000000000004</v>
      </c>
      <c r="G7" s="21" t="str">
        <f t="shared" si="1"/>
        <v>PERFORM "SchData-OLTP-Master"."Func_TblBank_SET"(varSystemLoginSession, null::bigint, null::varchar, null::varchar, varInstitutionBranchID, varBaseCurrencyID, 'Bank Tabungan Negara', 'BTN', 'BTANIDJA');</v>
      </c>
    </row>
    <row r="8" spans="2:7" x14ac:dyDescent="0.2">
      <c r="B8" s="17" t="s">
        <v>10</v>
      </c>
      <c r="C8" s="17" t="s">
        <v>4</v>
      </c>
      <c r="D8" s="17" t="s">
        <v>15</v>
      </c>
      <c r="F8" s="15">
        <f t="shared" si="0"/>
        <v>166000000000005</v>
      </c>
      <c r="G8" s="21" t="str">
        <f t="shared" si="1"/>
        <v>PERFORM "SchData-OLTP-Master"."Func_TblBank_SET"(varSystemLoginSession, null::bigint, null::varchar, null::varchar, varInstitutionBranchID, varBaseCurrencyID, 'Bank Central Asia', 'BCA', 'CENAIDJA');</v>
      </c>
    </row>
    <row r="9" spans="2:7" x14ac:dyDescent="0.2">
      <c r="B9" s="17" t="s">
        <v>16</v>
      </c>
      <c r="C9" s="17"/>
      <c r="D9" s="17" t="s">
        <v>17</v>
      </c>
      <c r="F9" s="15">
        <f t="shared" si="0"/>
        <v>166000000000006</v>
      </c>
      <c r="G9" s="21" t="str">
        <f t="shared" si="1"/>
        <v>PERFORM "SchData-OLTP-Master"."Func_TblBank_SET"(varSystemLoginSession, null::bigint, null::varchar, null::varchar, varInstitutionBranchID, varBaseCurrencyID, 'Bank Mega', null, 'MEGAIDJA');</v>
      </c>
    </row>
    <row r="10" spans="2:7" x14ac:dyDescent="0.2">
      <c r="B10" s="17" t="s">
        <v>18</v>
      </c>
      <c r="C10" s="17"/>
      <c r="D10" s="17" t="s">
        <v>19</v>
      </c>
      <c r="F10" s="15">
        <f t="shared" si="0"/>
        <v>166000000000007</v>
      </c>
      <c r="G10" s="21" t="str">
        <f t="shared" si="1"/>
        <v>PERFORM "SchData-OLTP-Master"."Func_TblBank_SET"(varSystemLoginSession, null::bigint, null::varchar, null::varchar, varInstitutionBranchID, varBaseCurrencyID, 'Bank Permata', null, 'BBBAIDJA');</v>
      </c>
    </row>
    <row r="11" spans="2:7" x14ac:dyDescent="0.2">
      <c r="B11" s="17" t="s">
        <v>20</v>
      </c>
      <c r="C11" s="17"/>
      <c r="D11" s="17" t="s">
        <v>21</v>
      </c>
      <c r="F11" s="15">
        <f t="shared" si="0"/>
        <v>166000000000008</v>
      </c>
      <c r="G11" s="21" t="str">
        <f t="shared" si="1"/>
        <v>PERFORM "SchData-OLTP-Master"."Func_TblBank_SET"(varSystemLoginSession, null::bigint, null::varchar, null::varchar, varInstitutionBranchID, varBaseCurrencyID, 'Bank Danamon', null, 'BDINIDJA');</v>
      </c>
    </row>
    <row r="12" spans="2:7" x14ac:dyDescent="0.2">
      <c r="B12" s="17" t="s">
        <v>22</v>
      </c>
      <c r="C12" s="17"/>
      <c r="D12" s="17" t="s">
        <v>23</v>
      </c>
      <c r="F12" s="15">
        <f t="shared" si="0"/>
        <v>166000000000009</v>
      </c>
      <c r="G12" s="21" t="str">
        <f t="shared" si="1"/>
        <v>PERFORM "SchData-OLTP-Master"."Func_TblBank_SET"(varSystemLoginSession, null::bigint, null::varchar, null::varchar, varInstitutionBranchID, varBaseCurrencyID, 'Bank KB Bukopin', null, 'BBUKIDJA');</v>
      </c>
    </row>
    <row r="13" spans="2:7" x14ac:dyDescent="0.2">
      <c r="B13" s="17" t="s">
        <v>24</v>
      </c>
      <c r="C13" s="17" t="s">
        <v>25</v>
      </c>
      <c r="D13" s="17" t="s">
        <v>26</v>
      </c>
      <c r="F13" s="15">
        <f t="shared" si="0"/>
        <v>166000000000010</v>
      </c>
      <c r="G13" s="21" t="str">
        <f t="shared" si="1"/>
        <v>PERFORM "SchData-OLTP-Master"."Func_TblBank_SET"(varSystemLoginSession, null::bigint, null::varchar, null::varchar, varInstitutionBranchID, varBaseCurrencyID, 'Bank Syariah Indonesia', 'BSI', 'BSMDIDJA');</v>
      </c>
    </row>
    <row r="14" spans="2:7" x14ac:dyDescent="0.2">
      <c r="B14" s="17" t="s">
        <v>27</v>
      </c>
      <c r="C14" s="17" t="s">
        <v>28</v>
      </c>
      <c r="D14" s="17" t="s">
        <v>29</v>
      </c>
      <c r="F14" s="15">
        <f t="shared" si="0"/>
        <v>166000000000011</v>
      </c>
      <c r="G14" s="21" t="str">
        <f t="shared" si="1"/>
        <v>PERFORM "SchData-OLTP-Master"."Func_TblBank_SET"(varSystemLoginSession, null::bigint, null::varchar, null::varchar, varInstitutionBranchID, varBaseCurrencyID, 'Bank OCBC Nilai Inti Sari Penyimpanan', 'OCBC NISP', 'NISPIDJA');</v>
      </c>
    </row>
    <row r="15" spans="2:7" x14ac:dyDescent="0.2">
      <c r="B15" s="17" t="s">
        <v>30</v>
      </c>
      <c r="C15" s="17" t="s">
        <v>31</v>
      </c>
      <c r="D15" s="17" t="s">
        <v>32</v>
      </c>
      <c r="F15" s="15">
        <f t="shared" si="0"/>
        <v>166000000000012</v>
      </c>
      <c r="G15" s="21" t="str">
        <f t="shared" si="1"/>
        <v>PERFORM "SchData-OLTP-Master"."Func_TblBank_SET"(varSystemLoginSession, null::bigint, null::varchar, null::varchar, varInstitutionBranchID, varBaseCurrencyID, 'Bank Tabungan Pensiunan Nasional', 'BTPN', 'SUNIIDJA');</v>
      </c>
    </row>
    <row r="16" spans="2:7" x14ac:dyDescent="0.2">
      <c r="B16" s="17" t="s">
        <v>33</v>
      </c>
      <c r="C16" s="17"/>
      <c r="D16" s="17" t="s">
        <v>34</v>
      </c>
      <c r="F16" s="15">
        <f t="shared" si="0"/>
        <v>166000000000013</v>
      </c>
      <c r="G16" s="21" t="str">
        <f t="shared" si="1"/>
        <v>PERFORM "SchData-OLTP-Master"."Func_TblBank_SET"(varSystemLoginSession, null::bigint, null::varchar, null::varchar, varInstitutionBranchID, varBaseCurrencyID, 'Bank Pan Indonesia', null, 'PINBIDJA');</v>
      </c>
    </row>
    <row r="17" spans="2:7" x14ac:dyDescent="0.2">
      <c r="B17" s="17" t="s">
        <v>35</v>
      </c>
      <c r="C17" s="17"/>
      <c r="D17" s="17" t="s">
        <v>36</v>
      </c>
      <c r="F17" s="15">
        <f t="shared" si="0"/>
        <v>166000000000014</v>
      </c>
      <c r="G17" s="21" t="str">
        <f t="shared" si="1"/>
        <v>PERFORM "SchData-OLTP-Master"."Func_TblBank_SET"(varSystemLoginSession, null::bigint, null::varchar, null::varchar, varInstitutionBranchID, varBaseCurrencyID, 'Bank Maybank Indonesia', null, 'IBBKIDJA');</v>
      </c>
    </row>
    <row r="18" spans="2:7" x14ac:dyDescent="0.2">
      <c r="B18" s="17" t="s">
        <v>81</v>
      </c>
      <c r="C18" s="17" t="s">
        <v>54</v>
      </c>
      <c r="D18" s="17" t="s">
        <v>82</v>
      </c>
      <c r="F18" s="15">
        <f t="shared" si="0"/>
        <v>166000000000015</v>
      </c>
      <c r="G18" s="21" t="str">
        <f t="shared" si="1"/>
        <v>PERFORM "SchData-OLTP-Master"."Func_TblBank_SET"(varSystemLoginSession, null::bigint, null::varchar, null::varchar, varInstitutionBranchID, varBaseCurrencyID, 'Bank Commonwealth', 'Commonwealth', 'BICNIDJA');</v>
      </c>
    </row>
    <row r="19" spans="2:7" x14ac:dyDescent="0.2">
      <c r="B19" s="17" t="s">
        <v>84</v>
      </c>
      <c r="C19" s="17"/>
      <c r="D19" s="17" t="s">
        <v>83</v>
      </c>
      <c r="F19" s="15">
        <f t="shared" si="0"/>
        <v>166000000000016</v>
      </c>
      <c r="G19" s="21" t="str">
        <f t="shared" si="1"/>
        <v>PERFORM "SchData-OLTP-Master"."Func_TblBank_SET"(varSystemLoginSession, null::bigint, null::varchar, null::varchar, varInstitutionBranchID, varBaseCurrencyID, 'Bank Standard Chartered', null, 'SCBLIDJX');</v>
      </c>
    </row>
    <row r="20" spans="2:7" x14ac:dyDescent="0.2">
      <c r="B20" s="17" t="s">
        <v>37</v>
      </c>
      <c r="C20" s="17" t="s">
        <v>90</v>
      </c>
      <c r="D20" s="17" t="s">
        <v>38</v>
      </c>
      <c r="F20" s="15">
        <f t="shared" si="0"/>
        <v>166000000000017</v>
      </c>
      <c r="G20" s="21" t="str">
        <f t="shared" si="1"/>
        <v>PERFORM "SchData-OLTP-Master"."Func_TblBank_SET"(varSystemLoginSession, null::bigint, null::varchar, null::varchar, varInstitutionBranchID, varBaseCurrencyID, 'Bank CIMB Niaga', 'CIMB Niaga', 'BNIAIDJA');</v>
      </c>
    </row>
    <row r="21" spans="2:7" x14ac:dyDescent="0.2">
      <c r="B21" s="17" t="s">
        <v>73</v>
      </c>
      <c r="C21" s="17" t="s">
        <v>89</v>
      </c>
      <c r="D21" s="17" t="s">
        <v>85</v>
      </c>
      <c r="F21" s="15">
        <f t="shared" si="0"/>
        <v>166000000000018</v>
      </c>
      <c r="G21" s="21" t="str">
        <f t="shared" si="1"/>
        <v>PERFORM "SchData-OLTP-Master"."Func_TblBank_SET"(varSystemLoginSession, null::bigint, null::varchar, null::varchar, varInstitutionBranchID, varBaseCurrencyID, 'Bank Rakyat Indonesia Syariah', 'BRI Syariah', 'BRISIDJA');</v>
      </c>
    </row>
    <row r="22" spans="2:7" x14ac:dyDescent="0.2">
      <c r="B22" s="17" t="s">
        <v>72</v>
      </c>
      <c r="C22" s="17" t="s">
        <v>76</v>
      </c>
      <c r="D22" s="17" t="s">
        <v>86</v>
      </c>
      <c r="F22" s="15">
        <f t="shared" si="0"/>
        <v>166000000000019</v>
      </c>
      <c r="G22" s="21" t="str">
        <f t="shared" si="1"/>
        <v>PERFORM "SchData-OLTP-Master"."Func_TblBank_SET"(varSystemLoginSession, null::bigint, null::varchar, null::varchar, varInstitutionBranchID, varBaseCurrencyID, 'Bank Pembangunan Daerah Bengkulu', 'BPD Bengkulu', 'PDBKIDJ1');</v>
      </c>
    </row>
    <row r="23" spans="2:7" x14ac:dyDescent="0.2">
      <c r="B23" s="17" t="s">
        <v>79</v>
      </c>
      <c r="C23" s="17" t="s">
        <v>80</v>
      </c>
      <c r="D23" s="17" t="s">
        <v>87</v>
      </c>
      <c r="F23" s="15">
        <f t="shared" si="0"/>
        <v>166000000000020</v>
      </c>
      <c r="G23" s="21" t="str">
        <f t="shared" si="1"/>
        <v>PERFORM "SchData-OLTP-Master"."Func_TblBank_SET"(varSystemLoginSession, null::bigint, null::varchar, null::varchar, varInstitutionBranchID, varBaseCurrencyID, 'Bank Pembangunan Daerah Jawa Barat Banten', 'BJB', 'PDJBIDJA');</v>
      </c>
    </row>
    <row r="24" spans="2:7" x14ac:dyDescent="0.2">
      <c r="B24" s="17" t="s">
        <v>74</v>
      </c>
      <c r="C24" s="17" t="s">
        <v>77</v>
      </c>
      <c r="D24" s="17" t="s">
        <v>88</v>
      </c>
      <c r="F24" s="15">
        <f t="shared" si="0"/>
        <v>166000000000021</v>
      </c>
      <c r="G24" s="21" t="str">
        <f t="shared" si="1"/>
        <v>PERFORM "SchData-OLTP-Master"."Func_TblBank_SET"(varSystemLoginSession, null::bigint, null::varchar, null::varchar, varInstitutionBranchID, varBaseCurrencyID, 'Bank Pembangunan Daerah Jawa Timur', 'BPD Jatim', 'BJTMIDJA');</v>
      </c>
    </row>
    <row r="25" spans="2:7" x14ac:dyDescent="0.2">
      <c r="B25" s="17" t="s">
        <v>75</v>
      </c>
      <c r="C25" s="17" t="s">
        <v>78</v>
      </c>
      <c r="D25" s="17" t="s">
        <v>94</v>
      </c>
      <c r="F25" s="15">
        <f t="shared" si="0"/>
        <v>166000000000022</v>
      </c>
      <c r="G25" s="21" t="str">
        <f t="shared" si="1"/>
        <v>PERFORM "SchData-OLTP-Master"."Func_TblBank_SET"(varSystemLoginSession, null::bigint, null::varchar, null::varchar, varInstitutionBranchID, varBaseCurrencyID, 'Bank Pembangunan Daerah Kalimantan Selatan', 'BPD Kalsel', 'PDKSIDJ1');</v>
      </c>
    </row>
    <row r="26" spans="2:7" x14ac:dyDescent="0.2">
      <c r="B26" s="18"/>
      <c r="C26" s="18"/>
      <c r="D26" s="18"/>
      <c r="F26" s="22"/>
      <c r="G26" s="18"/>
    </row>
  </sheetData>
  <conditionalFormatting sqref="F4:F25">
    <cfRule type="expression" dxfId="0" priority="1">
      <formula>EXACT(F3, F4)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26"/>
  <sheetViews>
    <sheetView workbookViewId="0">
      <selection activeCell="F9" sqref="F9"/>
    </sheetView>
  </sheetViews>
  <sheetFormatPr defaultRowHeight="15" x14ac:dyDescent="0.25"/>
  <cols>
    <col min="2" max="2" width="14" style="25" bestFit="1" customWidth="1"/>
    <col min="3" max="3" width="34.28515625" bestFit="1" customWidth="1"/>
    <col min="4" max="4" width="11.85546875" bestFit="1" customWidth="1"/>
  </cols>
  <sheetData>
    <row r="1" spans="2:4" ht="15.75" thickBot="1" x14ac:dyDescent="0.3"/>
    <row r="2" spans="2:4" x14ac:dyDescent="0.25">
      <c r="B2" s="26" t="s">
        <v>95</v>
      </c>
      <c r="C2" s="23" t="s">
        <v>91</v>
      </c>
      <c r="D2" s="32" t="s">
        <v>96</v>
      </c>
    </row>
    <row r="3" spans="2:4" ht="15.75" thickBot="1" x14ac:dyDescent="0.3">
      <c r="B3" s="27"/>
      <c r="C3" s="24"/>
      <c r="D3" s="33"/>
    </row>
    <row r="4" spans="2:4" x14ac:dyDescent="0.25">
      <c r="B4" s="29">
        <f>IF(EXACT(MAIN!F4, ""), "", MAIN!F4)</f>
        <v>166000000000001</v>
      </c>
      <c r="C4" s="28" t="str">
        <f>IF(EXACT($B4, ""), "", MAIN!$B4)</f>
        <v>Bank Mandiri</v>
      </c>
      <c r="D4" s="28" t="str">
        <f>IF(EXACT($B4, ""), "", IF(EXACT(MAIN!$C4, ""), "", MAIN!$C4))</f>
        <v/>
      </c>
    </row>
    <row r="5" spans="2:4" x14ac:dyDescent="0.25">
      <c r="B5" s="29">
        <f>IF(EXACT(MAIN!F5, ""), "", MAIN!F5)</f>
        <v>166000000000002</v>
      </c>
      <c r="C5" s="28" t="str">
        <f>IF(EXACT($B5, ""), "", MAIN!$B5)</f>
        <v>Bank Rakyat Indonesia</v>
      </c>
      <c r="D5" s="28" t="str">
        <f>IF(EXACT($B5, ""), "", IF(EXACT(MAIN!$C5, ""), "", MAIN!$C5))</f>
        <v>BRI</v>
      </c>
    </row>
    <row r="6" spans="2:4" x14ac:dyDescent="0.25">
      <c r="B6" s="29">
        <f>IF(EXACT(MAIN!F6, ""), "", MAIN!F6)</f>
        <v>166000000000003</v>
      </c>
      <c r="C6" s="28" t="str">
        <f>IF(EXACT($B6, ""), "", MAIN!$B6)</f>
        <v>Bank Negara Indonesia</v>
      </c>
      <c r="D6" s="28" t="str">
        <f>IF(EXACT($B6, ""), "", IF(EXACT(MAIN!$C6, ""), "", MAIN!$C6))</f>
        <v>BNI</v>
      </c>
    </row>
    <row r="7" spans="2:4" x14ac:dyDescent="0.25">
      <c r="B7" s="29">
        <f>IF(EXACT(MAIN!F7, ""), "", MAIN!F7)</f>
        <v>166000000000004</v>
      </c>
      <c r="C7" s="28" t="str">
        <f>IF(EXACT($B7, ""), "", MAIN!$B7)</f>
        <v>Bank Tabungan Negara</v>
      </c>
      <c r="D7" s="28" t="str">
        <f>IF(EXACT($B7, ""), "", IF(EXACT(MAIN!$C7, ""), "", MAIN!$C7))</f>
        <v>BTN</v>
      </c>
    </row>
    <row r="8" spans="2:4" x14ac:dyDescent="0.25">
      <c r="B8" s="29">
        <f>IF(EXACT(MAIN!F8, ""), "", MAIN!F8)</f>
        <v>166000000000005</v>
      </c>
      <c r="C8" s="28" t="str">
        <f>IF(EXACT($B8, ""), "", MAIN!$B8)</f>
        <v>Bank Central Asia</v>
      </c>
      <c r="D8" s="28" t="str">
        <f>IF(EXACT($B8, ""), "", IF(EXACT(MAIN!$C8, ""), "", MAIN!$C8))</f>
        <v>BCA</v>
      </c>
    </row>
    <row r="9" spans="2:4" x14ac:dyDescent="0.25">
      <c r="B9" s="29">
        <f>IF(EXACT(MAIN!F9, ""), "", MAIN!F9)</f>
        <v>166000000000006</v>
      </c>
      <c r="C9" s="28" t="str">
        <f>IF(EXACT($B9, ""), "", MAIN!$B9)</f>
        <v>Bank Mega</v>
      </c>
      <c r="D9" s="28" t="str">
        <f>IF(EXACT($B9, ""), "", IF(EXACT(MAIN!$C9, ""), "", MAIN!$C9))</f>
        <v/>
      </c>
    </row>
    <row r="10" spans="2:4" x14ac:dyDescent="0.25">
      <c r="B10" s="29">
        <f>IF(EXACT(MAIN!F10, ""), "", MAIN!F10)</f>
        <v>166000000000007</v>
      </c>
      <c r="C10" s="28" t="str">
        <f>IF(EXACT($B10, ""), "", MAIN!$B10)</f>
        <v>Bank Permata</v>
      </c>
      <c r="D10" s="28" t="str">
        <f>IF(EXACT($B10, ""), "", IF(EXACT(MAIN!$C10, ""), "", MAIN!$C10))</f>
        <v/>
      </c>
    </row>
    <row r="11" spans="2:4" x14ac:dyDescent="0.25">
      <c r="B11" s="29">
        <f>IF(EXACT(MAIN!F11, ""), "", MAIN!F11)</f>
        <v>166000000000008</v>
      </c>
      <c r="C11" s="28" t="str">
        <f>IF(EXACT($B11, ""), "", MAIN!$B11)</f>
        <v>Bank Danamon</v>
      </c>
      <c r="D11" s="28" t="str">
        <f>IF(EXACT($B11, ""), "", IF(EXACT(MAIN!$C11, ""), "", MAIN!$C11))</f>
        <v/>
      </c>
    </row>
    <row r="12" spans="2:4" x14ac:dyDescent="0.25">
      <c r="B12" s="29">
        <f>IF(EXACT(MAIN!F12, ""), "", MAIN!F12)</f>
        <v>166000000000009</v>
      </c>
      <c r="C12" s="28" t="str">
        <f>IF(EXACT($B12, ""), "", MAIN!$B12)</f>
        <v>Bank KB Bukopin</v>
      </c>
      <c r="D12" s="28" t="str">
        <f>IF(EXACT($B12, ""), "", IF(EXACT(MAIN!$C12, ""), "", MAIN!$C12))</f>
        <v/>
      </c>
    </row>
    <row r="13" spans="2:4" x14ac:dyDescent="0.25">
      <c r="B13" s="29">
        <f>IF(EXACT(MAIN!F13, ""), "", MAIN!F13)</f>
        <v>166000000000010</v>
      </c>
      <c r="C13" s="28" t="str">
        <f>IF(EXACT($B13, ""), "", MAIN!$B13)</f>
        <v>Bank Syariah Indonesia</v>
      </c>
      <c r="D13" s="28" t="str">
        <f>IF(EXACT($B13, ""), "", IF(EXACT(MAIN!$C13, ""), "", MAIN!$C13))</f>
        <v>BSI</v>
      </c>
    </row>
    <row r="14" spans="2:4" x14ac:dyDescent="0.25">
      <c r="B14" s="29">
        <f>IF(EXACT(MAIN!F14, ""), "", MAIN!F14)</f>
        <v>166000000000011</v>
      </c>
      <c r="C14" s="28" t="str">
        <f>IF(EXACT($B14, ""), "", MAIN!$B14)</f>
        <v>Bank OCBC Nilai Inti Sari Penyimpanan</v>
      </c>
      <c r="D14" s="28" t="str">
        <f>IF(EXACT($B14, ""), "", IF(EXACT(MAIN!$C14, ""), "", MAIN!$C14))</f>
        <v>OCBC NISP</v>
      </c>
    </row>
    <row r="15" spans="2:4" x14ac:dyDescent="0.25">
      <c r="B15" s="29">
        <f>IF(EXACT(MAIN!F15, ""), "", MAIN!F15)</f>
        <v>166000000000012</v>
      </c>
      <c r="C15" s="28" t="str">
        <f>IF(EXACT($B15, ""), "", MAIN!$B15)</f>
        <v>Bank Tabungan Pensiunan Nasional</v>
      </c>
      <c r="D15" s="28" t="str">
        <f>IF(EXACT($B15, ""), "", IF(EXACT(MAIN!$C15, ""), "", MAIN!$C15))</f>
        <v>BTPN</v>
      </c>
    </row>
    <row r="16" spans="2:4" x14ac:dyDescent="0.25">
      <c r="B16" s="29">
        <f>IF(EXACT(MAIN!F16, ""), "", MAIN!F16)</f>
        <v>166000000000013</v>
      </c>
      <c r="C16" s="28" t="str">
        <f>IF(EXACT($B16, ""), "", MAIN!$B16)</f>
        <v>Bank Pan Indonesia</v>
      </c>
      <c r="D16" s="28" t="str">
        <f>IF(EXACT($B16, ""), "", IF(EXACT(MAIN!$C16, ""), "", MAIN!$C16))</f>
        <v/>
      </c>
    </row>
    <row r="17" spans="2:4" x14ac:dyDescent="0.25">
      <c r="B17" s="29">
        <f>IF(EXACT(MAIN!F17, ""), "", MAIN!F17)</f>
        <v>166000000000014</v>
      </c>
      <c r="C17" s="28" t="str">
        <f>IF(EXACT($B17, ""), "", MAIN!$B17)</f>
        <v>Bank Maybank Indonesia</v>
      </c>
      <c r="D17" s="28" t="str">
        <f>IF(EXACT($B17, ""), "", IF(EXACT(MAIN!$C17, ""), "", MAIN!$C17))</f>
        <v/>
      </c>
    </row>
    <row r="18" spans="2:4" x14ac:dyDescent="0.25">
      <c r="B18" s="29">
        <f>IF(EXACT(MAIN!F18, ""), "", MAIN!F18)</f>
        <v>166000000000015</v>
      </c>
      <c r="C18" s="28" t="str">
        <f>IF(EXACT($B18, ""), "", MAIN!$B18)</f>
        <v>Bank Commonwealth</v>
      </c>
      <c r="D18" s="28" t="str">
        <f>IF(EXACT($B18, ""), "", IF(EXACT(MAIN!$C18, ""), "", MAIN!$C18))</f>
        <v>Commonwealth</v>
      </c>
    </row>
    <row r="19" spans="2:4" x14ac:dyDescent="0.25">
      <c r="B19" s="29">
        <f>IF(EXACT(MAIN!F19, ""), "", MAIN!F19)</f>
        <v>166000000000016</v>
      </c>
      <c r="C19" s="28" t="str">
        <f>IF(EXACT($B19, ""), "", MAIN!$B19)</f>
        <v>Bank Standard Chartered</v>
      </c>
      <c r="D19" s="28" t="str">
        <f>IF(EXACT($B19, ""), "", IF(EXACT(MAIN!$C19, ""), "", MAIN!$C19))</f>
        <v/>
      </c>
    </row>
    <row r="20" spans="2:4" x14ac:dyDescent="0.25">
      <c r="B20" s="29">
        <f>IF(EXACT(MAIN!F20, ""), "", MAIN!F20)</f>
        <v>166000000000017</v>
      </c>
      <c r="C20" s="28" t="str">
        <f>IF(EXACT($B20, ""), "", MAIN!$B20)</f>
        <v>Bank CIMB Niaga</v>
      </c>
      <c r="D20" s="28" t="str">
        <f>IF(EXACT($B20, ""), "", IF(EXACT(MAIN!$C20, ""), "", MAIN!$C20))</f>
        <v>CIMB Niaga</v>
      </c>
    </row>
    <row r="21" spans="2:4" x14ac:dyDescent="0.25">
      <c r="B21" s="29">
        <f>IF(EXACT(MAIN!F21, ""), "", MAIN!F21)</f>
        <v>166000000000018</v>
      </c>
      <c r="C21" s="28" t="str">
        <f>IF(EXACT($B21, ""), "", MAIN!$B21)</f>
        <v>Bank Rakyat Indonesia Syariah</v>
      </c>
      <c r="D21" s="28" t="str">
        <f>IF(EXACT($B21, ""), "", IF(EXACT(MAIN!$C21, ""), "", MAIN!$C21))</f>
        <v>BRI Syariah</v>
      </c>
    </row>
    <row r="22" spans="2:4" x14ac:dyDescent="0.25">
      <c r="B22" s="29">
        <f>IF(EXACT(MAIN!F22, ""), "", MAIN!F22)</f>
        <v>166000000000019</v>
      </c>
      <c r="C22" s="28" t="str">
        <f>IF(EXACT($B22, ""), "", MAIN!$B22)</f>
        <v>Bank Pembangunan Daerah Bengkulu</v>
      </c>
      <c r="D22" s="28" t="str">
        <f>IF(EXACT($B22, ""), "", IF(EXACT(MAIN!$C22, ""), "", MAIN!$C22))</f>
        <v>BPD Bengkulu</v>
      </c>
    </row>
    <row r="23" spans="2:4" x14ac:dyDescent="0.25">
      <c r="B23" s="29">
        <f>IF(EXACT(MAIN!F23, ""), "", MAIN!F23)</f>
        <v>166000000000020</v>
      </c>
      <c r="C23" s="28" t="str">
        <f>IF(EXACT($B23, ""), "", MAIN!$B23)</f>
        <v>Bank Pembangunan Daerah Jawa Barat Banten</v>
      </c>
      <c r="D23" s="28" t="str">
        <f>IF(EXACT($B23, ""), "", IF(EXACT(MAIN!$C23, ""), "", MAIN!$C23))</f>
        <v>BJB</v>
      </c>
    </row>
    <row r="24" spans="2:4" x14ac:dyDescent="0.25">
      <c r="B24" s="29">
        <f>IF(EXACT(MAIN!F24, ""), "", MAIN!F24)</f>
        <v>166000000000021</v>
      </c>
      <c r="C24" s="28" t="str">
        <f>IF(EXACT($B24, ""), "", MAIN!$B24)</f>
        <v>Bank Pembangunan Daerah Jawa Timur</v>
      </c>
      <c r="D24" s="28" t="str">
        <f>IF(EXACT($B24, ""), "", IF(EXACT(MAIN!$C24, ""), "", MAIN!$C24))</f>
        <v>BPD Jatim</v>
      </c>
    </row>
    <row r="25" spans="2:4" x14ac:dyDescent="0.25">
      <c r="B25" s="29">
        <f>IF(EXACT(MAIN!F25, ""), "", MAIN!F25)</f>
        <v>166000000000022</v>
      </c>
      <c r="C25" s="28" t="str">
        <f>IF(EXACT($B25, ""), "", MAIN!$B25)</f>
        <v>Bank Pembangunan Daerah Kalimantan Selatan</v>
      </c>
      <c r="D25" s="28" t="str">
        <f>IF(EXACT($B25, ""), "", IF(EXACT(MAIN!$C25, ""), "", MAIN!$C25))</f>
        <v>BPD Kalsel</v>
      </c>
    </row>
    <row r="26" spans="2:4" x14ac:dyDescent="0.25">
      <c r="B26" s="30"/>
      <c r="C26" s="31"/>
      <c r="D26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tabSelected="1" workbookViewId="0">
      <selection activeCell="F7" sqref="F7"/>
    </sheetView>
  </sheetViews>
  <sheetFormatPr defaultRowHeight="12.75" x14ac:dyDescent="0.2"/>
  <cols>
    <col min="1" max="1" width="9.140625" style="3"/>
    <col min="2" max="2" width="34.28515625" style="3" bestFit="1" customWidth="1"/>
    <col min="3" max="3" width="10.85546875" style="3" bestFit="1" customWidth="1"/>
    <col min="4" max="4" width="10.5703125" style="3" bestFit="1" customWidth="1"/>
    <col min="5" max="5" width="10.5703125" style="3" customWidth="1"/>
    <col min="6" max="6" width="9.140625" style="3"/>
    <col min="7" max="7" width="67.140625" style="3" customWidth="1"/>
    <col min="8" max="8" width="14" style="4" bestFit="1" customWidth="1"/>
    <col min="9" max="9" width="9.140625" style="3"/>
    <col min="10" max="10" width="67.140625" style="3" customWidth="1"/>
    <col min="11" max="16384" width="9.140625" style="3"/>
  </cols>
  <sheetData>
    <row r="1" spans="2:10" s="6" customFormat="1" x14ac:dyDescent="0.2">
      <c r="B1" s="5" t="s">
        <v>40</v>
      </c>
      <c r="C1" s="5" t="s">
        <v>41</v>
      </c>
      <c r="D1" s="5" t="s">
        <v>39</v>
      </c>
      <c r="E1" s="5" t="s">
        <v>97</v>
      </c>
      <c r="H1" s="1" t="s">
        <v>5</v>
      </c>
    </row>
    <row r="2" spans="2:10" x14ac:dyDescent="0.2">
      <c r="B2" s="3" t="s">
        <v>6</v>
      </c>
      <c r="D2" s="3" t="s">
        <v>11</v>
      </c>
      <c r="E2" s="3" t="s">
        <v>98</v>
      </c>
      <c r="G2" s="3" t="str">
        <f>IF(EXACT(B2, ""), "", CONCATENATE("PERFORM ""SchData-OLTP-Master"".""Func_TblBank_SET""(varSystemLoginSession, null::bigint, null::varchar, null::varchar, varInstitutionBranchID, varBaseCurrencyID, ", IF(EXACT($B2, ""), "null", CONCATENATE("'", $B2, "'")), ", ", IF(EXACT($C2, ""), "null", CONCATENATE("'", $C2, "'")), ", ", IF(EXACT($D2, ""), "null", CONCATENATE("'", $D2, "'")), ", ", IF(EXACT($E2, ""), "null", CONCATENATE("'", $E2, "'")), ");"))</f>
        <v>PERFORM "SchData-OLTP-Master"."Func_TblBank_SET"(varSystemLoginSession, null::bigint, null::varchar, null::varchar, varInstitutionBranchID, varBaseCurrencyID, 'Bank Mandiri', null, 'BMRIIDJA', 'MRI');</v>
      </c>
      <c r="H2" s="2">
        <v>166000000000001</v>
      </c>
      <c r="I2" s="34"/>
      <c r="J2" s="3" t="str">
        <f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"'sysDataAnnotation', ", IF(EXACT($B2, ""), "null", CONCATENATE("'", SUBSTITUTE($B2, "'", "\'"), "'")), "::varchar,",
"'acronym', ", IF(EXACT($C2, ""), "null", CONCATENATE("'", SUBSTITUTE($C2, "'", "\'"), "'")), "::varchar,",
"'SWIFTCode', ", IF(EXACT($D2, ""), "null", CONCATENATE("'", SUBSTITUTE($D2, "'", "\'"), "'")), "::varchar,",
"'bankCode', ", IF(EXACT($E2, ""), "null", CONCATENATE("'", SUBSTITUTE($E2,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Mandiri'::varchar,'acronym', null::varchar,'SWIFTCode', 'BMRIIDJA'::varchar,'bankCode', 'MRI'::varchar)))::varchar;</v>
      </c>
    </row>
    <row r="3" spans="2:10" x14ac:dyDescent="0.2">
      <c r="B3" s="3" t="s">
        <v>7</v>
      </c>
      <c r="C3" s="3" t="s">
        <v>2</v>
      </c>
      <c r="D3" s="3" t="s">
        <v>12</v>
      </c>
      <c r="E3" s="3" t="s">
        <v>2</v>
      </c>
      <c r="G3" s="3" t="str">
        <f t="shared" ref="G3:G23" si="0">IF(EXACT(B3, ""), "", CONCATENATE("PERFORM ""SchData-OLTP-Master"".""Func_TblBank_SET""(varSystemLoginSession, null::bigint, null::varchar, null::varchar, varInstitutionBranchID, varBaseCurrencyID, ", IF(EXACT($B3, ""), "null", CONCATENATE("'", $B3, "'")), ", ", IF(EXACT($C3, ""), "null", CONCATENATE("'", $C3, "'")), ", ", IF(EXACT($D3, ""), "null", CONCATENATE("'", $D3, "'")), ", ", IF(EXACT($E3, ""), "null", CONCATENATE("'", $E3, "'")), ");"))</f>
        <v>PERFORM "SchData-OLTP-Master"."Func_TblBank_SET"(varSystemLoginSession, null::bigint, null::varchar, null::varchar, varInstitutionBranchID, varBaseCurrencyID, 'Bank Rakyat Indonesia', 'BRI', 'BRINIDJA', 'BRI');</v>
      </c>
      <c r="H3" s="2">
        <v>166000000000002</v>
      </c>
      <c r="I3" s="34"/>
      <c r="J3" s="3" t="str">
        <f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"'sysDataAnnotation', ", IF(EXACT($B3, ""), "null", CONCATENATE("'", SUBSTITUTE($B3, "'", "\'"), "'")), "::varchar,",
"'acronym', ", IF(EXACT($C3, ""), "null", CONCATENATE("'", SUBSTITUTE($C3, "'", "\'"), "'")), "::varchar,",
"'SWIFTCode', ", IF(EXACT($D3, ""), "null", CONCATENATE("'", SUBSTITUTE($D3, "'", "\'"), "'")), "::varchar,",
"'bankCode', ", IF(EXACT($E3, ""), "null", CONCATENATE("'", SUBSTITUTE($E3,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Rakyat Indonesia'::varchar,'acronym', 'BRI'::varchar,'SWIFTCode', 'BRINIDJA'::varchar,'bankCode', 'BRI'::varchar)))::varchar;</v>
      </c>
    </row>
    <row r="4" spans="2:10" x14ac:dyDescent="0.2">
      <c r="B4" s="3" t="s">
        <v>8</v>
      </c>
      <c r="C4" s="3" t="s">
        <v>1</v>
      </c>
      <c r="D4" s="3" t="s">
        <v>13</v>
      </c>
      <c r="E4" s="3" t="s">
        <v>1</v>
      </c>
      <c r="G4" s="3" t="str">
        <f t="shared" si="0"/>
        <v>PERFORM "SchData-OLTP-Master"."Func_TblBank_SET"(varSystemLoginSession, null::bigint, null::varchar, null::varchar, varInstitutionBranchID, varBaseCurrencyID, 'Bank Negara Indonesia', 'BNI', 'BNINIDJA', 'BNI');</v>
      </c>
      <c r="H4" s="2">
        <v>166000000000003</v>
      </c>
      <c r="J4" s="3" t="str">
        <f t="shared" ref="J4:J23" si="1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"'sysDataAnnotation', ", IF(EXACT($B4, ""), "null", CONCATENATE("'", SUBSTITUTE($B4, "'", "\'"), "'")), "::varchar,",
"'acronym', ", IF(EXACT($C4, ""), "null", CONCATENATE("'", SUBSTITUTE($C4, "'", "\'"), "'")), "::varchar,",
"'SWIFTCode', ", IF(EXACT($D4, ""), "null", CONCATENATE("'", SUBSTITUTE($D4, "'", "\'"), "'")), "::varchar,",
"'bankCode', ", IF(EXACT($E4, ""), "null", CONCATENATE("'", SUBSTITUTE($E4,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Negara Indonesia'::varchar,'acronym', 'BNI'::varchar,'SWIFTCode', 'BNINIDJA'::varchar,'bankCode', 'BNI'::varchar)))::varchar;</v>
      </c>
    </row>
    <row r="5" spans="2:10" x14ac:dyDescent="0.2">
      <c r="B5" s="3" t="s">
        <v>9</v>
      </c>
      <c r="C5" s="3" t="s">
        <v>3</v>
      </c>
      <c r="D5" s="3" t="s">
        <v>14</v>
      </c>
      <c r="E5" s="3" t="s">
        <v>3</v>
      </c>
      <c r="G5" s="3" t="str">
        <f t="shared" si="0"/>
        <v>PERFORM "SchData-OLTP-Master"."Func_TblBank_SET"(varSystemLoginSession, null::bigint, null::varchar, null::varchar, varInstitutionBranchID, varBaseCurrencyID, 'Bank Tabungan Negara', 'BTN', 'BTANIDJA', 'BTN');</v>
      </c>
      <c r="H5" s="2">
        <v>166000000000004</v>
      </c>
      <c r="J5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Tabungan Negara'::varchar,'acronym', 'BTN'::varchar,'SWIFTCode', 'BTANIDJA'::varchar,'bankCode', 'BTN'::varchar)))::varchar;</v>
      </c>
    </row>
    <row r="6" spans="2:10" x14ac:dyDescent="0.2">
      <c r="B6" s="3" t="s">
        <v>10</v>
      </c>
      <c r="C6" s="3" t="s">
        <v>4</v>
      </c>
      <c r="D6" s="3" t="s">
        <v>15</v>
      </c>
      <c r="E6" s="3" t="s">
        <v>4</v>
      </c>
      <c r="G6" s="3" t="str">
        <f t="shared" si="0"/>
        <v>PERFORM "SchData-OLTP-Master"."Func_TblBank_SET"(varSystemLoginSession, null::bigint, null::varchar, null::varchar, varInstitutionBranchID, varBaseCurrencyID, 'Bank Central Asia', 'BCA', 'CENAIDJA', 'BCA');</v>
      </c>
      <c r="H6" s="2">
        <v>166000000000005</v>
      </c>
      <c r="J6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Central Asia'::varchar,'acronym', 'BCA'::varchar,'SWIFTCode', 'CENAIDJA'::varchar,'bankCode', 'BCA'::varchar)))::varchar;</v>
      </c>
    </row>
    <row r="7" spans="2:10" x14ac:dyDescent="0.2">
      <c r="B7" s="3" t="s">
        <v>16</v>
      </c>
      <c r="D7" s="3" t="s">
        <v>17</v>
      </c>
      <c r="E7" s="3" t="s">
        <v>99</v>
      </c>
      <c r="G7" s="3" t="str">
        <f t="shared" si="0"/>
        <v>PERFORM "SchData-OLTP-Master"."Func_TblBank_SET"(varSystemLoginSession, null::bigint, null::varchar, null::varchar, varInstitutionBranchID, varBaseCurrencyID, 'Bank Mega', null, 'MEGAIDJA', 'MEG');</v>
      </c>
      <c r="H7" s="2">
        <v>166000000000006</v>
      </c>
      <c r="J7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Mega'::varchar,'acronym', null::varchar,'SWIFTCode', 'MEGAIDJA'::varchar,'bankCode', 'MEG'::varchar)))::varchar;</v>
      </c>
    </row>
    <row r="8" spans="2:10" x14ac:dyDescent="0.2">
      <c r="B8" s="3" t="s">
        <v>18</v>
      </c>
      <c r="D8" s="3" t="s">
        <v>19</v>
      </c>
      <c r="E8" s="3" t="s">
        <v>100</v>
      </c>
      <c r="G8" s="3" t="str">
        <f t="shared" si="0"/>
        <v>PERFORM "SchData-OLTP-Master"."Func_TblBank_SET"(varSystemLoginSession, null::bigint, null::varchar, null::varchar, varInstitutionBranchID, varBaseCurrencyID, 'Bank Permata', null, 'BBBAIDJA', 'PER');</v>
      </c>
      <c r="H8" s="2">
        <v>166000000000007</v>
      </c>
      <c r="J8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Permata'::varchar,'acronym', null::varchar,'SWIFTCode', 'BBBAIDJA'::varchar,'bankCode', 'PER'::varchar)))::varchar;</v>
      </c>
    </row>
    <row r="9" spans="2:10" x14ac:dyDescent="0.2">
      <c r="B9" s="3" t="s">
        <v>20</v>
      </c>
      <c r="D9" s="3" t="s">
        <v>21</v>
      </c>
      <c r="E9" s="3" t="s">
        <v>101</v>
      </c>
      <c r="G9" s="3" t="str">
        <f t="shared" si="0"/>
        <v>PERFORM "SchData-OLTP-Master"."Func_TblBank_SET"(varSystemLoginSession, null::bigint, null::varchar, null::varchar, varInstitutionBranchID, varBaseCurrencyID, 'Bank Danamon', null, 'BDINIDJA', 'DAN');</v>
      </c>
      <c r="H9" s="2">
        <v>166000000000008</v>
      </c>
      <c r="J9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Danamon'::varchar,'acronym', null::varchar,'SWIFTCode', 'BDINIDJA'::varchar,'bankCode', 'DAN'::varchar)))::varchar;</v>
      </c>
    </row>
    <row r="10" spans="2:10" x14ac:dyDescent="0.2">
      <c r="B10" s="3" t="s">
        <v>22</v>
      </c>
      <c r="D10" s="3" t="s">
        <v>23</v>
      </c>
      <c r="E10" s="3" t="s">
        <v>102</v>
      </c>
      <c r="G10" s="3" t="str">
        <f t="shared" si="0"/>
        <v>PERFORM "SchData-OLTP-Master"."Func_TblBank_SET"(varSystemLoginSession, null::bigint, null::varchar, null::varchar, varInstitutionBranchID, varBaseCurrencyID, 'Bank KB Bukopin', null, 'BBUKIDJA', 'BUK');</v>
      </c>
      <c r="H10" s="2">
        <v>166000000000009</v>
      </c>
      <c r="J10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KB Bukopin'::varchar,'acronym', null::varchar,'SWIFTCode', 'BBUKIDJA'::varchar,'bankCode', 'BUK'::varchar)))::varchar;</v>
      </c>
    </row>
    <row r="11" spans="2:10" x14ac:dyDescent="0.2">
      <c r="B11" s="3" t="s">
        <v>24</v>
      </c>
      <c r="C11" s="3" t="s">
        <v>25</v>
      </c>
      <c r="D11" s="3" t="s">
        <v>26</v>
      </c>
      <c r="E11" s="3" t="s">
        <v>25</v>
      </c>
      <c r="G11" s="3" t="str">
        <f t="shared" si="0"/>
        <v>PERFORM "SchData-OLTP-Master"."Func_TblBank_SET"(varSystemLoginSession, null::bigint, null::varchar, null::varchar, varInstitutionBranchID, varBaseCurrencyID, 'Bank Syariah Indonesia', 'BSI', 'BSMDIDJA', 'BSI');</v>
      </c>
      <c r="H11" s="2">
        <v>166000000000010</v>
      </c>
      <c r="J11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Syariah Indonesia'::varchar,'acronym', 'BSI'::varchar,'SWIFTCode', 'BSMDIDJA'::varchar,'bankCode', 'BSI'::varchar)))::varchar;</v>
      </c>
    </row>
    <row r="12" spans="2:10" x14ac:dyDescent="0.2">
      <c r="B12" s="3" t="s">
        <v>27</v>
      </c>
      <c r="C12" s="3" t="s">
        <v>28</v>
      </c>
      <c r="D12" s="3" t="s">
        <v>29</v>
      </c>
      <c r="E12" s="3" t="s">
        <v>103</v>
      </c>
      <c r="G12" s="3" t="str">
        <f t="shared" si="0"/>
        <v>PERFORM "SchData-OLTP-Master"."Func_TblBank_SET"(varSystemLoginSession, null::bigint, null::varchar, null::varchar, varInstitutionBranchID, varBaseCurrencyID, 'Bank OCBC Nilai Inti Sari Penyimpanan', 'OCBC NISP', 'NISPIDJA', 'OCB');</v>
      </c>
      <c r="H12" s="2">
        <v>166000000000011</v>
      </c>
      <c r="J12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OCBC Nilai Inti Sari Penyimpanan'::varchar,'acronym', 'OCBC NISP'::varchar,'SWIFTCode', 'NISPIDJA'::varchar,'bankCode', 'OCB'::varchar)))::varchar;</v>
      </c>
    </row>
    <row r="13" spans="2:10" x14ac:dyDescent="0.2">
      <c r="B13" s="3" t="s">
        <v>30</v>
      </c>
      <c r="C13" s="3" t="s">
        <v>31</v>
      </c>
      <c r="D13" s="3" t="s">
        <v>32</v>
      </c>
      <c r="E13" s="3" t="s">
        <v>104</v>
      </c>
      <c r="G13" s="3" t="str">
        <f t="shared" si="0"/>
        <v>PERFORM "SchData-OLTP-Master"."Func_TblBank_SET"(varSystemLoginSession, null::bigint, null::varchar, null::varchar, varInstitutionBranchID, varBaseCurrencyID, 'Bank Tabungan Pensiunan Nasional', 'BTPN', 'SUNIIDJA', 'TPN');</v>
      </c>
      <c r="H13" s="2">
        <v>166000000000012</v>
      </c>
      <c r="J13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Tabungan Pensiunan Nasional'::varchar,'acronym', 'BTPN'::varchar,'SWIFTCode', 'SUNIIDJA'::varchar,'bankCode', 'TPN'::varchar)))::varchar;</v>
      </c>
    </row>
    <row r="14" spans="2:10" x14ac:dyDescent="0.2">
      <c r="B14" s="3" t="s">
        <v>33</v>
      </c>
      <c r="D14" s="3" t="s">
        <v>34</v>
      </c>
      <c r="E14" s="3" t="s">
        <v>105</v>
      </c>
      <c r="G14" s="3" t="str">
        <f t="shared" si="0"/>
        <v>PERFORM "SchData-OLTP-Master"."Func_TblBank_SET"(varSystemLoginSession, null::bigint, null::varchar, null::varchar, varInstitutionBranchID, varBaseCurrencyID, 'Bank Pan Indonesia', null, 'PINBIDJA', 'PAN');</v>
      </c>
      <c r="H14" s="2">
        <v>166000000000013</v>
      </c>
      <c r="J14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Pan Indonesia'::varchar,'acronym', null::varchar,'SWIFTCode', 'PINBIDJA'::varchar,'bankCode', 'PAN'::varchar)))::varchar;</v>
      </c>
    </row>
    <row r="15" spans="2:10" x14ac:dyDescent="0.2">
      <c r="B15" s="3" t="s">
        <v>35</v>
      </c>
      <c r="D15" s="3" t="s">
        <v>36</v>
      </c>
      <c r="E15" s="3" t="s">
        <v>106</v>
      </c>
      <c r="G15" s="3" t="str">
        <f t="shared" si="0"/>
        <v>PERFORM "SchData-OLTP-Master"."Func_TblBank_SET"(varSystemLoginSession, null::bigint, null::varchar, null::varchar, varInstitutionBranchID, varBaseCurrencyID, 'Bank Maybank Indonesia', null, 'IBBKIDJA', 'MAY');</v>
      </c>
      <c r="H15" s="2">
        <v>166000000000014</v>
      </c>
      <c r="J15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Maybank Indonesia'::varchar,'acronym', null::varchar,'SWIFTCode', 'IBBKIDJA'::varchar,'bankCode', 'MAY'::varchar)))::varchar;</v>
      </c>
    </row>
    <row r="16" spans="2:10" x14ac:dyDescent="0.2">
      <c r="B16" s="3" t="s">
        <v>81</v>
      </c>
      <c r="C16" s="3" t="s">
        <v>54</v>
      </c>
      <c r="D16" s="3" t="s">
        <v>82</v>
      </c>
      <c r="E16" s="3" t="s">
        <v>107</v>
      </c>
      <c r="G16" s="3" t="str">
        <f t="shared" si="0"/>
        <v>PERFORM "SchData-OLTP-Master"."Func_TblBank_SET"(varSystemLoginSession, null::bigint, null::varchar, null::varchar, varInstitutionBranchID, varBaseCurrencyID, 'Bank Commonwealth', 'Commonwealth', 'BICNIDJA', 'CMW');</v>
      </c>
      <c r="H16" s="2">
        <v>166000000000015</v>
      </c>
      <c r="J16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Commonwealth'::varchar,'acronym', 'Commonwealth'::varchar,'SWIFTCode', 'BICNIDJA'::varchar,'bankCode', 'CMW'::varchar)))::varchar;</v>
      </c>
    </row>
    <row r="17" spans="2:10" x14ac:dyDescent="0.2">
      <c r="B17" s="3" t="s">
        <v>84</v>
      </c>
      <c r="D17" s="3" t="s">
        <v>83</v>
      </c>
      <c r="E17" s="3" t="s">
        <v>108</v>
      </c>
      <c r="G17" s="3" t="str">
        <f t="shared" si="0"/>
        <v>PERFORM "SchData-OLTP-Master"."Func_TblBank_SET"(varSystemLoginSession, null::bigint, null::varchar, null::varchar, varInstitutionBranchID, varBaseCurrencyID, 'Bank Standard Chartered', null, 'SCBLIDJX', 'SCD');</v>
      </c>
      <c r="H17" s="2">
        <v>166000000000016</v>
      </c>
      <c r="J17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Standard Chartered'::varchar,'acronym', null::varchar,'SWIFTCode', 'SCBLIDJX'::varchar,'bankCode', 'SCD'::varchar)))::varchar;</v>
      </c>
    </row>
    <row r="18" spans="2:10" x14ac:dyDescent="0.2">
      <c r="B18" s="3" t="s">
        <v>37</v>
      </c>
      <c r="C18" s="3" t="s">
        <v>90</v>
      </c>
      <c r="D18" s="3" t="s">
        <v>38</v>
      </c>
      <c r="E18" s="3" t="s">
        <v>109</v>
      </c>
      <c r="G18" s="3" t="str">
        <f t="shared" si="0"/>
        <v>PERFORM "SchData-OLTP-Master"."Func_TblBank_SET"(varSystemLoginSession, null::bigint, null::varchar, null::varchar, varInstitutionBranchID, varBaseCurrencyID, 'Bank CIMB Niaga', 'CIMB Niaga', 'BNIAIDJA', 'CIM');</v>
      </c>
      <c r="H18" s="2">
        <v>166000000000017</v>
      </c>
      <c r="J18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CIMB Niaga'::varchar,'acronym', 'CIMB Niaga'::varchar,'SWIFTCode', 'BNIAIDJA'::varchar,'bankCode', 'CIM'::varchar)))::varchar;</v>
      </c>
    </row>
    <row r="19" spans="2:10" x14ac:dyDescent="0.2">
      <c r="B19" s="3" t="s">
        <v>73</v>
      </c>
      <c r="C19" s="3" t="s">
        <v>89</v>
      </c>
      <c r="D19" s="3" t="s">
        <v>85</v>
      </c>
      <c r="E19" s="3" t="s">
        <v>110</v>
      </c>
      <c r="G19" s="3" t="str">
        <f t="shared" si="0"/>
        <v>PERFORM "SchData-OLTP-Master"."Func_TblBank_SET"(varSystemLoginSession, null::bigint, null::varchar, null::varchar, varInstitutionBranchID, varBaseCurrencyID, 'Bank Rakyat Indonesia Syariah', 'BRI Syariah', 'BRISIDJA', 'RIS');</v>
      </c>
      <c r="H19" s="2">
        <v>166000000000018</v>
      </c>
      <c r="J19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Rakyat Indonesia Syariah'::varchar,'acronym', 'BRI Syariah'::varchar,'SWIFTCode', 'BRISIDJA'::varchar,'bankCode', 'RIS'::varchar)))::varchar;</v>
      </c>
    </row>
    <row r="20" spans="2:10" x14ac:dyDescent="0.2">
      <c r="B20" s="3" t="s">
        <v>72</v>
      </c>
      <c r="C20" s="3" t="s">
        <v>76</v>
      </c>
      <c r="D20" s="3" t="s">
        <v>86</v>
      </c>
      <c r="E20" s="3" t="s">
        <v>111</v>
      </c>
      <c r="G20" s="3" t="str">
        <f t="shared" si="0"/>
        <v>PERFORM "SchData-OLTP-Master"."Func_TblBank_SET"(varSystemLoginSession, null::bigint, null::varchar, null::varchar, varInstitutionBranchID, varBaseCurrencyID, 'Bank Pembangunan Daerah Bengkulu', 'BPD Bengkulu', 'PDBKIDJ1', 'PDB');</v>
      </c>
      <c r="H20" s="2">
        <v>166000000000019</v>
      </c>
      <c r="J20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Pembangunan Daerah Bengkulu'::varchar,'acronym', 'BPD Bengkulu'::varchar,'SWIFTCode', 'PDBKIDJ1'::varchar,'bankCode', 'PDB'::varchar)))::varchar;</v>
      </c>
    </row>
    <row r="21" spans="2:10" x14ac:dyDescent="0.2">
      <c r="B21" s="3" t="s">
        <v>79</v>
      </c>
      <c r="C21" s="3" t="s">
        <v>80</v>
      </c>
      <c r="D21" s="3" t="s">
        <v>87</v>
      </c>
      <c r="E21" s="3" t="s">
        <v>80</v>
      </c>
      <c r="G21" s="3" t="str">
        <f t="shared" si="0"/>
        <v>PERFORM "SchData-OLTP-Master"."Func_TblBank_SET"(varSystemLoginSession, null::bigint, null::varchar, null::varchar, varInstitutionBranchID, varBaseCurrencyID, 'Bank Pembangunan Daerah Jawa Barat Banten', 'BJB', 'PDJBIDJA', 'BJB');</v>
      </c>
      <c r="H21" s="2">
        <v>166000000000020</v>
      </c>
      <c r="J21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Pembangunan Daerah Jawa Barat Banten'::varchar,'acronym', 'BJB'::varchar,'SWIFTCode', 'PDJBIDJA'::varchar,'bankCode', 'BJB'::varchar)))::varchar;</v>
      </c>
    </row>
    <row r="22" spans="2:10" x14ac:dyDescent="0.2">
      <c r="B22" s="3" t="s">
        <v>74</v>
      </c>
      <c r="C22" s="3" t="s">
        <v>77</v>
      </c>
      <c r="D22" s="3" t="s">
        <v>88</v>
      </c>
      <c r="E22" s="3" t="s">
        <v>112</v>
      </c>
      <c r="G22" s="3" t="str">
        <f t="shared" si="0"/>
        <v>PERFORM "SchData-OLTP-Master"."Func_TblBank_SET"(varSystemLoginSession, null::bigint, null::varchar, null::varchar, varInstitutionBranchID, varBaseCurrencyID, 'Bank Pembangunan Daerah Jawa Timur', 'BPD Jatim', 'BJTMIDJA', 'PDJ');</v>
      </c>
      <c r="H22" s="2">
        <v>166000000000021</v>
      </c>
      <c r="J22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Pembangunan Daerah Jawa Timur'::varchar,'acronym', 'BPD Jatim'::varchar,'SWIFTCode', 'BJTMIDJA'::varchar,'bankCode', 'PDJ'::varchar)))::varchar;</v>
      </c>
    </row>
    <row r="23" spans="2:10" x14ac:dyDescent="0.2">
      <c r="B23" s="3" t="s">
        <v>75</v>
      </c>
      <c r="C23" s="3" t="s">
        <v>78</v>
      </c>
      <c r="D23" s="3" t="s">
        <v>94</v>
      </c>
      <c r="E23" s="3" t="s">
        <v>113</v>
      </c>
      <c r="G23" s="3" t="str">
        <f t="shared" si="0"/>
        <v>PERFORM "SchData-OLTP-Master"."Func_TblBank_SET"(varSystemLoginSession, null::bigint, null::varchar, null::varchar, varInstitutionBranchID, varBaseCurrencyID, 'Bank Pembangunan Daerah Kalimantan Selatan', 'BPD Kalsel', 'PDKSIDJ1', 'PDK');</v>
      </c>
      <c r="H23" s="2">
        <v>166000000000022</v>
      </c>
      <c r="J23" s="3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varInstitutionBranchID::bigint,'sysBaseCurrency_RefID',varBaseCurrencyID::bigint,'sysDataAnnotation', 'Bank Pembangunan Daerah Kalimantan Selatan'::varchar,'acronym', 'BPD Kalsel'::varchar,'SWIFTCode', 'PDKSIDJ1'::varchar,'bankCode', 'PDK'::varchar)))::varchar;</v>
      </c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61"/>
  <sheetViews>
    <sheetView workbookViewId="0">
      <selection activeCell="B58" sqref="B58"/>
    </sheetView>
  </sheetViews>
  <sheetFormatPr defaultRowHeight="15" x14ac:dyDescent="0.25"/>
  <cols>
    <col min="2" max="2" width="24.85546875" bestFit="1" customWidth="1"/>
  </cols>
  <sheetData>
    <row r="3" spans="2:2" x14ac:dyDescent="0.25">
      <c r="B3" t="s">
        <v>71</v>
      </c>
    </row>
    <row r="4" spans="2:2" x14ac:dyDescent="0.25">
      <c r="B4" t="s">
        <v>70</v>
      </c>
    </row>
    <row r="5" spans="2:2" x14ac:dyDescent="0.25">
      <c r="B5" t="s">
        <v>69</v>
      </c>
    </row>
    <row r="6" spans="2:2" x14ac:dyDescent="0.25">
      <c r="B6" t="s">
        <v>68</v>
      </c>
    </row>
    <row r="7" spans="2:2" x14ac:dyDescent="0.25">
      <c r="B7" t="s">
        <v>67</v>
      </c>
    </row>
    <row r="8" spans="2:2" x14ac:dyDescent="0.25">
      <c r="B8" t="s">
        <v>67</v>
      </c>
    </row>
    <row r="9" spans="2:2" x14ac:dyDescent="0.25">
      <c r="B9" t="s">
        <v>66</v>
      </c>
    </row>
    <row r="10" spans="2:2" x14ac:dyDescent="0.25">
      <c r="B10" t="s">
        <v>66</v>
      </c>
    </row>
    <row r="11" spans="2:2" x14ac:dyDescent="0.25">
      <c r="B11" t="s">
        <v>65</v>
      </c>
    </row>
    <row r="12" spans="2:2" x14ac:dyDescent="0.25">
      <c r="B12" t="s">
        <v>64</v>
      </c>
    </row>
    <row r="13" spans="2:2" x14ac:dyDescent="0.25">
      <c r="B13" t="s">
        <v>18</v>
      </c>
    </row>
    <row r="14" spans="2:2" x14ac:dyDescent="0.25">
      <c r="B14" t="s">
        <v>18</v>
      </c>
    </row>
    <row r="15" spans="2:2" x14ac:dyDescent="0.25">
      <c r="B15" t="s">
        <v>4</v>
      </c>
    </row>
    <row r="16" spans="2:2" x14ac:dyDescent="0.25">
      <c r="B16" t="s">
        <v>4</v>
      </c>
    </row>
    <row r="17" spans="2:2" x14ac:dyDescent="0.25">
      <c r="B17" t="s">
        <v>4</v>
      </c>
    </row>
    <row r="18" spans="2:2" x14ac:dyDescent="0.25">
      <c r="B18" t="s">
        <v>4</v>
      </c>
    </row>
    <row r="19" spans="2:2" x14ac:dyDescent="0.25">
      <c r="B19" t="s">
        <v>4</v>
      </c>
    </row>
    <row r="20" spans="2:2" x14ac:dyDescent="0.25">
      <c r="B20" t="s">
        <v>63</v>
      </c>
    </row>
    <row r="21" spans="2:2" x14ac:dyDescent="0.25">
      <c r="B21" t="s">
        <v>62</v>
      </c>
    </row>
    <row r="22" spans="2:2" x14ac:dyDescent="0.25">
      <c r="B22" t="s">
        <v>61</v>
      </c>
    </row>
    <row r="23" spans="2:2" x14ac:dyDescent="0.25">
      <c r="B23" t="s">
        <v>60</v>
      </c>
    </row>
    <row r="24" spans="2:2" x14ac:dyDescent="0.25">
      <c r="B24" t="s">
        <v>1</v>
      </c>
    </row>
    <row r="25" spans="2:2" x14ac:dyDescent="0.25">
      <c r="B25" t="s">
        <v>1</v>
      </c>
    </row>
    <row r="26" spans="2:2" x14ac:dyDescent="0.25">
      <c r="B26" t="s">
        <v>1</v>
      </c>
    </row>
    <row r="27" spans="2:2" x14ac:dyDescent="0.25">
      <c r="B27" t="s">
        <v>59</v>
      </c>
    </row>
    <row r="28" spans="2:2" x14ac:dyDescent="0.25">
      <c r="B28" t="s">
        <v>2</v>
      </c>
    </row>
    <row r="29" spans="2:2" x14ac:dyDescent="0.25">
      <c r="B29" t="s">
        <v>2</v>
      </c>
    </row>
    <row r="30" spans="2:2" x14ac:dyDescent="0.25">
      <c r="B30" t="s">
        <v>2</v>
      </c>
    </row>
    <row r="31" spans="2:2" x14ac:dyDescent="0.25">
      <c r="B31" t="s">
        <v>2</v>
      </c>
    </row>
    <row r="32" spans="2:2" x14ac:dyDescent="0.25">
      <c r="B32" t="s">
        <v>2</v>
      </c>
    </row>
    <row r="33" spans="2:2" x14ac:dyDescent="0.25">
      <c r="B33" t="s">
        <v>2</v>
      </c>
    </row>
    <row r="34" spans="2:2" x14ac:dyDescent="0.25">
      <c r="B34" t="s">
        <v>2</v>
      </c>
    </row>
    <row r="35" spans="2:2" x14ac:dyDescent="0.25">
      <c r="B35" t="s">
        <v>2</v>
      </c>
    </row>
    <row r="36" spans="2:2" x14ac:dyDescent="0.25">
      <c r="B36" t="s">
        <v>2</v>
      </c>
    </row>
    <row r="37" spans="2:2" x14ac:dyDescent="0.25">
      <c r="B37" t="s">
        <v>2</v>
      </c>
    </row>
    <row r="38" spans="2:2" x14ac:dyDescent="0.25">
      <c r="B38" t="s">
        <v>2</v>
      </c>
    </row>
    <row r="39" spans="2:2" x14ac:dyDescent="0.25">
      <c r="B39" t="s">
        <v>58</v>
      </c>
    </row>
    <row r="40" spans="2:2" x14ac:dyDescent="0.25">
      <c r="B40" t="s">
        <v>57</v>
      </c>
    </row>
    <row r="41" spans="2:2" x14ac:dyDescent="0.25">
      <c r="B41" t="s">
        <v>56</v>
      </c>
    </row>
    <row r="42" spans="2:2" x14ac:dyDescent="0.25">
      <c r="B42" t="s">
        <v>55</v>
      </c>
    </row>
    <row r="43" spans="2:2" x14ac:dyDescent="0.25">
      <c r="B43" t="s">
        <v>3</v>
      </c>
    </row>
    <row r="44" spans="2:2" x14ac:dyDescent="0.25">
      <c r="B44" t="s">
        <v>54</v>
      </c>
    </row>
    <row r="45" spans="2:2" x14ac:dyDescent="0.25">
      <c r="B45" t="s">
        <v>54</v>
      </c>
    </row>
    <row r="46" spans="2:2" x14ac:dyDescent="0.25">
      <c r="B46" t="s">
        <v>53</v>
      </c>
    </row>
    <row r="47" spans="2:2" x14ac:dyDescent="0.25">
      <c r="B47" t="s">
        <v>0</v>
      </c>
    </row>
    <row r="48" spans="2:2" x14ac:dyDescent="0.25">
      <c r="B48" t="s">
        <v>52</v>
      </c>
    </row>
    <row r="49" spans="2:2" x14ac:dyDescent="0.25">
      <c r="B49" t="s">
        <v>51</v>
      </c>
    </row>
    <row r="50" spans="2:2" x14ac:dyDescent="0.25">
      <c r="B50" t="s">
        <v>50</v>
      </c>
    </row>
    <row r="51" spans="2:2" x14ac:dyDescent="0.25">
      <c r="B51" t="s">
        <v>49</v>
      </c>
    </row>
    <row r="52" spans="2:2" x14ac:dyDescent="0.25">
      <c r="B52" t="s">
        <v>48</v>
      </c>
    </row>
    <row r="53" spans="2:2" x14ac:dyDescent="0.25">
      <c r="B53" t="s">
        <v>47</v>
      </c>
    </row>
    <row r="54" spans="2:2" x14ac:dyDescent="0.25">
      <c r="B54" t="s">
        <v>46</v>
      </c>
    </row>
    <row r="55" spans="2:2" x14ac:dyDescent="0.25">
      <c r="B55" t="s">
        <v>46</v>
      </c>
    </row>
    <row r="56" spans="2:2" x14ac:dyDescent="0.25">
      <c r="B56" t="s">
        <v>45</v>
      </c>
    </row>
    <row r="57" spans="2:2" x14ac:dyDescent="0.25">
      <c r="B57" t="s">
        <v>44</v>
      </c>
    </row>
    <row r="58" spans="2:2" x14ac:dyDescent="0.25">
      <c r="B58" t="s">
        <v>43</v>
      </c>
    </row>
    <row r="59" spans="2:2" x14ac:dyDescent="0.25">
      <c r="B59" t="s">
        <v>43</v>
      </c>
    </row>
    <row r="60" spans="2:2" x14ac:dyDescent="0.25">
      <c r="B60" t="s">
        <v>43</v>
      </c>
    </row>
    <row r="61" spans="2:2" x14ac:dyDescent="0.25"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DataLookUp2</vt:lpstr>
      <vt:lpstr>DataLookUp</vt:lpstr>
      <vt:lpstr>Sheet2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2026-04-29T09:51:35Z</dcterms:modified>
</cp:coreProperties>
</file>