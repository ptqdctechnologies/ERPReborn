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ain" sheetId="1" state="visible" r:id="rId3"/>
    <sheet name="Sheet2" sheetId="2" state="visible" r:id="rId4"/>
  </sheets>
  <externalReferences>
    <externalReference r:id="rId5"/>
    <externalReference r:id="rId6"/>
  </externalReferenc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<sst xmlns="http://schemas.openxmlformats.org/spreadsheetml/2006/main" count="230" uniqueCount="29">
  <si>
    <t xml:space="preserve">Menu Ref ID</t>
  </si>
  <si>
    <t xml:space="preserve">SHOW SIGN</t>
  </si>
  <si>
    <t xml:space="preserve">Home</t>
  </si>
  <si>
    <t xml:space="preserve">√</t>
  </si>
  <si>
    <t xml:space="preserve">Admin</t>
  </si>
  <si>
    <t xml:space="preserve">Budget</t>
  </si>
  <si>
    <t xml:space="preserve">Human Resource</t>
  </si>
  <si>
    <t xml:space="preserve">Inventory</t>
  </si>
  <si>
    <t xml:space="preserve">Advance &amp; Trip</t>
  </si>
  <si>
    <t xml:space="preserve">Purchase</t>
  </si>
  <si>
    <t xml:space="preserve">Finance</t>
  </si>
  <si>
    <t xml:space="preserve">Sales</t>
  </si>
  <si>
    <t xml:space="preserve">Module.Budgeting.Data.Scurve.Report.Resume</t>
  </si>
  <si>
    <t xml:space="preserve">S-Curve Summary</t>
  </si>
  <si>
    <t xml:space="preserve">S-Curve</t>
  </si>
  <si>
    <t xml:space="preserve">Module.Accounting.Data.ProfitLoss.Report.DataList</t>
  </si>
  <si>
    <t xml:space="preserve">Profit Loss Summary</t>
  </si>
  <si>
    <t xml:space="preserve">Profit &amp; Loss</t>
  </si>
  <si>
    <t xml:space="preserve">Module.HumanResource.Data.PersonWorkTimeSheet.Transaction</t>
  </si>
  <si>
    <t xml:space="preserve">Person Work Time Sheet</t>
  </si>
  <si>
    <t xml:space="preserve">Time Sheet</t>
  </si>
  <si>
    <t xml:space="preserve">Module.HumanResource.Data.PersonWorkTimeSheet.Report.DataList</t>
  </si>
  <si>
    <t xml:space="preserve">Person Work Time Sheet Summary</t>
  </si>
  <si>
    <t xml:space="preserve">Time Sheet Summary</t>
  </si>
  <si>
    <t xml:space="preserve">Module.CustomerRelation.MasterData.CustomerOrder.Transaction</t>
  </si>
  <si>
    <t xml:space="preserve">Customer Order</t>
  </si>
  <si>
    <t xml:space="preserve">Module.CustomerRelation.Data.CustomerOrder.Transaction</t>
  </si>
  <si>
    <t xml:space="preserve">Record saat ini</t>
  </si>
  <si>
    <t xml:space="preserve">Record yg diharapkan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</si>
</sst>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 Narrow"/>
      <family val="2"/>
      <charset val="1"/>
    </font>
    <font>
      <b val="true"/>
      <sz val="10"/>
      <color theme="0"/>
      <name val="Arial Narrow"/>
      <family val="2"/>
      <charset val="1"/>
    </font>
    <font>
      <i val="true"/>
      <sz val="10"/>
      <color theme="9" tint="-0.5"/>
      <name val="Arial Narrow"/>
      <family val="2"/>
      <charset val="1"/>
    </font>
    <font>
      <sz val="10"/>
      <color theme="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6" tint="-0.5"/>
        <bgColor rgb="FF333333"/>
      </patternFill>
    </fill>
    <fill>
      <patternFill patternType="solid">
        <fgColor theme="9" tint="0.7999"/>
        <bgColor rgb="FFFFFFFF"/>
      </patternFill>
    </fill>
    <fill>
      <patternFill patternType="solid">
        <fgColor rgb="FF92D050"/>
        <bgColor rgb="FFAFD095"/>
      </patternFill>
    </fill>
    <fill>
      <patternFill patternType="solid">
        <fgColor rgb="FFFFA6A6"/>
        <bgColor rgb="FFFFCC99"/>
      </patternFill>
    </fill>
    <fill>
      <patternFill patternType="solid">
        <fgColor rgb="FFAFD095"/>
        <bgColor rgb="FF92D05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4F6228"/>
      <rgbColor rgb="FF800080"/>
      <rgbColor rgb="FF008080"/>
      <rgbColor rgb="FFAFD095"/>
      <rgbColor rgb="FF808080"/>
      <rgbColor rgb="FF9999FF"/>
      <rgbColor rgb="FF993366"/>
      <rgbColor rgb="FFFDEAD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6A6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84807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externalLink" Target="externalLinks/externalLink1.xml"/><Relationship Id="rId6" Type="http://schemas.openxmlformats.org/officeDocument/2006/relationships/externalLink" Target="externalLinks/externalLink2.xml"/><Relationship Id="rId7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SysConfig.TblAppObject_Menu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SysConfig.TblAppObject_MenuGroup.xlsx" TargetMode="External"/>
</Relationships>
</file>

<file path=xl/externalLinks/externalLink1.xml><?xml version="1.0" encoding="UTF-8" standalone="yes"?>
<externalLink xmlns="http://schemas.openxmlformats.org/spreadsheetml/2006/main"><externalBook xmlns:r="http://schemas.openxmlformats.org/officeDocument/2006/relationships" r:id="rId1"><sheetNames><sheetName val="MainOLD"/><sheetName val="Main"/><sheetName val="Sheet1"/></sheetNames><sheetDataSet><sheetData sheetId="0"></sheetData><sheetData sheetId="1"><row r="2"><cell r="E2"><v>97000000000001</v></cell><cell r="F2" t="str"><v>System.Login</v></cell><cell r="G2" t="str"><v>Login</v></cell></row><row r="3"><cell r="E3"><v>97000000000002</v></cell><cell r="F3" t="str"><v>System.Logout</v></cell><cell r="G3" t="str"><v>Logout</v></cell></row><row r="4"><cell r="E4"><v>97000000000003</v></cell><cell r="F4" t="str"><v>System.Lock</v></cell><cell r="G4" t="str"><v>Lock</v></cell></row><row r="5"><cell r="E5"><v>97000000000004</v></cell><cell r="F5" t="str"><v>Dashboard.Home</v></cell><cell r="G5" t="str"><v>Dashboard</v></cell></row><row r="6"><cell r="E6"><v>97000000000005</v></cell><cell r="F6" t="str"><v>Dashboard.DocumentTracking</v></cell><cell r="G6" t="str"><v>Document Tracking</v></cell></row><row r="7"><cell r="E7"><v>97000000000006</v></cell><cell r="F7" t="str"><v>Dashboard.MyDocumentTracking</v></cell><cell r="G7" t="str"><v>My Document Tracking</v></cell></row><row r="8"><cell r="E8"><v>97000000000007</v></cell><cell r="F8" t="str"><v>Dashboard.MyDocumentDisposition</v></cell><cell r="G8" t="str"><v>My Document Disposition</v></cell></row><row r="9"><cell r="E9"><v>97000000000008</v></cell><cell r="F9" t="str"><v>Module.General.MasterData.Country.Transaction</v></cell><cell r="G9" t="str"><v>Country</v></cell></row><row r="10"><cell r="E10"><v>97000000000009</v></cell><cell r="F10" t="str"><v>Module.General.MasterData.CountryAdministrativeAreaLevel1.Transaction</v></cell><cell r="G10" t="str"><v>Province / State</v></cell></row><row r="11"><cell r="E11"><v>97000000000010</v></cell><cell r="F11" t="str"><v>Module.General.MasterData.CountryAdministrativeAreaLevel2.Transaction</v></cell><cell r="G11" t="str"><v>Municipality / Regency</v></cell></row><row r="12"><cell r="E12"><v>97000000000011</v></cell><cell r="F12" t="str"><v>Module.General.MasterData.CountryAdministrativeAreaLevel3.Transaction</v></cell><cell r="G12" t="str"><v>District</v></cell></row><row r="13"><cell r="E13"><v>97000000000012</v></cell><cell r="F13" t="str"><v>Module.General.MasterData.CountryAdministrativeAreaLevel4.Transaction</v></cell><cell r="G13" t="str"><v>Urban Village / Village</v></cell></row><row r="14"><cell r="E14"><v>97000000000013</v></cell><cell r="F14" t="str"><v>Module.General.MasterData.BusinessDocumentType.Transaction</v></cell><cell r="G14" t="str"><v>Business Document Type</v></cell></row><row r="15"><cell r="E15"><v>97000000000014</v></cell><cell r="F15" t="str"><v>Module.General.MasterData.BusinessDocument.Transaction</v></cell><cell r="G15" t="str"><v>Business Document</v></cell></row><row r="16"><cell r="E16"><v>97000000000015</v></cell><cell r="F16" t="str"><v>Module.General.MasterData.BusinessDocumentVersion.Transaction</v></cell><cell r="G16" t="str"><v>Business Document Version</v></cell></row><row r="17"><cell r="E17"><v>97000000000016</v></cell><cell r="F17" t="str"><v>Module.General.MasterData.MenuManagement.Transaction</v></cell><cell r="G17" t="str"><v>Menu Management</v></cell></row><row r="18"><cell r="E18"><v>97000000000017</v></cell><cell r="F18" t="str"><v>Module.Budgeting.MasterData.Budget.Transaction</v></cell><cell r="G18" t="str"><v>Budget</v></cell></row><row r="19"><cell r="E19"><v>97000000000018</v></cell><cell r="F19" t="str"><v>Module.Budgeting.MasterData.BudgetSection.Transaction</v></cell><cell r="G19" t="str"><v>Sub Budget</v></cell></row><row r="20"><cell r="E20"><v>97000000000019</v></cell><cell r="F20" t="str"><v>Module.Budgeting.Data.Budget.Report.Transaction</v></cell><cell r="G20" t="str"><v>Budget</v></cell></row><row r="21"><cell r="E21"><v>97000000000020</v></cell><cell r="F21" t="str"><v>Module.Budgeting.Data.Budget.Report.Resume</v></cell><cell r="G21" t="str"><v>Report Budget Summary</v></cell></row><row r="22"><cell r="E22"><v>97000000000021</v></cell><cell r="F22" t="str"><v>Module.Budgeting.Data.ModifyBudget.Transaction</v></cell><cell r="G22" t="str"><v>Modify Budget</v></cell></row><row r="23"><cell r="E23"><v>97000000000022</v></cell><cell r="F23" t="str"><v>Module.Budgeting.Data.ModifyBudget.Report.Resume</v></cell><cell r="G23" t="str"><v>Report Modify Budget Summary</v></cell></row><row r="24"><cell r="E24"><v>97000000000023</v></cell><cell r="F24" t="str"><v>Module.Budgeting.Data.ProgressBudget.Transaction</v></cell><cell r="G24" t="str"><v>Progress Budget</v></cell></row><row r="25"><cell r="E25"><v>97000000000024</v></cell><cell r="F25" t="str"><v>Module.Budgeting.Data.ProgressBudget.Report.Resume</v></cell><cell r="G25" t="str"><v>Report Progress Budget Summary</v></cell></row><row r="26"><cell r="E26"><v>97000000000025</v></cell><cell r="F26" t="str"><v>Module.Budgeting.Data.SCurve.Report.Resume</v></cell><cell r="G26" t="str"><v>S-Curve Summary</v></cell></row><row r="27"><cell r="E27"><v>97000000000026</v></cell><cell r="F27" t="str"><v>Module.Budgeting.Data.Work.Transaction</v></cell><cell r="G27" t="str"><v>Work</v></cell></row><row r="28"><cell r="E28"><v>97000000000027</v></cell><cell r="F28" t="str"><v>Module.Budgeting.Data.CFS.Report.Resume</v></cell><cell r="G28" t="str"><v>Report Cost Financial Structure</v></cell></row><row r="29"><cell r="E29"><v>97000000000028</v></cell><cell r="F29" t="str"><v>Module.General.MasterData.BloodAglutinogenType.Transaction</v></cell><cell r="G29" t="str"><v>Blood Aglutinogen Type</v></cell></row><row r="30"><cell r="E30"><v>97000000000029</v></cell><cell r="F30" t="str"><v>Module.General.MasterData.Person.Transaction</v></cell><cell r="G30" t="str"><v>Person</v></cell></row><row r="31"><cell r="E31"><v>97000000000030</v></cell><cell r="F31" t="str"><v>Module.General.MasterData.PrivilegeMenu.Transaction</v></cell><cell r="G31" t="str"><v>Privilege Menu</v></cell></row><row r="32"><cell r="E32"><v>97000000000031</v></cell><cell r="F32" t="str"><v>Module.General.MasterData.Religion.Transaction</v></cell><cell r="G32" t="str"><v>Religion</v></cell></row><row r="33"><cell r="E33"><v>97000000000032</v></cell><cell r="F33" t="str"><v>Module.General.MasterData.User.Transaction</v></cell><cell r="G33" t="str"><v>User</v></cell></row><row r="34"><cell r="E34"><v>97000000000033</v></cell><cell r="F34" t="str"><v>Module.General.MasterData.UserRole.Transaction</v></cell><cell r="G34" t="str"><v>Role</v></cell></row><row r="35"><cell r="E35"><v>97000000000034</v></cell><cell r="F35" t="str"><v>Module.General.MasterData.Workflow.Transaction</v></cell><cell r="G35" t="str"><v>Workflow</v></cell></row><row r="36"><cell r="E36"><v>97000000000035</v></cell><cell r="F36" t="str"><v>Module.HumanResource.MasterData.OrganizationalDepartment.Transaction</v></cell><cell r="G36" t="str"><v>Department</v></cell></row><row r="37"><cell r="E37"><v>97000000000036</v></cell><cell r="F37" t="str"><v>Module.HumanResource.Data.PersonWorkTimeSheet.Transaction</v></cell><cell r="G37" t="str"><v>Person Work Time Sheet</v></cell></row><row r="38"><cell r="E38"><v>97000000000037</v></cell><cell r="F38" t="str"><v>Module.HumanResource.Data.PersonWorkTimeSheet.Report.DataList</v></cell><cell r="G38" t="str"><v>Person Work Time Sheet Summary</v></cell></row><row r="39"><cell r="E39"><v>97000000000038</v></cell><cell r="F39" t="str"><v>Module.HumanResource.Data.SallaryAllocation.Transaction</v></cell><cell r="G39" t="str"><v>Sallary Allocation</v></cell></row><row r="40"><cell r="E40"><v>97000000000039</v></cell><cell r="F40" t="str"><v>Module.HumanResource.Data.SallaryAllocation.Report.DataList</v></cell><cell r="G40" t="str"><v>Sallary Allocation Summary</v></cell></row><row r="41"><cell r="E41"><v>97000000000040</v></cell><cell r="F41" t="str"><v>Module.General.MasterData.Product.Transaction</v></cell><cell r="G41" t="str"><v>Product</v></cell></row><row r="42"><cell r="E42"><v>97000000000041</v></cell><cell r="F42" t="str"><v>Module.General.MasterData.ProductType.Transaction</v></cell><cell r="G42" t="str"><v>Product Type</v></cell></row><row r="43"><cell r="E43"><v>97000000000042</v></cell><cell r="F43" t="str"><v>Module.General.MasterData.Warehouse.Transaction</v></cell><cell r="G43" t="str"><v>Warehouse</v></cell></row><row r="44"><cell r="E44"><v>97000000000043</v></cell><cell r="F44" t="str"><v>Module.General.MasterData.Work.Transaction</v></cell><cell r="G44" t="str"><v>Work</v></cell></row><row r="45"><cell r="E45"><v>97000000000044</v></cell><cell r="F45" t="str"><v>Module.SupplyChain.Data.DeliveryOrder.Transaction</v></cell><cell r="G45" t="str"><v>Delivery Order</v></cell></row><row r="46"><cell r="E46"><v>97000000000045</v></cell><cell r="F46" t="str"><v>Module.SupplyChain.Data.DeliveryOrder.Report.DataList</v></cell><cell r="G46" t="str"><v>Report DO Summary</v></cell></row><row r="47"><cell r="E47"><v>97000000000046</v></cell><cell r="F47" t="str"><v>Module.SupplyChain.Data.DeliveryOrderToMaterialReceive.Report.DataList</v></cell><cell r="G47" t="str"><v>Report DO to Material Receive</v></cell></row><row r="48"><cell r="E48"><v>97000000000047</v></cell><cell r="F48" t="str"><v>Module.SupplyChain.Data.MaterialReceive.Transaction</v></cell><cell r="G48" t="str"><v>Material Receive</v></cell></row><row r="49"><cell r="E49"><v>97000000000048</v></cell><cell r="F49" t="str"><v>Module.SupplyChain.Data.MaterialReceive.Report.DataList</v></cell><cell r="G49" t="str"><v>Report Material Receive Summary</v></cell></row><row r="50"><cell r="E50"><v>97000000000049</v></cell><cell r="F50" t="str"><v>Module.SupplyChain.Data.MaterialReceiveToMaterialReturn.Report.DataList</v></cell><cell r="G50" t="str"><v>Report Material Receive to Material Return</v></cell></row><row r="51"><cell r="E51"><v>97000000000050</v></cell><cell r="F51" t="str"><v>Module.SupplyChain.Data.MaterialReturn.Transaction</v></cell><cell r="G51" t="str"><v>Material Return</v></cell></row><row r="52"><cell r="E52"><v>97000000000051</v></cell><cell r="F52" t="str"><v>Module.SupplyChain.Data.MaterialReturn.Report.DataList</v></cell><cell r="G52" t="str"><v>Report Material Return Summary</v></cell></row><row r="53"><cell r="E53"><v>97000000000052</v></cell><cell r="F53" t="str"><v>Module.SupplyChain.Data.PhysicalInventoryCount.Transaction</v></cell><cell r="G53" t="str"><v>Stock Opname</v></cell></row><row r="54"><cell r="E54"><v>97000000000053</v></cell><cell r="F54" t="str"><v>Module.SupplyChain.Data.PhysicalInventoryCount.Report.DataList</v></cell><cell r="G54" t="str"><v>Report Stock Opname Summary</v></cell></row><row r="55"><cell r="E55"><v>97000000000054</v></cell><cell r="F55" t="str"><v>Module.Finance.Data.Advance.Transaction</v></cell><cell r="G55" t="str"><v>Advance Request</v></cell></row><row r="56"><cell r="E56"><v>97000000000055</v></cell><cell r="F56" t="str"><v>Module.Finance.Data.Advance.Report.DataList</v></cell><cell r="G56" t="str"><v>Report Advance Summary</v></cell></row><row r="57"><cell r="E57"><v>97000000000056</v></cell><cell r="F57" t="str"><v>Module.Finance.Data.AdvanceToAdvanceSettlement.Report.DataList</v></cell><cell r="G57" t="str"><v>Report Advance to Advance Settlement</v></cell></row><row r="58"><cell r="E58"><v>97000000000057</v></cell><cell r="F58" t="str"><v>Module.Finance.Data.AdvanceSettlement.Transaction</v></cell><cell r="G58" t="str"><v>AdvanceSettlement</v></cell></row><row r="59"><cell r="E59"><v>97000000000058</v></cell><cell r="F59" t="str"><v>Module.Finance.Data.AdvanceSettlement.Report.DataList</v></cell><cell r="G59" t="str"><v>Report Advance Settlement Summary</v></cell></row><row r="60"><cell r="E60"><v>97000000000059</v></cell><cell r="F60" t="str"><v>Module.Finance.Data.PersonBusinessTrip.Transaction</v></cell><cell r="G60" t="str"><v>BusinessTrip Request</v></cell></row><row r="61"><cell r="E61"><v>97000000000060</v></cell><cell r="F61" t="str"><v>Module.Finance.Data.PersonBusinessTrip.Report.DataList</v></cell><cell r="G61" t="str"><v>Report BusinessTrip Request Summary</v></cell></row><row r="62"><cell r="E62"><v>97000000000061</v></cell><cell r="F62" t="str"><v>Module.Finance.Data.PersonBusinessTripToPersonBusinessTripSettlement.Report.DataList</v></cell><cell r="G62" t="str"><v>Report BusinessTrip to BusinessTrip Settlement</v></cell></row><row r="63"><cell r="E63"><v>97000000000062</v></cell><cell r="F63" t="str"><v>Module.Finance.Data.PersonBusinessTripSettlement.Transaction</v></cell><cell r="G63" t="str"><v>BusinessTrip Settlement</v></cell></row><row r="64"><cell r="E64"><v>97000000000063</v></cell><cell r="F64" t="str"><v>Module.Finance.Data.PersonBusinessTripSettlement.Report.DataList</v></cell><cell r="G64" t="str"><v>Report BusinessTrip Settlement Summary</v></cell></row><row r="65"><cell r="E65"><v>97000000000064</v></cell><cell r="F65" t="str"><v>Module.SupplyChain.MasterData.Supplier.Transaction</v></cell><cell r="G65" t="str"><v>Supplier</v></cell></row><row r="66"><cell r="E66"><v>97000000000065</v></cell><cell r="F66" t="str"><v>Module.SupplyChain.MasterData.SupplierCategory.Transaction</v></cell><cell r="G66" t="str"><v>Supplier Category</v></cell></row><row r="67"><cell r="E67"><v>97000000000066</v></cell><cell r="F67" t="str"><v>Module.SupplyChain.MasterData.SupplierSubCategory.Transaction</v></cell><cell r="G67" t="str"><v>Supplier Sub Category</v></cell></row><row r="68"><cell r="E68"><v>97000000000067</v></cell><cell r="F68" t="str"><v>Module.SupplyChain.Data.PurchaseRequisition.Transaction</v></cell><cell r="G68" t="str"><v>Purchase Requisition</v></cell></row><row r="69"><cell r="E69"><v>97000000000068</v></cell><cell r="F69" t="str"><v>Module.SupplyChain.Data.PurchaseRequisition.Report.DataList</v></cell><cell r="G69" t="str"><v>Report Purchase Requisition Summary</v></cell></row><row r="70"><cell r="E70"><v>97000000000069</v></cell><cell r="F70" t="str"><v>Module.SupplyChain.Data.PurchaseRequisitionToPurchaseOrder.Report.DataList</v></cell><cell r="G70" t="str"><v>Report Purchase Requisition To Purchase Order</v></cell></row><row r="71"><cell r="E71"><v>97000000000070</v></cell><cell r="F71" t="str"><v>Module.SupplyChain.Data.PurchaseOrder.Transaction</v></cell><cell r="G71" t="str"><v>Purchase Order</v></cell></row><row r="72"><cell r="E72"><v>97000000000071</v></cell><cell r="F72" t="str"><v>Module.SupplyChain.Data.PurchaseOrder.Report.DataList</v></cell><cell r="G72" t="str"><v>Report Purchase Order Summary</v></cell></row><row r="73"><cell r="E73"><v>97000000000072</v></cell><cell r="F73" t="str"><v>Module.SupplyChain.Data.PurchaseOrderToPaymentInstruction.Report.DataList</v></cell><cell r="G73" t="str"><v>Report Purchase Order to Account Payable Summary</v></cell></row><row r="74"><cell r="E74"><v>97000000000073</v></cell><cell r="F74" t="str"><v>Module.General.MasterData.Bank.Transaction</v></cell><cell r="G74" t="str"><v>Bank</v></cell></row><row r="75"><cell r="E75"><v>97000000000074</v></cell><cell r="F75" t="str"><v>Module.General.MasterData.BankAccount.Transaction</v></cell><cell r="G75" t="str"><v>Bank Account</v></cell></row><row r="76"><cell r="E76"><v>97000000000075</v></cell><cell r="F76" t="str"><v>Module.General.MasterData.Currency.Transaction</v></cell><cell r="G76" t="str"><v>Currency</v></cell></row><row r="77"><cell r="E77"><v>97000000000076</v></cell><cell r="F77" t="str"><v>Module.General.MasterData.CurrencyExchangeRate.Transaction</v></cell><cell r="G77" t="str"><v>Exchange Rate</v></cell></row><row r="78"><cell r="E78"><v>97000000000077</v></cell><cell r="F78" t="str"><v>Module.General.MasterData.CurrencyExchangeRate.Report.DataList</v></cell><cell r="G78" t="str"><v>Exchange Rate Summary</v></cell></row><row r="79"><cell r="E79"><v>97000000000078</v></cell><cell r="F79" t="str"><v>Module.General.MasterData.PaymentTerm.Transaction</v></cell><cell r="G79" t="str"><v>Payment Term</v></cell></row><row r="80"><cell r="E80"><v>97000000000079</v></cell><cell r="F80" t="str"><v>Module.General.MasterData.Period.Transaction</v></cell><cell r="G80" t="str"><v>Period</v></cell></row><row r="81"><cell r="E81"><v>97000000000080</v></cell><cell r="F81" t="str"><v>Module.Accounting.MasterData.AssetCategory.Transaction</v></cell><cell r="G81" t="str"><v>Asset Category</v></cell></row><row r="82"><cell r="E82"><v>97000000000081</v></cell><cell r="F82" t="str"><v>Module.Accounting.MasterData.ChartOfAccount.Transaction</v></cell><cell r="G82" t="str"><v>Chart of Account</v></cell></row><row r="83"><cell r="E83"><v>97000000000082</v></cell><cell r="F83" t="str"><v>Module.Accounting.MasterData.DepreciationMethod.Transaction</v></cell><cell r="G83" t="str"><v>Depreciation Method</v></cell></row><row r="84"><cell r="E84"><v>97000000000083</v></cell><cell r="F84" t="str"><v>Module.Accounting.MasterData.DepreciationRateYears.Transaction</v></cell><cell r="G84" t="str"><v>Depreciation Rate Years</v></cell></row><row r="85"><cell r="E85"><v>97000000000084</v></cell><cell r="F85" t="str"><v>Module.Taxation.MasterData.ValueAddedTax.Transaction</v></cell><cell r="G85" t="str"><v>Value Added Tax</v></cell></row><row r="86"><cell r="E86"><v>97000000000085</v></cell><cell r="F86" t="str"><v>Module.Accounting.Data.BalanceSheet.Report.DataList</v></cell><cell r="G86" t="str"><v>Balance Sheet</v></cell></row><row r="87"><cell r="E87"><v>97000000000086</v></cell><cell r="F87" t="str"><v>Module.Accounting.Data.GeneralJournal.Transaction</v></cell><cell r="G87" t="str"><v>General Journal</v></cell></row><row r="88"><cell r="E88"><v>97000000000087</v></cell><cell r="F88" t="str"><v>Module.Accounting.Data.GeneralJournal.Report.DataList</v></cell><cell r="G88" t="str"><v>General Journal Summary</v></cell></row><row r="89"><cell r="E89"><v>97000000000088</v></cell><cell r="F89" t="str"><v>Module.Accounting.Data.GeneralLedger.Report.DataList</v></cell><cell r="G89" t="str"><v>General Ledger Summary</v></cell></row><row r="90"><cell r="E90"><v>97000000000089</v></cell><cell r="F90" t="str"><v>Module.Accounting.Data.ProfitLoss.Report.DataList</v></cell><cell r="G90" t="str"><v>Profit Loss Summary</v></cell></row><row r="91"><cell r="E91"><v>97000000000090</v></cell><cell r="F91" t="str"><v>Module.Finance.Data.CashBank.Transaction</v></cell><cell r="G91" t="str"><v>Cash & Bank</v></cell></row><row r="92"><cell r="E92"><v>97000000000091</v></cell><cell r="F92" t="str"><v>Module.Finance.Data.CashBank.Report.DataList</v></cell><cell r="G92" t="str"><v>Cash & Bank Summary</v></cell></row><row r="93"><cell r="E93"><v>97000000000092</v></cell><cell r="F93" t="str"><v>Module.Finance.Data.CreditNote.Transaction</v></cell><cell r="G93" t="str"><v>Credit Note</v></cell></row><row r="94"><cell r="E94"><v>97000000000093</v></cell><cell r="F94" t="str"><v>Module.Finance.Data.CreditNote.Report.DataList</v></cell><cell r="G94" t="str"><v>Credit Note Summary</v></cell></row><row r="95"><cell r="E95"><v>97000000000094</v></cell><cell r="F95" t="str"><v>Module.Finance.Data.DebitNote.Transaction</v></cell><cell r="G95" t="str"><v>Debit Note</v></cell></row><row r="96"><cell r="E96"><v>97000000000095</v></cell><cell r="F96" t="str"><v>Module.Finance.Data.DebitNote.Report.DataList</v></cell><cell r="G96" t="str"><v>Debit Note Summary</v></cell></row><row r="97"><cell r="E97"><v>97000000000096</v></cell><cell r="F97" t="str"><v>Module.FixedAsset.Data.GoodsIdentity.Transaction</v></cell><cell r="G97" t="str"><v>Fixed Asset</v></cell></row><row r="98"><cell r="E98"><v>97000000000097</v></cell><cell r="F98" t="str"><v>Module.FixedAsset.Data.GoodsIdentity.Report.DataList</v></cell><cell r="G98" t="str"><v>Fixed Asset Summary</v></cell></row><row r="99"><cell r="E99"><v>97000000000098</v></cell><cell r="F99" t="str"><v>Module.Finance.Data.Loan.Transaction</v></cell><cell r="G99" t="str"><v>Loan</v></cell></row><row r="100"><cell r="E100"><v>97000000000099</v></cell><cell r="F100" t="str"><v>Module.Finance.Data.Loan.Report.DataList</v></cell><cell r="G100" t="str"><v>Loan Summary</v></cell></row><row r="101"><cell r="E101"><v>97000000000100</v></cell><cell r="F101" t="str"><v>Module.Finance.Data.LoanToLoanSettlement.Report.DataList</v></cell><cell r="G101" t="str"><v>Loan to Loan Settlement Summary</v></cell></row><row r="102"><cell r="E102"><v>97000000000101</v></cell><cell r="F102" t="str"><v>Module.Finance.Data.LoanSettlement.Transaction</v></cell><cell r="G102" t="str"><v>Loan Settlement</v></cell></row><row r="103"><cell r="E103"><v>97000000000102</v></cell><cell r="F103" t="str"><v>Module.Finance.Data.LoanSettlement.Report.DataList</v></cell><cell r="G103" t="str"><v>Loan Settlement Summary</v></cell></row><row r="104"><cell r="E104"><v>97000000000103</v></cell><cell r="F104" t="str"><v>Module.Finance.Data.PaymentInstruction.Transaction</v></cell><cell r="G104" t="str"><v>Account Payable</v></cell></row><row r="105"><cell r="E105"><v>97000000000104</v></cell><cell r="F105" t="str"><v>Module.Finance.Data.PaymentInstruction.Report.DataList</v></cell><cell r="G105" t="str"><v>Account Payable Summary</v></cell></row><row r="106"><cell r="E106"><v>97000000000105</v></cell><cell r="F106" t="str"><v>Module.Finance.Data.Reimbursement.Transaction</v></cell><cell r="G106" t="str"><v>Reimbursement</v></cell></row><row r="107"><cell r="E107"><v>97000000000106</v></cell><cell r="F107" t="str"><v>Module.Finance.Data.Reimbursement.Report.DataList</v></cell><cell r="G107" t="str"><v>Reimbursement Summary</v></cell></row><row r="108"><cell r="E108"><v>97000000000107</v></cell><cell r="F108" t="str"><v>Module.Finance.Data.ReimbursementToDebitNote.Report.DataList</v></cell><cell r="G108" t="str"><v>Reimbursement to Debit Note Summary</v></cell></row><row r="109"><cell r="E109"><v>97000000000108</v></cell><cell r="F109" t="str"><v>Module.Finance.Data.SalesInvoice.Transaction</v></cell><cell r="G109" t="str"><v>Sales Invoice</v></cell></row><row r="110"><cell r="E110"><v>97000000000109</v></cell><cell r="F110" t="str"><v>Module.Finance.Data.SalesInvoice.Report.DataList</v></cell><cell r="G110" t="str"><v>Sales Invoice Summary</v></cell></row><row r="111"><cell r="E111"><v>97000000000110</v></cell><cell r="F111" t="str"><v>Module.Finance.Data.SalesInvoiceToCreditNote.Report.DataList</v></cell><cell r="G111" t="str"><v>Sales Invoice to Credit Note</v></cell></row><row r="112"><cell r="E112"><v>97000000000111</v></cell><cell r="F112" t="str"><v>Module.Finance.Data.TaxReconciliation.Transaction</v></cell><cell r="G112" t="str"><v>Tax Reconciliation</v></cell></row><row r="113"><cell r="E113"><v>97000000000112</v></cell><cell r="F113" t="str"><v>Module.Finance.Data.TaxReconciliation.Report.DataList</v></cell><cell r="G113" t="str"><v>Tax Reconciliation Summary</v></cell></row><row r="114"><cell r="E114"><v>97000000000113</v></cell><cell r="F114" t="str"><v>Module.CustomerRelation.MasterData.Customer.Transaction</v></cell><cell r="G114" t="str"><v>Customer</v></cell></row><row r="115"><cell r="E115"><v>97000000000114</v></cell><cell r="F115" t="str"><v>Module.CustomerRelation.MasterData.CustomerOrder.Transaction</v></cell><cell r="G115" t="str"><v>Customer Order</v></cell></row><row r="116"><cell r="E116"><v>97000000000115</v></cell><cell r="F116" t="str"><v>Module.CustomerRelation.MasterData.CustomerOrder.Report.DataList</v></cell><cell r="G116" t="str"><v>Customer Order Summary</v></cell></row></sheetData><sheetData sheetId="2"></sheetData></sheetDataSet></externalBook></externalLink>
</file>

<file path=xl/externalLinks/externalLink2.xml><?xml version="1.0" encoding="UTF-8" standalone="yes"?>
<externalLink xmlns="http://schemas.openxmlformats.org/spreadsheetml/2006/main"><externalBook xmlns:r="http://schemas.openxmlformats.org/officeDocument/2006/relationships" r:id="rId1"><sheetNames><sheetName val="Main"/></sheetNames><sheetDataSet><sheetData sheetId="0"><row r="2"><cell r="B2" t="str"><v>Home</v></cell><cell r="C2" t="str"><v>fas fa-home</v></cell></row><row r="2"><cell r="E2"><v>254000000000001</v></cell></row><row r="3"><cell r="B3" t="str"><v>Admin</v></cell><cell r="C3" t="str"><v>fas fa-user</v></cell></row><row r="3"><cell r="E3"><v>254000000000002</v></cell></row><row r="4"><cell r="B4" t="str"><v>Register</v></cell><cell r="C4" t="str"><v>fas fa-registered</v></cell></row><row r="4"><cell r="E4"><v>254000000000003</v></cell></row><row r="5"><cell r="B5" t="str"><v>Budget</v></cell><cell r="C5" t="str"><v>fas fa-shopping-basket</v></cell></row><row r="5"><cell r="E5"><v>254000000000004</v></cell></row><row r="6"><cell r="B6" t="str"><v>Sales</v></cell><cell r="C6" t="str"><v>fas fa-chart-line</v></cell></row><row r="6"><cell r="E6"><v>254000000000005</v></cell></row><row r="7"><cell r="B7" t="str"><v>Finance</v></cell><cell r="C7" t="str"><v>fas fa-credit-card</v></cell></row><row r="7"><cell r="E7"><v>254000000000006</v></cell></row><row r="8"><cell r="B8" t="str"><v>Human Resource</v></cell><cell r="C8" t="str"><v>fas fa-users</v></cell></row><row r="8"><cell r="E8"><v>254000000000007</v></cell></row><row r="9"><cell r="B9" t="str"><v>Advance & Trip</v></cell><cell r="C9" t="str"><v>fas fa-hourglass-start</v></cell></row><row r="9"><cell r="E9"><v>254000000000008</v></cell></row><row r="10"><cell r="B10" t="str"><v>Inventory</v></cell><cell r="C10" t="str"><v>fas fa-warehouse</v></cell></row><row r="10"><cell r="E10"><v>254000000000009</v></cell></row><row r="11"><cell r="B11" t="str"><v>Purchase</v></cell><cell r="C11" t="str"><v>fas fa-cart-arrow-down</v></cell></row><row r="11"><cell r="E11"><v>254000000000010</v></cell></row></sheetData></sheetDataSet></externalBook>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116"/>
  <sheetViews>
    <sheetView showFormulas="false" showGridLines="true" showRowColHeaders="true" showZeros="true" rightToLeft="false" tabSelected="false" showOutlineSymbols="true" defaultGridColor="true" view="normal" topLeftCell="A35" colorId="64" zoomScale="112" zoomScaleNormal="112" zoomScalePageLayoutView="100" workbookViewId="0">
      <selection pane="topLeft" activeCell="D26" activeCellId="0" sqref="D26"/>
    </sheetView>
  </sheetViews>
  <sheetFormatPr defaultColWidth="10.71484375" defaultRowHeight="12.75" zeroHeight="false" outlineLevelRow="0" outlineLevelCol="0"/>
  <cols>
    <col collapsed="false" customWidth="true" hidden="false" outlineLevel="0" max="1" min="1" style="1" width="1.57"/>
    <col collapsed="false" customWidth="true" hidden="false" outlineLevel="0" max="2" min="2" style="1" width="13.15"/>
    <col collapsed="false" customWidth="true" hidden="false" outlineLevel="0" max="3" min="3" style="1" width="39.29"/>
    <col collapsed="false" customWidth="true" hidden="false" outlineLevel="0" max="4" min="4" style="1" width="33.29"/>
    <col collapsed="false" customWidth="true" hidden="false" outlineLevel="0" max="5" min="5" style="1" width="2.15"/>
    <col collapsed="false" customWidth="true" hidden="false" outlineLevel="0" max="6" min="6" style="1" width="12.86"/>
    <col collapsed="false" customWidth="true" hidden="true" outlineLevel="0" max="7" min="7" style="1" width="19.42"/>
    <col collapsed="false" customWidth="true" hidden="true" outlineLevel="0" max="8" min="8" style="1" width="10.85"/>
    <col collapsed="false" customWidth="false" hidden="true" outlineLevel="0" max="10" min="9" style="1" width="10.71"/>
    <col collapsed="false" customWidth="false" hidden="false" outlineLevel="0" max="11" min="11" style="2" width="10.71"/>
    <col collapsed="false" customWidth="false" hidden="false" outlineLevel="0" max="16384" min="12" style="1" width="10.71"/>
  </cols>
  <sheetData>
    <row r="1" customFormat="false" ht="12.75" hidden="false" customHeight="false" outlineLevel="0" collapsed="false">
      <c r="B1" s="3" t="s">
        <v>0</v>
      </c>
      <c r="G1" s="3"/>
      <c r="K1" s="2" t="s">
        <v>1</v>
      </c>
    </row>
    <row r="2" customFormat="false" ht="12.75" hidden="false" customHeight="false" outlineLevel="0" collapsed="false">
      <c r="B2" s="4" t="n">
        <f aca="false">[1]Main!$E2</f>
        <v>97000000000001</v>
      </c>
      <c r="C2" s="5" t="str">
        <f aca="false">VLOOKUP($B2, [1]Main!$E$2:$G$374, 2, FALSE())</f>
        <v>System.Login</v>
      </c>
      <c r="D2" s="6" t="str">
        <f aca="false">VLOOKUP($B2, [1]Main!$E$2:$G$374, 3, FALSE())</f>
        <v>Login</v>
      </c>
      <c r="F2" s="7" t="s">
        <v>2</v>
      </c>
      <c r="G2" s="4" t="n">
        <f aca="false">IF(EXACT($F2, ""), "", VLOOKUP($F2, [2]Main!$B$2:$E$30, 4, FALSE()))</f>
        <v>254000000000001</v>
      </c>
      <c r="H2" s="1" t="n">
        <v>1</v>
      </c>
      <c r="I2" s="8" t="str">
        <f aca="false">IF(EXACT(G2, ""), "", CONCATENATE("PERFORM ""SchSysConfig"".""Func_TblAppObject_MenuGroupMember_SET""(varSystemLoginSession, null, null, null, varInstitutionBranchID, varBaseCurrencyID, ", G2, "::bigint, ", B2, "::bigint);"))</f>
        <v>PERFORM "SchSysConfig"."Func_TblAppObject_MenuGroupMember_SET"(varSystemLoginSession, null, null, null, varInstitutionBranchID, varBaseCurrencyID, 254000000000001::bigint, 97000000000001::bigint);</v>
      </c>
      <c r="K2" s="9" t="s">
        <v>3</v>
      </c>
      <c r="L2" s="1" t="str">
        <f aca="false">IF(EXACT(K2,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IF(EXACT($G2, ""), "null", CONCATENATE("'", SUBSTITUTE($G2, "'", "\'"), "'")), "::bigint,",
"'menu_RefID', ", IF(EXACT($B2, ""), "null", CONCATENATE("'", SUBSTITUTE($B2,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'254000000000001'::bigint,'menu_RefID', '97000000000001'::bigint)))::varchar;</v>
      </c>
    </row>
    <row r="3" customFormat="false" ht="12.75" hidden="false" customHeight="false" outlineLevel="0" collapsed="false">
      <c r="B3" s="4" t="n">
        <f aca="false">[1]Main!$E3</f>
        <v>97000000000002</v>
      </c>
      <c r="C3" s="5" t="str">
        <f aca="false">VLOOKUP($B3, [1]Main!$E$2:$G$374, 2, FALSE())</f>
        <v>System.Logout</v>
      </c>
      <c r="D3" s="6" t="str">
        <f aca="false">VLOOKUP($B3, [1]Main!$E$2:$G$374, 3, FALSE())</f>
        <v>Logout</v>
      </c>
      <c r="F3" s="7" t="s">
        <v>2</v>
      </c>
      <c r="G3" s="4" t="n">
        <f aca="false">IF(EXACT($F3, ""), "", VLOOKUP($F3, [2]Main!$B$2:$E$30, 4, FALSE()))</f>
        <v>254000000000001</v>
      </c>
      <c r="H3" s="1" t="n">
        <v>2</v>
      </c>
      <c r="I3" s="8" t="str">
        <f aca="false">IF(EXACT(G3, ""), "", CONCATENATE("PERFORM ""SchSysConfig"".""Func_TblAppObject_MenuGroupMember_SET""(varSystemLoginSession, null, null, null, varInstitutionBranchID, varBaseCurrencyID, ", G3, "::bigint, ", B3, "::bigint);"))</f>
        <v>PERFORM "SchSysConfig"."Func_TblAppObject_MenuGroupMember_SET"(varSystemLoginSession, null, null, null, varInstitutionBranchID, varBaseCurrencyID, 254000000000001::bigint, 97000000000002::bigint);</v>
      </c>
      <c r="K3" s="9" t="s">
        <v>3</v>
      </c>
      <c r="L3" s="1" t="str">
        <f aca="false">IF(EXACT(K3,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IF(EXACT($G3, ""), "null", CONCATENATE("'", SUBSTITUTE($G3, "'", "\'"), "'")), "::bigint,",
"'menu_RefID', ", IF(EXACT($B3, ""), "null", CONCATENATE("'", SUBSTITUTE($B3,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'254000000000001'::bigint,'menu_RefID', '97000000000002'::bigint)))::varchar;</v>
      </c>
    </row>
    <row r="4" customFormat="false" ht="12.75" hidden="false" customHeight="false" outlineLevel="0" collapsed="false">
      <c r="B4" s="4" t="n">
        <f aca="false">[1]Main!$E4</f>
        <v>97000000000003</v>
      </c>
      <c r="C4" s="5" t="str">
        <f aca="false">VLOOKUP($B4, [1]Main!$E$2:$G$374, 2, FALSE())</f>
        <v>System.Lock</v>
      </c>
      <c r="D4" s="6" t="str">
        <f aca="false">VLOOKUP($B4, [1]Main!$E$2:$G$374, 3, FALSE())</f>
        <v>Lock</v>
      </c>
      <c r="F4" s="7" t="s">
        <v>2</v>
      </c>
      <c r="G4" s="4" t="n">
        <f aca="false">IF(EXACT($F4, ""), "", VLOOKUP($F4, [2]Main!$B$2:$E$30, 4, FALSE()))</f>
        <v>254000000000001</v>
      </c>
      <c r="H4" s="1" t="n">
        <v>3</v>
      </c>
      <c r="I4" s="8" t="str">
        <f aca="false">IF(EXACT(G4, ""), "", CONCATENATE("PERFORM ""SchSysConfig"".""Func_TblAppObject_MenuGroupMember_SET""(varSystemLoginSession, null, null, null, varInstitutionBranchID, varBaseCurrencyID, ", G4, "::bigint, ", B4, "::bigint);"))</f>
        <v>PERFORM "SchSysConfig"."Func_TblAppObject_MenuGroupMember_SET"(varSystemLoginSession, null, null, null, varInstitutionBranchID, varBaseCurrencyID, 254000000000001::bigint, 97000000000003::bigint);</v>
      </c>
      <c r="L4" s="1" t="str">
        <f aca="false">IF(EXACT(K4,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IF(EXACT($G4, ""), "null", CONCATENATE("'", SUBSTITUTE($G4, "'", "\'"), "'")), "::bigint,",
"'menu_RefID', ", IF(EXACT($B4, ""), "null", CONCATENATE("'", SUBSTITUTE($B4, "'", "\'"), "'")), "::bigint",
")))::varchar;")
)</f>
        <v/>
      </c>
    </row>
    <row r="5" customFormat="false" ht="12.75" hidden="false" customHeight="false" outlineLevel="0" collapsed="false">
      <c r="B5" s="4" t="n">
        <f aca="false">[1]Main!$E5</f>
        <v>97000000000004</v>
      </c>
      <c r="C5" s="5" t="str">
        <f aca="false">VLOOKUP($B5, [1]Main!$E$2:$G$374, 2, FALSE())</f>
        <v>Dashboard.Home</v>
      </c>
      <c r="D5" s="6" t="str">
        <f aca="false">VLOOKUP($B5, [1]Main!$E$2:$G$374, 3, FALSE())</f>
        <v>Dashboard</v>
      </c>
      <c r="F5" s="7" t="s">
        <v>2</v>
      </c>
      <c r="G5" s="4" t="n">
        <f aca="false">IF(EXACT($F5, ""), "", VLOOKUP($F5, [2]Main!$B$2:$E$30, 4, FALSE()))</f>
        <v>254000000000001</v>
      </c>
      <c r="H5" s="1" t="n">
        <v>4</v>
      </c>
      <c r="I5" s="8" t="str">
        <f aca="false">IF(EXACT(G5, ""), "", CONCATENATE("PERFORM ""SchSysConfig"".""Func_TblAppObject_MenuGroupMember_SET""(varSystemLoginSession, null, null, null, varInstitutionBranchID, varBaseCurrencyID, ", G5, "::bigint, ", B5, "::bigint);"))</f>
        <v>PERFORM "SchSysConfig"."Func_TblAppObject_MenuGroupMember_SET"(varSystemLoginSession, null, null, null, varInstitutionBranchID, varBaseCurrencyID, 254000000000001::bigint, 97000000000004::bigint);</v>
      </c>
      <c r="K5" s="9" t="s">
        <v>3</v>
      </c>
      <c r="L5" s="1" t="str">
        <f aca="false">IF(EXACT(K5,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IF(EXACT($G5, ""), "null", CONCATENATE("'", SUBSTITUTE($G5, "'", "\'"), "'")), "::bigint,",
"'menu_RefID', ", IF(EXACT($B5, ""), "null", CONCATENATE("'", SUBSTITUTE($B5,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'254000000000001'::bigint,'menu_RefID', '97000000000004'::bigint)))::varchar;</v>
      </c>
    </row>
    <row r="6" customFormat="false" ht="12.75" hidden="false" customHeight="false" outlineLevel="0" collapsed="false">
      <c r="B6" s="4" t="n">
        <f aca="false">[1]Main!$E6</f>
        <v>97000000000005</v>
      </c>
      <c r="C6" s="5" t="str">
        <f aca="false">VLOOKUP($B6, [1]Main!$E$2:$G$374, 2, FALSE())</f>
        <v>Dashboard.DocumentTracking</v>
      </c>
      <c r="D6" s="6" t="str">
        <f aca="false">VLOOKUP($B6, [1]Main!$E$2:$G$374, 3, FALSE())</f>
        <v>Document Tracking</v>
      </c>
      <c r="F6" s="7" t="s">
        <v>2</v>
      </c>
      <c r="G6" s="4" t="n">
        <f aca="false">IF(EXACT($F6, ""), "", VLOOKUP($F6, [2]Main!$B$2:$E$30, 4, FALSE()))</f>
        <v>254000000000001</v>
      </c>
      <c r="H6" s="1" t="n">
        <v>5</v>
      </c>
      <c r="I6" s="8" t="str">
        <f aca="false">IF(EXACT(G6, ""), "", CONCATENATE("PERFORM ""SchSysConfig"".""Func_TblAppObject_MenuGroupMember_SET""(varSystemLoginSession, null, null, null, varInstitutionBranchID, varBaseCurrencyID, ", G6, "::bigint, ", B6, "::bigint);"))</f>
        <v>PERFORM "SchSysConfig"."Func_TblAppObject_MenuGroupMember_SET"(varSystemLoginSession, null, null, null, varInstitutionBranchID, varBaseCurrencyID, 254000000000001::bigint, 97000000000005::bigint);</v>
      </c>
      <c r="K6" s="9" t="s">
        <v>3</v>
      </c>
      <c r="L6" s="1" t="str">
        <f aca="false">IF(EXACT(K6,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IF(EXACT($G6, ""), "null", CONCATENATE("'", SUBSTITUTE($G6, "'", "\'"), "'")), "::bigint,",
"'menu_RefID', ", IF(EXACT($B6, ""), "null", CONCATENATE("'", SUBSTITUTE($B6,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'254000000000001'::bigint,'menu_RefID', '97000000000005'::bigint)))::varchar;</v>
      </c>
    </row>
    <row r="7" customFormat="false" ht="12.75" hidden="false" customHeight="false" outlineLevel="0" collapsed="false">
      <c r="B7" s="4" t="n">
        <f aca="false">[1]Main!$E7</f>
        <v>97000000000006</v>
      </c>
      <c r="C7" s="5" t="str">
        <f aca="false">VLOOKUP($B7, [1]Main!$E$2:$G$374, 2, FALSE())</f>
        <v>Dashboard.MyDocumentTracking</v>
      </c>
      <c r="D7" s="6" t="str">
        <f aca="false">VLOOKUP($B7, [1]Main!$E$2:$G$374, 3, FALSE())</f>
        <v>My Document Tracking</v>
      </c>
      <c r="F7" s="7" t="s">
        <v>2</v>
      </c>
      <c r="G7" s="4" t="n">
        <f aca="false">IF(EXACT($F7, ""), "", VLOOKUP($F7, [2]Main!$B$2:$E$30, 4, FALSE()))</f>
        <v>254000000000001</v>
      </c>
      <c r="H7" s="1" t="n">
        <v>6</v>
      </c>
      <c r="I7" s="8" t="str">
        <f aca="false">IF(EXACT(G7, ""), "", CONCATENATE("PERFORM ""SchSysConfig"".""Func_TblAppObject_MenuGroupMember_SET""(varSystemLoginSession, null, null, null, varInstitutionBranchID, varBaseCurrencyID, ", G7, "::bigint, ", B7, "::bigint);"))</f>
        <v>PERFORM "SchSysConfig"."Func_TblAppObject_MenuGroupMember_SET"(varSystemLoginSession, null, null, null, varInstitutionBranchID, varBaseCurrencyID, 254000000000001::bigint, 97000000000006::bigint);</v>
      </c>
      <c r="K7" s="9" t="s">
        <v>3</v>
      </c>
      <c r="L7" s="1" t="str">
        <f aca="false">IF(EXACT(K7,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IF(EXACT($G7, ""), "null", CONCATENATE("'", SUBSTITUTE($G7, "'", "\'"), "'")), "::bigint,",
"'menu_RefID', ", IF(EXACT($B7, ""), "null", CONCATENATE("'", SUBSTITUTE($B7,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'254000000000001'::bigint,'menu_RefID', '97000000000006'::bigint)))::varchar;</v>
      </c>
    </row>
    <row r="8" customFormat="false" ht="12.75" hidden="false" customHeight="false" outlineLevel="0" collapsed="false">
      <c r="B8" s="4" t="n">
        <f aca="false">[1]Main!$E8</f>
        <v>97000000000007</v>
      </c>
      <c r="C8" s="5" t="str">
        <f aca="false">VLOOKUP($B8, [1]Main!$E$2:$G$374, 2, FALSE())</f>
        <v>Dashboard.MyDocumentDisposition</v>
      </c>
      <c r="D8" s="6" t="str">
        <f aca="false">VLOOKUP($B8, [1]Main!$E$2:$G$374, 3, FALSE())</f>
        <v>My Document Disposition</v>
      </c>
      <c r="F8" s="7" t="s">
        <v>2</v>
      </c>
      <c r="G8" s="4" t="n">
        <f aca="false">IF(EXACT($F8, ""), "", VLOOKUP($F8, [2]Main!$B$2:$E$30, 4, FALSE()))</f>
        <v>254000000000001</v>
      </c>
      <c r="H8" s="1" t="n">
        <v>7</v>
      </c>
      <c r="I8" s="8" t="str">
        <f aca="false">IF(EXACT(G8, ""), "", CONCATENATE("PERFORM ""SchSysConfig"".""Func_TblAppObject_MenuGroupMember_SET""(varSystemLoginSession, null, null, null, varInstitutionBranchID, varBaseCurrencyID, ", G8, "::bigint, ", B8, "::bigint);"))</f>
        <v>PERFORM "SchSysConfig"."Func_TblAppObject_MenuGroupMember_SET"(varSystemLoginSession, null, null, null, varInstitutionBranchID, varBaseCurrencyID, 254000000000001::bigint, 97000000000007::bigint);</v>
      </c>
      <c r="L8" s="1" t="str">
        <f aca="false">IF(EXACT(K8,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IF(EXACT($G8, ""), "null", CONCATENATE("'", SUBSTITUTE($G8, "'", "\'"), "'")), "::bigint,",
"'menu_RefID', ", IF(EXACT($B8, ""), "null", CONCATENATE("'", SUBSTITUTE($B8, "'", "\'"), "'")), "::bigint",
")))::varchar;")
)</f>
        <v/>
      </c>
    </row>
    <row r="9" customFormat="false" ht="12.75" hidden="false" customHeight="false" outlineLevel="0" collapsed="false">
      <c r="B9" s="4" t="n">
        <f aca="false">[1]Main!$E9</f>
        <v>97000000000008</v>
      </c>
      <c r="C9" s="5" t="str">
        <f aca="false">VLOOKUP($B9, [1]Main!$E$2:$G$374, 2, FALSE())</f>
        <v>Module.General.MasterData.Country.Transaction</v>
      </c>
      <c r="D9" s="6" t="str">
        <f aca="false">VLOOKUP($B9, [1]Main!$E$2:$G$374, 3, FALSE())</f>
        <v>Country</v>
      </c>
      <c r="F9" s="7" t="s">
        <v>4</v>
      </c>
      <c r="G9" s="4" t="n">
        <f aca="false">IF(EXACT($F9, ""), "", VLOOKUP($F9, [2]Main!$B$2:$E$30, 4, FALSE()))</f>
        <v>254000000000002</v>
      </c>
      <c r="H9" s="1" t="n">
        <v>8</v>
      </c>
      <c r="I9" s="8" t="str">
        <f aca="false">IF(EXACT(G9, ""), "", CONCATENATE("PERFORM ""SchSysConfig"".""Func_TblAppObject_MenuGroupMember_SET""(varSystemLoginSession, null, null, null, varInstitutionBranchID, varBaseCurrencyID, ", G9, "::bigint, ", B9, "::bigint);"))</f>
        <v>PERFORM "SchSysConfig"."Func_TblAppObject_MenuGroupMember_SET"(varSystemLoginSession, null, null, null, varInstitutionBranchID, varBaseCurrencyID, 254000000000002::bigint, 97000000000008::bigint);</v>
      </c>
      <c r="L9" s="1" t="str">
        <f aca="false">IF(EXACT(K9,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IF(EXACT($G9, ""), "null", CONCATENATE("'", SUBSTITUTE($G9, "'", "\'"), "'")), "::bigint,",
"'menu_RefID', ", IF(EXACT($B9, ""), "null", CONCATENATE("'", SUBSTITUTE($B9, "'", "\'"), "'")), "::bigint",
")))::varchar;")
)</f>
        <v/>
      </c>
    </row>
    <row r="10" customFormat="false" ht="12.75" hidden="false" customHeight="false" outlineLevel="0" collapsed="false">
      <c r="B10" s="4" t="n">
        <f aca="false">[1]Main!$E10</f>
        <v>97000000000009</v>
      </c>
      <c r="C10" s="5" t="str">
        <f aca="false">VLOOKUP($B10, [1]Main!$E$2:$G$374, 2, FALSE())</f>
        <v>Module.General.MasterData.CountryAdministrativeAreaLevel1.Transaction</v>
      </c>
      <c r="D10" s="6" t="str">
        <f aca="false">VLOOKUP($B10, [1]Main!$E$2:$G$374, 3, FALSE())</f>
        <v>Province / State</v>
      </c>
      <c r="F10" s="7" t="s">
        <v>4</v>
      </c>
      <c r="G10" s="4" t="n">
        <f aca="false">IF(EXACT($F10, ""), "", VLOOKUP($F10, [2]Main!$B$2:$E$30, 4, FALSE()))</f>
        <v>254000000000002</v>
      </c>
      <c r="H10" s="1" t="n">
        <v>9</v>
      </c>
      <c r="I10" s="8" t="str">
        <f aca="false">IF(EXACT(G10, ""), "", CONCATENATE("PERFORM ""SchSysConfig"".""Func_TblAppObject_MenuGroupMember_SET""(varSystemLoginSession, null, null, null, varInstitutionBranchID, varBaseCurrencyID, ", G10, "::bigint, ", B10, "::bigint);"))</f>
        <v>PERFORM "SchSysConfig"."Func_TblAppObject_MenuGroupMember_SET"(varSystemLoginSession, null, null, null, varInstitutionBranchID, varBaseCurrencyID, 254000000000002::bigint, 97000000000009::bigint);</v>
      </c>
      <c r="L10" s="1" t="str">
        <f aca="false">IF(EXACT(K10,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IF(EXACT($G10, ""), "null", CONCATENATE("'", SUBSTITUTE($G10, "'", "\'"), "'")), "::bigint,",
"'menu_RefID', ", IF(EXACT($B10, ""), "null", CONCATENATE("'", SUBSTITUTE($B10, "'", "\'"), "'")), "::bigint",
")))::varchar;")
)</f>
        <v/>
      </c>
    </row>
    <row r="11" customFormat="false" ht="12.75" hidden="false" customHeight="false" outlineLevel="0" collapsed="false">
      <c r="B11" s="4" t="n">
        <f aca="false">[1]Main!$E11</f>
        <v>97000000000010</v>
      </c>
      <c r="C11" s="5" t="str">
        <f aca="false">VLOOKUP($B11, [1]Main!$E$2:$G$374, 2, FALSE())</f>
        <v>Module.General.MasterData.CountryAdministrativeAreaLevel2.Transaction</v>
      </c>
      <c r="D11" s="6" t="str">
        <f aca="false">VLOOKUP($B11, [1]Main!$E$2:$G$374, 3, FALSE())</f>
        <v>Municipality / Regency</v>
      </c>
      <c r="F11" s="7" t="s">
        <v>4</v>
      </c>
      <c r="G11" s="4" t="n">
        <f aca="false">IF(EXACT($F11, ""), "", VLOOKUP($F11, [2]Main!$B$2:$E$30, 4, FALSE()))</f>
        <v>254000000000002</v>
      </c>
      <c r="H11" s="1" t="n">
        <v>10</v>
      </c>
      <c r="I11" s="8" t="str">
        <f aca="false">IF(EXACT(G11, ""), "", CONCATENATE("PERFORM ""SchSysConfig"".""Func_TblAppObject_MenuGroupMember_SET""(varSystemLoginSession, null, null, null, varInstitutionBranchID, varBaseCurrencyID, ", G11, "::bigint, ", B11, "::bigint);"))</f>
        <v>PERFORM "SchSysConfig"."Func_TblAppObject_MenuGroupMember_SET"(varSystemLoginSession, null, null, null, varInstitutionBranchID, varBaseCurrencyID, 254000000000002::bigint, 97000000000010::bigint);</v>
      </c>
      <c r="L11" s="1" t="str">
        <f aca="false">IF(EXACT(K11,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IF(EXACT($G11, ""), "null", CONCATENATE("'", SUBSTITUTE($G11, "'", "\'"), "'")), "::bigint,",
"'menu_RefID', ", IF(EXACT($B11, ""), "null", CONCATENATE("'", SUBSTITUTE($B11, "'", "\'"), "'")), "::bigint",
")))::varchar;")
)</f>
        <v/>
      </c>
    </row>
    <row r="12" customFormat="false" ht="12.75" hidden="false" customHeight="false" outlineLevel="0" collapsed="false">
      <c r="B12" s="4" t="n">
        <f aca="false">[1]Main!$E12</f>
        <v>97000000000011</v>
      </c>
      <c r="C12" s="5" t="str">
        <f aca="false">VLOOKUP($B12, [1]Main!$E$2:$G$374, 2, FALSE())</f>
        <v>Module.General.MasterData.CountryAdministrativeAreaLevel3.Transaction</v>
      </c>
      <c r="D12" s="6" t="str">
        <f aca="false">VLOOKUP($B12, [1]Main!$E$2:$G$374, 3, FALSE())</f>
        <v>District</v>
      </c>
      <c r="F12" s="7" t="s">
        <v>4</v>
      </c>
      <c r="G12" s="4" t="n">
        <f aca="false">IF(EXACT($F12, ""), "", VLOOKUP($F12, [2]Main!$B$2:$E$30, 4, FALSE()))</f>
        <v>254000000000002</v>
      </c>
      <c r="H12" s="1" t="n">
        <v>11</v>
      </c>
      <c r="I12" s="8" t="str">
        <f aca="false">IF(EXACT(G12, ""), "", CONCATENATE("PERFORM ""SchSysConfig"".""Func_TblAppObject_MenuGroupMember_SET""(varSystemLoginSession, null, null, null, varInstitutionBranchID, varBaseCurrencyID, ", G12, "::bigint, ", B12, "::bigint);"))</f>
        <v>PERFORM "SchSysConfig"."Func_TblAppObject_MenuGroupMember_SET"(varSystemLoginSession, null, null, null, varInstitutionBranchID, varBaseCurrencyID, 254000000000002::bigint, 97000000000011::bigint);</v>
      </c>
      <c r="L12" s="1" t="str">
        <f aca="false">IF(EXACT(K12,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IF(EXACT($G12, ""), "null", CONCATENATE("'", SUBSTITUTE($G12, "'", "\'"), "'")), "::bigint,",
"'menu_RefID', ", IF(EXACT($B12, ""), "null", CONCATENATE("'", SUBSTITUTE($B12, "'", "\'"), "'")), "::bigint",
")))::varchar;")
)</f>
        <v/>
      </c>
    </row>
    <row r="13" customFormat="false" ht="12.75" hidden="false" customHeight="false" outlineLevel="0" collapsed="false">
      <c r="B13" s="4" t="n">
        <f aca="false">[1]Main!$E13</f>
        <v>97000000000012</v>
      </c>
      <c r="C13" s="5" t="str">
        <f aca="false">VLOOKUP($B13, [1]Main!$E$2:$G$374, 2, FALSE())</f>
        <v>Module.General.MasterData.CountryAdministrativeAreaLevel4.Transaction</v>
      </c>
      <c r="D13" s="6" t="str">
        <f aca="false">VLOOKUP($B13, [1]Main!$E$2:$G$374, 3, FALSE())</f>
        <v>Urban Village / Village</v>
      </c>
      <c r="F13" s="7" t="s">
        <v>4</v>
      </c>
      <c r="G13" s="4" t="n">
        <f aca="false">IF(EXACT($F13, ""), "", VLOOKUP($F13, [2]Main!$B$2:$E$30, 4, FALSE()))</f>
        <v>254000000000002</v>
      </c>
      <c r="H13" s="1" t="n">
        <v>12</v>
      </c>
      <c r="I13" s="8" t="str">
        <f aca="false">IF(EXACT(G13, ""), "", CONCATENATE("PERFORM ""SchSysConfig"".""Func_TblAppObject_MenuGroupMember_SET""(varSystemLoginSession, null, null, null, varInstitutionBranchID, varBaseCurrencyID, ", G13, "::bigint, ", B13, "::bigint);"))</f>
        <v>PERFORM "SchSysConfig"."Func_TblAppObject_MenuGroupMember_SET"(varSystemLoginSession, null, null, null, varInstitutionBranchID, varBaseCurrencyID, 254000000000002::bigint, 97000000000012::bigint);</v>
      </c>
      <c r="L13" s="1" t="str">
        <f aca="false">IF(EXACT(K13,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IF(EXACT($G13, ""), "null", CONCATENATE("'", SUBSTITUTE($G13, "'", "\'"), "'")), "::bigint,",
"'menu_RefID', ", IF(EXACT($B13, ""), "null", CONCATENATE("'", SUBSTITUTE($B13, "'", "\'"), "'")), "::bigint",
")))::varchar;")
)</f>
        <v/>
      </c>
    </row>
    <row r="14" customFormat="false" ht="12.75" hidden="false" customHeight="false" outlineLevel="0" collapsed="false">
      <c r="B14" s="4" t="n">
        <f aca="false">[1]Main!$E14</f>
        <v>97000000000013</v>
      </c>
      <c r="C14" s="5" t="str">
        <f aca="false">VLOOKUP($B14, [1]Main!$E$2:$G$374, 2, FALSE())</f>
        <v>Module.General.MasterData.BusinessDocumentType.Transaction</v>
      </c>
      <c r="D14" s="6" t="str">
        <f aca="false">VLOOKUP($B14, [1]Main!$E$2:$G$374, 3, FALSE())</f>
        <v>Business Document Type</v>
      </c>
      <c r="F14" s="7" t="s">
        <v>4</v>
      </c>
      <c r="G14" s="4" t="n">
        <f aca="false">IF(EXACT($F14, ""), "", VLOOKUP($F14, [2]Main!$B$2:$E$30, 4, FALSE()))</f>
        <v>254000000000002</v>
      </c>
      <c r="H14" s="1" t="n">
        <v>13</v>
      </c>
      <c r="I14" s="8" t="str">
        <f aca="false">IF(EXACT(G14, ""), "", CONCATENATE("PERFORM ""SchSysConfig"".""Func_TblAppObject_MenuGroupMember_SET""(varSystemLoginSession, null, null, null, varInstitutionBranchID, varBaseCurrencyID, ", G14, "::bigint, ", B14, "::bigint);"))</f>
        <v>PERFORM "SchSysConfig"."Func_TblAppObject_MenuGroupMember_SET"(varSystemLoginSession, null, null, null, varInstitutionBranchID, varBaseCurrencyID, 254000000000002::bigint, 97000000000013::bigint);</v>
      </c>
      <c r="L14" s="1" t="str">
        <f aca="false">IF(EXACT(K14,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IF(EXACT($G14, ""), "null", CONCATENATE("'", SUBSTITUTE($G14, "'", "\'"), "'")), "::bigint,",
"'menu_RefID', ", IF(EXACT($B14, ""), "null", CONCATENATE("'", SUBSTITUTE($B14, "'", "\'"), "'")), "::bigint",
")))::varchar;")
)</f>
        <v/>
      </c>
    </row>
    <row r="15" customFormat="false" ht="12.75" hidden="false" customHeight="false" outlineLevel="0" collapsed="false">
      <c r="B15" s="4" t="n">
        <f aca="false">[1]Main!$E15</f>
        <v>97000000000014</v>
      </c>
      <c r="C15" s="5" t="str">
        <f aca="false">VLOOKUP($B15, [1]Main!$E$2:$G$374, 2, FALSE())</f>
        <v>Module.General.MasterData.BusinessDocument.Transaction</v>
      </c>
      <c r="D15" s="6" t="str">
        <f aca="false">VLOOKUP($B15, [1]Main!$E$2:$G$374, 3, FALSE())</f>
        <v>Business Document</v>
      </c>
      <c r="F15" s="7" t="s">
        <v>4</v>
      </c>
      <c r="G15" s="4" t="n">
        <f aca="false">IF(EXACT($F15, ""), "", VLOOKUP($F15, [2]Main!$B$2:$E$30, 4, FALSE()))</f>
        <v>254000000000002</v>
      </c>
      <c r="H15" s="1" t="n">
        <v>14</v>
      </c>
      <c r="I15" s="8" t="str">
        <f aca="false">IF(EXACT(G15, ""), "", CONCATENATE("PERFORM ""SchSysConfig"".""Func_TblAppObject_MenuGroupMember_SET""(varSystemLoginSession, null, null, null, varInstitutionBranchID, varBaseCurrencyID, ", G15, "::bigint, ", B15, "::bigint);"))</f>
        <v>PERFORM "SchSysConfig"."Func_TblAppObject_MenuGroupMember_SET"(varSystemLoginSession, null, null, null, varInstitutionBranchID, varBaseCurrencyID, 254000000000002::bigint, 97000000000014::bigint);</v>
      </c>
      <c r="L15" s="1" t="str">
        <f aca="false">IF(EXACT(K15,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IF(EXACT($G15, ""), "null", CONCATENATE("'", SUBSTITUTE($G15, "'", "\'"), "'")), "::bigint,",
"'menu_RefID', ", IF(EXACT($B15, ""), "null", CONCATENATE("'", SUBSTITUTE($B15, "'", "\'"), "'")), "::bigint",
")))::varchar;")
)</f>
        <v/>
      </c>
    </row>
    <row r="16" customFormat="false" ht="12.75" hidden="false" customHeight="false" outlineLevel="0" collapsed="false">
      <c r="B16" s="4" t="n">
        <f aca="false">[1]Main!$E16</f>
        <v>97000000000015</v>
      </c>
      <c r="C16" s="5" t="str">
        <f aca="false">VLOOKUP($B16, [1]Main!$E$2:$G$374, 2, FALSE())</f>
        <v>Module.General.MasterData.BusinessDocumentVersion.Transaction</v>
      </c>
      <c r="D16" s="6" t="str">
        <f aca="false">VLOOKUP($B16, [1]Main!$E$2:$G$374, 3, FALSE())</f>
        <v>Business Document Version</v>
      </c>
      <c r="F16" s="7" t="s">
        <v>4</v>
      </c>
      <c r="G16" s="4" t="n">
        <f aca="false">IF(EXACT($F16, ""), "", VLOOKUP($F16, [2]Main!$B$2:$E$30, 4, FALSE()))</f>
        <v>254000000000002</v>
      </c>
      <c r="H16" s="1" t="n">
        <v>15</v>
      </c>
      <c r="I16" s="8" t="str">
        <f aca="false">IF(EXACT(G16, ""), "", CONCATENATE("PERFORM ""SchSysConfig"".""Func_TblAppObject_MenuGroupMember_SET""(varSystemLoginSession, null, null, null, varInstitutionBranchID, varBaseCurrencyID, ", G16, "::bigint, ", B16, "::bigint);"))</f>
        <v>PERFORM "SchSysConfig"."Func_TblAppObject_MenuGroupMember_SET"(varSystemLoginSession, null, null, null, varInstitutionBranchID, varBaseCurrencyID, 254000000000002::bigint, 97000000000015::bigint);</v>
      </c>
      <c r="L16" s="1" t="str">
        <f aca="false">IF(EXACT(K16,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IF(EXACT($G16, ""), "null", CONCATENATE("'", SUBSTITUTE($G16, "'", "\'"), "'")), "::bigint,",
"'menu_RefID', ", IF(EXACT($B16, ""), "null", CONCATENATE("'", SUBSTITUTE($B16, "'", "\'"), "'")), "::bigint",
")))::varchar;")
)</f>
        <v/>
      </c>
    </row>
    <row r="17" customFormat="false" ht="12.75" hidden="false" customHeight="false" outlineLevel="0" collapsed="false">
      <c r="B17" s="4" t="n">
        <f aca="false">[1]Main!$E17</f>
        <v>97000000000016</v>
      </c>
      <c r="C17" s="5" t="str">
        <f aca="false">VLOOKUP($B17, [1]Main!$E$2:$G$374, 2, FALSE())</f>
        <v>Module.General.MasterData.MenuManagement.Transaction</v>
      </c>
      <c r="D17" s="6" t="str">
        <f aca="false">VLOOKUP($B17, [1]Main!$E$2:$G$374, 3, FALSE())</f>
        <v>Menu Management</v>
      </c>
      <c r="F17" s="7" t="s">
        <v>4</v>
      </c>
      <c r="G17" s="4" t="n">
        <f aca="false">IF(EXACT($F17, ""), "", VLOOKUP($F17, [2]Main!$B$2:$E$30, 4, FALSE()))</f>
        <v>254000000000002</v>
      </c>
      <c r="H17" s="1" t="n">
        <v>16</v>
      </c>
      <c r="I17" s="8" t="str">
        <f aca="false">IF(EXACT(G17, ""), "", CONCATENATE("PERFORM ""SchSysConfig"".""Func_TblAppObject_MenuGroupMember_SET""(varSystemLoginSession, null, null, null, varInstitutionBranchID, varBaseCurrencyID, ", G17, "::bigint, ", B17, "::bigint);"))</f>
        <v>PERFORM "SchSysConfig"."Func_TblAppObject_MenuGroupMember_SET"(varSystemLoginSession, null, null, null, varInstitutionBranchID, varBaseCurrencyID, 254000000000002::bigint, 97000000000016::bigint);</v>
      </c>
      <c r="K17" s="9" t="s">
        <v>3</v>
      </c>
      <c r="L17" s="1" t="str">
        <f aca="false">IF(EXACT(K17,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IF(EXACT($G17, ""), "null", CONCATENATE("'", SUBSTITUTE($G17, "'", "\'"), "'")), "::bigint,",
"'menu_RefID', ", IF(EXACT($B17, ""), "null", CONCATENATE("'", SUBSTITUTE($B17,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'254000000000002'::bigint,'menu_RefID', '97000000000016'::bigint)))::varchar;</v>
      </c>
    </row>
    <row r="18" customFormat="false" ht="12.75" hidden="false" customHeight="false" outlineLevel="0" collapsed="false">
      <c r="B18" s="4" t="n">
        <f aca="false">[1]Main!$E18</f>
        <v>97000000000017</v>
      </c>
      <c r="C18" s="5" t="str">
        <f aca="false">VLOOKUP($B18, [1]Main!$E$2:$G$374, 2, FALSE())</f>
        <v>Module.Budgeting.MasterData.Budget.Transaction</v>
      </c>
      <c r="D18" s="6" t="str">
        <f aca="false">VLOOKUP($B18, [1]Main!$E$2:$G$374, 3, FALSE())</f>
        <v>Budget</v>
      </c>
      <c r="F18" s="7" t="s">
        <v>5</v>
      </c>
      <c r="G18" s="4" t="n">
        <f aca="false">IF(EXACT($F18, ""), "", VLOOKUP($F18, [2]Main!$B$2:$E$30, 4, FALSE()))</f>
        <v>254000000000004</v>
      </c>
      <c r="H18" s="1" t="n">
        <v>17</v>
      </c>
      <c r="I18" s="8" t="str">
        <f aca="false">IF(EXACT(G18, ""), "", CONCATENATE("PERFORM ""SchSysConfig"".""Func_TblAppObject_MenuGroupMember_SET""(varSystemLoginSession, null, null, null, varInstitutionBranchID, varBaseCurrencyID, ", G18, "::bigint, ", B18, "::bigint);"))</f>
        <v>PERFORM "SchSysConfig"."Func_TblAppObject_MenuGroupMember_SET"(varSystemLoginSession, null, null, null, varInstitutionBranchID, varBaseCurrencyID, 254000000000004::bigint, 97000000000017::bigint);</v>
      </c>
      <c r="K18" s="9" t="s">
        <v>3</v>
      </c>
      <c r="L18" s="1" t="str">
        <f aca="false">IF(EXACT(K18,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IF(EXACT($G18, ""), "null", CONCATENATE("'", SUBSTITUTE($G18, "'", "\'"), "'")), "::bigint,",
"'menu_RefID', ", IF(EXACT($B18, ""), "null", CONCATENATE("'", SUBSTITUTE($B18,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'254000000000004'::bigint,'menu_RefID', '97000000000017'::bigint)))::varchar;</v>
      </c>
    </row>
    <row r="19" customFormat="false" ht="12.75" hidden="false" customHeight="false" outlineLevel="0" collapsed="false">
      <c r="B19" s="4" t="n">
        <f aca="false">[1]Main!$E19</f>
        <v>97000000000018</v>
      </c>
      <c r="C19" s="5" t="str">
        <f aca="false">VLOOKUP($B19, [1]Main!$E$2:$G$374, 2, FALSE())</f>
        <v>Module.Budgeting.MasterData.BudgetSection.Transaction</v>
      </c>
      <c r="D19" s="6" t="str">
        <f aca="false">VLOOKUP($B19, [1]Main!$E$2:$G$374, 3, FALSE())</f>
        <v>Sub Budget</v>
      </c>
      <c r="F19" s="7" t="s">
        <v>5</v>
      </c>
      <c r="G19" s="4" t="n">
        <f aca="false">IF(EXACT($F19, ""), "", VLOOKUP($F19, [2]Main!$B$2:$E$30, 4, FALSE()))</f>
        <v>254000000000004</v>
      </c>
      <c r="H19" s="1" t="n">
        <v>18</v>
      </c>
      <c r="I19" s="8" t="str">
        <f aca="false">IF(EXACT(G19, ""), "", CONCATENATE("PERFORM ""SchSysConfig"".""Func_TblAppObject_MenuGroupMember_SET""(varSystemLoginSession, null, null, null, varInstitutionBranchID, varBaseCurrencyID, ", G19, "::bigint, ", B19, "::bigint);"))</f>
        <v>PERFORM "SchSysConfig"."Func_TblAppObject_MenuGroupMember_SET"(varSystemLoginSession, null, null, null, varInstitutionBranchID, varBaseCurrencyID, 254000000000004::bigint, 97000000000018::bigint);</v>
      </c>
      <c r="K19" s="9" t="s">
        <v>3</v>
      </c>
      <c r="L19" s="1" t="str">
        <f aca="false">IF(EXACT(K19,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IF(EXACT($G19, ""), "null", CONCATENATE("'", SUBSTITUTE($G19, "'", "\'"), "'")), "::bigint,",
"'menu_RefID', ", IF(EXACT($B19, ""), "null", CONCATENATE("'", SUBSTITUTE($B19,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'254000000000004'::bigint,'menu_RefID', '97000000000018'::bigint)))::varchar;</v>
      </c>
    </row>
    <row r="20" customFormat="false" ht="12.75" hidden="false" customHeight="false" outlineLevel="0" collapsed="false">
      <c r="B20" s="4" t="n">
        <f aca="false">[1]Main!$E20</f>
        <v>97000000000019</v>
      </c>
      <c r="C20" s="5" t="str">
        <f aca="false">VLOOKUP($B20, [1]Main!$E$2:$G$374, 2, FALSE())</f>
        <v>Module.Budgeting.Data.Budget.Report.Transaction</v>
      </c>
      <c r="D20" s="6" t="str">
        <f aca="false">VLOOKUP($B20, [1]Main!$E$2:$G$374, 3, FALSE())</f>
        <v>Budget</v>
      </c>
      <c r="F20" s="7" t="s">
        <v>5</v>
      </c>
      <c r="G20" s="4" t="n">
        <f aca="false">IF(EXACT($F20, ""), "", VLOOKUP($F20, [2]Main!$B$2:$E$30, 4, FALSE()))</f>
        <v>254000000000004</v>
      </c>
      <c r="H20" s="1" t="n">
        <v>19</v>
      </c>
      <c r="I20" s="8" t="str">
        <f aca="false">IF(EXACT(G20, ""), "", CONCATENATE("PERFORM ""SchSysConfig"".""Func_TblAppObject_MenuGroupMember_SET""(varSystemLoginSession, null, null, null, varInstitutionBranchID, varBaseCurrencyID, ", G20, "::bigint, ", B20, "::bigint);"))</f>
        <v>PERFORM "SchSysConfig"."Func_TblAppObject_MenuGroupMember_SET"(varSystemLoginSession, null, null, null, varInstitutionBranchID, varBaseCurrencyID, 254000000000004::bigint, 97000000000019::bigint);</v>
      </c>
      <c r="K20" s="9" t="s">
        <v>3</v>
      </c>
      <c r="L20" s="1" t="str">
        <f aca="false">IF(EXACT(K20,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IF(EXACT($G20, ""), "null", CONCATENATE("'", SUBSTITUTE($G20, "'", "\'"), "'")), "::bigint,",
"'menu_RefID', ", IF(EXACT($B20, ""), "null", CONCATENATE("'", SUBSTITUTE($B20,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'254000000000004'::bigint,'menu_RefID', '97000000000019'::bigint)))::varchar;</v>
      </c>
    </row>
    <row r="21" customFormat="false" ht="12.75" hidden="false" customHeight="false" outlineLevel="0" collapsed="false">
      <c r="B21" s="4" t="n">
        <f aca="false">[1]Main!$E21</f>
        <v>97000000000020</v>
      </c>
      <c r="C21" s="5" t="str">
        <f aca="false">VLOOKUP($B21, [1]Main!$E$2:$G$374, 2, FALSE())</f>
        <v>Module.Budgeting.Data.Budget.Report.Resume</v>
      </c>
      <c r="D21" s="6" t="str">
        <f aca="false">VLOOKUP($B21, [1]Main!$E$2:$G$374, 3, FALSE())</f>
        <v>Report Budget Summary</v>
      </c>
      <c r="F21" s="7" t="s">
        <v>5</v>
      </c>
      <c r="G21" s="4" t="n">
        <f aca="false">IF(EXACT($F21, ""), "", VLOOKUP($F21, [2]Main!$B$2:$E$30, 4, FALSE()))</f>
        <v>254000000000004</v>
      </c>
      <c r="H21" s="1" t="n">
        <v>20</v>
      </c>
      <c r="I21" s="8" t="str">
        <f aca="false">IF(EXACT(G21, ""), "", CONCATENATE("PERFORM ""SchSysConfig"".""Func_TblAppObject_MenuGroupMember_SET""(varSystemLoginSession, null, null, null, varInstitutionBranchID, varBaseCurrencyID, ", G21, "::bigint, ", B21, "::bigint);"))</f>
        <v>PERFORM "SchSysConfig"."Func_TblAppObject_MenuGroupMember_SET"(varSystemLoginSession, null, null, null, varInstitutionBranchID, varBaseCurrencyID, 254000000000004::bigint, 97000000000020::bigint);</v>
      </c>
      <c r="K21" s="9" t="s">
        <v>3</v>
      </c>
      <c r="L21" s="1" t="str">
        <f aca="false">IF(EXACT(K21,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IF(EXACT($G21, ""), "null", CONCATENATE("'", SUBSTITUTE($G21, "'", "\'"), "'")), "::bigint,",
"'menu_RefID', ", IF(EXACT($B21, ""), "null", CONCATENATE("'", SUBSTITUTE($B21,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'254000000000004'::bigint,'menu_RefID', '97000000000020'::bigint)))::varchar;</v>
      </c>
    </row>
    <row r="22" customFormat="false" ht="12.75" hidden="false" customHeight="false" outlineLevel="0" collapsed="false">
      <c r="B22" s="4" t="n">
        <f aca="false">[1]Main!$E22</f>
        <v>97000000000021</v>
      </c>
      <c r="C22" s="5" t="str">
        <f aca="false">VLOOKUP($B22, [1]Main!$E$2:$G$374, 2, FALSE())</f>
        <v>Module.Budgeting.Data.ModifyBudget.Transaction</v>
      </c>
      <c r="D22" s="6" t="str">
        <f aca="false">VLOOKUP($B22, [1]Main!$E$2:$G$374, 3, FALSE())</f>
        <v>Modify Budget</v>
      </c>
      <c r="F22" s="7" t="s">
        <v>5</v>
      </c>
      <c r="G22" s="4" t="n">
        <f aca="false">IF(EXACT($F22, ""), "", VLOOKUP($F22, [2]Main!$B$2:$E$30, 4, FALSE()))</f>
        <v>254000000000004</v>
      </c>
      <c r="H22" s="1" t="n">
        <v>21</v>
      </c>
      <c r="I22" s="8" t="str">
        <f aca="false">IF(EXACT(G22, ""), "", CONCATENATE("PERFORM ""SchSysConfig"".""Func_TblAppObject_MenuGroupMember_SET""(varSystemLoginSession, null, null, null, varInstitutionBranchID, varBaseCurrencyID, ", G22, "::bigint, ", B22, "::bigint);"))</f>
        <v>PERFORM "SchSysConfig"."Func_TblAppObject_MenuGroupMember_SET"(varSystemLoginSession, null, null, null, varInstitutionBranchID, varBaseCurrencyID, 254000000000004::bigint, 97000000000021::bigint);</v>
      </c>
      <c r="K22" s="9" t="s">
        <v>3</v>
      </c>
      <c r="L22" s="1" t="str">
        <f aca="false">IF(EXACT(K22,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IF(EXACT($G22, ""), "null", CONCATENATE("'", SUBSTITUTE($G22, "'", "\'"), "'")), "::bigint,",
"'menu_RefID', ", IF(EXACT($B22, ""), "null", CONCATENATE("'", SUBSTITUTE($B22,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'254000000000004'::bigint,'menu_RefID', '97000000000021'::bigint)))::varchar;</v>
      </c>
    </row>
    <row r="23" customFormat="false" ht="12.75" hidden="false" customHeight="false" outlineLevel="0" collapsed="false">
      <c r="B23" s="4" t="n">
        <f aca="false">[1]Main!$E23</f>
        <v>97000000000022</v>
      </c>
      <c r="C23" s="5" t="str">
        <f aca="false">VLOOKUP($B23, [1]Main!$E$2:$G$374, 2, FALSE())</f>
        <v>Module.Budgeting.Data.ModifyBudget.Report.Resume</v>
      </c>
      <c r="D23" s="6" t="str">
        <f aca="false">VLOOKUP($B23, [1]Main!$E$2:$G$374, 3, FALSE())</f>
        <v>Report Modify Budget Summary</v>
      </c>
      <c r="F23" s="7" t="s">
        <v>5</v>
      </c>
      <c r="G23" s="4" t="n">
        <f aca="false">IF(EXACT($F23, ""), "", VLOOKUP($F23, [2]Main!$B$2:$E$30, 4, FALSE()))</f>
        <v>254000000000004</v>
      </c>
      <c r="H23" s="1" t="n">
        <v>22</v>
      </c>
      <c r="I23" s="8" t="str">
        <f aca="false">IF(EXACT(G23, ""), "", CONCATENATE("PERFORM ""SchSysConfig"".""Func_TblAppObject_MenuGroupMember_SET""(varSystemLoginSession, null, null, null, varInstitutionBranchID, varBaseCurrencyID, ", G23, "::bigint, ", B23, "::bigint);"))</f>
        <v>PERFORM "SchSysConfig"."Func_TblAppObject_MenuGroupMember_SET"(varSystemLoginSession, null, null, null, varInstitutionBranchID, varBaseCurrencyID, 254000000000004::bigint, 97000000000022::bigint);</v>
      </c>
      <c r="K23" s="9" t="s">
        <v>3</v>
      </c>
      <c r="L23" s="1" t="str">
        <f aca="false">IF(EXACT(K23,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IF(EXACT($G23, ""), "null", CONCATENATE("'", SUBSTITUTE($G23, "'", "\'"), "'")), "::bigint,",
"'menu_RefID', ", IF(EXACT($B23, ""), "null", CONCATENATE("'", SUBSTITUTE($B23,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'254000000000004'::bigint,'menu_RefID', '97000000000022'::bigint)))::varchar;</v>
      </c>
    </row>
    <row r="24" customFormat="false" ht="12.75" hidden="false" customHeight="false" outlineLevel="0" collapsed="false">
      <c r="B24" s="4" t="n">
        <f aca="false">[1]Main!$E24</f>
        <v>97000000000023</v>
      </c>
      <c r="C24" s="5" t="str">
        <f aca="false">VLOOKUP($B24, [1]Main!$E$2:$G$374, 2, FALSE())</f>
        <v>Module.Budgeting.Data.ProgressBudget.Transaction</v>
      </c>
      <c r="D24" s="6" t="str">
        <f aca="false">VLOOKUP($B24, [1]Main!$E$2:$G$374, 3, FALSE())</f>
        <v>Progress Budget</v>
      </c>
      <c r="F24" s="7" t="s">
        <v>5</v>
      </c>
      <c r="G24" s="4" t="n">
        <f aca="false">IF(EXACT($F24, ""), "", VLOOKUP($F24, [2]Main!$B$2:$E$30, 4, FALSE()))</f>
        <v>254000000000004</v>
      </c>
      <c r="H24" s="1" t="n">
        <v>23</v>
      </c>
      <c r="I24" s="8" t="str">
        <f aca="false">IF(EXACT(G24, ""), "", CONCATENATE("PERFORM ""SchSysConfig"".""Func_TblAppObject_MenuGroupMember_SET""(varSystemLoginSession, null, null, null, varInstitutionBranchID, varBaseCurrencyID, ", G24, "::bigint, ", B24, "::bigint);"))</f>
        <v>PERFORM "SchSysConfig"."Func_TblAppObject_MenuGroupMember_SET"(varSystemLoginSession, null, null, null, varInstitutionBranchID, varBaseCurrencyID, 254000000000004::bigint, 97000000000023::bigint);</v>
      </c>
      <c r="K24" s="9" t="s">
        <v>3</v>
      </c>
      <c r="L24" s="1" t="str">
        <f aca="false">IF(EXACT(K24,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IF(EXACT($G24, ""), "null", CONCATENATE("'", SUBSTITUTE($G24, "'", "\'"), "'")), "::bigint,",
"'menu_RefID', ", IF(EXACT($B24, ""), "null", CONCATENATE("'", SUBSTITUTE($B24,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'254000000000004'::bigint,'menu_RefID', '97000000000023'::bigint)))::varchar;</v>
      </c>
    </row>
    <row r="25" customFormat="false" ht="12.75" hidden="false" customHeight="false" outlineLevel="0" collapsed="false">
      <c r="B25" s="4" t="n">
        <f aca="false">[1]Main!$E25</f>
        <v>97000000000024</v>
      </c>
      <c r="C25" s="5" t="str">
        <f aca="false">VLOOKUP($B25, [1]Main!$E$2:$G$374, 2, FALSE())</f>
        <v>Module.Budgeting.Data.ProgressBudget.Report.Resume</v>
      </c>
      <c r="D25" s="6" t="str">
        <f aca="false">VLOOKUP($B25, [1]Main!$E$2:$G$374, 3, FALSE())</f>
        <v>Report Progress Budget Summary</v>
      </c>
      <c r="F25" s="7" t="s">
        <v>5</v>
      </c>
      <c r="G25" s="4" t="n">
        <f aca="false">IF(EXACT($F25, ""), "", VLOOKUP($F25, [2]Main!$B$2:$E$30, 4, FALSE()))</f>
        <v>254000000000004</v>
      </c>
      <c r="H25" s="1" t="n">
        <v>24</v>
      </c>
      <c r="I25" s="8" t="str">
        <f aca="false">IF(EXACT(G25, ""), "", CONCATENATE("PERFORM ""SchSysConfig"".""Func_TblAppObject_MenuGroupMember_SET""(varSystemLoginSession, null, null, null, varInstitutionBranchID, varBaseCurrencyID, ", G25, "::bigint, ", B25, "::bigint);"))</f>
        <v>PERFORM "SchSysConfig"."Func_TblAppObject_MenuGroupMember_SET"(varSystemLoginSession, null, null, null, varInstitutionBranchID, varBaseCurrencyID, 254000000000004::bigint, 97000000000024::bigint);</v>
      </c>
      <c r="K25" s="9" t="s">
        <v>3</v>
      </c>
      <c r="L25" s="1" t="str">
        <f aca="false">IF(EXACT(K25,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IF(EXACT($G25, ""), "null", CONCATENATE("'", SUBSTITUTE($G25, "'", "\'"), "'")), "::bigint,",
"'menu_RefID', ", IF(EXACT($B25, ""), "null", CONCATENATE("'", SUBSTITUTE($B25,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'254000000000004'::bigint,'menu_RefID', '97000000000024'::bigint)))::varchar;</v>
      </c>
    </row>
    <row r="26" customFormat="false" ht="12.75" hidden="false" customHeight="false" outlineLevel="0" collapsed="false">
      <c r="B26" s="4" t="n">
        <f aca="false">[1]Main!$E26</f>
        <v>97000000000025</v>
      </c>
      <c r="C26" s="5" t="str">
        <f aca="false">VLOOKUP($B26, [1]Main!$E$2:$G$374, 2, FALSE())</f>
        <v>Module.Budgeting.Data.SCurve.Report.Resume</v>
      </c>
      <c r="D26" s="6" t="str">
        <f aca="false">VLOOKUP($B26, [1]Main!$E$2:$G$374, 3, FALSE())</f>
        <v>S-Curve Summary</v>
      </c>
      <c r="F26" s="7" t="s">
        <v>5</v>
      </c>
      <c r="G26" s="4" t="n">
        <f aca="false">IF(EXACT($F26, ""), "", VLOOKUP($F26, [2]Main!$B$2:$E$30, 4, FALSE()))</f>
        <v>254000000000004</v>
      </c>
      <c r="H26" s="1" t="n">
        <v>25</v>
      </c>
      <c r="I26" s="8" t="str">
        <f aca="false">IF(EXACT(G26, ""), "", CONCATENATE("PERFORM ""SchSysConfig"".""Func_TblAppObject_MenuGroupMember_SET""(varSystemLoginSession, null, null, null, varInstitutionBranchID, varBaseCurrencyID, ", G26, "::bigint, ", B26, "::bigint);"))</f>
        <v>PERFORM "SchSysConfig"."Func_TblAppObject_MenuGroupMember_SET"(varSystemLoginSession, null, null, null, varInstitutionBranchID, varBaseCurrencyID, 254000000000004::bigint, 97000000000025::bigint);</v>
      </c>
      <c r="K26" s="9" t="s">
        <v>3</v>
      </c>
      <c r="L26" s="1" t="str">
        <f aca="false">IF(EXACT(K26,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IF(EXACT($G26, ""), "null", CONCATENATE("'", SUBSTITUTE($G26, "'", "\'"), "'")), "::bigint,",
"'menu_RefID', ", IF(EXACT($B26, ""), "null", CONCATENATE("'", SUBSTITUTE($B26,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'254000000000004'::bigint,'menu_RefID', '97000000000025'::bigint)))::varchar;</v>
      </c>
    </row>
    <row r="27" customFormat="false" ht="12.75" hidden="false" customHeight="false" outlineLevel="0" collapsed="false">
      <c r="B27" s="4" t="n">
        <f aca="false">[1]Main!$E27</f>
        <v>97000000000026</v>
      </c>
      <c r="C27" s="5" t="str">
        <f aca="false">VLOOKUP($B27, [1]Main!$E$2:$G$374, 2, FALSE())</f>
        <v>Module.Budgeting.Data.Work.Transaction</v>
      </c>
      <c r="D27" s="6" t="str">
        <f aca="false">VLOOKUP($B27, [1]Main!$E$2:$G$374, 3, FALSE())</f>
        <v>Work</v>
      </c>
      <c r="F27" s="7" t="s">
        <v>5</v>
      </c>
      <c r="G27" s="4" t="n">
        <f aca="false">IF(EXACT($F27, ""), "", VLOOKUP($F27, [2]Main!$B$2:$E$30, 4, FALSE()))</f>
        <v>254000000000004</v>
      </c>
      <c r="H27" s="1" t="n">
        <v>26</v>
      </c>
      <c r="I27" s="8" t="str">
        <f aca="false">IF(EXACT(G27, ""), "", CONCATENATE("PERFORM ""SchSysConfig"".""Func_TblAppObject_MenuGroupMember_SET""(varSystemLoginSession, null, null, null, varInstitutionBranchID, varBaseCurrencyID, ", G27, "::bigint, ", B27, "::bigint);"))</f>
        <v>PERFORM "SchSysConfig"."Func_TblAppObject_MenuGroupMember_SET"(varSystemLoginSession, null, null, null, varInstitutionBranchID, varBaseCurrencyID, 254000000000004::bigint, 97000000000026::bigint);</v>
      </c>
      <c r="K27" s="9"/>
      <c r="L27" s="1" t="str">
        <f aca="false">IF(EXACT(K27,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IF(EXACT($G27, ""), "null", CONCATENATE("'", SUBSTITUTE($G27, "'", "\'"), "'")), "::bigint,",
"'menu_RefID', ", IF(EXACT($B27, ""), "null", CONCATENATE("'", SUBSTITUTE($B27, "'", "\'"), "'")), "::bigint",
")))::varchar;")
)</f>
        <v/>
      </c>
    </row>
    <row r="28" customFormat="false" ht="12.75" hidden="false" customHeight="false" outlineLevel="0" collapsed="false">
      <c r="B28" s="4" t="n">
        <f aca="false">[1]Main!$E28</f>
        <v>97000000000027</v>
      </c>
      <c r="C28" s="5" t="str">
        <f aca="false">VLOOKUP($B28, [1]Main!$E$2:$G$374, 2, FALSE())</f>
        <v>Module.Budgeting.Data.CFS.Report.Resume</v>
      </c>
      <c r="D28" s="6" t="str">
        <f aca="false">VLOOKUP($B28, [1]Main!$E$2:$G$374, 3, FALSE())</f>
        <v>Report Cost Financial Structure</v>
      </c>
      <c r="F28" s="7" t="s">
        <v>6</v>
      </c>
      <c r="G28" s="4" t="n">
        <f aca="false">IF(EXACT($F28, ""), "", VLOOKUP($F28, [2]Main!$B$2:$E$30, 4, FALSE()))</f>
        <v>254000000000007</v>
      </c>
      <c r="H28" s="1" t="n">
        <v>27</v>
      </c>
      <c r="I28" s="8" t="str">
        <f aca="false">IF(EXACT(G28, ""), "", CONCATENATE("PERFORM ""SchSysConfig"".""Func_TblAppObject_MenuGroupMember_SET""(varSystemLoginSession, null, null, null, varInstitutionBranchID, varBaseCurrencyID, ", G28, "::bigint, ", B28, "::bigint);"))</f>
        <v>PERFORM "SchSysConfig"."Func_TblAppObject_MenuGroupMember_SET"(varSystemLoginSession, null, null, null, varInstitutionBranchID, varBaseCurrencyID, 254000000000007::bigint, 97000000000027::bigint);</v>
      </c>
      <c r="L28" s="1" t="str">
        <f aca="false">IF(EXACT(K28,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IF(EXACT($G28, ""), "null", CONCATENATE("'", SUBSTITUTE($G28, "'", "\'"), "'")), "::bigint,",
"'menu_RefID', ", IF(EXACT($B28, ""), "null", CONCATENATE("'", SUBSTITUTE($B28, "'", "\'"), "'")), "::bigint",
")))::varchar;")
)</f>
        <v/>
      </c>
    </row>
    <row r="29" customFormat="false" ht="12.75" hidden="false" customHeight="false" outlineLevel="0" collapsed="false">
      <c r="B29" s="4" t="n">
        <f aca="false">[1]Main!$E29</f>
        <v>97000000000028</v>
      </c>
      <c r="C29" s="5" t="str">
        <f aca="false">VLOOKUP($B29, [1]Main!$E$2:$G$374, 2, FALSE())</f>
        <v>Module.General.MasterData.BloodAglutinogenType.Transaction</v>
      </c>
      <c r="D29" s="6" t="str">
        <f aca="false">VLOOKUP($B29, [1]Main!$E$2:$G$374, 3, FALSE())</f>
        <v>Blood Aglutinogen Type</v>
      </c>
      <c r="F29" s="7" t="s">
        <v>6</v>
      </c>
      <c r="G29" s="4" t="n">
        <f aca="false">IF(EXACT($F29, ""), "", VLOOKUP($F29, [2]Main!$B$2:$E$30, 4, FALSE()))</f>
        <v>254000000000007</v>
      </c>
      <c r="H29" s="1" t="n">
        <v>28</v>
      </c>
      <c r="I29" s="8" t="str">
        <f aca="false">IF(EXACT(G29, ""), "", CONCATENATE("PERFORM ""SchSysConfig"".""Func_TblAppObject_MenuGroupMember_SET""(varSystemLoginSession, null, null, null, varInstitutionBranchID, varBaseCurrencyID, ", G29, "::bigint, ", B29, "::bigint);"))</f>
        <v>PERFORM "SchSysConfig"."Func_TblAppObject_MenuGroupMember_SET"(varSystemLoginSession, null, null, null, varInstitutionBranchID, varBaseCurrencyID, 254000000000007::bigint, 97000000000028::bigint);</v>
      </c>
      <c r="L29" s="1" t="str">
        <f aca="false">IF(EXACT(K29,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IF(EXACT($G29, ""), "null", CONCATENATE("'", SUBSTITUTE($G29, "'", "\'"), "'")), "::bigint,",
"'menu_RefID', ", IF(EXACT($B29, ""), "null", CONCATENATE("'", SUBSTITUTE($B29, "'", "\'"), "'")), "::bigint",
")))::varchar;")
)</f>
        <v/>
      </c>
    </row>
    <row r="30" customFormat="false" ht="12.75" hidden="false" customHeight="false" outlineLevel="0" collapsed="false">
      <c r="B30" s="4" t="n">
        <f aca="false">[1]Main!$E30</f>
        <v>97000000000029</v>
      </c>
      <c r="C30" s="5" t="str">
        <f aca="false">VLOOKUP($B30, [1]Main!$E$2:$G$374, 2, FALSE())</f>
        <v>Module.General.MasterData.Person.Transaction</v>
      </c>
      <c r="D30" s="6" t="str">
        <f aca="false">VLOOKUP($B30, [1]Main!$E$2:$G$374, 3, FALSE())</f>
        <v>Person</v>
      </c>
      <c r="F30" s="7" t="s">
        <v>6</v>
      </c>
      <c r="G30" s="4" t="n">
        <f aca="false">IF(EXACT($F30, ""), "", VLOOKUP($F30, [2]Main!$B$2:$E$30, 4, FALSE()))</f>
        <v>254000000000007</v>
      </c>
      <c r="H30" s="1" t="n">
        <v>29</v>
      </c>
      <c r="I30" s="8" t="str">
        <f aca="false">IF(EXACT(G30, ""), "", CONCATENATE("PERFORM ""SchSysConfig"".""Func_TblAppObject_MenuGroupMember_SET""(varSystemLoginSession, null, null, null, varInstitutionBranchID, varBaseCurrencyID, ", G30, "::bigint, ", B30, "::bigint);"))</f>
        <v>PERFORM "SchSysConfig"."Func_TblAppObject_MenuGroupMember_SET"(varSystemLoginSession, null, null, null, varInstitutionBranchID, varBaseCurrencyID, 254000000000007::bigint, 97000000000029::bigint);</v>
      </c>
      <c r="L30" s="1" t="str">
        <f aca="false">IF(EXACT(K30,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IF(EXACT($G30, ""), "null", CONCATENATE("'", SUBSTITUTE($G30, "'", "\'"), "'")), "::bigint,",
"'menu_RefID', ", IF(EXACT($B30, ""), "null", CONCATENATE("'", SUBSTITUTE($B30, "'", "\'"), "'")), "::bigint",
")))::varchar;")
)</f>
        <v/>
      </c>
    </row>
    <row r="31" customFormat="false" ht="12.75" hidden="false" customHeight="false" outlineLevel="0" collapsed="false">
      <c r="B31" s="4" t="n">
        <f aca="false">[1]Main!$E31</f>
        <v>97000000000030</v>
      </c>
      <c r="C31" s="5" t="str">
        <f aca="false">VLOOKUP($B31, [1]Main!$E$2:$G$374, 2, FALSE())</f>
        <v>Module.General.MasterData.PrivilegeMenu.Transaction</v>
      </c>
      <c r="D31" s="6" t="str">
        <f aca="false">VLOOKUP($B31, [1]Main!$E$2:$G$374, 3, FALSE())</f>
        <v>Privilege Menu</v>
      </c>
      <c r="F31" s="7" t="s">
        <v>6</v>
      </c>
      <c r="G31" s="4" t="n">
        <f aca="false">IF(EXACT($F31, ""), "", VLOOKUP($F31, [2]Main!$B$2:$E$30, 4, FALSE()))</f>
        <v>254000000000007</v>
      </c>
      <c r="H31" s="1" t="n">
        <v>30</v>
      </c>
      <c r="I31" s="8" t="str">
        <f aca="false">IF(EXACT(G31, ""), "", CONCATENATE("PERFORM ""SchSysConfig"".""Func_TblAppObject_MenuGroupMember_SET""(varSystemLoginSession, null, null, null, varInstitutionBranchID, varBaseCurrencyID, ", G31, "::bigint, ", B31, "::bigint);"))</f>
        <v>PERFORM "SchSysConfig"."Func_TblAppObject_MenuGroupMember_SET"(varSystemLoginSession, null, null, null, varInstitutionBranchID, varBaseCurrencyID, 254000000000007::bigint, 97000000000030::bigint);</v>
      </c>
      <c r="K31" s="9" t="s">
        <v>3</v>
      </c>
      <c r="L31" s="1" t="str">
        <f aca="false">IF(EXACT(K31,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IF(EXACT($G31, ""), "null", CONCATENATE("'", SUBSTITUTE($G31, "'", "\'"), "'")), "::bigint,",
"'menu_RefID', ", IF(EXACT($B31, ""), "null", CONCATENATE("'", SUBSTITUTE($B31,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'254000000000007'::bigint,'menu_RefID', '97000000000030'::bigint)))::varchar;</v>
      </c>
    </row>
    <row r="32" customFormat="false" ht="12.75" hidden="false" customHeight="false" outlineLevel="0" collapsed="false">
      <c r="B32" s="4" t="n">
        <f aca="false">[1]Main!$E32</f>
        <v>97000000000031</v>
      </c>
      <c r="C32" s="5" t="str">
        <f aca="false">VLOOKUP($B32, [1]Main!$E$2:$G$374, 2, FALSE())</f>
        <v>Module.General.MasterData.Religion.Transaction</v>
      </c>
      <c r="D32" s="6" t="str">
        <f aca="false">VLOOKUP($B32, [1]Main!$E$2:$G$374, 3, FALSE())</f>
        <v>Religion</v>
      </c>
      <c r="F32" s="7" t="s">
        <v>6</v>
      </c>
      <c r="G32" s="4" t="n">
        <f aca="false">IF(EXACT($F32, ""), "", VLOOKUP($F32, [2]Main!$B$2:$E$30, 4, FALSE()))</f>
        <v>254000000000007</v>
      </c>
      <c r="H32" s="1" t="n">
        <v>31</v>
      </c>
      <c r="I32" s="8" t="str">
        <f aca="false">IF(EXACT(G32, ""), "", CONCATENATE("PERFORM ""SchSysConfig"".""Func_TblAppObject_MenuGroupMember_SET""(varSystemLoginSession, null, null, null, varInstitutionBranchID, varBaseCurrencyID, ", G32, "::bigint, ", B32, "::bigint);"))</f>
        <v>PERFORM "SchSysConfig"."Func_TblAppObject_MenuGroupMember_SET"(varSystemLoginSession, null, null, null, varInstitutionBranchID, varBaseCurrencyID, 254000000000007::bigint, 97000000000031::bigint);</v>
      </c>
      <c r="K32" s="9"/>
      <c r="L32" s="1" t="str">
        <f aca="false">IF(EXACT(K32,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IF(EXACT($G32, ""), "null", CONCATENATE("'", SUBSTITUTE($G32, "'", "\'"), "'")), "::bigint,",
"'menu_RefID', ", IF(EXACT($B32, ""), "null", CONCATENATE("'", SUBSTITUTE($B32, "'", "\'"), "'")), "::bigint",
")))::varchar;")
)</f>
        <v/>
      </c>
    </row>
    <row r="33" customFormat="false" ht="12.75" hidden="false" customHeight="false" outlineLevel="0" collapsed="false">
      <c r="B33" s="4" t="n">
        <f aca="false">[1]Main!$E33</f>
        <v>97000000000032</v>
      </c>
      <c r="C33" s="5" t="str">
        <f aca="false">VLOOKUP($B33, [1]Main!$E$2:$G$374, 2, FALSE())</f>
        <v>Module.General.MasterData.User.Transaction</v>
      </c>
      <c r="D33" s="6" t="str">
        <f aca="false">VLOOKUP($B33, [1]Main!$E$2:$G$374, 3, FALSE())</f>
        <v>User</v>
      </c>
      <c r="F33" s="7" t="s">
        <v>6</v>
      </c>
      <c r="G33" s="4" t="n">
        <f aca="false">IF(EXACT($F33, ""), "", VLOOKUP($F33, [2]Main!$B$2:$E$30, 4, FALSE()))</f>
        <v>254000000000007</v>
      </c>
      <c r="H33" s="1" t="n">
        <v>32</v>
      </c>
      <c r="I33" s="8" t="str">
        <f aca="false">IF(EXACT(G33, ""), "", CONCATENATE("PERFORM ""SchSysConfig"".""Func_TblAppObject_MenuGroupMember_SET""(varSystemLoginSession, null, null, null, varInstitutionBranchID, varBaseCurrencyID, ", G33, "::bigint, ", B33, "::bigint);"))</f>
        <v>PERFORM "SchSysConfig"."Func_TblAppObject_MenuGroupMember_SET"(varSystemLoginSession, null, null, null, varInstitutionBranchID, varBaseCurrencyID, 254000000000007::bigint, 97000000000032::bigint);</v>
      </c>
      <c r="K33" s="9" t="s">
        <v>3</v>
      </c>
      <c r="L33" s="1" t="str">
        <f aca="false">IF(EXACT(K33,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IF(EXACT($G33, ""), "null", CONCATENATE("'", SUBSTITUTE($G33, "'", "\'"), "'")), "::bigint,",
"'menu_RefID', ", IF(EXACT($B33, ""), "null", CONCATENATE("'", SUBSTITUTE($B33,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'254000000000007'::bigint,'menu_RefID', '97000000000032'::bigint)))::varchar;</v>
      </c>
    </row>
    <row r="34" customFormat="false" ht="12.75" hidden="false" customHeight="false" outlineLevel="0" collapsed="false">
      <c r="B34" s="4" t="n">
        <f aca="false">[1]Main!$E34</f>
        <v>97000000000033</v>
      </c>
      <c r="C34" s="5" t="str">
        <f aca="false">VLOOKUP($B34, [1]Main!$E$2:$G$374, 2, FALSE())</f>
        <v>Module.General.MasterData.UserRole.Transaction</v>
      </c>
      <c r="D34" s="6" t="str">
        <f aca="false">VLOOKUP($B34, [1]Main!$E$2:$G$374, 3, FALSE())</f>
        <v>Role</v>
      </c>
      <c r="F34" s="7" t="s">
        <v>6</v>
      </c>
      <c r="G34" s="4" t="n">
        <f aca="false">IF(EXACT($F34, ""), "", VLOOKUP($F34, [2]Main!$B$2:$E$30, 4, FALSE()))</f>
        <v>254000000000007</v>
      </c>
      <c r="H34" s="1" t="n">
        <v>33</v>
      </c>
      <c r="I34" s="8" t="str">
        <f aca="false">IF(EXACT(G34, ""), "", CONCATENATE("PERFORM ""SchSysConfig"".""Func_TblAppObject_MenuGroupMember_SET""(varSystemLoginSession, null, null, null, varInstitutionBranchID, varBaseCurrencyID, ", G34, "::bigint, ", B34, "::bigint);"))</f>
        <v>PERFORM "SchSysConfig"."Func_TblAppObject_MenuGroupMember_SET"(varSystemLoginSession, null, null, null, varInstitutionBranchID, varBaseCurrencyID, 254000000000007::bigint, 97000000000033::bigint);</v>
      </c>
      <c r="K34" s="9" t="s">
        <v>3</v>
      </c>
      <c r="L34" s="1" t="str">
        <f aca="false">IF(EXACT(K34,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IF(EXACT($G34, ""), "null", CONCATENATE("'", SUBSTITUTE($G34, "'", "\'"), "'")), "::bigint,",
"'menu_RefID', ", IF(EXACT($B34, ""), "null", CONCATENATE("'", SUBSTITUTE($B34,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'254000000000007'::bigint,'menu_RefID', '97000000000033'::bigint)))::varchar;</v>
      </c>
    </row>
    <row r="35" customFormat="false" ht="12.75" hidden="false" customHeight="false" outlineLevel="0" collapsed="false">
      <c r="B35" s="4" t="n">
        <f aca="false">[1]Main!$E35</f>
        <v>97000000000034</v>
      </c>
      <c r="C35" s="5" t="str">
        <f aca="false">VLOOKUP($B35, [1]Main!$E$2:$G$374, 2, FALSE())</f>
        <v>Module.General.MasterData.Workflow.Transaction</v>
      </c>
      <c r="D35" s="6" t="str">
        <f aca="false">VLOOKUP($B35, [1]Main!$E$2:$G$374, 3, FALSE())</f>
        <v>Workflow</v>
      </c>
      <c r="F35" s="7" t="s">
        <v>6</v>
      </c>
      <c r="G35" s="4" t="n">
        <f aca="false">IF(EXACT($F35, ""), "", VLOOKUP($F35, [2]Main!$B$2:$E$30, 4, FALSE()))</f>
        <v>254000000000007</v>
      </c>
      <c r="H35" s="1" t="n">
        <v>34</v>
      </c>
      <c r="I35" s="8" t="str">
        <f aca="false">IF(EXACT(G35, ""), "", CONCATENATE("PERFORM ""SchSysConfig"".""Func_TblAppObject_MenuGroupMember_SET""(varSystemLoginSession, null, null, null, varInstitutionBranchID, varBaseCurrencyID, ", G35, "::bigint, ", B35, "::bigint);"))</f>
        <v>PERFORM "SchSysConfig"."Func_TblAppObject_MenuGroupMember_SET"(varSystemLoginSession, null, null, null, varInstitutionBranchID, varBaseCurrencyID, 254000000000007::bigint, 97000000000034::bigint);</v>
      </c>
      <c r="K35" s="9" t="s">
        <v>3</v>
      </c>
      <c r="L35" s="1" t="str">
        <f aca="false">IF(EXACT(K35,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IF(EXACT($G35, ""), "null", CONCATENATE("'", SUBSTITUTE($G35, "'", "\'"), "'")), "::bigint,",
"'menu_RefID', ", IF(EXACT($B35, ""), "null", CONCATENATE("'", SUBSTITUTE($B35,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'254000000000007'::bigint,'menu_RefID', '97000000000034'::bigint)))::varchar;</v>
      </c>
    </row>
    <row r="36" customFormat="false" ht="12.75" hidden="false" customHeight="false" outlineLevel="0" collapsed="false">
      <c r="B36" s="4" t="n">
        <f aca="false">[1]Main!$E36</f>
        <v>97000000000035</v>
      </c>
      <c r="C36" s="5" t="str">
        <f aca="false">VLOOKUP($B36, [1]Main!$E$2:$G$374, 2, FALSE())</f>
        <v>Module.HumanResource.MasterData.OrganizationalDepartment.Transaction</v>
      </c>
      <c r="D36" s="6" t="str">
        <f aca="false">VLOOKUP($B36, [1]Main!$E$2:$G$374, 3, FALSE())</f>
        <v>Department</v>
      </c>
      <c r="F36" s="7" t="s">
        <v>6</v>
      </c>
      <c r="G36" s="4" t="n">
        <f aca="false">IF(EXACT($F36, ""), "", VLOOKUP($F36, [2]Main!$B$2:$E$30, 4, FALSE()))</f>
        <v>254000000000007</v>
      </c>
      <c r="H36" s="1" t="n">
        <v>35</v>
      </c>
      <c r="I36" s="8" t="str">
        <f aca="false">IF(EXACT(G36, ""), "", CONCATENATE("PERFORM ""SchSysConfig"".""Func_TblAppObject_MenuGroupMember_SET""(varSystemLoginSession, null, null, null, varInstitutionBranchID, varBaseCurrencyID, ", G36, "::bigint, ", B36, "::bigint);"))</f>
        <v>PERFORM "SchSysConfig"."Func_TblAppObject_MenuGroupMember_SET"(varSystemLoginSession, null, null, null, varInstitutionBranchID, varBaseCurrencyID, 254000000000007::bigint, 97000000000035::bigint);</v>
      </c>
      <c r="K36" s="9" t="s">
        <v>3</v>
      </c>
      <c r="L36" s="1" t="str">
        <f aca="false">IF(EXACT(K36,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IF(EXACT($G36, ""), "null", CONCATENATE("'", SUBSTITUTE($G36, "'", "\'"), "'")), "::bigint,",
"'menu_RefID', ", IF(EXACT($B36, ""), "null", CONCATENATE("'", SUBSTITUTE($B36,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'254000000000007'::bigint,'menu_RefID', '97000000000035'::bigint)))::varchar;</v>
      </c>
    </row>
    <row r="37" customFormat="false" ht="12.75" hidden="false" customHeight="false" outlineLevel="0" collapsed="false">
      <c r="B37" s="4" t="n">
        <f aca="false">[1]Main!$E37</f>
        <v>97000000000036</v>
      </c>
      <c r="C37" s="5" t="str">
        <f aca="false">VLOOKUP($B37, [1]Main!$E$2:$G$374, 2, FALSE())</f>
        <v>Module.HumanResource.Data.PersonWorkTimeSheet.Transaction</v>
      </c>
      <c r="D37" s="6" t="str">
        <f aca="false">VLOOKUP($B37, [1]Main!$E$2:$G$374, 3, FALSE())</f>
        <v>Person Work Time Sheet</v>
      </c>
      <c r="F37" s="7" t="s">
        <v>6</v>
      </c>
      <c r="G37" s="4" t="n">
        <f aca="false">IF(EXACT($F37, ""), "", VLOOKUP($F37, [2]Main!$B$2:$E$30, 4, FALSE()))</f>
        <v>254000000000007</v>
      </c>
      <c r="H37" s="1" t="n">
        <v>36</v>
      </c>
      <c r="I37" s="8" t="str">
        <f aca="false">IF(EXACT(G37, ""), "", CONCATENATE("PERFORM ""SchSysConfig"".""Func_TblAppObject_MenuGroupMember_SET""(varSystemLoginSession, null, null, null, varInstitutionBranchID, varBaseCurrencyID, ", G37, "::bigint, ", B37, "::bigint);"))</f>
        <v>PERFORM "SchSysConfig"."Func_TblAppObject_MenuGroupMember_SET"(varSystemLoginSession, null, null, null, varInstitutionBranchID, varBaseCurrencyID, 254000000000007::bigint, 97000000000036::bigint);</v>
      </c>
      <c r="K37" s="9" t="s">
        <v>3</v>
      </c>
      <c r="L37" s="1" t="str">
        <f aca="false">IF(EXACT(K37,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IF(EXACT($G37, ""), "null", CONCATENATE("'", SUBSTITUTE($G37, "'", "\'"), "'")), "::bigint,",
"'menu_RefID', ", IF(EXACT($B37, ""), "null", CONCATENATE("'", SUBSTITUTE($B37,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'254000000000007'::bigint,'menu_RefID', '97000000000036'::bigint)))::varchar;</v>
      </c>
    </row>
    <row r="38" customFormat="false" ht="12.75" hidden="false" customHeight="false" outlineLevel="0" collapsed="false">
      <c r="B38" s="4" t="n">
        <f aca="false">[1]Main!$E38</f>
        <v>97000000000037</v>
      </c>
      <c r="C38" s="5" t="str">
        <f aca="false">VLOOKUP($B38, [1]Main!$E$2:$G$374, 2, FALSE())</f>
        <v>Module.HumanResource.Data.PersonWorkTimeSheet.Report.DataList</v>
      </c>
      <c r="D38" s="6" t="str">
        <f aca="false">VLOOKUP($B38, [1]Main!$E$2:$G$374, 3, FALSE())</f>
        <v>Person Work Time Sheet Summary</v>
      </c>
      <c r="F38" s="7" t="s">
        <v>6</v>
      </c>
      <c r="G38" s="4" t="n">
        <f aca="false">IF(EXACT($F38, ""), "", VLOOKUP($F38, [2]Main!$B$2:$E$30, 4, FALSE()))</f>
        <v>254000000000007</v>
      </c>
      <c r="H38" s="1" t="n">
        <v>37</v>
      </c>
      <c r="I38" s="8" t="str">
        <f aca="false">IF(EXACT(G38, ""), "", CONCATENATE("PERFORM ""SchSysConfig"".""Func_TblAppObject_MenuGroupMember_SET""(varSystemLoginSession, null, null, null, varInstitutionBranchID, varBaseCurrencyID, ", G38, "::bigint, ", B38, "::bigint);"))</f>
        <v>PERFORM "SchSysConfig"."Func_TblAppObject_MenuGroupMember_SET"(varSystemLoginSession, null, null, null, varInstitutionBranchID, varBaseCurrencyID, 254000000000007::bigint, 97000000000037::bigint);</v>
      </c>
      <c r="K38" s="9" t="s">
        <v>3</v>
      </c>
      <c r="L38" s="1" t="str">
        <f aca="false">IF(EXACT(K38,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IF(EXACT($G38, ""), "null", CONCATENATE("'", SUBSTITUTE($G38, "'", "\'"), "'")), "::bigint,",
"'menu_RefID', ", IF(EXACT($B38, ""), "null", CONCATENATE("'", SUBSTITUTE($B38,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'254000000000007'::bigint,'menu_RefID', '97000000000037'::bigint)))::varchar;</v>
      </c>
    </row>
    <row r="39" customFormat="false" ht="12.75" hidden="false" customHeight="false" outlineLevel="0" collapsed="false">
      <c r="B39" s="4" t="n">
        <f aca="false">[1]Main!$E39</f>
        <v>97000000000038</v>
      </c>
      <c r="C39" s="5" t="str">
        <f aca="false">VLOOKUP($B39, [1]Main!$E$2:$G$374, 2, FALSE())</f>
        <v>Module.HumanResource.Data.SallaryAllocation.Transaction</v>
      </c>
      <c r="D39" s="6" t="str">
        <f aca="false">VLOOKUP($B39, [1]Main!$E$2:$G$374, 3, FALSE())</f>
        <v>Sallary Allocation</v>
      </c>
      <c r="F39" s="7" t="s">
        <v>6</v>
      </c>
      <c r="G39" s="4" t="n">
        <f aca="false">IF(EXACT($F39, ""), "", VLOOKUP($F39, [2]Main!$B$2:$E$30, 4, FALSE()))</f>
        <v>254000000000007</v>
      </c>
      <c r="H39" s="1" t="n">
        <v>38</v>
      </c>
      <c r="I39" s="8" t="str">
        <f aca="false">IF(EXACT(G39, ""), "", CONCATENATE("PERFORM ""SchSysConfig"".""Func_TblAppObject_MenuGroupMember_SET""(varSystemLoginSession, null, null, null, varInstitutionBranchID, varBaseCurrencyID, ", G39, "::bigint, ", B39, "::bigint);"))</f>
        <v>PERFORM "SchSysConfig"."Func_TblAppObject_MenuGroupMember_SET"(varSystemLoginSession, null, null, null, varInstitutionBranchID, varBaseCurrencyID, 254000000000007::bigint, 97000000000038::bigint);</v>
      </c>
      <c r="K39" s="9" t="s">
        <v>3</v>
      </c>
      <c r="L39" s="1" t="str">
        <f aca="false">IF(EXACT(K39,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IF(EXACT($G39, ""), "null", CONCATENATE("'", SUBSTITUTE($G39, "'", "\'"), "'")), "::bigint,",
"'menu_RefID', ", IF(EXACT($B39, ""), "null", CONCATENATE("'", SUBSTITUTE($B39,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'254000000000007'::bigint,'menu_RefID', '97000000000038'::bigint)))::varchar;</v>
      </c>
    </row>
    <row r="40" customFormat="false" ht="12.75" hidden="false" customHeight="false" outlineLevel="0" collapsed="false">
      <c r="B40" s="4" t="n">
        <f aca="false">[1]Main!$E40</f>
        <v>97000000000039</v>
      </c>
      <c r="C40" s="5" t="str">
        <f aca="false">VLOOKUP($B40, [1]Main!$E$2:$G$374, 2, FALSE())</f>
        <v>Module.HumanResource.Data.SallaryAllocation.Report.DataList</v>
      </c>
      <c r="D40" s="6" t="str">
        <f aca="false">VLOOKUP($B40, [1]Main!$E$2:$G$374, 3, FALSE())</f>
        <v>Sallary Allocation Summary</v>
      </c>
      <c r="F40" s="7" t="s">
        <v>6</v>
      </c>
      <c r="G40" s="4" t="n">
        <f aca="false">IF(EXACT($F40, ""), "", VLOOKUP($F40, [2]Main!$B$2:$E$30, 4, FALSE()))</f>
        <v>254000000000007</v>
      </c>
      <c r="H40" s="1" t="n">
        <v>39</v>
      </c>
      <c r="I40" s="8" t="str">
        <f aca="false">IF(EXACT(G40, ""), "", CONCATENATE("PERFORM ""SchSysConfig"".""Func_TblAppObject_MenuGroupMember_SET""(varSystemLoginSession, null, null, null, varInstitutionBranchID, varBaseCurrencyID, ", G40, "::bigint, ", B40, "::bigint);"))</f>
        <v>PERFORM "SchSysConfig"."Func_TblAppObject_MenuGroupMember_SET"(varSystemLoginSession, null, null, null, varInstitutionBranchID, varBaseCurrencyID, 254000000000007::bigint, 97000000000039::bigint);</v>
      </c>
      <c r="L40" s="1" t="str">
        <f aca="false">IF(EXACT(K40,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IF(EXACT($G40, ""), "null", CONCATENATE("'", SUBSTITUTE($G40, "'", "\'"), "'")), "::bigint,",
"'menu_RefID', ", IF(EXACT($B40, ""), "null", CONCATENATE("'", SUBSTITUTE($B40, "'", "\'"), "'")), "::bigint",
")))::varchar;")
)</f>
        <v/>
      </c>
    </row>
    <row r="41" customFormat="false" ht="12.75" hidden="false" customHeight="false" outlineLevel="0" collapsed="false">
      <c r="B41" s="4" t="n">
        <f aca="false">[1]Main!$E41</f>
        <v>97000000000040</v>
      </c>
      <c r="C41" s="5" t="str">
        <f aca="false">VLOOKUP($B41, [1]Main!$E$2:$G$374, 2, FALSE())</f>
        <v>Module.General.MasterData.Product.Transaction</v>
      </c>
      <c r="D41" s="6" t="str">
        <f aca="false">VLOOKUP($B41, [1]Main!$E$2:$G$374, 3, FALSE())</f>
        <v>Product</v>
      </c>
      <c r="F41" s="7" t="s">
        <v>7</v>
      </c>
      <c r="G41" s="4" t="n">
        <f aca="false">IF(EXACT($F41, ""), "", VLOOKUP($F41, [2]Main!$B$2:$E$30, 4, FALSE()))</f>
        <v>254000000000009</v>
      </c>
      <c r="H41" s="1" t="n">
        <v>40</v>
      </c>
      <c r="I41" s="8" t="str">
        <f aca="false">IF(EXACT(G41, ""), "", CONCATENATE("PERFORM ""SchSysConfig"".""Func_TblAppObject_MenuGroupMember_SET""(varSystemLoginSession, null, null, null, varInstitutionBranchID, varBaseCurrencyID, ", G41, "::bigint, ", B41, "::bigint);"))</f>
        <v>PERFORM "SchSysConfig"."Func_TblAppObject_MenuGroupMember_SET"(varSystemLoginSession, null, null, null, varInstitutionBranchID, varBaseCurrencyID, 254000000000009::bigint, 97000000000040::bigint);</v>
      </c>
      <c r="K41" s="9" t="s">
        <v>3</v>
      </c>
      <c r="L41" s="1" t="str">
        <f aca="false">IF(EXACT(K41,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IF(EXACT($G41, ""), "null", CONCATENATE("'", SUBSTITUTE($G41, "'", "\'"), "'")), "::bigint,",
"'menu_RefID', ", IF(EXACT($B41, ""), "null", CONCATENATE("'", SUBSTITUTE($B41,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'254000000000009'::bigint,'menu_RefID', '97000000000040'::bigint)))::varchar;</v>
      </c>
    </row>
    <row r="42" customFormat="false" ht="12.75" hidden="false" customHeight="false" outlineLevel="0" collapsed="false">
      <c r="B42" s="4" t="n">
        <f aca="false">[1]Main!$E42</f>
        <v>97000000000041</v>
      </c>
      <c r="C42" s="5" t="str">
        <f aca="false">VLOOKUP($B42, [1]Main!$E$2:$G$374, 2, FALSE())</f>
        <v>Module.General.MasterData.ProductType.Transaction</v>
      </c>
      <c r="D42" s="6" t="str">
        <f aca="false">VLOOKUP($B42, [1]Main!$E$2:$G$374, 3, FALSE())</f>
        <v>Product Type</v>
      </c>
      <c r="F42" s="7" t="s">
        <v>7</v>
      </c>
      <c r="G42" s="4" t="n">
        <f aca="false">IF(EXACT($F42, ""), "", VLOOKUP($F42, [2]Main!$B$2:$E$30, 4, FALSE()))</f>
        <v>254000000000009</v>
      </c>
      <c r="H42" s="1" t="n">
        <v>41</v>
      </c>
      <c r="I42" s="8" t="str">
        <f aca="false">IF(EXACT(G42, ""), "", CONCATENATE("PERFORM ""SchSysConfig"".""Func_TblAppObject_MenuGroupMember_SET""(varSystemLoginSession, null, null, null, varInstitutionBranchID, varBaseCurrencyID, ", G42, "::bigint, ", B42, "::bigint);"))</f>
        <v>PERFORM "SchSysConfig"."Func_TblAppObject_MenuGroupMember_SET"(varSystemLoginSession, null, null, null, varInstitutionBranchID, varBaseCurrencyID, 254000000000009::bigint, 97000000000041::bigint);</v>
      </c>
      <c r="K42" s="9"/>
      <c r="L42" s="1" t="str">
        <f aca="false">IF(EXACT(K42,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IF(EXACT($G42, ""), "null", CONCATENATE("'", SUBSTITUTE($G42, "'", "\'"), "'")), "::bigint,",
"'menu_RefID', ", IF(EXACT($B42, ""), "null", CONCATENATE("'", SUBSTITUTE($B42, "'", "\'"), "'")), "::bigint",
")))::varchar;")
)</f>
        <v/>
      </c>
    </row>
    <row r="43" customFormat="false" ht="12.75" hidden="false" customHeight="false" outlineLevel="0" collapsed="false">
      <c r="B43" s="4" t="n">
        <f aca="false">[1]Main!$E43</f>
        <v>97000000000042</v>
      </c>
      <c r="C43" s="5" t="str">
        <f aca="false">VLOOKUP($B43, [1]Main!$E$2:$G$374, 2, FALSE())</f>
        <v>Module.General.MasterData.Warehouse.Transaction</v>
      </c>
      <c r="D43" s="6" t="str">
        <f aca="false">VLOOKUP($B43, [1]Main!$E$2:$G$374, 3, FALSE())</f>
        <v>Warehouse</v>
      </c>
      <c r="F43" s="7" t="s">
        <v>7</v>
      </c>
      <c r="G43" s="4" t="n">
        <f aca="false">IF(EXACT($F43, ""), "", VLOOKUP($F43, [2]Main!$B$2:$E$30, 4, FALSE()))</f>
        <v>254000000000009</v>
      </c>
      <c r="H43" s="1" t="n">
        <v>42</v>
      </c>
      <c r="I43" s="8" t="str">
        <f aca="false">IF(EXACT(G43, ""), "", CONCATENATE("PERFORM ""SchSysConfig"".""Func_TblAppObject_MenuGroupMember_SET""(varSystemLoginSession, null, null, null, varInstitutionBranchID, varBaseCurrencyID, ", G43, "::bigint, ", B43, "::bigint);"))</f>
        <v>PERFORM "SchSysConfig"."Func_TblAppObject_MenuGroupMember_SET"(varSystemLoginSession, null, null, null, varInstitutionBranchID, varBaseCurrencyID, 254000000000009::bigint, 97000000000042::bigint);</v>
      </c>
      <c r="K43" s="9" t="s">
        <v>3</v>
      </c>
      <c r="L43" s="1" t="str">
        <f aca="false">IF(EXACT(K43,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IF(EXACT($G43, ""), "null", CONCATENATE("'", SUBSTITUTE($G43, "'", "\'"), "'")), "::bigint,",
"'menu_RefID', ", IF(EXACT($B43, ""), "null", CONCATENATE("'", SUBSTITUTE($B43,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'254000000000009'::bigint,'menu_RefID', '97000000000042'::bigint)))::varchar;</v>
      </c>
    </row>
    <row r="44" customFormat="false" ht="12.75" hidden="false" customHeight="false" outlineLevel="0" collapsed="false">
      <c r="B44" s="4" t="n">
        <f aca="false">[1]Main!$E44</f>
        <v>97000000000043</v>
      </c>
      <c r="C44" s="5" t="str">
        <f aca="false">VLOOKUP($B44, [1]Main!$E$2:$G$374, 2, FALSE())</f>
        <v>Module.General.MasterData.Work.Transaction</v>
      </c>
      <c r="D44" s="6" t="str">
        <f aca="false">VLOOKUP($B44, [1]Main!$E$2:$G$374, 3, FALSE())</f>
        <v>Work</v>
      </c>
      <c r="F44" s="7" t="s">
        <v>7</v>
      </c>
      <c r="G44" s="4" t="n">
        <f aca="false">IF(EXACT($F44, ""), "", VLOOKUP($F44, [2]Main!$B$2:$E$30, 4, FALSE()))</f>
        <v>254000000000009</v>
      </c>
      <c r="H44" s="1" t="n">
        <v>43</v>
      </c>
      <c r="I44" s="8" t="str">
        <f aca="false">IF(EXACT(G44, ""), "", CONCATENATE("PERFORM ""SchSysConfig"".""Func_TblAppObject_MenuGroupMember_SET""(varSystemLoginSession, null, null, null, varInstitutionBranchID, varBaseCurrencyID, ", G44, "::bigint, ", B44, "::bigint);"))</f>
        <v>PERFORM "SchSysConfig"."Func_TblAppObject_MenuGroupMember_SET"(varSystemLoginSession, null, null, null, varInstitutionBranchID, varBaseCurrencyID, 254000000000009::bigint, 97000000000043::bigint);</v>
      </c>
      <c r="K44" s="9" t="s">
        <v>3</v>
      </c>
      <c r="L44" s="1" t="str">
        <f aca="false">IF(EXACT(K44,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IF(EXACT($G44, ""), "null", CONCATENATE("'", SUBSTITUTE($G44, "'", "\'"), "'")), "::bigint,",
"'menu_RefID', ", IF(EXACT($B44, ""), "null", CONCATENATE("'", SUBSTITUTE($B44,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'254000000000009'::bigint,'menu_RefID', '97000000000043'::bigint)))::varchar;</v>
      </c>
    </row>
    <row r="45" customFormat="false" ht="12.75" hidden="false" customHeight="false" outlineLevel="0" collapsed="false">
      <c r="B45" s="4" t="n">
        <f aca="false">[1]Main!$E45</f>
        <v>97000000000044</v>
      </c>
      <c r="C45" s="5" t="str">
        <f aca="false">VLOOKUP($B45, [1]Main!$E$2:$G$374, 2, FALSE())</f>
        <v>Module.SupplyChain.Data.DeliveryOrder.Transaction</v>
      </c>
      <c r="D45" s="6" t="str">
        <f aca="false">VLOOKUP($B45, [1]Main!$E$2:$G$374, 3, FALSE())</f>
        <v>Delivery Order</v>
      </c>
      <c r="F45" s="7" t="s">
        <v>7</v>
      </c>
      <c r="G45" s="4" t="n">
        <f aca="false">IF(EXACT($F45, ""), "", VLOOKUP($F45, [2]Main!$B$2:$E$30, 4, FALSE()))</f>
        <v>254000000000009</v>
      </c>
      <c r="H45" s="1" t="n">
        <v>44</v>
      </c>
      <c r="I45" s="8" t="str">
        <f aca="false">IF(EXACT(G45, ""), "", CONCATENATE("PERFORM ""SchSysConfig"".""Func_TblAppObject_MenuGroupMember_SET""(varSystemLoginSession, null, null, null, varInstitutionBranchID, varBaseCurrencyID, ", G45, "::bigint, ", B45, "::bigint);"))</f>
        <v>PERFORM "SchSysConfig"."Func_TblAppObject_MenuGroupMember_SET"(varSystemLoginSession, null, null, null, varInstitutionBranchID, varBaseCurrencyID, 254000000000009::bigint, 97000000000044::bigint);</v>
      </c>
      <c r="K45" s="9" t="s">
        <v>3</v>
      </c>
      <c r="L45" s="1" t="str">
        <f aca="false">IF(EXACT(K45,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IF(EXACT($G45, ""), "null", CONCATENATE("'", SUBSTITUTE($G45, "'", "\'"), "'")), "::bigint,",
"'menu_RefID', ", IF(EXACT($B45, ""), "null", CONCATENATE("'", SUBSTITUTE($B45,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'254000000000009'::bigint,'menu_RefID', '97000000000044'::bigint)))::varchar;</v>
      </c>
    </row>
    <row r="46" customFormat="false" ht="12.75" hidden="false" customHeight="false" outlineLevel="0" collapsed="false">
      <c r="B46" s="4" t="n">
        <f aca="false">[1]Main!$E46</f>
        <v>97000000000045</v>
      </c>
      <c r="C46" s="5" t="str">
        <f aca="false">VLOOKUP($B46, [1]Main!$E$2:$G$374, 2, FALSE())</f>
        <v>Module.SupplyChain.Data.DeliveryOrder.Report.DataList</v>
      </c>
      <c r="D46" s="6" t="str">
        <f aca="false">VLOOKUP($B46, [1]Main!$E$2:$G$374, 3, FALSE())</f>
        <v>Report DO Summary</v>
      </c>
      <c r="F46" s="7" t="s">
        <v>7</v>
      </c>
      <c r="G46" s="4" t="n">
        <f aca="false">IF(EXACT($F46, ""), "", VLOOKUP($F46, [2]Main!$B$2:$E$30, 4, FALSE()))</f>
        <v>254000000000009</v>
      </c>
      <c r="H46" s="1" t="n">
        <v>45</v>
      </c>
      <c r="I46" s="8" t="str">
        <f aca="false">IF(EXACT(G46, ""), "", CONCATENATE("PERFORM ""SchSysConfig"".""Func_TblAppObject_MenuGroupMember_SET""(varSystemLoginSession, null, null, null, varInstitutionBranchID, varBaseCurrencyID, ", G46, "::bigint, ", B46, "::bigint);"))</f>
        <v>PERFORM "SchSysConfig"."Func_TblAppObject_MenuGroupMember_SET"(varSystemLoginSession, null, null, null, varInstitutionBranchID, varBaseCurrencyID, 254000000000009::bigint, 97000000000045::bigint);</v>
      </c>
      <c r="K46" s="9" t="s">
        <v>3</v>
      </c>
      <c r="L46" s="1" t="str">
        <f aca="false">IF(EXACT(K46,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IF(EXACT($G46, ""), "null", CONCATENATE("'", SUBSTITUTE($G46, "'", "\'"), "'")), "::bigint,",
"'menu_RefID', ", IF(EXACT($B46, ""), "null", CONCATENATE("'", SUBSTITUTE($B46,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'254000000000009'::bigint,'menu_RefID', '97000000000045'::bigint)))::varchar;</v>
      </c>
    </row>
    <row r="47" customFormat="false" ht="12.75" hidden="false" customHeight="false" outlineLevel="0" collapsed="false">
      <c r="B47" s="4" t="n">
        <f aca="false">[1]Main!$E47</f>
        <v>97000000000046</v>
      </c>
      <c r="C47" s="5" t="str">
        <f aca="false">VLOOKUP($B47, [1]Main!$E$2:$G$374, 2, FALSE())</f>
        <v>Module.SupplyChain.Data.DeliveryOrderToMaterialReceive.Report.DataList</v>
      </c>
      <c r="D47" s="6" t="str">
        <f aca="false">VLOOKUP($B47, [1]Main!$E$2:$G$374, 3, FALSE())</f>
        <v>Report DO to Material Receive</v>
      </c>
      <c r="F47" s="7" t="s">
        <v>7</v>
      </c>
      <c r="G47" s="4" t="n">
        <f aca="false">IF(EXACT($F47, ""), "", VLOOKUP($F47, [2]Main!$B$2:$E$30, 4, FALSE()))</f>
        <v>254000000000009</v>
      </c>
      <c r="H47" s="1" t="n">
        <v>46</v>
      </c>
      <c r="I47" s="8" t="str">
        <f aca="false">IF(EXACT(G47, ""), "", CONCATENATE("PERFORM ""SchSysConfig"".""Func_TblAppObject_MenuGroupMember_SET""(varSystemLoginSession, null, null, null, varInstitutionBranchID, varBaseCurrencyID, ", G47, "::bigint, ", B47, "::bigint);"))</f>
        <v>PERFORM "SchSysConfig"."Func_TblAppObject_MenuGroupMember_SET"(varSystemLoginSession, null, null, null, varInstitutionBranchID, varBaseCurrencyID, 254000000000009::bigint, 97000000000046::bigint);</v>
      </c>
      <c r="K47" s="9" t="s">
        <v>3</v>
      </c>
      <c r="L47" s="1" t="str">
        <f aca="false">IF(EXACT(K47,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IF(EXACT($G47, ""), "null", CONCATENATE("'", SUBSTITUTE($G47, "'", "\'"), "'")), "::bigint,",
"'menu_RefID', ", IF(EXACT($B47, ""), "null", CONCATENATE("'", SUBSTITUTE($B47,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'254000000000009'::bigint,'menu_RefID', '97000000000046'::bigint)))::varchar;</v>
      </c>
    </row>
    <row r="48" customFormat="false" ht="12.75" hidden="false" customHeight="false" outlineLevel="0" collapsed="false">
      <c r="B48" s="4" t="n">
        <f aca="false">[1]Main!$E48</f>
        <v>97000000000047</v>
      </c>
      <c r="C48" s="5" t="str">
        <f aca="false">VLOOKUP($B48, [1]Main!$E$2:$G$374, 2, FALSE())</f>
        <v>Module.SupplyChain.Data.MaterialReceive.Transaction</v>
      </c>
      <c r="D48" s="6" t="str">
        <f aca="false">VLOOKUP($B48, [1]Main!$E$2:$G$374, 3, FALSE())</f>
        <v>Material Receive</v>
      </c>
      <c r="F48" s="7" t="s">
        <v>7</v>
      </c>
      <c r="G48" s="4" t="n">
        <f aca="false">IF(EXACT($F48, ""), "", VLOOKUP($F48, [2]Main!$B$2:$E$30, 4, FALSE()))</f>
        <v>254000000000009</v>
      </c>
      <c r="H48" s="1" t="n">
        <v>47</v>
      </c>
      <c r="I48" s="8" t="str">
        <f aca="false">IF(EXACT(G48, ""), "", CONCATENATE("PERFORM ""SchSysConfig"".""Func_TblAppObject_MenuGroupMember_SET""(varSystemLoginSession, null, null, null, varInstitutionBranchID, varBaseCurrencyID, ", G48, "::bigint, ", B48, "::bigint);"))</f>
        <v>PERFORM "SchSysConfig"."Func_TblAppObject_MenuGroupMember_SET"(varSystemLoginSession, null, null, null, varInstitutionBranchID, varBaseCurrencyID, 254000000000009::bigint, 97000000000047::bigint);</v>
      </c>
      <c r="K48" s="9" t="s">
        <v>3</v>
      </c>
      <c r="L48" s="1" t="str">
        <f aca="false">IF(EXACT(K48,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IF(EXACT($G48, ""), "null", CONCATENATE("'", SUBSTITUTE($G48, "'", "\'"), "'")), "::bigint,",
"'menu_RefID', ", IF(EXACT($B48, ""), "null", CONCATENATE("'", SUBSTITUTE($B48,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'254000000000009'::bigint,'menu_RefID', '97000000000047'::bigint)))::varchar;</v>
      </c>
    </row>
    <row r="49" customFormat="false" ht="12.75" hidden="false" customHeight="false" outlineLevel="0" collapsed="false">
      <c r="B49" s="4" t="n">
        <f aca="false">[1]Main!$E49</f>
        <v>97000000000048</v>
      </c>
      <c r="C49" s="5" t="str">
        <f aca="false">VLOOKUP($B49, [1]Main!$E$2:$G$374, 2, FALSE())</f>
        <v>Module.SupplyChain.Data.MaterialReceive.Report.DataList</v>
      </c>
      <c r="D49" s="6" t="str">
        <f aca="false">VLOOKUP($B49, [1]Main!$E$2:$G$374, 3, FALSE())</f>
        <v>Report Material Receive Summary</v>
      </c>
      <c r="F49" s="7" t="s">
        <v>7</v>
      </c>
      <c r="G49" s="4" t="n">
        <f aca="false">IF(EXACT($F49, ""), "", VLOOKUP($F49, [2]Main!$B$2:$E$30, 4, FALSE()))</f>
        <v>254000000000009</v>
      </c>
      <c r="H49" s="1" t="n">
        <v>48</v>
      </c>
      <c r="I49" s="8" t="str">
        <f aca="false">IF(EXACT(G49, ""), "", CONCATENATE("PERFORM ""SchSysConfig"".""Func_TblAppObject_MenuGroupMember_SET""(varSystemLoginSession, null, null, null, varInstitutionBranchID, varBaseCurrencyID, ", G49, "::bigint, ", B49, "::bigint);"))</f>
        <v>PERFORM "SchSysConfig"."Func_TblAppObject_MenuGroupMember_SET"(varSystemLoginSession, null, null, null, varInstitutionBranchID, varBaseCurrencyID, 254000000000009::bigint, 97000000000048::bigint);</v>
      </c>
      <c r="K49" s="9" t="s">
        <v>3</v>
      </c>
      <c r="L49" s="1" t="str">
        <f aca="false">IF(EXACT(K49,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IF(EXACT($G49, ""), "null", CONCATENATE("'", SUBSTITUTE($G49, "'", "\'"), "'")), "::bigint,",
"'menu_RefID', ", IF(EXACT($B49, ""), "null", CONCATENATE("'", SUBSTITUTE($B49,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'254000000000009'::bigint,'menu_RefID', '97000000000048'::bigint)))::varchar;</v>
      </c>
    </row>
    <row r="50" customFormat="false" ht="12.75" hidden="false" customHeight="false" outlineLevel="0" collapsed="false">
      <c r="B50" s="4" t="n">
        <f aca="false">[1]Main!$E50</f>
        <v>97000000000049</v>
      </c>
      <c r="C50" s="5" t="str">
        <f aca="false">VLOOKUP($B50, [1]Main!$E$2:$G$374, 2, FALSE())</f>
        <v>Module.SupplyChain.Data.MaterialReceiveToMaterialReturn.Report.DataList</v>
      </c>
      <c r="D50" s="6" t="str">
        <f aca="false">VLOOKUP($B50, [1]Main!$E$2:$G$374, 3, FALSE())</f>
        <v>Report Material Receive to Material Return</v>
      </c>
      <c r="F50" s="7" t="s">
        <v>7</v>
      </c>
      <c r="G50" s="4" t="n">
        <f aca="false">IF(EXACT($F50, ""), "", VLOOKUP($F50, [2]Main!$B$2:$E$30, 4, FALSE()))</f>
        <v>254000000000009</v>
      </c>
      <c r="H50" s="1" t="n">
        <v>49</v>
      </c>
      <c r="I50" s="8" t="str">
        <f aca="false">IF(EXACT(G50, ""), "", CONCATENATE("PERFORM ""SchSysConfig"".""Func_TblAppObject_MenuGroupMember_SET""(varSystemLoginSession, null, null, null, varInstitutionBranchID, varBaseCurrencyID, ", G50, "::bigint, ", B50, "::bigint);"))</f>
        <v>PERFORM "SchSysConfig"."Func_TblAppObject_MenuGroupMember_SET"(varSystemLoginSession, null, null, null, varInstitutionBranchID, varBaseCurrencyID, 254000000000009::bigint, 97000000000049::bigint);</v>
      </c>
      <c r="K50" s="9" t="s">
        <v>3</v>
      </c>
      <c r="L50" s="1" t="str">
        <f aca="false">IF(EXACT(K50,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IF(EXACT($G50, ""), "null", CONCATENATE("'", SUBSTITUTE($G50, "'", "\'"), "'")), "::bigint,",
"'menu_RefID', ", IF(EXACT($B50, ""), "null", CONCATENATE("'", SUBSTITUTE($B50,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'254000000000009'::bigint,'menu_RefID', '97000000000049'::bigint)))::varchar;</v>
      </c>
    </row>
    <row r="51" customFormat="false" ht="12.75" hidden="false" customHeight="false" outlineLevel="0" collapsed="false">
      <c r="B51" s="4" t="n">
        <f aca="false">[1]Main!$E51</f>
        <v>97000000000050</v>
      </c>
      <c r="C51" s="5" t="str">
        <f aca="false">VLOOKUP($B51, [1]Main!$E$2:$G$374, 2, FALSE())</f>
        <v>Module.SupplyChain.Data.MaterialReturn.Transaction</v>
      </c>
      <c r="D51" s="6" t="str">
        <f aca="false">VLOOKUP($B51, [1]Main!$E$2:$G$374, 3, FALSE())</f>
        <v>Material Return</v>
      </c>
      <c r="F51" s="7" t="s">
        <v>7</v>
      </c>
      <c r="G51" s="4" t="n">
        <f aca="false">IF(EXACT($F51, ""), "", VLOOKUP($F51, [2]Main!$B$2:$E$30, 4, FALSE()))</f>
        <v>254000000000009</v>
      </c>
      <c r="H51" s="1" t="n">
        <v>50</v>
      </c>
      <c r="I51" s="8" t="str">
        <f aca="false">IF(EXACT(G51, ""), "", CONCATENATE("PERFORM ""SchSysConfig"".""Func_TblAppObject_MenuGroupMember_SET""(varSystemLoginSession, null, null, null, varInstitutionBranchID, varBaseCurrencyID, ", G51, "::bigint, ", B51, "::bigint);"))</f>
        <v>PERFORM "SchSysConfig"."Func_TblAppObject_MenuGroupMember_SET"(varSystemLoginSession, null, null, null, varInstitutionBranchID, varBaseCurrencyID, 254000000000009::bigint, 97000000000050::bigint);</v>
      </c>
      <c r="K51" s="9" t="s">
        <v>3</v>
      </c>
      <c r="L51" s="1" t="str">
        <f aca="false">IF(EXACT(K51,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IF(EXACT($G51, ""), "null", CONCATENATE("'", SUBSTITUTE($G51, "'", "\'"), "'")), "::bigint,",
"'menu_RefID', ", IF(EXACT($B51, ""), "null", CONCATENATE("'", SUBSTITUTE($B51,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'254000000000009'::bigint,'menu_RefID', '97000000000050'::bigint)))::varchar;</v>
      </c>
    </row>
    <row r="52" customFormat="false" ht="12.75" hidden="false" customHeight="false" outlineLevel="0" collapsed="false">
      <c r="B52" s="4" t="n">
        <f aca="false">[1]Main!$E52</f>
        <v>97000000000051</v>
      </c>
      <c r="C52" s="5" t="str">
        <f aca="false">VLOOKUP($B52, [1]Main!$E$2:$G$374, 2, FALSE())</f>
        <v>Module.SupplyChain.Data.MaterialReturn.Report.DataList</v>
      </c>
      <c r="D52" s="6" t="str">
        <f aca="false">VLOOKUP($B52, [1]Main!$E$2:$G$374, 3, FALSE())</f>
        <v>Report Material Return Summary</v>
      </c>
      <c r="F52" s="7" t="s">
        <v>7</v>
      </c>
      <c r="G52" s="4" t="n">
        <f aca="false">IF(EXACT($F52, ""), "", VLOOKUP($F52, [2]Main!$B$2:$E$30, 4, FALSE()))</f>
        <v>254000000000009</v>
      </c>
      <c r="H52" s="1" t="n">
        <v>51</v>
      </c>
      <c r="I52" s="8" t="str">
        <f aca="false">IF(EXACT(G52, ""), "", CONCATENATE("PERFORM ""SchSysConfig"".""Func_TblAppObject_MenuGroupMember_SET""(varSystemLoginSession, null, null, null, varInstitutionBranchID, varBaseCurrencyID, ", G52, "::bigint, ", B52, "::bigint);"))</f>
        <v>PERFORM "SchSysConfig"."Func_TblAppObject_MenuGroupMember_SET"(varSystemLoginSession, null, null, null, varInstitutionBranchID, varBaseCurrencyID, 254000000000009::bigint, 97000000000051::bigint);</v>
      </c>
      <c r="K52" s="9" t="s">
        <v>3</v>
      </c>
      <c r="L52" s="1" t="str">
        <f aca="false">IF(EXACT(K52,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IF(EXACT($G52, ""), "null", CONCATENATE("'", SUBSTITUTE($G52, "'", "\'"), "'")), "::bigint,",
"'menu_RefID', ", IF(EXACT($B52, ""), "null", CONCATENATE("'", SUBSTITUTE($B52,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'254000000000009'::bigint,'menu_RefID', '97000000000051'::bigint)))::varchar;</v>
      </c>
    </row>
    <row r="53" customFormat="false" ht="12.75" hidden="false" customHeight="false" outlineLevel="0" collapsed="false">
      <c r="B53" s="4" t="n">
        <f aca="false">[1]Main!$E53</f>
        <v>97000000000052</v>
      </c>
      <c r="C53" s="5" t="str">
        <f aca="false">VLOOKUP($B53, [1]Main!$E$2:$G$374, 2, FALSE())</f>
        <v>Module.SupplyChain.Data.PhysicalInventoryCount.Transaction</v>
      </c>
      <c r="D53" s="6" t="str">
        <f aca="false">VLOOKUP($B53, [1]Main!$E$2:$G$374, 3, FALSE())</f>
        <v>Stock Opname</v>
      </c>
      <c r="F53" s="7" t="s">
        <v>7</v>
      </c>
      <c r="G53" s="4" t="n">
        <f aca="false">IF(EXACT($F53, ""), "", VLOOKUP($F53, [2]Main!$B$2:$E$30, 4, FALSE()))</f>
        <v>254000000000009</v>
      </c>
      <c r="H53" s="1" t="n">
        <v>52</v>
      </c>
      <c r="I53" s="8" t="str">
        <f aca="false">IF(EXACT(G53, ""), "", CONCATENATE("PERFORM ""SchSysConfig"".""Func_TblAppObject_MenuGroupMember_SET""(varSystemLoginSession, null, null, null, varInstitutionBranchID, varBaseCurrencyID, ", G53, "::bigint, ", B53, "::bigint);"))</f>
        <v>PERFORM "SchSysConfig"."Func_TblAppObject_MenuGroupMember_SET"(varSystemLoginSession, null, null, null, varInstitutionBranchID, varBaseCurrencyID, 254000000000009::bigint, 97000000000052::bigint);</v>
      </c>
      <c r="K53" s="9" t="s">
        <v>3</v>
      </c>
      <c r="L53" s="1" t="str">
        <f aca="false">IF(EXACT(K53,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IF(EXACT($G53, ""), "null", CONCATENATE("'", SUBSTITUTE($G53, "'", "\'"), "'")), "::bigint,",
"'menu_RefID', ", IF(EXACT($B53, ""), "null", CONCATENATE("'", SUBSTITUTE($B53,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'254000000000009'::bigint,'menu_RefID', '97000000000052'::bigint)))::varchar;</v>
      </c>
    </row>
    <row r="54" customFormat="false" ht="12.75" hidden="false" customHeight="false" outlineLevel="0" collapsed="false">
      <c r="B54" s="4" t="n">
        <f aca="false">[1]Main!$E54</f>
        <v>97000000000053</v>
      </c>
      <c r="C54" s="5" t="str">
        <f aca="false">VLOOKUP($B54, [1]Main!$E$2:$G$374, 2, FALSE())</f>
        <v>Module.SupplyChain.Data.PhysicalInventoryCount.Report.DataList</v>
      </c>
      <c r="D54" s="6" t="str">
        <f aca="false">VLOOKUP($B54, [1]Main!$E$2:$G$374, 3, FALSE())</f>
        <v>Report Stock Opname Summary</v>
      </c>
      <c r="F54" s="7" t="s">
        <v>7</v>
      </c>
      <c r="G54" s="4" t="n">
        <f aca="false">IF(EXACT($F54, ""), "", VLOOKUP($F54, [2]Main!$B$2:$E$30, 4, FALSE()))</f>
        <v>254000000000009</v>
      </c>
      <c r="H54" s="1" t="n">
        <v>53</v>
      </c>
      <c r="I54" s="8" t="str">
        <f aca="false">IF(EXACT(G54, ""), "", CONCATENATE("PERFORM ""SchSysConfig"".""Func_TblAppObject_MenuGroupMember_SET""(varSystemLoginSession, null, null, null, varInstitutionBranchID, varBaseCurrencyID, ", G54, "::bigint, ", B54, "::bigint);"))</f>
        <v>PERFORM "SchSysConfig"."Func_TblAppObject_MenuGroupMember_SET"(varSystemLoginSession, null, null, null, varInstitutionBranchID, varBaseCurrencyID, 254000000000009::bigint, 97000000000053::bigint);</v>
      </c>
      <c r="K54" s="9" t="s">
        <v>3</v>
      </c>
      <c r="L54" s="1" t="str">
        <f aca="false">IF(EXACT(K54,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IF(EXACT($G54, ""), "null", CONCATENATE("'", SUBSTITUTE($G54, "'", "\'"), "'")), "::bigint,",
"'menu_RefID', ", IF(EXACT($B54, ""), "null", CONCATENATE("'", SUBSTITUTE($B54,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'254000000000009'::bigint,'menu_RefID', '97000000000053'::bigint)))::varchar;</v>
      </c>
    </row>
    <row r="55" customFormat="false" ht="12.75" hidden="false" customHeight="false" outlineLevel="0" collapsed="false">
      <c r="B55" s="4" t="n">
        <f aca="false">[1]Main!$E55</f>
        <v>97000000000054</v>
      </c>
      <c r="C55" s="5" t="str">
        <f aca="false">VLOOKUP($B55, [1]Main!$E$2:$G$374, 2, FALSE())</f>
        <v>Module.Finance.Data.Advance.Transaction</v>
      </c>
      <c r="D55" s="6" t="str">
        <f aca="false">VLOOKUP($B55, [1]Main!$E$2:$G$374, 3, FALSE())</f>
        <v>Advance Request</v>
      </c>
      <c r="F55" s="7" t="s">
        <v>8</v>
      </c>
      <c r="G55" s="4" t="n">
        <f aca="false">IF(EXACT($F55, ""), "", VLOOKUP($F55, [2]Main!$B$2:$E$30, 4, FALSE()))</f>
        <v>254000000000008</v>
      </c>
      <c r="H55" s="1" t="n">
        <v>54</v>
      </c>
      <c r="I55" s="8" t="str">
        <f aca="false">IF(EXACT(G55, ""), "", CONCATENATE("PERFORM ""SchSysConfig"".""Func_TblAppObject_MenuGroupMember_SET""(varSystemLoginSession, null, null, null, varInstitutionBranchID, varBaseCurrencyID, ", G55, "::bigint, ", B55, "::bigint);"))</f>
        <v>PERFORM "SchSysConfig"."Func_TblAppObject_MenuGroupMember_SET"(varSystemLoginSession, null, null, null, varInstitutionBranchID, varBaseCurrencyID, 254000000000008::bigint, 97000000000054::bigint);</v>
      </c>
      <c r="K55" s="9" t="s">
        <v>3</v>
      </c>
      <c r="L55" s="1" t="str">
        <f aca="false">IF(EXACT(K55,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IF(EXACT($G55, ""), "null", CONCATENATE("'", SUBSTITUTE($G55, "'", "\'"), "'")), "::bigint,",
"'menu_RefID', ", IF(EXACT($B55, ""), "null", CONCATENATE("'", SUBSTITUTE($B55,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'254000000000008'::bigint,'menu_RefID', '97000000000054'::bigint)))::varchar;</v>
      </c>
    </row>
    <row r="56" customFormat="false" ht="12.75" hidden="false" customHeight="false" outlineLevel="0" collapsed="false">
      <c r="B56" s="4" t="n">
        <f aca="false">[1]Main!$E56</f>
        <v>97000000000055</v>
      </c>
      <c r="C56" s="5" t="str">
        <f aca="false">VLOOKUP($B56, [1]Main!$E$2:$G$374, 2, FALSE())</f>
        <v>Module.Finance.Data.Advance.Report.DataList</v>
      </c>
      <c r="D56" s="6" t="str">
        <f aca="false">VLOOKUP($B56, [1]Main!$E$2:$G$374, 3, FALSE())</f>
        <v>Report Advance Summary</v>
      </c>
      <c r="F56" s="7" t="s">
        <v>8</v>
      </c>
      <c r="G56" s="4" t="n">
        <f aca="false">IF(EXACT($F56, ""), "", VLOOKUP($F56, [2]Main!$B$2:$E$30, 4, FALSE()))</f>
        <v>254000000000008</v>
      </c>
      <c r="H56" s="1" t="n">
        <v>55</v>
      </c>
      <c r="I56" s="8" t="str">
        <f aca="false">IF(EXACT(G56, ""), "", CONCATENATE("PERFORM ""SchSysConfig"".""Func_TblAppObject_MenuGroupMember_SET""(varSystemLoginSession, null, null, null, varInstitutionBranchID, varBaseCurrencyID, ", G56, "::bigint, ", B56, "::bigint);"))</f>
        <v>PERFORM "SchSysConfig"."Func_TblAppObject_MenuGroupMember_SET"(varSystemLoginSession, null, null, null, varInstitutionBranchID, varBaseCurrencyID, 254000000000008::bigint, 97000000000055::bigint);</v>
      </c>
      <c r="K56" s="9" t="s">
        <v>3</v>
      </c>
      <c r="L56" s="1" t="str">
        <f aca="false">IF(EXACT(K56,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IF(EXACT($G56, ""), "null", CONCATENATE("'", SUBSTITUTE($G56, "'", "\'"), "'")), "::bigint,",
"'menu_RefID', ", IF(EXACT($B56, ""), "null", CONCATENATE("'", SUBSTITUTE($B56,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'254000000000008'::bigint,'menu_RefID', '97000000000055'::bigint)))::varchar;</v>
      </c>
    </row>
    <row r="57" customFormat="false" ht="12.75" hidden="false" customHeight="false" outlineLevel="0" collapsed="false">
      <c r="B57" s="4" t="n">
        <f aca="false">[1]Main!$E57</f>
        <v>97000000000056</v>
      </c>
      <c r="C57" s="5" t="str">
        <f aca="false">VLOOKUP($B57, [1]Main!$E$2:$G$374, 2, FALSE())</f>
        <v>Module.Finance.Data.AdvanceToAdvanceSettlement.Report.DataList</v>
      </c>
      <c r="D57" s="6" t="str">
        <f aca="false">VLOOKUP($B57, [1]Main!$E$2:$G$374, 3, FALSE())</f>
        <v>Report Advance to Advance Settlement</v>
      </c>
      <c r="F57" s="7" t="s">
        <v>8</v>
      </c>
      <c r="G57" s="4" t="n">
        <f aca="false">IF(EXACT($F57, ""), "", VLOOKUP($F57, [2]Main!$B$2:$E$30, 4, FALSE()))</f>
        <v>254000000000008</v>
      </c>
      <c r="H57" s="1" t="n">
        <v>56</v>
      </c>
      <c r="I57" s="8" t="str">
        <f aca="false">IF(EXACT(G57, ""), "", CONCATENATE("PERFORM ""SchSysConfig"".""Func_TblAppObject_MenuGroupMember_SET""(varSystemLoginSession, null, null, null, varInstitutionBranchID, varBaseCurrencyID, ", G57, "::bigint, ", B57, "::bigint);"))</f>
        <v>PERFORM "SchSysConfig"."Func_TblAppObject_MenuGroupMember_SET"(varSystemLoginSession, null, null, null, varInstitutionBranchID, varBaseCurrencyID, 254000000000008::bigint, 97000000000056::bigint);</v>
      </c>
      <c r="K57" s="9" t="s">
        <v>3</v>
      </c>
      <c r="L57" s="1" t="str">
        <f aca="false">IF(EXACT(K57,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IF(EXACT($G57, ""), "null", CONCATENATE("'", SUBSTITUTE($G57, "'", "\'"), "'")), "::bigint,",
"'menu_RefID', ", IF(EXACT($B57, ""), "null", CONCATENATE("'", SUBSTITUTE($B57,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'254000000000008'::bigint,'menu_RefID', '97000000000056'::bigint)))::varchar;</v>
      </c>
    </row>
    <row r="58" customFormat="false" ht="12.75" hidden="false" customHeight="false" outlineLevel="0" collapsed="false">
      <c r="B58" s="4" t="n">
        <f aca="false">[1]Main!$E58</f>
        <v>97000000000057</v>
      </c>
      <c r="C58" s="5" t="str">
        <f aca="false">VLOOKUP($B58, [1]Main!$E$2:$G$374, 2, FALSE())</f>
        <v>Module.Finance.Data.AdvanceSettlement.Transaction</v>
      </c>
      <c r="D58" s="6" t="str">
        <f aca="false">VLOOKUP($B58, [1]Main!$E$2:$G$374, 3, FALSE())</f>
        <v>AdvanceSettlement</v>
      </c>
      <c r="F58" s="7" t="s">
        <v>8</v>
      </c>
      <c r="G58" s="4" t="n">
        <f aca="false">IF(EXACT($F58, ""), "", VLOOKUP($F58, [2]Main!$B$2:$E$30, 4, FALSE()))</f>
        <v>254000000000008</v>
      </c>
      <c r="H58" s="1" t="n">
        <v>57</v>
      </c>
      <c r="I58" s="8" t="str">
        <f aca="false">IF(EXACT(G58, ""), "", CONCATENATE("PERFORM ""SchSysConfig"".""Func_TblAppObject_MenuGroupMember_SET""(varSystemLoginSession, null, null, null, varInstitutionBranchID, varBaseCurrencyID, ", G58, "::bigint, ", B58, "::bigint);"))</f>
        <v>PERFORM "SchSysConfig"."Func_TblAppObject_MenuGroupMember_SET"(varSystemLoginSession, null, null, null, varInstitutionBranchID, varBaseCurrencyID, 254000000000008::bigint, 97000000000057::bigint);</v>
      </c>
      <c r="K58" s="9" t="s">
        <v>3</v>
      </c>
      <c r="L58" s="1" t="str">
        <f aca="false">IF(EXACT(K58,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IF(EXACT($G58, ""), "null", CONCATENATE("'", SUBSTITUTE($G58, "'", "\'"), "'")), "::bigint,",
"'menu_RefID', ", IF(EXACT($B58, ""), "null", CONCATENATE("'", SUBSTITUTE($B58,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'254000000000008'::bigint,'menu_RefID', '97000000000057'::bigint)))::varchar;</v>
      </c>
    </row>
    <row r="59" customFormat="false" ht="12.75" hidden="false" customHeight="false" outlineLevel="0" collapsed="false">
      <c r="B59" s="4" t="n">
        <f aca="false">[1]Main!$E59</f>
        <v>97000000000058</v>
      </c>
      <c r="C59" s="5" t="str">
        <f aca="false">VLOOKUP($B59, [1]Main!$E$2:$G$374, 2, FALSE())</f>
        <v>Module.Finance.Data.AdvanceSettlement.Report.DataList</v>
      </c>
      <c r="D59" s="6" t="str">
        <f aca="false">VLOOKUP($B59, [1]Main!$E$2:$G$374, 3, FALSE())</f>
        <v>Report Advance Settlement Summary</v>
      </c>
      <c r="F59" s="7" t="s">
        <v>8</v>
      </c>
      <c r="G59" s="4" t="n">
        <f aca="false">IF(EXACT($F59, ""), "", VLOOKUP($F59, [2]Main!$B$2:$E$30, 4, FALSE()))</f>
        <v>254000000000008</v>
      </c>
      <c r="H59" s="1" t="n">
        <v>58</v>
      </c>
      <c r="I59" s="8" t="str">
        <f aca="false">IF(EXACT(G59, ""), "", CONCATENATE("PERFORM ""SchSysConfig"".""Func_TblAppObject_MenuGroupMember_SET""(varSystemLoginSession, null, null, null, varInstitutionBranchID, varBaseCurrencyID, ", G59, "::bigint, ", B59, "::bigint);"))</f>
        <v>PERFORM "SchSysConfig"."Func_TblAppObject_MenuGroupMember_SET"(varSystemLoginSession, null, null, null, varInstitutionBranchID, varBaseCurrencyID, 254000000000008::bigint, 97000000000058::bigint);</v>
      </c>
      <c r="K59" s="9" t="s">
        <v>3</v>
      </c>
      <c r="L59" s="1" t="str">
        <f aca="false">IF(EXACT(K59,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IF(EXACT($G59, ""), "null", CONCATENATE("'", SUBSTITUTE($G59, "'", "\'"), "'")), "::bigint,",
"'menu_RefID', ", IF(EXACT($B59, ""), "null", CONCATENATE("'", SUBSTITUTE($B59,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'254000000000008'::bigint,'menu_RefID', '97000000000058'::bigint)))::varchar;</v>
      </c>
    </row>
    <row r="60" customFormat="false" ht="12.75" hidden="false" customHeight="false" outlineLevel="0" collapsed="false">
      <c r="B60" s="4" t="n">
        <f aca="false">[1]Main!$E60</f>
        <v>97000000000059</v>
      </c>
      <c r="C60" s="5" t="str">
        <f aca="false">VLOOKUP($B60, [1]Main!$E$2:$G$374, 2, FALSE())</f>
        <v>Module.Finance.Data.PersonBusinessTrip.Transaction</v>
      </c>
      <c r="D60" s="6" t="str">
        <f aca="false">VLOOKUP($B60, [1]Main!$E$2:$G$374, 3, FALSE())</f>
        <v>BusinessTrip Request</v>
      </c>
      <c r="F60" s="7" t="s">
        <v>8</v>
      </c>
      <c r="G60" s="4" t="n">
        <f aca="false">IF(EXACT($F60, ""), "", VLOOKUP($F60, [2]Main!$B$2:$E$30, 4, FALSE()))</f>
        <v>254000000000008</v>
      </c>
      <c r="H60" s="1" t="n">
        <v>59</v>
      </c>
      <c r="I60" s="8" t="str">
        <f aca="false">IF(EXACT(G60, ""), "", CONCATENATE("PERFORM ""SchSysConfig"".""Func_TblAppObject_MenuGroupMember_SET""(varSystemLoginSession, null, null, null, varInstitutionBranchID, varBaseCurrencyID, ", G60, "::bigint, ", B60, "::bigint);"))</f>
        <v>PERFORM "SchSysConfig"."Func_TblAppObject_MenuGroupMember_SET"(varSystemLoginSession, null, null, null, varInstitutionBranchID, varBaseCurrencyID, 254000000000008::bigint, 97000000000059::bigint);</v>
      </c>
      <c r="K60" s="9" t="s">
        <v>3</v>
      </c>
      <c r="L60" s="1" t="str">
        <f aca="false">IF(EXACT(K60,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IF(EXACT($G60, ""), "null", CONCATENATE("'", SUBSTITUTE($G60, "'", "\'"), "'")), "::bigint,",
"'menu_RefID', ", IF(EXACT($B60, ""), "null", CONCATENATE("'", SUBSTITUTE($B60,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'254000000000008'::bigint,'menu_RefID', '97000000000059'::bigint)))::varchar;</v>
      </c>
    </row>
    <row r="61" customFormat="false" ht="12.75" hidden="false" customHeight="false" outlineLevel="0" collapsed="false">
      <c r="B61" s="4" t="n">
        <f aca="false">[1]Main!$E61</f>
        <v>97000000000060</v>
      </c>
      <c r="C61" s="5" t="str">
        <f aca="false">VLOOKUP($B61, [1]Main!$E$2:$G$374, 2, FALSE())</f>
        <v>Module.Finance.Data.PersonBusinessTrip.Report.DataList</v>
      </c>
      <c r="D61" s="6" t="str">
        <f aca="false">VLOOKUP($B61, [1]Main!$E$2:$G$374, 3, FALSE())</f>
        <v>Report BusinessTrip Request Summary</v>
      </c>
      <c r="F61" s="7" t="s">
        <v>8</v>
      </c>
      <c r="G61" s="4" t="n">
        <f aca="false">IF(EXACT($F61, ""), "", VLOOKUP($F61, [2]Main!$B$2:$E$30, 4, FALSE()))</f>
        <v>254000000000008</v>
      </c>
      <c r="H61" s="1" t="n">
        <v>60</v>
      </c>
      <c r="I61" s="8" t="str">
        <f aca="false">IF(EXACT(G61, ""), "", CONCATENATE("PERFORM ""SchSysConfig"".""Func_TblAppObject_MenuGroupMember_SET""(varSystemLoginSession, null, null, null, varInstitutionBranchID, varBaseCurrencyID, ", G61, "::bigint, ", B61, "::bigint);"))</f>
        <v>PERFORM "SchSysConfig"."Func_TblAppObject_MenuGroupMember_SET"(varSystemLoginSession, null, null, null, varInstitutionBranchID, varBaseCurrencyID, 254000000000008::bigint, 97000000000060::bigint);</v>
      </c>
      <c r="K61" s="9" t="s">
        <v>3</v>
      </c>
      <c r="L61" s="1" t="str">
        <f aca="false">IF(EXACT(K61,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IF(EXACT($G61, ""), "null", CONCATENATE("'", SUBSTITUTE($G61, "'", "\'"), "'")), "::bigint,",
"'menu_RefID', ", IF(EXACT($B61, ""), "null", CONCATENATE("'", SUBSTITUTE($B61,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'254000000000008'::bigint,'menu_RefID', '97000000000060'::bigint)))::varchar;</v>
      </c>
    </row>
    <row r="62" customFormat="false" ht="12.75" hidden="false" customHeight="false" outlineLevel="0" collapsed="false">
      <c r="B62" s="4" t="n">
        <f aca="false">[1]Main!$E62</f>
        <v>97000000000061</v>
      </c>
      <c r="C62" s="5" t="str">
        <f aca="false">VLOOKUP($B62, [1]Main!$E$2:$G$374, 2, FALSE())</f>
        <v>Module.Finance.Data.PersonBusinessTripToPersonBusinessTripSettlement.Report.DataList</v>
      </c>
      <c r="D62" s="6" t="str">
        <f aca="false">VLOOKUP($B62, [1]Main!$E$2:$G$374, 3, FALSE())</f>
        <v>Report BusinessTrip to BusinessTrip Settlement</v>
      </c>
      <c r="F62" s="7" t="s">
        <v>8</v>
      </c>
      <c r="G62" s="4" t="n">
        <f aca="false">IF(EXACT($F62, ""), "", VLOOKUP($F62, [2]Main!$B$2:$E$30, 4, FALSE()))</f>
        <v>254000000000008</v>
      </c>
      <c r="H62" s="1" t="n">
        <v>61</v>
      </c>
      <c r="I62" s="8" t="str">
        <f aca="false">IF(EXACT(G62, ""), "", CONCATENATE("PERFORM ""SchSysConfig"".""Func_TblAppObject_MenuGroupMember_SET""(varSystemLoginSession, null, null, null, varInstitutionBranchID, varBaseCurrencyID, ", G62, "::bigint, ", B62, "::bigint);"))</f>
        <v>PERFORM "SchSysConfig"."Func_TblAppObject_MenuGroupMember_SET"(varSystemLoginSession, null, null, null, varInstitutionBranchID, varBaseCurrencyID, 254000000000008::bigint, 97000000000061::bigint);</v>
      </c>
      <c r="K62" s="9" t="s">
        <v>3</v>
      </c>
      <c r="L62" s="1" t="str">
        <f aca="false">IF(EXACT(K62,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IF(EXACT($G62, ""), "null", CONCATENATE("'", SUBSTITUTE($G62, "'", "\'"), "'")), "::bigint,",
"'menu_RefID', ", IF(EXACT($B62, ""), "null", CONCATENATE("'", SUBSTITUTE($B62,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'254000000000008'::bigint,'menu_RefID', '97000000000061'::bigint)))::varchar;</v>
      </c>
    </row>
    <row r="63" customFormat="false" ht="12.75" hidden="false" customHeight="false" outlineLevel="0" collapsed="false">
      <c r="B63" s="4" t="n">
        <f aca="false">[1]Main!$E63</f>
        <v>97000000000062</v>
      </c>
      <c r="C63" s="5" t="str">
        <f aca="false">VLOOKUP($B63, [1]Main!$E$2:$G$374, 2, FALSE())</f>
        <v>Module.Finance.Data.PersonBusinessTripSettlement.Transaction</v>
      </c>
      <c r="D63" s="6" t="str">
        <f aca="false">VLOOKUP($B63, [1]Main!$E$2:$G$374, 3, FALSE())</f>
        <v>BusinessTrip Settlement</v>
      </c>
      <c r="F63" s="7" t="s">
        <v>8</v>
      </c>
      <c r="G63" s="4" t="n">
        <f aca="false">IF(EXACT($F63, ""), "", VLOOKUP($F63, [2]Main!$B$2:$E$30, 4, FALSE()))</f>
        <v>254000000000008</v>
      </c>
      <c r="H63" s="1" t="n">
        <v>62</v>
      </c>
      <c r="I63" s="8" t="str">
        <f aca="false">IF(EXACT(G63, ""), "", CONCATENATE("PERFORM ""SchSysConfig"".""Func_TblAppObject_MenuGroupMember_SET""(varSystemLoginSession, null, null, null, varInstitutionBranchID, varBaseCurrencyID, ", G63, "::bigint, ", B63, "::bigint);"))</f>
        <v>PERFORM "SchSysConfig"."Func_TblAppObject_MenuGroupMember_SET"(varSystemLoginSession, null, null, null, varInstitutionBranchID, varBaseCurrencyID, 254000000000008::bigint, 97000000000062::bigint);</v>
      </c>
      <c r="K63" s="9" t="s">
        <v>3</v>
      </c>
      <c r="L63" s="1" t="str">
        <f aca="false">IF(EXACT(K63,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IF(EXACT($G63, ""), "null", CONCATENATE("'", SUBSTITUTE($G63, "'", "\'"), "'")), "::bigint,",
"'menu_RefID', ", IF(EXACT($B63, ""), "null", CONCATENATE("'", SUBSTITUTE($B63,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'254000000000008'::bigint,'menu_RefID', '97000000000062'::bigint)))::varchar;</v>
      </c>
    </row>
    <row r="64" customFormat="false" ht="12.75" hidden="false" customHeight="false" outlineLevel="0" collapsed="false">
      <c r="B64" s="4" t="n">
        <f aca="false">[1]Main!$E64</f>
        <v>97000000000063</v>
      </c>
      <c r="C64" s="5" t="str">
        <f aca="false">VLOOKUP($B64, [1]Main!$E$2:$G$374, 2, FALSE())</f>
        <v>Module.Finance.Data.PersonBusinessTripSettlement.Report.DataList</v>
      </c>
      <c r="D64" s="6" t="str">
        <f aca="false">VLOOKUP($B64, [1]Main!$E$2:$G$374, 3, FALSE())</f>
        <v>Report BusinessTrip Settlement Summary</v>
      </c>
      <c r="F64" s="7" t="s">
        <v>8</v>
      </c>
      <c r="G64" s="4" t="n">
        <f aca="false">IF(EXACT($F64, ""), "", VLOOKUP($F64, [2]Main!$B$2:$E$30, 4, FALSE()))</f>
        <v>254000000000008</v>
      </c>
      <c r="H64" s="1" t="n">
        <v>63</v>
      </c>
      <c r="I64" s="8" t="str">
        <f aca="false">IF(EXACT(G64, ""), "", CONCATENATE("PERFORM ""SchSysConfig"".""Func_TblAppObject_MenuGroupMember_SET""(varSystemLoginSession, null, null, null, varInstitutionBranchID, varBaseCurrencyID, ", G64, "::bigint, ", B64, "::bigint);"))</f>
        <v>PERFORM "SchSysConfig"."Func_TblAppObject_MenuGroupMember_SET"(varSystemLoginSession, null, null, null, varInstitutionBranchID, varBaseCurrencyID, 254000000000008::bigint, 97000000000063::bigint);</v>
      </c>
      <c r="K64" s="9" t="s">
        <v>3</v>
      </c>
      <c r="L64" s="1" t="str">
        <f aca="false">IF(EXACT(K64,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IF(EXACT($G64, ""), "null", CONCATENATE("'", SUBSTITUTE($G64, "'", "\'"), "'")), "::bigint,",
"'menu_RefID', ", IF(EXACT($B64, ""), "null", CONCATENATE("'", SUBSTITUTE($B64,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'254000000000008'::bigint,'menu_RefID', '97000000000063'::bigint)))::varchar;</v>
      </c>
    </row>
    <row r="65" customFormat="false" ht="12.75" hidden="false" customHeight="false" outlineLevel="0" collapsed="false">
      <c r="B65" s="4" t="n">
        <f aca="false">[1]Main!$E65</f>
        <v>97000000000064</v>
      </c>
      <c r="C65" s="5" t="str">
        <f aca="false">VLOOKUP($B65, [1]Main!$E$2:$G$374, 2, FALSE())</f>
        <v>Module.SupplyChain.MasterData.Supplier.Transaction</v>
      </c>
      <c r="D65" s="6" t="str">
        <f aca="false">VLOOKUP($B65, [1]Main!$E$2:$G$374, 3, FALSE())</f>
        <v>Supplier</v>
      </c>
      <c r="F65" s="7" t="s">
        <v>9</v>
      </c>
      <c r="G65" s="4" t="n">
        <f aca="false">IF(EXACT($F65, ""), "", VLOOKUP($F65, [2]Main!$B$2:$E$30, 4, FALSE()))</f>
        <v>254000000000010</v>
      </c>
      <c r="H65" s="1" t="n">
        <v>64</v>
      </c>
      <c r="I65" s="8" t="str">
        <f aca="false">IF(EXACT(G65, ""), "", CONCATENATE("PERFORM ""SchSysConfig"".""Func_TblAppObject_MenuGroupMember_SET""(varSystemLoginSession, null, null, null, varInstitutionBranchID, varBaseCurrencyID, ", G65, "::bigint, ", B65, "::bigint);"))</f>
        <v>PERFORM "SchSysConfig"."Func_TblAppObject_MenuGroupMember_SET"(varSystemLoginSession, null, null, null, varInstitutionBranchID, varBaseCurrencyID, 254000000000010::bigint, 97000000000064::bigint);</v>
      </c>
      <c r="K65" s="9" t="s">
        <v>3</v>
      </c>
      <c r="L65" s="1" t="str">
        <f aca="false">IF(EXACT(K65,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IF(EXACT($G65, ""), "null", CONCATENATE("'", SUBSTITUTE($G65, "'", "\'"), "'")), "::bigint,",
"'menu_RefID', ", IF(EXACT($B65, ""), "null", CONCATENATE("'", SUBSTITUTE($B65,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'254000000000010'::bigint,'menu_RefID', '97000000000064'::bigint)))::varchar;</v>
      </c>
    </row>
    <row r="66" customFormat="false" ht="12.75" hidden="false" customHeight="false" outlineLevel="0" collapsed="false">
      <c r="B66" s="4" t="n">
        <f aca="false">[1]Main!$E66</f>
        <v>97000000000065</v>
      </c>
      <c r="C66" s="5" t="str">
        <f aca="false">VLOOKUP($B66, [1]Main!$E$2:$G$374, 2, FALSE())</f>
        <v>Module.SupplyChain.MasterData.SupplierCategory.Transaction</v>
      </c>
      <c r="D66" s="6" t="str">
        <f aca="false">VLOOKUP($B66, [1]Main!$E$2:$G$374, 3, FALSE())</f>
        <v>Supplier Category</v>
      </c>
      <c r="F66" s="7" t="s">
        <v>9</v>
      </c>
      <c r="G66" s="4" t="n">
        <f aca="false">IF(EXACT($F66, ""), "", VLOOKUP($F66, [2]Main!$B$2:$E$30, 4, FALSE()))</f>
        <v>254000000000010</v>
      </c>
      <c r="H66" s="1" t="n">
        <v>65</v>
      </c>
      <c r="I66" s="8" t="str">
        <f aca="false">IF(EXACT(G66, ""), "", CONCATENATE("PERFORM ""SchSysConfig"".""Func_TblAppObject_MenuGroupMember_SET""(varSystemLoginSession, null, null, null, varInstitutionBranchID, varBaseCurrencyID, ", G66, "::bigint, ", B66, "::bigint);"))</f>
        <v>PERFORM "SchSysConfig"."Func_TblAppObject_MenuGroupMember_SET"(varSystemLoginSession, null, null, null, varInstitutionBranchID, varBaseCurrencyID, 254000000000010::bigint, 97000000000065::bigint);</v>
      </c>
      <c r="K66" s="9" t="s">
        <v>3</v>
      </c>
      <c r="L66" s="1" t="str">
        <f aca="false">IF(EXACT(K66,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IF(EXACT($G66, ""), "null", CONCATENATE("'", SUBSTITUTE($G66, "'", "\'"), "'")), "::bigint,",
"'menu_RefID', ", IF(EXACT($B66, ""), "null", CONCATENATE("'", SUBSTITUTE($B66,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'254000000000010'::bigint,'menu_RefID', '97000000000065'::bigint)))::varchar;</v>
      </c>
    </row>
    <row r="67" customFormat="false" ht="12.75" hidden="false" customHeight="false" outlineLevel="0" collapsed="false">
      <c r="B67" s="4" t="n">
        <f aca="false">[1]Main!$E67</f>
        <v>97000000000066</v>
      </c>
      <c r="C67" s="5" t="str">
        <f aca="false">VLOOKUP($B67, [1]Main!$E$2:$G$374, 2, FALSE())</f>
        <v>Module.SupplyChain.MasterData.SupplierSubCategory.Transaction</v>
      </c>
      <c r="D67" s="6" t="str">
        <f aca="false">VLOOKUP($B67, [1]Main!$E$2:$G$374, 3, FALSE())</f>
        <v>Supplier Sub Category</v>
      </c>
      <c r="F67" s="7" t="s">
        <v>9</v>
      </c>
      <c r="G67" s="4" t="n">
        <f aca="false">IF(EXACT($F67, ""), "", VLOOKUP($F67, [2]Main!$B$2:$E$30, 4, FALSE()))</f>
        <v>254000000000010</v>
      </c>
      <c r="H67" s="1" t="n">
        <v>66</v>
      </c>
      <c r="I67" s="8" t="str">
        <f aca="false">IF(EXACT(G67, ""), "", CONCATENATE("PERFORM ""SchSysConfig"".""Func_TblAppObject_MenuGroupMember_SET""(varSystemLoginSession, null, null, null, varInstitutionBranchID, varBaseCurrencyID, ", G67, "::bigint, ", B67, "::bigint);"))</f>
        <v>PERFORM "SchSysConfig"."Func_TblAppObject_MenuGroupMember_SET"(varSystemLoginSession, null, null, null, varInstitutionBranchID, varBaseCurrencyID, 254000000000010::bigint, 97000000000066::bigint);</v>
      </c>
      <c r="K67" s="9" t="s">
        <v>3</v>
      </c>
      <c r="L67" s="1" t="str">
        <f aca="false">IF(EXACT(K67,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IF(EXACT($G67, ""), "null", CONCATENATE("'", SUBSTITUTE($G67, "'", "\'"), "'")), "::bigint,",
"'menu_RefID', ", IF(EXACT($B67, ""), "null", CONCATENATE("'", SUBSTITUTE($B67,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'254000000000010'::bigint,'menu_RefID', '97000000000066'::bigint)))::varchar;</v>
      </c>
    </row>
    <row r="68" customFormat="false" ht="12.75" hidden="false" customHeight="false" outlineLevel="0" collapsed="false">
      <c r="B68" s="4" t="n">
        <f aca="false">[1]Main!$E68</f>
        <v>97000000000067</v>
      </c>
      <c r="C68" s="5" t="str">
        <f aca="false">VLOOKUP($B68, [1]Main!$E$2:$G$374, 2, FALSE())</f>
        <v>Module.SupplyChain.Data.PurchaseRequisition.Transaction</v>
      </c>
      <c r="D68" s="6" t="str">
        <f aca="false">VLOOKUP($B68, [1]Main!$E$2:$G$374, 3, FALSE())</f>
        <v>Purchase Requisition</v>
      </c>
      <c r="F68" s="7" t="s">
        <v>9</v>
      </c>
      <c r="G68" s="4" t="n">
        <f aca="false">IF(EXACT($F68, ""), "", VLOOKUP($F68, [2]Main!$B$2:$E$30, 4, FALSE()))</f>
        <v>254000000000010</v>
      </c>
      <c r="H68" s="1" t="n">
        <v>67</v>
      </c>
      <c r="I68" s="8" t="str">
        <f aca="false">IF(EXACT(G68, ""), "", CONCATENATE("PERFORM ""SchSysConfig"".""Func_TblAppObject_MenuGroupMember_SET""(varSystemLoginSession, null, null, null, varInstitutionBranchID, varBaseCurrencyID, ", G68, "::bigint, ", B68, "::bigint);"))</f>
        <v>PERFORM "SchSysConfig"."Func_TblAppObject_MenuGroupMember_SET"(varSystemLoginSession, null, null, null, varInstitutionBranchID, varBaseCurrencyID, 254000000000010::bigint, 97000000000067::bigint);</v>
      </c>
      <c r="K68" s="9" t="s">
        <v>3</v>
      </c>
      <c r="L68" s="1" t="str">
        <f aca="false">IF(EXACT(K68,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IF(EXACT($G68, ""), "null", CONCATENATE("'", SUBSTITUTE($G68, "'", "\'"), "'")), "::bigint,",
"'menu_RefID', ", IF(EXACT($B68, ""), "null", CONCATENATE("'", SUBSTITUTE($B68,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'254000000000010'::bigint,'menu_RefID', '97000000000067'::bigint)))::varchar;</v>
      </c>
    </row>
    <row r="69" customFormat="false" ht="12.75" hidden="false" customHeight="false" outlineLevel="0" collapsed="false">
      <c r="B69" s="4" t="n">
        <f aca="false">[1]Main!$E69</f>
        <v>97000000000068</v>
      </c>
      <c r="C69" s="5" t="str">
        <f aca="false">VLOOKUP($B69, [1]Main!$E$2:$G$374, 2, FALSE())</f>
        <v>Module.SupplyChain.Data.PurchaseRequisition.Report.DataList</v>
      </c>
      <c r="D69" s="6" t="str">
        <f aca="false">VLOOKUP($B69, [1]Main!$E$2:$G$374, 3, FALSE())</f>
        <v>Report Purchase Requisition Summary</v>
      </c>
      <c r="F69" s="7" t="s">
        <v>9</v>
      </c>
      <c r="G69" s="4" t="n">
        <f aca="false">IF(EXACT($F69, ""), "", VLOOKUP($F69, [2]Main!$B$2:$E$30, 4, FALSE()))</f>
        <v>254000000000010</v>
      </c>
      <c r="H69" s="1" t="n">
        <v>68</v>
      </c>
      <c r="I69" s="8" t="str">
        <f aca="false">IF(EXACT(G69, ""), "", CONCATENATE("PERFORM ""SchSysConfig"".""Func_TblAppObject_MenuGroupMember_SET""(varSystemLoginSession, null, null, null, varInstitutionBranchID, varBaseCurrencyID, ", G69, "::bigint, ", B69, "::bigint);"))</f>
        <v>PERFORM "SchSysConfig"."Func_TblAppObject_MenuGroupMember_SET"(varSystemLoginSession, null, null, null, varInstitutionBranchID, varBaseCurrencyID, 254000000000010::bigint, 97000000000068::bigint);</v>
      </c>
      <c r="K69" s="9" t="s">
        <v>3</v>
      </c>
      <c r="L69" s="1" t="str">
        <f aca="false">IF(EXACT(K69,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IF(EXACT($G69, ""), "null", CONCATENATE("'", SUBSTITUTE($G69, "'", "\'"), "'")), "::bigint,",
"'menu_RefID', ", IF(EXACT($B69, ""), "null", CONCATENATE("'", SUBSTITUTE($B69,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'254000000000010'::bigint,'menu_RefID', '97000000000068'::bigint)))::varchar;</v>
      </c>
    </row>
    <row r="70" customFormat="false" ht="12.75" hidden="false" customHeight="false" outlineLevel="0" collapsed="false">
      <c r="B70" s="4" t="n">
        <f aca="false">[1]Main!$E70</f>
        <v>97000000000069</v>
      </c>
      <c r="C70" s="5" t="str">
        <f aca="false">VLOOKUP($B70, [1]Main!$E$2:$G$374, 2, FALSE())</f>
        <v>Module.SupplyChain.Data.PurchaseRequisitionToPurchaseOrder.Report.DataList</v>
      </c>
      <c r="D70" s="6" t="str">
        <f aca="false">VLOOKUP($B70, [1]Main!$E$2:$G$374, 3, FALSE())</f>
        <v>Report Purchase Requisition To Purchase Order</v>
      </c>
      <c r="F70" s="7" t="s">
        <v>9</v>
      </c>
      <c r="G70" s="4" t="n">
        <f aca="false">IF(EXACT($F70, ""), "", VLOOKUP($F70, [2]Main!$B$2:$E$30, 4, FALSE()))</f>
        <v>254000000000010</v>
      </c>
      <c r="H70" s="1" t="n">
        <v>69</v>
      </c>
      <c r="I70" s="8" t="str">
        <f aca="false">IF(EXACT(G70, ""), "", CONCATENATE("PERFORM ""SchSysConfig"".""Func_TblAppObject_MenuGroupMember_SET""(varSystemLoginSession, null, null, null, varInstitutionBranchID, varBaseCurrencyID, ", G70, "::bigint, ", B70, "::bigint);"))</f>
        <v>PERFORM "SchSysConfig"."Func_TblAppObject_MenuGroupMember_SET"(varSystemLoginSession, null, null, null, varInstitutionBranchID, varBaseCurrencyID, 254000000000010::bigint, 97000000000069::bigint);</v>
      </c>
      <c r="K70" s="9" t="s">
        <v>3</v>
      </c>
      <c r="L70" s="1" t="str">
        <f aca="false">IF(EXACT(K70,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IF(EXACT($G70, ""), "null", CONCATENATE("'", SUBSTITUTE($G70, "'", "\'"), "'")), "::bigint,",
"'menu_RefID', ", IF(EXACT($B70, ""), "null", CONCATENATE("'", SUBSTITUTE($B70,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'254000000000010'::bigint,'menu_RefID', '97000000000069'::bigint)))::varchar;</v>
      </c>
    </row>
    <row r="71" customFormat="false" ht="12.75" hidden="false" customHeight="false" outlineLevel="0" collapsed="false">
      <c r="B71" s="4" t="n">
        <f aca="false">[1]Main!$E71</f>
        <v>97000000000070</v>
      </c>
      <c r="C71" s="5" t="str">
        <f aca="false">VLOOKUP($B71, [1]Main!$E$2:$G$374, 2, FALSE())</f>
        <v>Module.SupplyChain.Data.PurchaseOrder.Transaction</v>
      </c>
      <c r="D71" s="6" t="str">
        <f aca="false">VLOOKUP($B71, [1]Main!$E$2:$G$374, 3, FALSE())</f>
        <v>Purchase Order</v>
      </c>
      <c r="F71" s="7" t="s">
        <v>9</v>
      </c>
      <c r="G71" s="4" t="n">
        <f aca="false">IF(EXACT($F71, ""), "", VLOOKUP($F71, [2]Main!$B$2:$E$30, 4, FALSE()))</f>
        <v>254000000000010</v>
      </c>
      <c r="H71" s="1" t="n">
        <v>70</v>
      </c>
      <c r="I71" s="8" t="str">
        <f aca="false">IF(EXACT(G71, ""), "", CONCATENATE("PERFORM ""SchSysConfig"".""Func_TblAppObject_MenuGroupMember_SET""(varSystemLoginSession, null, null, null, varInstitutionBranchID, varBaseCurrencyID, ", G71, "::bigint, ", B71, "::bigint);"))</f>
        <v>PERFORM "SchSysConfig"."Func_TblAppObject_MenuGroupMember_SET"(varSystemLoginSession, null, null, null, varInstitutionBranchID, varBaseCurrencyID, 254000000000010::bigint, 97000000000070::bigint);</v>
      </c>
      <c r="K71" s="9" t="s">
        <v>3</v>
      </c>
      <c r="L71" s="1" t="str">
        <f aca="false">IF(EXACT(K71,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IF(EXACT($G71, ""), "null", CONCATENATE("'", SUBSTITUTE($G71, "'", "\'"), "'")), "::bigint,",
"'menu_RefID', ", IF(EXACT($B71, ""), "null", CONCATENATE("'", SUBSTITUTE($B71,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'254000000000010'::bigint,'menu_RefID', '97000000000070'::bigint)))::varchar;</v>
      </c>
    </row>
    <row r="72" customFormat="false" ht="12.75" hidden="false" customHeight="false" outlineLevel="0" collapsed="false">
      <c r="B72" s="4" t="n">
        <f aca="false">[1]Main!$E72</f>
        <v>97000000000071</v>
      </c>
      <c r="C72" s="5" t="str">
        <f aca="false">VLOOKUP($B72, [1]Main!$E$2:$G$374, 2, FALSE())</f>
        <v>Module.SupplyChain.Data.PurchaseOrder.Report.DataList</v>
      </c>
      <c r="D72" s="6" t="str">
        <f aca="false">VLOOKUP($B72, [1]Main!$E$2:$G$374, 3, FALSE())</f>
        <v>Report Purchase Order Summary</v>
      </c>
      <c r="F72" s="7" t="s">
        <v>9</v>
      </c>
      <c r="G72" s="4" t="n">
        <f aca="false">IF(EXACT($F72, ""), "", VLOOKUP($F72, [2]Main!$B$2:$E$30, 4, FALSE()))</f>
        <v>254000000000010</v>
      </c>
      <c r="H72" s="1" t="n">
        <v>71</v>
      </c>
      <c r="I72" s="8" t="str">
        <f aca="false">IF(EXACT(G72, ""), "", CONCATENATE("PERFORM ""SchSysConfig"".""Func_TblAppObject_MenuGroupMember_SET""(varSystemLoginSession, null, null, null, varInstitutionBranchID, varBaseCurrencyID, ", G72, "::bigint, ", B72, "::bigint);"))</f>
        <v>PERFORM "SchSysConfig"."Func_TblAppObject_MenuGroupMember_SET"(varSystemLoginSession, null, null, null, varInstitutionBranchID, varBaseCurrencyID, 254000000000010::bigint, 97000000000071::bigint);</v>
      </c>
      <c r="K72" s="9" t="s">
        <v>3</v>
      </c>
      <c r="L72" s="1" t="str">
        <f aca="false">IF(EXACT(K72,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IF(EXACT($G72, ""), "null", CONCATENATE("'", SUBSTITUTE($G72, "'", "\'"), "'")), "::bigint,",
"'menu_RefID', ", IF(EXACT($B72, ""), "null", CONCATENATE("'", SUBSTITUTE($B72,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'254000000000010'::bigint,'menu_RefID', '97000000000071'::bigint)))::varchar;</v>
      </c>
    </row>
    <row r="73" customFormat="false" ht="12.75" hidden="false" customHeight="false" outlineLevel="0" collapsed="false">
      <c r="B73" s="4" t="n">
        <f aca="false">[1]Main!$E73</f>
        <v>97000000000072</v>
      </c>
      <c r="C73" s="5" t="str">
        <f aca="false">VLOOKUP($B73, [1]Main!$E$2:$G$374, 2, FALSE())</f>
        <v>Module.SupplyChain.Data.PurchaseOrderToPaymentInstruction.Report.DataList</v>
      </c>
      <c r="D73" s="6" t="str">
        <f aca="false">VLOOKUP($B73, [1]Main!$E$2:$G$374, 3, FALSE())</f>
        <v>Report Purchase Order to Account Payable Summary</v>
      </c>
      <c r="F73" s="7" t="s">
        <v>9</v>
      </c>
      <c r="G73" s="4" t="n">
        <f aca="false">IF(EXACT($F73, ""), "", VLOOKUP($F73, [2]Main!$B$2:$E$30, 4, FALSE()))</f>
        <v>254000000000010</v>
      </c>
      <c r="H73" s="1" t="n">
        <v>72</v>
      </c>
      <c r="I73" s="8" t="str">
        <f aca="false">IF(EXACT(G73, ""), "", CONCATENATE("PERFORM ""SchSysConfig"".""Func_TblAppObject_MenuGroupMember_SET""(varSystemLoginSession, null, null, null, varInstitutionBranchID, varBaseCurrencyID, ", G73, "::bigint, ", B73, "::bigint);"))</f>
        <v>PERFORM "SchSysConfig"."Func_TblAppObject_MenuGroupMember_SET"(varSystemLoginSession, null, null, null, varInstitutionBranchID, varBaseCurrencyID, 254000000000010::bigint, 97000000000072::bigint);</v>
      </c>
      <c r="K73" s="9" t="s">
        <v>3</v>
      </c>
      <c r="L73" s="1" t="str">
        <f aca="false">IF(EXACT(K73,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IF(EXACT($G73, ""), "null", CONCATENATE("'", SUBSTITUTE($G73, "'", "\'"), "'")), "::bigint,",
"'menu_RefID', ", IF(EXACT($B73, ""), "null", CONCATENATE("'", SUBSTITUTE($B73,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'254000000000010'::bigint,'menu_RefID', '97000000000072'::bigint)))::varchar;</v>
      </c>
    </row>
    <row r="74" customFormat="false" ht="12.75" hidden="false" customHeight="false" outlineLevel="0" collapsed="false">
      <c r="B74" s="4" t="n">
        <f aca="false">[1]Main!$E74</f>
        <v>97000000000073</v>
      </c>
      <c r="C74" s="5" t="str">
        <f aca="false">VLOOKUP($B74, [1]Main!$E$2:$G$374, 2, FALSE())</f>
        <v>Module.General.MasterData.Bank.Transaction</v>
      </c>
      <c r="D74" s="6" t="str">
        <f aca="false">VLOOKUP($B74, [1]Main!$E$2:$G$374, 3, FALSE())</f>
        <v>Bank</v>
      </c>
      <c r="F74" s="7" t="s">
        <v>10</v>
      </c>
      <c r="G74" s="4" t="n">
        <f aca="false">IF(EXACT($F74, ""), "", VLOOKUP($F74, [2]Main!$B$2:$E$30, 4, FALSE()))</f>
        <v>254000000000006</v>
      </c>
      <c r="H74" s="1" t="n">
        <v>73</v>
      </c>
      <c r="I74" s="8" t="str">
        <f aca="false">IF(EXACT(G74, ""), "", CONCATENATE("PERFORM ""SchSysConfig"".""Func_TblAppObject_MenuGroupMember_SET""(varSystemLoginSession, null, null, null, varInstitutionBranchID, varBaseCurrencyID, ", G74, "::bigint, ", B74, "::bigint);"))</f>
        <v>PERFORM "SchSysConfig"."Func_TblAppObject_MenuGroupMember_SET"(varSystemLoginSession, null, null, null, varInstitutionBranchID, varBaseCurrencyID, 254000000000006::bigint, 97000000000073::bigint);</v>
      </c>
      <c r="K74" s="9" t="s">
        <v>3</v>
      </c>
      <c r="L74" s="1" t="str">
        <f aca="false">IF(EXACT(K74,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IF(EXACT($G74, ""), "null", CONCATENATE("'", SUBSTITUTE($G74, "'", "\'"), "'")), "::bigint,",
"'menu_RefID', ", IF(EXACT($B74, ""), "null", CONCATENATE("'", SUBSTITUTE($B74,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'254000000000006'::bigint,'menu_RefID', '97000000000073'::bigint)))::varchar;</v>
      </c>
    </row>
    <row r="75" customFormat="false" ht="12.75" hidden="false" customHeight="false" outlineLevel="0" collapsed="false">
      <c r="B75" s="4" t="n">
        <f aca="false">[1]Main!$E75</f>
        <v>97000000000074</v>
      </c>
      <c r="C75" s="5" t="str">
        <f aca="false">VLOOKUP($B75, [1]Main!$E$2:$G$374, 2, FALSE())</f>
        <v>Module.General.MasterData.BankAccount.Transaction</v>
      </c>
      <c r="D75" s="6" t="str">
        <f aca="false">VLOOKUP($B75, [1]Main!$E$2:$G$374, 3, FALSE())</f>
        <v>Bank Account</v>
      </c>
      <c r="F75" s="7" t="s">
        <v>10</v>
      </c>
      <c r="G75" s="4" t="n">
        <f aca="false">IF(EXACT($F75, ""), "", VLOOKUP($F75, [2]Main!$B$2:$E$30, 4, FALSE()))</f>
        <v>254000000000006</v>
      </c>
      <c r="H75" s="1" t="n">
        <v>74</v>
      </c>
      <c r="I75" s="8" t="str">
        <f aca="false">IF(EXACT(G75, ""), "", CONCATENATE("PERFORM ""SchSysConfig"".""Func_TblAppObject_MenuGroupMember_SET""(varSystemLoginSession, null, null, null, varInstitutionBranchID, varBaseCurrencyID, ", G75, "::bigint, ", B75, "::bigint);"))</f>
        <v>PERFORM "SchSysConfig"."Func_TblAppObject_MenuGroupMember_SET"(varSystemLoginSession, null, null, null, varInstitutionBranchID, varBaseCurrencyID, 254000000000006::bigint, 97000000000074::bigint);</v>
      </c>
      <c r="K75" s="9" t="s">
        <v>3</v>
      </c>
      <c r="L75" s="1" t="str">
        <f aca="false">IF(EXACT(K75,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IF(EXACT($G75, ""), "null", CONCATENATE("'", SUBSTITUTE($G75, "'", "\'"), "'")), "::bigint,",
"'menu_RefID', ", IF(EXACT($B75, ""), "null", CONCATENATE("'", SUBSTITUTE($B75,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'254000000000006'::bigint,'menu_RefID', '97000000000074'::bigint)))::varchar;</v>
      </c>
    </row>
    <row r="76" customFormat="false" ht="12.75" hidden="false" customHeight="false" outlineLevel="0" collapsed="false">
      <c r="B76" s="4" t="n">
        <f aca="false">[1]Main!$E76</f>
        <v>97000000000075</v>
      </c>
      <c r="C76" s="5" t="str">
        <f aca="false">VLOOKUP($B76, [1]Main!$E$2:$G$374, 2, FALSE())</f>
        <v>Module.General.MasterData.Currency.Transaction</v>
      </c>
      <c r="D76" s="6" t="str">
        <f aca="false">VLOOKUP($B76, [1]Main!$E$2:$G$374, 3, FALSE())</f>
        <v>Currency</v>
      </c>
      <c r="F76" s="7" t="s">
        <v>10</v>
      </c>
      <c r="G76" s="4" t="n">
        <f aca="false">IF(EXACT($F76, ""), "", VLOOKUP($F76, [2]Main!$B$2:$E$30, 4, FALSE()))</f>
        <v>254000000000006</v>
      </c>
      <c r="H76" s="1" t="n">
        <v>75</v>
      </c>
      <c r="I76" s="8" t="str">
        <f aca="false">IF(EXACT(G76, ""), "", CONCATENATE("PERFORM ""SchSysConfig"".""Func_TblAppObject_MenuGroupMember_SET""(varSystemLoginSession, null, null, null, varInstitutionBranchID, varBaseCurrencyID, ", G76, "::bigint, ", B76, "::bigint);"))</f>
        <v>PERFORM "SchSysConfig"."Func_TblAppObject_MenuGroupMember_SET"(varSystemLoginSession, null, null, null, varInstitutionBranchID, varBaseCurrencyID, 254000000000006::bigint, 97000000000075::bigint);</v>
      </c>
      <c r="K76" s="9"/>
      <c r="L76" s="1" t="str">
        <f aca="false">IF(EXACT(K76,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IF(EXACT($G76, ""), "null", CONCATENATE("'", SUBSTITUTE($G76, "'", "\'"), "'")), "::bigint,",
"'menu_RefID', ", IF(EXACT($B76, ""), "null", CONCATENATE("'", SUBSTITUTE($B76, "'", "\'"), "'")), "::bigint",
")))::varchar;")
)</f>
        <v/>
      </c>
    </row>
    <row r="77" customFormat="false" ht="12.75" hidden="false" customHeight="false" outlineLevel="0" collapsed="false">
      <c r="B77" s="4" t="n">
        <f aca="false">[1]Main!$E77</f>
        <v>97000000000076</v>
      </c>
      <c r="C77" s="5" t="str">
        <f aca="false">VLOOKUP($B77, [1]Main!$E$2:$G$374, 2, FALSE())</f>
        <v>Module.General.MasterData.CurrencyExchangeRate.Transaction</v>
      </c>
      <c r="D77" s="6" t="str">
        <f aca="false">VLOOKUP($B77, [1]Main!$E$2:$G$374, 3, FALSE())</f>
        <v>Exchange Rate</v>
      </c>
      <c r="F77" s="7" t="s">
        <v>10</v>
      </c>
      <c r="G77" s="4" t="n">
        <f aca="false">IF(EXACT($F77, ""), "", VLOOKUP($F77, [2]Main!$B$2:$E$30, 4, FALSE()))</f>
        <v>254000000000006</v>
      </c>
      <c r="H77" s="1" t="n">
        <v>76</v>
      </c>
      <c r="I77" s="8" t="str">
        <f aca="false">IF(EXACT(G77, ""), "", CONCATENATE("PERFORM ""SchSysConfig"".""Func_TblAppObject_MenuGroupMember_SET""(varSystemLoginSession, null, null, null, varInstitutionBranchID, varBaseCurrencyID, ", G77, "::bigint, ", B77, "::bigint);"))</f>
        <v>PERFORM "SchSysConfig"."Func_TblAppObject_MenuGroupMember_SET"(varSystemLoginSession, null, null, null, varInstitutionBranchID, varBaseCurrencyID, 254000000000006::bigint, 97000000000076::bigint);</v>
      </c>
      <c r="K77" s="9" t="s">
        <v>3</v>
      </c>
      <c r="L77" s="1" t="str">
        <f aca="false">IF(EXACT(K77,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IF(EXACT($G77, ""), "null", CONCATENATE("'", SUBSTITUTE($G77, "'", "\'"), "'")), "::bigint,",
"'menu_RefID', ", IF(EXACT($B77, ""), "null", CONCATENATE("'", SUBSTITUTE($B77,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'254000000000006'::bigint,'menu_RefID', '97000000000076'::bigint)))::varchar;</v>
      </c>
    </row>
    <row r="78" customFormat="false" ht="12.75" hidden="false" customHeight="false" outlineLevel="0" collapsed="false">
      <c r="B78" s="4" t="n">
        <f aca="false">[1]Main!$E78</f>
        <v>97000000000077</v>
      </c>
      <c r="C78" s="5" t="str">
        <f aca="false">VLOOKUP($B78, [1]Main!$E$2:$G$374, 2, FALSE())</f>
        <v>Module.General.MasterData.CurrencyExchangeRate.Report.DataList</v>
      </c>
      <c r="D78" s="6" t="str">
        <f aca="false">VLOOKUP($B78, [1]Main!$E$2:$G$374, 3, FALSE())</f>
        <v>Exchange Rate Summary</v>
      </c>
      <c r="F78" s="7" t="s">
        <v>10</v>
      </c>
      <c r="G78" s="4" t="n">
        <f aca="false">IF(EXACT($F78, ""), "", VLOOKUP($F78, [2]Main!$B$2:$E$30, 4, FALSE()))</f>
        <v>254000000000006</v>
      </c>
      <c r="H78" s="1" t="n">
        <v>77</v>
      </c>
      <c r="I78" s="8" t="str">
        <f aca="false">IF(EXACT(G78, ""), "", CONCATENATE("PERFORM ""SchSysConfig"".""Func_TblAppObject_MenuGroupMember_SET""(varSystemLoginSession, null, null, null, varInstitutionBranchID, varBaseCurrencyID, ", G78, "::bigint, ", B78, "::bigint);"))</f>
        <v>PERFORM "SchSysConfig"."Func_TblAppObject_MenuGroupMember_SET"(varSystemLoginSession, null, null, null, varInstitutionBranchID, varBaseCurrencyID, 254000000000006::bigint, 97000000000077::bigint);</v>
      </c>
      <c r="L78" s="1" t="str">
        <f aca="false">IF(EXACT(K78,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IF(EXACT($G78, ""), "null", CONCATENATE("'", SUBSTITUTE($G78, "'", "\'"), "'")), "::bigint,",
"'menu_RefID', ", IF(EXACT($B78, ""), "null", CONCATENATE("'", SUBSTITUTE($B78, "'", "\'"), "'")), "::bigint",
")))::varchar;")
)</f>
        <v/>
      </c>
    </row>
    <row r="79" customFormat="false" ht="12.75" hidden="false" customHeight="false" outlineLevel="0" collapsed="false">
      <c r="B79" s="4" t="n">
        <f aca="false">[1]Main!$E79</f>
        <v>97000000000078</v>
      </c>
      <c r="C79" s="5" t="str">
        <f aca="false">VLOOKUP($B79, [1]Main!$E$2:$G$374, 2, FALSE())</f>
        <v>Module.General.MasterData.PaymentTerm.Transaction</v>
      </c>
      <c r="D79" s="6" t="str">
        <f aca="false">VLOOKUP($B79, [1]Main!$E$2:$G$374, 3, FALSE())</f>
        <v>Payment Term</v>
      </c>
      <c r="F79" s="7" t="s">
        <v>10</v>
      </c>
      <c r="G79" s="4" t="n">
        <f aca="false">IF(EXACT($F79, ""), "", VLOOKUP($F79, [2]Main!$B$2:$E$30, 4, FALSE()))</f>
        <v>254000000000006</v>
      </c>
      <c r="H79" s="1" t="n">
        <v>78</v>
      </c>
      <c r="I79" s="8" t="str">
        <f aca="false">IF(EXACT(G79, ""), "", CONCATENATE("PERFORM ""SchSysConfig"".""Func_TblAppObject_MenuGroupMember_SET""(varSystemLoginSession, null, null, null, varInstitutionBranchID, varBaseCurrencyID, ", G79, "::bigint, ", B79, "::bigint);"))</f>
        <v>PERFORM "SchSysConfig"."Func_TblAppObject_MenuGroupMember_SET"(varSystemLoginSession, null, null, null, varInstitutionBranchID, varBaseCurrencyID, 254000000000006::bigint, 97000000000078::bigint);</v>
      </c>
      <c r="L79" s="1" t="str">
        <f aca="false">IF(EXACT(K79,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IF(EXACT($G79, ""), "null", CONCATENATE("'", SUBSTITUTE($G79, "'", "\'"), "'")), "::bigint,",
"'menu_RefID', ", IF(EXACT($B79, ""), "null", CONCATENATE("'", SUBSTITUTE($B79, "'", "\'"), "'")), "::bigint",
")))::varchar;")
)</f>
        <v/>
      </c>
    </row>
    <row r="80" customFormat="false" ht="12.75" hidden="false" customHeight="false" outlineLevel="0" collapsed="false">
      <c r="B80" s="4" t="n">
        <f aca="false">[1]Main!$E80</f>
        <v>97000000000079</v>
      </c>
      <c r="C80" s="5" t="str">
        <f aca="false">VLOOKUP($B80, [1]Main!$E$2:$G$374, 2, FALSE())</f>
        <v>Module.General.MasterData.Period.Transaction</v>
      </c>
      <c r="D80" s="6" t="str">
        <f aca="false">VLOOKUP($B80, [1]Main!$E$2:$G$374, 3, FALSE())</f>
        <v>Period</v>
      </c>
      <c r="F80" s="7" t="s">
        <v>10</v>
      </c>
      <c r="G80" s="4" t="n">
        <f aca="false">IF(EXACT($F80, ""), "", VLOOKUP($F80, [2]Main!$B$2:$E$30, 4, FALSE()))</f>
        <v>254000000000006</v>
      </c>
      <c r="H80" s="1" t="n">
        <v>79</v>
      </c>
      <c r="I80" s="8" t="str">
        <f aca="false">IF(EXACT(G80, ""), "", CONCATENATE("PERFORM ""SchSysConfig"".""Func_TblAppObject_MenuGroupMember_SET""(varSystemLoginSession, null, null, null, varInstitutionBranchID, varBaseCurrencyID, ", G80, "::bigint, ", B80, "::bigint);"))</f>
        <v>PERFORM "SchSysConfig"."Func_TblAppObject_MenuGroupMember_SET"(varSystemLoginSession, null, null, null, varInstitutionBranchID, varBaseCurrencyID, 254000000000006::bigint, 97000000000079::bigint);</v>
      </c>
      <c r="K80" s="9" t="s">
        <v>3</v>
      </c>
      <c r="L80" s="1" t="str">
        <f aca="false">IF(EXACT(K80,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IF(EXACT($G80, ""), "null", CONCATENATE("'", SUBSTITUTE($G80, "'", "\'"), "'")), "::bigint,",
"'menu_RefID', ", IF(EXACT($B80, ""), "null", CONCATENATE("'", SUBSTITUTE($B80,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'254000000000006'::bigint,'menu_RefID', '97000000000079'::bigint)))::varchar;</v>
      </c>
    </row>
    <row r="81" customFormat="false" ht="12.75" hidden="false" customHeight="false" outlineLevel="0" collapsed="false">
      <c r="B81" s="4" t="n">
        <f aca="false">[1]Main!$E81</f>
        <v>97000000000080</v>
      </c>
      <c r="C81" s="5" t="str">
        <f aca="false">VLOOKUP($B81, [1]Main!$E$2:$G$374, 2, FALSE())</f>
        <v>Module.Accounting.MasterData.AssetCategory.Transaction</v>
      </c>
      <c r="D81" s="6" t="str">
        <f aca="false">VLOOKUP($B81, [1]Main!$E$2:$G$374, 3, FALSE())</f>
        <v>Asset Category</v>
      </c>
      <c r="F81" s="7" t="s">
        <v>10</v>
      </c>
      <c r="G81" s="4" t="n">
        <f aca="false">IF(EXACT($F81, ""), "", VLOOKUP($F81, [2]Main!$B$2:$E$30, 4, FALSE()))</f>
        <v>254000000000006</v>
      </c>
      <c r="H81" s="1" t="n">
        <v>80</v>
      </c>
      <c r="I81" s="8" t="str">
        <f aca="false">IF(EXACT(G81, ""), "", CONCATENATE("PERFORM ""SchSysConfig"".""Func_TblAppObject_MenuGroupMember_SET""(varSystemLoginSession, null, null, null, varInstitutionBranchID, varBaseCurrencyID, ", G81, "::bigint, ", B81, "::bigint);"))</f>
        <v>PERFORM "SchSysConfig"."Func_TblAppObject_MenuGroupMember_SET"(varSystemLoginSession, null, null, null, varInstitutionBranchID, varBaseCurrencyID, 254000000000006::bigint, 97000000000080::bigint);</v>
      </c>
      <c r="L81" s="1" t="str">
        <f aca="false">IF(EXACT(K81,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IF(EXACT($G81, ""), "null", CONCATENATE("'", SUBSTITUTE($G81, "'", "\'"), "'")), "::bigint,",
"'menu_RefID', ", IF(EXACT($B81, ""), "null", CONCATENATE("'", SUBSTITUTE($B81, "'", "\'"), "'")), "::bigint",
")))::varchar;")
)</f>
        <v/>
      </c>
    </row>
    <row r="82" customFormat="false" ht="12.75" hidden="false" customHeight="false" outlineLevel="0" collapsed="false">
      <c r="B82" s="4" t="n">
        <f aca="false">[1]Main!$E82</f>
        <v>97000000000081</v>
      </c>
      <c r="C82" s="5" t="str">
        <f aca="false">VLOOKUP($B82, [1]Main!$E$2:$G$374, 2, FALSE())</f>
        <v>Module.Accounting.MasterData.ChartOfAccount.Transaction</v>
      </c>
      <c r="D82" s="6" t="str">
        <f aca="false">VLOOKUP($B82, [1]Main!$E$2:$G$374, 3, FALSE())</f>
        <v>Chart of Account</v>
      </c>
      <c r="F82" s="7" t="s">
        <v>10</v>
      </c>
      <c r="G82" s="4" t="n">
        <f aca="false">IF(EXACT($F82, ""), "", VLOOKUP($F82, [2]Main!$B$2:$E$30, 4, FALSE()))</f>
        <v>254000000000006</v>
      </c>
      <c r="H82" s="1" t="n">
        <v>81</v>
      </c>
      <c r="I82" s="8" t="str">
        <f aca="false">IF(EXACT(G82, ""), "", CONCATENATE("PERFORM ""SchSysConfig"".""Func_TblAppObject_MenuGroupMember_SET""(varSystemLoginSession, null, null, null, varInstitutionBranchID, varBaseCurrencyID, ", G82, "::bigint, ", B82, "::bigint);"))</f>
        <v>PERFORM "SchSysConfig"."Func_TblAppObject_MenuGroupMember_SET"(varSystemLoginSession, null, null, null, varInstitutionBranchID, varBaseCurrencyID, 254000000000006::bigint, 97000000000081::bigint);</v>
      </c>
      <c r="K82" s="9" t="s">
        <v>3</v>
      </c>
      <c r="L82" s="1" t="str">
        <f aca="false">IF(EXACT(K82,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IF(EXACT($G82, ""), "null", CONCATENATE("'", SUBSTITUTE($G82, "'", "\'"), "'")), "::bigint,",
"'menu_RefID', ", IF(EXACT($B82, ""), "null", CONCATENATE("'", SUBSTITUTE($B82,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'254000000000006'::bigint,'menu_RefID', '97000000000081'::bigint)))::varchar;</v>
      </c>
    </row>
    <row r="83" customFormat="false" ht="12.75" hidden="false" customHeight="false" outlineLevel="0" collapsed="false">
      <c r="B83" s="4" t="n">
        <f aca="false">[1]Main!$E83</f>
        <v>97000000000082</v>
      </c>
      <c r="C83" s="5" t="str">
        <f aca="false">VLOOKUP($B83, [1]Main!$E$2:$G$374, 2, FALSE())</f>
        <v>Module.Accounting.MasterData.DepreciationMethod.Transaction</v>
      </c>
      <c r="D83" s="6" t="str">
        <f aca="false">VLOOKUP($B83, [1]Main!$E$2:$G$374, 3, FALSE())</f>
        <v>Depreciation Method</v>
      </c>
      <c r="F83" s="7" t="s">
        <v>10</v>
      </c>
      <c r="G83" s="4" t="n">
        <f aca="false">IF(EXACT($F83, ""), "", VLOOKUP($F83, [2]Main!$B$2:$E$30, 4, FALSE()))</f>
        <v>254000000000006</v>
      </c>
      <c r="H83" s="1" t="n">
        <v>82</v>
      </c>
      <c r="I83" s="8" t="str">
        <f aca="false">IF(EXACT(G83, ""), "", CONCATENATE("PERFORM ""SchSysConfig"".""Func_TblAppObject_MenuGroupMember_SET""(varSystemLoginSession, null, null, null, varInstitutionBranchID, varBaseCurrencyID, ", G83, "::bigint, ", B83, "::bigint);"))</f>
        <v>PERFORM "SchSysConfig"."Func_TblAppObject_MenuGroupMember_SET"(varSystemLoginSession, null, null, null, varInstitutionBranchID, varBaseCurrencyID, 254000000000006::bigint, 97000000000082::bigint);</v>
      </c>
      <c r="L83" s="1" t="str">
        <f aca="false">IF(EXACT(K83,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IF(EXACT($G83, ""), "null", CONCATENATE("'", SUBSTITUTE($G83, "'", "\'"), "'")), "::bigint,",
"'menu_RefID', ", IF(EXACT($B83, ""), "null", CONCATENATE("'", SUBSTITUTE($B83, "'", "\'"), "'")), "::bigint",
")))::varchar;")
)</f>
        <v/>
      </c>
    </row>
    <row r="84" customFormat="false" ht="12.75" hidden="false" customHeight="false" outlineLevel="0" collapsed="false">
      <c r="B84" s="4" t="n">
        <f aca="false">[1]Main!$E84</f>
        <v>97000000000083</v>
      </c>
      <c r="C84" s="5" t="str">
        <f aca="false">VLOOKUP($B84, [1]Main!$E$2:$G$374, 2, FALSE())</f>
        <v>Module.Accounting.MasterData.DepreciationRateYears.Transaction</v>
      </c>
      <c r="D84" s="6" t="str">
        <f aca="false">VLOOKUP($B84, [1]Main!$E$2:$G$374, 3, FALSE())</f>
        <v>Depreciation Rate Years</v>
      </c>
      <c r="F84" s="7" t="s">
        <v>10</v>
      </c>
      <c r="G84" s="4" t="n">
        <f aca="false">IF(EXACT($F84, ""), "", VLOOKUP($F84, [2]Main!$B$2:$E$30, 4, FALSE()))</f>
        <v>254000000000006</v>
      </c>
      <c r="H84" s="1" t="n">
        <v>83</v>
      </c>
      <c r="I84" s="8" t="str">
        <f aca="false">IF(EXACT(G84, ""), "", CONCATENATE("PERFORM ""SchSysConfig"".""Func_TblAppObject_MenuGroupMember_SET""(varSystemLoginSession, null, null, null, varInstitutionBranchID, varBaseCurrencyID, ", G84, "::bigint, ", B84, "::bigint);"))</f>
        <v>PERFORM "SchSysConfig"."Func_TblAppObject_MenuGroupMember_SET"(varSystemLoginSession, null, null, null, varInstitutionBranchID, varBaseCurrencyID, 254000000000006::bigint, 97000000000083::bigint);</v>
      </c>
      <c r="L84" s="1" t="str">
        <f aca="false">IF(EXACT(K84,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IF(EXACT($G84, ""), "null", CONCATENATE("'", SUBSTITUTE($G84, "'", "\'"), "'")), "::bigint,",
"'menu_RefID', ", IF(EXACT($B84, ""), "null", CONCATENATE("'", SUBSTITUTE($B84, "'", "\'"), "'")), "::bigint",
")))::varchar;")
)</f>
        <v/>
      </c>
    </row>
    <row r="85" customFormat="false" ht="12.75" hidden="false" customHeight="false" outlineLevel="0" collapsed="false">
      <c r="B85" s="4" t="n">
        <f aca="false">[1]Main!$E85</f>
        <v>97000000000084</v>
      </c>
      <c r="C85" s="5" t="str">
        <f aca="false">VLOOKUP($B85, [1]Main!$E$2:$G$374, 2, FALSE())</f>
        <v>Module.Taxation.MasterData.ValueAddedTax.Transaction</v>
      </c>
      <c r="D85" s="6" t="str">
        <f aca="false">VLOOKUP($B85, [1]Main!$E$2:$G$374, 3, FALSE())</f>
        <v>Value Added Tax</v>
      </c>
      <c r="F85" s="7" t="s">
        <v>10</v>
      </c>
      <c r="G85" s="4" t="n">
        <f aca="false">IF(EXACT($F85, ""), "", VLOOKUP($F85, [2]Main!$B$2:$E$30, 4, FALSE()))</f>
        <v>254000000000006</v>
      </c>
      <c r="H85" s="1" t="n">
        <v>84</v>
      </c>
      <c r="I85" s="8" t="str">
        <f aca="false">IF(EXACT(G85, ""), "", CONCATENATE("PERFORM ""SchSysConfig"".""Func_TblAppObject_MenuGroupMember_SET""(varSystemLoginSession, null, null, null, varInstitutionBranchID, varBaseCurrencyID, ", G85, "::bigint, ", B85, "::bigint);"))</f>
        <v>PERFORM "SchSysConfig"."Func_TblAppObject_MenuGroupMember_SET"(varSystemLoginSession, null, null, null, varInstitutionBranchID, varBaseCurrencyID, 254000000000006::bigint, 97000000000084::bigint);</v>
      </c>
      <c r="L85" s="1" t="str">
        <f aca="false">IF(EXACT(K85,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IF(EXACT($G85, ""), "null", CONCATENATE("'", SUBSTITUTE($G85, "'", "\'"), "'")), "::bigint,",
"'menu_RefID', ", IF(EXACT($B85, ""), "null", CONCATENATE("'", SUBSTITUTE($B85, "'", "\'"), "'")), "::bigint",
")))::varchar;")
)</f>
        <v/>
      </c>
    </row>
    <row r="86" customFormat="false" ht="12.75" hidden="false" customHeight="false" outlineLevel="0" collapsed="false">
      <c r="B86" s="4" t="n">
        <f aca="false">[1]Main!$E86</f>
        <v>97000000000085</v>
      </c>
      <c r="C86" s="5" t="str">
        <f aca="false">VLOOKUP($B86, [1]Main!$E$2:$G$374, 2, FALSE())</f>
        <v>Module.Accounting.Data.BalanceSheet.Report.DataList</v>
      </c>
      <c r="D86" s="6" t="str">
        <f aca="false">VLOOKUP($B86, [1]Main!$E$2:$G$374, 3, FALSE())</f>
        <v>Balance Sheet</v>
      </c>
      <c r="F86" s="7" t="s">
        <v>10</v>
      </c>
      <c r="G86" s="4" t="n">
        <f aca="false">IF(EXACT($F86, ""), "", VLOOKUP($F86, [2]Main!$B$2:$E$30, 4, FALSE()))</f>
        <v>254000000000006</v>
      </c>
      <c r="H86" s="1" t="n">
        <v>85</v>
      </c>
      <c r="I86" s="8" t="str">
        <f aca="false">IF(EXACT(G86, ""), "", CONCATENATE("PERFORM ""SchSysConfig"".""Func_TblAppObject_MenuGroupMember_SET""(varSystemLoginSession, null, null, null, varInstitutionBranchID, varBaseCurrencyID, ", G86, "::bigint, ", B86, "::bigint);"))</f>
        <v>PERFORM "SchSysConfig"."Func_TblAppObject_MenuGroupMember_SET"(varSystemLoginSession, null, null, null, varInstitutionBranchID, varBaseCurrencyID, 254000000000006::bigint, 97000000000085::bigint);</v>
      </c>
      <c r="K86" s="9" t="s">
        <v>3</v>
      </c>
      <c r="L86" s="1" t="str">
        <f aca="false">IF(EXACT(K86,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IF(EXACT($G86, ""), "null", CONCATENATE("'", SUBSTITUTE($G86, "'", "\'"), "'")), "::bigint,",
"'menu_RefID', ", IF(EXACT($B86, ""), "null", CONCATENATE("'", SUBSTITUTE($B86,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'254000000000006'::bigint,'menu_RefID', '97000000000085'::bigint)))::varchar;</v>
      </c>
    </row>
    <row r="87" customFormat="false" ht="12.75" hidden="false" customHeight="false" outlineLevel="0" collapsed="false">
      <c r="B87" s="4" t="n">
        <f aca="false">[1]Main!$E87</f>
        <v>97000000000086</v>
      </c>
      <c r="C87" s="5" t="str">
        <f aca="false">VLOOKUP($B87, [1]Main!$E$2:$G$374, 2, FALSE())</f>
        <v>Module.Accounting.Data.GeneralJournal.Transaction</v>
      </c>
      <c r="D87" s="6" t="str">
        <f aca="false">VLOOKUP($B87, [1]Main!$E$2:$G$374, 3, FALSE())</f>
        <v>General Journal</v>
      </c>
      <c r="F87" s="7" t="s">
        <v>10</v>
      </c>
      <c r="G87" s="4" t="n">
        <f aca="false">IF(EXACT($F87, ""), "", VLOOKUP($F87, [2]Main!$B$2:$E$30, 4, FALSE()))</f>
        <v>254000000000006</v>
      </c>
      <c r="H87" s="1" t="n">
        <v>86</v>
      </c>
      <c r="I87" s="8" t="str">
        <f aca="false">IF(EXACT(G87, ""), "", CONCATENATE("PERFORM ""SchSysConfig"".""Func_TblAppObject_MenuGroupMember_SET""(varSystemLoginSession, null, null, null, varInstitutionBranchID, varBaseCurrencyID, ", G87, "::bigint, ", B87, "::bigint);"))</f>
        <v>PERFORM "SchSysConfig"."Func_TblAppObject_MenuGroupMember_SET"(varSystemLoginSession, null, null, null, varInstitutionBranchID, varBaseCurrencyID, 254000000000006::bigint, 97000000000086::bigint);</v>
      </c>
      <c r="K87" s="9" t="s">
        <v>3</v>
      </c>
      <c r="L87" s="1" t="str">
        <f aca="false">IF(EXACT(K87,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IF(EXACT($G87, ""), "null", CONCATENATE("'", SUBSTITUTE($G87, "'", "\'"), "'")), "::bigint,",
"'menu_RefID', ", IF(EXACT($B87, ""), "null", CONCATENATE("'", SUBSTITUTE($B87,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'254000000000006'::bigint,'menu_RefID', '97000000000086'::bigint)))::varchar;</v>
      </c>
    </row>
    <row r="88" customFormat="false" ht="12.75" hidden="false" customHeight="false" outlineLevel="0" collapsed="false">
      <c r="B88" s="4" t="n">
        <f aca="false">[1]Main!$E88</f>
        <v>97000000000087</v>
      </c>
      <c r="C88" s="5" t="str">
        <f aca="false">VLOOKUP($B88, [1]Main!$E$2:$G$374, 2, FALSE())</f>
        <v>Module.Accounting.Data.GeneralJournal.Report.DataList</v>
      </c>
      <c r="D88" s="6" t="str">
        <f aca="false">VLOOKUP($B88, [1]Main!$E$2:$G$374, 3, FALSE())</f>
        <v>General Journal Summary</v>
      </c>
      <c r="F88" s="7" t="s">
        <v>10</v>
      </c>
      <c r="G88" s="4" t="n">
        <f aca="false">IF(EXACT($F88, ""), "", VLOOKUP($F88, [2]Main!$B$2:$E$30, 4, FALSE()))</f>
        <v>254000000000006</v>
      </c>
      <c r="H88" s="1" t="n">
        <v>87</v>
      </c>
      <c r="I88" s="8" t="str">
        <f aca="false">IF(EXACT(G88, ""), "", CONCATENATE("PERFORM ""SchSysConfig"".""Func_TblAppObject_MenuGroupMember_SET""(varSystemLoginSession, null, null, null, varInstitutionBranchID, varBaseCurrencyID, ", G88, "::bigint, ", B88, "::bigint);"))</f>
        <v>PERFORM "SchSysConfig"."Func_TblAppObject_MenuGroupMember_SET"(varSystemLoginSession, null, null, null, varInstitutionBranchID, varBaseCurrencyID, 254000000000006::bigint, 97000000000087::bigint);</v>
      </c>
      <c r="K88" s="9" t="s">
        <v>3</v>
      </c>
      <c r="L88" s="1" t="str">
        <f aca="false">IF(EXACT(K88,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IF(EXACT($G88, ""), "null", CONCATENATE("'", SUBSTITUTE($G88, "'", "\'"), "'")), "::bigint,",
"'menu_RefID', ", IF(EXACT($B88, ""), "null", CONCATENATE("'", SUBSTITUTE($B88,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'254000000000006'::bigint,'menu_RefID', '97000000000087'::bigint)))::varchar;</v>
      </c>
    </row>
    <row r="89" customFormat="false" ht="12.75" hidden="false" customHeight="false" outlineLevel="0" collapsed="false">
      <c r="B89" s="4" t="n">
        <f aca="false">[1]Main!$E89</f>
        <v>97000000000088</v>
      </c>
      <c r="C89" s="5" t="str">
        <f aca="false">VLOOKUP($B89, [1]Main!$E$2:$G$374, 2, FALSE())</f>
        <v>Module.Accounting.Data.GeneralLedger.Report.DataList</v>
      </c>
      <c r="D89" s="6" t="str">
        <f aca="false">VLOOKUP($B89, [1]Main!$E$2:$G$374, 3, FALSE())</f>
        <v>General Ledger Summary</v>
      </c>
      <c r="F89" s="7" t="s">
        <v>10</v>
      </c>
      <c r="G89" s="4" t="n">
        <f aca="false">IF(EXACT($F89, ""), "", VLOOKUP($F89, [2]Main!$B$2:$E$30, 4, FALSE()))</f>
        <v>254000000000006</v>
      </c>
      <c r="H89" s="1" t="n">
        <v>88</v>
      </c>
      <c r="I89" s="8" t="str">
        <f aca="false">IF(EXACT(G89, ""), "", CONCATENATE("PERFORM ""SchSysConfig"".""Func_TblAppObject_MenuGroupMember_SET""(varSystemLoginSession, null, null, null, varInstitutionBranchID, varBaseCurrencyID, ", G89, "::bigint, ", B89, "::bigint);"))</f>
        <v>PERFORM "SchSysConfig"."Func_TblAppObject_MenuGroupMember_SET"(varSystemLoginSession, null, null, null, varInstitutionBranchID, varBaseCurrencyID, 254000000000006::bigint, 97000000000088::bigint);</v>
      </c>
      <c r="K89" s="9" t="s">
        <v>3</v>
      </c>
      <c r="L89" s="1" t="str">
        <f aca="false">IF(EXACT(K89,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IF(EXACT($G89, ""), "null", CONCATENATE("'", SUBSTITUTE($G89, "'", "\'"), "'")), "::bigint,",
"'menu_RefID', ", IF(EXACT($B89, ""), "null", CONCATENATE("'", SUBSTITUTE($B89,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'254000000000006'::bigint,'menu_RefID', '97000000000088'::bigint)))::varchar;</v>
      </c>
    </row>
    <row r="90" customFormat="false" ht="12.75" hidden="false" customHeight="false" outlineLevel="0" collapsed="false">
      <c r="B90" s="4" t="n">
        <f aca="false">[1]Main!$E90</f>
        <v>97000000000089</v>
      </c>
      <c r="C90" s="5" t="str">
        <f aca="false">VLOOKUP($B90, [1]Main!$E$2:$G$374, 2, FALSE())</f>
        <v>Module.Accounting.Data.ProfitLoss.Report.DataList</v>
      </c>
      <c r="D90" s="6" t="str">
        <f aca="false">VLOOKUP($B90, [1]Main!$E$2:$G$374, 3, FALSE())</f>
        <v>Profit Loss Summary</v>
      </c>
      <c r="F90" s="7" t="s">
        <v>10</v>
      </c>
      <c r="G90" s="4" t="n">
        <f aca="false">IF(EXACT($F90, ""), "", VLOOKUP($F90, [2]Main!$B$2:$E$30, 4, FALSE()))</f>
        <v>254000000000006</v>
      </c>
      <c r="H90" s="1" t="n">
        <v>89</v>
      </c>
      <c r="I90" s="8" t="str">
        <f aca="false">IF(EXACT(G90, ""), "", CONCATENATE("PERFORM ""SchSysConfig"".""Func_TblAppObject_MenuGroupMember_SET""(varSystemLoginSession, null, null, null, varInstitutionBranchID, varBaseCurrencyID, ", G90, "::bigint, ", B90, "::bigint);"))</f>
        <v>PERFORM "SchSysConfig"."Func_TblAppObject_MenuGroupMember_SET"(varSystemLoginSession, null, null, null, varInstitutionBranchID, varBaseCurrencyID, 254000000000006::bigint, 97000000000089::bigint);</v>
      </c>
      <c r="K90" s="9" t="s">
        <v>3</v>
      </c>
      <c r="L90" s="1" t="str">
        <f aca="false">IF(EXACT(K90,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IF(EXACT($G90, ""), "null", CONCATENATE("'", SUBSTITUTE($G90, "'", "\'"), "'")), "::bigint,",
"'menu_RefID', ", IF(EXACT($B90, ""), "null", CONCATENATE("'", SUBSTITUTE($B90,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'254000000000006'::bigint,'menu_RefID', '97000000000089'::bigint)))::varchar;</v>
      </c>
    </row>
    <row r="91" customFormat="false" ht="12.75" hidden="false" customHeight="false" outlineLevel="0" collapsed="false">
      <c r="B91" s="4" t="n">
        <f aca="false">[1]Main!$E91</f>
        <v>97000000000090</v>
      </c>
      <c r="C91" s="5" t="str">
        <f aca="false">VLOOKUP($B91, [1]Main!$E$2:$G$374, 2, FALSE())</f>
        <v>Module.Finance.Data.CashBank.Transaction</v>
      </c>
      <c r="D91" s="6" t="str">
        <f aca="false">VLOOKUP($B91, [1]Main!$E$2:$G$374, 3, FALSE())</f>
        <v>Cash &amp; Bank</v>
      </c>
      <c r="F91" s="7" t="s">
        <v>10</v>
      </c>
      <c r="G91" s="4" t="n">
        <f aca="false">IF(EXACT($F91, ""), "", VLOOKUP($F91, [2]Main!$B$2:$E$30, 4, FALSE()))</f>
        <v>254000000000006</v>
      </c>
      <c r="H91" s="1" t="n">
        <v>90</v>
      </c>
      <c r="I91" s="8" t="str">
        <f aca="false">IF(EXACT(G91, ""), "", CONCATENATE("PERFORM ""SchSysConfig"".""Func_TblAppObject_MenuGroupMember_SET""(varSystemLoginSession, null, null, null, varInstitutionBranchID, varBaseCurrencyID, ", G91, "::bigint, ", B91, "::bigint);"))</f>
        <v>PERFORM "SchSysConfig"."Func_TblAppObject_MenuGroupMember_SET"(varSystemLoginSession, null, null, null, varInstitutionBranchID, varBaseCurrencyID, 254000000000006::bigint, 97000000000090::bigint);</v>
      </c>
      <c r="K91" s="9" t="s">
        <v>3</v>
      </c>
      <c r="L91" s="1" t="str">
        <f aca="false">IF(EXACT(K91,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IF(EXACT($G91, ""), "null", CONCATENATE("'", SUBSTITUTE($G91, "'", "\'"), "'")), "::bigint,",
"'menu_RefID', ", IF(EXACT($B91, ""), "null", CONCATENATE("'", SUBSTITUTE($B91,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'254000000000006'::bigint,'menu_RefID', '97000000000090'::bigint)))::varchar;</v>
      </c>
    </row>
    <row r="92" customFormat="false" ht="12.75" hidden="false" customHeight="false" outlineLevel="0" collapsed="false">
      <c r="B92" s="4" t="n">
        <f aca="false">[1]Main!$E92</f>
        <v>97000000000091</v>
      </c>
      <c r="C92" s="5" t="str">
        <f aca="false">VLOOKUP($B92, [1]Main!$E$2:$G$374, 2, FALSE())</f>
        <v>Module.Finance.Data.CashBank.Report.DataList</v>
      </c>
      <c r="D92" s="6" t="str">
        <f aca="false">VLOOKUP($B92, [1]Main!$E$2:$G$374, 3, FALSE())</f>
        <v>Cash &amp; Bank Summary</v>
      </c>
      <c r="F92" s="7" t="s">
        <v>10</v>
      </c>
      <c r="G92" s="4" t="n">
        <f aca="false">IF(EXACT($F92, ""), "", VLOOKUP($F92, [2]Main!$B$2:$E$30, 4, FALSE()))</f>
        <v>254000000000006</v>
      </c>
      <c r="H92" s="1" t="n">
        <v>91</v>
      </c>
      <c r="I92" s="8" t="str">
        <f aca="false">IF(EXACT(G92, ""), "", CONCATENATE("PERFORM ""SchSysConfig"".""Func_TblAppObject_MenuGroupMember_SET""(varSystemLoginSession, null, null, null, varInstitutionBranchID, varBaseCurrencyID, ", G92, "::bigint, ", B92, "::bigint);"))</f>
        <v>PERFORM "SchSysConfig"."Func_TblAppObject_MenuGroupMember_SET"(varSystemLoginSession, null, null, null, varInstitutionBranchID, varBaseCurrencyID, 254000000000006::bigint, 97000000000091::bigint);</v>
      </c>
      <c r="K92" s="9" t="s">
        <v>3</v>
      </c>
      <c r="L92" s="1" t="str">
        <f aca="false">IF(EXACT(K92,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IF(EXACT($G92, ""), "null", CONCATENATE("'", SUBSTITUTE($G92, "'", "\'"), "'")), "::bigint,",
"'menu_RefID', ", IF(EXACT($B92, ""), "null", CONCATENATE("'", SUBSTITUTE($B92,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'254000000000006'::bigint,'menu_RefID', '97000000000091'::bigint)))::varchar;</v>
      </c>
    </row>
    <row r="93" customFormat="false" ht="12.75" hidden="false" customHeight="false" outlineLevel="0" collapsed="false">
      <c r="B93" s="4" t="n">
        <f aca="false">[1]Main!$E93</f>
        <v>97000000000092</v>
      </c>
      <c r="C93" s="5" t="str">
        <f aca="false">VLOOKUP($B93, [1]Main!$E$2:$G$374, 2, FALSE())</f>
        <v>Module.Finance.Data.CreditNote.Transaction</v>
      </c>
      <c r="D93" s="6" t="str">
        <f aca="false">VLOOKUP($B93, [1]Main!$E$2:$G$374, 3, FALSE())</f>
        <v>Credit Note</v>
      </c>
      <c r="F93" s="7" t="s">
        <v>10</v>
      </c>
      <c r="G93" s="4" t="n">
        <f aca="false">IF(EXACT($F93, ""), "", VLOOKUP($F93, [2]Main!$B$2:$E$30, 4, FALSE()))</f>
        <v>254000000000006</v>
      </c>
      <c r="H93" s="1" t="n">
        <v>92</v>
      </c>
      <c r="I93" s="8" t="str">
        <f aca="false">IF(EXACT(G93, ""), "", CONCATENATE("PERFORM ""SchSysConfig"".""Func_TblAppObject_MenuGroupMember_SET""(varSystemLoginSession, null, null, null, varInstitutionBranchID, varBaseCurrencyID, ", G93, "::bigint, ", B93, "::bigint);"))</f>
        <v>PERFORM "SchSysConfig"."Func_TblAppObject_MenuGroupMember_SET"(varSystemLoginSession, null, null, null, varInstitutionBranchID, varBaseCurrencyID, 254000000000006::bigint, 97000000000092::bigint);</v>
      </c>
      <c r="K93" s="9" t="s">
        <v>3</v>
      </c>
      <c r="L93" s="1" t="str">
        <f aca="false">IF(EXACT(K93,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IF(EXACT($G93, ""), "null", CONCATENATE("'", SUBSTITUTE($G93, "'", "\'"), "'")), "::bigint,",
"'menu_RefID', ", IF(EXACT($B93, ""), "null", CONCATENATE("'", SUBSTITUTE($B93,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'254000000000006'::bigint,'menu_RefID', '97000000000092'::bigint)))::varchar;</v>
      </c>
    </row>
    <row r="94" customFormat="false" ht="12.75" hidden="false" customHeight="false" outlineLevel="0" collapsed="false">
      <c r="B94" s="4" t="n">
        <f aca="false">[1]Main!$E94</f>
        <v>97000000000093</v>
      </c>
      <c r="C94" s="5" t="str">
        <f aca="false">VLOOKUP($B94, [1]Main!$E$2:$G$374, 2, FALSE())</f>
        <v>Module.Finance.Data.CreditNote.Report.DataList</v>
      </c>
      <c r="D94" s="6" t="str">
        <f aca="false">VLOOKUP($B94, [1]Main!$E$2:$G$374, 3, FALSE())</f>
        <v>Credit Note Summary</v>
      </c>
      <c r="F94" s="7" t="s">
        <v>10</v>
      </c>
      <c r="G94" s="4" t="n">
        <f aca="false">IF(EXACT($F94, ""), "", VLOOKUP($F94, [2]Main!$B$2:$E$30, 4, FALSE()))</f>
        <v>254000000000006</v>
      </c>
      <c r="H94" s="1" t="n">
        <v>93</v>
      </c>
      <c r="I94" s="8" t="str">
        <f aca="false">IF(EXACT(G94, ""), "", CONCATENATE("PERFORM ""SchSysConfig"".""Func_TblAppObject_MenuGroupMember_SET""(varSystemLoginSession, null, null, null, varInstitutionBranchID, varBaseCurrencyID, ", G94, "::bigint, ", B94, "::bigint);"))</f>
        <v>PERFORM "SchSysConfig"."Func_TblAppObject_MenuGroupMember_SET"(varSystemLoginSession, null, null, null, varInstitutionBranchID, varBaseCurrencyID, 254000000000006::bigint, 97000000000093::bigint);</v>
      </c>
      <c r="K94" s="9" t="s">
        <v>3</v>
      </c>
      <c r="L94" s="1" t="str">
        <f aca="false">IF(EXACT(K94,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IF(EXACT($G94, ""), "null", CONCATENATE("'", SUBSTITUTE($G94, "'", "\'"), "'")), "::bigint,",
"'menu_RefID', ", IF(EXACT($B94, ""), "null", CONCATENATE("'", SUBSTITUTE($B94,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'254000000000006'::bigint,'menu_RefID', '97000000000093'::bigint)))::varchar;</v>
      </c>
    </row>
    <row r="95" customFormat="false" ht="12.75" hidden="false" customHeight="false" outlineLevel="0" collapsed="false">
      <c r="B95" s="4" t="n">
        <f aca="false">[1]Main!$E95</f>
        <v>97000000000094</v>
      </c>
      <c r="C95" s="5" t="str">
        <f aca="false">VLOOKUP($B95, [1]Main!$E$2:$G$374, 2, FALSE())</f>
        <v>Module.Finance.Data.DebitNote.Transaction</v>
      </c>
      <c r="D95" s="6" t="str">
        <f aca="false">VLOOKUP($B95, [1]Main!$E$2:$G$374, 3, FALSE())</f>
        <v>Debit Note</v>
      </c>
      <c r="F95" s="7" t="s">
        <v>10</v>
      </c>
      <c r="G95" s="4" t="n">
        <f aca="false">IF(EXACT($F95, ""), "", VLOOKUP($F95, [2]Main!$B$2:$E$30, 4, FALSE()))</f>
        <v>254000000000006</v>
      </c>
      <c r="H95" s="1" t="n">
        <v>94</v>
      </c>
      <c r="I95" s="8" t="str">
        <f aca="false">IF(EXACT(G95, ""), "", CONCATENATE("PERFORM ""SchSysConfig"".""Func_TblAppObject_MenuGroupMember_SET""(varSystemLoginSession, null, null, null, varInstitutionBranchID, varBaseCurrencyID, ", G95, "::bigint, ", B95, "::bigint);"))</f>
        <v>PERFORM "SchSysConfig"."Func_TblAppObject_MenuGroupMember_SET"(varSystemLoginSession, null, null, null, varInstitutionBranchID, varBaseCurrencyID, 254000000000006::bigint, 97000000000094::bigint);</v>
      </c>
      <c r="K95" s="9" t="s">
        <v>3</v>
      </c>
      <c r="L95" s="1" t="str">
        <f aca="false">IF(EXACT(K95,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IF(EXACT($G95, ""), "null", CONCATENATE("'", SUBSTITUTE($G95, "'", "\'"), "'")), "::bigint,",
"'menu_RefID', ", IF(EXACT($B95, ""), "null", CONCATENATE("'", SUBSTITUTE($B95,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'254000000000006'::bigint,'menu_RefID', '97000000000094'::bigint)))::varchar;</v>
      </c>
    </row>
    <row r="96" customFormat="false" ht="12.75" hidden="false" customHeight="false" outlineLevel="0" collapsed="false">
      <c r="B96" s="4" t="n">
        <f aca="false">[1]Main!$E96</f>
        <v>97000000000095</v>
      </c>
      <c r="C96" s="5" t="str">
        <f aca="false">VLOOKUP($B96, [1]Main!$E$2:$G$374, 2, FALSE())</f>
        <v>Module.Finance.Data.DebitNote.Report.DataList</v>
      </c>
      <c r="D96" s="6" t="str">
        <f aca="false">VLOOKUP($B96, [1]Main!$E$2:$G$374, 3, FALSE())</f>
        <v>Debit Note Summary</v>
      </c>
      <c r="F96" s="7" t="s">
        <v>10</v>
      </c>
      <c r="G96" s="4" t="n">
        <f aca="false">IF(EXACT($F96, ""), "", VLOOKUP($F96, [2]Main!$B$2:$E$30, 4, FALSE()))</f>
        <v>254000000000006</v>
      </c>
      <c r="H96" s="1" t="n">
        <v>95</v>
      </c>
      <c r="I96" s="8" t="str">
        <f aca="false">IF(EXACT(G96, ""), "", CONCATENATE("PERFORM ""SchSysConfig"".""Func_TblAppObject_MenuGroupMember_SET""(varSystemLoginSession, null, null, null, varInstitutionBranchID, varBaseCurrencyID, ", G96, "::bigint, ", B96, "::bigint);"))</f>
        <v>PERFORM "SchSysConfig"."Func_TblAppObject_MenuGroupMember_SET"(varSystemLoginSession, null, null, null, varInstitutionBranchID, varBaseCurrencyID, 254000000000006::bigint, 97000000000095::bigint);</v>
      </c>
      <c r="K96" s="9" t="s">
        <v>3</v>
      </c>
      <c r="L96" s="1" t="str">
        <f aca="false">IF(EXACT(K96,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IF(EXACT($G96, ""), "null", CONCATENATE("'", SUBSTITUTE($G96, "'", "\'"), "'")), "::bigint,",
"'menu_RefID', ", IF(EXACT($B96, ""), "null", CONCATENATE("'", SUBSTITUTE($B96,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'254000000000006'::bigint,'menu_RefID', '97000000000095'::bigint)))::varchar;</v>
      </c>
    </row>
    <row r="97" customFormat="false" ht="12.75" hidden="false" customHeight="false" outlineLevel="0" collapsed="false">
      <c r="B97" s="4" t="n">
        <f aca="false">[1]Main!$E97</f>
        <v>97000000000096</v>
      </c>
      <c r="C97" s="5" t="str">
        <f aca="false">VLOOKUP($B97, [1]Main!$E$2:$G$374, 2, FALSE())</f>
        <v>Module.FixedAsset.Data.GoodsIdentity.Transaction</v>
      </c>
      <c r="D97" s="6" t="str">
        <f aca="false">VLOOKUP($B97, [1]Main!$E$2:$G$374, 3, FALSE())</f>
        <v>Fixed Asset</v>
      </c>
      <c r="F97" s="7" t="s">
        <v>10</v>
      </c>
      <c r="G97" s="4" t="n">
        <f aca="false">IF(EXACT($F97, ""), "", VLOOKUP($F97, [2]Main!$B$2:$E$30, 4, FALSE()))</f>
        <v>254000000000006</v>
      </c>
      <c r="H97" s="1" t="n">
        <v>96</v>
      </c>
      <c r="I97" s="8" t="str">
        <f aca="false">IF(EXACT(G97, ""), "", CONCATENATE("PERFORM ""SchSysConfig"".""Func_TblAppObject_MenuGroupMember_SET""(varSystemLoginSession, null, null, null, varInstitutionBranchID, varBaseCurrencyID, ", G97, "::bigint, ", B97, "::bigint);"))</f>
        <v>PERFORM "SchSysConfig"."Func_TblAppObject_MenuGroupMember_SET"(varSystemLoginSession, null, null, null, varInstitutionBranchID, varBaseCurrencyID, 254000000000006::bigint, 97000000000096::bigint);</v>
      </c>
      <c r="K97" s="9" t="s">
        <v>3</v>
      </c>
      <c r="L97" s="1" t="str">
        <f aca="false">IF(EXACT(K97,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IF(EXACT($G97, ""), "null", CONCATENATE("'", SUBSTITUTE($G97, "'", "\'"), "'")), "::bigint,",
"'menu_RefID', ", IF(EXACT($B97, ""), "null", CONCATENATE("'", SUBSTITUTE($B97,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'254000000000006'::bigint,'menu_RefID', '97000000000096'::bigint)))::varchar;</v>
      </c>
    </row>
    <row r="98" customFormat="false" ht="12.75" hidden="false" customHeight="false" outlineLevel="0" collapsed="false">
      <c r="B98" s="4" t="n">
        <f aca="false">[1]Main!$E98</f>
        <v>97000000000097</v>
      </c>
      <c r="C98" s="5" t="str">
        <f aca="false">VLOOKUP($B98, [1]Main!$E$2:$G$374, 2, FALSE())</f>
        <v>Module.FixedAsset.Data.GoodsIdentity.Report.DataList</v>
      </c>
      <c r="D98" s="6" t="str">
        <f aca="false">VLOOKUP($B98, [1]Main!$E$2:$G$374, 3, FALSE())</f>
        <v>Fixed Asset Summary</v>
      </c>
      <c r="F98" s="7" t="s">
        <v>10</v>
      </c>
      <c r="G98" s="4" t="n">
        <f aca="false">IF(EXACT($F98, ""), "", VLOOKUP($F98, [2]Main!$B$2:$E$30, 4, FALSE()))</f>
        <v>254000000000006</v>
      </c>
      <c r="H98" s="1" t="n">
        <v>97</v>
      </c>
      <c r="I98" s="8" t="str">
        <f aca="false">IF(EXACT(G98, ""), "", CONCATENATE("PERFORM ""SchSysConfig"".""Func_TblAppObject_MenuGroupMember_SET""(varSystemLoginSession, null, null, null, varInstitutionBranchID, varBaseCurrencyID, ", G98, "::bigint, ", B98, "::bigint);"))</f>
        <v>PERFORM "SchSysConfig"."Func_TblAppObject_MenuGroupMember_SET"(varSystemLoginSession, null, null, null, varInstitutionBranchID, varBaseCurrencyID, 254000000000006::bigint, 97000000000097::bigint);</v>
      </c>
      <c r="K98" s="9" t="s">
        <v>3</v>
      </c>
      <c r="L98" s="1" t="str">
        <f aca="false">IF(EXACT(K98,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IF(EXACT($G98, ""), "null", CONCATENATE("'", SUBSTITUTE($G98, "'", "\'"), "'")), "::bigint,",
"'menu_RefID', ", IF(EXACT($B98, ""), "null", CONCATENATE("'", SUBSTITUTE($B98,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'254000000000006'::bigint,'menu_RefID', '97000000000097'::bigint)))::varchar;</v>
      </c>
    </row>
    <row r="99" customFormat="false" ht="12.75" hidden="false" customHeight="false" outlineLevel="0" collapsed="false">
      <c r="B99" s="4" t="n">
        <f aca="false">[1]Main!$E99</f>
        <v>97000000000098</v>
      </c>
      <c r="C99" s="5" t="str">
        <f aca="false">VLOOKUP($B99, [1]Main!$E$2:$G$374, 2, FALSE())</f>
        <v>Module.Finance.Data.Loan.Transaction</v>
      </c>
      <c r="D99" s="6" t="str">
        <f aca="false">VLOOKUP($B99, [1]Main!$E$2:$G$374, 3, FALSE())</f>
        <v>Loan</v>
      </c>
      <c r="F99" s="7" t="s">
        <v>10</v>
      </c>
      <c r="G99" s="4" t="n">
        <f aca="false">IF(EXACT($F99, ""), "", VLOOKUP($F99, [2]Main!$B$2:$E$30, 4, FALSE()))</f>
        <v>254000000000006</v>
      </c>
      <c r="H99" s="1" t="n">
        <v>98</v>
      </c>
      <c r="I99" s="8" t="str">
        <f aca="false">IF(EXACT(G99, ""), "", CONCATENATE("PERFORM ""SchSysConfig"".""Func_TblAppObject_MenuGroupMember_SET""(varSystemLoginSession, null, null, null, varInstitutionBranchID, varBaseCurrencyID, ", G99, "::bigint, ", B99, "::bigint);"))</f>
        <v>PERFORM "SchSysConfig"."Func_TblAppObject_MenuGroupMember_SET"(varSystemLoginSession, null, null, null, varInstitutionBranchID, varBaseCurrencyID, 254000000000006::bigint, 97000000000098::bigint);</v>
      </c>
      <c r="K99" s="9" t="s">
        <v>3</v>
      </c>
      <c r="L99" s="1" t="str">
        <f aca="false">IF(EXACT(K99,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IF(EXACT($G99, ""), "null", CONCATENATE("'", SUBSTITUTE($G99, "'", "\'"), "'")), "::bigint,",
"'menu_RefID', ", IF(EXACT($B99, ""), "null", CONCATENATE("'", SUBSTITUTE($B99,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'254000000000006'::bigint,'menu_RefID', '97000000000098'::bigint)))::varchar;</v>
      </c>
    </row>
    <row r="100" customFormat="false" ht="12.75" hidden="false" customHeight="false" outlineLevel="0" collapsed="false">
      <c r="B100" s="4" t="n">
        <f aca="false">[1]Main!$E100</f>
        <v>97000000000099</v>
      </c>
      <c r="C100" s="5" t="str">
        <f aca="false">VLOOKUP($B100, [1]Main!$E$2:$G$374, 2, FALSE())</f>
        <v>Module.Finance.Data.Loan.Report.DataList</v>
      </c>
      <c r="D100" s="6" t="str">
        <f aca="false">VLOOKUP($B100, [1]Main!$E$2:$G$374, 3, FALSE())</f>
        <v>Loan Summary</v>
      </c>
      <c r="F100" s="7" t="s">
        <v>10</v>
      </c>
      <c r="G100" s="4" t="n">
        <f aca="false">IF(EXACT($F100, ""), "", VLOOKUP($F100, [2]Main!$B$2:$E$30, 4, FALSE()))</f>
        <v>254000000000006</v>
      </c>
      <c r="H100" s="1" t="n">
        <v>99</v>
      </c>
      <c r="I100" s="8" t="str">
        <f aca="false">IF(EXACT(G100, ""), "", CONCATENATE("PERFORM ""SchSysConfig"".""Func_TblAppObject_MenuGroupMember_SET""(varSystemLoginSession, null, null, null, varInstitutionBranchID, varBaseCurrencyID, ", G100, "::bigint, ", B100, "::bigint);"))</f>
        <v>PERFORM "SchSysConfig"."Func_TblAppObject_MenuGroupMember_SET"(varSystemLoginSession, null, null, null, varInstitutionBranchID, varBaseCurrencyID, 254000000000006::bigint, 97000000000099::bigint);</v>
      </c>
      <c r="K100" s="9" t="s">
        <v>3</v>
      </c>
      <c r="L100" s="1" t="str">
        <f aca="false">IF(EXACT(K100,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IF(EXACT($G100, ""), "null", CONCATENATE("'", SUBSTITUTE($G100, "'", "\'"), "'")), "::bigint,",
"'menu_RefID', ", IF(EXACT($B100, ""), "null", CONCATENATE("'", SUBSTITUTE($B100,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'254000000000006'::bigint,'menu_RefID', '97000000000099'::bigint)))::varchar;</v>
      </c>
    </row>
    <row r="101" customFormat="false" ht="12.75" hidden="false" customHeight="false" outlineLevel="0" collapsed="false">
      <c r="B101" s="4" t="n">
        <f aca="false">[1]Main!$E101</f>
        <v>97000000000100</v>
      </c>
      <c r="C101" s="5" t="str">
        <f aca="false">VLOOKUP($B101, [1]Main!$E$2:$G$374, 2, FALSE())</f>
        <v>Module.Finance.Data.LoanToLoanSettlement.Report.DataList</v>
      </c>
      <c r="D101" s="6" t="str">
        <f aca="false">VLOOKUP($B101, [1]Main!$E$2:$G$374, 3, FALSE())</f>
        <v>Loan to Loan Settlement Summary</v>
      </c>
      <c r="F101" s="7" t="s">
        <v>10</v>
      </c>
      <c r="G101" s="4" t="n">
        <f aca="false">IF(EXACT($F101, ""), "", VLOOKUP($F101, [2]Main!$B$2:$E$30, 4, FALSE()))</f>
        <v>254000000000006</v>
      </c>
      <c r="H101" s="1" t="n">
        <v>100</v>
      </c>
      <c r="I101" s="8" t="str">
        <f aca="false">IF(EXACT(G101, ""), "", CONCATENATE("PERFORM ""SchSysConfig"".""Func_TblAppObject_MenuGroupMember_SET""(varSystemLoginSession, null, null, null, varInstitutionBranchID, varBaseCurrencyID, ", G101, "::bigint, ", B101, "::bigint);"))</f>
        <v>PERFORM "SchSysConfig"."Func_TblAppObject_MenuGroupMember_SET"(varSystemLoginSession, null, null, null, varInstitutionBranchID, varBaseCurrencyID, 254000000000006::bigint, 97000000000100::bigint);</v>
      </c>
      <c r="K101" s="9" t="s">
        <v>3</v>
      </c>
      <c r="L101" s="1" t="str">
        <f aca="false">IF(EXACT(K101,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IF(EXACT($G101, ""), "null", CONCATENATE("'", SUBSTITUTE($G101, "'", "\'"), "'")), "::bigint,",
"'menu_RefID', ", IF(EXACT($B101, ""), "null", CONCATENATE("'", SUBSTITUTE($B101,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'254000000000006'::bigint,'menu_RefID', '97000000000100'::bigint)))::varchar;</v>
      </c>
    </row>
    <row r="102" customFormat="false" ht="12.75" hidden="false" customHeight="false" outlineLevel="0" collapsed="false">
      <c r="B102" s="4" t="n">
        <f aca="false">[1]Main!$E102</f>
        <v>97000000000101</v>
      </c>
      <c r="C102" s="5" t="str">
        <f aca="false">VLOOKUP($B102, [1]Main!$E$2:$G$374, 2, FALSE())</f>
        <v>Module.Finance.Data.LoanSettlement.Transaction</v>
      </c>
      <c r="D102" s="6" t="str">
        <f aca="false">VLOOKUP($B102, [1]Main!$E$2:$G$374, 3, FALSE())</f>
        <v>Loan Settlement</v>
      </c>
      <c r="F102" s="7" t="s">
        <v>10</v>
      </c>
      <c r="G102" s="4" t="n">
        <f aca="false">IF(EXACT($F102, ""), "", VLOOKUP($F102, [2]Main!$B$2:$E$30, 4, FALSE()))</f>
        <v>254000000000006</v>
      </c>
      <c r="H102" s="1" t="n">
        <v>101</v>
      </c>
      <c r="I102" s="8" t="str">
        <f aca="false">IF(EXACT(G102, ""), "", CONCATENATE("PERFORM ""SchSysConfig"".""Func_TblAppObject_MenuGroupMember_SET""(varSystemLoginSession, null, null, null, varInstitutionBranchID, varBaseCurrencyID, ", G102, "::bigint, ", B102, "::bigint);"))</f>
        <v>PERFORM "SchSysConfig"."Func_TblAppObject_MenuGroupMember_SET"(varSystemLoginSession, null, null, null, varInstitutionBranchID, varBaseCurrencyID, 254000000000006::bigint, 97000000000101::bigint);</v>
      </c>
      <c r="K102" s="9" t="s">
        <v>3</v>
      </c>
      <c r="L102" s="1" t="str">
        <f aca="false">IF(EXACT(K102,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IF(EXACT($G102, ""), "null", CONCATENATE("'", SUBSTITUTE($G102, "'", "\'"), "'")), "::bigint,",
"'menu_RefID', ", IF(EXACT($B102, ""), "null", CONCATENATE("'", SUBSTITUTE($B102,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'254000000000006'::bigint,'menu_RefID', '97000000000101'::bigint)))::varchar;</v>
      </c>
    </row>
    <row r="103" customFormat="false" ht="12.75" hidden="false" customHeight="false" outlineLevel="0" collapsed="false">
      <c r="B103" s="4" t="n">
        <f aca="false">[1]Main!$E103</f>
        <v>97000000000102</v>
      </c>
      <c r="C103" s="5" t="str">
        <f aca="false">VLOOKUP($B103, [1]Main!$E$2:$G$374, 2, FALSE())</f>
        <v>Module.Finance.Data.LoanSettlement.Report.DataList</v>
      </c>
      <c r="D103" s="6" t="str">
        <f aca="false">VLOOKUP($B103, [1]Main!$E$2:$G$374, 3, FALSE())</f>
        <v>Loan Settlement Summary</v>
      </c>
      <c r="F103" s="7" t="s">
        <v>10</v>
      </c>
      <c r="G103" s="4" t="n">
        <f aca="false">IF(EXACT($F103, ""), "", VLOOKUP($F103, [2]Main!$B$2:$E$30, 4, FALSE()))</f>
        <v>254000000000006</v>
      </c>
      <c r="H103" s="1" t="n">
        <v>102</v>
      </c>
      <c r="I103" s="8" t="str">
        <f aca="false">IF(EXACT(G103, ""), "", CONCATENATE("PERFORM ""SchSysConfig"".""Func_TblAppObject_MenuGroupMember_SET""(varSystemLoginSession, null, null, null, varInstitutionBranchID, varBaseCurrencyID, ", G103, "::bigint, ", B103, "::bigint);"))</f>
        <v>PERFORM "SchSysConfig"."Func_TblAppObject_MenuGroupMember_SET"(varSystemLoginSession, null, null, null, varInstitutionBranchID, varBaseCurrencyID, 254000000000006::bigint, 97000000000102::bigint);</v>
      </c>
      <c r="K103" s="9" t="s">
        <v>3</v>
      </c>
      <c r="L103" s="1" t="str">
        <f aca="false">IF(EXACT(K103,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IF(EXACT($G103, ""), "null", CONCATENATE("'", SUBSTITUTE($G103, "'", "\'"), "'")), "::bigint,",
"'menu_RefID', ", IF(EXACT($B103, ""), "null", CONCATENATE("'", SUBSTITUTE($B103,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'254000000000006'::bigint,'menu_RefID', '97000000000102'::bigint)))::varchar;</v>
      </c>
    </row>
    <row r="104" customFormat="false" ht="12.75" hidden="false" customHeight="false" outlineLevel="0" collapsed="false">
      <c r="B104" s="4" t="n">
        <f aca="false">[1]Main!$E104</f>
        <v>97000000000103</v>
      </c>
      <c r="C104" s="5" t="str">
        <f aca="false">VLOOKUP($B104, [1]Main!$E$2:$G$374, 2, FALSE())</f>
        <v>Module.Finance.Data.PaymentInstruction.Transaction</v>
      </c>
      <c r="D104" s="6" t="str">
        <f aca="false">VLOOKUP($B104, [1]Main!$E$2:$G$374, 3, FALSE())</f>
        <v>Account Payable</v>
      </c>
      <c r="F104" s="7" t="s">
        <v>10</v>
      </c>
      <c r="G104" s="4" t="n">
        <f aca="false">IF(EXACT($F104, ""), "", VLOOKUP($F104, [2]Main!$B$2:$E$30, 4, FALSE()))</f>
        <v>254000000000006</v>
      </c>
      <c r="H104" s="1" t="n">
        <v>103</v>
      </c>
      <c r="I104" s="8" t="str">
        <f aca="false">IF(EXACT(G104, ""), "", CONCATENATE("PERFORM ""SchSysConfig"".""Func_TblAppObject_MenuGroupMember_SET""(varSystemLoginSession, null, null, null, varInstitutionBranchID, varBaseCurrencyID, ", G104, "::bigint, ", B104, "::bigint);"))</f>
        <v>PERFORM "SchSysConfig"."Func_TblAppObject_MenuGroupMember_SET"(varSystemLoginSession, null, null, null, varInstitutionBranchID, varBaseCurrencyID, 254000000000006::bigint, 97000000000103::bigint);</v>
      </c>
      <c r="K104" s="9" t="s">
        <v>3</v>
      </c>
      <c r="L104" s="1" t="str">
        <f aca="false">IF(EXACT(K104,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IF(EXACT($G104, ""), "null", CONCATENATE("'", SUBSTITUTE($G104, "'", "\'"), "'")), "::bigint,",
"'menu_RefID', ", IF(EXACT($B104, ""), "null", CONCATENATE("'", SUBSTITUTE($B104,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'254000000000006'::bigint,'menu_RefID', '97000000000103'::bigint)))::varchar;</v>
      </c>
    </row>
    <row r="105" customFormat="false" ht="12.75" hidden="false" customHeight="false" outlineLevel="0" collapsed="false">
      <c r="B105" s="4" t="n">
        <f aca="false">[1]Main!$E105</f>
        <v>97000000000104</v>
      </c>
      <c r="C105" s="5" t="str">
        <f aca="false">VLOOKUP($B105, [1]Main!$E$2:$G$374, 2, FALSE())</f>
        <v>Module.Finance.Data.PaymentInstruction.Report.DataList</v>
      </c>
      <c r="D105" s="6" t="str">
        <f aca="false">VLOOKUP($B105, [1]Main!$E$2:$G$374, 3, FALSE())</f>
        <v>Account Payable Summary</v>
      </c>
      <c r="F105" s="7" t="s">
        <v>10</v>
      </c>
      <c r="G105" s="4" t="n">
        <f aca="false">IF(EXACT($F105, ""), "", VLOOKUP($F105, [2]Main!$B$2:$E$30, 4, FALSE()))</f>
        <v>254000000000006</v>
      </c>
      <c r="H105" s="1" t="n">
        <v>104</v>
      </c>
      <c r="I105" s="8" t="str">
        <f aca="false">IF(EXACT(G105, ""), "", CONCATENATE("PERFORM ""SchSysConfig"".""Func_TblAppObject_MenuGroupMember_SET""(varSystemLoginSession, null, null, null, varInstitutionBranchID, varBaseCurrencyID, ", G105, "::bigint, ", B105, "::bigint);"))</f>
        <v>PERFORM "SchSysConfig"."Func_TblAppObject_MenuGroupMember_SET"(varSystemLoginSession, null, null, null, varInstitutionBranchID, varBaseCurrencyID, 254000000000006::bigint, 97000000000104::bigint);</v>
      </c>
      <c r="K105" s="9" t="s">
        <v>3</v>
      </c>
      <c r="L105" s="1" t="str">
        <f aca="false">IF(EXACT(K105,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IF(EXACT($G105, ""), "null", CONCATENATE("'", SUBSTITUTE($G105, "'", "\'"), "'")), "::bigint,",
"'menu_RefID', ", IF(EXACT($B105, ""), "null", CONCATENATE("'", SUBSTITUTE($B105,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'254000000000006'::bigint,'menu_RefID', '97000000000104'::bigint)))::varchar;</v>
      </c>
    </row>
    <row r="106" customFormat="false" ht="12.75" hidden="false" customHeight="false" outlineLevel="0" collapsed="false">
      <c r="B106" s="4" t="n">
        <f aca="false">[1]Main!$E106</f>
        <v>97000000000105</v>
      </c>
      <c r="C106" s="5" t="str">
        <f aca="false">VLOOKUP($B106, [1]Main!$E$2:$G$374, 2, FALSE())</f>
        <v>Module.Finance.Data.Reimbursement.Transaction</v>
      </c>
      <c r="D106" s="6" t="str">
        <f aca="false">VLOOKUP($B106, [1]Main!$E$2:$G$374, 3, FALSE())</f>
        <v>Reimbursement</v>
      </c>
      <c r="F106" s="7" t="s">
        <v>10</v>
      </c>
      <c r="G106" s="4" t="n">
        <f aca="false">IF(EXACT($F106, ""), "", VLOOKUP($F106, [2]Main!$B$2:$E$30, 4, FALSE()))</f>
        <v>254000000000006</v>
      </c>
      <c r="H106" s="1" t="n">
        <v>105</v>
      </c>
      <c r="I106" s="8" t="str">
        <f aca="false">IF(EXACT(G106, ""), "", CONCATENATE("PERFORM ""SchSysConfig"".""Func_TblAppObject_MenuGroupMember_SET""(varSystemLoginSession, null, null, null, varInstitutionBranchID, varBaseCurrencyID, ", G106, "::bigint, ", B106, "::bigint);"))</f>
        <v>PERFORM "SchSysConfig"."Func_TblAppObject_MenuGroupMember_SET"(varSystemLoginSession, null, null, null, varInstitutionBranchID, varBaseCurrencyID, 254000000000006::bigint, 97000000000105::bigint);</v>
      </c>
      <c r="K106" s="9" t="s">
        <v>3</v>
      </c>
      <c r="L106" s="1" t="str">
        <f aca="false">IF(EXACT(K106,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IF(EXACT($G106, ""), "null", CONCATENATE("'", SUBSTITUTE($G106, "'", "\'"), "'")), "::bigint,",
"'menu_RefID', ", IF(EXACT($B106, ""), "null", CONCATENATE("'", SUBSTITUTE($B106,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'254000000000006'::bigint,'menu_RefID', '97000000000105'::bigint)))::varchar;</v>
      </c>
    </row>
    <row r="107" customFormat="false" ht="12.75" hidden="false" customHeight="false" outlineLevel="0" collapsed="false">
      <c r="B107" s="4" t="n">
        <f aca="false">[1]Main!$E107</f>
        <v>97000000000106</v>
      </c>
      <c r="C107" s="5" t="str">
        <f aca="false">VLOOKUP($B107, [1]Main!$E$2:$G$374, 2, FALSE())</f>
        <v>Module.Finance.Data.Reimbursement.Report.DataList</v>
      </c>
      <c r="D107" s="6" t="str">
        <f aca="false">VLOOKUP($B107, [1]Main!$E$2:$G$374, 3, FALSE())</f>
        <v>Reimbursement Summary</v>
      </c>
      <c r="F107" s="7" t="s">
        <v>10</v>
      </c>
      <c r="G107" s="4" t="n">
        <f aca="false">IF(EXACT($F107, ""), "", VLOOKUP($F107, [2]Main!$B$2:$E$30, 4, FALSE()))</f>
        <v>254000000000006</v>
      </c>
      <c r="H107" s="1" t="n">
        <v>106</v>
      </c>
      <c r="I107" s="8" t="str">
        <f aca="false">IF(EXACT(G107, ""), "", CONCATENATE("PERFORM ""SchSysConfig"".""Func_TblAppObject_MenuGroupMember_SET""(varSystemLoginSession, null, null, null, varInstitutionBranchID, varBaseCurrencyID, ", G107, "::bigint, ", B107, "::bigint);"))</f>
        <v>PERFORM "SchSysConfig"."Func_TblAppObject_MenuGroupMember_SET"(varSystemLoginSession, null, null, null, varInstitutionBranchID, varBaseCurrencyID, 254000000000006::bigint, 97000000000106::bigint);</v>
      </c>
      <c r="K107" s="9" t="s">
        <v>3</v>
      </c>
      <c r="L107" s="1" t="str">
        <f aca="false">IF(EXACT(K107,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IF(EXACT($G107, ""), "null", CONCATENATE("'", SUBSTITUTE($G107, "'", "\'"), "'")), "::bigint,",
"'menu_RefID', ", IF(EXACT($B107, ""), "null", CONCATENATE("'", SUBSTITUTE($B107,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'254000000000006'::bigint,'menu_RefID', '97000000000106'::bigint)))::varchar;</v>
      </c>
    </row>
    <row r="108" customFormat="false" ht="12.75" hidden="false" customHeight="false" outlineLevel="0" collapsed="false">
      <c r="B108" s="4" t="n">
        <f aca="false">[1]Main!$E108</f>
        <v>97000000000107</v>
      </c>
      <c r="C108" s="5" t="str">
        <f aca="false">VLOOKUP($B108, [1]Main!$E$2:$G$374, 2, FALSE())</f>
        <v>Module.Finance.Data.ReimbursementToDebitNote.Report.DataList</v>
      </c>
      <c r="D108" s="6" t="str">
        <f aca="false">VLOOKUP($B108, [1]Main!$E$2:$G$374, 3, FALSE())</f>
        <v>Reimbursement to Debit Note Summary</v>
      </c>
      <c r="F108" s="7" t="s">
        <v>10</v>
      </c>
      <c r="G108" s="4" t="n">
        <f aca="false">IF(EXACT($F108, ""), "", VLOOKUP($F108, [2]Main!$B$2:$E$30, 4, FALSE()))</f>
        <v>254000000000006</v>
      </c>
      <c r="H108" s="1" t="n">
        <v>107</v>
      </c>
      <c r="I108" s="8" t="str">
        <f aca="false">IF(EXACT(G108, ""), "", CONCATENATE("PERFORM ""SchSysConfig"".""Func_TblAppObject_MenuGroupMember_SET""(varSystemLoginSession, null, null, null, varInstitutionBranchID, varBaseCurrencyID, ", G108, "::bigint, ", B108, "::bigint);"))</f>
        <v>PERFORM "SchSysConfig"."Func_TblAppObject_MenuGroupMember_SET"(varSystemLoginSession, null, null, null, varInstitutionBranchID, varBaseCurrencyID, 254000000000006::bigint, 97000000000107::bigint);</v>
      </c>
      <c r="K108" s="9" t="s">
        <v>3</v>
      </c>
      <c r="L108" s="1" t="str">
        <f aca="false">IF(EXACT(K108,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IF(EXACT($G108, ""), "null", CONCATENATE("'", SUBSTITUTE($G108, "'", "\'"), "'")), "::bigint,",
"'menu_RefID', ", IF(EXACT($B108, ""), "null", CONCATENATE("'", SUBSTITUTE($B108,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'254000000000006'::bigint,'menu_RefID', '97000000000107'::bigint)))::varchar;</v>
      </c>
    </row>
    <row r="109" customFormat="false" ht="12.75" hidden="false" customHeight="false" outlineLevel="0" collapsed="false">
      <c r="B109" s="4" t="n">
        <f aca="false">[1]Main!$E109</f>
        <v>97000000000108</v>
      </c>
      <c r="C109" s="5" t="str">
        <f aca="false">VLOOKUP($B109, [1]Main!$E$2:$G$374, 2, FALSE())</f>
        <v>Module.Finance.Data.SalesInvoice.Transaction</v>
      </c>
      <c r="D109" s="6" t="str">
        <f aca="false">VLOOKUP($B109, [1]Main!$E$2:$G$374, 3, FALSE())</f>
        <v>Sales Invoice</v>
      </c>
      <c r="F109" s="7" t="s">
        <v>10</v>
      </c>
      <c r="G109" s="4" t="n">
        <f aca="false">IF(EXACT($F109, ""), "", VLOOKUP($F109, [2]Main!$B$2:$E$30, 4, FALSE()))</f>
        <v>254000000000006</v>
      </c>
      <c r="H109" s="1" t="n">
        <v>108</v>
      </c>
      <c r="I109" s="8" t="str">
        <f aca="false">IF(EXACT(G109, ""), "", CONCATENATE("PERFORM ""SchSysConfig"".""Func_TblAppObject_MenuGroupMember_SET""(varSystemLoginSession, null, null, null, varInstitutionBranchID, varBaseCurrencyID, ", G109, "::bigint, ", B109, "::bigint);"))</f>
        <v>PERFORM "SchSysConfig"."Func_TblAppObject_MenuGroupMember_SET"(varSystemLoginSession, null, null, null, varInstitutionBranchID, varBaseCurrencyID, 254000000000006::bigint, 97000000000108::bigint);</v>
      </c>
      <c r="K109" s="9" t="s">
        <v>3</v>
      </c>
      <c r="L109" s="1" t="str">
        <f aca="false">IF(EXACT(K109,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IF(EXACT($G109, ""), "null", CONCATENATE("'", SUBSTITUTE($G109, "'", "\'"), "'")), "::bigint,",
"'menu_RefID', ", IF(EXACT($B109, ""), "null", CONCATENATE("'", SUBSTITUTE($B109,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'254000000000006'::bigint,'menu_RefID', '97000000000108'::bigint)))::varchar;</v>
      </c>
    </row>
    <row r="110" customFormat="false" ht="12.75" hidden="false" customHeight="false" outlineLevel="0" collapsed="false">
      <c r="B110" s="4" t="n">
        <f aca="false">[1]Main!$E110</f>
        <v>97000000000109</v>
      </c>
      <c r="C110" s="5" t="str">
        <f aca="false">VLOOKUP($B110, [1]Main!$E$2:$G$374, 2, FALSE())</f>
        <v>Module.Finance.Data.SalesInvoice.Report.DataList</v>
      </c>
      <c r="D110" s="6" t="str">
        <f aca="false">VLOOKUP($B110, [1]Main!$E$2:$G$374, 3, FALSE())</f>
        <v>Sales Invoice Summary</v>
      </c>
      <c r="F110" s="7" t="s">
        <v>10</v>
      </c>
      <c r="G110" s="4" t="n">
        <f aca="false">IF(EXACT($F110, ""), "", VLOOKUP($F110, [2]Main!$B$2:$E$30, 4, FALSE()))</f>
        <v>254000000000006</v>
      </c>
      <c r="H110" s="1" t="n">
        <v>109</v>
      </c>
      <c r="I110" s="8" t="str">
        <f aca="false">IF(EXACT(G110, ""), "", CONCATENATE("PERFORM ""SchSysConfig"".""Func_TblAppObject_MenuGroupMember_SET""(varSystemLoginSession, null, null, null, varInstitutionBranchID, varBaseCurrencyID, ", G110, "::bigint, ", B110, "::bigint);"))</f>
        <v>PERFORM "SchSysConfig"."Func_TblAppObject_MenuGroupMember_SET"(varSystemLoginSession, null, null, null, varInstitutionBranchID, varBaseCurrencyID, 254000000000006::bigint, 97000000000109::bigint);</v>
      </c>
      <c r="K110" s="9" t="s">
        <v>3</v>
      </c>
      <c r="L110" s="1" t="str">
        <f aca="false">IF(EXACT(K110,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IF(EXACT($G110, ""), "null", CONCATENATE("'", SUBSTITUTE($G110, "'", "\'"), "'")), "::bigint,",
"'menu_RefID', ", IF(EXACT($B110, ""), "null", CONCATENATE("'", SUBSTITUTE($B110,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'254000000000006'::bigint,'menu_RefID', '97000000000109'::bigint)))::varchar;</v>
      </c>
    </row>
    <row r="111" customFormat="false" ht="12.75" hidden="false" customHeight="false" outlineLevel="0" collapsed="false">
      <c r="B111" s="4" t="n">
        <f aca="false">[1]Main!$E111</f>
        <v>97000000000110</v>
      </c>
      <c r="C111" s="5" t="str">
        <f aca="false">VLOOKUP($B111, [1]Main!$E$2:$G$374, 2, FALSE())</f>
        <v>Module.Finance.Data.SalesInvoiceToCreditNote.Report.DataList</v>
      </c>
      <c r="D111" s="6" t="str">
        <f aca="false">VLOOKUP($B111, [1]Main!$E$2:$G$374, 3, FALSE())</f>
        <v>Sales Invoice to Credit Note</v>
      </c>
      <c r="F111" s="7" t="s">
        <v>10</v>
      </c>
      <c r="G111" s="4" t="n">
        <f aca="false">IF(EXACT($F111, ""), "", VLOOKUP($F111, [2]Main!$B$2:$E$30, 4, FALSE()))</f>
        <v>254000000000006</v>
      </c>
      <c r="H111" s="1" t="n">
        <v>110</v>
      </c>
      <c r="I111" s="8" t="str">
        <f aca="false">IF(EXACT(G111, ""), "", CONCATENATE("PERFORM ""SchSysConfig"".""Func_TblAppObject_MenuGroupMember_SET""(varSystemLoginSession, null, null, null, varInstitutionBranchID, varBaseCurrencyID, ", G111, "::bigint, ", B111, "::bigint);"))</f>
        <v>PERFORM "SchSysConfig"."Func_TblAppObject_MenuGroupMember_SET"(varSystemLoginSession, null, null, null, varInstitutionBranchID, varBaseCurrencyID, 254000000000006::bigint, 97000000000110::bigint);</v>
      </c>
      <c r="K111" s="9" t="s">
        <v>3</v>
      </c>
      <c r="L111" s="1" t="str">
        <f aca="false">IF(EXACT(K111,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IF(EXACT($G111, ""), "null", CONCATENATE("'", SUBSTITUTE($G111, "'", "\'"), "'")), "::bigint,",
"'menu_RefID', ", IF(EXACT($B111, ""), "null", CONCATENATE("'", SUBSTITUTE($B111,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'254000000000006'::bigint,'menu_RefID', '97000000000110'::bigint)))::varchar;</v>
      </c>
    </row>
    <row r="112" customFormat="false" ht="12.75" hidden="false" customHeight="false" outlineLevel="0" collapsed="false">
      <c r="B112" s="4" t="n">
        <f aca="false">[1]Main!$E112</f>
        <v>97000000000111</v>
      </c>
      <c r="C112" s="5" t="str">
        <f aca="false">VLOOKUP($B112, [1]Main!$E$2:$G$374, 2, FALSE())</f>
        <v>Module.Finance.Data.TaxReconciliation.Transaction</v>
      </c>
      <c r="D112" s="6" t="str">
        <f aca="false">VLOOKUP($B112, [1]Main!$E$2:$G$374, 3, FALSE())</f>
        <v>Tax Reconciliation</v>
      </c>
      <c r="F112" s="7" t="s">
        <v>10</v>
      </c>
      <c r="G112" s="4" t="n">
        <f aca="false">IF(EXACT($F112, ""), "", VLOOKUP($F112, [2]Main!$B$2:$E$30, 4, FALSE()))</f>
        <v>254000000000006</v>
      </c>
      <c r="H112" s="1" t="n">
        <v>111</v>
      </c>
      <c r="I112" s="8" t="str">
        <f aca="false">IF(EXACT(G112, ""), "", CONCATENATE("PERFORM ""SchSysConfig"".""Func_TblAppObject_MenuGroupMember_SET""(varSystemLoginSession, null, null, null, varInstitutionBranchID, varBaseCurrencyID, ", G112, "::bigint, ", B112, "::bigint);"))</f>
        <v>PERFORM "SchSysConfig"."Func_TblAppObject_MenuGroupMember_SET"(varSystemLoginSession, null, null, null, varInstitutionBranchID, varBaseCurrencyID, 254000000000006::bigint, 97000000000111::bigint);</v>
      </c>
      <c r="K112" s="9" t="s">
        <v>3</v>
      </c>
      <c r="L112" s="1" t="str">
        <f aca="false">IF(EXACT(K112,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IF(EXACT($G112, ""), "null", CONCATENATE("'", SUBSTITUTE($G112, "'", "\'"), "'")), "::bigint,",
"'menu_RefID', ", IF(EXACT($B112, ""), "null", CONCATENATE("'", SUBSTITUTE($B112,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'254000000000006'::bigint,'menu_RefID', '97000000000111'::bigint)))::varchar;</v>
      </c>
    </row>
    <row r="113" customFormat="false" ht="12.75" hidden="false" customHeight="false" outlineLevel="0" collapsed="false">
      <c r="B113" s="4" t="n">
        <f aca="false">[1]Main!$E113</f>
        <v>97000000000112</v>
      </c>
      <c r="C113" s="5" t="str">
        <f aca="false">VLOOKUP($B113, [1]Main!$E$2:$G$374, 2, FALSE())</f>
        <v>Module.Finance.Data.TaxReconciliation.Report.DataList</v>
      </c>
      <c r="D113" s="6" t="str">
        <f aca="false">VLOOKUP($B113, [1]Main!$E$2:$G$374, 3, FALSE())</f>
        <v>Tax Reconciliation Summary</v>
      </c>
      <c r="F113" s="7" t="s">
        <v>10</v>
      </c>
      <c r="G113" s="4" t="n">
        <f aca="false">IF(EXACT($F113, ""), "", VLOOKUP($F113, [2]Main!$B$2:$E$30, 4, FALSE()))</f>
        <v>254000000000006</v>
      </c>
      <c r="H113" s="1" t="n">
        <v>112</v>
      </c>
      <c r="I113" s="8" t="str">
        <f aca="false">IF(EXACT(G113, ""), "", CONCATENATE("PERFORM ""SchSysConfig"".""Func_TblAppObject_MenuGroupMember_SET""(varSystemLoginSession, null, null, null, varInstitutionBranchID, varBaseCurrencyID, ", G113, "::bigint, ", B113, "::bigint);"))</f>
        <v>PERFORM "SchSysConfig"."Func_TblAppObject_MenuGroupMember_SET"(varSystemLoginSession, null, null, null, varInstitutionBranchID, varBaseCurrencyID, 254000000000006::bigint, 97000000000112::bigint);</v>
      </c>
      <c r="K113" s="9" t="s">
        <v>3</v>
      </c>
      <c r="L113" s="1" t="str">
        <f aca="false">IF(EXACT(K113,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IF(EXACT($G113, ""), "null", CONCATENATE("'", SUBSTITUTE($G113, "'", "\'"), "'")), "::bigint,",
"'menu_RefID', ", IF(EXACT($B113, ""), "null", CONCATENATE("'", SUBSTITUTE($B113,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'254000000000006'::bigint,'menu_RefID', '97000000000112'::bigint)))::varchar;</v>
      </c>
    </row>
    <row r="114" customFormat="false" ht="12.75" hidden="false" customHeight="false" outlineLevel="0" collapsed="false">
      <c r="B114" s="4" t="n">
        <f aca="false">[1]Main!$E114</f>
        <v>97000000000113</v>
      </c>
      <c r="C114" s="5" t="str">
        <f aca="false">VLOOKUP($B114, [1]Main!$E$2:$G$374, 2, FALSE())</f>
        <v>Module.CustomerRelation.MasterData.Customer.Transaction</v>
      </c>
      <c r="D114" s="6" t="str">
        <f aca="false">VLOOKUP($B114, [1]Main!$E$2:$G$374, 3, FALSE())</f>
        <v>Customer</v>
      </c>
      <c r="F114" s="7" t="s">
        <v>11</v>
      </c>
      <c r="G114" s="4" t="n">
        <f aca="false">IF(EXACT($F114, ""), "", VLOOKUP($F114, [2]Main!$B$2:$E$30, 4, FALSE()))</f>
        <v>254000000000005</v>
      </c>
      <c r="H114" s="1" t="n">
        <v>113</v>
      </c>
      <c r="I114" s="8" t="str">
        <f aca="false">IF(EXACT(G114, ""), "", CONCATENATE("PERFORM ""SchSysConfig"".""Func_TblAppObject_MenuGroupMember_SET""(varSystemLoginSession, null, null, null, varInstitutionBranchID, varBaseCurrencyID, ", G114, "::bigint, ", B114, "::bigint);"))</f>
        <v>PERFORM "SchSysConfig"."Func_TblAppObject_MenuGroupMember_SET"(varSystemLoginSession, null, null, null, varInstitutionBranchID, varBaseCurrencyID, 254000000000005::bigint, 97000000000113::bigint);</v>
      </c>
      <c r="K114" s="9" t="s">
        <v>3</v>
      </c>
      <c r="L114" s="1" t="str">
        <f aca="false">IF(EXACT(K114,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IF(EXACT($G114, ""), "null", CONCATENATE("'", SUBSTITUTE($G114, "'", "\'"), "'")), "::bigint,",
"'menu_RefID', ", IF(EXACT($B114, ""), "null", CONCATENATE("'", SUBSTITUTE($B114,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'254000000000005'::bigint,'menu_RefID', '97000000000113'::bigint)))::varchar;</v>
      </c>
    </row>
    <row r="115" customFormat="false" ht="12.75" hidden="false" customHeight="false" outlineLevel="0" collapsed="false">
      <c r="B115" s="4" t="n">
        <f aca="false">[1]Main!$E115</f>
        <v>97000000000114</v>
      </c>
      <c r="C115" s="5" t="str">
        <f aca="false">VLOOKUP($B115, [1]Main!$E$2:$G$374, 2, FALSE())</f>
        <v>Module.CustomerRelation.MasterData.CustomerOrder.Transaction</v>
      </c>
      <c r="D115" s="6" t="str">
        <f aca="false">VLOOKUP($B115, [1]Main!$E$2:$G$374, 3, FALSE())</f>
        <v>Customer Order</v>
      </c>
      <c r="F115" s="7" t="s">
        <v>11</v>
      </c>
      <c r="G115" s="4" t="n">
        <f aca="false">IF(EXACT($F115, ""), "", VLOOKUP($F115, [2]Main!$B$2:$E$30, 4, FALSE()))</f>
        <v>254000000000005</v>
      </c>
      <c r="H115" s="1" t="n">
        <v>114</v>
      </c>
      <c r="I115" s="8" t="str">
        <f aca="false">IF(EXACT(G115, ""), "", CONCATENATE("PERFORM ""SchSysConfig"".""Func_TblAppObject_MenuGroupMember_SET""(varSystemLoginSession, null, null, null, varInstitutionBranchID, varBaseCurrencyID, ", G115, "::bigint, ", B115, "::bigint);"))</f>
        <v>PERFORM "SchSysConfig"."Func_TblAppObject_MenuGroupMember_SET"(varSystemLoginSession, null, null, null, varInstitutionBranchID, varBaseCurrencyID, 254000000000005::bigint, 97000000000114::bigint);</v>
      </c>
      <c r="K115" s="9" t="s">
        <v>3</v>
      </c>
      <c r="L115" s="1" t="str">
        <f aca="false">IF(EXACT(K115,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IF(EXACT($G115, ""), "null", CONCATENATE("'", SUBSTITUTE($G115, "'", "\'"), "'")), "::bigint,",
"'menu_RefID', ", IF(EXACT($B115, ""), "null", CONCATENATE("'", SUBSTITUTE($B115,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'254000000000005'::bigint,'menu_RefID', '97000000000114'::bigint)))::varchar;</v>
      </c>
    </row>
    <row r="116" customFormat="false" ht="12.75" hidden="false" customHeight="false" outlineLevel="0" collapsed="false">
      <c r="B116" s="4" t="n">
        <f aca="false">[1]Main!$E116</f>
        <v>97000000000115</v>
      </c>
      <c r="C116" s="5" t="str">
        <f aca="false">VLOOKUP($B116, [1]Main!$E$2:$G$374, 2, FALSE())</f>
        <v>Module.CustomerRelation.MasterData.CustomerOrder.Report.DataList</v>
      </c>
      <c r="D116" s="6" t="str">
        <f aca="false">VLOOKUP($B116, [1]Main!$E$2:$G$374, 3, FALSE())</f>
        <v>Customer Order Summary</v>
      </c>
      <c r="F116" s="7" t="s">
        <v>11</v>
      </c>
      <c r="G116" s="4" t="n">
        <f aca="false">IF(EXACT($F116, ""), "", VLOOKUP($F116, [2]Main!$B$2:$E$30, 4, FALSE()))</f>
        <v>254000000000005</v>
      </c>
      <c r="H116" s="1" t="n">
        <v>115</v>
      </c>
      <c r="I116" s="8" t="str">
        <f aca="false">IF(EXACT(G116, ""), "", CONCATENATE("PERFORM ""SchSysConfig"".""Func_TblAppObject_MenuGroupMember_SET""(varSystemLoginSession, null, null, null, varInstitutionBranchID, varBaseCurrencyID, ", G116, "::bigint, ", B116, "::bigint);"))</f>
        <v>PERFORM "SchSysConfig"."Func_TblAppObject_MenuGroupMember_SET"(varSystemLoginSession, null, null, null, varInstitutionBranchID, varBaseCurrencyID, 254000000000005::bigint, 97000000000115::bigint);</v>
      </c>
      <c r="K116" s="9" t="s">
        <v>3</v>
      </c>
      <c r="L116" s="1" t="str">
        <f aca="false">IF(EXACT(K116, ""), "",
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"'menuGroup_RefID', ", IF(EXACT($G116, ""), "null", CONCATENATE("'", SUBSTITUTE($G116, "'", "\'"), "'")), "::bigint,",
"'menu_RefID', ", IF(EXACT($B116, ""), "null", CONCATENATE("'", SUBSTITUTE($B116, "'", "\'"), "'")), "::bigint",
")))::varchar;")
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varInstitutionBranchID::bigint,'sysBaseCurrency_RefID',varBaseCurrencyID::bigint,'menuGroup_RefID', '254000000000005'::bigint,'menu_RefID', '97000000000115'::bigint)))::varchar;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true" showOutlineSymbols="true" defaultGridColor="true" view="normal" topLeftCell="A1" colorId="64" zoomScale="112" zoomScaleNormal="112" zoomScalePageLayoutView="100" workbookViewId="0">
      <selection pane="topLeft" activeCell="B19" activeCellId="0" sqref="B19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0" width="15.42"/>
    <col collapsed="false" customWidth="true" hidden="false" outlineLevel="0" max="2" min="2" style="10" width="57.78"/>
    <col collapsed="false" customWidth="true" hidden="false" outlineLevel="0" max="3" min="3" style="10" width="29.59"/>
    <col collapsed="false" customWidth="false" hidden="false" outlineLevel="0" max="16384" min="4" style="10" width="11.53"/>
  </cols>
  <sheetData>
    <row r="1" s="12" customFormat="true" ht="13.8" hidden="false" customHeight="false" outlineLevel="0" collapsed="false">
      <c r="A1" s="11" t="n">
        <v>97000000000025</v>
      </c>
      <c r="B1" s="11" t="s">
        <v>12</v>
      </c>
      <c r="C1" s="11" t="s">
        <v>13</v>
      </c>
    </row>
    <row r="2" s="12" customFormat="true" ht="13.8" hidden="false" customHeight="false" outlineLevel="0" collapsed="false">
      <c r="A2" s="13" t="n">
        <v>97000000000025</v>
      </c>
      <c r="B2" s="13" t="s">
        <v>12</v>
      </c>
      <c r="C2" s="13" t="s">
        <v>14</v>
      </c>
    </row>
    <row r="4" s="12" customFormat="true" ht="13.8" hidden="false" customHeight="false" outlineLevel="0" collapsed="false">
      <c r="A4" s="11" t="n">
        <v>97000000000089</v>
      </c>
      <c r="B4" s="11" t="s">
        <v>15</v>
      </c>
      <c r="C4" s="11" t="s">
        <v>16</v>
      </c>
    </row>
    <row r="5" s="12" customFormat="true" ht="13.8" hidden="false" customHeight="false" outlineLevel="0" collapsed="false">
      <c r="A5" s="13" t="n">
        <v>97000000000089</v>
      </c>
      <c r="B5" s="13" t="s">
        <v>15</v>
      </c>
      <c r="C5" s="13" t="s">
        <v>17</v>
      </c>
    </row>
    <row r="6" s="12" customFormat="true" ht="13.8" hidden="false" customHeight="false" outlineLevel="0" collapsed="false"/>
    <row r="7" s="12" customFormat="true" ht="13.8" hidden="false" customHeight="false" outlineLevel="0" collapsed="false">
      <c r="A7" s="11" t="n">
        <v>97000000000036</v>
      </c>
      <c r="B7" s="11" t="s">
        <v>18</v>
      </c>
      <c r="C7" s="11" t="s">
        <v>19</v>
      </c>
    </row>
    <row r="8" s="12" customFormat="true" ht="13.8" hidden="false" customHeight="false" outlineLevel="0" collapsed="false">
      <c r="A8" s="13" t="n">
        <v>97000000000036</v>
      </c>
      <c r="B8" s="13" t="s">
        <v>18</v>
      </c>
      <c r="C8" s="13" t="s">
        <v>20</v>
      </c>
    </row>
    <row r="9" s="12" customFormat="true" ht="13.8" hidden="false" customHeight="false" outlineLevel="0" collapsed="false"/>
    <row r="10" s="12" customFormat="true" ht="13.8" hidden="false" customHeight="false" outlineLevel="0" collapsed="false">
      <c r="A10" s="11" t="n">
        <v>97000000000037</v>
      </c>
      <c r="B10" s="11" t="s">
        <v>21</v>
      </c>
      <c r="C10" s="11" t="s">
        <v>22</v>
      </c>
    </row>
    <row r="11" s="12" customFormat="true" ht="13.8" hidden="false" customHeight="false" outlineLevel="0" collapsed="false">
      <c r="A11" s="13" t="n">
        <v>97000000000037</v>
      </c>
      <c r="B11" s="13" t="s">
        <v>21</v>
      </c>
      <c r="C11" s="13" t="s">
        <v>23</v>
      </c>
    </row>
    <row r="12" s="12" customFormat="true" ht="13.8" hidden="false" customHeight="false" outlineLevel="0" collapsed="false"/>
    <row r="13" s="12" customFormat="true" ht="13.8" hidden="false" customHeight="false" outlineLevel="0" collapsed="false">
      <c r="A13" s="11" t="n">
        <v>97000000000114</v>
      </c>
      <c r="B13" s="11" t="s">
        <v>24</v>
      </c>
      <c r="C13" s="11" t="s">
        <v>25</v>
      </c>
    </row>
    <row r="14" s="12" customFormat="true" ht="13.8" hidden="false" customHeight="false" outlineLevel="0" collapsed="false">
      <c r="A14" s="13" t="n">
        <v>97000000000114</v>
      </c>
      <c r="B14" s="13" t="s">
        <v>26</v>
      </c>
      <c r="C14" s="13" t="s">
        <v>25</v>
      </c>
    </row>
    <row r="16" customFormat="false" ht="13.8" hidden="false" customHeight="false" outlineLevel="0" collapsed="false">
      <c r="A16" s="14"/>
      <c r="B16" s="10" t="s">
        <v>27</v>
      </c>
    </row>
    <row r="17" customFormat="false" ht="13.8" hidden="false" customHeight="false" outlineLevel="0" collapsed="false">
      <c r="A17" s="13"/>
      <c r="B17" s="10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2026-07-30T10:37:10Z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