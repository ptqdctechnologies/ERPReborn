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6000"/>
  </bookViews>
  <sheets>
    <sheet name="Main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O4" i="1" l="1"/>
  <c r="Q4" i="1"/>
  <c r="O5" i="1"/>
  <c r="Q5" i="1"/>
  <c r="O6" i="1"/>
  <c r="Q6" i="1"/>
  <c r="O7" i="1"/>
  <c r="Q7" i="1"/>
  <c r="O8" i="1"/>
  <c r="Q8" i="1"/>
  <c r="O9" i="1"/>
  <c r="Q9" i="1"/>
  <c r="O10" i="1"/>
  <c r="Q10" i="1"/>
  <c r="O11" i="1"/>
  <c r="Q11" i="1"/>
  <c r="O12" i="1"/>
  <c r="Q12" i="1"/>
  <c r="O13" i="1"/>
  <c r="Q13" i="1"/>
  <c r="O14" i="1"/>
  <c r="Q14" i="1"/>
  <c r="O15" i="1"/>
  <c r="Q15" i="1"/>
  <c r="O16" i="1"/>
  <c r="Q16" i="1"/>
  <c r="O17" i="1"/>
  <c r="Q17" i="1"/>
  <c r="O18" i="1"/>
  <c r="Q18" i="1"/>
  <c r="O19" i="1"/>
  <c r="Q19" i="1"/>
  <c r="O20" i="1"/>
  <c r="Q20" i="1"/>
  <c r="O21" i="1"/>
  <c r="Q21" i="1"/>
  <c r="O22" i="1"/>
  <c r="Q22" i="1"/>
  <c r="O23" i="1"/>
  <c r="Q23" i="1"/>
  <c r="O24" i="1"/>
  <c r="Q24" i="1"/>
  <c r="O25" i="1"/>
  <c r="Q25" i="1"/>
  <c r="O26" i="1"/>
  <c r="Q26" i="1"/>
  <c r="O27" i="1"/>
  <c r="Q27" i="1"/>
  <c r="O28" i="1"/>
  <c r="Q28" i="1"/>
  <c r="O29" i="1"/>
  <c r="Q29" i="1"/>
  <c r="O30" i="1"/>
  <c r="Q30" i="1"/>
  <c r="O31" i="1"/>
  <c r="Q31" i="1"/>
  <c r="O32" i="1"/>
  <c r="Q32" i="1"/>
  <c r="O33" i="1"/>
  <c r="Q33" i="1"/>
  <c r="O34" i="1"/>
  <c r="Q34" i="1"/>
  <c r="O35" i="1"/>
  <c r="Q35" i="1"/>
  <c r="O36" i="1"/>
  <c r="Q36" i="1"/>
  <c r="O37" i="1"/>
  <c r="Q37" i="1"/>
  <c r="O38" i="1"/>
  <c r="Q38" i="1"/>
  <c r="O39" i="1"/>
  <c r="Q39" i="1"/>
  <c r="O40" i="1"/>
  <c r="Q40" i="1"/>
  <c r="O41" i="1"/>
  <c r="Q41" i="1"/>
  <c r="O42" i="1"/>
  <c r="Q42" i="1"/>
  <c r="O43" i="1"/>
  <c r="Q43" i="1"/>
  <c r="O44" i="1"/>
  <c r="Q44" i="1"/>
  <c r="O45" i="1"/>
  <c r="Q45" i="1"/>
  <c r="O46" i="1"/>
  <c r="Q46" i="1"/>
  <c r="O47" i="1"/>
  <c r="Q47" i="1"/>
  <c r="O48" i="1"/>
  <c r="Q48" i="1"/>
  <c r="O49" i="1"/>
  <c r="Q49" i="1"/>
  <c r="O50" i="1"/>
  <c r="Q50" i="1"/>
  <c r="O51" i="1"/>
  <c r="Q51" i="1"/>
  <c r="O52" i="1"/>
  <c r="Q52" i="1"/>
  <c r="O53" i="1"/>
  <c r="Q53" i="1"/>
  <c r="O54" i="1"/>
  <c r="Q54" i="1"/>
  <c r="O55" i="1"/>
  <c r="Q55" i="1"/>
  <c r="O56" i="1"/>
  <c r="Q56" i="1"/>
  <c r="O57" i="1"/>
  <c r="Q57" i="1"/>
  <c r="O58" i="1"/>
  <c r="Q58" i="1"/>
  <c r="O59" i="1"/>
  <c r="Q59" i="1"/>
  <c r="O60" i="1"/>
  <c r="Q60" i="1"/>
  <c r="O61" i="1"/>
  <c r="Q61" i="1"/>
  <c r="O62" i="1"/>
  <c r="Q62" i="1"/>
  <c r="O63" i="1"/>
  <c r="Q63" i="1"/>
  <c r="O64" i="1"/>
  <c r="Q64" i="1"/>
  <c r="O65" i="1"/>
  <c r="Q65" i="1"/>
  <c r="O66" i="1"/>
  <c r="Q66" i="1"/>
  <c r="O67" i="1"/>
  <c r="Q67" i="1"/>
  <c r="O68" i="1"/>
  <c r="Q68" i="1"/>
  <c r="O69" i="1"/>
  <c r="Q69" i="1"/>
  <c r="O70" i="1"/>
  <c r="Q70" i="1"/>
  <c r="O71" i="1"/>
  <c r="Q71" i="1"/>
  <c r="O72" i="1"/>
  <c r="Q72" i="1"/>
  <c r="O73" i="1"/>
  <c r="Q73" i="1"/>
  <c r="O74" i="1"/>
  <c r="Q74" i="1"/>
  <c r="O75" i="1"/>
  <c r="Q75" i="1"/>
  <c r="O76" i="1"/>
  <c r="Q76" i="1"/>
  <c r="O77" i="1"/>
  <c r="Q77" i="1"/>
  <c r="O78" i="1"/>
  <c r="Q78" i="1"/>
  <c r="O79" i="1"/>
  <c r="Q79" i="1"/>
  <c r="O80" i="1"/>
  <c r="Q80" i="1"/>
  <c r="O81" i="1"/>
  <c r="Q81" i="1"/>
  <c r="O82" i="1"/>
  <c r="Q82" i="1"/>
  <c r="O83" i="1"/>
  <c r="Q83" i="1"/>
  <c r="O84" i="1"/>
  <c r="Q84" i="1"/>
  <c r="O85" i="1"/>
  <c r="Q85" i="1"/>
  <c r="O86" i="1"/>
  <c r="Q86" i="1"/>
  <c r="O87" i="1"/>
  <c r="Q87" i="1"/>
  <c r="O88" i="1"/>
  <c r="Q88" i="1"/>
  <c r="O89" i="1"/>
  <c r="Q89" i="1"/>
  <c r="O90" i="1"/>
  <c r="Q90" i="1"/>
  <c r="O91" i="1"/>
  <c r="Q91" i="1"/>
  <c r="O92" i="1"/>
  <c r="Q92" i="1"/>
  <c r="O93" i="1"/>
  <c r="Q93" i="1"/>
  <c r="O94" i="1"/>
  <c r="Q94" i="1"/>
  <c r="O95" i="1"/>
  <c r="Q95" i="1"/>
  <c r="O96" i="1"/>
  <c r="Q96" i="1"/>
  <c r="O97" i="1"/>
  <c r="Q97" i="1"/>
  <c r="O98" i="1"/>
  <c r="Q98" i="1"/>
  <c r="O99" i="1"/>
  <c r="Q99" i="1"/>
  <c r="O100" i="1"/>
  <c r="Q100" i="1"/>
  <c r="O101" i="1"/>
  <c r="Q101" i="1"/>
  <c r="O102" i="1"/>
  <c r="Q102" i="1"/>
  <c r="O103" i="1"/>
  <c r="Q103" i="1"/>
  <c r="O104" i="1"/>
  <c r="Q104" i="1"/>
  <c r="O105" i="1"/>
  <c r="Q105" i="1"/>
  <c r="O106" i="1"/>
  <c r="Q106" i="1"/>
  <c r="O107" i="1"/>
  <c r="Q107" i="1"/>
  <c r="O108" i="1"/>
  <c r="Q108" i="1"/>
  <c r="O109" i="1"/>
  <c r="Q109" i="1"/>
  <c r="O110" i="1"/>
  <c r="Q110" i="1"/>
  <c r="O111" i="1"/>
  <c r="Q111" i="1"/>
  <c r="O112" i="1"/>
  <c r="Q112" i="1"/>
  <c r="O113" i="1"/>
  <c r="Q113" i="1"/>
  <c r="O114" i="1"/>
  <c r="Q114" i="1"/>
  <c r="O115" i="1"/>
  <c r="Q115" i="1"/>
  <c r="O116" i="1"/>
  <c r="Q116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B116" i="1" l="1"/>
  <c r="F116" i="1"/>
  <c r="B114" i="1"/>
  <c r="F114" i="1"/>
  <c r="B115" i="1"/>
  <c r="F115" i="1"/>
  <c r="B112" i="1"/>
  <c r="F112" i="1"/>
  <c r="B113" i="1"/>
  <c r="F113" i="1"/>
  <c r="B99" i="1"/>
  <c r="F99" i="1"/>
  <c r="B100" i="1"/>
  <c r="F100" i="1"/>
  <c r="B101" i="1"/>
  <c r="F101" i="1"/>
  <c r="B102" i="1"/>
  <c r="F102" i="1"/>
  <c r="B103" i="1"/>
  <c r="F103" i="1"/>
  <c r="B104" i="1"/>
  <c r="F104" i="1"/>
  <c r="B105" i="1"/>
  <c r="F105" i="1"/>
  <c r="B106" i="1"/>
  <c r="F106" i="1"/>
  <c r="B107" i="1"/>
  <c r="F107" i="1"/>
  <c r="B108" i="1"/>
  <c r="F108" i="1"/>
  <c r="B109" i="1"/>
  <c r="F109" i="1"/>
  <c r="B110" i="1"/>
  <c r="F110" i="1"/>
  <c r="B111" i="1"/>
  <c r="F1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D116" i="1" l="1"/>
  <c r="C116" i="1"/>
  <c r="B2" i="1" l="1"/>
  <c r="B3" i="1" s="1"/>
  <c r="B4" i="1" s="1"/>
  <c r="B5" i="1" s="1"/>
  <c r="B6" i="1" s="1"/>
  <c r="B7" i="1" s="1"/>
  <c r="B8" i="1" s="1"/>
  <c r="B9" i="1" s="1"/>
  <c r="B10" i="1" s="1"/>
  <c r="B11" i="1" s="1"/>
  <c r="F5" i="1" l="1"/>
  <c r="F6" i="1"/>
  <c r="M2" i="1"/>
  <c r="M3" i="1" s="1"/>
  <c r="M4" i="1" s="1"/>
  <c r="I5" i="1" l="1"/>
  <c r="I6" i="1"/>
  <c r="F7" i="1"/>
  <c r="F2" i="1"/>
  <c r="I2" i="1"/>
  <c r="I7" i="1" l="1"/>
  <c r="F8" i="1"/>
  <c r="F4" i="1"/>
  <c r="F3" i="1"/>
  <c r="I3" i="1" l="1"/>
  <c r="I4" i="1"/>
  <c r="I8" i="1"/>
  <c r="F9" i="1"/>
  <c r="I9" i="1" l="1"/>
  <c r="F10" i="1"/>
  <c r="I10" i="1" l="1"/>
  <c r="F11" i="1"/>
  <c r="I11" i="1" l="1"/>
  <c r="I12" i="1" l="1"/>
  <c r="I13" i="1" l="1"/>
  <c r="I14" i="1" l="1"/>
  <c r="I15" i="1" l="1"/>
  <c r="I16" i="1" l="1"/>
  <c r="I17" i="1" l="1"/>
  <c r="I18" i="1" l="1"/>
  <c r="I19" i="1" l="1"/>
  <c r="I24" i="1" l="1"/>
  <c r="I25" i="1" l="1"/>
  <c r="I26" i="1" l="1"/>
  <c r="I27" i="1" l="1"/>
  <c r="I29" i="1" l="1"/>
  <c r="I30" i="1" l="1"/>
  <c r="I32" i="1" l="1"/>
  <c r="I34" i="1" l="1"/>
  <c r="I36" i="1" l="1"/>
  <c r="I38" i="1" l="1"/>
  <c r="I40" i="1" l="1"/>
  <c r="I41" i="1" l="1"/>
  <c r="I44" i="1" l="1"/>
  <c r="I46" i="1" l="1"/>
  <c r="I47" i="1" l="1"/>
  <c r="I48" i="1" l="1"/>
  <c r="I49" i="1" l="1"/>
  <c r="I51" i="1" l="1"/>
  <c r="I53" i="1" l="1"/>
  <c r="D2" i="1"/>
  <c r="I54" i="1" l="1"/>
  <c r="C2" i="1"/>
  <c r="J2" i="1" s="1"/>
  <c r="O2" i="1" l="1"/>
  <c r="Q2" i="1"/>
  <c r="I56" i="1" l="1"/>
  <c r="I58" i="1" l="1"/>
  <c r="I61" i="1" l="1"/>
  <c r="I60" i="1"/>
  <c r="I59" i="1"/>
  <c r="I57" i="1"/>
  <c r="I55" i="1"/>
  <c r="I52" i="1"/>
  <c r="I50" i="1"/>
  <c r="I45" i="1"/>
  <c r="I43" i="1"/>
  <c r="I42" i="1"/>
  <c r="I39" i="1"/>
  <c r="I37" i="1"/>
  <c r="I35" i="1"/>
  <c r="I33" i="1"/>
  <c r="I31" i="1"/>
  <c r="I28" i="1"/>
  <c r="I23" i="1"/>
  <c r="I22" i="1"/>
  <c r="I21" i="1"/>
  <c r="I20" i="1"/>
  <c r="I62" i="1" l="1"/>
  <c r="I63" i="1" l="1"/>
  <c r="I64" i="1" l="1"/>
  <c r="I65" i="1" l="1"/>
  <c r="I66" i="1" l="1"/>
  <c r="I67" i="1" l="1"/>
  <c r="I68" i="1" l="1"/>
  <c r="I69" i="1" l="1"/>
  <c r="I70" i="1" l="1"/>
  <c r="I71" i="1" l="1"/>
  <c r="I72" i="1" l="1"/>
  <c r="I73" i="1" l="1"/>
  <c r="I74" i="1" l="1"/>
  <c r="I75" i="1" l="1"/>
  <c r="I76" i="1" l="1"/>
  <c r="I77" i="1" l="1"/>
  <c r="I78" i="1" l="1"/>
  <c r="I79" i="1" l="1"/>
  <c r="I80" i="1" l="1"/>
  <c r="I81" i="1" l="1"/>
  <c r="I82" i="1" l="1"/>
  <c r="I83" i="1" l="1"/>
  <c r="I84" i="1" l="1"/>
  <c r="I85" i="1" l="1"/>
  <c r="I86" i="1" l="1"/>
  <c r="I87" i="1" l="1"/>
  <c r="I88" i="1" l="1"/>
  <c r="I89" i="1" l="1"/>
  <c r="I90" i="1" l="1"/>
  <c r="I91" i="1" l="1"/>
  <c r="I92" i="1" l="1"/>
  <c r="I93" i="1" l="1"/>
  <c r="I94" i="1" l="1"/>
  <c r="I95" i="1" l="1"/>
  <c r="I96" i="1" l="1"/>
  <c r="I97" i="1" l="1"/>
  <c r="I98" i="1" l="1"/>
  <c r="C3" i="1" l="1"/>
  <c r="J3" i="1" s="1"/>
  <c r="D3" i="1"/>
  <c r="C4" i="1" l="1"/>
  <c r="J4" i="1" s="1"/>
  <c r="D4" i="1"/>
  <c r="D5" i="1"/>
  <c r="C5" i="1"/>
  <c r="J5" i="1" s="1"/>
  <c r="O3" i="1"/>
  <c r="Q3" i="1"/>
  <c r="D7" i="1" l="1"/>
  <c r="C7" i="1"/>
  <c r="J7" i="1" s="1"/>
  <c r="D6" i="1"/>
  <c r="C6" i="1"/>
  <c r="J6" i="1" s="1"/>
  <c r="D9" i="1" l="1"/>
  <c r="C9" i="1"/>
  <c r="J9" i="1" s="1"/>
  <c r="D8" i="1"/>
  <c r="C8" i="1"/>
  <c r="J8" i="1" s="1"/>
  <c r="D11" i="1" l="1"/>
  <c r="C11" i="1"/>
  <c r="J11" i="1" s="1"/>
  <c r="D10" i="1"/>
  <c r="C10" i="1"/>
  <c r="J10" i="1" s="1"/>
  <c r="D98" i="1" l="1"/>
  <c r="C98" i="1"/>
  <c r="J98" i="1" s="1"/>
  <c r="D97" i="1"/>
  <c r="C97" i="1"/>
  <c r="J97" i="1" s="1"/>
  <c r="D96" i="1"/>
  <c r="C96" i="1"/>
  <c r="J96" i="1" s="1"/>
  <c r="D95" i="1"/>
  <c r="C95" i="1"/>
  <c r="J95" i="1" s="1"/>
  <c r="D94" i="1"/>
  <c r="C94" i="1"/>
  <c r="J94" i="1" s="1"/>
  <c r="D93" i="1"/>
  <c r="C93" i="1"/>
  <c r="J93" i="1" s="1"/>
  <c r="D92" i="1"/>
  <c r="C92" i="1"/>
  <c r="J92" i="1" s="1"/>
  <c r="D91" i="1"/>
  <c r="C91" i="1"/>
  <c r="J91" i="1" s="1"/>
  <c r="D90" i="1"/>
  <c r="C90" i="1"/>
  <c r="J90" i="1" s="1"/>
  <c r="D89" i="1"/>
  <c r="C89" i="1"/>
  <c r="J89" i="1" s="1"/>
  <c r="D88" i="1"/>
  <c r="C88" i="1"/>
  <c r="J88" i="1" s="1"/>
  <c r="D87" i="1"/>
  <c r="C87" i="1"/>
  <c r="J87" i="1" s="1"/>
  <c r="D86" i="1"/>
  <c r="C86" i="1"/>
  <c r="J86" i="1" s="1"/>
  <c r="D85" i="1"/>
  <c r="C85" i="1"/>
  <c r="J85" i="1" s="1"/>
  <c r="D84" i="1"/>
  <c r="C84" i="1"/>
  <c r="J84" i="1" s="1"/>
  <c r="D83" i="1"/>
  <c r="C83" i="1"/>
  <c r="J83" i="1" s="1"/>
  <c r="D82" i="1"/>
  <c r="C82" i="1"/>
  <c r="J82" i="1" s="1"/>
  <c r="D81" i="1"/>
  <c r="C81" i="1"/>
  <c r="J81" i="1" s="1"/>
  <c r="D80" i="1"/>
  <c r="C80" i="1"/>
  <c r="J80" i="1" s="1"/>
  <c r="D79" i="1"/>
  <c r="C79" i="1"/>
  <c r="J79" i="1" s="1"/>
  <c r="D78" i="1"/>
  <c r="C78" i="1"/>
  <c r="J78" i="1" s="1"/>
  <c r="D77" i="1"/>
  <c r="C77" i="1"/>
  <c r="J77" i="1" s="1"/>
  <c r="D76" i="1"/>
  <c r="C76" i="1"/>
  <c r="J76" i="1" s="1"/>
  <c r="D75" i="1"/>
  <c r="C75" i="1"/>
  <c r="J75" i="1" s="1"/>
  <c r="D74" i="1"/>
  <c r="C74" i="1"/>
  <c r="J74" i="1" s="1"/>
  <c r="D73" i="1"/>
  <c r="C73" i="1"/>
  <c r="J73" i="1" s="1"/>
  <c r="D72" i="1"/>
  <c r="C72" i="1"/>
  <c r="J72" i="1" s="1"/>
  <c r="D71" i="1"/>
  <c r="C71" i="1"/>
  <c r="J71" i="1" s="1"/>
  <c r="D70" i="1"/>
  <c r="C70" i="1"/>
  <c r="J70" i="1" s="1"/>
  <c r="D69" i="1"/>
  <c r="C69" i="1"/>
  <c r="J69" i="1" s="1"/>
  <c r="D68" i="1"/>
  <c r="C68" i="1"/>
  <c r="J68" i="1" s="1"/>
  <c r="D67" i="1"/>
  <c r="C67" i="1"/>
  <c r="J67" i="1" s="1"/>
  <c r="D66" i="1"/>
  <c r="C66" i="1"/>
  <c r="J66" i="1" s="1"/>
  <c r="D65" i="1"/>
  <c r="C65" i="1"/>
  <c r="J65" i="1" s="1"/>
  <c r="D64" i="1"/>
  <c r="C64" i="1"/>
  <c r="J64" i="1" s="1"/>
  <c r="D63" i="1"/>
  <c r="C63" i="1"/>
  <c r="J63" i="1" s="1"/>
  <c r="D62" i="1"/>
  <c r="C62" i="1"/>
  <c r="J62" i="1" s="1"/>
  <c r="D61" i="1"/>
  <c r="C61" i="1"/>
  <c r="J61" i="1" s="1"/>
  <c r="D60" i="1"/>
  <c r="C60" i="1"/>
  <c r="J60" i="1" s="1"/>
  <c r="D59" i="1"/>
  <c r="C59" i="1"/>
  <c r="J59" i="1" s="1"/>
  <c r="D58" i="1"/>
  <c r="C58" i="1"/>
  <c r="J58" i="1" s="1"/>
  <c r="D57" i="1"/>
  <c r="C57" i="1"/>
  <c r="J57" i="1" s="1"/>
  <c r="D56" i="1"/>
  <c r="C56" i="1"/>
  <c r="J56" i="1" s="1"/>
  <c r="D55" i="1"/>
  <c r="C55" i="1"/>
  <c r="J55" i="1" s="1"/>
  <c r="D54" i="1"/>
  <c r="C54" i="1"/>
  <c r="J54" i="1" s="1"/>
  <c r="D53" i="1"/>
  <c r="C53" i="1"/>
  <c r="J53" i="1" s="1"/>
  <c r="D52" i="1"/>
  <c r="C52" i="1"/>
  <c r="J52" i="1" s="1"/>
  <c r="D51" i="1"/>
  <c r="C51" i="1"/>
  <c r="J51" i="1" s="1"/>
  <c r="D50" i="1"/>
  <c r="C50" i="1"/>
  <c r="J50" i="1" s="1"/>
  <c r="D49" i="1"/>
  <c r="C49" i="1"/>
  <c r="J49" i="1" s="1"/>
  <c r="D48" i="1"/>
  <c r="C48" i="1"/>
  <c r="J48" i="1" s="1"/>
  <c r="D47" i="1"/>
  <c r="C47" i="1"/>
  <c r="J47" i="1" s="1"/>
  <c r="D46" i="1"/>
  <c r="C46" i="1"/>
  <c r="J46" i="1" s="1"/>
  <c r="D45" i="1"/>
  <c r="C45" i="1"/>
  <c r="J45" i="1" s="1"/>
  <c r="D44" i="1"/>
  <c r="C44" i="1"/>
  <c r="J44" i="1" s="1"/>
  <c r="D43" i="1"/>
  <c r="C43" i="1"/>
  <c r="J43" i="1" s="1"/>
  <c r="D42" i="1"/>
  <c r="C42" i="1"/>
  <c r="J42" i="1" s="1"/>
  <c r="D41" i="1"/>
  <c r="C41" i="1"/>
  <c r="J41" i="1" s="1"/>
  <c r="D40" i="1"/>
  <c r="C40" i="1"/>
  <c r="J40" i="1" s="1"/>
  <c r="D39" i="1"/>
  <c r="C39" i="1"/>
  <c r="J39" i="1" s="1"/>
  <c r="D38" i="1"/>
  <c r="C38" i="1"/>
  <c r="J38" i="1" s="1"/>
  <c r="D37" i="1"/>
  <c r="C37" i="1"/>
  <c r="J37" i="1" s="1"/>
  <c r="D36" i="1"/>
  <c r="C36" i="1"/>
  <c r="J36" i="1" s="1"/>
  <c r="D35" i="1"/>
  <c r="C35" i="1"/>
  <c r="J35" i="1" s="1"/>
  <c r="D34" i="1"/>
  <c r="C34" i="1"/>
  <c r="J34" i="1" s="1"/>
  <c r="D33" i="1"/>
  <c r="C33" i="1"/>
  <c r="J33" i="1" s="1"/>
  <c r="D32" i="1"/>
  <c r="C32" i="1"/>
  <c r="J32" i="1" s="1"/>
  <c r="D31" i="1"/>
  <c r="C31" i="1"/>
  <c r="J31" i="1" s="1"/>
  <c r="D30" i="1"/>
  <c r="C30" i="1"/>
  <c r="J30" i="1" s="1"/>
  <c r="D29" i="1"/>
  <c r="C29" i="1"/>
  <c r="J29" i="1" s="1"/>
  <c r="D28" i="1"/>
  <c r="C28" i="1"/>
  <c r="J28" i="1" s="1"/>
  <c r="D27" i="1"/>
  <c r="C27" i="1"/>
  <c r="J27" i="1" s="1"/>
  <c r="D26" i="1"/>
  <c r="C26" i="1"/>
  <c r="J26" i="1" s="1"/>
  <c r="D25" i="1"/>
  <c r="C25" i="1"/>
  <c r="J25" i="1" s="1"/>
  <c r="D24" i="1"/>
  <c r="C24" i="1"/>
  <c r="J24" i="1" s="1"/>
  <c r="D23" i="1"/>
  <c r="C23" i="1"/>
  <c r="J23" i="1" s="1"/>
  <c r="D22" i="1"/>
  <c r="C22" i="1"/>
  <c r="J22" i="1" s="1"/>
  <c r="D21" i="1"/>
  <c r="C21" i="1"/>
  <c r="J21" i="1" s="1"/>
  <c r="D20" i="1"/>
  <c r="C20" i="1"/>
  <c r="J20" i="1" s="1"/>
  <c r="D19" i="1"/>
  <c r="C19" i="1"/>
  <c r="J19" i="1" s="1"/>
  <c r="D18" i="1"/>
  <c r="C18" i="1"/>
  <c r="J18" i="1" s="1"/>
  <c r="D17" i="1"/>
  <c r="C17" i="1"/>
  <c r="J17" i="1" s="1"/>
  <c r="D16" i="1"/>
  <c r="C16" i="1"/>
  <c r="J16" i="1" s="1"/>
  <c r="D15" i="1"/>
  <c r="C15" i="1"/>
  <c r="J15" i="1" s="1"/>
  <c r="D14" i="1"/>
  <c r="C14" i="1"/>
  <c r="J14" i="1" s="1"/>
  <c r="D13" i="1"/>
  <c r="C13" i="1"/>
  <c r="J13" i="1" s="1"/>
  <c r="D12" i="1"/>
  <c r="C12" i="1"/>
  <c r="J12" i="1" s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113" i="1"/>
  <c r="C113" i="1"/>
  <c r="D112" i="1"/>
  <c r="C112" i="1"/>
  <c r="D115" i="1"/>
  <c r="C115" i="1"/>
  <c r="D114" i="1"/>
  <c r="C114" i="1"/>
</calcChain>
</file>

<file path=xl/sharedStrings.xml><?xml version="1.0" encoding="utf-8"?>
<sst xmlns="http://schemas.openxmlformats.org/spreadsheetml/2006/main" count="74" uniqueCount="74">
  <si>
    <t>Action</t>
  </si>
  <si>
    <t>SYS_PID</t>
  </si>
  <si>
    <t>Ref ID Menu</t>
  </si>
  <si>
    <t>Key</t>
  </si>
  <si>
    <t>Caption</t>
  </si>
  <si>
    <t>URL Path</t>
  </si>
  <si>
    <t>ID_MENU</t>
  </si>
  <si>
    <t>login</t>
  </si>
  <si>
    <t>logout</t>
  </si>
  <si>
    <t>ReportModifyBudgetSummary</t>
  </si>
  <si>
    <t>DeliveryOrder?var=1</t>
  </si>
  <si>
    <t>MaterialReceive?var=1</t>
  </si>
  <si>
    <t>MaterialReturn?var=1</t>
  </si>
  <si>
    <t>ReportAdvanceSummary</t>
  </si>
  <si>
    <t>AdvanceRequest?var=1</t>
  </si>
  <si>
    <t>ReportAdvanceSettlementSummary</t>
  </si>
  <si>
    <t>AdvanceSettlement?var=1</t>
  </si>
  <si>
    <t>ReportBusinessTripSettlementSummary</t>
  </si>
  <si>
    <t>BusinessTripSettlement?var=1</t>
  </si>
  <si>
    <t>ReportBusinessTripRequestSummary</t>
  </si>
  <si>
    <t>BusinessTripRequest?var=1</t>
  </si>
  <si>
    <t>ReportPurchaseRequisitionSummary</t>
  </si>
  <si>
    <t>ReportPurchaseRequisitionToPurchaseOrder</t>
  </si>
  <si>
    <t>PurchaseRequisition?var=1</t>
  </si>
  <si>
    <t>ReportPurchaseOrderSummary</t>
  </si>
  <si>
    <t>PurchaseOrder?var=1</t>
  </si>
  <si>
    <t>Reimbursement?var=1</t>
  </si>
  <si>
    <t>ReportReimbursementSummary</t>
  </si>
  <si>
    <t>ReportDebitNoteSummary</t>
  </si>
  <si>
    <t>ReportRemToDN</t>
  </si>
  <si>
    <t>CreditNote?var=1</t>
  </si>
  <si>
    <t>ReportCreditNoteSummary</t>
  </si>
  <si>
    <t>Loan?var=1</t>
  </si>
  <si>
    <t>ReportLoanSummary</t>
  </si>
  <si>
    <t>LoanSettlement?var=1</t>
  </si>
  <si>
    <t>ReportLoanSettlementSummary</t>
  </si>
  <si>
    <t>ReportLoantoLoanSettlement</t>
  </si>
  <si>
    <t>Journal?var=1</t>
  </si>
  <si>
    <t>ReportPaymentJournal</t>
  </si>
  <si>
    <t>AccountPayable?var=1</t>
  </si>
  <si>
    <t>ReportAccountPayableSummary</t>
  </si>
  <si>
    <t>ReportPOtoAP</t>
  </si>
  <si>
    <t>CheckDocument?var=1</t>
  </si>
  <si>
    <t>MyDocument?var=1</t>
  </si>
  <si>
    <t>ModifyBudget?var=1</t>
  </si>
  <si>
    <t>ReportGeneralJournalSummary</t>
  </si>
  <si>
    <t>ReportInvoiceSummary</t>
  </si>
  <si>
    <t>ReportTaxReconSummary</t>
  </si>
  <si>
    <t>ReportTimesheetSummary</t>
  </si>
  <si>
    <t>ReportMaterialReceiveSummary</t>
  </si>
  <si>
    <t>ReportMatReceivetoMatReturn</t>
  </si>
  <si>
    <t>ReportAdvanceToASF</t>
  </si>
  <si>
    <t>ReportBusinessTripToBSF</t>
  </si>
  <si>
    <t>Dashboard?var=1</t>
  </si>
  <si>
    <t>MenuManagement?var=1</t>
  </si>
  <si>
    <t>Budget?var=1</t>
  </si>
  <si>
    <t>BudgetProgress?var=1</t>
  </si>
  <si>
    <t>GeneralJournal?var=1</t>
  </si>
  <si>
    <t>Invoice?var=1</t>
  </si>
  <si>
    <t>TaxRecon?var=1</t>
  </si>
  <si>
    <t>ReportGeneralLedger</t>
  </si>
  <si>
    <t>PrivilegeMenu?var=1</t>
  </si>
  <si>
    <t>Workflow?var=1</t>
  </si>
  <si>
    <t>Timesheet?var=1</t>
  </si>
  <si>
    <t>Product?var=1</t>
  </si>
  <si>
    <t>StockOpname?var=1</t>
  </si>
  <si>
    <t>ReportDeliveryOrderSummary</t>
  </si>
  <si>
    <t>ReportMaterialReturnSummary</t>
  </si>
  <si>
    <t>ReportDOToMaterialReceive</t>
  </si>
  <si>
    <t>Supplier?var=1</t>
  </si>
  <si>
    <t>CategorySupplier?var=1</t>
  </si>
  <si>
    <t>SpecializationSupplier?var=1</t>
  </si>
  <si>
    <t>CustomerOrder?var=1</t>
  </si>
  <si>
    <t>ReportCustomerOrderSummary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</si>
</sst>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_);\(0\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i/>
      <sz val="10"/>
      <color theme="9" tint="-0.499984740745262"/>
      <name val="Arial Narrow"/>
      <family val="2"/>
    </font>
    <font>
      <sz val="11"/>
      <color theme="1"/>
      <name val="Calibri"/>
      <family val="2"/>
      <scheme val="minor"/>
    </font>
    <font>
      <sz val="10"/>
      <color rgb="FF000000"/>
      <name val="Arial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rgb="FFC0C0C0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2" xfId="0" applyFont="1" applyFill="1" applyBorder="1"/>
    <xf numFmtId="1" fontId="2" fillId="5" borderId="0" xfId="0" applyNumberFormat="1" applyFont="1" applyFill="1" applyAlignment="1">
      <alignment horizontal="center"/>
    </xf>
    <xf numFmtId="1" fontId="1" fillId="4" borderId="2" xfId="0" applyNumberFormat="1" applyFont="1" applyFill="1" applyBorder="1"/>
    <xf numFmtId="1" fontId="1" fillId="2" borderId="2" xfId="0" applyNumberFormat="1" applyFont="1" applyFill="1" applyBorder="1"/>
    <xf numFmtId="0" fontId="3" fillId="0" borderId="0" xfId="0" applyFont="1"/>
    <xf numFmtId="1" fontId="1" fillId="2" borderId="3" xfId="0" applyNumberFormat="1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1" fontId="1" fillId="2" borderId="5" xfId="0" applyNumberFormat="1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4" fillId="0" borderId="0" xfId="0" applyFont="1"/>
    <xf numFmtId="0" fontId="1" fillId="0" borderId="0" xfId="0" applyFont="1" applyBorder="1"/>
    <xf numFmtId="164" fontId="1" fillId="3" borderId="2" xfId="1" applyNumberFormat="1" applyFont="1" applyFill="1" applyBorder="1"/>
    <xf numFmtId="0" fontId="6" fillId="6" borderId="2" xfId="0" applyFont="1" applyFill="1" applyBorder="1"/>
    <xf numFmtId="0" fontId="6" fillId="6" borderId="3" xfId="0" applyFont="1" applyFill="1" applyBorder="1"/>
    <xf numFmtId="164" fontId="1" fillId="3" borderId="3" xfId="1" applyNumberFormat="1" applyFont="1" applyFill="1" applyBorder="1"/>
    <xf numFmtId="0" fontId="3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Men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OLD"/>
      <sheetName val="Main"/>
      <sheetName val="Sheet1"/>
    </sheetNames>
    <sheetDataSet>
      <sheetData sheetId="0"/>
      <sheetData sheetId="1">
        <row r="2">
          <cell r="E2">
            <v>97000000000001</v>
          </cell>
          <cell r="F2" t="str">
            <v>System.Login</v>
          </cell>
          <cell r="G2" t="str">
            <v>Login</v>
          </cell>
        </row>
        <row r="3">
          <cell r="E3">
            <v>97000000000002</v>
          </cell>
          <cell r="F3" t="str">
            <v>System.Logout</v>
          </cell>
          <cell r="G3" t="str">
            <v>Logout</v>
          </cell>
        </row>
        <row r="4">
          <cell r="E4">
            <v>97000000000003</v>
          </cell>
          <cell r="F4" t="str">
            <v>System.Lock</v>
          </cell>
          <cell r="G4" t="str">
            <v>Lock</v>
          </cell>
        </row>
        <row r="5">
          <cell r="E5">
            <v>97000000000004</v>
          </cell>
          <cell r="F5" t="str">
            <v>Dashboard.Home</v>
          </cell>
          <cell r="G5" t="str">
            <v>Dashboard</v>
          </cell>
        </row>
        <row r="6">
          <cell r="E6">
            <v>97000000000005</v>
          </cell>
          <cell r="F6" t="str">
            <v>Dashboard.DocumentTracking</v>
          </cell>
          <cell r="G6" t="str">
            <v>Document Tracking</v>
          </cell>
        </row>
        <row r="7">
          <cell r="E7">
            <v>97000000000006</v>
          </cell>
          <cell r="F7" t="str">
            <v>Dashboard.MyDocumentTracking</v>
          </cell>
          <cell r="G7" t="str">
            <v>My Document Tracking</v>
          </cell>
        </row>
        <row r="8">
          <cell r="E8">
            <v>97000000000007</v>
          </cell>
          <cell r="F8" t="str">
            <v>Dashboard.MyDocumentDisposition</v>
          </cell>
          <cell r="G8" t="str">
            <v>My Document Disposition</v>
          </cell>
        </row>
        <row r="9">
          <cell r="E9">
            <v>97000000000008</v>
          </cell>
          <cell r="F9" t="str">
            <v>Module.General.MasterData.Country.Transaction</v>
          </cell>
          <cell r="G9" t="str">
            <v>Country</v>
          </cell>
        </row>
        <row r="10">
          <cell r="E10">
            <v>97000000000009</v>
          </cell>
          <cell r="F10" t="str">
            <v>Module.General.MasterData.CountryAdministrativeAreaLevel1.Transaction</v>
          </cell>
          <cell r="G10" t="str">
            <v>Province / State</v>
          </cell>
        </row>
        <row r="11">
          <cell r="E11">
            <v>97000000000010</v>
          </cell>
          <cell r="F11" t="str">
            <v>Module.General.MasterData.CountryAdministrativeAreaLevel2.Transaction</v>
          </cell>
          <cell r="G11" t="str">
            <v>Municipality / Regency</v>
          </cell>
        </row>
        <row r="12">
          <cell r="E12">
            <v>97000000000011</v>
          </cell>
          <cell r="F12" t="str">
            <v>Module.General.MasterData.CountryAdministrativeAreaLevel3.Transaction</v>
          </cell>
          <cell r="G12" t="str">
            <v>District</v>
          </cell>
        </row>
        <row r="13">
          <cell r="E13">
            <v>97000000000012</v>
          </cell>
          <cell r="F13" t="str">
            <v>Module.General.MasterData.CountryAdministrativeAreaLevel4.Transaction</v>
          </cell>
          <cell r="G13" t="str">
            <v>Urban Village / Village</v>
          </cell>
        </row>
        <row r="14">
          <cell r="E14">
            <v>97000000000013</v>
          </cell>
          <cell r="F14" t="str">
            <v>Module.General.MasterData.BusinessDocumentType.Transaction</v>
          </cell>
          <cell r="G14" t="str">
            <v>Business Document Type</v>
          </cell>
        </row>
        <row r="15">
          <cell r="E15">
            <v>97000000000014</v>
          </cell>
          <cell r="F15" t="str">
            <v>Module.General.MasterData.BusinessDocument.Transaction</v>
          </cell>
          <cell r="G15" t="str">
            <v>Business Document</v>
          </cell>
        </row>
        <row r="16">
          <cell r="E16">
            <v>97000000000015</v>
          </cell>
          <cell r="F16" t="str">
            <v>Module.General.MasterData.BusinessDocumentVersion.Transaction</v>
          </cell>
          <cell r="G16" t="str">
            <v>Business Document Version</v>
          </cell>
        </row>
        <row r="17">
          <cell r="E17">
            <v>97000000000016</v>
          </cell>
          <cell r="F17" t="str">
            <v>Module.General.MasterData.MenuManagement.Transaction</v>
          </cell>
          <cell r="G17" t="str">
            <v>Menu Management</v>
          </cell>
        </row>
        <row r="18">
          <cell r="E18">
            <v>97000000000017</v>
          </cell>
          <cell r="F18" t="str">
            <v>Module.Budgeting.MasterData.Budget.Transaction</v>
          </cell>
          <cell r="G18" t="str">
            <v>Budget</v>
          </cell>
        </row>
        <row r="19">
          <cell r="E19">
            <v>97000000000018</v>
          </cell>
          <cell r="F19" t="str">
            <v>Module.Budgeting.MasterData.BudgetSection.Transaction</v>
          </cell>
          <cell r="G19" t="str">
            <v>Sub Budget</v>
          </cell>
        </row>
        <row r="20">
          <cell r="E20">
            <v>97000000000019</v>
          </cell>
          <cell r="F20" t="str">
            <v>Module.Budgeting.Data.Budget.Report.Transaction</v>
          </cell>
          <cell r="G20" t="str">
            <v>Budget</v>
          </cell>
        </row>
        <row r="21">
          <cell r="E21">
            <v>97000000000020</v>
          </cell>
          <cell r="F21" t="str">
            <v>Module.Budgeting.Data.Budget.Report.Resume</v>
          </cell>
          <cell r="G21" t="str">
            <v>Report Budget Summary</v>
          </cell>
        </row>
        <row r="22">
          <cell r="E22">
            <v>97000000000021</v>
          </cell>
          <cell r="F22" t="str">
            <v>Module.Budgeting.Data.ModifyBudget.Transaction</v>
          </cell>
          <cell r="G22" t="str">
            <v>Modify Budget</v>
          </cell>
        </row>
        <row r="23">
          <cell r="E23">
            <v>97000000000022</v>
          </cell>
          <cell r="F23" t="str">
            <v>Module.Budgeting.Data.ModifyBudget.Report.Resume</v>
          </cell>
          <cell r="G23" t="str">
            <v>Report Modify Budget Summary</v>
          </cell>
        </row>
        <row r="24">
          <cell r="E24">
            <v>97000000000023</v>
          </cell>
          <cell r="F24" t="str">
            <v>Module.Budgeting.Data.ProgressBudget.Transaction</v>
          </cell>
          <cell r="G24" t="str">
            <v>Progress Budget</v>
          </cell>
        </row>
        <row r="25">
          <cell r="E25">
            <v>97000000000024</v>
          </cell>
          <cell r="F25" t="str">
            <v>Module.Budgeting.Data.ProgressBudget.Report.Resume</v>
          </cell>
          <cell r="G25" t="str">
            <v>Report Progress Budget Summary</v>
          </cell>
        </row>
        <row r="26">
          <cell r="E26">
            <v>97000000000025</v>
          </cell>
          <cell r="F26" t="str">
            <v>Module.Budgeting.Data.SCurve.Report.Resume</v>
          </cell>
          <cell r="G26" t="str">
            <v>S-Curve Summary</v>
          </cell>
        </row>
        <row r="27">
          <cell r="E27">
            <v>97000000000026</v>
          </cell>
          <cell r="F27" t="str">
            <v>Module.Budgeting.Data.Work.Transaction</v>
          </cell>
          <cell r="G27" t="str">
            <v>Work</v>
          </cell>
        </row>
        <row r="28">
          <cell r="E28">
            <v>97000000000027</v>
          </cell>
          <cell r="F28" t="str">
            <v>Module.Budgeting.Data.CFS.Report.Resume</v>
          </cell>
          <cell r="G28" t="str">
            <v>Report Cost Financial Structure</v>
          </cell>
        </row>
        <row r="29">
          <cell r="E29">
            <v>97000000000028</v>
          </cell>
          <cell r="F29" t="str">
            <v>Module.General.MasterData.BloodAglutinogenType.Transaction</v>
          </cell>
          <cell r="G29" t="str">
            <v>Blood Aglutinogen Type</v>
          </cell>
        </row>
        <row r="30">
          <cell r="E30">
            <v>97000000000029</v>
          </cell>
          <cell r="F30" t="str">
            <v>Module.General.MasterData.Person.Transaction</v>
          </cell>
          <cell r="G30" t="str">
            <v>Person</v>
          </cell>
        </row>
        <row r="31">
          <cell r="E31">
            <v>97000000000030</v>
          </cell>
          <cell r="F31" t="str">
            <v>Module.General.MasterData.PrivilegeMenu.Transaction</v>
          </cell>
          <cell r="G31" t="str">
            <v>Privilege Menu</v>
          </cell>
        </row>
        <row r="32">
          <cell r="E32">
            <v>97000000000031</v>
          </cell>
          <cell r="F32" t="str">
            <v>Module.General.MasterData.Religion.Transaction</v>
          </cell>
          <cell r="G32" t="str">
            <v>Religion</v>
          </cell>
        </row>
        <row r="33">
          <cell r="E33">
            <v>97000000000032</v>
          </cell>
          <cell r="F33" t="str">
            <v>Module.General.MasterData.User.Transaction</v>
          </cell>
          <cell r="G33" t="str">
            <v>User</v>
          </cell>
        </row>
        <row r="34">
          <cell r="E34">
            <v>97000000000033</v>
          </cell>
          <cell r="F34" t="str">
            <v>Module.General.MasterData.UserRole.Transaction</v>
          </cell>
          <cell r="G34" t="str">
            <v>Role</v>
          </cell>
        </row>
        <row r="35">
          <cell r="E35">
            <v>97000000000034</v>
          </cell>
          <cell r="F35" t="str">
            <v>Module.General.MasterData.Workflow.Transaction</v>
          </cell>
          <cell r="G35" t="str">
            <v>Workflow</v>
          </cell>
        </row>
        <row r="36">
          <cell r="E36">
            <v>97000000000035</v>
          </cell>
          <cell r="F36" t="str">
            <v>Module.HumanResource.MasterData.OrganizationalDepartment.Transaction</v>
          </cell>
          <cell r="G36" t="str">
            <v>Department</v>
          </cell>
        </row>
        <row r="37">
          <cell r="E37">
            <v>97000000000036</v>
          </cell>
          <cell r="F37" t="str">
            <v>Module.HumanResource.Data.PersonWorkTimeSheet.Transaction</v>
          </cell>
          <cell r="G37" t="str">
            <v>Person Work Time Sheet</v>
          </cell>
        </row>
        <row r="38">
          <cell r="E38">
            <v>97000000000037</v>
          </cell>
          <cell r="F38" t="str">
            <v>Module.HumanResource.Data.PersonWorkTimeSheet.Report.DataList</v>
          </cell>
          <cell r="G38" t="str">
            <v>Person Work Time Sheet Summary</v>
          </cell>
        </row>
        <row r="39">
          <cell r="E39">
            <v>97000000000038</v>
          </cell>
          <cell r="F39" t="str">
            <v>Module.HumanResource.Data.SallaryAllocation.Transaction</v>
          </cell>
          <cell r="G39" t="str">
            <v>Sallary Allocation</v>
          </cell>
        </row>
        <row r="40">
          <cell r="E40">
            <v>97000000000039</v>
          </cell>
          <cell r="F40" t="str">
            <v>Module.HumanResource.Data.SallaryAllocation.Report.DataList</v>
          </cell>
          <cell r="G40" t="str">
            <v>Sallary Allocation Summary</v>
          </cell>
        </row>
        <row r="41">
          <cell r="E41">
            <v>97000000000040</v>
          </cell>
          <cell r="F41" t="str">
            <v>Module.General.MasterData.Product.Transaction</v>
          </cell>
          <cell r="G41" t="str">
            <v>Product</v>
          </cell>
        </row>
        <row r="42">
          <cell r="E42">
            <v>97000000000041</v>
          </cell>
          <cell r="F42" t="str">
            <v>Module.General.MasterData.ProductType.Transaction</v>
          </cell>
          <cell r="G42" t="str">
            <v>Product Type</v>
          </cell>
        </row>
        <row r="43">
          <cell r="E43">
            <v>97000000000042</v>
          </cell>
          <cell r="F43" t="str">
            <v>Module.General.MasterData.Warehouse.Transaction</v>
          </cell>
          <cell r="G43" t="str">
            <v>Warehouse</v>
          </cell>
        </row>
        <row r="44">
          <cell r="E44">
            <v>97000000000043</v>
          </cell>
          <cell r="F44" t="str">
            <v>Module.General.MasterData.Work.Transaction</v>
          </cell>
          <cell r="G44" t="str">
            <v>Work</v>
          </cell>
        </row>
        <row r="45">
          <cell r="E45">
            <v>97000000000044</v>
          </cell>
          <cell r="F45" t="str">
            <v>Module.SupplyChain.Data.DeliveryOrder.Transaction</v>
          </cell>
          <cell r="G45" t="str">
            <v>Delivery Order</v>
          </cell>
        </row>
        <row r="46">
          <cell r="E46">
            <v>97000000000045</v>
          </cell>
          <cell r="F46" t="str">
            <v>Module.SupplyChain.Data.DeliveryOrder.Report.DataList</v>
          </cell>
          <cell r="G46" t="str">
            <v>Report DO Summary</v>
          </cell>
        </row>
        <row r="47">
          <cell r="E47">
            <v>97000000000046</v>
          </cell>
          <cell r="F47" t="str">
            <v>Module.SupplyChain.Data.DeliveryOrderToMaterialReceive.Report.DataList</v>
          </cell>
          <cell r="G47" t="str">
            <v>Report DO to Material Receive</v>
          </cell>
        </row>
        <row r="48">
          <cell r="E48">
            <v>97000000000047</v>
          </cell>
          <cell r="F48" t="str">
            <v>Module.SupplyChain.Data.MaterialReceive.Transaction</v>
          </cell>
          <cell r="G48" t="str">
            <v>Material Receive</v>
          </cell>
        </row>
        <row r="49">
          <cell r="E49">
            <v>97000000000048</v>
          </cell>
          <cell r="F49" t="str">
            <v>Module.SupplyChain.Data.MaterialReceive.Report.DataList</v>
          </cell>
          <cell r="G49" t="str">
            <v>Report Material Receive Summary</v>
          </cell>
        </row>
        <row r="50">
          <cell r="E50">
            <v>97000000000049</v>
          </cell>
          <cell r="F50" t="str">
            <v>Module.SupplyChain.Data.MaterialReceiveToMaterialReturn.Report.DataList</v>
          </cell>
          <cell r="G50" t="str">
            <v>Report Material Receive to Material Return</v>
          </cell>
        </row>
        <row r="51">
          <cell r="E51">
            <v>97000000000050</v>
          </cell>
          <cell r="F51" t="str">
            <v>Module.SupplyChain.Data.MaterialReturn.Transaction</v>
          </cell>
          <cell r="G51" t="str">
            <v>Material Return</v>
          </cell>
        </row>
        <row r="52">
          <cell r="E52">
            <v>97000000000051</v>
          </cell>
          <cell r="F52" t="str">
            <v>Module.SupplyChain.Data.MaterialReturn.Report.DataList</v>
          </cell>
          <cell r="G52" t="str">
            <v>Report Material Return Summary</v>
          </cell>
        </row>
        <row r="53">
          <cell r="E53">
            <v>97000000000052</v>
          </cell>
          <cell r="F53" t="str">
            <v>Module.SupplyChain.Data.PhysicalInventoryCount.Transaction</v>
          </cell>
          <cell r="G53" t="str">
            <v>Stock Opname</v>
          </cell>
        </row>
        <row r="54">
          <cell r="E54">
            <v>97000000000053</v>
          </cell>
          <cell r="F54" t="str">
            <v>Module.SupplyChain.Data.PhysicalInventoryCount.Report.DataList</v>
          </cell>
          <cell r="G54" t="str">
            <v>Report Stock Opname Summary</v>
          </cell>
        </row>
        <row r="55">
          <cell r="E55">
            <v>97000000000054</v>
          </cell>
          <cell r="F55" t="str">
            <v>Module.Finance.Data.Advance.Transaction</v>
          </cell>
          <cell r="G55" t="str">
            <v>Advance Request</v>
          </cell>
        </row>
        <row r="56">
          <cell r="E56">
            <v>97000000000055</v>
          </cell>
          <cell r="F56" t="str">
            <v>Module.Finance.Data.Advance.Report.DataList</v>
          </cell>
          <cell r="G56" t="str">
            <v>Report Advance Summary</v>
          </cell>
        </row>
        <row r="57">
          <cell r="E57">
            <v>97000000000056</v>
          </cell>
          <cell r="F57" t="str">
            <v>Module.Finance.Data.AdvanceToAdvanceSettlement.Report.DataList</v>
          </cell>
          <cell r="G57" t="str">
            <v>Report Advance to Advance Settlement</v>
          </cell>
        </row>
        <row r="58">
          <cell r="E58">
            <v>97000000000057</v>
          </cell>
          <cell r="F58" t="str">
            <v>Module.Finance.Data.AdvanceSettlement.Transaction</v>
          </cell>
          <cell r="G58" t="str">
            <v>AdvanceSettlement</v>
          </cell>
        </row>
        <row r="59">
          <cell r="E59">
            <v>97000000000058</v>
          </cell>
          <cell r="F59" t="str">
            <v>Module.Finance.Data.AdvanceSettlement.Report.DataList</v>
          </cell>
          <cell r="G59" t="str">
            <v>Report Advance Settlement Summary</v>
          </cell>
        </row>
        <row r="60">
          <cell r="E60">
            <v>97000000000059</v>
          </cell>
          <cell r="F60" t="str">
            <v>Module.Finance.Data.PersonBusinessTrip.Transaction</v>
          </cell>
          <cell r="G60" t="str">
            <v>BusinessTrip Request</v>
          </cell>
        </row>
        <row r="61">
          <cell r="E61">
            <v>97000000000060</v>
          </cell>
          <cell r="F61" t="str">
            <v>Module.Finance.Data.PersonBusinessTrip.Report.DataList</v>
          </cell>
          <cell r="G61" t="str">
            <v>Report BusinessTrip Request Summary</v>
          </cell>
        </row>
        <row r="62">
          <cell r="E62">
            <v>97000000000061</v>
          </cell>
          <cell r="F62" t="str">
            <v>Module.Finance.Data.PersonBusinessTripToPersonBusinessTripSettlement.Report.DataList</v>
          </cell>
          <cell r="G62" t="str">
            <v>Report BusinessTrip to BusinessTrip Settlement</v>
          </cell>
        </row>
        <row r="63">
          <cell r="E63">
            <v>97000000000062</v>
          </cell>
          <cell r="F63" t="str">
            <v>Module.Finance.Data.PersonBusinessTripSettlement.Transaction</v>
          </cell>
          <cell r="G63" t="str">
            <v>BusinessTrip Settlement</v>
          </cell>
        </row>
        <row r="64">
          <cell r="E64">
            <v>97000000000063</v>
          </cell>
          <cell r="F64" t="str">
            <v>Module.Finance.Data.PersonBusinessTripSettlement.Report.DataList</v>
          </cell>
          <cell r="G64" t="str">
            <v>Report BusinessTrip Settlement Summary</v>
          </cell>
        </row>
        <row r="65">
          <cell r="E65">
            <v>97000000000064</v>
          </cell>
          <cell r="F65" t="str">
            <v>Module.SupplyChain.MasterData.Supplier.Transaction</v>
          </cell>
          <cell r="G65" t="str">
            <v>Supplier</v>
          </cell>
        </row>
        <row r="66">
          <cell r="E66">
            <v>97000000000065</v>
          </cell>
          <cell r="F66" t="str">
            <v>Module.SupplyChain.MasterData.SupplierCategory.Transaction</v>
          </cell>
          <cell r="G66" t="str">
            <v>Supplier Category</v>
          </cell>
        </row>
        <row r="67">
          <cell r="E67">
            <v>97000000000066</v>
          </cell>
          <cell r="F67" t="str">
            <v>Module.SupplyChain.MasterData.SupplierSubCategory.Transaction</v>
          </cell>
          <cell r="G67" t="str">
            <v>Supplier Sub Category</v>
          </cell>
        </row>
        <row r="68">
          <cell r="E68">
            <v>97000000000067</v>
          </cell>
          <cell r="F68" t="str">
            <v>Module.SupplyChain.Data.PurchaseRequisition.Transaction</v>
          </cell>
          <cell r="G68" t="str">
            <v>Purchase Requisition</v>
          </cell>
        </row>
        <row r="69">
          <cell r="E69">
            <v>97000000000068</v>
          </cell>
          <cell r="F69" t="str">
            <v>Module.SupplyChain.Data.PurchaseRequisition.Report.DataList</v>
          </cell>
          <cell r="G69" t="str">
            <v>Report Purchase Requisition Summary</v>
          </cell>
        </row>
        <row r="70">
          <cell r="E70">
            <v>97000000000069</v>
          </cell>
          <cell r="F70" t="str">
            <v>Module.SupplyChain.Data.PurchaseRequisitionToPurchaseOrder.Report.DataList</v>
          </cell>
          <cell r="G70" t="str">
            <v>Report Purchase Requisition To Purchase Order</v>
          </cell>
        </row>
        <row r="71">
          <cell r="E71">
            <v>97000000000070</v>
          </cell>
          <cell r="F71" t="str">
            <v>Module.SupplyChain.Data.PurchaseOrder.Transaction</v>
          </cell>
          <cell r="G71" t="str">
            <v>Purchase Order</v>
          </cell>
        </row>
        <row r="72">
          <cell r="E72">
            <v>97000000000071</v>
          </cell>
          <cell r="F72" t="str">
            <v>Module.SupplyChain.Data.PurchaseOrder.Report.DataList</v>
          </cell>
          <cell r="G72" t="str">
            <v>Report Purchase Order Summary</v>
          </cell>
        </row>
        <row r="73">
          <cell r="E73">
            <v>97000000000072</v>
          </cell>
          <cell r="F73" t="str">
            <v>Module.SupplyChain.Data.PurchaseOrderToPaymentInstruction.Report.DataList</v>
          </cell>
          <cell r="G73" t="str">
            <v>Report Purchase Order to Account Payable Summary</v>
          </cell>
        </row>
        <row r="74">
          <cell r="E74">
            <v>97000000000073</v>
          </cell>
          <cell r="F74" t="str">
            <v>Module.General.MasterData.Bank.Transaction</v>
          </cell>
          <cell r="G74" t="str">
            <v>Bank</v>
          </cell>
        </row>
        <row r="75">
          <cell r="E75">
            <v>97000000000074</v>
          </cell>
          <cell r="F75" t="str">
            <v>Module.General.MasterData.BankAccount.Transaction</v>
          </cell>
          <cell r="G75" t="str">
            <v>Bank Account</v>
          </cell>
        </row>
        <row r="76">
          <cell r="E76">
            <v>97000000000075</v>
          </cell>
          <cell r="F76" t="str">
            <v>Module.General.MasterData.Currency.Transaction</v>
          </cell>
          <cell r="G76" t="str">
            <v>Currency</v>
          </cell>
        </row>
        <row r="77">
          <cell r="E77">
            <v>97000000000076</v>
          </cell>
          <cell r="F77" t="str">
            <v>Module.General.MasterData.CurrencyExchangeRate.Transaction</v>
          </cell>
          <cell r="G77" t="str">
            <v>Exchange Rate</v>
          </cell>
        </row>
        <row r="78">
          <cell r="E78">
            <v>97000000000077</v>
          </cell>
          <cell r="F78" t="str">
            <v>Module.General.MasterData.CurrencyExchangeRate.Report.DataList</v>
          </cell>
          <cell r="G78" t="str">
            <v>Exchange Rate Summary</v>
          </cell>
        </row>
        <row r="79">
          <cell r="E79">
            <v>97000000000078</v>
          </cell>
          <cell r="F79" t="str">
            <v>Module.General.MasterData.PaymentTerm.Transaction</v>
          </cell>
          <cell r="G79" t="str">
            <v>Payment Term</v>
          </cell>
        </row>
        <row r="80">
          <cell r="E80">
            <v>97000000000079</v>
          </cell>
          <cell r="F80" t="str">
            <v>Module.General.MasterData.Period.Transaction</v>
          </cell>
          <cell r="G80" t="str">
            <v>Period</v>
          </cell>
        </row>
        <row r="81">
          <cell r="E81">
            <v>97000000000080</v>
          </cell>
          <cell r="F81" t="str">
            <v>Module.Accounting.MasterData.AssetCategory.Transaction</v>
          </cell>
          <cell r="G81" t="str">
            <v>Asset Category</v>
          </cell>
        </row>
        <row r="82">
          <cell r="E82">
            <v>97000000000081</v>
          </cell>
          <cell r="F82" t="str">
            <v>Module.Accounting.MasterData.ChartOfAccount.Transaction</v>
          </cell>
          <cell r="G82" t="str">
            <v>Chart of Account</v>
          </cell>
        </row>
        <row r="83">
          <cell r="E83">
            <v>97000000000082</v>
          </cell>
          <cell r="F83" t="str">
            <v>Module.Accounting.MasterData.DepreciationMethod.Transaction</v>
          </cell>
          <cell r="G83" t="str">
            <v>Depreciation Method</v>
          </cell>
        </row>
        <row r="84">
          <cell r="E84">
            <v>97000000000083</v>
          </cell>
          <cell r="F84" t="str">
            <v>Module.Accounting.MasterData.DepreciationRateYears.Transaction</v>
          </cell>
          <cell r="G84" t="str">
            <v>Depreciation Rate Years</v>
          </cell>
        </row>
        <row r="85">
          <cell r="E85">
            <v>97000000000084</v>
          </cell>
          <cell r="F85" t="str">
            <v>Module.Taxation.MasterData.ValueAddedTax.Transaction</v>
          </cell>
          <cell r="G85" t="str">
            <v>Value Added Tax</v>
          </cell>
        </row>
        <row r="86">
          <cell r="E86">
            <v>97000000000085</v>
          </cell>
          <cell r="F86" t="str">
            <v>Module.Accounting.Data.BalanceSheet.Report.DataList</v>
          </cell>
          <cell r="G86" t="str">
            <v>Balance Sheet</v>
          </cell>
        </row>
        <row r="87">
          <cell r="E87">
            <v>97000000000086</v>
          </cell>
          <cell r="F87" t="str">
            <v>Module.Accounting.Data.GeneralJournal.Transaction</v>
          </cell>
          <cell r="G87" t="str">
            <v>General Journal</v>
          </cell>
        </row>
        <row r="88">
          <cell r="E88">
            <v>97000000000087</v>
          </cell>
          <cell r="F88" t="str">
            <v>Module.Accounting.Data.GeneralJournal.Report.DataList</v>
          </cell>
          <cell r="G88" t="str">
            <v>General Journal Summary</v>
          </cell>
        </row>
        <row r="89">
          <cell r="E89">
            <v>97000000000088</v>
          </cell>
          <cell r="F89" t="str">
            <v>Module.Accounting.Data.GeneralLedger.Report.DataList</v>
          </cell>
          <cell r="G89" t="str">
            <v>General Ledger Summary</v>
          </cell>
        </row>
        <row r="90">
          <cell r="E90">
            <v>97000000000089</v>
          </cell>
          <cell r="F90" t="str">
            <v>Module.Accounting.Data.ProfitLoss.Report.DataList</v>
          </cell>
          <cell r="G90" t="str">
            <v>Profit Loss Summary</v>
          </cell>
        </row>
        <row r="91">
          <cell r="E91">
            <v>97000000000090</v>
          </cell>
          <cell r="F91" t="str">
            <v>Module.Finance.Data.CashBank.Transaction</v>
          </cell>
          <cell r="G91" t="str">
            <v>Cash &amp; Bank</v>
          </cell>
        </row>
        <row r="92">
          <cell r="E92">
            <v>97000000000091</v>
          </cell>
          <cell r="F92" t="str">
            <v>Module.Finance.Data.CashBank.Report.DataList</v>
          </cell>
          <cell r="G92" t="str">
            <v>Cash &amp; Bank Summary</v>
          </cell>
        </row>
        <row r="93">
          <cell r="E93">
            <v>97000000000092</v>
          </cell>
          <cell r="F93" t="str">
            <v>Module.Finance.Data.CreditNote.Transaction</v>
          </cell>
          <cell r="G93" t="str">
            <v>Credit Note</v>
          </cell>
        </row>
        <row r="94">
          <cell r="E94">
            <v>97000000000093</v>
          </cell>
          <cell r="F94" t="str">
            <v>Module.Finance.Data.CreditNote.Report.DataList</v>
          </cell>
          <cell r="G94" t="str">
            <v>Credit Note Summary</v>
          </cell>
        </row>
        <row r="95">
          <cell r="E95">
            <v>97000000000094</v>
          </cell>
          <cell r="F95" t="str">
            <v>Module.Finance.Data.DebitNote.Transaction</v>
          </cell>
          <cell r="G95" t="str">
            <v>Debit Note</v>
          </cell>
        </row>
        <row r="96">
          <cell r="E96">
            <v>97000000000095</v>
          </cell>
          <cell r="F96" t="str">
            <v>Module.Finance.Data.DebitNote.Report.DataList</v>
          </cell>
          <cell r="G96" t="str">
            <v>Debit Note Summary</v>
          </cell>
        </row>
        <row r="97">
          <cell r="E97">
            <v>97000000000096</v>
          </cell>
          <cell r="F97" t="str">
            <v>Module.FixedAsset.Data.GoodsIdentity.Transaction</v>
          </cell>
          <cell r="G97" t="str">
            <v>Fixed Asset</v>
          </cell>
        </row>
        <row r="98">
          <cell r="E98">
            <v>97000000000097</v>
          </cell>
          <cell r="F98" t="str">
            <v>Module.FixedAsset.Data.GoodsIdentity.Report.DataList</v>
          </cell>
          <cell r="G98" t="str">
            <v>Fixed Asset Summary</v>
          </cell>
        </row>
        <row r="99">
          <cell r="E99">
            <v>97000000000098</v>
          </cell>
          <cell r="F99" t="str">
            <v>Module.Finance.Data.Loan.Transaction</v>
          </cell>
          <cell r="G99" t="str">
            <v>Loan</v>
          </cell>
        </row>
        <row r="100">
          <cell r="E100">
            <v>97000000000099</v>
          </cell>
          <cell r="F100" t="str">
            <v>Module.Finance.Data.Loan.Report.DataList</v>
          </cell>
          <cell r="G100" t="str">
            <v>Loan Summary</v>
          </cell>
        </row>
        <row r="101">
          <cell r="E101">
            <v>97000000000100</v>
          </cell>
          <cell r="F101" t="str">
            <v>Module.Finance.Data.LoanToLoanSettlement.Report.DataList</v>
          </cell>
          <cell r="G101" t="str">
            <v>Loan to Loan Settlement Summary</v>
          </cell>
        </row>
        <row r="102">
          <cell r="E102">
            <v>97000000000101</v>
          </cell>
          <cell r="F102" t="str">
            <v>Module.Finance.Data.LoanSettlement.Transaction</v>
          </cell>
          <cell r="G102" t="str">
            <v>Loan Settlement</v>
          </cell>
        </row>
        <row r="103">
          <cell r="E103">
            <v>97000000000102</v>
          </cell>
          <cell r="F103" t="str">
            <v>Module.Finance.Data.LoanSettlement.Report.DataList</v>
          </cell>
          <cell r="G103" t="str">
            <v>Loan Settlement Summary</v>
          </cell>
        </row>
        <row r="104">
          <cell r="E104">
            <v>97000000000103</v>
          </cell>
          <cell r="F104" t="str">
            <v>Module.Finance.Data.PaymentInstruction.Transaction</v>
          </cell>
          <cell r="G104" t="str">
            <v>Account Payable</v>
          </cell>
        </row>
        <row r="105">
          <cell r="E105">
            <v>97000000000104</v>
          </cell>
          <cell r="F105" t="str">
            <v>Module.Finance.Data.PaymentInstruction.Report.DataList</v>
          </cell>
          <cell r="G105" t="str">
            <v>Account Payable Summary</v>
          </cell>
        </row>
        <row r="106">
          <cell r="E106">
            <v>97000000000105</v>
          </cell>
          <cell r="F106" t="str">
            <v>Module.Finance.Data.Reimbursement.Transaction</v>
          </cell>
          <cell r="G106" t="str">
            <v>Reimbursement</v>
          </cell>
        </row>
        <row r="107">
          <cell r="E107">
            <v>97000000000106</v>
          </cell>
          <cell r="F107" t="str">
            <v>Module.Finance.Data.Reimbursement.Report.DataList</v>
          </cell>
          <cell r="G107" t="str">
            <v>Reimbursement Summary</v>
          </cell>
        </row>
        <row r="108">
          <cell r="E108">
            <v>97000000000107</v>
          </cell>
          <cell r="F108" t="str">
            <v>Module.Finance.Data.ReimbursementToDebitNote.Report.DataList</v>
          </cell>
          <cell r="G108" t="str">
            <v>Reimbursement to Debit Note Summary</v>
          </cell>
        </row>
        <row r="109">
          <cell r="E109">
            <v>97000000000108</v>
          </cell>
          <cell r="F109" t="str">
            <v>Module.Finance.Data.SalesInvoice.Transaction</v>
          </cell>
          <cell r="G109" t="str">
            <v>Sales Invoice</v>
          </cell>
        </row>
        <row r="110">
          <cell r="E110">
            <v>97000000000109</v>
          </cell>
          <cell r="F110" t="str">
            <v>Module.Finance.Data.SalesInvoice.Report.DataList</v>
          </cell>
          <cell r="G110" t="str">
            <v>Sales Invoice Summary</v>
          </cell>
        </row>
        <row r="111">
          <cell r="E111">
            <v>97000000000110</v>
          </cell>
          <cell r="F111" t="str">
            <v>Module.Finance.Data.SalesInvoiceToCreditNote.Report.DataList</v>
          </cell>
          <cell r="G111" t="str">
            <v>Sales Invoice to Credit Note</v>
          </cell>
        </row>
        <row r="112">
          <cell r="E112">
            <v>97000000000111</v>
          </cell>
          <cell r="F112" t="str">
            <v>Module.Finance.Data.TaxReconciliation.Transaction</v>
          </cell>
          <cell r="G112" t="str">
            <v>Tax Reconciliation</v>
          </cell>
        </row>
        <row r="113">
          <cell r="E113">
            <v>97000000000112</v>
          </cell>
          <cell r="F113" t="str">
            <v>Module.Finance.Data.TaxReconciliation.Report.DataList</v>
          </cell>
          <cell r="G113" t="str">
            <v>Tax Reconciliation Summary</v>
          </cell>
        </row>
        <row r="114">
          <cell r="E114">
            <v>97000000000113</v>
          </cell>
          <cell r="F114" t="str">
            <v>Module.CustomerRelation.MasterData.Customer.Transaction</v>
          </cell>
          <cell r="G114" t="str">
            <v>Customer</v>
          </cell>
        </row>
        <row r="115">
          <cell r="E115">
            <v>97000000000114</v>
          </cell>
          <cell r="F115" t="str">
            <v>Module.CustomerRelation.MasterData.CustomerOrder.Transaction</v>
          </cell>
          <cell r="G115" t="str">
            <v>Customer Order</v>
          </cell>
        </row>
        <row r="116">
          <cell r="E116">
            <v>97000000000115</v>
          </cell>
          <cell r="F116" t="str">
            <v>Module.CustomerRelation.MasterData.CustomerOrder.Report.DataList</v>
          </cell>
          <cell r="G116" t="str">
            <v>Customer Order Summary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6"/>
  <sheetViews>
    <sheetView tabSelected="1" workbookViewId="0">
      <pane xSplit="1" ySplit="1" topLeftCell="E99" activePane="bottomRight" state="frozen"/>
      <selection pane="topRight" activeCell="B1" sqref="B1"/>
      <selection pane="bottomLeft" activeCell="A2" sqref="A2"/>
      <selection pane="bottomRight" activeCell="Q116" sqref="Q116"/>
    </sheetView>
  </sheetViews>
  <sheetFormatPr defaultRowHeight="12.75" x14ac:dyDescent="0.2"/>
  <cols>
    <col min="1" max="1" width="2.140625" style="1" customWidth="1"/>
    <col min="2" max="2" width="13.140625" style="1" bestFit="1" customWidth="1"/>
    <col min="3" max="3" width="51.140625" style="1" customWidth="1"/>
    <col min="4" max="4" width="43.140625" style="1" bestFit="1" customWidth="1"/>
    <col min="5" max="5" width="2.140625" style="16" customWidth="1"/>
    <col min="6" max="6" width="13.7109375" style="1" bestFit="1" customWidth="1"/>
    <col min="7" max="7" width="2.140625" style="1" customWidth="1"/>
    <col min="8" max="8" width="34.5703125" style="1" hidden="1" customWidth="1"/>
    <col min="9" max="9" width="15.5703125" style="1" hidden="1" customWidth="1"/>
    <col min="10" max="10" width="32.28515625" style="1" hidden="1" customWidth="1"/>
    <col min="11" max="11" width="40.85546875" style="1" bestFit="1" customWidth="1"/>
    <col min="12" max="12" width="4.28515625" style="1" customWidth="1"/>
    <col min="13" max="13" width="14" style="1" bestFit="1" customWidth="1"/>
    <col min="14" max="16384" width="9.140625" style="1"/>
  </cols>
  <sheetData>
    <row r="1" spans="2:17" s="8" customFormat="1" x14ac:dyDescent="0.2">
      <c r="B1" s="5" t="s">
        <v>2</v>
      </c>
      <c r="E1" s="21"/>
      <c r="F1" s="5" t="s">
        <v>6</v>
      </c>
      <c r="H1" s="5" t="s">
        <v>0</v>
      </c>
      <c r="I1" s="5" t="s">
        <v>4</v>
      </c>
      <c r="J1" s="5" t="s">
        <v>3</v>
      </c>
      <c r="K1" s="5" t="s">
        <v>5</v>
      </c>
      <c r="M1" s="5" t="s">
        <v>1</v>
      </c>
    </row>
    <row r="2" spans="2:17" x14ac:dyDescent="0.2">
      <c r="B2" s="7">
        <f>IF(ISNUMBER(B1), B1+1, 97000000000001)</f>
        <v>97000000000001</v>
      </c>
      <c r="C2" s="2" t="str">
        <f>VLOOKUP($B2, [1]Main!$E$2:$G$1121, 2, FALSE)</f>
        <v>System.Login</v>
      </c>
      <c r="D2" s="3" t="str">
        <f>VLOOKUP($B2, [1]Main!$E$2:$G$1121, 3, FALSE)</f>
        <v>Login</v>
      </c>
      <c r="F2" s="17">
        <f t="shared" ref="F2:F65" si="0">IF(EXACT(B2, ""), F1, B2)</f>
        <v>97000000000001</v>
      </c>
      <c r="H2" s="4"/>
      <c r="I2" s="3" t="str">
        <f>IF(EXACT(F2, ""), "", IF(EXACT(H2, ""), "Execute", H2))</f>
        <v>Execute</v>
      </c>
      <c r="J2" s="3" t="str">
        <f t="shared" ref="J2:J65" si="1">IF(EXACT(F2, ""), "",
SUBSTITUTE(SUBSTITUTE(IF(ISNUMBER(SEARCH(".Report.", C2)), D2, IF(EXACT(H2, ""), "Execute", H2)), " ", ""), "&amp;", "")
)</f>
        <v>Execute</v>
      </c>
      <c r="K2" s="18" t="s">
        <v>7</v>
      </c>
      <c r="M2" s="6">
        <f>IF(ISNUMBER(M1), M1+1, 256000000000001)</f>
        <v>256000000000001</v>
      </c>
      <c r="O2" s="15" t="str">
        <f>CONCATENATE("PERFORM ""SchSysConfig"".""Func_TblAppObject_MenuAction_SET""(varSystemLoginSession, null, null, null, varInstitutionBranchID, varBaseCurrencyID, ", IF(EXACT($F2, ""), "null", CONCATENATE($F2)), ", ", IF(EXACT($F2, ""),"null", CONCATENATE("'", $J2, "'")), ", ", IF(EXACT($F2, ""), "null", CONCATENATE("'", $I2, "'")), ", ", IF(EXACT($K2, ""), "null", CONCATENATE("'", $K2, "'")), ");")</f>
        <v>PERFORM "SchSysConfig"."Func_TblAppObject_MenuAction_SET"(varSystemLoginSession, null, null, null, varInstitutionBranchID, varBaseCurrencyID, 97000000000001, 'Execute', 'Execute', 'login');</v>
      </c>
      <c r="Q2" s="1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"'menu_RefID', ", IF(EXACT($F2, ""), "null", CONCATENATE("'", SUBSTITUTE($F2, "'", "\'"), "'")), "::varchar,",
"'key', ", IF(EXACT($J2, ""), "null", CONCATENATE("'", SUBSTITUTE($J2, "'", "\'"), "'")), "::varchar,",
"'caption', ", IF(EXACT($I2, ""), "null", CONCATENATE("'", SUBSTITUTE($I2, "'", "\'"), "'")), "::varchar,",
"'URLPath', ", IF(EXACT($K2, ""), "null", CONCATENATE("'", SUBSTITUTE($K2,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'97000000000001'::varchar,'key', 'Execute'::varchar,'caption', 'Execute'::varchar,'URLPath', 'login'::varchar)))::varchar;</v>
      </c>
    </row>
    <row r="3" spans="2:17" x14ac:dyDescent="0.2">
      <c r="B3" s="7">
        <f t="shared" ref="B3:B66" si="2">IF(ISNUMBER(B2), B2+1, 97000000000001)</f>
        <v>97000000000002</v>
      </c>
      <c r="C3" s="2" t="str">
        <f>VLOOKUP($B3, [1]Main!$E$2:$G$1121, 2, FALSE)</f>
        <v>System.Logout</v>
      </c>
      <c r="D3" s="3" t="str">
        <f>VLOOKUP($B3, [1]Main!$E$2:$G$1121, 3, FALSE)</f>
        <v>Logout</v>
      </c>
      <c r="F3" s="17">
        <f t="shared" si="0"/>
        <v>97000000000002</v>
      </c>
      <c r="H3" s="4"/>
      <c r="I3" s="3" t="str">
        <f t="shared" ref="I3:I64" si="3">IF(EXACT(F3, ""), "", IF(EXACT(H3, ""), "Execute", H3))</f>
        <v>Execute</v>
      </c>
      <c r="J3" s="3" t="str">
        <f t="shared" si="1"/>
        <v>Execute</v>
      </c>
      <c r="K3" s="18" t="s">
        <v>8</v>
      </c>
      <c r="M3" s="6">
        <f>IF(ISNUMBER(M2), M2+1, 256000000000001)</f>
        <v>256000000000002</v>
      </c>
      <c r="O3" s="15" t="str">
        <f t="shared" ref="O3:O66" si="4">CONCATENATE("PERFORM ""SchSysConfig"".""Func_TblAppObject_MenuAction_SET""(varSystemLoginSession, null, null, null, varInstitutionBranchID, varBaseCurrencyID, ", IF(EXACT($F3, ""), "null", CONCATENATE($F3)), ", ", IF(EXACT($F3, ""),"null", CONCATENATE("'", $J3, "'")), ", ", IF(EXACT($F3, ""), "null", CONCATENATE("'", $I3, "'")), ", ", IF(EXACT($K3, ""), "null", CONCATENATE("'", $K3, "'")), ");")</f>
        <v>PERFORM "SchSysConfig"."Func_TblAppObject_MenuAction_SET"(varSystemLoginSession, null, null, null, varInstitutionBranchID, varBaseCurrencyID, 97000000000002, 'Execute', 'Execute', 'logout');</v>
      </c>
      <c r="Q3" s="1" t="str">
        <f t="shared" ref="Q3:Q66" si="5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"'menu_RefID', ", IF(EXACT($F3, ""), "null", CONCATENATE("'", SUBSTITUTE($F3, "'", "\'"), "'")), "::varchar,",
"'key', ", IF(EXACT($J3, ""), "null", CONCATENATE("'", SUBSTITUTE($J3, "'", "\'"), "'")), "::varchar,",
"'caption', ", IF(EXACT($I3, ""), "null", CONCATENATE("'", SUBSTITUTE($I3, "'", "\'"), "'")), "::varchar,",
"'URLPath', ", IF(EXACT($K3, ""), "null", CONCATENATE("'", SUBSTITUTE($K3,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'97000000000002'::varchar,'key', 'Execute'::varchar,'caption', 'Execute'::varchar,'URLPath', 'logout'::varchar)))::varchar;</v>
      </c>
    </row>
    <row r="4" spans="2:17" x14ac:dyDescent="0.2">
      <c r="B4" s="9">
        <f t="shared" si="2"/>
        <v>97000000000003</v>
      </c>
      <c r="C4" s="10" t="str">
        <f>VLOOKUP($B4, [1]Main!$E$2:$G$1121, 2, FALSE)</f>
        <v>System.Lock</v>
      </c>
      <c r="D4" s="11" t="str">
        <f>VLOOKUP($B4, [1]Main!$E$2:$G$1121, 3, FALSE)</f>
        <v>Lock</v>
      </c>
      <c r="F4" s="20">
        <f t="shared" si="0"/>
        <v>97000000000003</v>
      </c>
      <c r="H4" s="14"/>
      <c r="I4" s="11" t="str">
        <f t="shared" si="3"/>
        <v>Execute</v>
      </c>
      <c r="J4" s="11" t="str">
        <f t="shared" si="1"/>
        <v>Execute</v>
      </c>
      <c r="K4" s="14" t="s">
        <v>53</v>
      </c>
      <c r="M4" s="6">
        <f t="shared" ref="M4:M67" si="6">IF(ISNUMBER(M3), M3+1, 256000000000001)</f>
        <v>256000000000003</v>
      </c>
      <c r="O4" s="15" t="str">
        <f t="shared" si="4"/>
        <v>PERFORM "SchSysConfig"."Func_TblAppObject_MenuAction_SET"(varSystemLoginSession, null, null, null, varInstitutionBranchID, varBaseCurrencyID, 97000000000003, 'Execute', 'Execute', 'Dashboard?var=1');</v>
      </c>
      <c r="Q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'97000000000003'::varchar,'key', 'Execute'::varchar,'caption', 'Execute'::varchar,'URLPath', 'Dashboard?var=1'::varchar)))::varchar;</v>
      </c>
    </row>
    <row r="5" spans="2:17" x14ac:dyDescent="0.2">
      <c r="B5" s="12">
        <f t="shared" si="2"/>
        <v>97000000000004</v>
      </c>
      <c r="C5" s="2" t="str">
        <f>VLOOKUP($B5, [1]Main!$E$2:$G$1121, 2, FALSE)</f>
        <v>Dashboard.Home</v>
      </c>
      <c r="D5" s="3" t="str">
        <f>VLOOKUP($B5, [1]Main!$E$2:$G$1121, 3, FALSE)</f>
        <v>Dashboard</v>
      </c>
      <c r="F5" s="17">
        <f>IF(EXACT(B5, ""), F3, B5)</f>
        <v>97000000000004</v>
      </c>
      <c r="H5" s="4"/>
      <c r="I5" s="3" t="str">
        <f t="shared" ref="I5" si="7">IF(EXACT(F5, ""), "", IF(EXACT(H5, ""), "Execute", H5))</f>
        <v>Execute</v>
      </c>
      <c r="J5" s="3" t="str">
        <f t="shared" si="1"/>
        <v>Execute</v>
      </c>
      <c r="K5" s="18"/>
      <c r="M5" s="6">
        <f t="shared" si="6"/>
        <v>256000000000004</v>
      </c>
      <c r="O5" s="15" t="str">
        <f t="shared" si="4"/>
        <v>PERFORM "SchSysConfig"."Func_TblAppObject_MenuAction_SET"(varSystemLoginSession, null, null, null, varInstitutionBranchID, varBaseCurrencyID, 97000000000004, 'Execute', 'Execute', null);</v>
      </c>
      <c r="Q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'97000000000004'::varchar,'key', 'Execute'::varchar,'caption', 'Execute'::varchar,'URLPath', null::varchar)))::varchar;</v>
      </c>
    </row>
    <row r="6" spans="2:17" x14ac:dyDescent="0.2">
      <c r="B6" s="7">
        <f t="shared" si="2"/>
        <v>97000000000005</v>
      </c>
      <c r="C6" s="2" t="str">
        <f>VLOOKUP($B6, [1]Main!$E$2:$G$1121, 2, FALSE)</f>
        <v>Dashboard.DocumentTracking</v>
      </c>
      <c r="D6" s="3" t="str">
        <f>VLOOKUP($B6, [1]Main!$E$2:$G$1121, 3, FALSE)</f>
        <v>Document Tracking</v>
      </c>
      <c r="F6" s="17">
        <f>IF(EXACT(B6, ""), F4, B6)</f>
        <v>97000000000005</v>
      </c>
      <c r="H6" s="4"/>
      <c r="I6" s="3" t="str">
        <f t="shared" si="3"/>
        <v>Execute</v>
      </c>
      <c r="J6" s="3" t="str">
        <f t="shared" si="1"/>
        <v>Execute</v>
      </c>
      <c r="K6" s="18" t="s">
        <v>42</v>
      </c>
      <c r="M6" s="6">
        <f t="shared" si="6"/>
        <v>256000000000005</v>
      </c>
      <c r="O6" s="15" t="str">
        <f t="shared" si="4"/>
        <v>PERFORM "SchSysConfig"."Func_TblAppObject_MenuAction_SET"(varSystemLoginSession, null, null, null, varInstitutionBranchID, varBaseCurrencyID, 97000000000005, 'Execute', 'Execute', 'CheckDocument?var=1');</v>
      </c>
      <c r="Q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'97000000000005'::varchar,'key', 'Execute'::varchar,'caption', 'Execute'::varchar,'URLPath', 'CheckDocument?var=1'::varchar)))::varchar;</v>
      </c>
    </row>
    <row r="7" spans="2:17" x14ac:dyDescent="0.2">
      <c r="B7" s="7">
        <f t="shared" si="2"/>
        <v>97000000000006</v>
      </c>
      <c r="C7" s="2" t="str">
        <f>VLOOKUP($B7, [1]Main!$E$2:$G$1121, 2, FALSE)</f>
        <v>Dashboard.MyDocumentTracking</v>
      </c>
      <c r="D7" s="3" t="str">
        <f>VLOOKUP($B7, [1]Main!$E$2:$G$1121, 3, FALSE)</f>
        <v>My Document Tracking</v>
      </c>
      <c r="F7" s="17">
        <f t="shared" si="0"/>
        <v>97000000000006</v>
      </c>
      <c r="H7" s="4"/>
      <c r="I7" s="3" t="str">
        <f t="shared" si="3"/>
        <v>Execute</v>
      </c>
      <c r="J7" s="3" t="str">
        <f t="shared" si="1"/>
        <v>Execute</v>
      </c>
      <c r="K7" s="18" t="s">
        <v>43</v>
      </c>
      <c r="M7" s="6">
        <f t="shared" si="6"/>
        <v>256000000000006</v>
      </c>
      <c r="O7" s="15" t="str">
        <f t="shared" si="4"/>
        <v>PERFORM "SchSysConfig"."Func_TblAppObject_MenuAction_SET"(varSystemLoginSession, null, null, null, varInstitutionBranchID, varBaseCurrencyID, 97000000000006, 'Execute', 'Execute', 'MyDocument?var=1');</v>
      </c>
      <c r="Q7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'97000000000006'::varchar,'key', 'Execute'::varchar,'caption', 'Execute'::varchar,'URLPath', 'MyDocument?var=1'::varchar)))::varchar;</v>
      </c>
    </row>
    <row r="8" spans="2:17" x14ac:dyDescent="0.2">
      <c r="B8" s="9">
        <f t="shared" si="2"/>
        <v>97000000000007</v>
      </c>
      <c r="C8" s="10" t="str">
        <f>VLOOKUP($B8, [1]Main!$E$2:$G$1121, 2, FALSE)</f>
        <v>Dashboard.MyDocumentDisposition</v>
      </c>
      <c r="D8" s="11" t="str">
        <f>VLOOKUP($B8, [1]Main!$E$2:$G$1121, 3, FALSE)</f>
        <v>My Document Disposition</v>
      </c>
      <c r="F8" s="20">
        <f t="shared" si="0"/>
        <v>97000000000007</v>
      </c>
      <c r="H8" s="14"/>
      <c r="I8" s="3" t="str">
        <f t="shared" si="3"/>
        <v>Execute</v>
      </c>
      <c r="J8" s="3" t="str">
        <f t="shared" si="1"/>
        <v>Execute</v>
      </c>
      <c r="K8" s="18"/>
      <c r="M8" s="6">
        <f t="shared" si="6"/>
        <v>256000000000007</v>
      </c>
      <c r="O8" s="15" t="str">
        <f t="shared" si="4"/>
        <v>PERFORM "SchSysConfig"."Func_TblAppObject_MenuAction_SET"(varSystemLoginSession, null, null, null, varInstitutionBranchID, varBaseCurrencyID, 97000000000007, 'Execute', 'Execute', null);</v>
      </c>
      <c r="Q8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'97000000000007'::varchar,'key', 'Execute'::varchar,'caption', 'Execute'::varchar,'URLPath', null::varchar)))::varchar;</v>
      </c>
    </row>
    <row r="9" spans="2:17" x14ac:dyDescent="0.2">
      <c r="B9" s="12">
        <f t="shared" si="2"/>
        <v>97000000000008</v>
      </c>
      <c r="C9" s="13" t="str">
        <f>VLOOKUP($B9, [1]Main!$E$2:$G$1121, 2, FALSE)</f>
        <v>Module.General.MasterData.Country.Transaction</v>
      </c>
      <c r="D9" s="13" t="str">
        <f>VLOOKUP($B9, [1]Main!$E$2:$G$1121, 3, FALSE)</f>
        <v>Country</v>
      </c>
      <c r="F9" s="17">
        <f t="shared" si="0"/>
        <v>97000000000008</v>
      </c>
      <c r="G9" s="16"/>
      <c r="H9" s="4"/>
      <c r="I9" s="3" t="str">
        <f t="shared" si="3"/>
        <v>Execute</v>
      </c>
      <c r="J9" s="3" t="str">
        <f t="shared" si="1"/>
        <v>Execute</v>
      </c>
      <c r="K9" s="18"/>
      <c r="M9" s="6">
        <f t="shared" si="6"/>
        <v>256000000000008</v>
      </c>
      <c r="O9" s="15" t="str">
        <f t="shared" si="4"/>
        <v>PERFORM "SchSysConfig"."Func_TblAppObject_MenuAction_SET"(varSystemLoginSession, null, null, null, varInstitutionBranchID, varBaseCurrencyID, 97000000000008, 'Execute', 'Execute', null);</v>
      </c>
      <c r="Q9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'97000000000008'::varchar,'key', 'Execute'::varchar,'caption', 'Execute'::varchar,'URLPath', null::varchar)))::varchar;</v>
      </c>
    </row>
    <row r="10" spans="2:17" x14ac:dyDescent="0.2">
      <c r="B10" s="7">
        <f t="shared" si="2"/>
        <v>97000000000009</v>
      </c>
      <c r="C10" s="3" t="str">
        <f>VLOOKUP($B10, [1]Main!$E$2:$G$1121, 2, FALSE)</f>
        <v>Module.General.MasterData.CountryAdministrativeAreaLevel1.Transaction</v>
      </c>
      <c r="D10" s="3" t="str">
        <f>VLOOKUP($B10, [1]Main!$E$2:$G$1121, 3, FALSE)</f>
        <v>Province / State</v>
      </c>
      <c r="F10" s="17">
        <f t="shared" si="0"/>
        <v>97000000000009</v>
      </c>
      <c r="G10" s="16"/>
      <c r="H10" s="4"/>
      <c r="I10" s="3" t="str">
        <f t="shared" si="3"/>
        <v>Execute</v>
      </c>
      <c r="J10" s="3" t="str">
        <f t="shared" si="1"/>
        <v>Execute</v>
      </c>
      <c r="K10" s="18"/>
      <c r="M10" s="6">
        <f t="shared" si="6"/>
        <v>256000000000009</v>
      </c>
      <c r="O10" s="15" t="str">
        <f t="shared" si="4"/>
        <v>PERFORM "SchSysConfig"."Func_TblAppObject_MenuAction_SET"(varSystemLoginSession, null, null, null, varInstitutionBranchID, varBaseCurrencyID, 97000000000009, 'Execute', 'Execute', null);</v>
      </c>
      <c r="Q1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'97000000000009'::varchar,'key', 'Execute'::varchar,'caption', 'Execute'::varchar,'URLPath', null::varchar)))::varchar;</v>
      </c>
    </row>
    <row r="11" spans="2:17" x14ac:dyDescent="0.2">
      <c r="B11" s="7">
        <f t="shared" si="2"/>
        <v>97000000000010</v>
      </c>
      <c r="C11" s="3" t="str">
        <f>VLOOKUP($B11, [1]Main!$E$2:$G$1121, 2, FALSE)</f>
        <v>Module.General.MasterData.CountryAdministrativeAreaLevel2.Transaction</v>
      </c>
      <c r="D11" s="3" t="str">
        <f>VLOOKUP($B11, [1]Main!$E$2:$G$1121, 3, FALSE)</f>
        <v>Municipality / Regency</v>
      </c>
      <c r="F11" s="17">
        <f t="shared" si="0"/>
        <v>97000000000010</v>
      </c>
      <c r="G11" s="16"/>
      <c r="H11" s="4"/>
      <c r="I11" s="3" t="str">
        <f t="shared" si="3"/>
        <v>Execute</v>
      </c>
      <c r="J11" s="3" t="str">
        <f t="shared" si="1"/>
        <v>Execute</v>
      </c>
      <c r="K11" s="18"/>
      <c r="M11" s="6">
        <f t="shared" si="6"/>
        <v>256000000000010</v>
      </c>
      <c r="O11" s="15" t="str">
        <f t="shared" si="4"/>
        <v>PERFORM "SchSysConfig"."Func_TblAppObject_MenuAction_SET"(varSystemLoginSession, null, null, null, varInstitutionBranchID, varBaseCurrencyID, 97000000000010, 'Execute', 'Execute', null);</v>
      </c>
      <c r="Q11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'97000000000010'::varchar,'key', 'Execute'::varchar,'caption', 'Execute'::varchar,'URLPath', null::varchar)))::varchar;</v>
      </c>
    </row>
    <row r="12" spans="2:17" s="16" customFormat="1" x14ac:dyDescent="0.2">
      <c r="B12" s="7">
        <f t="shared" si="2"/>
        <v>97000000000011</v>
      </c>
      <c r="C12" s="3" t="str">
        <f>VLOOKUP($B12, [1]Main!$E$2:$G$1121, 2, FALSE)</f>
        <v>Module.General.MasterData.CountryAdministrativeAreaLevel3.Transaction</v>
      </c>
      <c r="D12" s="3" t="str">
        <f>VLOOKUP($B12, [1]Main!$E$2:$G$1121, 3, FALSE)</f>
        <v>District</v>
      </c>
      <c r="F12" s="17">
        <f t="shared" si="0"/>
        <v>97000000000011</v>
      </c>
      <c r="H12" s="4"/>
      <c r="I12" s="3" t="str">
        <f t="shared" si="3"/>
        <v>Execute</v>
      </c>
      <c r="J12" s="3" t="str">
        <f t="shared" si="1"/>
        <v>Execute</v>
      </c>
      <c r="K12" s="18"/>
      <c r="M12" s="6">
        <f t="shared" si="6"/>
        <v>256000000000011</v>
      </c>
      <c r="O12" s="15" t="str">
        <f t="shared" si="4"/>
        <v>PERFORM "SchSysConfig"."Func_TblAppObject_MenuAction_SET"(varSystemLoginSession, null, null, null, varInstitutionBranchID, varBaseCurrencyID, 97000000000011, 'Execute', 'Execute', null);</v>
      </c>
      <c r="P12" s="1"/>
      <c r="Q1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'97000000000011'::varchar,'key', 'Execute'::varchar,'caption', 'Execute'::varchar,'URLPath', null::varchar)))::varchar;</v>
      </c>
    </row>
    <row r="13" spans="2:17" s="16" customFormat="1" x14ac:dyDescent="0.2">
      <c r="B13" s="7">
        <f t="shared" si="2"/>
        <v>97000000000012</v>
      </c>
      <c r="C13" s="3" t="str">
        <f>VLOOKUP($B13, [1]Main!$E$2:$G$1121, 2, FALSE)</f>
        <v>Module.General.MasterData.CountryAdministrativeAreaLevel4.Transaction</v>
      </c>
      <c r="D13" s="3" t="str">
        <f>VLOOKUP($B13, [1]Main!$E$2:$G$1121, 3, FALSE)</f>
        <v>Urban Village / Village</v>
      </c>
      <c r="F13" s="17">
        <f t="shared" si="0"/>
        <v>97000000000012</v>
      </c>
      <c r="H13" s="4"/>
      <c r="I13" s="3" t="str">
        <f t="shared" si="3"/>
        <v>Execute</v>
      </c>
      <c r="J13" s="3" t="str">
        <f t="shared" si="1"/>
        <v>Execute</v>
      </c>
      <c r="K13" s="18"/>
      <c r="M13" s="6">
        <f t="shared" si="6"/>
        <v>256000000000012</v>
      </c>
      <c r="O13" s="15" t="str">
        <f t="shared" si="4"/>
        <v>PERFORM "SchSysConfig"."Func_TblAppObject_MenuAction_SET"(varSystemLoginSession, null, null, null, varInstitutionBranchID, varBaseCurrencyID, 97000000000012, 'Execute', 'Execute', null);</v>
      </c>
      <c r="P13" s="1"/>
      <c r="Q13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'97000000000012'::varchar,'key', 'Execute'::varchar,'caption', 'Execute'::varchar,'URLPath', null::varchar)))::varchar;</v>
      </c>
    </row>
    <row r="14" spans="2:17" s="16" customFormat="1" x14ac:dyDescent="0.2">
      <c r="B14" s="7">
        <f t="shared" si="2"/>
        <v>97000000000013</v>
      </c>
      <c r="C14" s="3" t="str">
        <f>VLOOKUP($B14, [1]Main!$E$2:$G$1121, 2, FALSE)</f>
        <v>Module.General.MasterData.BusinessDocumentType.Transaction</v>
      </c>
      <c r="D14" s="3" t="str">
        <f>VLOOKUP($B14, [1]Main!$E$2:$G$1121, 3, FALSE)</f>
        <v>Business Document Type</v>
      </c>
      <c r="F14" s="17">
        <f t="shared" si="0"/>
        <v>97000000000013</v>
      </c>
      <c r="H14" s="4"/>
      <c r="I14" s="3" t="str">
        <f t="shared" si="3"/>
        <v>Execute</v>
      </c>
      <c r="J14" s="3" t="str">
        <f t="shared" si="1"/>
        <v>Execute</v>
      </c>
      <c r="K14" s="18"/>
      <c r="M14" s="6">
        <f t="shared" si="6"/>
        <v>256000000000013</v>
      </c>
      <c r="O14" s="15" t="str">
        <f t="shared" si="4"/>
        <v>PERFORM "SchSysConfig"."Func_TblAppObject_MenuAction_SET"(varSystemLoginSession, null, null, null, varInstitutionBranchID, varBaseCurrencyID, 97000000000013, 'Execute', 'Execute', null);</v>
      </c>
      <c r="P14" s="1"/>
      <c r="Q1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'97000000000013'::varchar,'key', 'Execute'::varchar,'caption', 'Execute'::varchar,'URLPath', null::varchar)))::varchar;</v>
      </c>
    </row>
    <row r="15" spans="2:17" s="16" customFormat="1" x14ac:dyDescent="0.2">
      <c r="B15" s="7">
        <f t="shared" si="2"/>
        <v>97000000000014</v>
      </c>
      <c r="C15" s="3" t="str">
        <f>VLOOKUP($B15, [1]Main!$E$2:$G$1121, 2, FALSE)</f>
        <v>Module.General.MasterData.BusinessDocument.Transaction</v>
      </c>
      <c r="D15" s="3" t="str">
        <f>VLOOKUP($B15, [1]Main!$E$2:$G$1121, 3, FALSE)</f>
        <v>Business Document</v>
      </c>
      <c r="F15" s="17">
        <f t="shared" si="0"/>
        <v>97000000000014</v>
      </c>
      <c r="H15" s="4"/>
      <c r="I15" s="3" t="str">
        <f t="shared" si="3"/>
        <v>Execute</v>
      </c>
      <c r="J15" s="3" t="str">
        <f t="shared" si="1"/>
        <v>Execute</v>
      </c>
      <c r="K15" s="18"/>
      <c r="M15" s="6">
        <f t="shared" si="6"/>
        <v>256000000000014</v>
      </c>
      <c r="O15" s="15" t="str">
        <f t="shared" si="4"/>
        <v>PERFORM "SchSysConfig"."Func_TblAppObject_MenuAction_SET"(varSystemLoginSession, null, null, null, varInstitutionBranchID, varBaseCurrencyID, 97000000000014, 'Execute', 'Execute', null);</v>
      </c>
      <c r="P15" s="1"/>
      <c r="Q1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'97000000000014'::varchar,'key', 'Execute'::varchar,'caption', 'Execute'::varchar,'URLPath', null::varchar)))::varchar;</v>
      </c>
    </row>
    <row r="16" spans="2:17" s="16" customFormat="1" x14ac:dyDescent="0.2">
      <c r="B16" s="7">
        <f t="shared" si="2"/>
        <v>97000000000015</v>
      </c>
      <c r="C16" s="3" t="str">
        <f>VLOOKUP($B16, [1]Main!$E$2:$G$1121, 2, FALSE)</f>
        <v>Module.General.MasterData.BusinessDocumentVersion.Transaction</v>
      </c>
      <c r="D16" s="3" t="str">
        <f>VLOOKUP($B16, [1]Main!$E$2:$G$1121, 3, FALSE)</f>
        <v>Business Document Version</v>
      </c>
      <c r="F16" s="17">
        <f t="shared" si="0"/>
        <v>97000000000015</v>
      </c>
      <c r="H16" s="4"/>
      <c r="I16" s="3" t="str">
        <f t="shared" si="3"/>
        <v>Execute</v>
      </c>
      <c r="J16" s="3" t="str">
        <f t="shared" si="1"/>
        <v>Execute</v>
      </c>
      <c r="K16" s="18"/>
      <c r="M16" s="6">
        <f t="shared" si="6"/>
        <v>256000000000015</v>
      </c>
      <c r="O16" s="15" t="str">
        <f t="shared" si="4"/>
        <v>PERFORM "SchSysConfig"."Func_TblAppObject_MenuAction_SET"(varSystemLoginSession, null, null, null, varInstitutionBranchID, varBaseCurrencyID, 97000000000015, 'Execute', 'Execute', null);</v>
      </c>
      <c r="P16" s="1"/>
      <c r="Q1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'97000000000015'::varchar,'key', 'Execute'::varchar,'caption', 'Execute'::varchar,'URLPath', null::varchar)))::varchar;</v>
      </c>
    </row>
    <row r="17" spans="2:17" s="16" customFormat="1" x14ac:dyDescent="0.2">
      <c r="B17" s="9">
        <f t="shared" si="2"/>
        <v>97000000000016</v>
      </c>
      <c r="C17" s="11" t="str">
        <f>VLOOKUP($B17, [1]Main!$E$2:$G$1121, 2, FALSE)</f>
        <v>Module.General.MasterData.MenuManagement.Transaction</v>
      </c>
      <c r="D17" s="11" t="str">
        <f>VLOOKUP($B17, [1]Main!$E$2:$G$1121, 3, FALSE)</f>
        <v>Menu Management</v>
      </c>
      <c r="F17" s="20">
        <f t="shared" si="0"/>
        <v>97000000000016</v>
      </c>
      <c r="H17" s="4"/>
      <c r="I17" s="3" t="str">
        <f t="shared" si="3"/>
        <v>Execute</v>
      </c>
      <c r="J17" s="3" t="str">
        <f t="shared" si="1"/>
        <v>Execute</v>
      </c>
      <c r="K17" s="19" t="s">
        <v>54</v>
      </c>
      <c r="M17" s="6">
        <f t="shared" si="6"/>
        <v>256000000000016</v>
      </c>
      <c r="O17" s="15" t="str">
        <f t="shared" si="4"/>
        <v>PERFORM "SchSysConfig"."Func_TblAppObject_MenuAction_SET"(varSystemLoginSession, null, null, null, varInstitutionBranchID, varBaseCurrencyID, 97000000000016, 'Execute', 'Execute', 'MenuManagement?var=1');</v>
      </c>
      <c r="P17" s="1"/>
      <c r="Q17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'97000000000016'::varchar,'key', 'Execute'::varchar,'caption', 'Execute'::varchar,'URLPath', 'MenuManagement?var=1'::varchar)))::varchar;</v>
      </c>
    </row>
    <row r="18" spans="2:17" s="16" customFormat="1" x14ac:dyDescent="0.2">
      <c r="B18" s="7">
        <f t="shared" si="2"/>
        <v>97000000000017</v>
      </c>
      <c r="C18" s="3" t="str">
        <f>VLOOKUP($B18, [1]Main!$E$2:$G$1121, 2, FALSE)</f>
        <v>Module.Budgeting.MasterData.Budget.Transaction</v>
      </c>
      <c r="D18" s="3" t="str">
        <f>VLOOKUP($B18, [1]Main!$E$2:$G$1121, 3, FALSE)</f>
        <v>Budget</v>
      </c>
      <c r="F18" s="17">
        <f t="shared" si="0"/>
        <v>97000000000017</v>
      </c>
      <c r="H18" s="4"/>
      <c r="I18" s="3" t="str">
        <f t="shared" si="3"/>
        <v>Execute</v>
      </c>
      <c r="J18" s="3" t="str">
        <f t="shared" si="1"/>
        <v>Execute</v>
      </c>
      <c r="K18" s="18"/>
      <c r="M18" s="6">
        <f t="shared" si="6"/>
        <v>256000000000017</v>
      </c>
      <c r="O18" s="15" t="str">
        <f t="shared" si="4"/>
        <v>PERFORM "SchSysConfig"."Func_TblAppObject_MenuAction_SET"(varSystemLoginSession, null, null, null, varInstitutionBranchID, varBaseCurrencyID, 97000000000017, 'Execute', 'Execute', null);</v>
      </c>
      <c r="P18" s="1"/>
      <c r="Q18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'97000000000017'::varchar,'key', 'Execute'::varchar,'caption', 'Execute'::varchar,'URLPath', null::varchar)))::varchar;</v>
      </c>
    </row>
    <row r="19" spans="2:17" s="16" customFormat="1" x14ac:dyDescent="0.2">
      <c r="B19" s="7">
        <f t="shared" si="2"/>
        <v>97000000000018</v>
      </c>
      <c r="C19" s="3" t="str">
        <f>VLOOKUP($B19, [1]Main!$E$2:$G$1121, 2, FALSE)</f>
        <v>Module.Budgeting.MasterData.BudgetSection.Transaction</v>
      </c>
      <c r="D19" s="3" t="str">
        <f>VLOOKUP($B19, [1]Main!$E$2:$G$1121, 3, FALSE)</f>
        <v>Sub Budget</v>
      </c>
      <c r="F19" s="17">
        <f t="shared" si="0"/>
        <v>97000000000018</v>
      </c>
      <c r="H19" s="4"/>
      <c r="I19" s="3" t="str">
        <f t="shared" si="3"/>
        <v>Execute</v>
      </c>
      <c r="J19" s="3" t="str">
        <f t="shared" si="1"/>
        <v>Execute</v>
      </c>
      <c r="K19" s="18"/>
      <c r="M19" s="6">
        <f t="shared" si="6"/>
        <v>256000000000018</v>
      </c>
      <c r="O19" s="15" t="str">
        <f t="shared" si="4"/>
        <v>PERFORM "SchSysConfig"."Func_TblAppObject_MenuAction_SET"(varSystemLoginSession, null, null, null, varInstitutionBranchID, varBaseCurrencyID, 97000000000018, 'Execute', 'Execute', null);</v>
      </c>
      <c r="P19" s="1"/>
      <c r="Q19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'97000000000018'::varchar,'key', 'Execute'::varchar,'caption', 'Execute'::varchar,'URLPath', null::varchar)))::varchar;</v>
      </c>
    </row>
    <row r="20" spans="2:17" s="16" customFormat="1" x14ac:dyDescent="0.2">
      <c r="B20" s="7">
        <f t="shared" si="2"/>
        <v>97000000000019</v>
      </c>
      <c r="C20" s="3" t="str">
        <f>VLOOKUP($B20, [1]Main!$E$2:$G$1121, 2, FALSE)</f>
        <v>Module.Budgeting.Data.Budget.Report.Transaction</v>
      </c>
      <c r="D20" s="3" t="str">
        <f>VLOOKUP($B20, [1]Main!$E$2:$G$1121, 3, FALSE)</f>
        <v>Budget</v>
      </c>
      <c r="F20" s="17">
        <f t="shared" si="0"/>
        <v>97000000000019</v>
      </c>
      <c r="H20" s="4"/>
      <c r="I20" s="3" t="str">
        <f t="shared" si="3"/>
        <v>Execute</v>
      </c>
      <c r="J20" s="3" t="str">
        <f t="shared" si="1"/>
        <v>Budget</v>
      </c>
      <c r="K20" s="18" t="s">
        <v>55</v>
      </c>
      <c r="M20" s="6">
        <f t="shared" si="6"/>
        <v>256000000000019</v>
      </c>
      <c r="O20" s="15" t="str">
        <f t="shared" si="4"/>
        <v>PERFORM "SchSysConfig"."Func_TblAppObject_MenuAction_SET"(varSystemLoginSession, null, null, null, varInstitutionBranchID, varBaseCurrencyID, 97000000000019, 'Budget', 'Execute', 'Budget?var=1');</v>
      </c>
      <c r="P20" s="1"/>
      <c r="Q2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'97000000000019'::varchar,'key', 'Budget'::varchar,'caption', 'Execute'::varchar,'URLPath', 'Budget?var=1'::varchar)))::varchar;</v>
      </c>
    </row>
    <row r="21" spans="2:17" s="16" customFormat="1" x14ac:dyDescent="0.2">
      <c r="B21" s="7">
        <f t="shared" si="2"/>
        <v>97000000000020</v>
      </c>
      <c r="C21" s="3" t="str">
        <f>VLOOKUP($B21, [1]Main!$E$2:$G$1121, 2, FALSE)</f>
        <v>Module.Budgeting.Data.Budget.Report.Resume</v>
      </c>
      <c r="D21" s="3" t="str">
        <f>VLOOKUP($B21, [1]Main!$E$2:$G$1121, 3, FALSE)</f>
        <v>Report Budget Summary</v>
      </c>
      <c r="F21" s="17">
        <f t="shared" si="0"/>
        <v>97000000000020</v>
      </c>
      <c r="H21" s="4"/>
      <c r="I21" s="3" t="str">
        <f t="shared" si="3"/>
        <v>Execute</v>
      </c>
      <c r="J21" s="3" t="str">
        <f t="shared" si="1"/>
        <v>ReportBudgetSummary</v>
      </c>
      <c r="K21" s="18"/>
      <c r="M21" s="6">
        <f t="shared" si="6"/>
        <v>256000000000020</v>
      </c>
      <c r="O21" s="15" t="str">
        <f t="shared" si="4"/>
        <v>PERFORM "SchSysConfig"."Func_TblAppObject_MenuAction_SET"(varSystemLoginSession, null, null, null, varInstitutionBranchID, varBaseCurrencyID, 97000000000020, 'ReportBudgetSummary', 'Execute', null);</v>
      </c>
      <c r="P21" s="1"/>
      <c r="Q21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'97000000000020'::varchar,'key', 'ReportBudgetSummary'::varchar,'caption', 'Execute'::varchar,'URLPath', null::varchar)))::varchar;</v>
      </c>
    </row>
    <row r="22" spans="2:17" s="16" customFormat="1" x14ac:dyDescent="0.2">
      <c r="B22" s="7">
        <f t="shared" si="2"/>
        <v>97000000000021</v>
      </c>
      <c r="C22" s="3" t="str">
        <f>VLOOKUP($B22, [1]Main!$E$2:$G$1121, 2, FALSE)</f>
        <v>Module.Budgeting.Data.ModifyBudget.Transaction</v>
      </c>
      <c r="D22" s="3" t="str">
        <f>VLOOKUP($B22, [1]Main!$E$2:$G$1121, 3, FALSE)</f>
        <v>Modify Budget</v>
      </c>
      <c r="F22" s="17">
        <f t="shared" si="0"/>
        <v>97000000000021</v>
      </c>
      <c r="H22" s="4"/>
      <c r="I22" s="3" t="str">
        <f t="shared" si="3"/>
        <v>Execute</v>
      </c>
      <c r="J22" s="3" t="str">
        <f t="shared" si="1"/>
        <v>Execute</v>
      </c>
      <c r="K22" s="18" t="s">
        <v>44</v>
      </c>
      <c r="M22" s="6">
        <f t="shared" si="6"/>
        <v>256000000000021</v>
      </c>
      <c r="O22" s="15" t="str">
        <f t="shared" si="4"/>
        <v>PERFORM "SchSysConfig"."Func_TblAppObject_MenuAction_SET"(varSystemLoginSession, null, null, null, varInstitutionBranchID, varBaseCurrencyID, 97000000000021, 'Execute', 'Execute', 'ModifyBudget?var=1');</v>
      </c>
      <c r="P22" s="1"/>
      <c r="Q2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'97000000000021'::varchar,'key', 'Execute'::varchar,'caption', 'Execute'::varchar,'URLPath', 'ModifyBudget?var=1'::varchar)))::varchar;</v>
      </c>
    </row>
    <row r="23" spans="2:17" s="16" customFormat="1" x14ac:dyDescent="0.2">
      <c r="B23" s="7">
        <f t="shared" si="2"/>
        <v>97000000000022</v>
      </c>
      <c r="C23" s="3" t="str">
        <f>VLOOKUP($B23, [1]Main!$E$2:$G$1121, 2, FALSE)</f>
        <v>Module.Budgeting.Data.ModifyBudget.Report.Resume</v>
      </c>
      <c r="D23" s="3" t="str">
        <f>VLOOKUP($B23, [1]Main!$E$2:$G$1121, 3, FALSE)</f>
        <v>Report Modify Budget Summary</v>
      </c>
      <c r="F23" s="17">
        <f t="shared" si="0"/>
        <v>97000000000022</v>
      </c>
      <c r="H23" s="4"/>
      <c r="I23" s="3" t="str">
        <f t="shared" si="3"/>
        <v>Execute</v>
      </c>
      <c r="J23" s="3" t="str">
        <f t="shared" si="1"/>
        <v>ReportModifyBudgetSummary</v>
      </c>
      <c r="K23" s="18" t="s">
        <v>9</v>
      </c>
      <c r="M23" s="6">
        <f t="shared" si="6"/>
        <v>256000000000022</v>
      </c>
      <c r="O23" s="15" t="str">
        <f t="shared" si="4"/>
        <v>PERFORM "SchSysConfig"."Func_TblAppObject_MenuAction_SET"(varSystemLoginSession, null, null, null, varInstitutionBranchID, varBaseCurrencyID, 97000000000022, 'ReportModifyBudgetSummary', 'Execute', 'ReportModifyBudgetSummary');</v>
      </c>
      <c r="P23" s="1"/>
      <c r="Q23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'97000000000022'::varchar,'key', 'ReportModifyBudgetSummary'::varchar,'caption', 'Execute'::varchar,'URLPath', 'ReportModifyBudgetSummary'::varchar)))::varchar;</v>
      </c>
    </row>
    <row r="24" spans="2:17" s="16" customFormat="1" x14ac:dyDescent="0.2">
      <c r="B24" s="7">
        <f t="shared" si="2"/>
        <v>97000000000023</v>
      </c>
      <c r="C24" s="3" t="str">
        <f>VLOOKUP($B24, [1]Main!$E$2:$G$1121, 2, FALSE)</f>
        <v>Module.Budgeting.Data.ProgressBudget.Transaction</v>
      </c>
      <c r="D24" s="3" t="str">
        <f>VLOOKUP($B24, [1]Main!$E$2:$G$1121, 3, FALSE)</f>
        <v>Progress Budget</v>
      </c>
      <c r="F24" s="17">
        <f t="shared" si="0"/>
        <v>97000000000023</v>
      </c>
      <c r="H24" s="4"/>
      <c r="I24" s="3" t="str">
        <f t="shared" si="3"/>
        <v>Execute</v>
      </c>
      <c r="J24" s="3" t="str">
        <f t="shared" si="1"/>
        <v>Execute</v>
      </c>
      <c r="K24" s="18" t="s">
        <v>56</v>
      </c>
      <c r="M24" s="6">
        <f t="shared" si="6"/>
        <v>256000000000023</v>
      </c>
      <c r="O24" s="15" t="str">
        <f t="shared" si="4"/>
        <v>PERFORM "SchSysConfig"."Func_TblAppObject_MenuAction_SET"(varSystemLoginSession, null, null, null, varInstitutionBranchID, varBaseCurrencyID, 97000000000023, 'Execute', 'Execute', 'BudgetProgress?var=1');</v>
      </c>
      <c r="P24" s="1"/>
      <c r="Q2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'97000000000023'::varchar,'key', 'Execute'::varchar,'caption', 'Execute'::varchar,'URLPath', 'BudgetProgress?var=1'::varchar)))::varchar;</v>
      </c>
    </row>
    <row r="25" spans="2:17" s="16" customFormat="1" x14ac:dyDescent="0.2">
      <c r="B25" s="7">
        <f t="shared" si="2"/>
        <v>97000000000024</v>
      </c>
      <c r="C25" s="3" t="str">
        <f>VLOOKUP($B25, [1]Main!$E$2:$G$1121, 2, FALSE)</f>
        <v>Module.Budgeting.Data.ProgressBudget.Report.Resume</v>
      </c>
      <c r="D25" s="3" t="str">
        <f>VLOOKUP($B25, [1]Main!$E$2:$G$1121, 3, FALSE)</f>
        <v>Report Progress Budget Summary</v>
      </c>
      <c r="F25" s="17">
        <f t="shared" si="0"/>
        <v>97000000000024</v>
      </c>
      <c r="H25" s="4"/>
      <c r="I25" s="3" t="str">
        <f t="shared" si="3"/>
        <v>Execute</v>
      </c>
      <c r="J25" s="3" t="str">
        <f t="shared" si="1"/>
        <v>ReportProgressBudgetSummary</v>
      </c>
      <c r="K25" s="18"/>
      <c r="M25" s="6">
        <f t="shared" si="6"/>
        <v>256000000000024</v>
      </c>
      <c r="O25" s="15" t="str">
        <f t="shared" si="4"/>
        <v>PERFORM "SchSysConfig"."Func_TblAppObject_MenuAction_SET"(varSystemLoginSession, null, null, null, varInstitutionBranchID, varBaseCurrencyID, 97000000000024, 'ReportProgressBudgetSummary', 'Execute', null);</v>
      </c>
      <c r="P25" s="1"/>
      <c r="Q2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'97000000000024'::varchar,'key', 'ReportProgressBudgetSummary'::varchar,'caption', 'Execute'::varchar,'URLPath', null::varchar)))::varchar;</v>
      </c>
    </row>
    <row r="26" spans="2:17" s="16" customFormat="1" x14ac:dyDescent="0.2">
      <c r="B26" s="7">
        <f t="shared" si="2"/>
        <v>97000000000025</v>
      </c>
      <c r="C26" s="3" t="str">
        <f>VLOOKUP($B26, [1]Main!$E$2:$G$1121, 2, FALSE)</f>
        <v>Module.Budgeting.Data.SCurve.Report.Resume</v>
      </c>
      <c r="D26" s="3" t="str">
        <f>VLOOKUP($B26, [1]Main!$E$2:$G$1121, 3, FALSE)</f>
        <v>S-Curve Summary</v>
      </c>
      <c r="F26" s="17">
        <f t="shared" si="0"/>
        <v>97000000000025</v>
      </c>
      <c r="H26" s="4"/>
      <c r="I26" s="3" t="str">
        <f t="shared" si="3"/>
        <v>Execute</v>
      </c>
      <c r="J26" s="3" t="str">
        <f t="shared" si="1"/>
        <v>S-CurveSummary</v>
      </c>
      <c r="K26" s="18"/>
      <c r="M26" s="6">
        <f t="shared" si="6"/>
        <v>256000000000025</v>
      </c>
      <c r="O26" s="15" t="str">
        <f t="shared" si="4"/>
        <v>PERFORM "SchSysConfig"."Func_TblAppObject_MenuAction_SET"(varSystemLoginSession, null, null, null, varInstitutionBranchID, varBaseCurrencyID, 97000000000025, 'S-CurveSummary', 'Execute', null);</v>
      </c>
      <c r="P26" s="1"/>
      <c r="Q2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'97000000000025'::varchar,'key', 'S-CurveSummary'::varchar,'caption', 'Execute'::varchar,'URLPath', null::varchar)))::varchar;</v>
      </c>
    </row>
    <row r="27" spans="2:17" s="16" customFormat="1" x14ac:dyDescent="0.2">
      <c r="B27" s="7">
        <f t="shared" si="2"/>
        <v>97000000000026</v>
      </c>
      <c r="C27" s="3" t="str">
        <f>VLOOKUP($B27, [1]Main!$E$2:$G$1121, 2, FALSE)</f>
        <v>Module.Budgeting.Data.Work.Transaction</v>
      </c>
      <c r="D27" s="3" t="str">
        <f>VLOOKUP($B27, [1]Main!$E$2:$G$1121, 3, FALSE)</f>
        <v>Work</v>
      </c>
      <c r="F27" s="17">
        <f t="shared" si="0"/>
        <v>97000000000026</v>
      </c>
      <c r="H27" s="4"/>
      <c r="I27" s="3" t="str">
        <f t="shared" si="3"/>
        <v>Execute</v>
      </c>
      <c r="J27" s="3" t="str">
        <f t="shared" si="1"/>
        <v>Execute</v>
      </c>
      <c r="K27" s="18"/>
      <c r="M27" s="6">
        <f t="shared" si="6"/>
        <v>256000000000026</v>
      </c>
      <c r="O27" s="15" t="str">
        <f t="shared" si="4"/>
        <v>PERFORM "SchSysConfig"."Func_TblAppObject_MenuAction_SET"(varSystemLoginSession, null, null, null, varInstitutionBranchID, varBaseCurrencyID, 97000000000026, 'Execute', 'Execute', null);</v>
      </c>
      <c r="P27" s="1"/>
      <c r="Q27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'97000000000026'::varchar,'key', 'Execute'::varchar,'caption', 'Execute'::varchar,'URLPath', null::varchar)))::varchar;</v>
      </c>
    </row>
    <row r="28" spans="2:17" s="16" customFormat="1" x14ac:dyDescent="0.2">
      <c r="B28" s="9">
        <f t="shared" si="2"/>
        <v>97000000000027</v>
      </c>
      <c r="C28" s="11" t="str">
        <f>VLOOKUP($B28, [1]Main!$E$2:$G$1121, 2, FALSE)</f>
        <v>Module.Budgeting.Data.CFS.Report.Resume</v>
      </c>
      <c r="D28" s="11" t="str">
        <f>VLOOKUP($B28, [1]Main!$E$2:$G$1121, 3, FALSE)</f>
        <v>Report Cost Financial Structure</v>
      </c>
      <c r="F28" s="20">
        <f t="shared" si="0"/>
        <v>97000000000027</v>
      </c>
      <c r="H28" s="4"/>
      <c r="I28" s="3" t="str">
        <f t="shared" si="3"/>
        <v>Execute</v>
      </c>
      <c r="J28" s="3" t="str">
        <f t="shared" si="1"/>
        <v>ReportCostFinancialStructure</v>
      </c>
      <c r="K28" s="19"/>
      <c r="M28" s="6">
        <f t="shared" si="6"/>
        <v>256000000000027</v>
      </c>
      <c r="O28" s="15" t="str">
        <f t="shared" si="4"/>
        <v>PERFORM "SchSysConfig"."Func_TblAppObject_MenuAction_SET"(varSystemLoginSession, null, null, null, varInstitutionBranchID, varBaseCurrencyID, 97000000000027, 'ReportCostFinancialStructure', 'Execute', null);</v>
      </c>
      <c r="P28" s="1"/>
      <c r="Q28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'97000000000027'::varchar,'key', 'ReportCostFinancialStructure'::varchar,'caption', 'Execute'::varchar,'URLPath', null::varchar)))::varchar;</v>
      </c>
    </row>
    <row r="29" spans="2:17" s="16" customFormat="1" x14ac:dyDescent="0.2">
      <c r="B29" s="7">
        <f t="shared" si="2"/>
        <v>97000000000028</v>
      </c>
      <c r="C29" s="3" t="str">
        <f>VLOOKUP($B29, [1]Main!$E$2:$G$1121, 2, FALSE)</f>
        <v>Module.General.MasterData.BloodAglutinogenType.Transaction</v>
      </c>
      <c r="D29" s="3" t="str">
        <f>VLOOKUP($B29, [1]Main!$E$2:$G$1121, 3, FALSE)</f>
        <v>Blood Aglutinogen Type</v>
      </c>
      <c r="F29" s="17">
        <f t="shared" si="0"/>
        <v>97000000000028</v>
      </c>
      <c r="H29" s="4"/>
      <c r="I29" s="3" t="str">
        <f t="shared" si="3"/>
        <v>Execute</v>
      </c>
      <c r="J29" s="3" t="str">
        <f t="shared" si="1"/>
        <v>Execute</v>
      </c>
      <c r="K29" s="18"/>
      <c r="M29" s="6">
        <f t="shared" si="6"/>
        <v>256000000000028</v>
      </c>
      <c r="O29" s="15" t="str">
        <f t="shared" si="4"/>
        <v>PERFORM "SchSysConfig"."Func_TblAppObject_MenuAction_SET"(varSystemLoginSession, null, null, null, varInstitutionBranchID, varBaseCurrencyID, 97000000000028, 'Execute', 'Execute', null);</v>
      </c>
      <c r="P29" s="1"/>
      <c r="Q29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'97000000000028'::varchar,'key', 'Execute'::varchar,'caption', 'Execute'::varchar,'URLPath', null::varchar)))::varchar;</v>
      </c>
    </row>
    <row r="30" spans="2:17" s="16" customFormat="1" x14ac:dyDescent="0.2">
      <c r="B30" s="7">
        <f t="shared" si="2"/>
        <v>97000000000029</v>
      </c>
      <c r="C30" s="3" t="str">
        <f>VLOOKUP($B30, [1]Main!$E$2:$G$1121, 2, FALSE)</f>
        <v>Module.General.MasterData.Person.Transaction</v>
      </c>
      <c r="D30" s="3" t="str">
        <f>VLOOKUP($B30, [1]Main!$E$2:$G$1121, 3, FALSE)</f>
        <v>Person</v>
      </c>
      <c r="F30" s="17">
        <f t="shared" si="0"/>
        <v>97000000000029</v>
      </c>
      <c r="H30" s="4"/>
      <c r="I30" s="3" t="str">
        <f t="shared" si="3"/>
        <v>Execute</v>
      </c>
      <c r="J30" s="3" t="str">
        <f t="shared" si="1"/>
        <v>Execute</v>
      </c>
      <c r="K30" s="18"/>
      <c r="M30" s="6">
        <f t="shared" si="6"/>
        <v>256000000000029</v>
      </c>
      <c r="O30" s="15" t="str">
        <f t="shared" si="4"/>
        <v>PERFORM "SchSysConfig"."Func_TblAppObject_MenuAction_SET"(varSystemLoginSession, null, null, null, varInstitutionBranchID, varBaseCurrencyID, 97000000000029, 'Execute', 'Execute', null);</v>
      </c>
      <c r="P30" s="1"/>
      <c r="Q3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'97000000000029'::varchar,'key', 'Execute'::varchar,'caption', 'Execute'::varchar,'URLPath', null::varchar)))::varchar;</v>
      </c>
    </row>
    <row r="31" spans="2:17" s="16" customFormat="1" x14ac:dyDescent="0.2">
      <c r="B31" s="7">
        <f t="shared" si="2"/>
        <v>97000000000030</v>
      </c>
      <c r="C31" s="3" t="str">
        <f>VLOOKUP($B31, [1]Main!$E$2:$G$1121, 2, FALSE)</f>
        <v>Module.General.MasterData.PrivilegeMenu.Transaction</v>
      </c>
      <c r="D31" s="3" t="str">
        <f>VLOOKUP($B31, [1]Main!$E$2:$G$1121, 3, FALSE)</f>
        <v>Privilege Menu</v>
      </c>
      <c r="F31" s="17">
        <f t="shared" si="0"/>
        <v>97000000000030</v>
      </c>
      <c r="H31" s="4"/>
      <c r="I31" s="3" t="str">
        <f t="shared" si="3"/>
        <v>Execute</v>
      </c>
      <c r="J31" s="3" t="str">
        <f t="shared" si="1"/>
        <v>Execute</v>
      </c>
      <c r="K31" s="18" t="s">
        <v>61</v>
      </c>
      <c r="M31" s="6">
        <f t="shared" si="6"/>
        <v>256000000000030</v>
      </c>
      <c r="O31" s="15" t="str">
        <f t="shared" si="4"/>
        <v>PERFORM "SchSysConfig"."Func_TblAppObject_MenuAction_SET"(varSystemLoginSession, null, null, null, varInstitutionBranchID, varBaseCurrencyID, 97000000000030, 'Execute', 'Execute', 'PrivilegeMenu?var=1');</v>
      </c>
      <c r="P31" s="1"/>
      <c r="Q31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'97000000000030'::varchar,'key', 'Execute'::varchar,'caption', 'Execute'::varchar,'URLPath', 'PrivilegeMenu?var=1'::varchar)))::varchar;</v>
      </c>
    </row>
    <row r="32" spans="2:17" s="16" customFormat="1" x14ac:dyDescent="0.2">
      <c r="B32" s="7">
        <f t="shared" si="2"/>
        <v>97000000000031</v>
      </c>
      <c r="C32" s="3" t="str">
        <f>VLOOKUP($B32, [1]Main!$E$2:$G$1121, 2, FALSE)</f>
        <v>Module.General.MasterData.Religion.Transaction</v>
      </c>
      <c r="D32" s="3" t="str">
        <f>VLOOKUP($B32, [1]Main!$E$2:$G$1121, 3, FALSE)</f>
        <v>Religion</v>
      </c>
      <c r="F32" s="17">
        <f t="shared" si="0"/>
        <v>97000000000031</v>
      </c>
      <c r="H32" s="4"/>
      <c r="I32" s="3" t="str">
        <f t="shared" si="3"/>
        <v>Execute</v>
      </c>
      <c r="J32" s="3" t="str">
        <f t="shared" si="1"/>
        <v>Execute</v>
      </c>
      <c r="K32" s="18"/>
      <c r="M32" s="6">
        <f t="shared" si="6"/>
        <v>256000000000031</v>
      </c>
      <c r="O32" s="15" t="str">
        <f t="shared" si="4"/>
        <v>PERFORM "SchSysConfig"."Func_TblAppObject_MenuAction_SET"(varSystemLoginSession, null, null, null, varInstitutionBranchID, varBaseCurrencyID, 97000000000031, 'Execute', 'Execute', null);</v>
      </c>
      <c r="P32" s="1"/>
      <c r="Q3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'97000000000031'::varchar,'key', 'Execute'::varchar,'caption', 'Execute'::varchar,'URLPath', null::varchar)))::varchar;</v>
      </c>
    </row>
    <row r="33" spans="2:17" s="16" customFormat="1" x14ac:dyDescent="0.2">
      <c r="B33" s="7">
        <f t="shared" si="2"/>
        <v>97000000000032</v>
      </c>
      <c r="C33" s="3" t="str">
        <f>VLOOKUP($B33, [1]Main!$E$2:$G$1121, 2, FALSE)</f>
        <v>Module.General.MasterData.User.Transaction</v>
      </c>
      <c r="D33" s="3" t="str">
        <f>VLOOKUP($B33, [1]Main!$E$2:$G$1121, 3, FALSE)</f>
        <v>User</v>
      </c>
      <c r="F33" s="17">
        <f t="shared" si="0"/>
        <v>97000000000032</v>
      </c>
      <c r="H33" s="4"/>
      <c r="I33" s="3" t="str">
        <f t="shared" si="3"/>
        <v>Execute</v>
      </c>
      <c r="J33" s="3" t="str">
        <f t="shared" si="1"/>
        <v>Execute</v>
      </c>
      <c r="K33" s="18"/>
      <c r="M33" s="6">
        <f t="shared" si="6"/>
        <v>256000000000032</v>
      </c>
      <c r="O33" s="15" t="str">
        <f t="shared" si="4"/>
        <v>PERFORM "SchSysConfig"."Func_TblAppObject_MenuAction_SET"(varSystemLoginSession, null, null, null, varInstitutionBranchID, varBaseCurrencyID, 97000000000032, 'Execute', 'Execute', null);</v>
      </c>
      <c r="P33" s="1"/>
      <c r="Q33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'97000000000032'::varchar,'key', 'Execute'::varchar,'caption', 'Execute'::varchar,'URLPath', null::varchar)))::varchar;</v>
      </c>
    </row>
    <row r="34" spans="2:17" s="16" customFormat="1" x14ac:dyDescent="0.2">
      <c r="B34" s="7">
        <f t="shared" si="2"/>
        <v>97000000000033</v>
      </c>
      <c r="C34" s="3" t="str">
        <f>VLOOKUP($B34, [1]Main!$E$2:$G$1121, 2, FALSE)</f>
        <v>Module.General.MasterData.UserRole.Transaction</v>
      </c>
      <c r="D34" s="3" t="str">
        <f>VLOOKUP($B34, [1]Main!$E$2:$G$1121, 3, FALSE)</f>
        <v>Role</v>
      </c>
      <c r="F34" s="17">
        <f t="shared" si="0"/>
        <v>97000000000033</v>
      </c>
      <c r="H34" s="4"/>
      <c r="I34" s="3" t="str">
        <f t="shared" si="3"/>
        <v>Execute</v>
      </c>
      <c r="J34" s="3" t="str">
        <f t="shared" si="1"/>
        <v>Execute</v>
      </c>
      <c r="K34" s="18"/>
      <c r="M34" s="6">
        <f t="shared" si="6"/>
        <v>256000000000033</v>
      </c>
      <c r="O34" s="15" t="str">
        <f t="shared" si="4"/>
        <v>PERFORM "SchSysConfig"."Func_TblAppObject_MenuAction_SET"(varSystemLoginSession, null, null, null, varInstitutionBranchID, varBaseCurrencyID, 97000000000033, 'Execute', 'Execute', null);</v>
      </c>
      <c r="P34" s="1"/>
      <c r="Q3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'97000000000033'::varchar,'key', 'Execute'::varchar,'caption', 'Execute'::varchar,'URLPath', null::varchar)))::varchar;</v>
      </c>
    </row>
    <row r="35" spans="2:17" s="16" customFormat="1" x14ac:dyDescent="0.2">
      <c r="B35" s="7">
        <f t="shared" si="2"/>
        <v>97000000000034</v>
      </c>
      <c r="C35" s="3" t="str">
        <f>VLOOKUP($B35, [1]Main!$E$2:$G$1121, 2, FALSE)</f>
        <v>Module.General.MasterData.Workflow.Transaction</v>
      </c>
      <c r="D35" s="3" t="str">
        <f>VLOOKUP($B35, [1]Main!$E$2:$G$1121, 3, FALSE)</f>
        <v>Workflow</v>
      </c>
      <c r="F35" s="17">
        <f t="shared" si="0"/>
        <v>97000000000034</v>
      </c>
      <c r="H35" s="4"/>
      <c r="I35" s="3" t="str">
        <f t="shared" si="3"/>
        <v>Execute</v>
      </c>
      <c r="J35" s="3" t="str">
        <f t="shared" si="1"/>
        <v>Execute</v>
      </c>
      <c r="K35" s="18" t="s">
        <v>62</v>
      </c>
      <c r="M35" s="6">
        <f t="shared" si="6"/>
        <v>256000000000034</v>
      </c>
      <c r="O35" s="15" t="str">
        <f t="shared" si="4"/>
        <v>PERFORM "SchSysConfig"."Func_TblAppObject_MenuAction_SET"(varSystemLoginSession, null, null, null, varInstitutionBranchID, varBaseCurrencyID, 97000000000034, 'Execute', 'Execute', 'Workflow?var=1');</v>
      </c>
      <c r="P35" s="1"/>
      <c r="Q3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'97000000000034'::varchar,'key', 'Execute'::varchar,'caption', 'Execute'::varchar,'URLPath', 'Workflow?var=1'::varchar)))::varchar;</v>
      </c>
    </row>
    <row r="36" spans="2:17" s="16" customFormat="1" x14ac:dyDescent="0.2">
      <c r="B36" s="7">
        <f t="shared" si="2"/>
        <v>97000000000035</v>
      </c>
      <c r="C36" s="3" t="str">
        <f>VLOOKUP($B36, [1]Main!$E$2:$G$1121, 2, FALSE)</f>
        <v>Module.HumanResource.MasterData.OrganizationalDepartment.Transaction</v>
      </c>
      <c r="D36" s="3" t="str">
        <f>VLOOKUP($B36, [1]Main!$E$2:$G$1121, 3, FALSE)</f>
        <v>Department</v>
      </c>
      <c r="F36" s="17">
        <f t="shared" si="0"/>
        <v>97000000000035</v>
      </c>
      <c r="H36" s="4"/>
      <c r="I36" s="3" t="str">
        <f t="shared" si="3"/>
        <v>Execute</v>
      </c>
      <c r="J36" s="3" t="str">
        <f t="shared" si="1"/>
        <v>Execute</v>
      </c>
      <c r="K36" s="18"/>
      <c r="M36" s="6">
        <f t="shared" si="6"/>
        <v>256000000000035</v>
      </c>
      <c r="O36" s="15" t="str">
        <f t="shared" si="4"/>
        <v>PERFORM "SchSysConfig"."Func_TblAppObject_MenuAction_SET"(varSystemLoginSession, null, null, null, varInstitutionBranchID, varBaseCurrencyID, 97000000000035, 'Execute', 'Execute', null);</v>
      </c>
      <c r="P36" s="1"/>
      <c r="Q3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'97000000000035'::varchar,'key', 'Execute'::varchar,'caption', 'Execute'::varchar,'URLPath', null::varchar)))::varchar;</v>
      </c>
    </row>
    <row r="37" spans="2:17" s="16" customFormat="1" x14ac:dyDescent="0.2">
      <c r="B37" s="7">
        <f t="shared" si="2"/>
        <v>97000000000036</v>
      </c>
      <c r="C37" s="3" t="str">
        <f>VLOOKUP($B37, [1]Main!$E$2:$G$1121, 2, FALSE)</f>
        <v>Module.HumanResource.Data.PersonWorkTimeSheet.Transaction</v>
      </c>
      <c r="D37" s="3" t="str">
        <f>VLOOKUP($B37, [1]Main!$E$2:$G$1121, 3, FALSE)</f>
        <v>Person Work Time Sheet</v>
      </c>
      <c r="F37" s="17">
        <f t="shared" si="0"/>
        <v>97000000000036</v>
      </c>
      <c r="H37" s="4"/>
      <c r="I37" s="3" t="str">
        <f t="shared" si="3"/>
        <v>Execute</v>
      </c>
      <c r="J37" s="3" t="str">
        <f t="shared" si="1"/>
        <v>Execute</v>
      </c>
      <c r="K37" s="18" t="s">
        <v>63</v>
      </c>
      <c r="M37" s="6">
        <f t="shared" si="6"/>
        <v>256000000000036</v>
      </c>
      <c r="O37" s="15" t="str">
        <f t="shared" si="4"/>
        <v>PERFORM "SchSysConfig"."Func_TblAppObject_MenuAction_SET"(varSystemLoginSession, null, null, null, varInstitutionBranchID, varBaseCurrencyID, 97000000000036, 'Execute', 'Execute', 'Timesheet?var=1');</v>
      </c>
      <c r="P37" s="1"/>
      <c r="Q37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'97000000000036'::varchar,'key', 'Execute'::varchar,'caption', 'Execute'::varchar,'URLPath', 'Timesheet?var=1'::varchar)))::varchar;</v>
      </c>
    </row>
    <row r="38" spans="2:17" s="16" customFormat="1" x14ac:dyDescent="0.2">
      <c r="B38" s="7">
        <f t="shared" si="2"/>
        <v>97000000000037</v>
      </c>
      <c r="C38" s="3" t="str">
        <f>VLOOKUP($B38, [1]Main!$E$2:$G$1121, 2, FALSE)</f>
        <v>Module.HumanResource.Data.PersonWorkTimeSheet.Report.DataList</v>
      </c>
      <c r="D38" s="3" t="str">
        <f>VLOOKUP($B38, [1]Main!$E$2:$G$1121, 3, FALSE)</f>
        <v>Person Work Time Sheet Summary</v>
      </c>
      <c r="F38" s="17">
        <f t="shared" si="0"/>
        <v>97000000000037</v>
      </c>
      <c r="H38" s="4"/>
      <c r="I38" s="3" t="str">
        <f t="shared" si="3"/>
        <v>Execute</v>
      </c>
      <c r="J38" s="3" t="str">
        <f t="shared" si="1"/>
        <v>PersonWorkTimeSheetSummary</v>
      </c>
      <c r="K38" s="18" t="s">
        <v>48</v>
      </c>
      <c r="M38" s="6">
        <f t="shared" si="6"/>
        <v>256000000000037</v>
      </c>
      <c r="O38" s="15" t="str">
        <f t="shared" si="4"/>
        <v>PERFORM "SchSysConfig"."Func_TblAppObject_MenuAction_SET"(varSystemLoginSession, null, null, null, varInstitutionBranchID, varBaseCurrencyID, 97000000000037, 'PersonWorkTimeSheetSummary', 'Execute', 'ReportTimesheetSummary');</v>
      </c>
      <c r="P38" s="1"/>
      <c r="Q38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'97000000000037'::varchar,'key', 'PersonWorkTimeSheetSummary'::varchar,'caption', 'Execute'::varchar,'URLPath', 'ReportTimesheetSummary'::varchar)))::varchar;</v>
      </c>
    </row>
    <row r="39" spans="2:17" s="16" customFormat="1" x14ac:dyDescent="0.2">
      <c r="B39" s="7">
        <f t="shared" si="2"/>
        <v>97000000000038</v>
      </c>
      <c r="C39" s="3" t="str">
        <f>VLOOKUP($B39, [1]Main!$E$2:$G$1121, 2, FALSE)</f>
        <v>Module.HumanResource.Data.SallaryAllocation.Transaction</v>
      </c>
      <c r="D39" s="3" t="str">
        <f>VLOOKUP($B39, [1]Main!$E$2:$G$1121, 3, FALSE)</f>
        <v>Sallary Allocation</v>
      </c>
      <c r="F39" s="17">
        <f t="shared" si="0"/>
        <v>97000000000038</v>
      </c>
      <c r="H39" s="4"/>
      <c r="I39" s="3" t="str">
        <f t="shared" si="3"/>
        <v>Execute</v>
      </c>
      <c r="J39" s="3" t="str">
        <f t="shared" si="1"/>
        <v>Execute</v>
      </c>
      <c r="K39" s="18"/>
      <c r="M39" s="6">
        <f t="shared" si="6"/>
        <v>256000000000038</v>
      </c>
      <c r="O39" s="15" t="str">
        <f t="shared" si="4"/>
        <v>PERFORM "SchSysConfig"."Func_TblAppObject_MenuAction_SET"(varSystemLoginSession, null, null, null, varInstitutionBranchID, varBaseCurrencyID, 97000000000038, 'Execute', 'Execute', null);</v>
      </c>
      <c r="P39" s="1"/>
      <c r="Q39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'97000000000038'::varchar,'key', 'Execute'::varchar,'caption', 'Execute'::varchar,'URLPath', null::varchar)))::varchar;</v>
      </c>
    </row>
    <row r="40" spans="2:17" s="16" customFormat="1" x14ac:dyDescent="0.2">
      <c r="B40" s="9">
        <f t="shared" si="2"/>
        <v>97000000000039</v>
      </c>
      <c r="C40" s="11" t="str">
        <f>VLOOKUP($B40, [1]Main!$E$2:$G$1121, 2, FALSE)</f>
        <v>Module.HumanResource.Data.SallaryAllocation.Report.DataList</v>
      </c>
      <c r="D40" s="11" t="str">
        <f>VLOOKUP($B40, [1]Main!$E$2:$G$1121, 3, FALSE)</f>
        <v>Sallary Allocation Summary</v>
      </c>
      <c r="F40" s="20">
        <f t="shared" si="0"/>
        <v>97000000000039</v>
      </c>
      <c r="H40" s="4"/>
      <c r="I40" s="3" t="str">
        <f t="shared" si="3"/>
        <v>Execute</v>
      </c>
      <c r="J40" s="3" t="str">
        <f t="shared" si="1"/>
        <v>SallaryAllocationSummary</v>
      </c>
      <c r="K40" s="19"/>
      <c r="M40" s="6">
        <f t="shared" si="6"/>
        <v>256000000000039</v>
      </c>
      <c r="O40" s="15" t="str">
        <f t="shared" si="4"/>
        <v>PERFORM "SchSysConfig"."Func_TblAppObject_MenuAction_SET"(varSystemLoginSession, null, null, null, varInstitutionBranchID, varBaseCurrencyID, 97000000000039, 'SallaryAllocationSummary', 'Execute', null);</v>
      </c>
      <c r="P40" s="1"/>
      <c r="Q4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'97000000000039'::varchar,'key', 'SallaryAllocationSummary'::varchar,'caption', 'Execute'::varchar,'URLPath', null::varchar)))::varchar;</v>
      </c>
    </row>
    <row r="41" spans="2:17" s="16" customFormat="1" x14ac:dyDescent="0.2">
      <c r="B41" s="7">
        <f t="shared" si="2"/>
        <v>97000000000040</v>
      </c>
      <c r="C41" s="3" t="str">
        <f>VLOOKUP($B41, [1]Main!$E$2:$G$1121, 2, FALSE)</f>
        <v>Module.General.MasterData.Product.Transaction</v>
      </c>
      <c r="D41" s="3" t="str">
        <f>VLOOKUP($B41, [1]Main!$E$2:$G$1121, 3, FALSE)</f>
        <v>Product</v>
      </c>
      <c r="F41" s="17">
        <f t="shared" si="0"/>
        <v>97000000000040</v>
      </c>
      <c r="H41" s="4"/>
      <c r="I41" s="3" t="str">
        <f t="shared" si="3"/>
        <v>Execute</v>
      </c>
      <c r="J41" s="3" t="str">
        <f t="shared" si="1"/>
        <v>Execute</v>
      </c>
      <c r="K41" s="18" t="s">
        <v>64</v>
      </c>
      <c r="M41" s="6">
        <f t="shared" si="6"/>
        <v>256000000000040</v>
      </c>
      <c r="O41" s="15" t="str">
        <f t="shared" si="4"/>
        <v>PERFORM "SchSysConfig"."Func_TblAppObject_MenuAction_SET"(varSystemLoginSession, null, null, null, varInstitutionBranchID, varBaseCurrencyID, 97000000000040, 'Execute', 'Execute', 'Product?var=1');</v>
      </c>
      <c r="P41" s="1"/>
      <c r="Q41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'97000000000040'::varchar,'key', 'Execute'::varchar,'caption', 'Execute'::varchar,'URLPath', 'Product?var=1'::varchar)))::varchar;</v>
      </c>
    </row>
    <row r="42" spans="2:17" s="16" customFormat="1" x14ac:dyDescent="0.2">
      <c r="B42" s="7">
        <f t="shared" si="2"/>
        <v>97000000000041</v>
      </c>
      <c r="C42" s="3" t="str">
        <f>VLOOKUP($B42, [1]Main!$E$2:$G$1121, 2, FALSE)</f>
        <v>Module.General.MasterData.ProductType.Transaction</v>
      </c>
      <c r="D42" s="3" t="str">
        <f>VLOOKUP($B42, [1]Main!$E$2:$G$1121, 3, FALSE)</f>
        <v>Product Type</v>
      </c>
      <c r="F42" s="17">
        <f t="shared" si="0"/>
        <v>97000000000041</v>
      </c>
      <c r="H42" s="4"/>
      <c r="I42" s="3" t="str">
        <f t="shared" si="3"/>
        <v>Execute</v>
      </c>
      <c r="J42" s="3" t="str">
        <f t="shared" si="1"/>
        <v>Execute</v>
      </c>
      <c r="K42" s="18"/>
      <c r="M42" s="6">
        <f t="shared" si="6"/>
        <v>256000000000041</v>
      </c>
      <c r="O42" s="15" t="str">
        <f t="shared" si="4"/>
        <v>PERFORM "SchSysConfig"."Func_TblAppObject_MenuAction_SET"(varSystemLoginSession, null, null, null, varInstitutionBranchID, varBaseCurrencyID, 97000000000041, 'Execute', 'Execute', null);</v>
      </c>
      <c r="P42" s="1"/>
      <c r="Q4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'97000000000041'::varchar,'key', 'Execute'::varchar,'caption', 'Execute'::varchar,'URLPath', null::varchar)))::varchar;</v>
      </c>
    </row>
    <row r="43" spans="2:17" s="16" customFormat="1" x14ac:dyDescent="0.2">
      <c r="B43" s="7">
        <f t="shared" si="2"/>
        <v>97000000000042</v>
      </c>
      <c r="C43" s="3" t="str">
        <f>VLOOKUP($B43, [1]Main!$E$2:$G$1121, 2, FALSE)</f>
        <v>Module.General.MasterData.Warehouse.Transaction</v>
      </c>
      <c r="D43" s="3" t="str">
        <f>VLOOKUP($B43, [1]Main!$E$2:$G$1121, 3, FALSE)</f>
        <v>Warehouse</v>
      </c>
      <c r="F43" s="17">
        <f t="shared" si="0"/>
        <v>97000000000042</v>
      </c>
      <c r="H43" s="4"/>
      <c r="I43" s="3" t="str">
        <f t="shared" si="3"/>
        <v>Execute</v>
      </c>
      <c r="J43" s="3" t="str">
        <f t="shared" si="1"/>
        <v>Execute</v>
      </c>
      <c r="K43" s="18"/>
      <c r="M43" s="6">
        <f t="shared" si="6"/>
        <v>256000000000042</v>
      </c>
      <c r="O43" s="15" t="str">
        <f t="shared" si="4"/>
        <v>PERFORM "SchSysConfig"."Func_TblAppObject_MenuAction_SET"(varSystemLoginSession, null, null, null, varInstitutionBranchID, varBaseCurrencyID, 97000000000042, 'Execute', 'Execute', null);</v>
      </c>
      <c r="P43" s="1"/>
      <c r="Q43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'97000000000042'::varchar,'key', 'Execute'::varchar,'caption', 'Execute'::varchar,'URLPath', null::varchar)))::varchar;</v>
      </c>
    </row>
    <row r="44" spans="2:17" s="16" customFormat="1" x14ac:dyDescent="0.2">
      <c r="B44" s="7">
        <f t="shared" si="2"/>
        <v>97000000000043</v>
      </c>
      <c r="C44" s="3" t="str">
        <f>VLOOKUP($B44, [1]Main!$E$2:$G$1121, 2, FALSE)</f>
        <v>Module.General.MasterData.Work.Transaction</v>
      </c>
      <c r="D44" s="3" t="str">
        <f>VLOOKUP($B44, [1]Main!$E$2:$G$1121, 3, FALSE)</f>
        <v>Work</v>
      </c>
      <c r="F44" s="17">
        <f t="shared" si="0"/>
        <v>97000000000043</v>
      </c>
      <c r="H44" s="4"/>
      <c r="I44" s="3" t="str">
        <f t="shared" si="3"/>
        <v>Execute</v>
      </c>
      <c r="J44" s="3" t="str">
        <f t="shared" si="1"/>
        <v>Execute</v>
      </c>
      <c r="K44" s="18"/>
      <c r="M44" s="6">
        <f t="shared" si="6"/>
        <v>256000000000043</v>
      </c>
      <c r="O44" s="15" t="str">
        <f t="shared" si="4"/>
        <v>PERFORM "SchSysConfig"."Func_TblAppObject_MenuAction_SET"(varSystemLoginSession, null, null, null, varInstitutionBranchID, varBaseCurrencyID, 97000000000043, 'Execute', 'Execute', null);</v>
      </c>
      <c r="P44" s="1"/>
      <c r="Q4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'97000000000043'::varchar,'key', 'Execute'::varchar,'caption', 'Execute'::varchar,'URLPath', null::varchar)))::varchar;</v>
      </c>
    </row>
    <row r="45" spans="2:17" s="16" customFormat="1" x14ac:dyDescent="0.2">
      <c r="B45" s="7">
        <f t="shared" si="2"/>
        <v>97000000000044</v>
      </c>
      <c r="C45" s="3" t="str">
        <f>VLOOKUP($B45, [1]Main!$E$2:$G$1121, 2, FALSE)</f>
        <v>Module.SupplyChain.Data.DeliveryOrder.Transaction</v>
      </c>
      <c r="D45" s="3" t="str">
        <f>VLOOKUP($B45, [1]Main!$E$2:$G$1121, 3, FALSE)</f>
        <v>Delivery Order</v>
      </c>
      <c r="F45" s="17">
        <f t="shared" si="0"/>
        <v>97000000000044</v>
      </c>
      <c r="H45" s="4"/>
      <c r="I45" s="3" t="str">
        <f t="shared" si="3"/>
        <v>Execute</v>
      </c>
      <c r="J45" s="3" t="str">
        <f t="shared" si="1"/>
        <v>Execute</v>
      </c>
      <c r="K45" s="18" t="s">
        <v>10</v>
      </c>
      <c r="M45" s="6">
        <f t="shared" si="6"/>
        <v>256000000000044</v>
      </c>
      <c r="O45" s="15" t="str">
        <f t="shared" si="4"/>
        <v>PERFORM "SchSysConfig"."Func_TblAppObject_MenuAction_SET"(varSystemLoginSession, null, null, null, varInstitutionBranchID, varBaseCurrencyID, 97000000000044, 'Execute', 'Execute', 'DeliveryOrder?var=1');</v>
      </c>
      <c r="P45" s="1"/>
      <c r="Q4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'97000000000044'::varchar,'key', 'Execute'::varchar,'caption', 'Execute'::varchar,'URLPath', 'DeliveryOrder?var=1'::varchar)))::varchar;</v>
      </c>
    </row>
    <row r="46" spans="2:17" s="16" customFormat="1" x14ac:dyDescent="0.2">
      <c r="B46" s="7">
        <f t="shared" si="2"/>
        <v>97000000000045</v>
      </c>
      <c r="C46" s="3" t="str">
        <f>VLOOKUP($B46, [1]Main!$E$2:$G$1121, 2, FALSE)</f>
        <v>Module.SupplyChain.Data.DeliveryOrder.Report.DataList</v>
      </c>
      <c r="D46" s="3" t="str">
        <f>VLOOKUP($B46, [1]Main!$E$2:$G$1121, 3, FALSE)</f>
        <v>Report DO Summary</v>
      </c>
      <c r="F46" s="17">
        <f t="shared" si="0"/>
        <v>97000000000045</v>
      </c>
      <c r="H46" s="4"/>
      <c r="I46" s="3" t="str">
        <f t="shared" si="3"/>
        <v>Execute</v>
      </c>
      <c r="J46" s="3" t="str">
        <f t="shared" si="1"/>
        <v>ReportDOSummary</v>
      </c>
      <c r="K46" s="18" t="s">
        <v>66</v>
      </c>
      <c r="M46" s="6">
        <f t="shared" si="6"/>
        <v>256000000000045</v>
      </c>
      <c r="O46" s="15" t="str">
        <f t="shared" si="4"/>
        <v>PERFORM "SchSysConfig"."Func_TblAppObject_MenuAction_SET"(varSystemLoginSession, null, null, null, varInstitutionBranchID, varBaseCurrencyID, 97000000000045, 'ReportDOSummary', 'Execute', 'ReportDeliveryOrderSummary');</v>
      </c>
      <c r="P46" s="1"/>
      <c r="Q4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'97000000000045'::varchar,'key', 'ReportDOSummary'::varchar,'caption', 'Execute'::varchar,'URLPath', 'ReportDeliveryOrderSummary'::varchar)))::varchar;</v>
      </c>
    </row>
    <row r="47" spans="2:17" s="16" customFormat="1" x14ac:dyDescent="0.2">
      <c r="B47" s="7">
        <f t="shared" si="2"/>
        <v>97000000000046</v>
      </c>
      <c r="C47" s="3" t="str">
        <f>VLOOKUP($B47, [1]Main!$E$2:$G$1121, 2, FALSE)</f>
        <v>Module.SupplyChain.Data.DeliveryOrderToMaterialReceive.Report.DataList</v>
      </c>
      <c r="D47" s="3" t="str">
        <f>VLOOKUP($B47, [1]Main!$E$2:$G$1121, 3, FALSE)</f>
        <v>Report DO to Material Receive</v>
      </c>
      <c r="F47" s="17">
        <f t="shared" si="0"/>
        <v>97000000000046</v>
      </c>
      <c r="H47" s="4"/>
      <c r="I47" s="3" t="str">
        <f t="shared" si="3"/>
        <v>Execute</v>
      </c>
      <c r="J47" s="3" t="str">
        <f t="shared" si="1"/>
        <v>ReportDOtoMaterialReceive</v>
      </c>
      <c r="K47" s="18" t="s">
        <v>68</v>
      </c>
      <c r="M47" s="6">
        <f t="shared" si="6"/>
        <v>256000000000046</v>
      </c>
      <c r="O47" s="15" t="str">
        <f t="shared" si="4"/>
        <v>PERFORM "SchSysConfig"."Func_TblAppObject_MenuAction_SET"(varSystemLoginSession, null, null, null, varInstitutionBranchID, varBaseCurrencyID, 97000000000046, 'ReportDOtoMaterialReceive', 'Execute', 'ReportDOToMaterialReceive');</v>
      </c>
      <c r="P47" s="1"/>
      <c r="Q47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'97000000000046'::varchar,'key', 'ReportDOtoMaterialReceive'::varchar,'caption', 'Execute'::varchar,'URLPath', 'ReportDOToMaterialReceive'::varchar)))::varchar;</v>
      </c>
    </row>
    <row r="48" spans="2:17" s="16" customFormat="1" x14ac:dyDescent="0.2">
      <c r="B48" s="7">
        <f t="shared" si="2"/>
        <v>97000000000047</v>
      </c>
      <c r="C48" s="3" t="str">
        <f>VLOOKUP($B48, [1]Main!$E$2:$G$1121, 2, FALSE)</f>
        <v>Module.SupplyChain.Data.MaterialReceive.Transaction</v>
      </c>
      <c r="D48" s="3" t="str">
        <f>VLOOKUP($B48, [1]Main!$E$2:$G$1121, 3, FALSE)</f>
        <v>Material Receive</v>
      </c>
      <c r="F48" s="17">
        <f t="shared" si="0"/>
        <v>97000000000047</v>
      </c>
      <c r="H48" s="4"/>
      <c r="I48" s="3" t="str">
        <f t="shared" si="3"/>
        <v>Execute</v>
      </c>
      <c r="J48" s="3" t="str">
        <f t="shared" si="1"/>
        <v>Execute</v>
      </c>
      <c r="K48" s="18" t="s">
        <v>11</v>
      </c>
      <c r="M48" s="6">
        <f t="shared" si="6"/>
        <v>256000000000047</v>
      </c>
      <c r="O48" s="15" t="str">
        <f t="shared" si="4"/>
        <v>PERFORM "SchSysConfig"."Func_TblAppObject_MenuAction_SET"(varSystemLoginSession, null, null, null, varInstitutionBranchID, varBaseCurrencyID, 97000000000047, 'Execute', 'Execute', 'MaterialReceive?var=1');</v>
      </c>
      <c r="P48" s="1"/>
      <c r="Q48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'97000000000047'::varchar,'key', 'Execute'::varchar,'caption', 'Execute'::varchar,'URLPath', 'MaterialReceive?var=1'::varchar)))::varchar;</v>
      </c>
    </row>
    <row r="49" spans="2:17" s="16" customFormat="1" x14ac:dyDescent="0.2">
      <c r="B49" s="7">
        <f t="shared" si="2"/>
        <v>97000000000048</v>
      </c>
      <c r="C49" s="3" t="str">
        <f>VLOOKUP($B49, [1]Main!$E$2:$G$1121, 2, FALSE)</f>
        <v>Module.SupplyChain.Data.MaterialReceive.Report.DataList</v>
      </c>
      <c r="D49" s="3" t="str">
        <f>VLOOKUP($B49, [1]Main!$E$2:$G$1121, 3, FALSE)</f>
        <v>Report Material Receive Summary</v>
      </c>
      <c r="F49" s="17">
        <f t="shared" si="0"/>
        <v>97000000000048</v>
      </c>
      <c r="H49" s="4"/>
      <c r="I49" s="3" t="str">
        <f t="shared" si="3"/>
        <v>Execute</v>
      </c>
      <c r="J49" s="3" t="str">
        <f t="shared" si="1"/>
        <v>ReportMaterialReceiveSummary</v>
      </c>
      <c r="K49" s="18" t="s">
        <v>49</v>
      </c>
      <c r="M49" s="6">
        <f t="shared" si="6"/>
        <v>256000000000048</v>
      </c>
      <c r="O49" s="15" t="str">
        <f t="shared" si="4"/>
        <v>PERFORM "SchSysConfig"."Func_TblAppObject_MenuAction_SET"(varSystemLoginSession, null, null, null, varInstitutionBranchID, varBaseCurrencyID, 97000000000048, 'ReportMaterialReceiveSummary', 'Execute', 'ReportMaterialReceiveSummary');</v>
      </c>
      <c r="P49" s="1"/>
      <c r="Q49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'97000000000048'::varchar,'key', 'ReportMaterialReceiveSummary'::varchar,'caption', 'Execute'::varchar,'URLPath', 'ReportMaterialReceiveSummary'::varchar)))::varchar;</v>
      </c>
    </row>
    <row r="50" spans="2:17" s="16" customFormat="1" x14ac:dyDescent="0.2">
      <c r="B50" s="7">
        <f t="shared" si="2"/>
        <v>97000000000049</v>
      </c>
      <c r="C50" s="3" t="str">
        <f>VLOOKUP($B50, [1]Main!$E$2:$G$1121, 2, FALSE)</f>
        <v>Module.SupplyChain.Data.MaterialReceiveToMaterialReturn.Report.DataList</v>
      </c>
      <c r="D50" s="3" t="str">
        <f>VLOOKUP($B50, [1]Main!$E$2:$G$1121, 3, FALSE)</f>
        <v>Report Material Receive to Material Return</v>
      </c>
      <c r="F50" s="17">
        <f t="shared" si="0"/>
        <v>97000000000049</v>
      </c>
      <c r="H50" s="4"/>
      <c r="I50" s="3" t="str">
        <f t="shared" si="3"/>
        <v>Execute</v>
      </c>
      <c r="J50" s="3" t="str">
        <f t="shared" si="1"/>
        <v>ReportMaterialReceivetoMaterialReturn</v>
      </c>
      <c r="K50" s="18" t="s">
        <v>50</v>
      </c>
      <c r="M50" s="6">
        <f t="shared" si="6"/>
        <v>256000000000049</v>
      </c>
      <c r="O50" s="15" t="str">
        <f t="shared" si="4"/>
        <v>PERFORM "SchSysConfig"."Func_TblAppObject_MenuAction_SET"(varSystemLoginSession, null, null, null, varInstitutionBranchID, varBaseCurrencyID, 97000000000049, 'ReportMaterialReceivetoMaterialReturn', 'Execute', 'ReportMatReceivetoMatReturn');</v>
      </c>
      <c r="P50" s="1"/>
      <c r="Q5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'97000000000049'::varchar,'key', 'ReportMaterialReceivetoMaterialReturn'::varchar,'caption', 'Execute'::varchar,'URLPath', 'ReportMatReceivetoMatReturn'::varchar)))::varchar;</v>
      </c>
    </row>
    <row r="51" spans="2:17" s="16" customFormat="1" x14ac:dyDescent="0.2">
      <c r="B51" s="7">
        <f t="shared" si="2"/>
        <v>97000000000050</v>
      </c>
      <c r="C51" s="3" t="str">
        <f>VLOOKUP($B51, [1]Main!$E$2:$G$1121, 2, FALSE)</f>
        <v>Module.SupplyChain.Data.MaterialReturn.Transaction</v>
      </c>
      <c r="D51" s="3" t="str">
        <f>VLOOKUP($B51, [1]Main!$E$2:$G$1121, 3, FALSE)</f>
        <v>Material Return</v>
      </c>
      <c r="F51" s="17">
        <f t="shared" si="0"/>
        <v>97000000000050</v>
      </c>
      <c r="H51" s="4"/>
      <c r="I51" s="3" t="str">
        <f t="shared" si="3"/>
        <v>Execute</v>
      </c>
      <c r="J51" s="3" t="str">
        <f t="shared" si="1"/>
        <v>Execute</v>
      </c>
      <c r="K51" s="18" t="s">
        <v>12</v>
      </c>
      <c r="M51" s="6">
        <f t="shared" si="6"/>
        <v>256000000000050</v>
      </c>
      <c r="O51" s="15" t="str">
        <f t="shared" si="4"/>
        <v>PERFORM "SchSysConfig"."Func_TblAppObject_MenuAction_SET"(varSystemLoginSession, null, null, null, varInstitutionBranchID, varBaseCurrencyID, 97000000000050, 'Execute', 'Execute', 'MaterialReturn?var=1');</v>
      </c>
      <c r="P51" s="1"/>
      <c r="Q51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'97000000000050'::varchar,'key', 'Execute'::varchar,'caption', 'Execute'::varchar,'URLPath', 'MaterialReturn?var=1'::varchar)))::varchar;</v>
      </c>
    </row>
    <row r="52" spans="2:17" s="16" customFormat="1" x14ac:dyDescent="0.2">
      <c r="B52" s="7">
        <f t="shared" si="2"/>
        <v>97000000000051</v>
      </c>
      <c r="C52" s="3" t="str">
        <f>VLOOKUP($B52, [1]Main!$E$2:$G$1121, 2, FALSE)</f>
        <v>Module.SupplyChain.Data.MaterialReturn.Report.DataList</v>
      </c>
      <c r="D52" s="3" t="str">
        <f>VLOOKUP($B52, [1]Main!$E$2:$G$1121, 3, FALSE)</f>
        <v>Report Material Return Summary</v>
      </c>
      <c r="F52" s="17">
        <f t="shared" si="0"/>
        <v>97000000000051</v>
      </c>
      <c r="H52" s="4"/>
      <c r="I52" s="3" t="str">
        <f t="shared" si="3"/>
        <v>Execute</v>
      </c>
      <c r="J52" s="3" t="str">
        <f t="shared" si="1"/>
        <v>ReportMaterialReturnSummary</v>
      </c>
      <c r="K52" s="18" t="s">
        <v>67</v>
      </c>
      <c r="M52" s="6">
        <f t="shared" si="6"/>
        <v>256000000000051</v>
      </c>
      <c r="O52" s="15" t="str">
        <f t="shared" si="4"/>
        <v>PERFORM "SchSysConfig"."Func_TblAppObject_MenuAction_SET"(varSystemLoginSession, null, null, null, varInstitutionBranchID, varBaseCurrencyID, 97000000000051, 'ReportMaterialReturnSummary', 'Execute', 'ReportMaterialReturnSummary');</v>
      </c>
      <c r="P52" s="1"/>
      <c r="Q5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'97000000000051'::varchar,'key', 'ReportMaterialReturnSummary'::varchar,'caption', 'Execute'::varchar,'URLPath', 'ReportMaterialReturnSummary'::varchar)))::varchar;</v>
      </c>
    </row>
    <row r="53" spans="2:17" s="16" customFormat="1" x14ac:dyDescent="0.2">
      <c r="B53" s="7">
        <f t="shared" si="2"/>
        <v>97000000000052</v>
      </c>
      <c r="C53" s="3" t="str">
        <f>VLOOKUP($B53, [1]Main!$E$2:$G$1121, 2, FALSE)</f>
        <v>Module.SupplyChain.Data.PhysicalInventoryCount.Transaction</v>
      </c>
      <c r="D53" s="3" t="str">
        <f>VLOOKUP($B53, [1]Main!$E$2:$G$1121, 3, FALSE)</f>
        <v>Stock Opname</v>
      </c>
      <c r="F53" s="17">
        <f t="shared" si="0"/>
        <v>97000000000052</v>
      </c>
      <c r="H53" s="4"/>
      <c r="I53" s="3" t="str">
        <f t="shared" si="3"/>
        <v>Execute</v>
      </c>
      <c r="J53" s="3" t="str">
        <f t="shared" si="1"/>
        <v>Execute</v>
      </c>
      <c r="K53" s="18" t="s">
        <v>65</v>
      </c>
      <c r="M53" s="6">
        <f t="shared" si="6"/>
        <v>256000000000052</v>
      </c>
      <c r="O53" s="15" t="str">
        <f t="shared" si="4"/>
        <v>PERFORM "SchSysConfig"."Func_TblAppObject_MenuAction_SET"(varSystemLoginSession, null, null, null, varInstitutionBranchID, varBaseCurrencyID, 97000000000052, 'Execute', 'Execute', 'StockOpname?var=1');</v>
      </c>
      <c r="P53" s="1"/>
      <c r="Q53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'97000000000052'::varchar,'key', 'Execute'::varchar,'caption', 'Execute'::varchar,'URLPath', 'StockOpname?var=1'::varchar)))::varchar;</v>
      </c>
    </row>
    <row r="54" spans="2:17" s="16" customFormat="1" x14ac:dyDescent="0.2">
      <c r="B54" s="9">
        <f t="shared" si="2"/>
        <v>97000000000053</v>
      </c>
      <c r="C54" s="11" t="str">
        <f>VLOOKUP($B54, [1]Main!$E$2:$G$1121, 2, FALSE)</f>
        <v>Module.SupplyChain.Data.PhysicalInventoryCount.Report.DataList</v>
      </c>
      <c r="D54" s="11" t="str">
        <f>VLOOKUP($B54, [1]Main!$E$2:$G$1121, 3, FALSE)</f>
        <v>Report Stock Opname Summary</v>
      </c>
      <c r="F54" s="20">
        <f t="shared" si="0"/>
        <v>97000000000053</v>
      </c>
      <c r="H54" s="4"/>
      <c r="I54" s="3" t="str">
        <f t="shared" si="3"/>
        <v>Execute</v>
      </c>
      <c r="J54" s="3" t="str">
        <f t="shared" si="1"/>
        <v>ReportStockOpnameSummary</v>
      </c>
      <c r="K54" s="19"/>
      <c r="M54" s="6">
        <f t="shared" si="6"/>
        <v>256000000000053</v>
      </c>
      <c r="O54" s="15" t="str">
        <f t="shared" si="4"/>
        <v>PERFORM "SchSysConfig"."Func_TblAppObject_MenuAction_SET"(varSystemLoginSession, null, null, null, varInstitutionBranchID, varBaseCurrencyID, 97000000000053, 'ReportStockOpnameSummary', 'Execute', null);</v>
      </c>
      <c r="P54" s="1"/>
      <c r="Q5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'97000000000053'::varchar,'key', 'ReportStockOpnameSummary'::varchar,'caption', 'Execute'::varchar,'URLPath', null::varchar)))::varchar;</v>
      </c>
    </row>
    <row r="55" spans="2:17" s="16" customFormat="1" x14ac:dyDescent="0.2">
      <c r="B55" s="7">
        <f t="shared" si="2"/>
        <v>97000000000054</v>
      </c>
      <c r="C55" s="3" t="str">
        <f>VLOOKUP($B55, [1]Main!$E$2:$G$1121, 2, FALSE)</f>
        <v>Module.Finance.Data.Advance.Transaction</v>
      </c>
      <c r="D55" s="3" t="str">
        <f>VLOOKUP($B55, [1]Main!$E$2:$G$1121, 3, FALSE)</f>
        <v>Advance Request</v>
      </c>
      <c r="F55" s="17">
        <f t="shared" si="0"/>
        <v>97000000000054</v>
      </c>
      <c r="H55" s="4"/>
      <c r="I55" s="3" t="str">
        <f t="shared" si="3"/>
        <v>Execute</v>
      </c>
      <c r="J55" s="3" t="str">
        <f t="shared" si="1"/>
        <v>Execute</v>
      </c>
      <c r="K55" s="18" t="s">
        <v>14</v>
      </c>
      <c r="M55" s="6">
        <f t="shared" si="6"/>
        <v>256000000000054</v>
      </c>
      <c r="O55" s="15" t="str">
        <f t="shared" si="4"/>
        <v>PERFORM "SchSysConfig"."Func_TblAppObject_MenuAction_SET"(varSystemLoginSession, null, null, null, varInstitutionBranchID, varBaseCurrencyID, 97000000000054, 'Execute', 'Execute', 'AdvanceRequest?var=1');</v>
      </c>
      <c r="P55" s="1"/>
      <c r="Q5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'97000000000054'::varchar,'key', 'Execute'::varchar,'caption', 'Execute'::varchar,'URLPath', 'AdvanceRequest?var=1'::varchar)))::varchar;</v>
      </c>
    </row>
    <row r="56" spans="2:17" s="16" customFormat="1" x14ac:dyDescent="0.2">
      <c r="B56" s="7">
        <f t="shared" si="2"/>
        <v>97000000000055</v>
      </c>
      <c r="C56" s="3" t="str">
        <f>VLOOKUP($B56, [1]Main!$E$2:$G$1121, 2, FALSE)</f>
        <v>Module.Finance.Data.Advance.Report.DataList</v>
      </c>
      <c r="D56" s="3" t="str">
        <f>VLOOKUP($B56, [1]Main!$E$2:$G$1121, 3, FALSE)</f>
        <v>Report Advance Summary</v>
      </c>
      <c r="F56" s="17">
        <f t="shared" si="0"/>
        <v>97000000000055</v>
      </c>
      <c r="H56" s="4"/>
      <c r="I56" s="3" t="str">
        <f t="shared" si="3"/>
        <v>Execute</v>
      </c>
      <c r="J56" s="3" t="str">
        <f t="shared" si="1"/>
        <v>ReportAdvanceSummary</v>
      </c>
      <c r="K56" s="18" t="s">
        <v>13</v>
      </c>
      <c r="M56" s="6">
        <f t="shared" si="6"/>
        <v>256000000000055</v>
      </c>
      <c r="O56" s="15" t="str">
        <f t="shared" si="4"/>
        <v>PERFORM "SchSysConfig"."Func_TblAppObject_MenuAction_SET"(varSystemLoginSession, null, null, null, varInstitutionBranchID, varBaseCurrencyID, 97000000000055, 'ReportAdvanceSummary', 'Execute', 'ReportAdvanceSummary');</v>
      </c>
      <c r="P56" s="1"/>
      <c r="Q5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'97000000000055'::varchar,'key', 'ReportAdvanceSummary'::varchar,'caption', 'Execute'::varchar,'URLPath', 'ReportAdvanceSummary'::varchar)))::varchar;</v>
      </c>
    </row>
    <row r="57" spans="2:17" s="16" customFormat="1" x14ac:dyDescent="0.2">
      <c r="B57" s="7">
        <f t="shared" si="2"/>
        <v>97000000000056</v>
      </c>
      <c r="C57" s="3" t="str">
        <f>VLOOKUP($B57, [1]Main!$E$2:$G$1121, 2, FALSE)</f>
        <v>Module.Finance.Data.AdvanceToAdvanceSettlement.Report.DataList</v>
      </c>
      <c r="D57" s="3" t="str">
        <f>VLOOKUP($B57, [1]Main!$E$2:$G$1121, 3, FALSE)</f>
        <v>Report Advance to Advance Settlement</v>
      </c>
      <c r="F57" s="17">
        <f t="shared" si="0"/>
        <v>97000000000056</v>
      </c>
      <c r="H57" s="4"/>
      <c r="I57" s="3" t="str">
        <f t="shared" si="3"/>
        <v>Execute</v>
      </c>
      <c r="J57" s="3" t="str">
        <f t="shared" si="1"/>
        <v>ReportAdvancetoAdvanceSettlement</v>
      </c>
      <c r="K57" s="18" t="s">
        <v>51</v>
      </c>
      <c r="M57" s="6">
        <f t="shared" si="6"/>
        <v>256000000000056</v>
      </c>
      <c r="O57" s="15" t="str">
        <f t="shared" si="4"/>
        <v>PERFORM "SchSysConfig"."Func_TblAppObject_MenuAction_SET"(varSystemLoginSession, null, null, null, varInstitutionBranchID, varBaseCurrencyID, 97000000000056, 'ReportAdvancetoAdvanceSettlement', 'Execute', 'ReportAdvanceToASF');</v>
      </c>
      <c r="P57" s="1"/>
      <c r="Q57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'97000000000056'::varchar,'key', 'ReportAdvancetoAdvanceSettlement'::varchar,'caption', 'Execute'::varchar,'URLPath', 'ReportAdvanceToASF'::varchar)))::varchar;</v>
      </c>
    </row>
    <row r="58" spans="2:17" s="16" customFormat="1" x14ac:dyDescent="0.2">
      <c r="B58" s="7">
        <f t="shared" si="2"/>
        <v>97000000000057</v>
      </c>
      <c r="C58" s="3" t="str">
        <f>VLOOKUP($B58, [1]Main!$E$2:$G$1121, 2, FALSE)</f>
        <v>Module.Finance.Data.AdvanceSettlement.Transaction</v>
      </c>
      <c r="D58" s="3" t="str">
        <f>VLOOKUP($B58, [1]Main!$E$2:$G$1121, 3, FALSE)</f>
        <v>AdvanceSettlement</v>
      </c>
      <c r="F58" s="17">
        <f t="shared" si="0"/>
        <v>97000000000057</v>
      </c>
      <c r="H58" s="4"/>
      <c r="I58" s="3" t="str">
        <f t="shared" si="3"/>
        <v>Execute</v>
      </c>
      <c r="J58" s="3" t="str">
        <f t="shared" si="1"/>
        <v>Execute</v>
      </c>
      <c r="K58" s="18" t="s">
        <v>16</v>
      </c>
      <c r="M58" s="6">
        <f t="shared" si="6"/>
        <v>256000000000057</v>
      </c>
      <c r="O58" s="15" t="str">
        <f t="shared" si="4"/>
        <v>PERFORM "SchSysConfig"."Func_TblAppObject_MenuAction_SET"(varSystemLoginSession, null, null, null, varInstitutionBranchID, varBaseCurrencyID, 97000000000057, 'Execute', 'Execute', 'AdvanceSettlement?var=1');</v>
      </c>
      <c r="P58" s="1"/>
      <c r="Q58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'97000000000057'::varchar,'key', 'Execute'::varchar,'caption', 'Execute'::varchar,'URLPath', 'AdvanceSettlement?var=1'::varchar)))::varchar;</v>
      </c>
    </row>
    <row r="59" spans="2:17" s="16" customFormat="1" x14ac:dyDescent="0.2">
      <c r="B59" s="7">
        <f t="shared" si="2"/>
        <v>97000000000058</v>
      </c>
      <c r="C59" s="3" t="str">
        <f>VLOOKUP($B59, [1]Main!$E$2:$G$1121, 2, FALSE)</f>
        <v>Module.Finance.Data.AdvanceSettlement.Report.DataList</v>
      </c>
      <c r="D59" s="3" t="str">
        <f>VLOOKUP($B59, [1]Main!$E$2:$G$1121, 3, FALSE)</f>
        <v>Report Advance Settlement Summary</v>
      </c>
      <c r="F59" s="17">
        <f t="shared" si="0"/>
        <v>97000000000058</v>
      </c>
      <c r="H59" s="4"/>
      <c r="I59" s="3" t="str">
        <f t="shared" si="3"/>
        <v>Execute</v>
      </c>
      <c r="J59" s="3" t="str">
        <f t="shared" si="1"/>
        <v>ReportAdvanceSettlementSummary</v>
      </c>
      <c r="K59" s="18" t="s">
        <v>15</v>
      </c>
      <c r="M59" s="6">
        <f t="shared" si="6"/>
        <v>256000000000058</v>
      </c>
      <c r="O59" s="15" t="str">
        <f t="shared" si="4"/>
        <v>PERFORM "SchSysConfig"."Func_TblAppObject_MenuAction_SET"(varSystemLoginSession, null, null, null, varInstitutionBranchID, varBaseCurrencyID, 97000000000058, 'ReportAdvanceSettlementSummary', 'Execute', 'ReportAdvanceSettlementSummary');</v>
      </c>
      <c r="P59" s="1"/>
      <c r="Q59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'97000000000058'::varchar,'key', 'ReportAdvanceSettlementSummary'::varchar,'caption', 'Execute'::varchar,'URLPath', 'ReportAdvanceSettlementSummary'::varchar)))::varchar;</v>
      </c>
    </row>
    <row r="60" spans="2:17" s="16" customFormat="1" x14ac:dyDescent="0.2">
      <c r="B60" s="7">
        <f t="shared" si="2"/>
        <v>97000000000059</v>
      </c>
      <c r="C60" s="3" t="str">
        <f>VLOOKUP($B60, [1]Main!$E$2:$G$1121, 2, FALSE)</f>
        <v>Module.Finance.Data.PersonBusinessTrip.Transaction</v>
      </c>
      <c r="D60" s="3" t="str">
        <f>VLOOKUP($B60, [1]Main!$E$2:$G$1121, 3, FALSE)</f>
        <v>BusinessTrip Request</v>
      </c>
      <c r="F60" s="17">
        <f t="shared" si="0"/>
        <v>97000000000059</v>
      </c>
      <c r="H60" s="4"/>
      <c r="I60" s="3" t="str">
        <f t="shared" si="3"/>
        <v>Execute</v>
      </c>
      <c r="J60" s="3" t="str">
        <f t="shared" si="1"/>
        <v>Execute</v>
      </c>
      <c r="K60" s="18" t="s">
        <v>20</v>
      </c>
      <c r="M60" s="6">
        <f t="shared" si="6"/>
        <v>256000000000059</v>
      </c>
      <c r="O60" s="15" t="str">
        <f t="shared" si="4"/>
        <v>PERFORM "SchSysConfig"."Func_TblAppObject_MenuAction_SET"(varSystemLoginSession, null, null, null, varInstitutionBranchID, varBaseCurrencyID, 97000000000059, 'Execute', 'Execute', 'BusinessTripRequest?var=1');</v>
      </c>
      <c r="P60" s="1"/>
      <c r="Q60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'97000000000059'::varchar,'key', 'Execute'::varchar,'caption', 'Execute'::varchar,'URLPath', 'BusinessTripRequest?var=1'::varchar)))::varchar;</v>
      </c>
    </row>
    <row r="61" spans="2:17" s="16" customFormat="1" x14ac:dyDescent="0.2">
      <c r="B61" s="7">
        <f t="shared" si="2"/>
        <v>97000000000060</v>
      </c>
      <c r="C61" s="3" t="str">
        <f>VLOOKUP($B61, [1]Main!$E$2:$G$1121, 2, FALSE)</f>
        <v>Module.Finance.Data.PersonBusinessTrip.Report.DataList</v>
      </c>
      <c r="D61" s="3" t="str">
        <f>VLOOKUP($B61, [1]Main!$E$2:$G$1121, 3, FALSE)</f>
        <v>Report BusinessTrip Request Summary</v>
      </c>
      <c r="F61" s="17">
        <f t="shared" si="0"/>
        <v>97000000000060</v>
      </c>
      <c r="H61" s="4"/>
      <c r="I61" s="3" t="str">
        <f t="shared" si="3"/>
        <v>Execute</v>
      </c>
      <c r="J61" s="3" t="str">
        <f t="shared" si="1"/>
        <v>ReportBusinessTripRequestSummary</v>
      </c>
      <c r="K61" s="18" t="s">
        <v>19</v>
      </c>
      <c r="M61" s="6">
        <f t="shared" si="6"/>
        <v>256000000000060</v>
      </c>
      <c r="O61" s="15" t="str">
        <f t="shared" si="4"/>
        <v>PERFORM "SchSysConfig"."Func_TblAppObject_MenuAction_SET"(varSystemLoginSession, null, null, null, varInstitutionBranchID, varBaseCurrencyID, 97000000000060, 'ReportBusinessTripRequestSummary', 'Execute', 'ReportBusinessTripRequestSummary');</v>
      </c>
      <c r="P61" s="1"/>
      <c r="Q61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'97000000000060'::varchar,'key', 'ReportBusinessTripRequestSummary'::varchar,'caption', 'Execute'::varchar,'URLPath', 'ReportBusinessTripRequestSummary'::varchar)))::varchar;</v>
      </c>
    </row>
    <row r="62" spans="2:17" s="16" customFormat="1" x14ac:dyDescent="0.2">
      <c r="B62" s="7">
        <f t="shared" si="2"/>
        <v>97000000000061</v>
      </c>
      <c r="C62" s="3" t="str">
        <f>VLOOKUP($B62, [1]Main!$E$2:$G$1121, 2, FALSE)</f>
        <v>Module.Finance.Data.PersonBusinessTripToPersonBusinessTripSettlement.Report.DataList</v>
      </c>
      <c r="D62" s="3" t="str">
        <f>VLOOKUP($B62, [1]Main!$E$2:$G$1121, 3, FALSE)</f>
        <v>Report BusinessTrip to BusinessTrip Settlement</v>
      </c>
      <c r="F62" s="17">
        <f t="shared" si="0"/>
        <v>97000000000061</v>
      </c>
      <c r="H62" s="4"/>
      <c r="I62" s="3" t="str">
        <f t="shared" si="3"/>
        <v>Execute</v>
      </c>
      <c r="J62" s="3" t="str">
        <f t="shared" si="1"/>
        <v>ReportBusinessTriptoBusinessTripSettlement</v>
      </c>
      <c r="K62" s="18" t="s">
        <v>52</v>
      </c>
      <c r="M62" s="6">
        <f t="shared" si="6"/>
        <v>256000000000061</v>
      </c>
      <c r="O62" s="15" t="str">
        <f t="shared" si="4"/>
        <v>PERFORM "SchSysConfig"."Func_TblAppObject_MenuAction_SET"(varSystemLoginSession, null, null, null, varInstitutionBranchID, varBaseCurrencyID, 97000000000061, 'ReportBusinessTriptoBusinessTripSettlement', 'Execute', 'ReportBusinessTripToBSF');</v>
      </c>
      <c r="P62" s="1"/>
      <c r="Q62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'97000000000061'::varchar,'key', 'ReportBusinessTriptoBusinessTripSettlement'::varchar,'caption', 'Execute'::varchar,'URLPath', 'ReportBusinessTripToBSF'::varchar)))::varchar;</v>
      </c>
    </row>
    <row r="63" spans="2:17" s="16" customFormat="1" x14ac:dyDescent="0.2">
      <c r="B63" s="7">
        <f t="shared" si="2"/>
        <v>97000000000062</v>
      </c>
      <c r="C63" s="3" t="str">
        <f>VLOOKUP($B63, [1]Main!$E$2:$G$1121, 2, FALSE)</f>
        <v>Module.Finance.Data.PersonBusinessTripSettlement.Transaction</v>
      </c>
      <c r="D63" s="3" t="str">
        <f>VLOOKUP($B63, [1]Main!$E$2:$G$1121, 3, FALSE)</f>
        <v>BusinessTrip Settlement</v>
      </c>
      <c r="F63" s="17">
        <f t="shared" si="0"/>
        <v>97000000000062</v>
      </c>
      <c r="H63" s="4"/>
      <c r="I63" s="3" t="str">
        <f t="shared" si="3"/>
        <v>Execute</v>
      </c>
      <c r="J63" s="3" t="str">
        <f t="shared" si="1"/>
        <v>Execute</v>
      </c>
      <c r="K63" s="18" t="s">
        <v>18</v>
      </c>
      <c r="M63" s="6">
        <f t="shared" si="6"/>
        <v>256000000000062</v>
      </c>
      <c r="O63" s="15" t="str">
        <f t="shared" si="4"/>
        <v>PERFORM "SchSysConfig"."Func_TblAppObject_MenuAction_SET"(varSystemLoginSession, null, null, null, varInstitutionBranchID, varBaseCurrencyID, 97000000000062, 'Execute', 'Execute', 'BusinessTripSettlement?var=1');</v>
      </c>
      <c r="P63" s="1"/>
      <c r="Q63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'97000000000062'::varchar,'key', 'Execute'::varchar,'caption', 'Execute'::varchar,'URLPath', 'BusinessTripSettlement?var=1'::varchar)))::varchar;</v>
      </c>
    </row>
    <row r="64" spans="2:17" s="16" customFormat="1" x14ac:dyDescent="0.2">
      <c r="B64" s="9">
        <f t="shared" si="2"/>
        <v>97000000000063</v>
      </c>
      <c r="C64" s="11" t="str">
        <f>VLOOKUP($B64, [1]Main!$E$2:$G$1121, 2, FALSE)</f>
        <v>Module.Finance.Data.PersonBusinessTripSettlement.Report.DataList</v>
      </c>
      <c r="D64" s="11" t="str">
        <f>VLOOKUP($B64, [1]Main!$E$2:$G$1121, 3, FALSE)</f>
        <v>Report BusinessTrip Settlement Summary</v>
      </c>
      <c r="F64" s="20">
        <f t="shared" si="0"/>
        <v>97000000000063</v>
      </c>
      <c r="H64" s="4"/>
      <c r="I64" s="3" t="str">
        <f t="shared" si="3"/>
        <v>Execute</v>
      </c>
      <c r="J64" s="3" t="str">
        <f t="shared" si="1"/>
        <v>ReportBusinessTripSettlementSummary</v>
      </c>
      <c r="K64" s="19" t="s">
        <v>17</v>
      </c>
      <c r="M64" s="6">
        <f t="shared" si="6"/>
        <v>256000000000063</v>
      </c>
      <c r="O64" s="15" t="str">
        <f t="shared" si="4"/>
        <v>PERFORM "SchSysConfig"."Func_TblAppObject_MenuAction_SET"(varSystemLoginSession, null, null, null, varInstitutionBranchID, varBaseCurrencyID, 97000000000063, 'ReportBusinessTripSettlementSummary', 'Execute', 'ReportBusinessTripSettlementSummary');</v>
      </c>
      <c r="P64" s="1"/>
      <c r="Q64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'97000000000063'::varchar,'key', 'ReportBusinessTripSettlementSummary'::varchar,'caption', 'Execute'::varchar,'URLPath', 'ReportBusinessTripSettlementSummary'::varchar)))::varchar;</v>
      </c>
    </row>
    <row r="65" spans="2:17" s="16" customFormat="1" x14ac:dyDescent="0.2">
      <c r="B65" s="7">
        <f t="shared" si="2"/>
        <v>97000000000064</v>
      </c>
      <c r="C65" s="3" t="str">
        <f>VLOOKUP($B65, [1]Main!$E$2:$G$1121, 2, FALSE)</f>
        <v>Module.SupplyChain.MasterData.Supplier.Transaction</v>
      </c>
      <c r="D65" s="3" t="str">
        <f>VLOOKUP($B65, [1]Main!$E$2:$G$1121, 3, FALSE)</f>
        <v>Supplier</v>
      </c>
      <c r="F65" s="17">
        <f t="shared" si="0"/>
        <v>97000000000064</v>
      </c>
      <c r="H65" s="4"/>
      <c r="I65" s="3" t="str">
        <f t="shared" ref="I65:I98" si="8">IF(EXACT(F65, ""), "", IF(EXACT(H65, ""), "Execute", H65))</f>
        <v>Execute</v>
      </c>
      <c r="J65" s="3" t="str">
        <f t="shared" si="1"/>
        <v>Execute</v>
      </c>
      <c r="K65" s="18" t="s">
        <v>69</v>
      </c>
      <c r="M65" s="6">
        <f t="shared" si="6"/>
        <v>256000000000064</v>
      </c>
      <c r="O65" s="15" t="str">
        <f t="shared" si="4"/>
        <v>PERFORM "SchSysConfig"."Func_TblAppObject_MenuAction_SET"(varSystemLoginSession, null, null, null, varInstitutionBranchID, varBaseCurrencyID, 97000000000064, 'Execute', 'Execute', 'Supplier?var=1');</v>
      </c>
      <c r="P65" s="1"/>
      <c r="Q65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'97000000000064'::varchar,'key', 'Execute'::varchar,'caption', 'Execute'::varchar,'URLPath', 'Supplier?var=1'::varchar)))::varchar;</v>
      </c>
    </row>
    <row r="66" spans="2:17" x14ac:dyDescent="0.2">
      <c r="B66" s="7">
        <f t="shared" si="2"/>
        <v>97000000000065</v>
      </c>
      <c r="C66" s="3" t="str">
        <f>VLOOKUP($B66, [1]Main!$E$2:$G$1121, 2, FALSE)</f>
        <v>Module.SupplyChain.MasterData.SupplierCategory.Transaction</v>
      </c>
      <c r="D66" s="3" t="str">
        <f>VLOOKUP($B66, [1]Main!$E$2:$G$1121, 3, FALSE)</f>
        <v>Supplier Category</v>
      </c>
      <c r="F66" s="17">
        <f t="shared" ref="F66:F98" si="9">IF(EXACT(B66, ""), F65, B66)</f>
        <v>97000000000065</v>
      </c>
      <c r="H66" s="4"/>
      <c r="I66" s="3" t="str">
        <f t="shared" si="8"/>
        <v>Execute</v>
      </c>
      <c r="J66" s="3" t="str">
        <f t="shared" ref="J66:J89" si="10">IF(EXACT(F66, ""), "",
SUBSTITUTE(SUBSTITUTE(IF(ISNUMBER(SEARCH(".Report.", C66)), D66, IF(EXACT(H66, ""), "Execute", H66)), " ", ""), "&amp;", "")
)</f>
        <v>Execute</v>
      </c>
      <c r="K66" s="18" t="s">
        <v>70</v>
      </c>
      <c r="M66" s="6">
        <f t="shared" si="6"/>
        <v>256000000000065</v>
      </c>
      <c r="O66" s="15" t="str">
        <f t="shared" si="4"/>
        <v>PERFORM "SchSysConfig"."Func_TblAppObject_MenuAction_SET"(varSystemLoginSession, null, null, null, varInstitutionBranchID, varBaseCurrencyID, 97000000000065, 'Execute', 'Execute', 'CategorySupplier?var=1');</v>
      </c>
      <c r="Q66" s="1" t="str">
        <f t="shared" si="5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'97000000000065'::varchar,'key', 'Execute'::varchar,'caption', 'Execute'::varchar,'URLPath', 'CategorySupplier?var=1'::varchar)))::varchar;</v>
      </c>
    </row>
    <row r="67" spans="2:17" x14ac:dyDescent="0.2">
      <c r="B67" s="7">
        <f t="shared" ref="B67:B119" si="11">IF(ISNUMBER(B66), B66+1, 97000000000001)</f>
        <v>97000000000066</v>
      </c>
      <c r="C67" s="3" t="str">
        <f>VLOOKUP($B67, [1]Main!$E$2:$G$1121, 2, FALSE)</f>
        <v>Module.SupplyChain.MasterData.SupplierSubCategory.Transaction</v>
      </c>
      <c r="D67" s="3" t="str">
        <f>VLOOKUP($B67, [1]Main!$E$2:$G$1121, 3, FALSE)</f>
        <v>Supplier Sub Category</v>
      </c>
      <c r="F67" s="17">
        <f t="shared" si="9"/>
        <v>97000000000066</v>
      </c>
      <c r="H67" s="4"/>
      <c r="I67" s="3" t="str">
        <f t="shared" si="8"/>
        <v>Execute</v>
      </c>
      <c r="J67" s="3" t="str">
        <f t="shared" si="10"/>
        <v>Execute</v>
      </c>
      <c r="K67" s="18" t="s">
        <v>71</v>
      </c>
      <c r="M67" s="6">
        <f t="shared" si="6"/>
        <v>256000000000066</v>
      </c>
      <c r="O67" s="15" t="str">
        <f t="shared" ref="O67:O116" si="12">CONCATENATE("PERFORM ""SchSysConfig"".""Func_TblAppObject_MenuAction_SET""(varSystemLoginSession, null, null, null, varInstitutionBranchID, varBaseCurrencyID, ", IF(EXACT($F67, ""), "null", CONCATENATE($F67)), ", ", IF(EXACT($F67, ""),"null", CONCATENATE("'", $J67, "'")), ", ", IF(EXACT($F67, ""), "null", CONCATENATE("'", $I67, "'")), ", ", IF(EXACT($K67, ""), "null", CONCATENATE("'", $K67, "'")), ");")</f>
        <v>PERFORM "SchSysConfig"."Func_TblAppObject_MenuAction_SET"(varSystemLoginSession, null, null, null, varInstitutionBranchID, varBaseCurrencyID, 97000000000066, 'Execute', 'Execute', 'SpecializationSupplier?var=1');</v>
      </c>
      <c r="Q67" s="1" t="str">
        <f t="shared" ref="Q67:Q116" si="13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"'menu_RefID', ", IF(EXACT($F67, ""), "null", CONCATENATE("'", SUBSTITUTE($F67, "'", "\'"), "'")), "::varchar,",
"'key', ", IF(EXACT($J67, ""), "null", CONCATENATE("'", SUBSTITUTE($J67, "'", "\'"), "'")), "::varchar,",
"'caption', ", IF(EXACT($I67, ""), "null", CONCATENATE("'", SUBSTITUTE($I67, "'", "\'"), "'")), "::varchar,",
"'URLPath', ", IF(EXACT($K67, ""), "null", CONCATENATE("'", SUBSTITUTE($K67,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'97000000000066'::varchar,'key', 'Execute'::varchar,'caption', 'Execute'::varchar,'URLPath', 'SpecializationSupplier?var=1'::varchar)))::varchar;</v>
      </c>
    </row>
    <row r="68" spans="2:17" x14ac:dyDescent="0.2">
      <c r="B68" s="7">
        <f t="shared" si="11"/>
        <v>97000000000067</v>
      </c>
      <c r="C68" s="3" t="str">
        <f>VLOOKUP($B68, [1]Main!$E$2:$G$1121, 2, FALSE)</f>
        <v>Module.SupplyChain.Data.PurchaseRequisition.Transaction</v>
      </c>
      <c r="D68" s="3" t="str">
        <f>VLOOKUP($B68, [1]Main!$E$2:$G$1121, 3, FALSE)</f>
        <v>Purchase Requisition</v>
      </c>
      <c r="F68" s="17">
        <f t="shared" si="9"/>
        <v>97000000000067</v>
      </c>
      <c r="H68" s="4"/>
      <c r="I68" s="3" t="str">
        <f t="shared" si="8"/>
        <v>Execute</v>
      </c>
      <c r="J68" s="3" t="str">
        <f t="shared" si="10"/>
        <v>Execute</v>
      </c>
      <c r="K68" s="18" t="s">
        <v>23</v>
      </c>
      <c r="M68" s="6">
        <f t="shared" ref="M68:M98" si="14">IF(ISNUMBER(M67), M67+1, 256000000000001)</f>
        <v>256000000000067</v>
      </c>
      <c r="O68" s="15" t="str">
        <f t="shared" si="12"/>
        <v>PERFORM "SchSysConfig"."Func_TblAppObject_MenuAction_SET"(varSystemLoginSession, null, null, null, varInstitutionBranchID, varBaseCurrencyID, 97000000000067, 'Execute', 'Execute', 'PurchaseRequisition?var=1');</v>
      </c>
      <c r="Q68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'97000000000067'::varchar,'key', 'Execute'::varchar,'caption', 'Execute'::varchar,'URLPath', 'PurchaseRequisition?var=1'::varchar)))::varchar;</v>
      </c>
    </row>
    <row r="69" spans="2:17" x14ac:dyDescent="0.2">
      <c r="B69" s="7">
        <f t="shared" si="11"/>
        <v>97000000000068</v>
      </c>
      <c r="C69" s="3" t="str">
        <f>VLOOKUP($B69, [1]Main!$E$2:$G$1121, 2, FALSE)</f>
        <v>Module.SupplyChain.Data.PurchaseRequisition.Report.DataList</v>
      </c>
      <c r="D69" s="3" t="str">
        <f>VLOOKUP($B69, [1]Main!$E$2:$G$1121, 3, FALSE)</f>
        <v>Report Purchase Requisition Summary</v>
      </c>
      <c r="F69" s="17">
        <f t="shared" si="9"/>
        <v>97000000000068</v>
      </c>
      <c r="H69" s="4"/>
      <c r="I69" s="3" t="str">
        <f t="shared" si="8"/>
        <v>Execute</v>
      </c>
      <c r="J69" s="3" t="str">
        <f t="shared" si="10"/>
        <v>ReportPurchaseRequisitionSummary</v>
      </c>
      <c r="K69" s="18" t="s">
        <v>21</v>
      </c>
      <c r="M69" s="6">
        <f t="shared" si="14"/>
        <v>256000000000068</v>
      </c>
      <c r="O69" s="15" t="str">
        <f t="shared" si="12"/>
        <v>PERFORM "SchSysConfig"."Func_TblAppObject_MenuAction_SET"(varSystemLoginSession, null, null, null, varInstitutionBranchID, varBaseCurrencyID, 97000000000068, 'ReportPurchaseRequisitionSummary', 'Execute', 'ReportPurchaseRequisitionSummary');</v>
      </c>
      <c r="Q69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'97000000000068'::varchar,'key', 'ReportPurchaseRequisitionSummary'::varchar,'caption', 'Execute'::varchar,'URLPath', 'ReportPurchaseRequisitionSummary'::varchar)))::varchar;</v>
      </c>
    </row>
    <row r="70" spans="2:17" x14ac:dyDescent="0.2">
      <c r="B70" s="7">
        <f t="shared" si="11"/>
        <v>97000000000069</v>
      </c>
      <c r="C70" s="3" t="str">
        <f>VLOOKUP($B70, [1]Main!$E$2:$G$1121, 2, FALSE)</f>
        <v>Module.SupplyChain.Data.PurchaseRequisitionToPurchaseOrder.Report.DataList</v>
      </c>
      <c r="D70" s="3" t="str">
        <f>VLOOKUP($B70, [1]Main!$E$2:$G$1121, 3, FALSE)</f>
        <v>Report Purchase Requisition To Purchase Order</v>
      </c>
      <c r="F70" s="17">
        <f t="shared" si="9"/>
        <v>97000000000069</v>
      </c>
      <c r="H70" s="4"/>
      <c r="I70" s="3" t="str">
        <f t="shared" si="8"/>
        <v>Execute</v>
      </c>
      <c r="J70" s="3" t="str">
        <f t="shared" si="10"/>
        <v>ReportPurchaseRequisitionToPurchaseOrder</v>
      </c>
      <c r="K70" s="18" t="s">
        <v>22</v>
      </c>
      <c r="M70" s="6">
        <f t="shared" si="14"/>
        <v>256000000000069</v>
      </c>
      <c r="O70" s="15" t="str">
        <f t="shared" si="12"/>
        <v>PERFORM "SchSysConfig"."Func_TblAppObject_MenuAction_SET"(varSystemLoginSession, null, null, null, varInstitutionBranchID, varBaseCurrencyID, 97000000000069, 'ReportPurchaseRequisitionToPurchaseOrder', 'Execute', 'ReportPurchaseRequisitionToPurchaseOrder');</v>
      </c>
      <c r="Q70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'97000000000069'::varchar,'key', 'ReportPurchaseRequisitionToPurchaseOrder'::varchar,'caption', 'Execute'::varchar,'URLPath', 'ReportPurchaseRequisitionToPurchaseOrder'::varchar)))::varchar;</v>
      </c>
    </row>
    <row r="71" spans="2:17" x14ac:dyDescent="0.2">
      <c r="B71" s="7">
        <f t="shared" si="11"/>
        <v>97000000000070</v>
      </c>
      <c r="C71" s="3" t="str">
        <f>VLOOKUP($B71, [1]Main!$E$2:$G$1121, 2, FALSE)</f>
        <v>Module.SupplyChain.Data.PurchaseOrder.Transaction</v>
      </c>
      <c r="D71" s="3" t="str">
        <f>VLOOKUP($B71, [1]Main!$E$2:$G$1121, 3, FALSE)</f>
        <v>Purchase Order</v>
      </c>
      <c r="F71" s="17">
        <f t="shared" si="9"/>
        <v>97000000000070</v>
      </c>
      <c r="H71" s="4"/>
      <c r="I71" s="3" t="str">
        <f t="shared" si="8"/>
        <v>Execute</v>
      </c>
      <c r="J71" s="3" t="str">
        <f t="shared" si="10"/>
        <v>Execute</v>
      </c>
      <c r="K71" s="18" t="s">
        <v>25</v>
      </c>
      <c r="M71" s="6">
        <f t="shared" si="14"/>
        <v>256000000000070</v>
      </c>
      <c r="O71" s="15" t="str">
        <f t="shared" si="12"/>
        <v>PERFORM "SchSysConfig"."Func_TblAppObject_MenuAction_SET"(varSystemLoginSession, null, null, null, varInstitutionBranchID, varBaseCurrencyID, 97000000000070, 'Execute', 'Execute', 'PurchaseOrder?var=1');</v>
      </c>
      <c r="Q71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'97000000000070'::varchar,'key', 'Execute'::varchar,'caption', 'Execute'::varchar,'URLPath', 'PurchaseOrder?var=1'::varchar)))::varchar;</v>
      </c>
    </row>
    <row r="72" spans="2:17" x14ac:dyDescent="0.2">
      <c r="B72" s="7">
        <f t="shared" si="11"/>
        <v>97000000000071</v>
      </c>
      <c r="C72" s="3" t="str">
        <f>VLOOKUP($B72, [1]Main!$E$2:$G$1121, 2, FALSE)</f>
        <v>Module.SupplyChain.Data.PurchaseOrder.Report.DataList</v>
      </c>
      <c r="D72" s="3" t="str">
        <f>VLOOKUP($B72, [1]Main!$E$2:$G$1121, 3, FALSE)</f>
        <v>Report Purchase Order Summary</v>
      </c>
      <c r="F72" s="17">
        <f t="shared" si="9"/>
        <v>97000000000071</v>
      </c>
      <c r="G72" s="16"/>
      <c r="H72" s="4"/>
      <c r="I72" s="3" t="str">
        <f t="shared" si="8"/>
        <v>Execute</v>
      </c>
      <c r="J72" s="3" t="str">
        <f t="shared" si="10"/>
        <v>ReportPurchaseOrderSummary</v>
      </c>
      <c r="K72" s="18" t="s">
        <v>24</v>
      </c>
      <c r="M72" s="6">
        <f t="shared" si="14"/>
        <v>256000000000071</v>
      </c>
      <c r="O72" s="15" t="str">
        <f t="shared" si="12"/>
        <v>PERFORM "SchSysConfig"."Func_TblAppObject_MenuAction_SET"(varSystemLoginSession, null, null, null, varInstitutionBranchID, varBaseCurrencyID, 97000000000071, 'ReportPurchaseOrderSummary', 'Execute', 'ReportPurchaseOrderSummary');</v>
      </c>
      <c r="Q72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'97000000000071'::varchar,'key', 'ReportPurchaseOrderSummary'::varchar,'caption', 'Execute'::varchar,'URLPath', 'ReportPurchaseOrderSummary'::varchar)))::varchar;</v>
      </c>
    </row>
    <row r="73" spans="2:17" x14ac:dyDescent="0.2">
      <c r="B73" s="9">
        <f t="shared" si="11"/>
        <v>97000000000072</v>
      </c>
      <c r="C73" s="11" t="str">
        <f>VLOOKUP($B73, [1]Main!$E$2:$G$1121, 2, FALSE)</f>
        <v>Module.SupplyChain.Data.PurchaseOrderToPaymentInstruction.Report.DataList</v>
      </c>
      <c r="D73" s="11" t="str">
        <f>VLOOKUP($B73, [1]Main!$E$2:$G$1121, 3, FALSE)</f>
        <v>Report Purchase Order to Account Payable Summary</v>
      </c>
      <c r="F73" s="20">
        <f t="shared" si="9"/>
        <v>97000000000072</v>
      </c>
      <c r="G73" s="16"/>
      <c r="H73" s="4"/>
      <c r="I73" s="3" t="str">
        <f t="shared" si="8"/>
        <v>Execute</v>
      </c>
      <c r="J73" s="3" t="str">
        <f t="shared" si="10"/>
        <v>ReportPurchaseOrdertoAccountPayableSummary</v>
      </c>
      <c r="K73" s="19" t="s">
        <v>41</v>
      </c>
      <c r="M73" s="6">
        <f t="shared" si="14"/>
        <v>256000000000072</v>
      </c>
      <c r="O73" s="15" t="str">
        <f t="shared" si="12"/>
        <v>PERFORM "SchSysConfig"."Func_TblAppObject_MenuAction_SET"(varSystemLoginSession, null, null, null, varInstitutionBranchID, varBaseCurrencyID, 97000000000072, 'ReportPurchaseOrdertoAccountPayableSummary', 'Execute', 'ReportPOtoAP');</v>
      </c>
      <c r="Q73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'97000000000072'::varchar,'key', 'ReportPurchaseOrdertoAccountPayableSummary'::varchar,'caption', 'Execute'::varchar,'URLPath', 'ReportPOtoAP'::varchar)))::varchar;</v>
      </c>
    </row>
    <row r="74" spans="2:17" x14ac:dyDescent="0.2">
      <c r="B74" s="7">
        <f t="shared" si="11"/>
        <v>97000000000073</v>
      </c>
      <c r="C74" s="3" t="str">
        <f>VLOOKUP($B74, [1]Main!$E$2:$G$1121, 2, FALSE)</f>
        <v>Module.General.MasterData.Bank.Transaction</v>
      </c>
      <c r="D74" s="3" t="str">
        <f>VLOOKUP($B74, [1]Main!$E$2:$G$1121, 3, FALSE)</f>
        <v>Bank</v>
      </c>
      <c r="F74" s="17">
        <f t="shared" si="9"/>
        <v>97000000000073</v>
      </c>
      <c r="H74" s="4"/>
      <c r="I74" s="3" t="str">
        <f t="shared" si="8"/>
        <v>Execute</v>
      </c>
      <c r="J74" s="3" t="str">
        <f t="shared" si="10"/>
        <v>Execute</v>
      </c>
      <c r="K74" s="18"/>
      <c r="M74" s="6">
        <f t="shared" si="14"/>
        <v>256000000000073</v>
      </c>
      <c r="O74" s="15" t="str">
        <f t="shared" si="12"/>
        <v>PERFORM "SchSysConfig"."Func_TblAppObject_MenuAction_SET"(varSystemLoginSession, null, null, null, varInstitutionBranchID, varBaseCurrencyID, 97000000000073, 'Execute', 'Execute', null);</v>
      </c>
      <c r="Q74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'97000000000073'::varchar,'key', 'Execute'::varchar,'caption', 'Execute'::varchar,'URLPath', null::varchar)))::varchar;</v>
      </c>
    </row>
    <row r="75" spans="2:17" x14ac:dyDescent="0.2">
      <c r="B75" s="7">
        <f t="shared" si="11"/>
        <v>97000000000074</v>
      </c>
      <c r="C75" s="3" t="str">
        <f>VLOOKUP($B75, [1]Main!$E$2:$G$1121, 2, FALSE)</f>
        <v>Module.General.MasterData.BankAccount.Transaction</v>
      </c>
      <c r="D75" s="3" t="str">
        <f>VLOOKUP($B75, [1]Main!$E$2:$G$1121, 3, FALSE)</f>
        <v>Bank Account</v>
      </c>
      <c r="F75" s="17">
        <f t="shared" si="9"/>
        <v>97000000000074</v>
      </c>
      <c r="H75" s="4"/>
      <c r="I75" s="3" t="str">
        <f t="shared" si="8"/>
        <v>Execute</v>
      </c>
      <c r="J75" s="3" t="str">
        <f t="shared" si="10"/>
        <v>Execute</v>
      </c>
      <c r="K75" s="18"/>
      <c r="M75" s="6">
        <f t="shared" si="14"/>
        <v>256000000000074</v>
      </c>
      <c r="O75" s="15" t="str">
        <f t="shared" si="12"/>
        <v>PERFORM "SchSysConfig"."Func_TblAppObject_MenuAction_SET"(varSystemLoginSession, null, null, null, varInstitutionBranchID, varBaseCurrencyID, 97000000000074, 'Execute', 'Execute', null);</v>
      </c>
      <c r="Q75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'97000000000074'::varchar,'key', 'Execute'::varchar,'caption', 'Execute'::varchar,'URLPath', null::varchar)))::varchar;</v>
      </c>
    </row>
    <row r="76" spans="2:17" x14ac:dyDescent="0.2">
      <c r="B76" s="7">
        <f t="shared" si="11"/>
        <v>97000000000075</v>
      </c>
      <c r="C76" s="3" t="str">
        <f>VLOOKUP($B76, [1]Main!$E$2:$G$1121, 2, FALSE)</f>
        <v>Module.General.MasterData.Currency.Transaction</v>
      </c>
      <c r="D76" s="3" t="str">
        <f>VLOOKUP($B76, [1]Main!$E$2:$G$1121, 3, FALSE)</f>
        <v>Currency</v>
      </c>
      <c r="F76" s="17">
        <f t="shared" si="9"/>
        <v>97000000000075</v>
      </c>
      <c r="H76" s="4"/>
      <c r="I76" s="3" t="str">
        <f t="shared" si="8"/>
        <v>Execute</v>
      </c>
      <c r="J76" s="3" t="str">
        <f t="shared" si="10"/>
        <v>Execute</v>
      </c>
      <c r="K76" s="18"/>
      <c r="M76" s="6">
        <f t="shared" si="14"/>
        <v>256000000000075</v>
      </c>
      <c r="O76" s="15" t="str">
        <f t="shared" si="12"/>
        <v>PERFORM "SchSysConfig"."Func_TblAppObject_MenuAction_SET"(varSystemLoginSession, null, null, null, varInstitutionBranchID, varBaseCurrencyID, 97000000000075, 'Execute', 'Execute', null);</v>
      </c>
      <c r="Q76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'97000000000075'::varchar,'key', 'Execute'::varchar,'caption', 'Execute'::varchar,'URLPath', null::varchar)))::varchar;</v>
      </c>
    </row>
    <row r="77" spans="2:17" x14ac:dyDescent="0.2">
      <c r="B77" s="7">
        <f t="shared" si="11"/>
        <v>97000000000076</v>
      </c>
      <c r="C77" s="3" t="str">
        <f>VLOOKUP($B77, [1]Main!$E$2:$G$1121, 2, FALSE)</f>
        <v>Module.General.MasterData.CurrencyExchangeRate.Transaction</v>
      </c>
      <c r="D77" s="3" t="str">
        <f>VLOOKUP($B77, [1]Main!$E$2:$G$1121, 3, FALSE)</f>
        <v>Exchange Rate</v>
      </c>
      <c r="F77" s="17">
        <f t="shared" si="9"/>
        <v>97000000000076</v>
      </c>
      <c r="H77" s="4"/>
      <c r="I77" s="3" t="str">
        <f t="shared" si="8"/>
        <v>Execute</v>
      </c>
      <c r="J77" s="3" t="str">
        <f t="shared" si="10"/>
        <v>Execute</v>
      </c>
      <c r="K77" s="18"/>
      <c r="M77" s="6">
        <f t="shared" si="14"/>
        <v>256000000000076</v>
      </c>
      <c r="O77" s="15" t="str">
        <f t="shared" si="12"/>
        <v>PERFORM "SchSysConfig"."Func_TblAppObject_MenuAction_SET"(varSystemLoginSession, null, null, null, varInstitutionBranchID, varBaseCurrencyID, 97000000000076, 'Execute', 'Execute', null);</v>
      </c>
      <c r="Q77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'97000000000076'::varchar,'key', 'Execute'::varchar,'caption', 'Execute'::varchar,'URLPath', null::varchar)))::varchar;</v>
      </c>
    </row>
    <row r="78" spans="2:17" x14ac:dyDescent="0.2">
      <c r="B78" s="7">
        <f t="shared" si="11"/>
        <v>97000000000077</v>
      </c>
      <c r="C78" s="3" t="str">
        <f>VLOOKUP($B78, [1]Main!$E$2:$G$1121, 2, FALSE)</f>
        <v>Module.General.MasterData.CurrencyExchangeRate.Report.DataList</v>
      </c>
      <c r="D78" s="3" t="str">
        <f>VLOOKUP($B78, [1]Main!$E$2:$G$1121, 3, FALSE)</f>
        <v>Exchange Rate Summary</v>
      </c>
      <c r="F78" s="17">
        <f t="shared" si="9"/>
        <v>97000000000077</v>
      </c>
      <c r="H78" s="4"/>
      <c r="I78" s="3" t="str">
        <f t="shared" si="8"/>
        <v>Execute</v>
      </c>
      <c r="J78" s="3" t="str">
        <f t="shared" si="10"/>
        <v>ExchangeRateSummary</v>
      </c>
      <c r="K78" s="18"/>
      <c r="M78" s="6">
        <f t="shared" si="14"/>
        <v>256000000000077</v>
      </c>
      <c r="O78" s="15" t="str">
        <f t="shared" si="12"/>
        <v>PERFORM "SchSysConfig"."Func_TblAppObject_MenuAction_SET"(varSystemLoginSession, null, null, null, varInstitutionBranchID, varBaseCurrencyID, 97000000000077, 'ExchangeRateSummary', 'Execute', null);</v>
      </c>
      <c r="Q78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'97000000000077'::varchar,'key', 'ExchangeRateSummary'::varchar,'caption', 'Execute'::varchar,'URLPath', null::varchar)))::varchar;</v>
      </c>
    </row>
    <row r="79" spans="2:17" x14ac:dyDescent="0.2">
      <c r="B79" s="7">
        <f t="shared" si="11"/>
        <v>97000000000078</v>
      </c>
      <c r="C79" s="3" t="str">
        <f>VLOOKUP($B79, [1]Main!$E$2:$G$1121, 2, FALSE)</f>
        <v>Module.General.MasterData.PaymentTerm.Transaction</v>
      </c>
      <c r="D79" s="3" t="str">
        <f>VLOOKUP($B79, [1]Main!$E$2:$G$1121, 3, FALSE)</f>
        <v>Payment Term</v>
      </c>
      <c r="F79" s="17">
        <f t="shared" si="9"/>
        <v>97000000000078</v>
      </c>
      <c r="H79" s="4"/>
      <c r="I79" s="3" t="str">
        <f t="shared" si="8"/>
        <v>Execute</v>
      </c>
      <c r="J79" s="3" t="str">
        <f t="shared" si="10"/>
        <v>Execute</v>
      </c>
      <c r="K79" s="18"/>
      <c r="M79" s="6">
        <f t="shared" si="14"/>
        <v>256000000000078</v>
      </c>
      <c r="O79" s="15" t="str">
        <f t="shared" si="12"/>
        <v>PERFORM "SchSysConfig"."Func_TblAppObject_MenuAction_SET"(varSystemLoginSession, null, null, null, varInstitutionBranchID, varBaseCurrencyID, 97000000000078, 'Execute', 'Execute', null);</v>
      </c>
      <c r="Q79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'97000000000078'::varchar,'key', 'Execute'::varchar,'caption', 'Execute'::varchar,'URLPath', null::varchar)))::varchar;</v>
      </c>
    </row>
    <row r="80" spans="2:17" x14ac:dyDescent="0.2">
      <c r="B80" s="7">
        <f t="shared" si="11"/>
        <v>97000000000079</v>
      </c>
      <c r="C80" s="3" t="str">
        <f>VLOOKUP($B80, [1]Main!$E$2:$G$1121, 2, FALSE)</f>
        <v>Module.General.MasterData.Period.Transaction</v>
      </c>
      <c r="D80" s="3" t="str">
        <f>VLOOKUP($B80, [1]Main!$E$2:$G$1121, 3, FALSE)</f>
        <v>Period</v>
      </c>
      <c r="F80" s="17">
        <f t="shared" si="9"/>
        <v>97000000000079</v>
      </c>
      <c r="H80" s="4"/>
      <c r="I80" s="3" t="str">
        <f t="shared" si="8"/>
        <v>Execute</v>
      </c>
      <c r="J80" s="3" t="str">
        <f t="shared" si="10"/>
        <v>Execute</v>
      </c>
      <c r="K80" s="18"/>
      <c r="M80" s="6">
        <f t="shared" si="14"/>
        <v>256000000000079</v>
      </c>
      <c r="O80" s="15" t="str">
        <f t="shared" si="12"/>
        <v>PERFORM "SchSysConfig"."Func_TblAppObject_MenuAction_SET"(varSystemLoginSession, null, null, null, varInstitutionBranchID, varBaseCurrencyID, 97000000000079, 'Execute', 'Execute', null);</v>
      </c>
      <c r="Q80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'97000000000079'::varchar,'key', 'Execute'::varchar,'caption', 'Execute'::varchar,'URLPath', null::varchar)))::varchar;</v>
      </c>
    </row>
    <row r="81" spans="2:17" x14ac:dyDescent="0.2">
      <c r="B81" s="7">
        <f t="shared" si="11"/>
        <v>97000000000080</v>
      </c>
      <c r="C81" s="3" t="str">
        <f>VLOOKUP($B81, [1]Main!$E$2:$G$1121, 2, FALSE)</f>
        <v>Module.Accounting.MasterData.AssetCategory.Transaction</v>
      </c>
      <c r="D81" s="3" t="str">
        <f>VLOOKUP($B81, [1]Main!$E$2:$G$1121, 3, FALSE)</f>
        <v>Asset Category</v>
      </c>
      <c r="F81" s="17">
        <f t="shared" si="9"/>
        <v>97000000000080</v>
      </c>
      <c r="H81" s="4"/>
      <c r="I81" s="3" t="str">
        <f t="shared" si="8"/>
        <v>Execute</v>
      </c>
      <c r="J81" s="3" t="str">
        <f t="shared" si="10"/>
        <v>Execute</v>
      </c>
      <c r="K81" s="18"/>
      <c r="M81" s="6">
        <f t="shared" si="14"/>
        <v>256000000000080</v>
      </c>
      <c r="O81" s="15" t="str">
        <f t="shared" si="12"/>
        <v>PERFORM "SchSysConfig"."Func_TblAppObject_MenuAction_SET"(varSystemLoginSession, null, null, null, varInstitutionBranchID, varBaseCurrencyID, 97000000000080, 'Execute', 'Execute', null);</v>
      </c>
      <c r="Q81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'97000000000080'::varchar,'key', 'Execute'::varchar,'caption', 'Execute'::varchar,'URLPath', null::varchar)))::varchar;</v>
      </c>
    </row>
    <row r="82" spans="2:17" x14ac:dyDescent="0.2">
      <c r="B82" s="7">
        <f t="shared" si="11"/>
        <v>97000000000081</v>
      </c>
      <c r="C82" s="3" t="str">
        <f>VLOOKUP($B82, [1]Main!$E$2:$G$1121, 2, FALSE)</f>
        <v>Module.Accounting.MasterData.ChartOfAccount.Transaction</v>
      </c>
      <c r="D82" s="3" t="str">
        <f>VLOOKUP($B82, [1]Main!$E$2:$G$1121, 3, FALSE)</f>
        <v>Chart of Account</v>
      </c>
      <c r="F82" s="17">
        <f t="shared" si="9"/>
        <v>97000000000081</v>
      </c>
      <c r="H82" s="4"/>
      <c r="I82" s="3" t="str">
        <f t="shared" si="8"/>
        <v>Execute</v>
      </c>
      <c r="J82" s="3" t="str">
        <f t="shared" si="10"/>
        <v>Execute</v>
      </c>
      <c r="K82" s="18"/>
      <c r="M82" s="6">
        <f t="shared" si="14"/>
        <v>256000000000081</v>
      </c>
      <c r="O82" s="15" t="str">
        <f t="shared" si="12"/>
        <v>PERFORM "SchSysConfig"."Func_TblAppObject_MenuAction_SET"(varSystemLoginSession, null, null, null, varInstitutionBranchID, varBaseCurrencyID, 97000000000081, 'Execute', 'Execute', null);</v>
      </c>
      <c r="Q82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'97000000000081'::varchar,'key', 'Execute'::varchar,'caption', 'Execute'::varchar,'URLPath', null::varchar)))::varchar;</v>
      </c>
    </row>
    <row r="83" spans="2:17" x14ac:dyDescent="0.2">
      <c r="B83" s="7">
        <f t="shared" si="11"/>
        <v>97000000000082</v>
      </c>
      <c r="C83" s="3" t="str">
        <f>VLOOKUP($B83, [1]Main!$E$2:$G$1121, 2, FALSE)</f>
        <v>Module.Accounting.MasterData.DepreciationMethod.Transaction</v>
      </c>
      <c r="D83" s="3" t="str">
        <f>VLOOKUP($B83, [1]Main!$E$2:$G$1121, 3, FALSE)</f>
        <v>Depreciation Method</v>
      </c>
      <c r="F83" s="17">
        <f t="shared" si="9"/>
        <v>97000000000082</v>
      </c>
      <c r="H83" s="4"/>
      <c r="I83" s="3" t="str">
        <f t="shared" si="8"/>
        <v>Execute</v>
      </c>
      <c r="J83" s="3" t="str">
        <f t="shared" si="10"/>
        <v>Execute</v>
      </c>
      <c r="K83" s="18"/>
      <c r="M83" s="6">
        <f t="shared" si="14"/>
        <v>256000000000082</v>
      </c>
      <c r="O83" s="15" t="str">
        <f t="shared" si="12"/>
        <v>PERFORM "SchSysConfig"."Func_TblAppObject_MenuAction_SET"(varSystemLoginSession, null, null, null, varInstitutionBranchID, varBaseCurrencyID, 97000000000082, 'Execute', 'Execute', null);</v>
      </c>
      <c r="Q83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'97000000000082'::varchar,'key', 'Execute'::varchar,'caption', 'Execute'::varchar,'URLPath', null::varchar)))::varchar;</v>
      </c>
    </row>
    <row r="84" spans="2:17" x14ac:dyDescent="0.2">
      <c r="B84" s="7">
        <f t="shared" si="11"/>
        <v>97000000000083</v>
      </c>
      <c r="C84" s="3" t="str">
        <f>VLOOKUP($B84, [1]Main!$E$2:$G$1121, 2, FALSE)</f>
        <v>Module.Accounting.MasterData.DepreciationRateYears.Transaction</v>
      </c>
      <c r="D84" s="3" t="str">
        <f>VLOOKUP($B84, [1]Main!$E$2:$G$1121, 3, FALSE)</f>
        <v>Depreciation Rate Years</v>
      </c>
      <c r="F84" s="17">
        <f t="shared" si="9"/>
        <v>97000000000083</v>
      </c>
      <c r="H84" s="4"/>
      <c r="I84" s="3" t="str">
        <f t="shared" si="8"/>
        <v>Execute</v>
      </c>
      <c r="J84" s="3" t="str">
        <f t="shared" si="10"/>
        <v>Execute</v>
      </c>
      <c r="K84" s="18"/>
      <c r="M84" s="6">
        <f t="shared" si="14"/>
        <v>256000000000083</v>
      </c>
      <c r="O84" s="15" t="str">
        <f t="shared" si="12"/>
        <v>PERFORM "SchSysConfig"."Func_TblAppObject_MenuAction_SET"(varSystemLoginSession, null, null, null, varInstitutionBranchID, varBaseCurrencyID, 97000000000083, 'Execute', 'Execute', null);</v>
      </c>
      <c r="Q84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'97000000000083'::varchar,'key', 'Execute'::varchar,'caption', 'Execute'::varchar,'URLPath', null::varchar)))::varchar;</v>
      </c>
    </row>
    <row r="85" spans="2:17" x14ac:dyDescent="0.2">
      <c r="B85" s="7">
        <f t="shared" si="11"/>
        <v>97000000000084</v>
      </c>
      <c r="C85" s="3" t="str">
        <f>VLOOKUP($B85, [1]Main!$E$2:$G$1121, 2, FALSE)</f>
        <v>Module.Taxation.MasterData.ValueAddedTax.Transaction</v>
      </c>
      <c r="D85" s="3" t="str">
        <f>VLOOKUP($B85, [1]Main!$E$2:$G$1121, 3, FALSE)</f>
        <v>Value Added Tax</v>
      </c>
      <c r="F85" s="17">
        <f t="shared" si="9"/>
        <v>97000000000084</v>
      </c>
      <c r="H85" s="4"/>
      <c r="I85" s="3" t="str">
        <f t="shared" si="8"/>
        <v>Execute</v>
      </c>
      <c r="J85" s="3" t="str">
        <f t="shared" si="10"/>
        <v>Execute</v>
      </c>
      <c r="K85" s="18"/>
      <c r="M85" s="6">
        <f t="shared" si="14"/>
        <v>256000000000084</v>
      </c>
      <c r="O85" s="15" t="str">
        <f t="shared" si="12"/>
        <v>PERFORM "SchSysConfig"."Func_TblAppObject_MenuAction_SET"(varSystemLoginSession, null, null, null, varInstitutionBranchID, varBaseCurrencyID, 97000000000084, 'Execute', 'Execute', null);</v>
      </c>
      <c r="Q85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'97000000000084'::varchar,'key', 'Execute'::varchar,'caption', 'Execute'::varchar,'URLPath', null::varchar)))::varchar;</v>
      </c>
    </row>
    <row r="86" spans="2:17" x14ac:dyDescent="0.2">
      <c r="B86" s="7">
        <f t="shared" si="11"/>
        <v>97000000000085</v>
      </c>
      <c r="C86" s="3" t="str">
        <f>VLOOKUP($B86, [1]Main!$E$2:$G$1121, 2, FALSE)</f>
        <v>Module.Accounting.Data.BalanceSheet.Report.DataList</v>
      </c>
      <c r="D86" s="3" t="str">
        <f>VLOOKUP($B86, [1]Main!$E$2:$G$1121, 3, FALSE)</f>
        <v>Balance Sheet</v>
      </c>
      <c r="F86" s="17">
        <f t="shared" si="9"/>
        <v>97000000000085</v>
      </c>
      <c r="H86" s="4"/>
      <c r="I86" s="3" t="str">
        <f t="shared" si="8"/>
        <v>Execute</v>
      </c>
      <c r="J86" s="3" t="str">
        <f t="shared" si="10"/>
        <v>BalanceSheet</v>
      </c>
      <c r="K86" s="18"/>
      <c r="M86" s="6">
        <f t="shared" si="14"/>
        <v>256000000000085</v>
      </c>
      <c r="O86" s="15" t="str">
        <f t="shared" si="12"/>
        <v>PERFORM "SchSysConfig"."Func_TblAppObject_MenuAction_SET"(varSystemLoginSession, null, null, null, varInstitutionBranchID, varBaseCurrencyID, 97000000000085, 'BalanceSheet', 'Execute', null);</v>
      </c>
      <c r="Q86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'97000000000085'::varchar,'key', 'BalanceSheet'::varchar,'caption', 'Execute'::varchar,'URLPath', null::varchar)))::varchar;</v>
      </c>
    </row>
    <row r="87" spans="2:17" x14ac:dyDescent="0.2">
      <c r="B87" s="7">
        <f t="shared" si="11"/>
        <v>97000000000086</v>
      </c>
      <c r="C87" s="3" t="str">
        <f>VLOOKUP($B87, [1]Main!$E$2:$G$1121, 2, FALSE)</f>
        <v>Module.Accounting.Data.GeneralJournal.Transaction</v>
      </c>
      <c r="D87" s="3" t="str">
        <f>VLOOKUP($B87, [1]Main!$E$2:$G$1121, 3, FALSE)</f>
        <v>General Journal</v>
      </c>
      <c r="F87" s="17">
        <f t="shared" si="9"/>
        <v>97000000000086</v>
      </c>
      <c r="H87" s="4"/>
      <c r="I87" s="3" t="str">
        <f t="shared" si="8"/>
        <v>Execute</v>
      </c>
      <c r="J87" s="3" t="str">
        <f t="shared" si="10"/>
        <v>Execute</v>
      </c>
      <c r="K87" s="18" t="s">
        <v>57</v>
      </c>
      <c r="M87" s="6">
        <f t="shared" si="14"/>
        <v>256000000000086</v>
      </c>
      <c r="O87" s="15" t="str">
        <f t="shared" si="12"/>
        <v>PERFORM "SchSysConfig"."Func_TblAppObject_MenuAction_SET"(varSystemLoginSession, null, null, null, varInstitutionBranchID, varBaseCurrencyID, 97000000000086, 'Execute', 'Execute', 'GeneralJournal?var=1');</v>
      </c>
      <c r="Q87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'97000000000086'::varchar,'key', 'Execute'::varchar,'caption', 'Execute'::varchar,'URLPath', 'GeneralJournal?var=1'::varchar)))::varchar;</v>
      </c>
    </row>
    <row r="88" spans="2:17" x14ac:dyDescent="0.2">
      <c r="B88" s="7">
        <f t="shared" si="11"/>
        <v>97000000000087</v>
      </c>
      <c r="C88" s="3" t="str">
        <f>VLOOKUP($B88, [1]Main!$E$2:$G$1121, 2, FALSE)</f>
        <v>Module.Accounting.Data.GeneralJournal.Report.DataList</v>
      </c>
      <c r="D88" s="3" t="str">
        <f>VLOOKUP($B88, [1]Main!$E$2:$G$1121, 3, FALSE)</f>
        <v>General Journal Summary</v>
      </c>
      <c r="F88" s="17">
        <f t="shared" si="9"/>
        <v>97000000000087</v>
      </c>
      <c r="H88" s="4"/>
      <c r="I88" s="3" t="str">
        <f t="shared" si="8"/>
        <v>Execute</v>
      </c>
      <c r="J88" s="3" t="str">
        <f t="shared" si="10"/>
        <v>GeneralJournalSummary</v>
      </c>
      <c r="K88" s="18" t="s">
        <v>45</v>
      </c>
      <c r="M88" s="6">
        <f t="shared" si="14"/>
        <v>256000000000087</v>
      </c>
      <c r="O88" s="15" t="str">
        <f t="shared" si="12"/>
        <v>PERFORM "SchSysConfig"."Func_TblAppObject_MenuAction_SET"(varSystemLoginSession, null, null, null, varInstitutionBranchID, varBaseCurrencyID, 97000000000087, 'GeneralJournalSummary', 'Execute', 'ReportGeneralJournalSummary');</v>
      </c>
      <c r="Q88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'97000000000087'::varchar,'key', 'GeneralJournalSummary'::varchar,'caption', 'Execute'::varchar,'URLPath', 'ReportGeneralJournalSummary'::varchar)))::varchar;</v>
      </c>
    </row>
    <row r="89" spans="2:17" x14ac:dyDescent="0.2">
      <c r="B89" s="7">
        <f t="shared" si="11"/>
        <v>97000000000088</v>
      </c>
      <c r="C89" s="3" t="str">
        <f>VLOOKUP($B89, [1]Main!$E$2:$G$1121, 2, FALSE)</f>
        <v>Module.Accounting.Data.GeneralLedger.Report.DataList</v>
      </c>
      <c r="D89" s="3" t="str">
        <f>VLOOKUP($B89, [1]Main!$E$2:$G$1121, 3, FALSE)</f>
        <v>General Ledger Summary</v>
      </c>
      <c r="F89" s="17">
        <f t="shared" si="9"/>
        <v>97000000000088</v>
      </c>
      <c r="H89" s="4"/>
      <c r="I89" s="3" t="str">
        <f t="shared" si="8"/>
        <v>Execute</v>
      </c>
      <c r="J89" s="3" t="str">
        <f t="shared" si="10"/>
        <v>GeneralLedgerSummary</v>
      </c>
      <c r="K89" s="18" t="s">
        <v>60</v>
      </c>
      <c r="M89" s="6">
        <f t="shared" si="14"/>
        <v>256000000000088</v>
      </c>
      <c r="O89" s="15" t="str">
        <f t="shared" si="12"/>
        <v>PERFORM "SchSysConfig"."Func_TblAppObject_MenuAction_SET"(varSystemLoginSession, null, null, null, varInstitutionBranchID, varBaseCurrencyID, 97000000000088, 'GeneralLedgerSummary', 'Execute', 'ReportGeneralLedger');</v>
      </c>
      <c r="Q89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'97000000000088'::varchar,'key', 'GeneralLedgerSummary'::varchar,'caption', 'Execute'::varchar,'URLPath', 'ReportGeneralLedger'::varchar)))::varchar;</v>
      </c>
    </row>
    <row r="90" spans="2:17" x14ac:dyDescent="0.2">
      <c r="B90" s="7">
        <f t="shared" si="11"/>
        <v>97000000000089</v>
      </c>
      <c r="C90" s="3" t="str">
        <f>VLOOKUP($B90, [1]Main!$E$2:$G$1121, 2, FALSE)</f>
        <v>Module.Accounting.Data.ProfitLoss.Report.DataList</v>
      </c>
      <c r="D90" s="3" t="str">
        <f>VLOOKUP($B90, [1]Main!$E$2:$G$1121, 3, FALSE)</f>
        <v>Profit Loss Summary</v>
      </c>
      <c r="F90" s="17">
        <f t="shared" si="9"/>
        <v>97000000000089</v>
      </c>
      <c r="H90" s="4"/>
      <c r="I90" s="3" t="str">
        <f t="shared" si="8"/>
        <v>Execute</v>
      </c>
      <c r="J90" s="3" t="str">
        <f>IF(EXACT(F90, ""), "",
SUBSTITUTE(SUBSTITUTE(IF(ISNUMBER(SEARCH(".Report.", C90)), D90, IF(EXACT(H90, ""), "Execute", H90)), " ", ""), "&amp;", "")
)</f>
        <v>ProfitLossSummary</v>
      </c>
      <c r="K90" s="18"/>
      <c r="M90" s="6">
        <f t="shared" si="14"/>
        <v>256000000000089</v>
      </c>
      <c r="O90" s="15" t="str">
        <f t="shared" si="12"/>
        <v>PERFORM "SchSysConfig"."Func_TblAppObject_MenuAction_SET"(varSystemLoginSession, null, null, null, varInstitutionBranchID, varBaseCurrencyID, 97000000000089, 'ProfitLossSummary', 'Execute', null);</v>
      </c>
      <c r="Q90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'97000000000089'::varchar,'key', 'ProfitLossSummary'::varchar,'caption', 'Execute'::varchar,'URLPath', null::varchar)))::varchar;</v>
      </c>
    </row>
    <row r="91" spans="2:17" x14ac:dyDescent="0.2">
      <c r="B91" s="7">
        <f t="shared" si="11"/>
        <v>97000000000090</v>
      </c>
      <c r="C91" s="3" t="str">
        <f>VLOOKUP($B91, [1]Main!$E$2:$G$1121, 2, FALSE)</f>
        <v>Module.Finance.Data.CashBank.Transaction</v>
      </c>
      <c r="D91" s="3" t="str">
        <f>VLOOKUP($B91, [1]Main!$E$2:$G$1121, 3, FALSE)</f>
        <v>Cash &amp; Bank</v>
      </c>
      <c r="F91" s="17">
        <f t="shared" si="9"/>
        <v>97000000000090</v>
      </c>
      <c r="H91" s="4"/>
      <c r="I91" s="3" t="str">
        <f t="shared" si="8"/>
        <v>Execute</v>
      </c>
      <c r="J91" s="3" t="str">
        <f t="shared" ref="J91:J98" si="15">IF(EXACT(F91, ""), "",
SUBSTITUTE(SUBSTITUTE(IF(ISNUMBER(SEARCH(".Report.", C91)), D91, IF(EXACT(H91, ""), "Execute", H91)), " ", ""), "&amp;", "")
)</f>
        <v>Execute</v>
      </c>
      <c r="K91" s="18" t="s">
        <v>37</v>
      </c>
      <c r="M91" s="6">
        <f t="shared" si="14"/>
        <v>256000000000090</v>
      </c>
      <c r="O91" s="15" t="str">
        <f t="shared" si="12"/>
        <v>PERFORM "SchSysConfig"."Func_TblAppObject_MenuAction_SET"(varSystemLoginSession, null, null, null, varInstitutionBranchID, varBaseCurrencyID, 97000000000090, 'Execute', 'Execute', 'Journal?var=1');</v>
      </c>
      <c r="Q91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'97000000000090'::varchar,'key', 'Execute'::varchar,'caption', 'Execute'::varchar,'URLPath', 'Journal?var=1'::varchar)))::varchar;</v>
      </c>
    </row>
    <row r="92" spans="2:17" x14ac:dyDescent="0.2">
      <c r="B92" s="7">
        <f t="shared" si="11"/>
        <v>97000000000091</v>
      </c>
      <c r="C92" s="3" t="str">
        <f>VLOOKUP($B92, [1]Main!$E$2:$G$1121, 2, FALSE)</f>
        <v>Module.Finance.Data.CashBank.Report.DataList</v>
      </c>
      <c r="D92" s="3" t="str">
        <f>VLOOKUP($B92, [1]Main!$E$2:$G$1121, 3, FALSE)</f>
        <v>Cash &amp; Bank Summary</v>
      </c>
      <c r="F92" s="17">
        <f t="shared" si="9"/>
        <v>97000000000091</v>
      </c>
      <c r="H92" s="4"/>
      <c r="I92" s="3" t="str">
        <f t="shared" si="8"/>
        <v>Execute</v>
      </c>
      <c r="J92" s="3" t="str">
        <f t="shared" si="15"/>
        <v>CashBankSummary</v>
      </c>
      <c r="K92" s="18" t="s">
        <v>38</v>
      </c>
      <c r="M92" s="6">
        <f t="shared" si="14"/>
        <v>256000000000091</v>
      </c>
      <c r="O92" s="15" t="str">
        <f t="shared" si="12"/>
        <v>PERFORM "SchSysConfig"."Func_TblAppObject_MenuAction_SET"(varSystemLoginSession, null, null, null, varInstitutionBranchID, varBaseCurrencyID, 97000000000091, 'CashBankSummary', 'Execute', 'ReportPaymentJournal');</v>
      </c>
      <c r="Q92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'97000000000091'::varchar,'key', 'CashBankSummary'::varchar,'caption', 'Execute'::varchar,'URLPath', 'ReportPaymentJournal'::varchar)))::varchar;</v>
      </c>
    </row>
    <row r="93" spans="2:17" x14ac:dyDescent="0.2">
      <c r="B93" s="7">
        <f t="shared" si="11"/>
        <v>97000000000092</v>
      </c>
      <c r="C93" s="3" t="str">
        <f>VLOOKUP($B93, [1]Main!$E$2:$G$1121, 2, FALSE)</f>
        <v>Module.Finance.Data.CreditNote.Transaction</v>
      </c>
      <c r="D93" s="3" t="str">
        <f>VLOOKUP($B93, [1]Main!$E$2:$G$1121, 3, FALSE)</f>
        <v>Credit Note</v>
      </c>
      <c r="F93" s="17">
        <f t="shared" si="9"/>
        <v>97000000000092</v>
      </c>
      <c r="H93" s="4"/>
      <c r="I93" s="3" t="str">
        <f t="shared" si="8"/>
        <v>Execute</v>
      </c>
      <c r="J93" s="3" t="str">
        <f t="shared" si="15"/>
        <v>Execute</v>
      </c>
      <c r="K93" s="18" t="s">
        <v>30</v>
      </c>
      <c r="M93" s="6">
        <f t="shared" si="14"/>
        <v>256000000000092</v>
      </c>
      <c r="O93" s="15" t="str">
        <f t="shared" si="12"/>
        <v>PERFORM "SchSysConfig"."Func_TblAppObject_MenuAction_SET"(varSystemLoginSession, null, null, null, varInstitutionBranchID, varBaseCurrencyID, 97000000000092, 'Execute', 'Execute', 'CreditNote?var=1');</v>
      </c>
      <c r="Q93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'97000000000092'::varchar,'key', 'Execute'::varchar,'caption', 'Execute'::varchar,'URLPath', 'CreditNote?var=1'::varchar)))::varchar;</v>
      </c>
    </row>
    <row r="94" spans="2:17" x14ac:dyDescent="0.2">
      <c r="B94" s="7">
        <f t="shared" si="11"/>
        <v>97000000000093</v>
      </c>
      <c r="C94" s="3" t="str">
        <f>VLOOKUP($B94, [1]Main!$E$2:$G$1121, 2, FALSE)</f>
        <v>Module.Finance.Data.CreditNote.Report.DataList</v>
      </c>
      <c r="D94" s="3" t="str">
        <f>VLOOKUP($B94, [1]Main!$E$2:$G$1121, 3, FALSE)</f>
        <v>Credit Note Summary</v>
      </c>
      <c r="F94" s="17">
        <f t="shared" si="9"/>
        <v>97000000000093</v>
      </c>
      <c r="H94" s="4"/>
      <c r="I94" s="3" t="str">
        <f t="shared" si="8"/>
        <v>Execute</v>
      </c>
      <c r="J94" s="3" t="str">
        <f t="shared" si="15"/>
        <v>CreditNoteSummary</v>
      </c>
      <c r="K94" s="18" t="s">
        <v>31</v>
      </c>
      <c r="M94" s="6">
        <f t="shared" si="14"/>
        <v>256000000000093</v>
      </c>
      <c r="O94" s="15" t="str">
        <f t="shared" si="12"/>
        <v>PERFORM "SchSysConfig"."Func_TblAppObject_MenuAction_SET"(varSystemLoginSession, null, null, null, varInstitutionBranchID, varBaseCurrencyID, 97000000000093, 'CreditNoteSummary', 'Execute', 'ReportCreditNoteSummary');</v>
      </c>
      <c r="Q94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'97000000000093'::varchar,'key', 'CreditNoteSummary'::varchar,'caption', 'Execute'::varchar,'URLPath', 'ReportCreditNoteSummary'::varchar)))::varchar;</v>
      </c>
    </row>
    <row r="95" spans="2:17" x14ac:dyDescent="0.2">
      <c r="B95" s="7">
        <f t="shared" si="11"/>
        <v>97000000000094</v>
      </c>
      <c r="C95" s="3" t="str">
        <f>VLOOKUP($B95, [1]Main!$E$2:$G$1121, 2, FALSE)</f>
        <v>Module.Finance.Data.DebitNote.Transaction</v>
      </c>
      <c r="D95" s="3" t="str">
        <f>VLOOKUP($B95, [1]Main!$E$2:$G$1121, 3, FALSE)</f>
        <v>Debit Note</v>
      </c>
      <c r="F95" s="17">
        <f t="shared" si="9"/>
        <v>97000000000094</v>
      </c>
      <c r="H95" s="4"/>
      <c r="I95" s="3" t="str">
        <f t="shared" si="8"/>
        <v>Execute</v>
      </c>
      <c r="J95" s="3" t="str">
        <f t="shared" si="15"/>
        <v>Execute</v>
      </c>
      <c r="K95" s="18"/>
      <c r="M95" s="6">
        <f t="shared" si="14"/>
        <v>256000000000094</v>
      </c>
      <c r="O95" s="15" t="str">
        <f t="shared" si="12"/>
        <v>PERFORM "SchSysConfig"."Func_TblAppObject_MenuAction_SET"(varSystemLoginSession, null, null, null, varInstitutionBranchID, varBaseCurrencyID, 97000000000094, 'Execute', 'Execute', null);</v>
      </c>
      <c r="Q95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'97000000000094'::varchar,'key', 'Execute'::varchar,'caption', 'Execute'::varchar,'URLPath', null::varchar)))::varchar;</v>
      </c>
    </row>
    <row r="96" spans="2:17" x14ac:dyDescent="0.2">
      <c r="B96" s="7">
        <f t="shared" si="11"/>
        <v>97000000000095</v>
      </c>
      <c r="C96" s="3" t="str">
        <f>VLOOKUP($B96, [1]Main!$E$2:$G$1121, 2, FALSE)</f>
        <v>Module.Finance.Data.DebitNote.Report.DataList</v>
      </c>
      <c r="D96" s="3" t="str">
        <f>VLOOKUP($B96, [1]Main!$E$2:$G$1121, 3, FALSE)</f>
        <v>Debit Note Summary</v>
      </c>
      <c r="F96" s="17">
        <f t="shared" si="9"/>
        <v>97000000000095</v>
      </c>
      <c r="H96" s="4"/>
      <c r="I96" s="3" t="str">
        <f t="shared" si="8"/>
        <v>Execute</v>
      </c>
      <c r="J96" s="3" t="str">
        <f t="shared" si="15"/>
        <v>DebitNoteSummary</v>
      </c>
      <c r="K96" s="18" t="s">
        <v>28</v>
      </c>
      <c r="M96" s="6">
        <f t="shared" si="14"/>
        <v>256000000000095</v>
      </c>
      <c r="O96" s="15" t="str">
        <f t="shared" si="12"/>
        <v>PERFORM "SchSysConfig"."Func_TblAppObject_MenuAction_SET"(varSystemLoginSession, null, null, null, varInstitutionBranchID, varBaseCurrencyID, 97000000000095, 'DebitNoteSummary', 'Execute', 'ReportDebitNoteSummary');</v>
      </c>
      <c r="Q96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'97000000000095'::varchar,'key', 'DebitNoteSummary'::varchar,'caption', 'Execute'::varchar,'URLPath', 'ReportDebitNoteSummary'::varchar)))::varchar;</v>
      </c>
    </row>
    <row r="97" spans="2:17" x14ac:dyDescent="0.2">
      <c r="B97" s="7">
        <f t="shared" si="11"/>
        <v>97000000000096</v>
      </c>
      <c r="C97" s="3" t="str">
        <f>VLOOKUP($B97, [1]Main!$E$2:$G$1121, 2, FALSE)</f>
        <v>Module.FixedAsset.Data.GoodsIdentity.Transaction</v>
      </c>
      <c r="D97" s="3" t="str">
        <f>VLOOKUP($B97, [1]Main!$E$2:$G$1121, 3, FALSE)</f>
        <v>Fixed Asset</v>
      </c>
      <c r="F97" s="17">
        <f t="shared" si="9"/>
        <v>97000000000096</v>
      </c>
      <c r="H97" s="4"/>
      <c r="I97" s="3" t="str">
        <f t="shared" si="8"/>
        <v>Execute</v>
      </c>
      <c r="J97" s="3" t="str">
        <f t="shared" si="15"/>
        <v>Execute</v>
      </c>
      <c r="K97" s="18"/>
      <c r="M97" s="6">
        <f t="shared" si="14"/>
        <v>256000000000096</v>
      </c>
      <c r="O97" s="15" t="str">
        <f t="shared" si="12"/>
        <v>PERFORM "SchSysConfig"."Func_TblAppObject_MenuAction_SET"(varSystemLoginSession, null, null, null, varInstitutionBranchID, varBaseCurrencyID, 97000000000096, 'Execute', 'Execute', null);</v>
      </c>
      <c r="Q97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'97000000000096'::varchar,'key', 'Execute'::varchar,'caption', 'Execute'::varchar,'URLPath', null::varchar)))::varchar;</v>
      </c>
    </row>
    <row r="98" spans="2:17" x14ac:dyDescent="0.2">
      <c r="B98" s="7">
        <f t="shared" si="11"/>
        <v>97000000000097</v>
      </c>
      <c r="C98" s="3" t="str">
        <f>VLOOKUP($B98, [1]Main!$E$2:$G$1121, 2, FALSE)</f>
        <v>Module.FixedAsset.Data.GoodsIdentity.Report.DataList</v>
      </c>
      <c r="D98" s="3" t="str">
        <f>VLOOKUP($B98, [1]Main!$E$2:$G$1121, 3, FALSE)</f>
        <v>Fixed Asset Summary</v>
      </c>
      <c r="F98" s="17">
        <f t="shared" si="9"/>
        <v>97000000000097</v>
      </c>
      <c r="H98" s="4"/>
      <c r="I98" s="3" t="str">
        <f t="shared" si="8"/>
        <v>Execute</v>
      </c>
      <c r="J98" s="3" t="str">
        <f t="shared" si="15"/>
        <v>FixedAssetSummary</v>
      </c>
      <c r="K98" s="18"/>
      <c r="M98" s="6">
        <f t="shared" si="14"/>
        <v>256000000000097</v>
      </c>
      <c r="O98" s="15" t="str">
        <f t="shared" si="12"/>
        <v>PERFORM "SchSysConfig"."Func_TblAppObject_MenuAction_SET"(varSystemLoginSession, null, null, null, varInstitutionBranchID, varBaseCurrencyID, 97000000000097, 'FixedAssetSummary', 'Execute', null);</v>
      </c>
      <c r="Q98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'97000000000097'::varchar,'key', 'FixedAssetSummary'::varchar,'caption', 'Execute'::varchar,'URLPath', null::varchar)))::varchar;</v>
      </c>
    </row>
    <row r="99" spans="2:17" x14ac:dyDescent="0.2">
      <c r="B99" s="7">
        <f t="shared" si="11"/>
        <v>97000000000098</v>
      </c>
      <c r="C99" s="3" t="str">
        <f>VLOOKUP($B99, [1]Main!$E$2:$G$1121, 2, FALSE)</f>
        <v>Module.Finance.Data.Loan.Transaction</v>
      </c>
      <c r="D99" s="3" t="str">
        <f>VLOOKUP($B99, [1]Main!$E$2:$G$1121, 3, FALSE)</f>
        <v>Loan</v>
      </c>
      <c r="F99" s="17">
        <f t="shared" ref="F99:F117" si="16">IF(EXACT(B99, ""), F98, B99)</f>
        <v>97000000000098</v>
      </c>
      <c r="K99" s="18" t="s">
        <v>32</v>
      </c>
      <c r="M99" s="6">
        <f>IF(ISNUMBER(M98), M98+1, 256000000000001)</f>
        <v>256000000000098</v>
      </c>
      <c r="O99" s="15" t="str">
        <f t="shared" si="12"/>
        <v>PERFORM "SchSysConfig"."Func_TblAppObject_MenuAction_SET"(varSystemLoginSession, null, null, null, varInstitutionBranchID, varBaseCurrencyID, 97000000000098, '', '', 'Loan?var=1');</v>
      </c>
      <c r="Q99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'97000000000098'::varchar,'key', null::varchar,'caption', null::varchar,'URLPath', 'Loan?var=1'::varchar)))::varchar;</v>
      </c>
    </row>
    <row r="100" spans="2:17" x14ac:dyDescent="0.2">
      <c r="B100" s="7">
        <f t="shared" si="11"/>
        <v>97000000000099</v>
      </c>
      <c r="C100" s="3" t="str">
        <f>VLOOKUP($B100, [1]Main!$E$2:$G$1121, 2, FALSE)</f>
        <v>Module.Finance.Data.Loan.Report.DataList</v>
      </c>
      <c r="D100" s="3" t="str">
        <f>VLOOKUP($B100, [1]Main!$E$2:$G$1121, 3, FALSE)</f>
        <v>Loan Summary</v>
      </c>
      <c r="F100" s="17">
        <f t="shared" si="16"/>
        <v>97000000000099</v>
      </c>
      <c r="K100" s="18" t="s">
        <v>33</v>
      </c>
      <c r="M100" s="6">
        <f t="shared" ref="M100:M116" si="17">IF(ISNUMBER(M99), M99+1, 256000000000001)</f>
        <v>256000000000099</v>
      </c>
      <c r="O100" s="15" t="str">
        <f t="shared" si="12"/>
        <v>PERFORM "SchSysConfig"."Func_TblAppObject_MenuAction_SET"(varSystemLoginSession, null, null, null, varInstitutionBranchID, varBaseCurrencyID, 97000000000099, '', '', 'ReportLoanSummary');</v>
      </c>
      <c r="Q100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'97000000000099'::varchar,'key', null::varchar,'caption', null::varchar,'URLPath', 'ReportLoanSummary'::varchar)))::varchar;</v>
      </c>
    </row>
    <row r="101" spans="2:17" x14ac:dyDescent="0.2">
      <c r="B101" s="7">
        <f t="shared" si="11"/>
        <v>97000000000100</v>
      </c>
      <c r="C101" s="3" t="str">
        <f>VLOOKUP($B101, [1]Main!$E$2:$G$1121, 2, FALSE)</f>
        <v>Module.Finance.Data.LoanToLoanSettlement.Report.DataList</v>
      </c>
      <c r="D101" s="3" t="str">
        <f>VLOOKUP($B101, [1]Main!$E$2:$G$1121, 3, FALSE)</f>
        <v>Loan to Loan Settlement Summary</v>
      </c>
      <c r="F101" s="17">
        <f t="shared" si="16"/>
        <v>97000000000100</v>
      </c>
      <c r="K101" s="18" t="s">
        <v>36</v>
      </c>
      <c r="M101" s="6">
        <f t="shared" si="17"/>
        <v>256000000000100</v>
      </c>
      <c r="O101" s="15" t="str">
        <f t="shared" si="12"/>
        <v>PERFORM "SchSysConfig"."Func_TblAppObject_MenuAction_SET"(varSystemLoginSession, null, null, null, varInstitutionBranchID, varBaseCurrencyID, 97000000000100, '', '', 'ReportLoantoLoanSettlement');</v>
      </c>
      <c r="Q101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'97000000000100'::varchar,'key', null::varchar,'caption', null::varchar,'URLPath', 'ReportLoantoLoanSettlement'::varchar)))::varchar;</v>
      </c>
    </row>
    <row r="102" spans="2:17" x14ac:dyDescent="0.2">
      <c r="B102" s="7">
        <f t="shared" si="11"/>
        <v>97000000000101</v>
      </c>
      <c r="C102" s="3" t="str">
        <f>VLOOKUP($B102, [1]Main!$E$2:$G$1121, 2, FALSE)</f>
        <v>Module.Finance.Data.LoanSettlement.Transaction</v>
      </c>
      <c r="D102" s="3" t="str">
        <f>VLOOKUP($B102, [1]Main!$E$2:$G$1121, 3, FALSE)</f>
        <v>Loan Settlement</v>
      </c>
      <c r="F102" s="17">
        <f t="shared" si="16"/>
        <v>97000000000101</v>
      </c>
      <c r="K102" s="18" t="s">
        <v>34</v>
      </c>
      <c r="M102" s="6">
        <f t="shared" si="17"/>
        <v>256000000000101</v>
      </c>
      <c r="O102" s="15" t="str">
        <f t="shared" si="12"/>
        <v>PERFORM "SchSysConfig"."Func_TblAppObject_MenuAction_SET"(varSystemLoginSession, null, null, null, varInstitutionBranchID, varBaseCurrencyID, 97000000000101, '', '', 'LoanSettlement?var=1');</v>
      </c>
      <c r="Q102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'97000000000101'::varchar,'key', null::varchar,'caption', null::varchar,'URLPath', 'LoanSettlement?var=1'::varchar)))::varchar;</v>
      </c>
    </row>
    <row r="103" spans="2:17" x14ac:dyDescent="0.2">
      <c r="B103" s="7">
        <f t="shared" si="11"/>
        <v>97000000000102</v>
      </c>
      <c r="C103" s="3" t="str">
        <f>VLOOKUP($B103, [1]Main!$E$2:$G$1121, 2, FALSE)</f>
        <v>Module.Finance.Data.LoanSettlement.Report.DataList</v>
      </c>
      <c r="D103" s="3" t="str">
        <f>VLOOKUP($B103, [1]Main!$E$2:$G$1121, 3, FALSE)</f>
        <v>Loan Settlement Summary</v>
      </c>
      <c r="F103" s="17">
        <f t="shared" si="16"/>
        <v>97000000000102</v>
      </c>
      <c r="K103" s="18" t="s">
        <v>35</v>
      </c>
      <c r="M103" s="6">
        <f t="shared" si="17"/>
        <v>256000000000102</v>
      </c>
      <c r="O103" s="15" t="str">
        <f t="shared" si="12"/>
        <v>PERFORM "SchSysConfig"."Func_TblAppObject_MenuAction_SET"(varSystemLoginSession, null, null, null, varInstitutionBranchID, varBaseCurrencyID, 97000000000102, '', '', 'ReportLoanSettlementSummary');</v>
      </c>
      <c r="Q103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'97000000000102'::varchar,'key', null::varchar,'caption', null::varchar,'URLPath', 'ReportLoanSettlementSummary'::varchar)))::varchar;</v>
      </c>
    </row>
    <row r="104" spans="2:17" x14ac:dyDescent="0.2">
      <c r="B104" s="7">
        <f t="shared" si="11"/>
        <v>97000000000103</v>
      </c>
      <c r="C104" s="3" t="str">
        <f>VLOOKUP($B104, [1]Main!$E$2:$G$1121, 2, FALSE)</f>
        <v>Module.Finance.Data.PaymentInstruction.Transaction</v>
      </c>
      <c r="D104" s="3" t="str">
        <f>VLOOKUP($B104, [1]Main!$E$2:$G$1121, 3, FALSE)</f>
        <v>Account Payable</v>
      </c>
      <c r="F104" s="17">
        <f t="shared" si="16"/>
        <v>97000000000103</v>
      </c>
      <c r="K104" s="18" t="s">
        <v>39</v>
      </c>
      <c r="M104" s="6">
        <f t="shared" si="17"/>
        <v>256000000000103</v>
      </c>
      <c r="O104" s="15" t="str">
        <f t="shared" si="12"/>
        <v>PERFORM "SchSysConfig"."Func_TblAppObject_MenuAction_SET"(varSystemLoginSession, null, null, null, varInstitutionBranchID, varBaseCurrencyID, 97000000000103, '', '', 'AccountPayable?var=1');</v>
      </c>
      <c r="Q104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'97000000000103'::varchar,'key', null::varchar,'caption', null::varchar,'URLPath', 'AccountPayable?var=1'::varchar)))::varchar;</v>
      </c>
    </row>
    <row r="105" spans="2:17" x14ac:dyDescent="0.2">
      <c r="B105" s="7">
        <f t="shared" si="11"/>
        <v>97000000000104</v>
      </c>
      <c r="C105" s="3" t="str">
        <f>VLOOKUP($B105, [1]Main!$E$2:$G$1121, 2, FALSE)</f>
        <v>Module.Finance.Data.PaymentInstruction.Report.DataList</v>
      </c>
      <c r="D105" s="3" t="str">
        <f>VLOOKUP($B105, [1]Main!$E$2:$G$1121, 3, FALSE)</f>
        <v>Account Payable Summary</v>
      </c>
      <c r="F105" s="17">
        <f t="shared" si="16"/>
        <v>97000000000104</v>
      </c>
      <c r="K105" s="18" t="s">
        <v>40</v>
      </c>
      <c r="M105" s="6">
        <f t="shared" si="17"/>
        <v>256000000000104</v>
      </c>
      <c r="O105" s="15" t="str">
        <f t="shared" si="12"/>
        <v>PERFORM "SchSysConfig"."Func_TblAppObject_MenuAction_SET"(varSystemLoginSession, null, null, null, varInstitutionBranchID, varBaseCurrencyID, 97000000000104, '', '', 'ReportAccountPayableSummary');</v>
      </c>
      <c r="Q105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'97000000000104'::varchar,'key', null::varchar,'caption', null::varchar,'URLPath', 'ReportAccountPayableSummary'::varchar)))::varchar;</v>
      </c>
    </row>
    <row r="106" spans="2:17" x14ac:dyDescent="0.2">
      <c r="B106" s="7">
        <f t="shared" si="11"/>
        <v>97000000000105</v>
      </c>
      <c r="C106" s="3" t="str">
        <f>VLOOKUP($B106, [1]Main!$E$2:$G$1121, 2, FALSE)</f>
        <v>Module.Finance.Data.Reimbursement.Transaction</v>
      </c>
      <c r="D106" s="3" t="str">
        <f>VLOOKUP($B106, [1]Main!$E$2:$G$1121, 3, FALSE)</f>
        <v>Reimbursement</v>
      </c>
      <c r="F106" s="17">
        <f t="shared" si="16"/>
        <v>97000000000105</v>
      </c>
      <c r="K106" s="18" t="s">
        <v>26</v>
      </c>
      <c r="M106" s="6">
        <f t="shared" si="17"/>
        <v>256000000000105</v>
      </c>
      <c r="O106" s="15" t="str">
        <f t="shared" si="12"/>
        <v>PERFORM "SchSysConfig"."Func_TblAppObject_MenuAction_SET"(varSystemLoginSession, null, null, null, varInstitutionBranchID, varBaseCurrencyID, 97000000000105, '', '', 'Reimbursement?var=1');</v>
      </c>
      <c r="Q106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'97000000000105'::varchar,'key', null::varchar,'caption', null::varchar,'URLPath', 'Reimbursement?var=1'::varchar)))::varchar;</v>
      </c>
    </row>
    <row r="107" spans="2:17" x14ac:dyDescent="0.2">
      <c r="B107" s="7">
        <f t="shared" si="11"/>
        <v>97000000000106</v>
      </c>
      <c r="C107" s="3" t="str">
        <f>VLOOKUP($B107, [1]Main!$E$2:$G$1121, 2, FALSE)</f>
        <v>Module.Finance.Data.Reimbursement.Report.DataList</v>
      </c>
      <c r="D107" s="3" t="str">
        <f>VLOOKUP($B107, [1]Main!$E$2:$G$1121, 3, FALSE)</f>
        <v>Reimbursement Summary</v>
      </c>
      <c r="F107" s="17">
        <f t="shared" si="16"/>
        <v>97000000000106</v>
      </c>
      <c r="K107" s="18" t="s">
        <v>27</v>
      </c>
      <c r="M107" s="6">
        <f t="shared" si="17"/>
        <v>256000000000106</v>
      </c>
      <c r="O107" s="15" t="str">
        <f t="shared" si="12"/>
        <v>PERFORM "SchSysConfig"."Func_TblAppObject_MenuAction_SET"(varSystemLoginSession, null, null, null, varInstitutionBranchID, varBaseCurrencyID, 97000000000106, '', '', 'ReportReimbursementSummary');</v>
      </c>
      <c r="Q107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'97000000000106'::varchar,'key', null::varchar,'caption', null::varchar,'URLPath', 'ReportReimbursementSummary'::varchar)))::varchar;</v>
      </c>
    </row>
    <row r="108" spans="2:17" x14ac:dyDescent="0.2">
      <c r="B108" s="7">
        <f t="shared" si="11"/>
        <v>97000000000107</v>
      </c>
      <c r="C108" s="3" t="str">
        <f>VLOOKUP($B108, [1]Main!$E$2:$G$1121, 2, FALSE)</f>
        <v>Module.Finance.Data.ReimbursementToDebitNote.Report.DataList</v>
      </c>
      <c r="D108" s="3" t="str">
        <f>VLOOKUP($B108, [1]Main!$E$2:$G$1121, 3, FALSE)</f>
        <v>Reimbursement to Debit Note Summary</v>
      </c>
      <c r="F108" s="17">
        <f t="shared" si="16"/>
        <v>97000000000107</v>
      </c>
      <c r="K108" s="18" t="s">
        <v>29</v>
      </c>
      <c r="M108" s="6">
        <f t="shared" si="17"/>
        <v>256000000000107</v>
      </c>
      <c r="O108" s="15" t="str">
        <f t="shared" si="12"/>
        <v>PERFORM "SchSysConfig"."Func_TblAppObject_MenuAction_SET"(varSystemLoginSession, null, null, null, varInstitutionBranchID, varBaseCurrencyID, 97000000000107, '', '', 'ReportRemToDN');</v>
      </c>
      <c r="Q108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'97000000000107'::varchar,'key', null::varchar,'caption', null::varchar,'URLPath', 'ReportRemToDN'::varchar)))::varchar;</v>
      </c>
    </row>
    <row r="109" spans="2:17" x14ac:dyDescent="0.2">
      <c r="B109" s="7">
        <f t="shared" si="11"/>
        <v>97000000000108</v>
      </c>
      <c r="C109" s="3" t="str">
        <f>VLOOKUP($B109, [1]Main!$E$2:$G$1121, 2, FALSE)</f>
        <v>Module.Finance.Data.SalesInvoice.Transaction</v>
      </c>
      <c r="D109" s="3" t="str">
        <f>VLOOKUP($B109, [1]Main!$E$2:$G$1121, 3, FALSE)</f>
        <v>Sales Invoice</v>
      </c>
      <c r="F109" s="17">
        <f t="shared" si="16"/>
        <v>97000000000108</v>
      </c>
      <c r="K109" s="18" t="s">
        <v>58</v>
      </c>
      <c r="M109" s="6">
        <f t="shared" si="17"/>
        <v>256000000000108</v>
      </c>
      <c r="O109" s="15" t="str">
        <f t="shared" si="12"/>
        <v>PERFORM "SchSysConfig"."Func_TblAppObject_MenuAction_SET"(varSystemLoginSession, null, null, null, varInstitutionBranchID, varBaseCurrencyID, 97000000000108, '', '', 'Invoice?var=1');</v>
      </c>
      <c r="Q109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'97000000000108'::varchar,'key', null::varchar,'caption', null::varchar,'URLPath', 'Invoice?var=1'::varchar)))::varchar;</v>
      </c>
    </row>
    <row r="110" spans="2:17" x14ac:dyDescent="0.2">
      <c r="B110" s="7">
        <f t="shared" si="11"/>
        <v>97000000000109</v>
      </c>
      <c r="C110" s="3" t="str">
        <f>VLOOKUP($B110, [1]Main!$E$2:$G$1121, 2, FALSE)</f>
        <v>Module.Finance.Data.SalesInvoice.Report.DataList</v>
      </c>
      <c r="D110" s="3" t="str">
        <f>VLOOKUP($B110, [1]Main!$E$2:$G$1121, 3, FALSE)</f>
        <v>Sales Invoice Summary</v>
      </c>
      <c r="F110" s="17">
        <f t="shared" si="16"/>
        <v>97000000000109</v>
      </c>
      <c r="K110" s="18" t="s">
        <v>46</v>
      </c>
      <c r="M110" s="6">
        <f t="shared" si="17"/>
        <v>256000000000109</v>
      </c>
      <c r="O110" s="15" t="str">
        <f t="shared" si="12"/>
        <v>PERFORM "SchSysConfig"."Func_TblAppObject_MenuAction_SET"(varSystemLoginSession, null, null, null, varInstitutionBranchID, varBaseCurrencyID, 97000000000109, '', '', 'ReportInvoiceSummary');</v>
      </c>
      <c r="Q110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'97000000000109'::varchar,'key', null::varchar,'caption', null::varchar,'URLPath', 'ReportInvoiceSummary'::varchar)))::varchar;</v>
      </c>
    </row>
    <row r="111" spans="2:17" x14ac:dyDescent="0.2">
      <c r="B111" s="7">
        <f t="shared" si="11"/>
        <v>97000000000110</v>
      </c>
      <c r="C111" s="3" t="str">
        <f>VLOOKUP($B111, [1]Main!$E$2:$G$1121, 2, FALSE)</f>
        <v>Module.Finance.Data.SalesInvoiceToCreditNote.Report.DataList</v>
      </c>
      <c r="D111" s="3" t="str">
        <f>VLOOKUP($B111, [1]Main!$E$2:$G$1121, 3, FALSE)</f>
        <v>Sales Invoice to Credit Note</v>
      </c>
      <c r="F111" s="17">
        <f t="shared" si="16"/>
        <v>97000000000110</v>
      </c>
      <c r="K111" s="18"/>
      <c r="M111" s="6">
        <f t="shared" si="17"/>
        <v>256000000000110</v>
      </c>
      <c r="O111" s="15" t="str">
        <f t="shared" si="12"/>
        <v>PERFORM "SchSysConfig"."Func_TblAppObject_MenuAction_SET"(varSystemLoginSession, null, null, null, varInstitutionBranchID, varBaseCurrencyID, 97000000000110, '', '', null);</v>
      </c>
      <c r="Q111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'97000000000110'::varchar,'key', null::varchar,'caption', null::varchar,'URLPath', null::varchar)))::varchar;</v>
      </c>
    </row>
    <row r="112" spans="2:17" x14ac:dyDescent="0.2">
      <c r="B112" s="7">
        <f t="shared" si="11"/>
        <v>97000000000111</v>
      </c>
      <c r="C112" s="3" t="str">
        <f>VLOOKUP($B112, [1]Main!$E$2:$G$1121, 2, FALSE)</f>
        <v>Module.Finance.Data.TaxReconciliation.Transaction</v>
      </c>
      <c r="D112" s="3" t="str">
        <f>VLOOKUP($B112, [1]Main!$E$2:$G$1121, 3, FALSE)</f>
        <v>Tax Reconciliation</v>
      </c>
      <c r="F112" s="17">
        <f t="shared" si="16"/>
        <v>97000000000111</v>
      </c>
      <c r="K112" s="18" t="s">
        <v>59</v>
      </c>
      <c r="M112" s="6">
        <f t="shared" si="17"/>
        <v>256000000000111</v>
      </c>
      <c r="O112" s="15" t="str">
        <f t="shared" si="12"/>
        <v>PERFORM "SchSysConfig"."Func_TblAppObject_MenuAction_SET"(varSystemLoginSession, null, null, null, varInstitutionBranchID, varBaseCurrencyID, 97000000000111, '', '', 'TaxRecon?var=1');</v>
      </c>
      <c r="Q112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'97000000000111'::varchar,'key', null::varchar,'caption', null::varchar,'URLPath', 'TaxRecon?var=1'::varchar)))::varchar;</v>
      </c>
    </row>
    <row r="113" spans="2:17" x14ac:dyDescent="0.2">
      <c r="B113" s="9">
        <f t="shared" si="11"/>
        <v>97000000000112</v>
      </c>
      <c r="C113" s="11" t="str">
        <f>VLOOKUP($B113, [1]Main!$E$2:$G$1121, 2, FALSE)</f>
        <v>Module.Finance.Data.TaxReconciliation.Report.DataList</v>
      </c>
      <c r="D113" s="11" t="str">
        <f>VLOOKUP($B113, [1]Main!$E$2:$G$1121, 3, FALSE)</f>
        <v>Tax Reconciliation Summary</v>
      </c>
      <c r="F113" s="20">
        <f t="shared" si="16"/>
        <v>97000000000112</v>
      </c>
      <c r="K113" s="19" t="s">
        <v>47</v>
      </c>
      <c r="M113" s="6">
        <f t="shared" si="17"/>
        <v>256000000000112</v>
      </c>
      <c r="O113" s="15" t="str">
        <f t="shared" si="12"/>
        <v>PERFORM "SchSysConfig"."Func_TblAppObject_MenuAction_SET"(varSystemLoginSession, null, null, null, varInstitutionBranchID, varBaseCurrencyID, 97000000000112, '', '', 'ReportTaxReconSummary');</v>
      </c>
      <c r="Q113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'97000000000112'::varchar,'key', null::varchar,'caption', null::varchar,'URLPath', 'ReportTaxReconSummary'::varchar)))::varchar;</v>
      </c>
    </row>
    <row r="114" spans="2:17" x14ac:dyDescent="0.2">
      <c r="B114" s="7">
        <f t="shared" si="11"/>
        <v>97000000000113</v>
      </c>
      <c r="C114" s="3" t="str">
        <f>VLOOKUP($B114, [1]Main!$E$2:$G$1121, 2, FALSE)</f>
        <v>Module.CustomerRelation.MasterData.Customer.Transaction</v>
      </c>
      <c r="D114" s="3" t="str">
        <f>VLOOKUP($B114, [1]Main!$E$2:$G$1121, 3, FALSE)</f>
        <v>Customer</v>
      </c>
      <c r="F114" s="17">
        <f t="shared" si="16"/>
        <v>97000000000113</v>
      </c>
      <c r="K114" s="18"/>
      <c r="M114" s="6">
        <f t="shared" si="17"/>
        <v>256000000000113</v>
      </c>
      <c r="O114" s="15" t="str">
        <f t="shared" si="12"/>
        <v>PERFORM "SchSysConfig"."Func_TblAppObject_MenuAction_SET"(varSystemLoginSession, null, null, null, varInstitutionBranchID, varBaseCurrencyID, 97000000000113, '', '', null);</v>
      </c>
      <c r="Q114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'97000000000113'::varchar,'key', null::varchar,'caption', null::varchar,'URLPath', null::varchar)))::varchar;</v>
      </c>
    </row>
    <row r="115" spans="2:17" x14ac:dyDescent="0.2">
      <c r="B115" s="7">
        <f t="shared" si="11"/>
        <v>97000000000114</v>
      </c>
      <c r="C115" s="3" t="str">
        <f>VLOOKUP($B115, [1]Main!$E$2:$G$1121, 2, FALSE)</f>
        <v>Module.CustomerRelation.MasterData.CustomerOrder.Transaction</v>
      </c>
      <c r="D115" s="3" t="str">
        <f>VLOOKUP($B115, [1]Main!$E$2:$G$1121, 3, FALSE)</f>
        <v>Customer Order</v>
      </c>
      <c r="F115" s="17">
        <f t="shared" si="16"/>
        <v>97000000000114</v>
      </c>
      <c r="K115" s="18" t="s">
        <v>72</v>
      </c>
      <c r="M115" s="6">
        <f t="shared" si="17"/>
        <v>256000000000114</v>
      </c>
      <c r="O115" s="15" t="str">
        <f t="shared" si="12"/>
        <v>PERFORM "SchSysConfig"."Func_TblAppObject_MenuAction_SET"(varSystemLoginSession, null, null, null, varInstitutionBranchID, varBaseCurrencyID, 97000000000114, '', '', 'CustomerOrder?var=1');</v>
      </c>
      <c r="Q115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'97000000000114'::varchar,'key', null::varchar,'caption', null::varchar,'URLPath', 'CustomerOrder?var=1'::varchar)))::varchar;</v>
      </c>
    </row>
    <row r="116" spans="2:17" x14ac:dyDescent="0.2">
      <c r="B116" s="7">
        <f t="shared" si="11"/>
        <v>97000000000115</v>
      </c>
      <c r="C116" s="3" t="str">
        <f>VLOOKUP($B116, [1]Main!$E$2:$G$1121, 2, FALSE)</f>
        <v>Module.CustomerRelation.MasterData.CustomerOrder.Report.DataList</v>
      </c>
      <c r="D116" s="3" t="str">
        <f>VLOOKUP($B116, [1]Main!$E$2:$G$1121, 3, FALSE)</f>
        <v>Customer Order Summary</v>
      </c>
      <c r="F116" s="17">
        <f t="shared" ref="F116" si="18">IF(EXACT(B116, ""), F115, B116)</f>
        <v>97000000000115</v>
      </c>
      <c r="K116" s="18" t="s">
        <v>73</v>
      </c>
      <c r="M116" s="6">
        <f t="shared" si="17"/>
        <v>256000000000115</v>
      </c>
      <c r="O116" s="15" t="str">
        <f t="shared" si="12"/>
        <v>PERFORM "SchSysConfig"."Func_TblAppObject_MenuAction_SET"(varSystemLoginSession, null, null, null, varInstitutionBranchID, varBaseCurrencyID, 97000000000115, '', '', 'ReportCustomerOrderSummary');</v>
      </c>
      <c r="Q116" s="1" t="str">
        <f t="shared" si="13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varInstitutionBranchID::bigint,'sysBaseCurrency_RefID',varBaseCurrencyID::bigint,'menu_RefID', '97000000000115'::varchar,'key', null::varchar,'caption', null::varchar,'URLPath', 'ReportCustomerOrderSummary'::varchar)))::varchar;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2026-07-20T09:28:54Z</dcterms:modified>
</cp:coreProperties>
</file>