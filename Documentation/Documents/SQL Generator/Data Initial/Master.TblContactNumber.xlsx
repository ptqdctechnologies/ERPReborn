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RAW - HP" sheetId="2" r:id="rId1"/>
    <sheet name="SEED" sheetId="4" r:id="rId2"/>
    <sheet name="DataLookUp" sheetId="5" r:id="rId3"/>
    <sheet name="REF - ContactNumberType" sheetId="3" r:id="rId4"/>
    <sheet name="Sheet1" sheetId="1" r:id="rId5"/>
  </sheets>
  <externalReferences>
    <externalReference r:id="rId6"/>
    <externalReference r:id="rId7"/>
  </externalReferences>
  <calcPr calcId="152511"/>
</workbook>
</file>

<file path=xl/calcChain.xml><?xml version="1.0" encoding="utf-8"?>
<calcChain xmlns="http://schemas.openxmlformats.org/spreadsheetml/2006/main">
  <c r="B7" i="5" l="1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5" i="5"/>
  <c r="B6" i="5"/>
  <c r="B4" i="5"/>
  <c r="K6" i="4" l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E216" i="4"/>
  <c r="E241" i="4"/>
  <c r="E244" i="4"/>
  <c r="E246" i="4"/>
  <c r="E319" i="4"/>
  <c r="E318" i="4"/>
  <c r="E297" i="4"/>
  <c r="E275" i="4"/>
  <c r="E303" i="4"/>
  <c r="E287" i="4"/>
  <c r="E315" i="4"/>
  <c r="E272" i="4"/>
  <c r="E224" i="4"/>
  <c r="E317" i="4"/>
  <c r="E214" i="4"/>
  <c r="E210" i="4"/>
  <c r="E219" i="4"/>
  <c r="E221" i="4"/>
  <c r="E222" i="4"/>
  <c r="E229" i="4"/>
  <c r="E238" i="4"/>
  <c r="E249" i="4"/>
  <c r="E299" i="4"/>
  <c r="E289" i="4"/>
  <c r="E255" i="4"/>
  <c r="E256" i="4"/>
  <c r="E262" i="4"/>
  <c r="E265" i="4"/>
  <c r="E268" i="4"/>
  <c r="E305" i="4"/>
  <c r="E204" i="4"/>
  <c r="E212" i="4"/>
  <c r="E294" i="4"/>
  <c r="E277" i="4"/>
  <c r="E283" i="4"/>
  <c r="J90" i="4" l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59" i="4" s="1"/>
  <c r="J160" i="4" s="1"/>
  <c r="J161" i="4" s="1"/>
  <c r="J162" i="4" s="1"/>
  <c r="J163" i="4" s="1"/>
  <c r="J164" i="4" s="1"/>
  <c r="J165" i="4" s="1"/>
  <c r="J166" i="4" s="1"/>
  <c r="J167" i="4" s="1"/>
  <c r="J168" i="4" s="1"/>
  <c r="J169" i="4" s="1"/>
  <c r="J170" i="4" s="1"/>
  <c r="J171" i="4" s="1"/>
  <c r="J172" i="4" s="1"/>
  <c r="J173" i="4" s="1"/>
  <c r="J174" i="4" s="1"/>
  <c r="J175" i="4" s="1"/>
  <c r="J176" i="4" s="1"/>
  <c r="J177" i="4" s="1"/>
  <c r="J178" i="4" s="1"/>
  <c r="J179" i="4" s="1"/>
  <c r="J180" i="4" s="1"/>
  <c r="J181" i="4" s="1"/>
  <c r="J182" i="4" s="1"/>
  <c r="J183" i="4" s="1"/>
  <c r="J184" i="4" s="1"/>
  <c r="J185" i="4" s="1"/>
  <c r="J186" i="4" s="1"/>
  <c r="J187" i="4" s="1"/>
  <c r="J188" i="4" s="1"/>
  <c r="J189" i="4" s="1"/>
  <c r="J190" i="4" s="1"/>
  <c r="J191" i="4" s="1"/>
  <c r="J192" i="4" s="1"/>
  <c r="J193" i="4" s="1"/>
  <c r="J194" i="4" s="1"/>
  <c r="J195" i="4" s="1"/>
  <c r="J196" i="4" s="1"/>
  <c r="J197" i="4" s="1"/>
  <c r="J198" i="4" s="1"/>
  <c r="J199" i="4" s="1"/>
  <c r="J200" i="4" s="1"/>
  <c r="J201" i="4" s="1"/>
  <c r="J202" i="4" s="1"/>
  <c r="J203" i="4" s="1"/>
  <c r="J204" i="4" s="1"/>
  <c r="J205" i="4" s="1"/>
  <c r="J206" i="4" s="1"/>
  <c r="J207" i="4" s="1"/>
  <c r="J208" i="4" s="1"/>
  <c r="J209" i="4" s="1"/>
  <c r="J210" i="4" s="1"/>
  <c r="J211" i="4" s="1"/>
  <c r="J212" i="4" s="1"/>
  <c r="J213" i="4" s="1"/>
  <c r="J214" i="4" s="1"/>
  <c r="J215" i="4" s="1"/>
  <c r="J216" i="4" s="1"/>
  <c r="J217" i="4" s="1"/>
  <c r="J218" i="4" s="1"/>
  <c r="J219" i="4" s="1"/>
  <c r="J220" i="4" s="1"/>
  <c r="J221" i="4" s="1"/>
  <c r="J222" i="4" s="1"/>
  <c r="J223" i="4" s="1"/>
  <c r="J224" i="4" s="1"/>
  <c r="J225" i="4" s="1"/>
  <c r="J226" i="4" s="1"/>
  <c r="J227" i="4" s="1"/>
  <c r="J228" i="4" s="1"/>
  <c r="J229" i="4" s="1"/>
  <c r="J230" i="4" s="1"/>
  <c r="J231" i="4" s="1"/>
  <c r="J232" i="4" s="1"/>
  <c r="J233" i="4" s="1"/>
  <c r="J234" i="4" s="1"/>
  <c r="J235" i="4" s="1"/>
  <c r="J236" i="4" s="1"/>
  <c r="J237" i="4" s="1"/>
  <c r="J238" i="4" s="1"/>
  <c r="J239" i="4" s="1"/>
  <c r="J240" i="4" s="1"/>
  <c r="J241" i="4" s="1"/>
  <c r="J242" i="4" s="1"/>
  <c r="J243" i="4" s="1"/>
  <c r="J244" i="4" s="1"/>
  <c r="J245" i="4" s="1"/>
  <c r="J246" i="4" s="1"/>
  <c r="J247" i="4" s="1"/>
  <c r="J248" i="4" s="1"/>
  <c r="J249" i="4" s="1"/>
  <c r="J250" i="4" s="1"/>
  <c r="J251" i="4" s="1"/>
  <c r="J252" i="4" s="1"/>
  <c r="J253" i="4" s="1"/>
  <c r="J254" i="4" s="1"/>
  <c r="J255" i="4" s="1"/>
  <c r="J256" i="4" s="1"/>
  <c r="J257" i="4" s="1"/>
  <c r="J258" i="4" s="1"/>
  <c r="J259" i="4" s="1"/>
  <c r="J260" i="4" s="1"/>
  <c r="J261" i="4" s="1"/>
  <c r="J262" i="4" s="1"/>
  <c r="J263" i="4" s="1"/>
  <c r="J264" i="4" s="1"/>
  <c r="J265" i="4" s="1"/>
  <c r="J266" i="4" s="1"/>
  <c r="J267" i="4" s="1"/>
  <c r="J268" i="4" s="1"/>
  <c r="J269" i="4" s="1"/>
  <c r="J270" i="4" s="1"/>
  <c r="J271" i="4" s="1"/>
  <c r="J272" i="4" s="1"/>
  <c r="J273" i="4" s="1"/>
  <c r="J274" i="4" s="1"/>
  <c r="J275" i="4" s="1"/>
  <c r="J276" i="4" s="1"/>
  <c r="J277" i="4" s="1"/>
  <c r="J278" i="4" s="1"/>
  <c r="J279" i="4" s="1"/>
  <c r="J280" i="4" s="1"/>
  <c r="J281" i="4" s="1"/>
  <c r="J282" i="4" s="1"/>
  <c r="J283" i="4" s="1"/>
  <c r="J284" i="4" s="1"/>
  <c r="J285" i="4" s="1"/>
  <c r="J286" i="4" s="1"/>
  <c r="J287" i="4" s="1"/>
  <c r="J288" i="4" s="1"/>
  <c r="J289" i="4" s="1"/>
  <c r="J290" i="4" s="1"/>
  <c r="J291" i="4" s="1"/>
  <c r="J292" i="4" s="1"/>
  <c r="J293" i="4" s="1"/>
  <c r="J294" i="4" s="1"/>
  <c r="J295" i="4" s="1"/>
  <c r="J296" i="4" s="1"/>
  <c r="J297" i="4" s="1"/>
  <c r="J298" i="4" s="1"/>
  <c r="J299" i="4" s="1"/>
  <c r="J300" i="4" s="1"/>
  <c r="J301" i="4" s="1"/>
  <c r="J302" i="4" s="1"/>
  <c r="J303" i="4" s="1"/>
  <c r="J304" i="4" s="1"/>
  <c r="J305" i="4" s="1"/>
  <c r="J306" i="4" s="1"/>
  <c r="J307" i="4" s="1"/>
  <c r="J308" i="4" s="1"/>
  <c r="J309" i="4" s="1"/>
  <c r="J310" i="4" s="1"/>
  <c r="J311" i="4" s="1"/>
  <c r="J312" i="4" s="1"/>
  <c r="J313" i="4" s="1"/>
  <c r="J314" i="4" s="1"/>
  <c r="J315" i="4" s="1"/>
  <c r="J316" i="4" s="1"/>
  <c r="J317" i="4" s="1"/>
  <c r="J318" i="4" s="1"/>
  <c r="J319" i="4" s="1"/>
  <c r="E307" i="4"/>
  <c r="E207" i="4"/>
  <c r="E316" i="4"/>
  <c r="E314" i="4"/>
  <c r="E313" i="4"/>
  <c r="E312" i="4"/>
  <c r="E311" i="4"/>
  <c r="E310" i="4"/>
  <c r="E309" i="4"/>
  <c r="E308" i="4"/>
  <c r="E306" i="4"/>
  <c r="E304" i="4"/>
  <c r="E302" i="4"/>
  <c r="E301" i="4"/>
  <c r="E300" i="4"/>
  <c r="E298" i="4"/>
  <c r="E296" i="4"/>
  <c r="E295" i="4"/>
  <c r="E293" i="4"/>
  <c r="E292" i="4"/>
  <c r="E291" i="4"/>
  <c r="E290" i="4"/>
  <c r="E288" i="4"/>
  <c r="E286" i="4"/>
  <c r="E285" i="4"/>
  <c r="E284" i="4"/>
  <c r="E282" i="4"/>
  <c r="E281" i="4"/>
  <c r="E280" i="4"/>
  <c r="E279" i="4"/>
  <c r="E278" i="4"/>
  <c r="E276" i="4"/>
  <c r="E274" i="4"/>
  <c r="E273" i="4"/>
  <c r="E271" i="4"/>
  <c r="E270" i="4"/>
  <c r="E269" i="4"/>
  <c r="E267" i="4"/>
  <c r="E266" i="4"/>
  <c r="E264" i="4"/>
  <c r="E263" i="4"/>
  <c r="E261" i="4"/>
  <c r="E260" i="4"/>
  <c r="E259" i="4"/>
  <c r="E258" i="4"/>
  <c r="E257" i="4"/>
  <c r="E254" i="4"/>
  <c r="E253" i="4"/>
  <c r="E252" i="4"/>
  <c r="E251" i="4"/>
  <c r="E250" i="4"/>
  <c r="E248" i="4"/>
  <c r="E247" i="4"/>
  <c r="E245" i="4"/>
  <c r="E243" i="4"/>
  <c r="E242" i="4"/>
  <c r="E240" i="4"/>
  <c r="E239" i="4"/>
  <c r="E237" i="4"/>
  <c r="E236" i="4"/>
  <c r="E235" i="4"/>
  <c r="E234" i="4"/>
  <c r="E233" i="4"/>
  <c r="E232" i="4"/>
  <c r="E231" i="4"/>
  <c r="E230" i="4"/>
  <c r="E228" i="4"/>
  <c r="E227" i="4"/>
  <c r="E226" i="4"/>
  <c r="E225" i="4"/>
  <c r="E223" i="4"/>
  <c r="E220" i="4"/>
  <c r="E218" i="4"/>
  <c r="E217" i="4"/>
  <c r="E215" i="4"/>
  <c r="E213" i="4"/>
  <c r="E211" i="4"/>
  <c r="E209" i="4"/>
  <c r="E208" i="4"/>
  <c r="E206" i="4"/>
  <c r="E205" i="4"/>
  <c r="E203" i="4"/>
  <c r="E202" i="4"/>
  <c r="E201" i="4"/>
  <c r="E175" i="4"/>
  <c r="E172" i="4"/>
  <c r="E200" i="4"/>
  <c r="E199" i="4"/>
  <c r="E198" i="4"/>
  <c r="K5" i="4"/>
  <c r="K4" i="4"/>
  <c r="J4" i="4"/>
  <c r="C131" i="4"/>
  <c r="C130" i="4"/>
  <c r="C129" i="4"/>
  <c r="C128" i="4"/>
  <c r="C126" i="4"/>
  <c r="C122" i="4"/>
  <c r="C120" i="4"/>
  <c r="C116" i="4"/>
  <c r="C115" i="4"/>
  <c r="C114" i="4"/>
  <c r="C113" i="4"/>
  <c r="C110" i="4"/>
  <c r="C109" i="4"/>
  <c r="C107" i="4"/>
  <c r="C102" i="4"/>
  <c r="C99" i="4"/>
  <c r="C98" i="4"/>
  <c r="C97" i="4"/>
  <c r="C95" i="4"/>
  <c r="C91" i="4"/>
  <c r="C85" i="4"/>
  <c r="C84" i="4"/>
  <c r="C81" i="4"/>
  <c r="C80" i="4"/>
  <c r="C79" i="4"/>
  <c r="C78" i="4"/>
  <c r="C74" i="4"/>
  <c r="C73" i="4"/>
  <c r="C72" i="4"/>
  <c r="C70" i="4"/>
  <c r="C68" i="4"/>
  <c r="C67" i="4"/>
  <c r="C66" i="4"/>
  <c r="C63" i="4"/>
  <c r="C61" i="4"/>
  <c r="C58" i="4"/>
  <c r="C53" i="4"/>
  <c r="C44" i="4"/>
  <c r="C38" i="4"/>
  <c r="C37" i="4"/>
  <c r="C35" i="4"/>
  <c r="C34" i="4"/>
  <c r="C33" i="4"/>
  <c r="C32" i="4"/>
  <c r="C30" i="4"/>
  <c r="C29" i="4"/>
  <c r="C14" i="4"/>
  <c r="C13" i="4"/>
  <c r="C12" i="4"/>
  <c r="C9" i="4"/>
  <c r="C8" i="4"/>
  <c r="C7" i="4"/>
  <c r="C5" i="4"/>
  <c r="C176" i="4"/>
  <c r="C178" i="4"/>
  <c r="C182" i="4"/>
  <c r="E163" i="4"/>
  <c r="E16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4" i="4"/>
  <c r="E165" i="4"/>
  <c r="E166" i="4"/>
  <c r="E167" i="4"/>
  <c r="E168" i="4"/>
  <c r="E169" i="4"/>
  <c r="E170" i="4"/>
  <c r="E171" i="4"/>
  <c r="E173" i="4"/>
  <c r="E174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42" i="4"/>
  <c r="J5" i="4" l="1"/>
  <c r="E10" i="4" l="1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9" i="4"/>
  <c r="E8" i="4"/>
  <c r="E7" i="4"/>
  <c r="E6" i="4"/>
  <c r="E5" i="4"/>
  <c r="E4" i="4"/>
  <c r="C117" i="4" l="1"/>
  <c r="C132" i="4" l="1"/>
  <c r="C55" i="4" l="1"/>
  <c r="C139" i="4" l="1"/>
  <c r="C119" i="4" l="1"/>
  <c r="C172" i="4"/>
  <c r="C159" i="4"/>
  <c r="C158" i="4"/>
  <c r="C157" i="4"/>
  <c r="C156" i="4"/>
  <c r="C155" i="4"/>
  <c r="C154" i="4"/>
  <c r="C149" i="4"/>
  <c r="C148" i="4"/>
  <c r="C145" i="4"/>
  <c r="C144" i="4"/>
  <c r="C143" i="4"/>
  <c r="C142" i="4"/>
  <c r="C141" i="4"/>
  <c r="C138" i="4"/>
  <c r="C137" i="4"/>
  <c r="C136" i="4"/>
  <c r="C135" i="4"/>
  <c r="C134" i="4"/>
  <c r="C133" i="4"/>
  <c r="C127" i="4"/>
  <c r="C123" i="4"/>
  <c r="C121" i="4"/>
  <c r="C118" i="4"/>
  <c r="C112" i="4"/>
  <c r="C111" i="4"/>
  <c r="C106" i="4"/>
  <c r="C105" i="4"/>
  <c r="C104" i="4"/>
  <c r="C103" i="4"/>
  <c r="C101" i="4"/>
  <c r="C100" i="4"/>
  <c r="C96" i="4"/>
  <c r="C94" i="4"/>
  <c r="C93" i="4"/>
  <c r="C92" i="4"/>
  <c r="C90" i="4"/>
  <c r="C87" i="4"/>
  <c r="C77" i="4"/>
  <c r="C75" i="4"/>
  <c r="C71" i="4"/>
  <c r="C69" i="4"/>
  <c r="C65" i="4"/>
  <c r="C64" i="4"/>
  <c r="C60" i="4"/>
  <c r="C59" i="4"/>
  <c r="C57" i="4"/>
  <c r="C56" i="4"/>
  <c r="C54" i="4"/>
  <c r="C50" i="4"/>
  <c r="C49" i="4"/>
  <c r="C48" i="4"/>
  <c r="C47" i="4"/>
  <c r="C46" i="4"/>
  <c r="C45" i="4"/>
  <c r="C43" i="4"/>
  <c r="C42" i="4"/>
  <c r="C41" i="4"/>
  <c r="C40" i="4"/>
  <c r="C39" i="4"/>
  <c r="C36" i="4"/>
  <c r="C31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1" i="4"/>
  <c r="C10" i="4"/>
  <c r="C6" i="4"/>
  <c r="C4" i="4"/>
  <c r="C162" i="4"/>
  <c r="C163" i="4"/>
  <c r="C164" i="4"/>
  <c r="C168" i="4"/>
  <c r="C169" i="4"/>
  <c r="C170" i="4"/>
  <c r="C171" i="4"/>
  <c r="C173" i="4"/>
  <c r="C177" i="4"/>
  <c r="C181" i="4"/>
  <c r="C184" i="4"/>
  <c r="C185" i="4"/>
  <c r="C189" i="4"/>
  <c r="C192" i="4"/>
  <c r="C196" i="4"/>
  <c r="C161" i="4"/>
  <c r="C175" i="4"/>
  <c r="C198" i="4"/>
  <c r="C160" i="4"/>
  <c r="C153" i="4"/>
  <c r="C152" i="4"/>
  <c r="C151" i="4"/>
  <c r="C150" i="4"/>
  <c r="C147" i="4"/>
  <c r="C146" i="4"/>
  <c r="C140" i="4"/>
  <c r="C125" i="4"/>
  <c r="C124" i="4"/>
  <c r="C108" i="4"/>
  <c r="C89" i="4"/>
  <c r="C88" i="4"/>
  <c r="C86" i="4"/>
  <c r="C83" i="4"/>
  <c r="C82" i="4"/>
  <c r="C76" i="4"/>
  <c r="C62" i="4"/>
  <c r="C52" i="4"/>
  <c r="C51" i="4"/>
  <c r="C165" i="4"/>
  <c r="C166" i="4"/>
  <c r="C167" i="4"/>
  <c r="C174" i="4"/>
  <c r="C179" i="4"/>
  <c r="C180" i="4"/>
  <c r="C183" i="4"/>
  <c r="C186" i="4"/>
  <c r="C187" i="4"/>
  <c r="C188" i="4"/>
  <c r="C190" i="4"/>
  <c r="C191" i="4"/>
  <c r="C193" i="4"/>
  <c r="C194" i="4"/>
  <c r="C195" i="4"/>
  <c r="C197" i="4"/>
  <c r="C202" i="4" l="1"/>
  <c r="C200" i="4"/>
  <c r="C199" i="4" l="1"/>
  <c r="C201" i="4"/>
  <c r="C203" i="4"/>
  <c r="C204" i="4" l="1"/>
  <c r="C205" i="4" l="1"/>
  <c r="C207" i="4" l="1"/>
  <c r="C206" i="4" l="1"/>
  <c r="C268" i="4" l="1"/>
  <c r="C265" i="4"/>
  <c r="C262" i="4"/>
  <c r="C256" i="4"/>
  <c r="C255" i="4"/>
  <c r="C289" i="4"/>
  <c r="C249" i="4"/>
  <c r="C238" i="4"/>
  <c r="C229" i="4"/>
  <c r="C222" i="4"/>
  <c r="C221" i="4"/>
  <c r="C219" i="4"/>
  <c r="C210" i="4"/>
  <c r="C214" i="4"/>
  <c r="C224" i="4"/>
  <c r="C272" i="4"/>
  <c r="C287" i="4"/>
  <c r="C275" i="4"/>
  <c r="C297" i="4"/>
  <c r="C246" i="4"/>
  <c r="C244" i="4"/>
  <c r="C241" i="4"/>
  <c r="C216" i="4"/>
  <c r="C299" i="4"/>
  <c r="C303" i="4" l="1"/>
  <c r="C305" i="4" l="1"/>
  <c r="C318" i="4" l="1"/>
  <c r="C319" i="4"/>
  <c r="C315" i="4"/>
  <c r="C317" i="4"/>
  <c r="C208" i="4"/>
  <c r="C209" i="4"/>
  <c r="C211" i="4"/>
  <c r="C213" i="4"/>
  <c r="C215" i="4"/>
  <c r="C217" i="4"/>
  <c r="C218" i="4"/>
  <c r="C220" i="4"/>
  <c r="C223" i="4"/>
  <c r="C225" i="4"/>
  <c r="C226" i="4"/>
  <c r="C227" i="4"/>
  <c r="C228" i="4"/>
  <c r="C230" i="4"/>
  <c r="C231" i="4"/>
  <c r="C232" i="4"/>
  <c r="C233" i="4"/>
  <c r="C234" i="4"/>
  <c r="C235" i="4"/>
  <c r="C236" i="4"/>
  <c r="C237" i="4"/>
  <c r="C239" i="4"/>
  <c r="C240" i="4"/>
  <c r="C242" i="4"/>
  <c r="C243" i="4"/>
  <c r="C245" i="4"/>
  <c r="C247" i="4"/>
  <c r="C248" i="4"/>
  <c r="C250" i="4"/>
  <c r="C251" i="4"/>
  <c r="C252" i="4"/>
  <c r="C253" i="4"/>
  <c r="C254" i="4"/>
  <c r="C257" i="4"/>
  <c r="C258" i="4"/>
  <c r="C259" i="4"/>
  <c r="C260" i="4"/>
  <c r="C261" i="4"/>
  <c r="C263" i="4"/>
  <c r="C264" i="4"/>
  <c r="C266" i="4"/>
  <c r="C267" i="4"/>
  <c r="C269" i="4"/>
  <c r="C270" i="4"/>
  <c r="C271" i="4"/>
  <c r="C273" i="4"/>
  <c r="C276" i="4"/>
  <c r="C278" i="4"/>
  <c r="C279" i="4"/>
  <c r="C280" i="4"/>
  <c r="C281" i="4"/>
  <c r="C282" i="4"/>
  <c r="C284" i="4"/>
  <c r="C285" i="4"/>
  <c r="C286" i="4"/>
  <c r="C288" i="4"/>
  <c r="C290" i="4"/>
  <c r="C291" i="4"/>
  <c r="C292" i="4"/>
  <c r="C293" i="4"/>
  <c r="C295" i="4"/>
  <c r="C296" i="4"/>
  <c r="C298" i="4"/>
  <c r="C300" i="4"/>
  <c r="C301" i="4"/>
  <c r="C302" i="4"/>
  <c r="C304" i="4"/>
  <c r="C306" i="4"/>
  <c r="C308" i="4"/>
  <c r="C309" i="4"/>
  <c r="C310" i="4"/>
  <c r="C311" i="4"/>
  <c r="C312" i="4"/>
  <c r="C313" i="4"/>
  <c r="C314" i="4"/>
  <c r="C316" i="4"/>
  <c r="C307" i="4"/>
  <c r="C283" i="4"/>
  <c r="C277" i="4"/>
  <c r="C274" i="4"/>
  <c r="C294" i="4"/>
  <c r="C212" i="4"/>
</calcChain>
</file>

<file path=xl/sharedStrings.xml><?xml version="1.0" encoding="utf-8"?>
<sst xmlns="http://schemas.openxmlformats.org/spreadsheetml/2006/main" count="1566" uniqueCount="981">
  <si>
    <t>Abdollah Syani Siregar</t>
  </si>
  <si>
    <t>Abdul Karim</t>
  </si>
  <si>
    <t>Abdul Rahman Sitompul</t>
  </si>
  <si>
    <t>Abdul Risan</t>
  </si>
  <si>
    <t>Abdullah Nabil</t>
  </si>
  <si>
    <t>Adhitya Danar</t>
  </si>
  <si>
    <t>Adi Ruswandi</t>
  </si>
  <si>
    <t>Adietya Dharmawan</t>
  </si>
  <si>
    <t>Aditya Yudha Prawira</t>
  </si>
  <si>
    <t>Adli Margie</t>
  </si>
  <si>
    <t>Afrida Eka Putri</t>
  </si>
  <si>
    <t>Agnes Sutedja</t>
  </si>
  <si>
    <t>Agung Hendarto</t>
  </si>
  <si>
    <t>Agus Priyatno Mahmudo</t>
  </si>
  <si>
    <t>Agus Salim</t>
  </si>
  <si>
    <t>Agus Tanto</t>
  </si>
  <si>
    <t>Ahmad Faiz Haems Muda</t>
  </si>
  <si>
    <t>Ahmad Faza</t>
  </si>
  <si>
    <t>Ahmad Syaifulloh</t>
  </si>
  <si>
    <t>Ahmad Zulkarnaen</t>
  </si>
  <si>
    <t>Ajan</t>
  </si>
  <si>
    <t>Al Amin</t>
  </si>
  <si>
    <t>Aldi Mulyadi</t>
  </si>
  <si>
    <t>Alexandri</t>
  </si>
  <si>
    <t>Alfaedi</t>
  </si>
  <si>
    <t>Ali Wahono</t>
  </si>
  <si>
    <t>Alphaliyanri Lasria</t>
  </si>
  <si>
    <t>Ambon Rumalean</t>
  </si>
  <si>
    <t>Amir Sofyan Hadi</t>
  </si>
  <si>
    <t>Anak Agung Netti Ariani</t>
  </si>
  <si>
    <t>Andri Gunawan</t>
  </si>
  <si>
    <t>Andri Herdiansyah</t>
  </si>
  <si>
    <t>Andrie</t>
  </si>
  <si>
    <t>Anggina Tri Yudandi</t>
  </si>
  <si>
    <t>Anggit Ismiyanto</t>
  </si>
  <si>
    <t>Anika Setyowati</t>
  </si>
  <si>
    <t>Anisah</t>
  </si>
  <si>
    <t>Anna Savitrie</t>
  </si>
  <si>
    <t>Annisa Dewi Arumsari</t>
  </si>
  <si>
    <t>Annyes Sri Maristi</t>
  </si>
  <si>
    <t>Antok</t>
  </si>
  <si>
    <t>Anton Iryanto</t>
  </si>
  <si>
    <t>Antony Pakpahan</t>
  </si>
  <si>
    <t>Anugerah Januariansyah</t>
  </si>
  <si>
    <t>Anwar Purnomo</t>
  </si>
  <si>
    <t>Ardhi Swasono</t>
  </si>
  <si>
    <t>Ardi</t>
  </si>
  <si>
    <t>Ardiansyah</t>
  </si>
  <si>
    <t>Ardisam</t>
  </si>
  <si>
    <t>Ardita</t>
  </si>
  <si>
    <t>Ares S. Mauboi</t>
  </si>
  <si>
    <t>Arfah Hanum</t>
  </si>
  <si>
    <t>Arfianti Haryani</t>
  </si>
  <si>
    <t>Ari Priwarsono</t>
  </si>
  <si>
    <t>Ari Yuniasmono</t>
  </si>
  <si>
    <t>Arif Gunawan</t>
  </si>
  <si>
    <t>Arif Prasetyo</t>
  </si>
  <si>
    <t>Arini</t>
  </si>
  <si>
    <t>Ario Setyo Gunawan</t>
  </si>
  <si>
    <t>Ario Yulianto Wibowo</t>
  </si>
  <si>
    <t>Aris Widodo Pamungkas</t>
  </si>
  <si>
    <t>Arjiyanto</t>
  </si>
  <si>
    <t>Arman</t>
  </si>
  <si>
    <t>Aryoko Sudiro</t>
  </si>
  <si>
    <t>Astamyugo</t>
  </si>
  <si>
    <t>Atmo Sastro Dinoto</t>
  </si>
  <si>
    <t>Awaludin</t>
  </si>
  <si>
    <t>Bachtiar</t>
  </si>
  <si>
    <t>Bambang Irawan</t>
  </si>
  <si>
    <t>Bambang Prihatin</t>
  </si>
  <si>
    <t>Bani Mustazeni</t>
  </si>
  <si>
    <t>Bardai</t>
  </si>
  <si>
    <t>Barika</t>
  </si>
  <si>
    <t>Bela Retmalantika</t>
  </si>
  <si>
    <t>Belina Lindarwani</t>
  </si>
  <si>
    <t>Benita Sofia</t>
  </si>
  <si>
    <t>Bherly Novrandy</t>
  </si>
  <si>
    <t>Binsar</t>
  </si>
  <si>
    <t>Bondhan Sosiarta</t>
  </si>
  <si>
    <t>Budi Pranata Sinaga</t>
  </si>
  <si>
    <t>Budi Satrio</t>
  </si>
  <si>
    <t>Budianto</t>
  </si>
  <si>
    <t>Budiman</t>
  </si>
  <si>
    <t>Cahyaning Annisa</t>
  </si>
  <si>
    <t>Cahyaningrum Widiastuti</t>
  </si>
  <si>
    <t>Cecep Maulana</t>
  </si>
  <si>
    <t>Chairul Musaddat</t>
  </si>
  <si>
    <t>Christianto</t>
  </si>
  <si>
    <t>Dadan Hermawan</t>
  </si>
  <si>
    <t>Dadan Suhendar</t>
  </si>
  <si>
    <t>Dadi Anda Zuchradi</t>
  </si>
  <si>
    <t>Darsito</t>
  </si>
  <si>
    <t>Davit Lumban Gaol</t>
  </si>
  <si>
    <t>Deddy Rochman</t>
  </si>
  <si>
    <t>Dedi Kusnadi</t>
  </si>
  <si>
    <t>Dedi Marciano Rizanur</t>
  </si>
  <si>
    <t>Dedi Rianto</t>
  </si>
  <si>
    <t>Dedi Syahputra</t>
  </si>
  <si>
    <t>Deni Setiawan</t>
  </si>
  <si>
    <t>Deny Adi Purnama</t>
  </si>
  <si>
    <t>Desi Herawati</t>
  </si>
  <si>
    <t>Desi Setiowati</t>
  </si>
  <si>
    <t>Dian Firdaus</t>
  </si>
  <si>
    <t>Dian Hariyana</t>
  </si>
  <si>
    <t>Dinnar Budiarti</t>
  </si>
  <si>
    <t>Dionesius Sostenist Duka</t>
  </si>
  <si>
    <t>Diyah Martina</t>
  </si>
  <si>
    <t>Djuang Tampubolon</t>
  </si>
  <si>
    <t>Dodit Widiarto</t>
  </si>
  <si>
    <t>Dony Darmawan</t>
  </si>
  <si>
    <t>Dony Setiawan</t>
  </si>
  <si>
    <t>Dudi Rustandi</t>
  </si>
  <si>
    <t>Dudung</t>
  </si>
  <si>
    <t>Dwi Joko</t>
  </si>
  <si>
    <t>Dwinanto Prabowo</t>
  </si>
  <si>
    <t>Edi Waluyo</t>
  </si>
  <si>
    <t>Edi Siswanto</t>
  </si>
  <si>
    <t>Edi Turnip</t>
  </si>
  <si>
    <t>Edy Putra Waskita</t>
  </si>
  <si>
    <t>Edy Syahputra Situmeang</t>
  </si>
  <si>
    <t>Effendi fendi</t>
  </si>
  <si>
    <t>Efrina Dwililia</t>
  </si>
  <si>
    <t>Eka Bagus Dwi Putra</t>
  </si>
  <si>
    <t>Eka Hamidah</t>
  </si>
  <si>
    <t>Eka Purwanti</t>
  </si>
  <si>
    <t>Eka Kurniawan Hidayatullah</t>
  </si>
  <si>
    <t>Eko Laksono</t>
  </si>
  <si>
    <t>Eko Syambudi</t>
  </si>
  <si>
    <t>Elieser Ferdy P.</t>
  </si>
  <si>
    <t>Elisa</t>
  </si>
  <si>
    <t>Elsa Jayanti</t>
  </si>
  <si>
    <t>Elsa Mardian</t>
  </si>
  <si>
    <t>Emir Paranita Nasution</t>
  </si>
  <si>
    <t>Enceng Hemawan</t>
  </si>
  <si>
    <t>Endang</t>
  </si>
  <si>
    <t>Endang Lestari</t>
  </si>
  <si>
    <t>Endang Sobari</t>
  </si>
  <si>
    <t>Endang Sutrisna</t>
  </si>
  <si>
    <t>Erfananda Rasyid</t>
  </si>
  <si>
    <t>Ernawati</t>
  </si>
  <si>
    <t>Erwin Firmansyah</t>
  </si>
  <si>
    <t>Erwin Said</t>
  </si>
  <si>
    <t>Esa Annahar</t>
  </si>
  <si>
    <t>Faiz Horifal</t>
  </si>
  <si>
    <t>Fani Dwi Astutik</t>
  </si>
  <si>
    <t>Fardi Nauli R</t>
  </si>
  <si>
    <t>Farekh Huzair</t>
  </si>
  <si>
    <t>Farhana</t>
  </si>
  <si>
    <t>Febriyanto Ahdiat</t>
  </si>
  <si>
    <t>Febryan Mahsyar</t>
  </si>
  <si>
    <t>Felpy</t>
  </si>
  <si>
    <t>Feri Priyanto</t>
  </si>
  <si>
    <t>Ferry P Simanjuntak</t>
  </si>
  <si>
    <t>Fikri</t>
  </si>
  <si>
    <t>M. Fikri Caesarandi Hasibuan</t>
  </si>
  <si>
    <t>Firman Akbar</t>
  </si>
  <si>
    <t>Fitriastuti Kurnia</t>
  </si>
  <si>
    <t>Francis Imanuel</t>
  </si>
  <si>
    <t>Frando Judi Siahaan</t>
  </si>
  <si>
    <t>Frederika Intan</t>
  </si>
  <si>
    <t>Fuad Febrian</t>
  </si>
  <si>
    <t>Wiyadianto</t>
  </si>
  <si>
    <t>Galuh Swastika</t>
  </si>
  <si>
    <t>Ganda Yuharis R.</t>
  </si>
  <si>
    <t>Gatot Harsono</t>
  </si>
  <si>
    <t>Gina Septa</t>
  </si>
  <si>
    <t>Grace Kurniawan</t>
  </si>
  <si>
    <t>Gunawan</t>
  </si>
  <si>
    <t>Gustia Rakhmanita</t>
  </si>
  <si>
    <t>Habib Abdullah</t>
  </si>
  <si>
    <t>Hadi Kasmuri</t>
  </si>
  <si>
    <t>Haikal</t>
  </si>
  <si>
    <t>Hanantowiryo Tamtama</t>
  </si>
  <si>
    <t>Handoko</t>
  </si>
  <si>
    <t>Hanif Ashari</t>
  </si>
  <si>
    <t>Hanif Eko Saputro</t>
  </si>
  <si>
    <t>Hardianto</t>
  </si>
  <si>
    <t>Harlen Amudi Purba</t>
  </si>
  <si>
    <t>Harry Isnaeni</t>
  </si>
  <si>
    <t>Hasan Gani</t>
  </si>
  <si>
    <t>Hasrul</t>
  </si>
  <si>
    <t>Hendar Pambudi</t>
  </si>
  <si>
    <t>Hendri Kustian</t>
  </si>
  <si>
    <t>Hendrik</t>
  </si>
  <si>
    <t>Herdi Yulia Rohmana</t>
  </si>
  <si>
    <t>Heri Susanto</t>
  </si>
  <si>
    <t>Herlin Juli Asri</t>
  </si>
  <si>
    <t>Herman Budoyo</t>
  </si>
  <si>
    <t>Herni Yuliati</t>
  </si>
  <si>
    <t>Hernita Dwi</t>
  </si>
  <si>
    <t>Herri Setyawan</t>
  </si>
  <si>
    <t>Heru Sugiri</t>
  </si>
  <si>
    <t>Hervian Bagus Saputra</t>
  </si>
  <si>
    <t>H.R. Marlina S. T. R.</t>
  </si>
  <si>
    <t>Ibrahim Soukani</t>
  </si>
  <si>
    <t>Icha Mailinda Syamsoedin</t>
  </si>
  <si>
    <t>Ichsanudin</t>
  </si>
  <si>
    <t>Ida Tri Wulaningsih</t>
  </si>
  <si>
    <t>Idham</t>
  </si>
  <si>
    <t>Idham Nasution</t>
  </si>
  <si>
    <t>Idian</t>
  </si>
  <si>
    <t>Ikun M. Soedrajat</t>
  </si>
  <si>
    <t>Ilham Arisyandy</t>
  </si>
  <si>
    <t>Ilham Akbar</t>
  </si>
  <si>
    <t>Imam Basuki</t>
  </si>
  <si>
    <t>Imam Mustofa</t>
  </si>
  <si>
    <t>Imam Safiiy</t>
  </si>
  <si>
    <t>Iman Hakiki</t>
  </si>
  <si>
    <t>Imelda Claudia</t>
  </si>
  <si>
    <t>Indawan Haryadi</t>
  </si>
  <si>
    <t>Indra Jaya</t>
  </si>
  <si>
    <t>Indra Muchtar</t>
  </si>
  <si>
    <t>Irvan</t>
  </si>
  <si>
    <t>Irvan Agus Dharma Eka Putra</t>
  </si>
  <si>
    <t>Irwan</t>
  </si>
  <si>
    <t>Isa Anshori</t>
  </si>
  <si>
    <t>Isa Taufiq</t>
  </si>
  <si>
    <t>Iskandarsyah</t>
  </si>
  <si>
    <t>Istanto Istanto</t>
  </si>
  <si>
    <t>Iswahyuni</t>
  </si>
  <si>
    <t>Iva Nurvahayati</t>
  </si>
  <si>
    <t>Iwan Setiawan</t>
  </si>
  <si>
    <t>Iwan Sumantri</t>
  </si>
  <si>
    <t>Iwan Wibawa</t>
  </si>
  <si>
    <t>Iyus Darwin</t>
  </si>
  <si>
    <t>Jaenudin</t>
  </si>
  <si>
    <t>Jaruli Samosir</t>
  </si>
  <si>
    <t>Jaya Ganef</t>
  </si>
  <si>
    <t>Jaya Sitepu</t>
  </si>
  <si>
    <t>Jeefrianda H. P. Sigalingging</t>
  </si>
  <si>
    <t>Jerry Djajasaputra</t>
  </si>
  <si>
    <t>Jimmywal</t>
  </si>
  <si>
    <t>Jodie Satria</t>
  </si>
  <si>
    <t>Johannes Silalahi</t>
  </si>
  <si>
    <t>Joko Wiyono</t>
  </si>
  <si>
    <t>Jondril Hantoni</t>
  </si>
  <si>
    <t>Jonhar Aziz</t>
  </si>
  <si>
    <t>Juan Talitha</t>
  </si>
  <si>
    <t>Juharja Juharja</t>
  </si>
  <si>
    <t>Juminar</t>
  </si>
  <si>
    <t>Jumino</t>
  </si>
  <si>
    <t>Junaedi</t>
  </si>
  <si>
    <t>Junaidi</t>
  </si>
  <si>
    <t>Jusuf Bobby Putra</t>
  </si>
  <si>
    <t>Jusuf Gandi</t>
  </si>
  <si>
    <t>Kahar Triyono</t>
  </si>
  <si>
    <t>Keila</t>
  </si>
  <si>
    <t>Kendra Daniswara</t>
  </si>
  <si>
    <t>Kevin Henokh Tambunan</t>
  </si>
  <si>
    <t>Khafid Fahrurrozi</t>
  </si>
  <si>
    <t>Kholik</t>
  </si>
  <si>
    <t>Kiki Mustikawati</t>
  </si>
  <si>
    <t>Kornelius Sakan</t>
  </si>
  <si>
    <t>Kosasih</t>
  </si>
  <si>
    <t>Krisnawan</t>
  </si>
  <si>
    <t>Kurniadi</t>
  </si>
  <si>
    <t>Kurniawan</t>
  </si>
  <si>
    <t>Laode</t>
  </si>
  <si>
    <t>Leo Nababan</t>
  </si>
  <si>
    <t>Liani Atmaningrum</t>
  </si>
  <si>
    <t>Liaseptriani Liaseptriani</t>
  </si>
  <si>
    <t>Lisma Natalia</t>
  </si>
  <si>
    <t>Listyo Hartanto</t>
  </si>
  <si>
    <t>M. Ari Ardizah Nasution</t>
  </si>
  <si>
    <t>M. Denny  Micrazudin</t>
  </si>
  <si>
    <t>M. Ridho Pramudia</t>
  </si>
  <si>
    <t>M. Rusdi</t>
  </si>
  <si>
    <t>M. Ervan Isyawal Akbar</t>
  </si>
  <si>
    <t>Maharani Tanjungsari</t>
  </si>
  <si>
    <t>Maharani Uthmaniah</t>
  </si>
  <si>
    <t>Manotar Tamba</t>
  </si>
  <si>
    <t>Maradona Manurung</t>
  </si>
  <si>
    <t>Pantas Banjarnahor Marbun</t>
  </si>
  <si>
    <t>Marcella Avia Ramadhinaningrum</t>
  </si>
  <si>
    <t>Marissa Watak</t>
  </si>
  <si>
    <t>Marten Tabun</t>
  </si>
  <si>
    <t>Martimbul Rahman</t>
  </si>
  <si>
    <t>T. Marungkil U. S. Sagala</t>
  </si>
  <si>
    <t>Marzuki</t>
  </si>
  <si>
    <t>Mashuri Mashuri</t>
  </si>
  <si>
    <t>Mat Soleh</t>
  </si>
  <si>
    <t>Mhd Syahputra</t>
  </si>
  <si>
    <t>Mia Puspitasari</t>
  </si>
  <si>
    <t>Midin Ena</t>
  </si>
  <si>
    <t>Miftakhul Muzakky</t>
  </si>
  <si>
    <t>Mista</t>
  </si>
  <si>
    <t>Mochamad Samman</t>
  </si>
  <si>
    <t>Moh. Afif</t>
  </si>
  <si>
    <t>Mohammad Arman Tompo</t>
  </si>
  <si>
    <t>Mohd. Elfan Pratama</t>
  </si>
  <si>
    <t>Monang Simarmata</t>
  </si>
  <si>
    <t>Moritz Thomsen Marbun</t>
  </si>
  <si>
    <t>Muhamad Hamdan Rifai</t>
  </si>
  <si>
    <t>Muhamad Ikhsan</t>
  </si>
  <si>
    <t>Muhamad Nurhamsach</t>
  </si>
  <si>
    <t>Muhammad Ardiansyah</t>
  </si>
  <si>
    <t>Muhammad Khadafy</t>
  </si>
  <si>
    <t>Muhammad Taufan</t>
  </si>
  <si>
    <t>Muklis</t>
  </si>
  <si>
    <t>Mulia Rohanson Harahap</t>
  </si>
  <si>
    <t>Mullan Tresna</t>
  </si>
  <si>
    <t>Mulyadi</t>
  </si>
  <si>
    <t>Mulyono</t>
  </si>
  <si>
    <t>Murdiansyah</t>
  </si>
  <si>
    <t>Mursalim</t>
  </si>
  <si>
    <t>Nancy Meriana Sinaga</t>
  </si>
  <si>
    <t>Nandang Effendi</t>
  </si>
  <si>
    <t>Narno</t>
  </si>
  <si>
    <t>Nasrul Anwar P.</t>
  </si>
  <si>
    <t>Nawal</t>
  </si>
  <si>
    <t>Nawir Lahamutu</t>
  </si>
  <si>
    <t>Nicky Kurnia</t>
  </si>
  <si>
    <t>Noercholis Firmansyah</t>
  </si>
  <si>
    <t>Nopitasari</t>
  </si>
  <si>
    <t>Nora Meilissa</t>
  </si>
  <si>
    <t>Novalia</t>
  </si>
  <si>
    <t>Novan Nugraha</t>
  </si>
  <si>
    <t>Nugraha</t>
  </si>
  <si>
    <t>Nugroho Putranto</t>
  </si>
  <si>
    <t>Nur Indra Sri Melati</t>
  </si>
  <si>
    <t>Nur Kusumowati</t>
  </si>
  <si>
    <t>Nurhidayat</t>
  </si>
  <si>
    <t>Otong Bustori</t>
  </si>
  <si>
    <t>Paino Suprayinto</t>
  </si>
  <si>
    <t>Panca Yudi Baskoro</t>
  </si>
  <si>
    <t>Panji Bima Santri</t>
  </si>
  <si>
    <t>Parulian Napitupulu</t>
  </si>
  <si>
    <t>Paryanto</t>
  </si>
  <si>
    <t>Pikri Hidayat</t>
  </si>
  <si>
    <t>Prayanti Dewi Anggraini</t>
  </si>
  <si>
    <t>Prayati Zai</t>
  </si>
  <si>
    <t>Pristu Andonoto</t>
  </si>
  <si>
    <t>Putra Perdana Tirtomoyo</t>
  </si>
  <si>
    <t>R. Lar Kumalaning Tresno</t>
  </si>
  <si>
    <t>Rachmad</t>
  </si>
  <si>
    <t>Radjiman</t>
  </si>
  <si>
    <t>Rafi Firman Saputra</t>
  </si>
  <si>
    <t>Rahmat Riyadi</t>
  </si>
  <si>
    <t>Rahmat Sirfano</t>
  </si>
  <si>
    <t>Rais Indra Noor</t>
  </si>
  <si>
    <t>Rakman A. Hadi</t>
  </si>
  <si>
    <t>Ramaizon</t>
  </si>
  <si>
    <t>Rangga Darmawan</t>
  </si>
  <si>
    <t>Raoli Nainggolan</t>
  </si>
  <si>
    <t>Rayan Suryadikara</t>
  </si>
  <si>
    <t>Redi Setiadi</t>
  </si>
  <si>
    <t>Redi Subekti</t>
  </si>
  <si>
    <t>Rendy Prananta Purba</t>
  </si>
  <si>
    <t>Reni Septiana</t>
  </si>
  <si>
    <t>Rere Ronggolawe</t>
  </si>
  <si>
    <t>Retnasha Gameswari</t>
  </si>
  <si>
    <t>Rhino Priawan</t>
  </si>
  <si>
    <t>Rian Yushak</t>
  </si>
  <si>
    <t>Riandi</t>
  </si>
  <si>
    <t>Ricky Samuel</t>
  </si>
  <si>
    <t>Ridwan Nurhadi</t>
  </si>
  <si>
    <t>Rifki</t>
  </si>
  <si>
    <t>Rika Ginting</t>
  </si>
  <si>
    <t>Riki Chairul Anwar</t>
  </si>
  <si>
    <t>Riki Evindra</t>
  </si>
  <si>
    <t>Rinaldi Asrin</t>
  </si>
  <si>
    <t>Rio Hakim</t>
  </si>
  <si>
    <t>Rio Martha</t>
  </si>
  <si>
    <t>Risdyanto Risdyanto</t>
  </si>
  <si>
    <t>Rizak Tri Septian</t>
  </si>
  <si>
    <t>Rizki Akbar</t>
  </si>
  <si>
    <t>Rizky Fauzy</t>
  </si>
  <si>
    <t>Rizky Reza Pradipta</t>
  </si>
  <si>
    <t>Rohendi Rohendi</t>
  </si>
  <si>
    <t>Rohmani</t>
  </si>
  <si>
    <t>Rommel Hutapea</t>
  </si>
  <si>
    <t>Roy Aditya</t>
  </si>
  <si>
    <t>Rubah</t>
  </si>
  <si>
    <t>Rudi Junaedi</t>
  </si>
  <si>
    <t>Ruswandi</t>
  </si>
  <si>
    <t>Ryan Bagus Sasminta</t>
  </si>
  <si>
    <t>Saarah Andriani</t>
  </si>
  <si>
    <t>Safira Nurbaiti</t>
  </si>
  <si>
    <t>Saifulloh</t>
  </si>
  <si>
    <t>Saifuloh</t>
  </si>
  <si>
    <t>Sakinah Tantriani Lubis</t>
  </si>
  <si>
    <t>Abdul Samad</t>
  </si>
  <si>
    <t>Samsul Hadi</t>
  </si>
  <si>
    <t>Sandika</t>
  </si>
  <si>
    <t>Sang Toga Sitompul</t>
  </si>
  <si>
    <t>Santi Dewi R. W.</t>
  </si>
  <si>
    <t>Sarah Sibarani</t>
  </si>
  <si>
    <t>Sarif Hidayatul Umah</t>
  </si>
  <si>
    <t>Satria Budi Raharja</t>
  </si>
  <si>
    <t>Saut M. P. L. Tobing</t>
  </si>
  <si>
    <t>Seftiyan Hadi Maulana</t>
  </si>
  <si>
    <t>Sena Andi Satria</t>
  </si>
  <si>
    <t>Setiadi</t>
  </si>
  <si>
    <t>Sherly Tamira</t>
  </si>
  <si>
    <t>Shihab</t>
  </si>
  <si>
    <t>Shobarin Jabar</t>
  </si>
  <si>
    <t>Sholehah</t>
  </si>
  <si>
    <t>Sigit Rudiantono</t>
  </si>
  <si>
    <t>Silvia Putri</t>
  </si>
  <si>
    <t>Simron Ronaldi Nasution</t>
  </si>
  <si>
    <t>Sinta Vera Trikawati</t>
  </si>
  <si>
    <t>Sir Muhammad Zafrulloh Khan</t>
  </si>
  <si>
    <t>Siska Marlina</t>
  </si>
  <si>
    <t>Siswanto</t>
  </si>
  <si>
    <t>Siti Mulyani</t>
  </si>
  <si>
    <t>Sjanti Devi</t>
  </si>
  <si>
    <t>Slamet Budi Setiawan</t>
  </si>
  <si>
    <t>Sofyan Maulana</t>
  </si>
  <si>
    <t>Subagio</t>
  </si>
  <si>
    <t>Suci Mardiana</t>
  </si>
  <si>
    <t>Suci Rachma Sari</t>
  </si>
  <si>
    <t>Sudarlan</t>
  </si>
  <si>
    <t>Sufie Amalia</t>
  </si>
  <si>
    <t>Sugeng Ismanto</t>
  </si>
  <si>
    <t>Sugiarto</t>
  </si>
  <si>
    <t>Sulih</t>
  </si>
  <si>
    <t>Sumadi</t>
  </si>
  <si>
    <t>Sumirat</t>
  </si>
  <si>
    <t>Sunaryati</t>
  </si>
  <si>
    <t>Supriyadi</t>
  </si>
  <si>
    <t>Suriono Suriono</t>
  </si>
  <si>
    <t>Surono</t>
  </si>
  <si>
    <t>Surtoyo Syukri</t>
  </si>
  <si>
    <t>Suryadi</t>
  </si>
  <si>
    <t>Susilawati</t>
  </si>
  <si>
    <t>Sutarno</t>
  </si>
  <si>
    <t>Sutra Riandi</t>
  </si>
  <si>
    <t>Suyanto</t>
  </si>
  <si>
    <t>Swar Jono</t>
  </si>
  <si>
    <t>Syafruddin</t>
  </si>
  <si>
    <t>Syafrudin Machmud</t>
  </si>
  <si>
    <t>Syahrizal</t>
  </si>
  <si>
    <t>Syaiful Idjam</t>
  </si>
  <si>
    <t>Tajuddin Assubki Ismail</t>
  </si>
  <si>
    <t>Taslim</t>
  </si>
  <si>
    <t>Taufik Mulia Pane</t>
  </si>
  <si>
    <t>Tedy Harseno</t>
  </si>
  <si>
    <t>Teguh Joko Pamuji</t>
  </si>
  <si>
    <t>Teguh Pratama Januzir Sukin</t>
  </si>
  <si>
    <t>Teguh Susanto</t>
  </si>
  <si>
    <t>Tenri Sumange</t>
  </si>
  <si>
    <t>Teuku Zulkifli</t>
  </si>
  <si>
    <t>Tiara Kemalasari</t>
  </si>
  <si>
    <t>Tjhang Linawati</t>
  </si>
  <si>
    <t>Totok Kristianto</t>
  </si>
  <si>
    <t>Tri Aji</t>
  </si>
  <si>
    <t>Tri M. Saputra</t>
  </si>
  <si>
    <t>Triani Irma</t>
  </si>
  <si>
    <t>Trisyanto</t>
  </si>
  <si>
    <t>Triwiarti Dibya</t>
  </si>
  <si>
    <t>Triyono</t>
  </si>
  <si>
    <t>Turita Pramuning Marantina</t>
  </si>
  <si>
    <t>Tutus Ary</t>
  </si>
  <si>
    <t>Ubaidillah</t>
  </si>
  <si>
    <t>Ujang Barma</t>
  </si>
  <si>
    <t>Ujang Suryana</t>
  </si>
  <si>
    <t>Ulman Juanda</t>
  </si>
  <si>
    <t>Urbanus Boimau</t>
  </si>
  <si>
    <t>Uswatun Hasamah</t>
  </si>
  <si>
    <t>Uswatun Khasanah</t>
  </si>
  <si>
    <t>Utami Dewi</t>
  </si>
  <si>
    <t>Utanto</t>
  </si>
  <si>
    <t>Veradita Yulanda</t>
  </si>
  <si>
    <t>Vidhy Kartika Putri</t>
  </si>
  <si>
    <t>Vonny Agram</t>
  </si>
  <si>
    <t>Wahyu</t>
  </si>
  <si>
    <t>Wahyu Ramadhani</t>
  </si>
  <si>
    <t>Wahyu Widodo</t>
  </si>
  <si>
    <t>Warsito Edy Saputra</t>
  </si>
  <si>
    <t>Weldi Wimar</t>
  </si>
  <si>
    <t>Wendy Septiyan</t>
  </si>
  <si>
    <t>Willy Indarto</t>
  </si>
  <si>
    <t>Winda Suherman</t>
  </si>
  <si>
    <t>Wisnu Ardian</t>
  </si>
  <si>
    <t>Wisudanto C. Suntoyo</t>
  </si>
  <si>
    <t>Yahya Adyasa Febriansyah</t>
  </si>
  <si>
    <t>Yakup Sunaryo</t>
  </si>
  <si>
    <t>Yanuar Tri Ananda</t>
  </si>
  <si>
    <t>Yasir Liem</t>
  </si>
  <si>
    <t>Yefri Hendrayani</t>
  </si>
  <si>
    <t>Yessi Setiarini</t>
  </si>
  <si>
    <t>Yorid Fae</t>
  </si>
  <si>
    <t>Yosef Hang Wan</t>
  </si>
  <si>
    <t>Yossie Deliana</t>
  </si>
  <si>
    <t>Yudi Rahmadi</t>
  </si>
  <si>
    <t>Yudo Jati Rahmat Satrio</t>
  </si>
  <si>
    <t>Yuliandaru Suryoatmodjo</t>
  </si>
  <si>
    <t>Yulianta</t>
  </si>
  <si>
    <t>Yulianti</t>
  </si>
  <si>
    <t>Yulius</t>
  </si>
  <si>
    <t>Yunni Sazili</t>
  </si>
  <si>
    <t>Yusman</t>
  </si>
  <si>
    <t>Yusri Azhar</t>
  </si>
  <si>
    <t>Zafrizal</t>
  </si>
  <si>
    <t>Zafrizal Rifla (Ucok)</t>
  </si>
  <si>
    <t>Zainuddin</t>
  </si>
  <si>
    <t>Zainudin Anwar</t>
  </si>
  <si>
    <t>Zaire Dite Biscaya</t>
  </si>
  <si>
    <t>Zalfi Yandri</t>
  </si>
  <si>
    <t>Zam Roji</t>
  </si>
  <si>
    <t>Zulfikar K. Siregar</t>
  </si>
  <si>
    <t>Adythia Adikara</t>
  </si>
  <si>
    <t>Agus Sopyan Hadi</t>
  </si>
  <si>
    <t>Azis Purwandana</t>
  </si>
  <si>
    <t>Heryanto</t>
  </si>
  <si>
    <t>Imran</t>
  </si>
  <si>
    <t>Khamim Taryono</t>
  </si>
  <si>
    <t>Rafi Artman Siddiq</t>
  </si>
  <si>
    <t>Riza Emir Subekti</t>
  </si>
  <si>
    <t>Slamet Riadi</t>
  </si>
  <si>
    <t>Wisnu Andra Isdianto</t>
  </si>
  <si>
    <t>Agus Budi Setiawan</t>
  </si>
  <si>
    <t>Ahmad Choerul</t>
  </si>
  <si>
    <t>Achmad Yunadi</t>
  </si>
  <si>
    <t>Asep mulyana</t>
  </si>
  <si>
    <t>Bagus Isdiantara</t>
  </si>
  <si>
    <t>Cahyana</t>
  </si>
  <si>
    <t>Dede Hartanto</t>
  </si>
  <si>
    <t>Denny Achmad Ferlando</t>
  </si>
  <si>
    <t>Dian Setiawan</t>
  </si>
  <si>
    <t>Fabrian Danang Destiyara</t>
  </si>
  <si>
    <t>Ferdian Kriswantoro</t>
  </si>
  <si>
    <t>Fuzi Mafrozi</t>
  </si>
  <si>
    <t>Gilang Setiawan</t>
  </si>
  <si>
    <t>Idris Affandi</t>
  </si>
  <si>
    <t>Indra Wijaya</t>
  </si>
  <si>
    <t>Irma Maulidawati</t>
  </si>
  <si>
    <t>Istikaro Fauziah</t>
  </si>
  <si>
    <t>Muhammad Lukbani</t>
  </si>
  <si>
    <t>Muhammad Sholikhun</t>
  </si>
  <si>
    <t>Muhammad Syarifudin</t>
  </si>
  <si>
    <t>Nadia Rizkiah</t>
  </si>
  <si>
    <t>Nikko Septian</t>
  </si>
  <si>
    <t>Novizan</t>
  </si>
  <si>
    <t>Oqi Suhaqi Yunus</t>
  </si>
  <si>
    <t>Restu Dwi Anjayani</t>
  </si>
  <si>
    <t>Rizal Amri</t>
  </si>
  <si>
    <t>Ronny Anindika Arnold</t>
  </si>
  <si>
    <t>Samta Harahap</t>
  </si>
  <si>
    <t>Vingky Hendriek Yomerlin</t>
  </si>
  <si>
    <t>Wahyu Teluk Naga</t>
  </si>
  <si>
    <t>Wardah Laily Khoiriyah</t>
  </si>
  <si>
    <t>Wawan Kusworo</t>
  </si>
  <si>
    <t>Wulanraniasih</t>
  </si>
  <si>
    <t>Yogi Perbangkara</t>
  </si>
  <si>
    <t>Yusuf Fathurahman</t>
  </si>
  <si>
    <t>Zeinurani</t>
  </si>
  <si>
    <t>Sulaeman</t>
  </si>
  <si>
    <t>Agus Nuryadi</t>
  </si>
  <si>
    <t>Dian Tri Rahmawati</t>
  </si>
  <si>
    <t>Langgeng Eko Dwiantoro</t>
  </si>
  <si>
    <t>Aldi Rizaldi</t>
  </si>
  <si>
    <t>Masimin</t>
  </si>
  <si>
    <t>Santoso Dwi Cahyo</t>
  </si>
  <si>
    <t>Wartono</t>
  </si>
  <si>
    <t>Yusarman</t>
  </si>
  <si>
    <t>Abdul Rachman</t>
  </si>
  <si>
    <t>Aden Bagus</t>
  </si>
  <si>
    <t>Adhe Kurniawan</t>
  </si>
  <si>
    <t>Ahmad Fauzi</t>
  </si>
  <si>
    <t>Ahmad Gunawan</t>
  </si>
  <si>
    <t>Andri Andriyan</t>
  </si>
  <si>
    <t>Budi Sulistianto</t>
  </si>
  <si>
    <t>Eka Budi</t>
  </si>
  <si>
    <t>Haerul Gunawan</t>
  </si>
  <si>
    <t>Irvan Agus</t>
  </si>
  <si>
    <t>Joshika Pradirga</t>
  </si>
  <si>
    <t>Khaidir</t>
  </si>
  <si>
    <t>Latip Muhlanto</t>
  </si>
  <si>
    <t>Leonardo Putra</t>
  </si>
  <si>
    <t>Muhammad Ramadani</t>
  </si>
  <si>
    <t>Musdalipa</t>
  </si>
  <si>
    <t>Nico Melky</t>
  </si>
  <si>
    <t>Rahmata Novanisa</t>
  </si>
  <si>
    <t>Satrio Dhiaputra</t>
  </si>
  <si>
    <t>Sudirman</t>
  </si>
  <si>
    <t>Suparji</t>
  </si>
  <si>
    <t>Taufik Iskandar</t>
  </si>
  <si>
    <t>Tegar Hersaputra</t>
  </si>
  <si>
    <t>Togar Sihombing</t>
  </si>
  <si>
    <t>Wisnu Trenggono Wirayuda</t>
  </si>
  <si>
    <t>Yogo</t>
  </si>
  <si>
    <t>Yustiana Firda</t>
  </si>
  <si>
    <t>Zainal Abidin</t>
  </si>
  <si>
    <t>Budi Sandika</t>
  </si>
  <si>
    <t>Fachri Azhar</t>
  </si>
  <si>
    <t>Firmansyah Awaludin</t>
  </si>
  <si>
    <t>Iman Faisal Abdurahman</t>
  </si>
  <si>
    <t>Muhammad Irfan Alfikri Rayana</t>
  </si>
  <si>
    <t>Syafri Johansah</t>
  </si>
  <si>
    <t>Agus Sobar</t>
  </si>
  <si>
    <t>Ahmad Sandi Asyuri</t>
  </si>
  <si>
    <t>Andi Mapasoro</t>
  </si>
  <si>
    <t>Arie Gustaman</t>
  </si>
  <si>
    <t>Arief Yulianto</t>
  </si>
  <si>
    <t>Burhan</t>
  </si>
  <si>
    <t>Deby Syahputa</t>
  </si>
  <si>
    <t>Ibrahim Arya Yuda</t>
  </si>
  <si>
    <t>Jamil</t>
  </si>
  <si>
    <t>Kiki Prasetyo</t>
  </si>
  <si>
    <t>Mochamad Ulul Azmi Wira Utama</t>
  </si>
  <si>
    <t>Muhammad Bilal Sharony</t>
  </si>
  <si>
    <t>Muhammad Hairul</t>
  </si>
  <si>
    <t>Muhammad Rizal</t>
  </si>
  <si>
    <t>Rahmad Dwifar</t>
  </si>
  <si>
    <t>Reza Sanjaya</t>
  </si>
  <si>
    <t>Ridwan Nur Muttaqin</t>
  </si>
  <si>
    <t xml:space="preserve">Risaldi </t>
  </si>
  <si>
    <t>Risty Alawiyah</t>
  </si>
  <si>
    <t>Rustono</t>
  </si>
  <si>
    <t>Solihin</t>
  </si>
  <si>
    <t>Supriatna</t>
  </si>
  <si>
    <t>Taufik Aminudin</t>
  </si>
  <si>
    <t>Timotius Tabun</t>
  </si>
  <si>
    <t>Elisa Krisnawati</t>
  </si>
  <si>
    <t>Anda Zuchradi Dadi</t>
  </si>
  <si>
    <t>Silvia Febi Putri</t>
  </si>
  <si>
    <t>Haikal Rizky</t>
  </si>
  <si>
    <t>Muhamad Nurhamsach P</t>
  </si>
  <si>
    <t>Efrina Dwi lilia</t>
  </si>
  <si>
    <t>Muhammad Nugroho Putranto</t>
  </si>
  <si>
    <t>Dudung Syafrudin</t>
  </si>
  <si>
    <t>Saarah Andriani Retnoasih</t>
  </si>
  <si>
    <t>Muhamad Hamdan Rifa'i</t>
  </si>
  <si>
    <t>Jodie Satria Effendi</t>
  </si>
  <si>
    <t>Rachmad Sirfano</t>
  </si>
  <si>
    <t>Raka Maulana Ibrahim</t>
  </si>
  <si>
    <t>Lucky Daniansyah</t>
  </si>
  <si>
    <t>Bahyu Sanciko</t>
  </si>
  <si>
    <t>Yusman W</t>
  </si>
  <si>
    <t>Vidhy Putri Kartika</t>
  </si>
  <si>
    <t>Rohendi</t>
  </si>
  <si>
    <t>Sherly Tamira Happy</t>
  </si>
  <si>
    <t>Hernita Dwi Cahyani Putri</t>
  </si>
  <si>
    <t>Eko Kurniawan</t>
  </si>
  <si>
    <t>Dony Setiyawan</t>
  </si>
  <si>
    <t>M Ari Ardizah Nasution</t>
  </si>
  <si>
    <t>Zaire Biscaya Dite</t>
  </si>
  <si>
    <t>Fuzi Mafhrozi</t>
  </si>
  <si>
    <t>Azis Purwadana</t>
  </si>
  <si>
    <t>H.T Assubki Ismail</t>
  </si>
  <si>
    <t>Kurnia Fitriastuti</t>
  </si>
  <si>
    <t>Ilham</t>
  </si>
  <si>
    <t>Dedi Rohman</t>
  </si>
  <si>
    <t>Abd Samad</t>
  </si>
  <si>
    <t>Yustiana Firda Apriani</t>
  </si>
  <si>
    <t>Ridha Nauval S</t>
  </si>
  <si>
    <t>Joshika Pradirga Utama</t>
  </si>
  <si>
    <t>Isa Taufik</t>
  </si>
  <si>
    <t>Abdul Rachman Nur Hanafi</t>
  </si>
  <si>
    <t>Satrio Dhiaputra Prayudi</t>
  </si>
  <si>
    <t>+62 878-7792-3708</t>
  </si>
  <si>
    <t>+62 812-9397-4227</t>
  </si>
  <si>
    <t>+62 856-9401-0438</t>
  </si>
  <si>
    <t>+62 838-7009-0020</t>
  </si>
  <si>
    <t>+62 857-2162-3338</t>
  </si>
  <si>
    <t>+62 813-8428-4951</t>
  </si>
  <si>
    <t>+62 838-7375-2989</t>
  </si>
  <si>
    <t>+62 822-6092-0555</t>
  </si>
  <si>
    <t>+62 822-5131-3575</t>
  </si>
  <si>
    <t>+62 812-4519-2298</t>
  </si>
  <si>
    <t>+62 813-1422-8295</t>
  </si>
  <si>
    <t>+62 857-2881-8103</t>
  </si>
  <si>
    <t>+62 812-2491-0322</t>
  </si>
  <si>
    <t>+62 818-0691-9844</t>
  </si>
  <si>
    <t>+62 857-6021-1355</t>
  </si>
  <si>
    <t>+62 812-8884-4266</t>
  </si>
  <si>
    <t>+62 856-7124-030</t>
  </si>
  <si>
    <t>+62 821-1395-1375</t>
  </si>
  <si>
    <t>+62 852-9500-0042</t>
  </si>
  <si>
    <t>+62 812-1021-3789</t>
  </si>
  <si>
    <t>+62 813-7695-3133</t>
  </si>
  <si>
    <t>+62 811-644-913</t>
  </si>
  <si>
    <t>+62 813-1920-7116</t>
  </si>
  <si>
    <t>+62 811-9568-886</t>
  </si>
  <si>
    <t>+62 8128-2230-665</t>
  </si>
  <si>
    <t>+62 812-8744-1774</t>
  </si>
  <si>
    <t>+62 857-7048-1711</t>
  </si>
  <si>
    <t>+62 813-1690-6639</t>
  </si>
  <si>
    <t>+62 857-1519-9050</t>
  </si>
  <si>
    <t>+62 859-4561-9900</t>
  </si>
  <si>
    <t>+62 812-9902-0267</t>
  </si>
  <si>
    <t>+62 856-4156-8410</t>
  </si>
  <si>
    <t>+62 813-6291-9395</t>
  </si>
  <si>
    <t>+62 813-6193-0878</t>
  </si>
  <si>
    <t>+62 812-9102-5349</t>
  </si>
  <si>
    <t>+62 813-1818-7318</t>
  </si>
  <si>
    <t>+62 877-8419-0978</t>
  </si>
  <si>
    <t>+62 8574-1188-449</t>
  </si>
  <si>
    <t>+62 813-1846-0405</t>
  </si>
  <si>
    <t>+62 812-9586-6677</t>
  </si>
  <si>
    <t>+62 821-2144-4989</t>
  </si>
  <si>
    <t>+62 838-0664-3866</t>
  </si>
  <si>
    <t>+62 856-9438-7250</t>
  </si>
  <si>
    <t>+62 813-8432-9270</t>
  </si>
  <si>
    <t>+62 812-9912-9011</t>
  </si>
  <si>
    <t>+62 821-7308-7816</t>
  </si>
  <si>
    <t>+62 813-1886-3471</t>
  </si>
  <si>
    <t>+62 857-7326-1575</t>
  </si>
  <si>
    <t>+62 812-9699-123</t>
  </si>
  <si>
    <t>+62 895-3368-96672</t>
  </si>
  <si>
    <t>+62 812-2119-3402</t>
  </si>
  <si>
    <t>+62 877-8038-9758</t>
  </si>
  <si>
    <t>+62 821-1399-1950</t>
  </si>
  <si>
    <t>+62 813-8643-5585</t>
  </si>
  <si>
    <t>+62 813-8600-7788</t>
  </si>
  <si>
    <t>+62 813-1016-7838</t>
  </si>
  <si>
    <t>+62 813-9855-7959</t>
  </si>
  <si>
    <t>+62 853-7140-4163</t>
  </si>
  <si>
    <t>+62 812-6807-4074</t>
  </si>
  <si>
    <t>+62 857-7598-7323</t>
  </si>
  <si>
    <t>+62 822-5538-5557</t>
  </si>
  <si>
    <t>+62 812-9949-5209</t>
  </si>
  <si>
    <t>+62 812-9849-4325</t>
  </si>
  <si>
    <t>+62 812-8954-4005</t>
  </si>
  <si>
    <t>+62 821-3029-5392</t>
  </si>
  <si>
    <t>+62 813-3218-1409</t>
  </si>
  <si>
    <t>+62 813-8425-5855</t>
  </si>
  <si>
    <t>+62 821-1410-00545</t>
  </si>
  <si>
    <t>+62 851-6275-1360</t>
  </si>
  <si>
    <t>+62 856-7500-887</t>
  </si>
  <si>
    <t>+62 859-5982-2621</t>
  </si>
  <si>
    <t>+62 831-1250-5824</t>
  </si>
  <si>
    <t>+62 898-0269-288</t>
  </si>
  <si>
    <t>+62 811-1193-9034</t>
  </si>
  <si>
    <t>+62 877-4832-9110</t>
  </si>
  <si>
    <t>+62 812-8084-0848</t>
  </si>
  <si>
    <t>+62 823-3546-1142</t>
  </si>
  <si>
    <t>+62 857-4382-5555</t>
  </si>
  <si>
    <t>+62 812-1015-216</t>
  </si>
  <si>
    <t>+62 813-7544-0999</t>
  </si>
  <si>
    <t>+62 812-1320-5160</t>
  </si>
  <si>
    <t>+62 813-68061116</t>
  </si>
  <si>
    <t>+62 838-2329-6661</t>
  </si>
  <si>
    <t>Budi Rahardja</t>
  </si>
  <si>
    <t>Anna S Haryadi</t>
  </si>
  <si>
    <t>+62 817-4941-066</t>
  </si>
  <si>
    <t>+62 815-1420-0068</t>
  </si>
  <si>
    <t>Santoso Suwandi</t>
  </si>
  <si>
    <t>Priyadi</t>
  </si>
  <si>
    <t>Yusuf Iskandarsyah</t>
  </si>
  <si>
    <t>Habib Abdullah Wahab Muharram</t>
  </si>
  <si>
    <t>Andi Fathullah</t>
  </si>
  <si>
    <t>Muhayar</t>
  </si>
  <si>
    <t>Dwi Kristianto</t>
  </si>
  <si>
    <t>Jusuf Gandi Lumban Tobing</t>
  </si>
  <si>
    <t>Herman</t>
  </si>
  <si>
    <t>M Ridho Pramudia</t>
  </si>
  <si>
    <t>Binsar Hutabarat</t>
  </si>
  <si>
    <t>Jeefrianda HP. Sigalingging</t>
  </si>
  <si>
    <t>Mulyani bin H Junaidi</t>
  </si>
  <si>
    <t>Yeskiel Boki</t>
  </si>
  <si>
    <t>Dwi Joko Setio Tjaroko</t>
  </si>
  <si>
    <t>Taufiq Aminudin</t>
  </si>
  <si>
    <t>+62 896-9470-0522</t>
  </si>
  <si>
    <t>+62 857-7788-4428</t>
  </si>
  <si>
    <t>+62 812-1361-2811</t>
  </si>
  <si>
    <t>+62 895-1078-0429</t>
  </si>
  <si>
    <t>+62 813-1713-1650</t>
  </si>
  <si>
    <t>+62 813-6191-3004</t>
  </si>
  <si>
    <t>+62 813-1942-6812</t>
  </si>
  <si>
    <t>+62 821-6221-3821</t>
  </si>
  <si>
    <t>+62 823-6942-8777</t>
  </si>
  <si>
    <t>+62 856-0933-4286</t>
  </si>
  <si>
    <t>+62 878-8167-4480</t>
  </si>
  <si>
    <t>+62 811-133-616</t>
  </si>
  <si>
    <t>+62 895-0210-7482</t>
  </si>
  <si>
    <t>+62 813-8426-4004</t>
  </si>
  <si>
    <t>+62 856-7861-993</t>
  </si>
  <si>
    <t>+62 813-1095-1811</t>
  </si>
  <si>
    <t>+62 815-7300-5652</t>
  </si>
  <si>
    <t>+62 812-8098-7170</t>
  </si>
  <si>
    <t>+62 813-9623-7010</t>
  </si>
  <si>
    <t>+62 853-5998-3177</t>
  </si>
  <si>
    <t>+62 813-9722-3311</t>
  </si>
  <si>
    <t>+62 852-6129-3614</t>
  </si>
  <si>
    <t>+62 821-1481-1419</t>
  </si>
  <si>
    <t>+62 812-1387-3885</t>
  </si>
  <si>
    <t>+62 812-8588-1212</t>
  </si>
  <si>
    <t>+62 896-3212-8775</t>
  </si>
  <si>
    <t>+62 813-3820-0412</t>
  </si>
  <si>
    <t>Luthfiyyah</t>
  </si>
  <si>
    <t>Reza Novembrie</t>
  </si>
  <si>
    <t>Muhammad Diki Abdul Rahman</t>
  </si>
  <si>
    <t>Deni Setiady</t>
  </si>
  <si>
    <t>Sindy Setyaningrum</t>
  </si>
  <si>
    <t>+62 822-1915-8804</t>
  </si>
  <si>
    <t>+62 822-9981-4132</t>
  </si>
  <si>
    <t>+62 858-8167-5581</t>
  </si>
  <si>
    <t>+62 812-2528-5555</t>
  </si>
  <si>
    <t>Endang Sutrisno</t>
  </si>
  <si>
    <t>Icha Mailinda</t>
  </si>
  <si>
    <t>M Fikri Caesarandi Hasibuan</t>
  </si>
  <si>
    <t>Marthen Tabun</t>
  </si>
  <si>
    <t>T Marungkil U.S. Sagala</t>
  </si>
  <si>
    <t>Teguh Pratama Januzir</t>
  </si>
  <si>
    <t>Turita Pramuning M</t>
  </si>
  <si>
    <t>Zulfikar K Siregar IR</t>
  </si>
  <si>
    <t>+62 813-89851877</t>
  </si>
  <si>
    <t>+62 877-88980659</t>
  </si>
  <si>
    <t>+62 813-1789-7764</t>
  </si>
  <si>
    <t>+62 857-8278-6571</t>
  </si>
  <si>
    <t>+62 822-2570-8799</t>
  </si>
  <si>
    <t>+62 812-8235-6976</t>
  </si>
  <si>
    <t>+62 812-3694-9841</t>
  </si>
  <si>
    <t>+62 812-9831-1976</t>
  </si>
  <si>
    <t>+62 812-3386-8624</t>
  </si>
  <si>
    <t>+62 857-1960-7726</t>
  </si>
  <si>
    <t>+62 812-1875-9198</t>
  </si>
  <si>
    <t>+62 819-9994-5447</t>
  </si>
  <si>
    <t>+62 812-9294-620</t>
  </si>
  <si>
    <t>+62 878-8222-1308</t>
  </si>
  <si>
    <t>+62 878-8401-4359</t>
  </si>
  <si>
    <t>+62 897-7449-206</t>
  </si>
  <si>
    <t>+62 813-1132-2014</t>
  </si>
  <si>
    <t>+62 812-8002-0551</t>
  </si>
  <si>
    <t>+62 811-9728-227</t>
  </si>
  <si>
    <t>+62 812-6293-9221</t>
  </si>
  <si>
    <t>+62 852-8080-5771</t>
  </si>
  <si>
    <t>+62 812-8580-2247</t>
  </si>
  <si>
    <t>+62 812-2897-5977</t>
  </si>
  <si>
    <t>+62 815-8884-838</t>
  </si>
  <si>
    <t>+62 812-4152-1262</t>
  </si>
  <si>
    <t>+62 815-1394-8537</t>
  </si>
  <si>
    <t>+62 813-1894-0491</t>
  </si>
  <si>
    <t>+62 856-9296-5294</t>
  </si>
  <si>
    <t>+62 878-6983-2081</t>
  </si>
  <si>
    <t>+62 896-2474-6190</t>
  </si>
  <si>
    <t>+62 813-1420-5669</t>
  </si>
  <si>
    <t>+62 813-7307-5210</t>
  </si>
  <si>
    <t>+62 823-1055-5988</t>
  </si>
  <si>
    <t>+62 822-4343-9555</t>
  </si>
  <si>
    <t>+62 856-9369-4287</t>
  </si>
  <si>
    <t>+62 896-6615-1134</t>
  </si>
  <si>
    <t>+62 812-8934-9170</t>
  </si>
  <si>
    <t>+62 859-2070-7074</t>
  </si>
  <si>
    <t>+62 896-3011-7006</t>
  </si>
  <si>
    <t>+62 852-9624-8470</t>
  </si>
  <si>
    <t>+62 812-1080-840</t>
  </si>
  <si>
    <t>+62 811-1975-696</t>
  </si>
  <si>
    <t>+62 812-8425-4284</t>
  </si>
  <si>
    <t>+62 813-1458-9939</t>
  </si>
  <si>
    <t>+62 811-1137-275</t>
  </si>
  <si>
    <t>Ares S. Mauboy</t>
  </si>
  <si>
    <t>Adi</t>
  </si>
  <si>
    <t>+62 812-8326-4959</t>
  </si>
  <si>
    <t>+62 857-7006-7607</t>
  </si>
  <si>
    <t>+62 877-8435-5937</t>
  </si>
  <si>
    <t>+62 8121-8555-661</t>
  </si>
  <si>
    <t>+62 822-7398-5841</t>
  </si>
  <si>
    <t>+62 812-9465-7916</t>
  </si>
  <si>
    <t>+62 822-1385-9070</t>
  </si>
  <si>
    <t>+62 856-8100-752</t>
  </si>
  <si>
    <t>+62 838-0600-4470</t>
  </si>
  <si>
    <t>+62 831-4318-2038</t>
  </si>
  <si>
    <t>+62 819-3279-8900</t>
  </si>
  <si>
    <t>+62 896-3029-4828</t>
  </si>
  <si>
    <t>+62 858-1112-8435</t>
  </si>
  <si>
    <t>+62 896-4421-9358</t>
  </si>
  <si>
    <t>+62 857-1407-2656</t>
  </si>
  <si>
    <t>+62 812-9625-7489</t>
  </si>
  <si>
    <t>+62 812-8268-4357</t>
  </si>
  <si>
    <t>+62 821-4815-2759</t>
  </si>
  <si>
    <t>+62 812-8967-5850</t>
  </si>
  <si>
    <t>+62 822-8865-3239</t>
  </si>
  <si>
    <t>+62 813-3068-3991</t>
  </si>
  <si>
    <t>+62 856-0210-0410</t>
  </si>
  <si>
    <t>+62 896-8226-1128</t>
  </si>
  <si>
    <t>+62 812-9592-4499</t>
  </si>
  <si>
    <t>+62 812-2420-8139</t>
  </si>
  <si>
    <t>+62 818-2166-74</t>
  </si>
  <si>
    <t>Others</t>
  </si>
  <si>
    <t>Mobile Phone</t>
  </si>
  <si>
    <t>Home Phone</t>
  </si>
  <si>
    <t>Office Phone</t>
  </si>
  <si>
    <t>Faximile</t>
  </si>
  <si>
    <t>Pager</t>
  </si>
  <si>
    <t>Sys_PID</t>
  </si>
  <si>
    <t>Name</t>
  </si>
  <si>
    <t>ContactNumberType
_RefID</t>
  </si>
  <si>
    <t>Contact Number</t>
  </si>
  <si>
    <t>Holder Name</t>
  </si>
  <si>
    <t>Contact Number Extension</t>
  </si>
  <si>
    <t>DefaultEntity
_RefID</t>
  </si>
  <si>
    <t>Contact Number Type Name</t>
  </si>
  <si>
    <t>+62 857-4118-8449</t>
  </si>
  <si>
    <t>+62 811-6449-13</t>
  </si>
  <si>
    <t>+62 812-8223-0665</t>
  </si>
  <si>
    <t>+62 895-3368-9667-2</t>
  </si>
  <si>
    <t>Anna S. Haryadi</t>
  </si>
  <si>
    <t>+62 821-1410-0054-5</t>
  </si>
  <si>
    <t>Teguh Pratama Januzir S</t>
  </si>
  <si>
    <t>+62 821-1480-0364</t>
  </si>
  <si>
    <t>+62 21 782-1769</t>
  </si>
  <si>
    <t>Default Entity
Name</t>
  </si>
  <si>
    <t>SQL Syntax</t>
  </si>
  <si>
    <t>SYS_PID
Prediction</t>
  </si>
  <si>
    <t>+62 821-6677-0677</t>
  </si>
  <si>
    <t>PT QDC Technologies</t>
  </si>
  <si>
    <t>+62 816-8808-40</t>
  </si>
  <si>
    <t>+62 812-6338-284</t>
  </si>
  <si>
    <t>+62 8213-7999-898</t>
  </si>
  <si>
    <t>+62 8112-1100-020</t>
  </si>
  <si>
    <t>+62 21 235-864-46</t>
  </si>
  <si>
    <t>+62 21 235-855-00</t>
  </si>
  <si>
    <t>+62 21 569-504-13</t>
  </si>
  <si>
    <t>+62 21 569-504-12</t>
  </si>
  <si>
    <t>+62 21 692-240-2</t>
  </si>
  <si>
    <t>+62 21 692-120-9</t>
  </si>
  <si>
    <t>+62 370 627-631</t>
  </si>
  <si>
    <t>+62 370 638-884</t>
  </si>
  <si>
    <t>+62 21 398-332-22</t>
  </si>
  <si>
    <t>+62 21 398-332-30</t>
  </si>
  <si>
    <t>+62 21 398-331-50</t>
  </si>
  <si>
    <t>+62 21 837-800-01</t>
  </si>
  <si>
    <t>+62 21 837-800-00</t>
  </si>
  <si>
    <t>+62 21 837-095</t>
  </si>
  <si>
    <t>+62 22 520-150-1</t>
  </si>
  <si>
    <t xml:space="preserve">+62 22 520-244-4 </t>
  </si>
  <si>
    <t>+62 21 456-789</t>
  </si>
  <si>
    <t>+62 21 456-790</t>
  </si>
  <si>
    <t>+62 31 841-137-7</t>
  </si>
  <si>
    <t>+62 21 791-933-33</t>
  </si>
  <si>
    <t>+62 21 791-912-34</t>
  </si>
  <si>
    <t>+62 21 521-255-2</t>
  </si>
  <si>
    <t>+62 21 521-290-0</t>
  </si>
  <si>
    <t>+62 21 579-303-04</t>
  </si>
  <si>
    <t>+62 21 579-303-11</t>
  </si>
  <si>
    <t>+62 21 230-234-5</t>
  </si>
  <si>
    <t>+62 21 230-317-1</t>
  </si>
  <si>
    <t>+62 21 910-111</t>
  </si>
  <si>
    <t>+62 21 914-980</t>
  </si>
  <si>
    <t>+62 21 823-232-3</t>
  </si>
  <si>
    <t>+62 21 823-176-7</t>
  </si>
  <si>
    <t>+62 21 345-005</t>
  </si>
  <si>
    <t>+62 21 383-119</t>
  </si>
  <si>
    <t>+62 21 460-108-8</t>
  </si>
  <si>
    <t>+62 21 468-236-36</t>
  </si>
  <si>
    <t>+62 21 468-236-46</t>
  </si>
  <si>
    <t>+62 31 843-777-7</t>
  </si>
  <si>
    <t>+62 29 547-900-02</t>
  </si>
  <si>
    <t>+62 29 555-167-67</t>
  </si>
  <si>
    <t>+62 21 293-370-00</t>
  </si>
  <si>
    <t>+62 21 293-360-00</t>
  </si>
  <si>
    <t xml:space="preserve">+62 295 479-000-2 </t>
  </si>
  <si>
    <t>+62 295 479-001-1</t>
  </si>
  <si>
    <t>+62 21 529-224-8</t>
  </si>
  <si>
    <t>+62 21 837-088-77</t>
  </si>
  <si>
    <t>+62 21 837-804-87</t>
  </si>
  <si>
    <t>+62 8118-7715-06</t>
  </si>
  <si>
    <t>+62 21 827-667-731</t>
  </si>
  <si>
    <t>+62 21 508-703-70</t>
  </si>
  <si>
    <t>+62 21 212-427-77</t>
  </si>
  <si>
    <t>+62 761 670-488-1</t>
  </si>
  <si>
    <t>+62 761 670-488-2</t>
  </si>
  <si>
    <t>+62 21 505-098-88</t>
  </si>
  <si>
    <t>+62 21 291-899-99</t>
  </si>
  <si>
    <t>+62 21 228-229-80</t>
  </si>
  <si>
    <t>+62 21 228-220-81</t>
  </si>
  <si>
    <t>+62 21 458-509-33</t>
  </si>
  <si>
    <t>+62 21 458-509-32</t>
  </si>
  <si>
    <t>+62 21 851-551-0</t>
  </si>
  <si>
    <t>+62 21 851-555-0</t>
  </si>
  <si>
    <t>+62 561 762-580</t>
  </si>
  <si>
    <t>+62 561 762-579</t>
  </si>
  <si>
    <t>+62 21 398-389-30</t>
  </si>
  <si>
    <t>+62 21 398-389-29</t>
  </si>
  <si>
    <t>+62 21 840-393-6</t>
  </si>
  <si>
    <t>+62 21 840-388-3</t>
  </si>
  <si>
    <t>+62 24 692-122-3</t>
  </si>
  <si>
    <t>+62 24 692-240-2</t>
  </si>
  <si>
    <t>+62 21 557-777-5</t>
  </si>
  <si>
    <t>+62 21 750-191-5</t>
  </si>
  <si>
    <t>+62 21 766-098-6</t>
  </si>
  <si>
    <t>+62 24 845-707-0</t>
  </si>
  <si>
    <t>+62 24 844-614-5</t>
  </si>
  <si>
    <t>+62 21 300-130-01</t>
  </si>
  <si>
    <t>+62 21 300-130-02</t>
  </si>
  <si>
    <t>+62 8129-0034-845</t>
  </si>
  <si>
    <t>+62 21 765-880-60</t>
  </si>
  <si>
    <t>+62 21 765-372-3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</si>
</sst>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name val="Arial"/>
      <family val="2"/>
    </font>
    <font>
      <sz val="10"/>
      <color indexed="8"/>
      <name val="MS Sans Serif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3" fillId="0" borderId="0"/>
    <xf numFmtId="43" fontId="4" fillId="0" borderId="0" applyFont="0" applyFill="0" applyBorder="0" applyAlignment="0" applyProtection="0"/>
    <xf numFmtId="0" fontId="5" fillId="0" borderId="0"/>
    <xf numFmtId="0" fontId="3" fillId="0" borderId="0"/>
    <xf numFmtId="0" fontId="4" fillId="0" borderId="0"/>
    <xf numFmtId="0" fontId="1" fillId="0" borderId="0"/>
    <xf numFmtId="0" fontId="6" fillId="0" borderId="0"/>
  </cellStyleXfs>
  <cellXfs count="45">
    <xf numFmtId="0" fontId="0" fillId="0" borderId="0" xfId="0"/>
    <xf numFmtId="1" fontId="2" fillId="0" borderId="0" xfId="0" applyNumberFormat="1" applyFont="1"/>
    <xf numFmtId="1" fontId="2" fillId="0" borderId="0" xfId="0" applyNumberFormat="1" applyFont="1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2" fillId="0" borderId="0" xfId="0" applyFont="1"/>
    <xf numFmtId="49" fontId="0" fillId="0" borderId="0" xfId="0" applyNumberFormat="1"/>
    <xf numFmtId="49" fontId="0" fillId="0" borderId="0" xfId="0" quotePrefix="1" applyNumberFormat="1"/>
    <xf numFmtId="1" fontId="2" fillId="0" borderId="2" xfId="0" applyNumberFormat="1" applyFont="1" applyBorder="1"/>
    <xf numFmtId="0" fontId="2" fillId="0" borderId="2" xfId="0" applyFont="1" applyBorder="1"/>
    <xf numFmtId="1" fontId="2" fillId="0" borderId="3" xfId="0" applyNumberFormat="1" applyFont="1" applyBorder="1"/>
    <xf numFmtId="0" fontId="2" fillId="0" borderId="3" xfId="0" applyFont="1" applyBorder="1"/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5" borderId="6" xfId="0" applyFont="1" applyFill="1" applyBorder="1"/>
    <xf numFmtId="0" fontId="2" fillId="5" borderId="7" xfId="0" applyFont="1" applyFill="1" applyBorder="1"/>
    <xf numFmtId="0" fontId="7" fillId="3" borderId="1" xfId="0" applyFont="1" applyFill="1" applyBorder="1" applyAlignment="1">
      <alignment horizontal="center" vertical="center" wrapText="1"/>
    </xf>
    <xf numFmtId="0" fontId="2" fillId="5" borderId="8" xfId="0" applyFont="1" applyFill="1" applyBorder="1"/>
    <xf numFmtId="1" fontId="7" fillId="3" borderId="4" xfId="0" applyNumberFormat="1" applyFont="1" applyFill="1" applyBorder="1" applyAlignment="1">
      <alignment horizontal="center" vertical="center" wrapText="1"/>
    </xf>
    <xf numFmtId="1" fontId="2" fillId="5" borderId="6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" fontId="2" fillId="0" borderId="2" xfId="0" applyNumberFormat="1" applyFont="1" applyBorder="1" applyAlignment="1">
      <alignment horizontal="center"/>
    </xf>
    <xf numFmtId="49" fontId="2" fillId="0" borderId="0" xfId="0" applyNumberFormat="1" applyFont="1"/>
    <xf numFmtId="49" fontId="7" fillId="3" borderId="1" xfId="0" applyNumberFormat="1" applyFont="1" applyFill="1" applyBorder="1" applyAlignment="1">
      <alignment horizontal="center" vertical="center" wrapText="1"/>
    </xf>
    <xf numFmtId="49" fontId="2" fillId="5" borderId="8" xfId="0" applyNumberFormat="1" applyFont="1" applyFill="1" applyBorder="1"/>
    <xf numFmtId="49" fontId="2" fillId="0" borderId="1" xfId="0" applyNumberFormat="1" applyFont="1" applyBorder="1"/>
    <xf numFmtId="49" fontId="2" fillId="0" borderId="2" xfId="0" applyNumberFormat="1" applyFont="1" applyBorder="1"/>
    <xf numFmtId="1" fontId="2" fillId="0" borderId="3" xfId="0" applyNumberFormat="1" applyFont="1" applyBorder="1" applyAlignment="1">
      <alignment horizontal="center"/>
    </xf>
    <xf numFmtId="49" fontId="2" fillId="0" borderId="3" xfId="0" applyNumberFormat="1" applyFont="1" applyBorder="1"/>
    <xf numFmtId="1" fontId="7" fillId="3" borderId="1" xfId="0" applyNumberFormat="1" applyFont="1" applyFill="1" applyBorder="1" applyAlignment="1">
      <alignment horizontal="center" vertical="center" wrapText="1"/>
    </xf>
    <xf numFmtId="1" fontId="8" fillId="4" borderId="9" xfId="0" applyNumberFormat="1" applyFont="1" applyFill="1" applyBorder="1" applyAlignment="1">
      <alignment horizontal="center" vertical="center" wrapText="1"/>
    </xf>
    <xf numFmtId="1" fontId="8" fillId="4" borderId="10" xfId="0" applyNumberFormat="1" applyFont="1" applyFill="1" applyBorder="1" applyAlignment="1">
      <alignment horizontal="center" vertical="center" wrapText="1"/>
    </xf>
    <xf numFmtId="1" fontId="9" fillId="7" borderId="12" xfId="0" applyNumberFormat="1" applyFont="1" applyFill="1" applyBorder="1" applyAlignment="1"/>
    <xf numFmtId="1" fontId="10" fillId="6" borderId="2" xfId="0" applyNumberFormat="1" applyFont="1" applyFill="1" applyBorder="1" applyAlignment="1">
      <alignment horizontal="center"/>
    </xf>
    <xf numFmtId="0" fontId="11" fillId="0" borderId="2" xfId="0" applyFont="1" applyBorder="1"/>
    <xf numFmtId="0" fontId="2" fillId="0" borderId="0" xfId="0" applyFont="1" applyAlignment="1">
      <alignment horizontal="center"/>
    </xf>
    <xf numFmtId="1" fontId="9" fillId="7" borderId="11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0" fontId="2" fillId="2" borderId="13" xfId="0" applyFont="1" applyFill="1" applyBorder="1"/>
    <xf numFmtId="0" fontId="2" fillId="2" borderId="14" xfId="0" applyFont="1" applyFill="1" applyBorder="1"/>
    <xf numFmtId="1" fontId="2" fillId="5" borderId="8" xfId="0" applyNumberFormat="1" applyFont="1" applyFill="1" applyBorder="1"/>
    <xf numFmtId="0" fontId="2" fillId="2" borderId="3" xfId="0" applyFont="1" applyFill="1" applyBorder="1"/>
    <xf numFmtId="0" fontId="2" fillId="2" borderId="15" xfId="0" applyFont="1" applyFill="1" applyBorder="1"/>
    <xf numFmtId="1" fontId="2" fillId="6" borderId="2" xfId="0" applyNumberFormat="1" applyFont="1" applyFill="1" applyBorder="1" applyAlignment="1">
      <alignment horizontal="center"/>
    </xf>
  </cellXfs>
  <cellStyles count="8">
    <cellStyle name="Comma 3" xfId="2"/>
    <cellStyle name="Normal" xfId="0" builtinId="0"/>
    <cellStyle name="Normal 2" xfId="3"/>
    <cellStyle name="Normal 2 2" xfId="4"/>
    <cellStyle name="Normal 2 3" xfId="5"/>
    <cellStyle name="Normal 2 4 2" xfId="6"/>
    <cellStyle name="Normal 3" xfId="1"/>
    <cellStyle name="Normal 3 2" xfId="7"/>
  </cellStyles>
  <dxfs count="1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 - InstitutionType"/>
      <sheetName val="SEED - Institution"/>
      <sheetName val="DataLookUp - Institution"/>
      <sheetName val="SEED - InstitutionBranch"/>
      <sheetName val="DataLookUp - InstitutionBranch"/>
      <sheetName val="SEED - Customer"/>
      <sheetName val="SEED - Supplier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Energi Mekar Lestari</v>
          </cell>
        </row>
        <row r="21">
          <cell r="B21">
            <v>124000000000018</v>
          </cell>
          <cell r="C21" t="str">
            <v>PT. Ericsson Indonesia</v>
          </cell>
        </row>
        <row r="22">
          <cell r="B22">
            <v>124000000000019</v>
          </cell>
          <cell r="C22" t="str">
            <v>PT. Esa Mitra Teknologi</v>
          </cell>
        </row>
        <row r="23">
          <cell r="B23">
            <v>124000000000020</v>
          </cell>
          <cell r="C23" t="str">
            <v>PT. First Media, Tbk</v>
          </cell>
        </row>
        <row r="24">
          <cell r="B24">
            <v>124000000000021</v>
          </cell>
          <cell r="C24" t="str">
            <v xml:space="preserve">Flexi </v>
          </cell>
        </row>
        <row r="25">
          <cell r="B25">
            <v>124000000000022</v>
          </cell>
          <cell r="C25" t="str">
            <v>Flexi Mitrayasa</v>
          </cell>
        </row>
        <row r="26">
          <cell r="B26">
            <v>124000000000023</v>
          </cell>
          <cell r="C26" t="str">
            <v>PT. Huawei Tech Investment</v>
          </cell>
        </row>
        <row r="27">
          <cell r="B27">
            <v>124000000000024</v>
          </cell>
          <cell r="C27" t="str">
            <v>PT. Hutchinson 3 Indonesia</v>
          </cell>
        </row>
        <row r="28">
          <cell r="B28">
            <v>124000000000025</v>
          </cell>
          <cell r="C28" t="str">
            <v>PT. Indoprima Seluler</v>
          </cell>
        </row>
        <row r="29">
          <cell r="B29">
            <v>124000000000026</v>
          </cell>
          <cell r="C29" t="str">
            <v>PT. Indosat, Tbk</v>
          </cell>
        </row>
        <row r="30">
          <cell r="B30">
            <v>124000000000027</v>
          </cell>
          <cell r="C30" t="str">
            <v>PT. Industri Telekomunikasi Indonesia (Persero)</v>
          </cell>
        </row>
        <row r="31">
          <cell r="B31">
            <v>124000000000028</v>
          </cell>
          <cell r="C31" t="str">
            <v>PT. Infrastruktur Bisnis Sejahtera</v>
          </cell>
        </row>
        <row r="32">
          <cell r="B32">
            <v>124000000000029</v>
          </cell>
          <cell r="C32" t="str">
            <v>PT. Intershop Prima Center</v>
          </cell>
        </row>
        <row r="33">
          <cell r="B33">
            <v>124000000000030</v>
          </cell>
          <cell r="C33" t="str">
            <v>PT. Inti Bangun Sejahtera, Tbk</v>
          </cell>
        </row>
        <row r="34">
          <cell r="B34">
            <v>124000000000031</v>
          </cell>
          <cell r="C34" t="str">
            <v>PT. Karya Mitra Nugraha</v>
          </cell>
        </row>
        <row r="35">
          <cell r="B35">
            <v>124000000000032</v>
          </cell>
          <cell r="C35" t="str">
            <v>PT. Lektrika Karyatama</v>
          </cell>
        </row>
        <row r="36">
          <cell r="B36">
            <v>124000000000033</v>
          </cell>
          <cell r="C36" t="str">
            <v>PT. Link Net</v>
          </cell>
        </row>
        <row r="37">
          <cell r="B37">
            <v>124000000000034</v>
          </cell>
          <cell r="C37" t="str">
            <v>PT. Lintas Teknologi Indonesia</v>
          </cell>
        </row>
        <row r="38">
          <cell r="B38">
            <v>124000000000035</v>
          </cell>
          <cell r="C38" t="str">
            <v>PT. Mega Eltra</v>
          </cell>
        </row>
        <row r="39">
          <cell r="B39">
            <v>124000000000036</v>
          </cell>
          <cell r="C39" t="str">
            <v>PT. Megatel Jaya Swastikarya</v>
          </cell>
        </row>
        <row r="40">
          <cell r="B40">
            <v>124000000000037</v>
          </cell>
          <cell r="C40" t="str">
            <v>PT. Nokia Indonesia</v>
          </cell>
        </row>
        <row r="41">
          <cell r="B41">
            <v>124000000000038</v>
          </cell>
          <cell r="C41" t="str">
            <v>PT. Nokia Siemens Network Indonesia</v>
          </cell>
        </row>
        <row r="42">
          <cell r="B42">
            <v>124000000000039</v>
          </cell>
          <cell r="C42" t="str">
            <v>PT. Pertamina Geothermal Energy</v>
          </cell>
        </row>
        <row r="43">
          <cell r="B43">
            <v>124000000000040</v>
          </cell>
          <cell r="C43" t="str">
            <v>PT. Pelayanan Listrik Nasional (PLN) (Persero) - Kantor Pusat</v>
          </cell>
        </row>
        <row r="44">
          <cell r="B44">
            <v>124000000000041</v>
          </cell>
          <cell r="C44" t="str">
            <v>PT. Pelayanan Listrik Nasional (PLN) (Persero) - Batam</v>
          </cell>
        </row>
        <row r="45">
          <cell r="B45">
            <v>124000000000042</v>
          </cell>
          <cell r="C45" t="str">
            <v>PT. Pelayanan Listrik Nasional (PLN) (Persero) - P3B Jawa Bali APP Cawang</v>
          </cell>
        </row>
        <row r="46">
          <cell r="B46">
            <v>124000000000043</v>
          </cell>
          <cell r="C46" t="str">
            <v>PT. Pelayanan Listrik Nasional (PLN) (Persero) - Unit Induk Pembangunan V</v>
          </cell>
        </row>
        <row r="47">
          <cell r="B47">
            <v>124000000000044</v>
          </cell>
          <cell r="C47" t="str">
            <v>PT. Pelayanan Listrik Nasional (PLN) (Persero) - Unit Induk Pembangunan Nusa Tenggara</v>
          </cell>
        </row>
        <row r="48">
          <cell r="B48">
            <v>124000000000045</v>
          </cell>
          <cell r="C48" t="str">
            <v>PT. Pelayanan Listrik Nasional (PLN) (Persero) - Unit Induk Pembangunan XIII</v>
          </cell>
        </row>
        <row r="49">
          <cell r="B49">
            <v>124000000000046</v>
          </cell>
          <cell r="C49" t="str">
            <v>PT. Pelayanan Listrik Nasional (PLN) (Persero) - P2B Jawa Bali APB Jawa Tengah &amp; DIY</v>
          </cell>
        </row>
        <row r="50">
          <cell r="B50">
            <v>124000000000047</v>
          </cell>
          <cell r="C50" t="str">
            <v>PT. Pelayanan Listrik Nasional (PLN) (Persero) - Unit Induk Pembangunan II</v>
          </cell>
        </row>
        <row r="51">
          <cell r="B51">
            <v>124000000000048</v>
          </cell>
          <cell r="C51" t="str">
            <v>PT. Pelayanan Listrik Nasional (PLN) (Persero) - Unit Induk Pembangunan Interkoneksi Sumatera Jawa</v>
          </cell>
        </row>
        <row r="52">
          <cell r="B52">
            <v>124000000000049</v>
          </cell>
          <cell r="C52" t="str">
            <v>PT. Pelayanan Listrik Nasional (PLN) (Persero) - Unit Induk Pembangunan X</v>
          </cell>
        </row>
        <row r="53">
          <cell r="B53">
            <v>124000000000050</v>
          </cell>
          <cell r="C53" t="str">
            <v xml:space="preserve">PT. Pelayanan Listrik Nasional (PLN) (Persero) - Unit Induk Pembangunan JBT II </v>
          </cell>
        </row>
        <row r="54">
          <cell r="B54">
            <v>124000000000051</v>
          </cell>
          <cell r="C54" t="str">
            <v>PT. Protelindo</v>
          </cell>
        </row>
        <row r="55">
          <cell r="B55">
            <v>124000000000052</v>
          </cell>
          <cell r="C55" t="str">
            <v>PT. Ramayana Lestari Sentosa, Tbk</v>
          </cell>
        </row>
        <row r="56">
          <cell r="B56">
            <v>124000000000053</v>
          </cell>
          <cell r="C56" t="str">
            <v>PT. Rekadaya Elektrika</v>
          </cell>
        </row>
        <row r="57">
          <cell r="B57">
            <v>124000000000054</v>
          </cell>
          <cell r="C57" t="str">
            <v>CV. Sejahtera Mandiri</v>
          </cell>
        </row>
        <row r="58">
          <cell r="B58">
            <v>124000000000055</v>
          </cell>
          <cell r="C58" t="str">
            <v>PT. Sigindo Kemas</v>
          </cell>
        </row>
        <row r="59">
          <cell r="B59">
            <v>124000000000056</v>
          </cell>
          <cell r="C59" t="str">
            <v>PT. Smart Telecom</v>
          </cell>
        </row>
        <row r="60">
          <cell r="B60">
            <v>124000000000057</v>
          </cell>
          <cell r="C60" t="str">
            <v>PT. Telekomunikasi Indonesia (Telkom) (Persero), Tbk - Bandung</v>
          </cell>
        </row>
        <row r="61">
          <cell r="B61">
            <v>124000000000058</v>
          </cell>
          <cell r="C61" t="str">
            <v>PT. Telekomunikasi Selular (Telkomsel), Tbk - Jakarta</v>
          </cell>
        </row>
        <row r="62">
          <cell r="B62">
            <v>124000000000059</v>
          </cell>
          <cell r="C62" t="str">
            <v>PT. Telkom Akses</v>
          </cell>
        </row>
        <row r="63">
          <cell r="B63">
            <v>124000000000060</v>
          </cell>
          <cell r="C63" t="str">
            <v>PT. Tosan Permai Lestari</v>
          </cell>
        </row>
        <row r="64">
          <cell r="B64">
            <v>124000000000061</v>
          </cell>
          <cell r="C64" t="str">
            <v>PT. Tower Capital Indonesia</v>
          </cell>
        </row>
        <row r="65">
          <cell r="B65">
            <v>124000000000062</v>
          </cell>
          <cell r="C65" t="str">
            <v>PT. Waskita Karya (Persero), Tbk</v>
          </cell>
        </row>
        <row r="66">
          <cell r="B66">
            <v>124000000000063</v>
          </cell>
          <cell r="C66" t="str">
            <v>PT. Widodo Karya Sejahtera</v>
          </cell>
        </row>
        <row r="67">
          <cell r="B67">
            <v>124000000000064</v>
          </cell>
          <cell r="C67" t="str">
            <v>PT. XL Axiata, Tbk</v>
          </cell>
        </row>
        <row r="68">
          <cell r="B68">
            <v>124000000000065</v>
          </cell>
          <cell r="C68" t="str">
            <v>PT. XL Mitrayasa</v>
          </cell>
        </row>
        <row r="69">
          <cell r="B69">
            <v>124000000000066</v>
          </cell>
          <cell r="C69" t="str">
            <v>PT. ZTE Indonesia</v>
          </cell>
        </row>
        <row r="70">
          <cell r="B70">
            <v>124000000000067</v>
          </cell>
          <cell r="C70" t="str">
            <v>PT. Sansaine Exindo</v>
          </cell>
        </row>
        <row r="71">
          <cell r="B71">
            <v>124000000000068</v>
          </cell>
          <cell r="C71" t="str">
            <v>Indo Jaya Scaffolding</v>
          </cell>
        </row>
        <row r="72">
          <cell r="B72">
            <v>124000000000069</v>
          </cell>
          <cell r="C72" t="str">
            <v>PT. Pembangunan Perumahan (Persero), Tbk</v>
          </cell>
        </row>
        <row r="73">
          <cell r="B73">
            <v>124000000000070</v>
          </cell>
          <cell r="C73" t="str">
            <v>Linus Nusa Express</v>
          </cell>
        </row>
        <row r="74">
          <cell r="B74">
            <v>124000000000071</v>
          </cell>
          <cell r="C74" t="str">
            <v>PT. Penjaminan Jamkrindo Syariah</v>
          </cell>
        </row>
        <row r="75">
          <cell r="B75">
            <v>124000000000072</v>
          </cell>
          <cell r="C75" t="str">
            <v>PT. Larsen And Tourbo</v>
          </cell>
        </row>
        <row r="76">
          <cell r="B76">
            <v>124000000000073</v>
          </cell>
          <cell r="C76" t="str">
            <v>PT. Pelayanan Listrik Nasional (PLN) (Persero) - Unit Induk Pembangunan Kalimantan Bagian Barat</v>
          </cell>
        </row>
        <row r="77">
          <cell r="B77">
            <v>124000000000074</v>
          </cell>
          <cell r="C77" t="str">
            <v>PT. Pelayanan Listrik Nasional (PLN) (Persero) - Unit Induk Pembangunan Sumatera Bagian Tengah</v>
          </cell>
        </row>
        <row r="78">
          <cell r="B78">
            <v>124000000000075</v>
          </cell>
          <cell r="C78" t="str">
            <v xml:space="preserve">PT. Asuransi Sinar Mas </v>
          </cell>
        </row>
        <row r="79">
          <cell r="B79">
            <v>124000000000076</v>
          </cell>
          <cell r="C79" t="str">
            <v>Agung Jaya</v>
          </cell>
        </row>
        <row r="80">
          <cell r="B80">
            <v>124000000000077</v>
          </cell>
          <cell r="C80" t="str">
            <v>Aji Perkasa</v>
          </cell>
        </row>
        <row r="81">
          <cell r="B81">
            <v>124000000000078</v>
          </cell>
          <cell r="C81" t="str">
            <v>Aledro Duta Jaya</v>
          </cell>
        </row>
        <row r="82">
          <cell r="B82">
            <v>124000000000079</v>
          </cell>
          <cell r="C82" t="str">
            <v>Alpine Cool Utama</v>
          </cell>
        </row>
        <row r="83">
          <cell r="B83">
            <v>124000000000080</v>
          </cell>
          <cell r="C83" t="str">
            <v>Alumagada Jaya Mandiri</v>
          </cell>
        </row>
        <row r="84">
          <cell r="B84">
            <v>124000000000081</v>
          </cell>
          <cell r="C84" t="str">
            <v>PT. Karawang Dinamika Lestari</v>
          </cell>
        </row>
        <row r="85">
          <cell r="B85">
            <v>124000000000082</v>
          </cell>
          <cell r="C85" t="str">
            <v>KSO WST-QDC</v>
          </cell>
        </row>
        <row r="86">
          <cell r="B86">
            <v>124000000000083</v>
          </cell>
          <cell r="C86" t="str">
            <v>PT. Adhi Commuter Properti</v>
          </cell>
        </row>
        <row r="87">
          <cell r="B87">
            <v>124000000000084</v>
          </cell>
          <cell r="C87" t="str">
            <v xml:space="preserve">PT. Pelayanan Listrik Nasional (PLN) (Persero) - Penyaluran dan Pusat Pengaturan </v>
          </cell>
        </row>
        <row r="88">
          <cell r="B88">
            <v>0</v>
          </cell>
          <cell r="C88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1"/>
  <sheetViews>
    <sheetView topLeftCell="A257" workbookViewId="0">
      <selection activeCell="C276" sqref="C276"/>
    </sheetView>
  </sheetViews>
  <sheetFormatPr defaultRowHeight="15" x14ac:dyDescent="0.25"/>
  <cols>
    <col min="2" max="2" width="11" bestFit="1" customWidth="1"/>
    <col min="3" max="3" width="31.42578125" bestFit="1" customWidth="1"/>
    <col min="4" max="4" width="18.140625" style="6" bestFit="1" customWidth="1"/>
    <col min="5" max="5" width="17" bestFit="1" customWidth="1"/>
  </cols>
  <sheetData>
    <row r="2" spans="2:3" x14ac:dyDescent="0.25">
      <c r="B2">
        <v>250117820</v>
      </c>
      <c r="C2" t="s">
        <v>492</v>
      </c>
    </row>
    <row r="3" spans="2:3" x14ac:dyDescent="0.25">
      <c r="B3">
        <v>140612611</v>
      </c>
      <c r="C3" t="s">
        <v>305</v>
      </c>
    </row>
    <row r="4" spans="2:3" x14ac:dyDescent="0.25">
      <c r="B4">
        <v>210807401</v>
      </c>
      <c r="C4" t="s">
        <v>162</v>
      </c>
    </row>
    <row r="5" spans="2:3" x14ac:dyDescent="0.25">
      <c r="B5">
        <v>310717841</v>
      </c>
      <c r="C5" t="s">
        <v>269</v>
      </c>
    </row>
    <row r="6" spans="2:3" x14ac:dyDescent="0.25">
      <c r="B6">
        <v>50913684</v>
      </c>
      <c r="C6" t="s">
        <v>614</v>
      </c>
    </row>
    <row r="7" spans="2:3" x14ac:dyDescent="0.25">
      <c r="B7">
        <v>261016808</v>
      </c>
      <c r="C7" t="s">
        <v>267</v>
      </c>
    </row>
    <row r="8" spans="2:3" x14ac:dyDescent="0.25">
      <c r="B8">
        <v>161213705</v>
      </c>
      <c r="C8" t="s">
        <v>86</v>
      </c>
    </row>
    <row r="9" spans="2:3" x14ac:dyDescent="0.25">
      <c r="B9">
        <v>140410529</v>
      </c>
      <c r="C9" t="s">
        <v>615</v>
      </c>
    </row>
    <row r="10" spans="2:3" x14ac:dyDescent="0.25">
      <c r="B10">
        <v>10703025</v>
      </c>
      <c r="C10" t="s">
        <v>209</v>
      </c>
    </row>
    <row r="11" spans="2:3" x14ac:dyDescent="0.25">
      <c r="B11">
        <v>130217822</v>
      </c>
      <c r="C11" t="s">
        <v>282</v>
      </c>
    </row>
    <row r="12" spans="2:3" x14ac:dyDescent="0.25">
      <c r="B12">
        <v>10314719</v>
      </c>
      <c r="C12" t="s">
        <v>330</v>
      </c>
    </row>
    <row r="13" spans="2:3" x14ac:dyDescent="0.25">
      <c r="B13">
        <v>211117851</v>
      </c>
      <c r="C13" t="s">
        <v>616</v>
      </c>
    </row>
    <row r="14" spans="2:3" x14ac:dyDescent="0.25">
      <c r="B14">
        <v>50418864</v>
      </c>
      <c r="C14" t="s">
        <v>289</v>
      </c>
    </row>
    <row r="15" spans="2:3" x14ac:dyDescent="0.25">
      <c r="B15">
        <v>280817844</v>
      </c>
      <c r="C15" t="s">
        <v>462</v>
      </c>
    </row>
    <row r="16" spans="2:3" x14ac:dyDescent="0.25">
      <c r="B16">
        <v>91204114</v>
      </c>
      <c r="C16" t="s">
        <v>108</v>
      </c>
    </row>
    <row r="17" spans="2:3" x14ac:dyDescent="0.25">
      <c r="B17">
        <v>10217828</v>
      </c>
      <c r="C17" t="s">
        <v>617</v>
      </c>
    </row>
    <row r="18" spans="2:3" x14ac:dyDescent="0.25">
      <c r="B18">
        <v>230817842</v>
      </c>
      <c r="C18" t="s">
        <v>391</v>
      </c>
    </row>
    <row r="19" spans="2:3" x14ac:dyDescent="0.25">
      <c r="B19">
        <v>250817843</v>
      </c>
      <c r="C19" t="s">
        <v>618</v>
      </c>
    </row>
    <row r="20" spans="2:3" x14ac:dyDescent="0.25">
      <c r="B20">
        <v>140518869</v>
      </c>
      <c r="C20" t="s">
        <v>437</v>
      </c>
    </row>
    <row r="21" spans="2:3" x14ac:dyDescent="0.25">
      <c r="B21">
        <v>90407339</v>
      </c>
      <c r="C21" t="s">
        <v>619</v>
      </c>
    </row>
    <row r="22" spans="2:3" x14ac:dyDescent="0.25">
      <c r="B22">
        <v>101016801</v>
      </c>
      <c r="C22" t="s">
        <v>111</v>
      </c>
    </row>
    <row r="23" spans="2:3" x14ac:dyDescent="0.25">
      <c r="B23">
        <v>90810548</v>
      </c>
      <c r="C23" t="s">
        <v>620</v>
      </c>
    </row>
    <row r="24" spans="2:3" x14ac:dyDescent="0.25">
      <c r="B24">
        <v>200417834</v>
      </c>
      <c r="C24" t="s">
        <v>331</v>
      </c>
    </row>
    <row r="25" spans="2:3" x14ac:dyDescent="0.25">
      <c r="B25">
        <v>210803045</v>
      </c>
      <c r="C25" t="s">
        <v>241</v>
      </c>
    </row>
    <row r="26" spans="2:3" x14ac:dyDescent="0.25">
      <c r="B26">
        <v>151112629</v>
      </c>
      <c r="C26" t="s">
        <v>339</v>
      </c>
    </row>
    <row r="27" spans="2:3" x14ac:dyDescent="0.25">
      <c r="B27">
        <v>210916800</v>
      </c>
      <c r="C27" t="s">
        <v>380</v>
      </c>
    </row>
    <row r="28" spans="2:3" x14ac:dyDescent="0.25">
      <c r="B28">
        <v>181110556</v>
      </c>
      <c r="C28" t="s">
        <v>416</v>
      </c>
    </row>
    <row r="29" spans="2:3" x14ac:dyDescent="0.25">
      <c r="B29">
        <v>160603001</v>
      </c>
      <c r="C29" t="s">
        <v>6</v>
      </c>
    </row>
    <row r="30" spans="2:3" x14ac:dyDescent="0.25">
      <c r="B30">
        <v>271016809</v>
      </c>
      <c r="C30" t="s">
        <v>138</v>
      </c>
    </row>
    <row r="31" spans="2:3" x14ac:dyDescent="0.25">
      <c r="B31">
        <v>110418866</v>
      </c>
      <c r="C31" t="s">
        <v>621</v>
      </c>
    </row>
    <row r="32" spans="2:3" x14ac:dyDescent="0.25">
      <c r="B32">
        <v>61217853</v>
      </c>
      <c r="C32" t="s">
        <v>25</v>
      </c>
    </row>
    <row r="33" spans="2:3" x14ac:dyDescent="0.25">
      <c r="B33">
        <v>190318862</v>
      </c>
      <c r="C33" t="s">
        <v>622</v>
      </c>
    </row>
    <row r="34" spans="2:3" x14ac:dyDescent="0.25">
      <c r="B34">
        <v>101218895</v>
      </c>
      <c r="C34" t="s">
        <v>243</v>
      </c>
    </row>
    <row r="35" spans="2:3" x14ac:dyDescent="0.25">
      <c r="B35">
        <v>121118889</v>
      </c>
      <c r="C35" t="s">
        <v>295</v>
      </c>
    </row>
    <row r="36" spans="2:3" x14ac:dyDescent="0.25">
      <c r="B36">
        <v>311012625</v>
      </c>
      <c r="C36" t="s">
        <v>405</v>
      </c>
    </row>
    <row r="37" spans="2:3" x14ac:dyDescent="0.25">
      <c r="B37">
        <v>20516793</v>
      </c>
      <c r="C37" t="s">
        <v>62</v>
      </c>
    </row>
    <row r="38" spans="2:3" x14ac:dyDescent="0.25">
      <c r="B38">
        <v>180917845</v>
      </c>
      <c r="C38" t="s">
        <v>248</v>
      </c>
    </row>
    <row r="39" spans="2:3" x14ac:dyDescent="0.25">
      <c r="B39">
        <v>20418863</v>
      </c>
      <c r="C39" t="s">
        <v>36</v>
      </c>
    </row>
    <row r="40" spans="2:3" x14ac:dyDescent="0.25">
      <c r="B40">
        <v>120318861</v>
      </c>
      <c r="C40" t="s">
        <v>146</v>
      </c>
    </row>
    <row r="41" spans="2:3" x14ac:dyDescent="0.25">
      <c r="B41">
        <v>280319902</v>
      </c>
      <c r="C41" t="s">
        <v>131</v>
      </c>
    </row>
    <row r="42" spans="2:3" x14ac:dyDescent="0.25">
      <c r="B42">
        <v>11117850</v>
      </c>
      <c r="C42" t="s">
        <v>359</v>
      </c>
    </row>
    <row r="43" spans="2:3" x14ac:dyDescent="0.25">
      <c r="B43">
        <v>230119899</v>
      </c>
      <c r="C43" t="s">
        <v>65</v>
      </c>
    </row>
    <row r="44" spans="2:3" x14ac:dyDescent="0.25">
      <c r="B44">
        <v>71116810</v>
      </c>
      <c r="C44" t="s">
        <v>623</v>
      </c>
    </row>
    <row r="45" spans="2:3" x14ac:dyDescent="0.25">
      <c r="B45">
        <v>160217824</v>
      </c>
      <c r="C45" t="s">
        <v>344</v>
      </c>
    </row>
    <row r="46" spans="2:3" x14ac:dyDescent="0.25">
      <c r="B46">
        <v>200519910</v>
      </c>
      <c r="C46" t="s">
        <v>39</v>
      </c>
    </row>
    <row r="47" spans="2:3" x14ac:dyDescent="0.25">
      <c r="B47">
        <v>250618876</v>
      </c>
      <c r="C47" t="s">
        <v>624</v>
      </c>
    </row>
    <row r="48" spans="2:3" x14ac:dyDescent="0.25">
      <c r="B48">
        <v>31115789</v>
      </c>
      <c r="C48" t="s">
        <v>303</v>
      </c>
    </row>
    <row r="49" spans="2:4" x14ac:dyDescent="0.25">
      <c r="B49">
        <v>200212602</v>
      </c>
      <c r="C49" t="s">
        <v>317</v>
      </c>
    </row>
    <row r="50" spans="2:4" x14ac:dyDescent="0.25">
      <c r="B50">
        <v>270917846</v>
      </c>
      <c r="C50" t="s">
        <v>410</v>
      </c>
    </row>
    <row r="51" spans="2:4" x14ac:dyDescent="0.25">
      <c r="B51">
        <v>30915783</v>
      </c>
      <c r="C51" t="s">
        <v>625</v>
      </c>
    </row>
    <row r="52" spans="2:4" x14ac:dyDescent="0.25">
      <c r="B52">
        <v>11216815</v>
      </c>
      <c r="C52" t="s">
        <v>271</v>
      </c>
    </row>
    <row r="53" spans="2:4" x14ac:dyDescent="0.25">
      <c r="B53">
        <v>150419906</v>
      </c>
      <c r="C53" t="s">
        <v>626</v>
      </c>
    </row>
    <row r="54" spans="2:4" x14ac:dyDescent="0.25">
      <c r="B54">
        <v>120419904</v>
      </c>
      <c r="C54" t="s">
        <v>202</v>
      </c>
    </row>
    <row r="55" spans="2:4" x14ac:dyDescent="0.25">
      <c r="B55">
        <v>10318860</v>
      </c>
      <c r="C55" t="s">
        <v>498</v>
      </c>
    </row>
    <row r="56" spans="2:4" x14ac:dyDescent="0.25">
      <c r="B56">
        <v>210618875</v>
      </c>
      <c r="C56" t="s">
        <v>225</v>
      </c>
    </row>
    <row r="57" spans="2:4" x14ac:dyDescent="0.25">
      <c r="B57">
        <v>150419905</v>
      </c>
      <c r="C57" t="s">
        <v>249</v>
      </c>
      <c r="D57" s="6" t="s">
        <v>651</v>
      </c>
    </row>
    <row r="58" spans="2:4" x14ac:dyDescent="0.25">
      <c r="B58">
        <v>11018884</v>
      </c>
      <c r="C58" t="s">
        <v>627</v>
      </c>
      <c r="D58" s="6" t="s">
        <v>652</v>
      </c>
    </row>
    <row r="59" spans="2:4" x14ac:dyDescent="0.25">
      <c r="B59">
        <v>100918881</v>
      </c>
      <c r="C59" t="s">
        <v>352</v>
      </c>
      <c r="D59" s="6" t="s">
        <v>653</v>
      </c>
    </row>
    <row r="60" spans="2:4" x14ac:dyDescent="0.25">
      <c r="B60">
        <v>20519907</v>
      </c>
      <c r="C60" t="s">
        <v>628</v>
      </c>
      <c r="D60" s="6" t="s">
        <v>867</v>
      </c>
    </row>
    <row r="61" spans="2:4" x14ac:dyDescent="0.25">
      <c r="B61">
        <v>111103059</v>
      </c>
      <c r="C61" t="s">
        <v>629</v>
      </c>
      <c r="D61" s="6" t="s">
        <v>654</v>
      </c>
    </row>
    <row r="62" spans="2:4" x14ac:dyDescent="0.25">
      <c r="B62">
        <v>81012521</v>
      </c>
      <c r="C62" t="s">
        <v>46</v>
      </c>
      <c r="D62" s="6" t="s">
        <v>868</v>
      </c>
    </row>
    <row r="63" spans="2:4" x14ac:dyDescent="0.25">
      <c r="B63">
        <v>251016807</v>
      </c>
      <c r="C63" t="s">
        <v>2</v>
      </c>
    </row>
    <row r="64" spans="2:4" x14ac:dyDescent="0.25">
      <c r="B64">
        <v>120417831</v>
      </c>
      <c r="C64" t="s">
        <v>140</v>
      </c>
      <c r="D64" s="6" t="s">
        <v>655</v>
      </c>
    </row>
    <row r="65" spans="2:4" x14ac:dyDescent="0.25">
      <c r="B65">
        <v>290118856</v>
      </c>
      <c r="C65" t="s">
        <v>327</v>
      </c>
      <c r="D65" s="6" t="s">
        <v>656</v>
      </c>
    </row>
    <row r="66" spans="2:4" x14ac:dyDescent="0.25">
      <c r="B66">
        <v>111018884</v>
      </c>
      <c r="C66" t="s">
        <v>630</v>
      </c>
      <c r="D66" s="6" t="s">
        <v>657</v>
      </c>
    </row>
    <row r="67" spans="2:4" x14ac:dyDescent="0.25">
      <c r="B67">
        <v>10317827</v>
      </c>
      <c r="C67" t="s">
        <v>631</v>
      </c>
      <c r="D67" s="6" t="s">
        <v>658</v>
      </c>
    </row>
    <row r="68" spans="2:4" x14ac:dyDescent="0.25">
      <c r="B68">
        <v>71217854</v>
      </c>
      <c r="C68" t="s">
        <v>34</v>
      </c>
      <c r="D68" s="6" t="s">
        <v>659</v>
      </c>
    </row>
    <row r="69" spans="2:4" x14ac:dyDescent="0.25">
      <c r="B69">
        <v>100613675</v>
      </c>
      <c r="C69" t="s">
        <v>155</v>
      </c>
      <c r="D69" s="6" t="s">
        <v>660</v>
      </c>
    </row>
    <row r="70" spans="2:4" x14ac:dyDescent="0.25">
      <c r="B70">
        <v>231219923</v>
      </c>
      <c r="C70" t="s">
        <v>160</v>
      </c>
      <c r="D70" s="6" t="s">
        <v>661</v>
      </c>
    </row>
    <row r="71" spans="2:4" x14ac:dyDescent="0.25">
      <c r="B71">
        <v>90819916</v>
      </c>
      <c r="C71" t="s">
        <v>415</v>
      </c>
      <c r="D71" s="6" t="s">
        <v>662</v>
      </c>
    </row>
    <row r="72" spans="2:4" x14ac:dyDescent="0.25">
      <c r="B72">
        <v>140518870</v>
      </c>
      <c r="C72" t="s">
        <v>191</v>
      </c>
      <c r="D72" s="6" t="s">
        <v>663</v>
      </c>
    </row>
    <row r="73" spans="2:4" x14ac:dyDescent="0.25">
      <c r="B73">
        <v>221007407</v>
      </c>
      <c r="C73" t="s">
        <v>360</v>
      </c>
      <c r="D73" s="6" t="s">
        <v>664</v>
      </c>
    </row>
    <row r="74" spans="2:4" x14ac:dyDescent="0.25">
      <c r="B74">
        <v>100220928</v>
      </c>
      <c r="C74" t="s">
        <v>336</v>
      </c>
      <c r="D74" s="6" t="s">
        <v>665</v>
      </c>
    </row>
    <row r="75" spans="2:4" x14ac:dyDescent="0.25">
      <c r="B75">
        <v>160718878</v>
      </c>
      <c r="C75" t="s">
        <v>332</v>
      </c>
      <c r="D75" s="6" t="s">
        <v>666</v>
      </c>
    </row>
    <row r="76" spans="2:4" x14ac:dyDescent="0.25">
      <c r="B76">
        <v>100918882</v>
      </c>
      <c r="C76" t="s">
        <v>364</v>
      </c>
      <c r="D76" s="6" t="s">
        <v>667</v>
      </c>
    </row>
    <row r="77" spans="2:4" x14ac:dyDescent="0.25">
      <c r="B77">
        <v>110119897</v>
      </c>
      <c r="C77" t="s">
        <v>499</v>
      </c>
      <c r="D77" s="6" t="s">
        <v>668</v>
      </c>
    </row>
    <row r="78" spans="2:4" x14ac:dyDescent="0.25">
      <c r="B78">
        <v>131219922</v>
      </c>
      <c r="C78" t="s">
        <v>347</v>
      </c>
      <c r="D78" s="6" t="s">
        <v>669</v>
      </c>
    </row>
    <row r="79" spans="2:4" x14ac:dyDescent="0.25">
      <c r="B79">
        <v>221007408</v>
      </c>
      <c r="C79" t="s">
        <v>322</v>
      </c>
      <c r="D79" s="6" t="s">
        <v>670</v>
      </c>
    </row>
    <row r="80" spans="2:4" x14ac:dyDescent="0.25">
      <c r="B80">
        <v>290118859</v>
      </c>
      <c r="C80" t="s">
        <v>298</v>
      </c>
      <c r="D80" s="6" t="s">
        <v>671</v>
      </c>
    </row>
    <row r="81" spans="2:5" x14ac:dyDescent="0.25">
      <c r="B81">
        <v>50617837</v>
      </c>
      <c r="C81" t="s">
        <v>424</v>
      </c>
      <c r="D81" s="6" t="s">
        <v>672</v>
      </c>
    </row>
    <row r="82" spans="2:5" x14ac:dyDescent="0.25">
      <c r="B82">
        <v>31218894</v>
      </c>
      <c r="C82" t="s">
        <v>186</v>
      </c>
      <c r="D82" s="6" t="s">
        <v>673</v>
      </c>
    </row>
    <row r="83" spans="2:5" x14ac:dyDescent="0.25">
      <c r="B83">
        <v>271120940</v>
      </c>
      <c r="C83" t="s">
        <v>632</v>
      </c>
      <c r="D83" s="6" t="s">
        <v>674</v>
      </c>
      <c r="E83" t="s">
        <v>675</v>
      </c>
    </row>
    <row r="84" spans="2:5" x14ac:dyDescent="0.25">
      <c r="B84">
        <v>111218896</v>
      </c>
      <c r="C84" t="s">
        <v>296</v>
      </c>
      <c r="D84" s="6" t="s">
        <v>676</v>
      </c>
    </row>
    <row r="85" spans="2:5" x14ac:dyDescent="0.25">
      <c r="B85">
        <v>251119920</v>
      </c>
      <c r="C85" t="s">
        <v>633</v>
      </c>
      <c r="D85" s="6" t="s">
        <v>677</v>
      </c>
    </row>
    <row r="86" spans="2:5" x14ac:dyDescent="0.25">
      <c r="B86">
        <v>271217855</v>
      </c>
      <c r="C86" t="s">
        <v>28</v>
      </c>
      <c r="D86" s="6" t="s">
        <v>678</v>
      </c>
    </row>
    <row r="87" spans="2:5" x14ac:dyDescent="0.25">
      <c r="B87">
        <v>140319901</v>
      </c>
      <c r="C87" t="s">
        <v>70</v>
      </c>
      <c r="D87" s="6" t="s">
        <v>679</v>
      </c>
    </row>
    <row r="88" spans="2:5" x14ac:dyDescent="0.25">
      <c r="B88">
        <v>120220929</v>
      </c>
      <c r="C88" t="s">
        <v>634</v>
      </c>
      <c r="D88" s="6" t="s">
        <v>680</v>
      </c>
    </row>
    <row r="89" spans="2:5" x14ac:dyDescent="0.25">
      <c r="B89">
        <v>140518871</v>
      </c>
      <c r="C89" t="s">
        <v>144</v>
      </c>
      <c r="D89" s="6" t="s">
        <v>681</v>
      </c>
    </row>
    <row r="90" spans="2:5" x14ac:dyDescent="0.25">
      <c r="B90">
        <v>10719913</v>
      </c>
      <c r="C90" t="s">
        <v>635</v>
      </c>
      <c r="D90" s="6" t="s">
        <v>682</v>
      </c>
    </row>
    <row r="91" spans="2:5" x14ac:dyDescent="0.25">
      <c r="B91">
        <v>90315759</v>
      </c>
      <c r="C91" t="s">
        <v>636</v>
      </c>
      <c r="D91" s="6" t="s">
        <v>683</v>
      </c>
    </row>
    <row r="92" spans="2:5" x14ac:dyDescent="0.25">
      <c r="B92">
        <v>110621951</v>
      </c>
      <c r="C92" t="s">
        <v>276</v>
      </c>
      <c r="D92" s="6" t="s">
        <v>684</v>
      </c>
    </row>
    <row r="93" spans="2:5" x14ac:dyDescent="0.25">
      <c r="B93">
        <v>140708474</v>
      </c>
      <c r="C93" t="s">
        <v>637</v>
      </c>
      <c r="D93" s="6" t="s">
        <v>685</v>
      </c>
    </row>
    <row r="94" spans="2:5" x14ac:dyDescent="0.25">
      <c r="B94">
        <v>31005165</v>
      </c>
      <c r="C94" t="s">
        <v>204</v>
      </c>
      <c r="D94" s="6" t="s">
        <v>686</v>
      </c>
    </row>
    <row r="95" spans="2:5" x14ac:dyDescent="0.25">
      <c r="B95">
        <v>150721949</v>
      </c>
      <c r="C95" t="s">
        <v>510</v>
      </c>
      <c r="D95" s="6" t="s">
        <v>687</v>
      </c>
    </row>
    <row r="96" spans="2:5" x14ac:dyDescent="0.25">
      <c r="B96">
        <v>291121956</v>
      </c>
      <c r="C96" t="s">
        <v>533</v>
      </c>
    </row>
    <row r="97" spans="2:4" x14ac:dyDescent="0.25">
      <c r="B97">
        <v>130921953</v>
      </c>
      <c r="C97" t="s">
        <v>507</v>
      </c>
      <c r="D97" s="6" t="s">
        <v>688</v>
      </c>
    </row>
    <row r="98" spans="2:4" x14ac:dyDescent="0.25">
      <c r="B98">
        <v>20518867</v>
      </c>
      <c r="C98" t="s">
        <v>99</v>
      </c>
      <c r="D98" s="6" t="s">
        <v>689</v>
      </c>
    </row>
    <row r="99" spans="2:4" x14ac:dyDescent="0.25">
      <c r="B99">
        <v>140518872</v>
      </c>
      <c r="C99" t="s">
        <v>313</v>
      </c>
      <c r="D99" s="6" t="s">
        <v>690</v>
      </c>
    </row>
    <row r="100" spans="2:4" x14ac:dyDescent="0.25">
      <c r="B100">
        <v>171121955</v>
      </c>
      <c r="C100" t="s">
        <v>511</v>
      </c>
      <c r="D100" s="6" t="s">
        <v>691</v>
      </c>
    </row>
    <row r="101" spans="2:4" x14ac:dyDescent="0.25">
      <c r="B101">
        <v>161120938</v>
      </c>
      <c r="C101" t="s">
        <v>470</v>
      </c>
      <c r="D101" s="6" t="s">
        <v>692</v>
      </c>
    </row>
    <row r="102" spans="2:4" x14ac:dyDescent="0.25">
      <c r="B102">
        <v>301017849</v>
      </c>
      <c r="C102" t="s">
        <v>333</v>
      </c>
      <c r="D102" s="6" t="s">
        <v>693</v>
      </c>
    </row>
    <row r="103" spans="2:4" x14ac:dyDescent="0.25">
      <c r="B103">
        <v>260606236</v>
      </c>
      <c r="C103" t="s">
        <v>182</v>
      </c>
      <c r="D103" s="6" t="s">
        <v>694</v>
      </c>
    </row>
    <row r="104" spans="2:4" x14ac:dyDescent="0.25">
      <c r="B104">
        <v>171016802</v>
      </c>
      <c r="C104" t="s">
        <v>387</v>
      </c>
      <c r="D104" s="6" t="s">
        <v>695</v>
      </c>
    </row>
    <row r="105" spans="2:4" x14ac:dyDescent="0.25">
      <c r="B105">
        <v>30221945</v>
      </c>
      <c r="C105" t="s">
        <v>377</v>
      </c>
    </row>
    <row r="106" spans="2:4" x14ac:dyDescent="0.25">
      <c r="B106">
        <v>131221957</v>
      </c>
      <c r="C106" t="s">
        <v>539</v>
      </c>
      <c r="D106" s="6" t="s">
        <v>696</v>
      </c>
    </row>
    <row r="107" spans="2:4" x14ac:dyDescent="0.25">
      <c r="B107">
        <v>10803042</v>
      </c>
      <c r="C107" t="s">
        <v>552</v>
      </c>
      <c r="D107" s="6" t="s">
        <v>697</v>
      </c>
    </row>
    <row r="108" spans="2:4" x14ac:dyDescent="0.25">
      <c r="B108">
        <v>80321946</v>
      </c>
      <c r="C108" t="s">
        <v>7</v>
      </c>
      <c r="D108" s="6" t="s">
        <v>698</v>
      </c>
    </row>
    <row r="109" spans="2:4" x14ac:dyDescent="0.25">
      <c r="B109">
        <v>200105119</v>
      </c>
      <c r="C109" t="s">
        <v>425</v>
      </c>
      <c r="D109" s="6" t="s">
        <v>699</v>
      </c>
    </row>
    <row r="110" spans="2:4" x14ac:dyDescent="0.25">
      <c r="B110">
        <v>40722964</v>
      </c>
      <c r="C110" t="s">
        <v>638</v>
      </c>
      <c r="D110" s="6" t="s">
        <v>700</v>
      </c>
    </row>
    <row r="111" spans="2:4" x14ac:dyDescent="0.25">
      <c r="B111">
        <v>20120919</v>
      </c>
      <c r="C111" t="s">
        <v>384</v>
      </c>
      <c r="D111" s="6" t="s">
        <v>701</v>
      </c>
    </row>
    <row r="112" spans="2:4" x14ac:dyDescent="0.25">
      <c r="B112">
        <v>170522963</v>
      </c>
      <c r="C112" t="s">
        <v>518</v>
      </c>
      <c r="D112" s="6" t="s">
        <v>702</v>
      </c>
    </row>
    <row r="113" spans="2:4" x14ac:dyDescent="0.25">
      <c r="B113">
        <v>241219924</v>
      </c>
      <c r="C113" t="s">
        <v>639</v>
      </c>
      <c r="D113" s="6" t="s">
        <v>703</v>
      </c>
    </row>
    <row r="114" spans="2:4" x14ac:dyDescent="0.25">
      <c r="B114">
        <v>161220941</v>
      </c>
      <c r="C114" t="s">
        <v>380</v>
      </c>
    </row>
    <row r="115" spans="2:4" x14ac:dyDescent="0.25">
      <c r="B115">
        <v>70518868</v>
      </c>
      <c r="C115" t="s">
        <v>324</v>
      </c>
      <c r="D115" s="6" t="s">
        <v>704</v>
      </c>
    </row>
    <row r="116" spans="2:4" x14ac:dyDescent="0.25">
      <c r="B116">
        <v>280618877</v>
      </c>
      <c r="C116" t="s">
        <v>473</v>
      </c>
      <c r="D116" s="6" t="s">
        <v>705</v>
      </c>
    </row>
    <row r="117" spans="2:4" x14ac:dyDescent="0.25">
      <c r="B117">
        <v>70703034</v>
      </c>
      <c r="C117" t="s">
        <v>640</v>
      </c>
      <c r="D117" s="6" t="s">
        <v>706</v>
      </c>
    </row>
    <row r="118" spans="2:4" x14ac:dyDescent="0.25">
      <c r="B118">
        <v>211222971</v>
      </c>
      <c r="C118" t="s">
        <v>536</v>
      </c>
      <c r="D118" s="6" t="s">
        <v>869</v>
      </c>
    </row>
    <row r="119" spans="2:4" x14ac:dyDescent="0.25">
      <c r="B119">
        <v>70305123</v>
      </c>
      <c r="C119" t="s">
        <v>641</v>
      </c>
      <c r="D119" s="6" t="s">
        <v>707</v>
      </c>
    </row>
    <row r="120" spans="2:4" x14ac:dyDescent="0.25">
      <c r="B120">
        <v>181114748</v>
      </c>
      <c r="C120" t="s">
        <v>158</v>
      </c>
      <c r="D120" s="6" t="s">
        <v>708</v>
      </c>
    </row>
    <row r="121" spans="2:4" x14ac:dyDescent="0.25">
      <c r="B121">
        <v>260115754</v>
      </c>
      <c r="C121" t="s">
        <v>329</v>
      </c>
      <c r="D121" s="6" t="s">
        <v>709</v>
      </c>
    </row>
    <row r="122" spans="2:4" x14ac:dyDescent="0.25">
      <c r="B122">
        <v>130223978</v>
      </c>
      <c r="C122" t="s">
        <v>14</v>
      </c>
      <c r="D122" s="6" t="s">
        <v>710</v>
      </c>
    </row>
    <row r="123" spans="2:4" x14ac:dyDescent="0.25">
      <c r="B123">
        <v>170217825</v>
      </c>
      <c r="C123" t="s">
        <v>642</v>
      </c>
      <c r="D123" s="6" t="s">
        <v>711</v>
      </c>
    </row>
    <row r="124" spans="2:4" x14ac:dyDescent="0.25">
      <c r="B124">
        <v>100419903</v>
      </c>
      <c r="C124" t="s">
        <v>38</v>
      </c>
      <c r="D124" s="6" t="s">
        <v>712</v>
      </c>
    </row>
    <row r="125" spans="2:4" x14ac:dyDescent="0.25">
      <c r="C125" t="s">
        <v>513</v>
      </c>
      <c r="D125" s="6" t="s">
        <v>713</v>
      </c>
    </row>
    <row r="126" spans="2:4" x14ac:dyDescent="0.25">
      <c r="B126">
        <v>50123975</v>
      </c>
      <c r="C126" t="s">
        <v>99</v>
      </c>
      <c r="D126" s="6" t="s">
        <v>689</v>
      </c>
    </row>
    <row r="127" spans="2:4" x14ac:dyDescent="0.25">
      <c r="B127">
        <v>40219900</v>
      </c>
      <c r="C127" t="s">
        <v>466</v>
      </c>
      <c r="D127" s="6" t="s">
        <v>714</v>
      </c>
    </row>
    <row r="128" spans="2:4" x14ac:dyDescent="0.25">
      <c r="B128">
        <v>171215791</v>
      </c>
      <c r="C128" t="s">
        <v>643</v>
      </c>
      <c r="D128" s="6" t="s">
        <v>715</v>
      </c>
    </row>
    <row r="129" spans="2:4" x14ac:dyDescent="0.25">
      <c r="B129">
        <v>311022972</v>
      </c>
      <c r="C129" t="s">
        <v>548</v>
      </c>
    </row>
    <row r="130" spans="2:4" x14ac:dyDescent="0.25">
      <c r="B130">
        <v>210904088</v>
      </c>
      <c r="C130" t="s">
        <v>644</v>
      </c>
      <c r="D130" s="6" t="s">
        <v>716</v>
      </c>
    </row>
    <row r="131" spans="2:4" x14ac:dyDescent="0.25">
      <c r="B131">
        <v>150506222</v>
      </c>
      <c r="C131" t="s">
        <v>18</v>
      </c>
      <c r="D131" s="6" t="s">
        <v>717</v>
      </c>
    </row>
    <row r="132" spans="2:4" x14ac:dyDescent="0.25">
      <c r="B132">
        <v>191022968</v>
      </c>
      <c r="C132" t="s">
        <v>521</v>
      </c>
      <c r="D132" s="6" t="s">
        <v>718</v>
      </c>
    </row>
    <row r="133" spans="2:4" x14ac:dyDescent="0.25">
      <c r="B133">
        <v>180822966</v>
      </c>
      <c r="C133" t="s">
        <v>543</v>
      </c>
      <c r="D133" s="6" t="s">
        <v>719</v>
      </c>
    </row>
    <row r="134" spans="2:4" x14ac:dyDescent="0.25">
      <c r="B134">
        <v>120923980</v>
      </c>
      <c r="C134" t="s">
        <v>645</v>
      </c>
    </row>
    <row r="135" spans="2:4" x14ac:dyDescent="0.25">
      <c r="B135">
        <v>140421948</v>
      </c>
      <c r="C135" t="s">
        <v>412</v>
      </c>
      <c r="D135" s="6" t="s">
        <v>720</v>
      </c>
    </row>
    <row r="136" spans="2:4" x14ac:dyDescent="0.25">
      <c r="B136">
        <v>61123983</v>
      </c>
      <c r="C136" t="s">
        <v>646</v>
      </c>
      <c r="D136" s="6" t="s">
        <v>721</v>
      </c>
    </row>
    <row r="137" spans="2:4" x14ac:dyDescent="0.25">
      <c r="B137">
        <v>141020935</v>
      </c>
      <c r="C137" t="s">
        <v>22</v>
      </c>
      <c r="D137" s="6" t="s">
        <v>722</v>
      </c>
    </row>
    <row r="138" spans="2:4" x14ac:dyDescent="0.25">
      <c r="B138">
        <v>100724990</v>
      </c>
      <c r="C138" t="s">
        <v>647</v>
      </c>
    </row>
    <row r="139" spans="2:4" x14ac:dyDescent="0.25">
      <c r="B139">
        <v>150805153</v>
      </c>
      <c r="C139" t="s">
        <v>648</v>
      </c>
      <c r="D139" s="6" t="s">
        <v>723</v>
      </c>
    </row>
    <row r="140" spans="2:4" x14ac:dyDescent="0.25">
      <c r="B140">
        <v>11123982</v>
      </c>
      <c r="C140" t="s">
        <v>649</v>
      </c>
      <c r="D140" s="6" t="s">
        <v>724</v>
      </c>
    </row>
    <row r="141" spans="2:4" x14ac:dyDescent="0.25">
      <c r="B141">
        <v>10224986</v>
      </c>
      <c r="C141" t="s">
        <v>570</v>
      </c>
      <c r="D141" s="6" t="s">
        <v>725</v>
      </c>
    </row>
    <row r="142" spans="2:4" x14ac:dyDescent="0.25">
      <c r="B142">
        <v>271222973</v>
      </c>
      <c r="C142" t="s">
        <v>546</v>
      </c>
      <c r="D142" s="6" t="s">
        <v>726</v>
      </c>
    </row>
    <row r="143" spans="2:4" x14ac:dyDescent="0.25">
      <c r="B143">
        <v>180324988</v>
      </c>
      <c r="C143" t="s">
        <v>650</v>
      </c>
      <c r="D143" s="6" t="s">
        <v>727</v>
      </c>
    </row>
    <row r="144" spans="2:4" x14ac:dyDescent="0.25">
      <c r="B144">
        <v>310821007</v>
      </c>
      <c r="C144" t="s">
        <v>43</v>
      </c>
      <c r="D144" s="6" t="s">
        <v>728</v>
      </c>
    </row>
    <row r="145" spans="2:4" x14ac:dyDescent="0.25">
      <c r="B145">
        <v>2804251006</v>
      </c>
      <c r="C145" t="s">
        <v>599</v>
      </c>
      <c r="D145" s="6" t="s">
        <v>729</v>
      </c>
    </row>
    <row r="146" spans="2:4" x14ac:dyDescent="0.25">
      <c r="B146">
        <v>160603011</v>
      </c>
      <c r="C146" t="s">
        <v>272</v>
      </c>
      <c r="D146" s="6" t="s">
        <v>730</v>
      </c>
    </row>
    <row r="147" spans="2:4" x14ac:dyDescent="0.25">
      <c r="B147">
        <v>91224995</v>
      </c>
      <c r="C147" t="s">
        <v>586</v>
      </c>
      <c r="D147" s="6" t="s">
        <v>731</v>
      </c>
    </row>
    <row r="148" spans="2:4" x14ac:dyDescent="0.25">
      <c r="B148">
        <v>2702251001</v>
      </c>
      <c r="C148" t="s">
        <v>588</v>
      </c>
      <c r="D148" s="6" t="s">
        <v>732</v>
      </c>
    </row>
    <row r="149" spans="2:4" x14ac:dyDescent="0.25">
      <c r="B149">
        <v>261219925</v>
      </c>
      <c r="C149" t="s">
        <v>427</v>
      </c>
      <c r="D149" s="6" t="s">
        <v>733</v>
      </c>
    </row>
    <row r="150" spans="2:4" x14ac:dyDescent="0.25">
      <c r="B150">
        <v>11003051</v>
      </c>
      <c r="C150" t="s">
        <v>180</v>
      </c>
    </row>
    <row r="151" spans="2:4" x14ac:dyDescent="0.25">
      <c r="B151">
        <v>61017848</v>
      </c>
      <c r="C151" t="s">
        <v>734</v>
      </c>
    </row>
    <row r="152" spans="2:4" x14ac:dyDescent="0.25">
      <c r="B152">
        <v>90707388</v>
      </c>
      <c r="C152" t="s">
        <v>236</v>
      </c>
    </row>
    <row r="153" spans="2:4" x14ac:dyDescent="0.25">
      <c r="B153">
        <v>141112633</v>
      </c>
      <c r="C153" t="s">
        <v>735</v>
      </c>
      <c r="D153" s="6" t="s">
        <v>736</v>
      </c>
    </row>
    <row r="154" spans="2:4" x14ac:dyDescent="0.25">
      <c r="B154">
        <v>81220942</v>
      </c>
      <c r="C154" t="s">
        <v>435</v>
      </c>
    </row>
    <row r="155" spans="2:4" x14ac:dyDescent="0.25">
      <c r="B155">
        <v>10813678</v>
      </c>
      <c r="C155" t="s">
        <v>251</v>
      </c>
      <c r="D155" s="6" t="s">
        <v>737</v>
      </c>
    </row>
    <row r="156" spans="2:4" x14ac:dyDescent="0.25">
      <c r="B156">
        <v>11216814</v>
      </c>
      <c r="C156" t="s">
        <v>58</v>
      </c>
    </row>
    <row r="157" spans="2:4" x14ac:dyDescent="0.25">
      <c r="B157">
        <v>10218857</v>
      </c>
      <c r="C157" t="s">
        <v>738</v>
      </c>
    </row>
    <row r="158" spans="2:4" x14ac:dyDescent="0.25">
      <c r="B158">
        <v>160313012</v>
      </c>
      <c r="C158" t="s">
        <v>739</v>
      </c>
    </row>
    <row r="159" spans="2:4" x14ac:dyDescent="0.25">
      <c r="B159">
        <v>40418865</v>
      </c>
      <c r="C159" t="s">
        <v>740</v>
      </c>
    </row>
    <row r="160" spans="2:4" x14ac:dyDescent="0.25">
      <c r="B160">
        <v>210518873</v>
      </c>
      <c r="C160" t="s">
        <v>307</v>
      </c>
    </row>
    <row r="161" spans="2:4" x14ac:dyDescent="0.25">
      <c r="B161">
        <v>310718879</v>
      </c>
      <c r="C161" t="s">
        <v>61</v>
      </c>
    </row>
    <row r="162" spans="2:4" x14ac:dyDescent="0.25">
      <c r="B162">
        <v>280217829</v>
      </c>
      <c r="C162" t="s">
        <v>741</v>
      </c>
    </row>
    <row r="163" spans="2:4" x14ac:dyDescent="0.25">
      <c r="B163">
        <v>210617840</v>
      </c>
      <c r="C163" t="s">
        <v>742</v>
      </c>
    </row>
    <row r="164" spans="2:4" x14ac:dyDescent="0.25">
      <c r="B164">
        <v>241018887</v>
      </c>
      <c r="C164" t="s">
        <v>743</v>
      </c>
    </row>
    <row r="165" spans="2:4" x14ac:dyDescent="0.25">
      <c r="B165">
        <v>170119898</v>
      </c>
      <c r="C165" t="s">
        <v>455</v>
      </c>
    </row>
    <row r="166" spans="2:4" x14ac:dyDescent="0.25">
      <c r="B166">
        <v>150719914</v>
      </c>
      <c r="C166" t="s">
        <v>59</v>
      </c>
    </row>
    <row r="167" spans="2:4" x14ac:dyDescent="0.25">
      <c r="B167">
        <v>20519908</v>
      </c>
      <c r="C167" t="s">
        <v>234</v>
      </c>
      <c r="D167" s="6" t="s">
        <v>754</v>
      </c>
    </row>
    <row r="168" spans="2:4" x14ac:dyDescent="0.25">
      <c r="B168">
        <v>21219921</v>
      </c>
      <c r="C168" t="s">
        <v>286</v>
      </c>
      <c r="D168" s="6" t="s">
        <v>755</v>
      </c>
    </row>
    <row r="169" spans="2:4" x14ac:dyDescent="0.25">
      <c r="B169">
        <v>231015787</v>
      </c>
      <c r="C169" t="s">
        <v>1</v>
      </c>
      <c r="D169" s="6" t="s">
        <v>756</v>
      </c>
    </row>
    <row r="170" spans="2:4" x14ac:dyDescent="0.25">
      <c r="B170">
        <v>60519909</v>
      </c>
      <c r="C170" t="s">
        <v>342</v>
      </c>
      <c r="D170" s="6" t="s">
        <v>757</v>
      </c>
    </row>
    <row r="171" spans="2:4" x14ac:dyDescent="0.25">
      <c r="B171">
        <v>71019917</v>
      </c>
      <c r="C171" t="s">
        <v>744</v>
      </c>
      <c r="D171" s="6" t="s">
        <v>758</v>
      </c>
    </row>
    <row r="172" spans="2:4" x14ac:dyDescent="0.25">
      <c r="B172">
        <v>220517836</v>
      </c>
      <c r="C172" t="s">
        <v>745</v>
      </c>
      <c r="D172" s="6" t="s">
        <v>759</v>
      </c>
    </row>
    <row r="173" spans="2:4" x14ac:dyDescent="0.25">
      <c r="B173">
        <v>60420930</v>
      </c>
      <c r="C173" t="s">
        <v>746</v>
      </c>
      <c r="D173" s="6" t="s">
        <v>760</v>
      </c>
    </row>
    <row r="174" spans="2:4" x14ac:dyDescent="0.25">
      <c r="B174">
        <v>121118891</v>
      </c>
      <c r="C174" t="s">
        <v>281</v>
      </c>
      <c r="D174" s="6" t="s">
        <v>761</v>
      </c>
    </row>
    <row r="175" spans="2:4" x14ac:dyDescent="0.25">
      <c r="B175">
        <v>181018886</v>
      </c>
      <c r="C175" t="s">
        <v>299</v>
      </c>
    </row>
    <row r="176" spans="2:4" x14ac:dyDescent="0.25">
      <c r="B176">
        <v>290317835</v>
      </c>
      <c r="C176" t="s">
        <v>177</v>
      </c>
      <c r="D176" s="6" t="s">
        <v>762</v>
      </c>
    </row>
    <row r="177" spans="2:4" x14ac:dyDescent="0.25">
      <c r="B177">
        <v>71118888</v>
      </c>
      <c r="C177" t="s">
        <v>747</v>
      </c>
      <c r="D177" s="6" t="s">
        <v>763</v>
      </c>
    </row>
    <row r="178" spans="2:4" x14ac:dyDescent="0.25">
      <c r="B178">
        <v>300120926</v>
      </c>
      <c r="C178" t="s">
        <v>124</v>
      </c>
      <c r="D178" s="6" t="s">
        <v>764</v>
      </c>
    </row>
    <row r="179" spans="2:4" x14ac:dyDescent="0.25">
      <c r="B179">
        <v>30220927</v>
      </c>
      <c r="C179" t="s">
        <v>254</v>
      </c>
      <c r="D179" s="6" t="s">
        <v>765</v>
      </c>
    </row>
    <row r="180" spans="2:4" x14ac:dyDescent="0.25">
      <c r="B180">
        <v>181120939</v>
      </c>
      <c r="C180" t="s">
        <v>149</v>
      </c>
      <c r="D180" s="6" t="s">
        <v>766</v>
      </c>
    </row>
    <row r="181" spans="2:4" x14ac:dyDescent="0.25">
      <c r="B181">
        <v>280621950</v>
      </c>
      <c r="C181" t="s">
        <v>506</v>
      </c>
      <c r="D181" s="6" t="s">
        <v>767</v>
      </c>
    </row>
    <row r="182" spans="2:4" x14ac:dyDescent="0.25">
      <c r="B182">
        <v>121118890</v>
      </c>
      <c r="C182" t="s">
        <v>100</v>
      </c>
      <c r="D182" s="6" t="s">
        <v>768</v>
      </c>
    </row>
    <row r="183" spans="2:4" x14ac:dyDescent="0.25">
      <c r="B183">
        <v>110121943</v>
      </c>
      <c r="C183" t="s">
        <v>551</v>
      </c>
      <c r="D183" s="6" t="s">
        <v>769</v>
      </c>
    </row>
    <row r="184" spans="2:4" x14ac:dyDescent="0.25">
      <c r="B184">
        <v>91120937</v>
      </c>
      <c r="C184" t="s">
        <v>741</v>
      </c>
      <c r="D184" s="6" t="s">
        <v>770</v>
      </c>
    </row>
    <row r="185" spans="2:4" x14ac:dyDescent="0.25">
      <c r="B185">
        <v>140420931</v>
      </c>
      <c r="C185" t="s">
        <v>3</v>
      </c>
      <c r="D185" s="6" t="s">
        <v>771</v>
      </c>
    </row>
    <row r="186" spans="2:4" x14ac:dyDescent="0.25">
      <c r="B186">
        <v>21120936</v>
      </c>
      <c r="C186" t="s">
        <v>370</v>
      </c>
      <c r="D186" s="6" t="s">
        <v>772</v>
      </c>
    </row>
    <row r="187" spans="2:4" x14ac:dyDescent="0.25">
      <c r="B187">
        <v>70617838</v>
      </c>
      <c r="C187" t="s">
        <v>119</v>
      </c>
      <c r="D187" s="6" t="s">
        <v>773</v>
      </c>
    </row>
    <row r="188" spans="2:4" x14ac:dyDescent="0.25">
      <c r="B188">
        <v>160313010</v>
      </c>
      <c r="C188" t="s">
        <v>748</v>
      </c>
      <c r="D188" s="6" t="s">
        <v>774</v>
      </c>
    </row>
    <row r="189" spans="2:4" x14ac:dyDescent="0.25">
      <c r="B189">
        <v>261118893</v>
      </c>
      <c r="C189" t="s">
        <v>749</v>
      </c>
      <c r="D189" s="6" t="s">
        <v>775</v>
      </c>
    </row>
    <row r="190" spans="2:4" x14ac:dyDescent="0.25">
      <c r="B190">
        <v>10413651</v>
      </c>
      <c r="C190" t="s">
        <v>750</v>
      </c>
      <c r="D190" s="6" t="s">
        <v>776</v>
      </c>
    </row>
    <row r="191" spans="2:4" x14ac:dyDescent="0.25">
      <c r="B191">
        <v>240620933</v>
      </c>
      <c r="C191" t="s">
        <v>751</v>
      </c>
      <c r="D191" s="6" t="s">
        <v>777</v>
      </c>
    </row>
    <row r="192" spans="2:4" x14ac:dyDescent="0.25">
      <c r="B192">
        <v>171016803</v>
      </c>
      <c r="C192" t="s">
        <v>752</v>
      </c>
      <c r="D192" s="6" t="s">
        <v>778</v>
      </c>
    </row>
    <row r="193" spans="2:4" x14ac:dyDescent="0.25">
      <c r="B193">
        <v>220221946</v>
      </c>
      <c r="C193" t="s">
        <v>213</v>
      </c>
      <c r="D193" s="6" t="s">
        <v>779</v>
      </c>
    </row>
    <row r="194" spans="2:4" x14ac:dyDescent="0.25">
      <c r="B194">
        <v>240225998</v>
      </c>
      <c r="C194" t="s">
        <v>753</v>
      </c>
      <c r="D194" s="6" t="s">
        <v>780</v>
      </c>
    </row>
    <row r="195" spans="2:4" x14ac:dyDescent="0.25">
      <c r="B195">
        <v>11018004</v>
      </c>
      <c r="C195" t="s">
        <v>781</v>
      </c>
    </row>
    <row r="196" spans="2:4" x14ac:dyDescent="0.25">
      <c r="B196">
        <v>280119005</v>
      </c>
      <c r="C196" t="s">
        <v>782</v>
      </c>
    </row>
    <row r="197" spans="2:4" x14ac:dyDescent="0.25">
      <c r="B197">
        <v>250220009</v>
      </c>
      <c r="C197" t="s">
        <v>783</v>
      </c>
      <c r="D197" s="6" t="s">
        <v>786</v>
      </c>
    </row>
    <row r="198" spans="2:4" x14ac:dyDescent="0.25">
      <c r="B198">
        <v>10818003</v>
      </c>
      <c r="C198" t="s">
        <v>784</v>
      </c>
    </row>
    <row r="199" spans="2:4" x14ac:dyDescent="0.25">
      <c r="B199">
        <v>10419008</v>
      </c>
      <c r="C199" t="s">
        <v>143</v>
      </c>
      <c r="D199" s="6" t="s">
        <v>787</v>
      </c>
    </row>
    <row r="200" spans="2:4" x14ac:dyDescent="0.25">
      <c r="B200">
        <v>130319006</v>
      </c>
      <c r="C200" t="s">
        <v>785</v>
      </c>
      <c r="D200" s="6" t="s">
        <v>788</v>
      </c>
    </row>
    <row r="201" spans="2:4" x14ac:dyDescent="0.25">
      <c r="B201">
        <v>10818001</v>
      </c>
      <c r="C201" t="s">
        <v>200</v>
      </c>
      <c r="D201" s="6" t="s">
        <v>789</v>
      </c>
    </row>
    <row r="202" spans="2:4" x14ac:dyDescent="0.25">
      <c r="B202">
        <v>403251002</v>
      </c>
      <c r="C202" t="s">
        <v>592</v>
      </c>
      <c r="D202" s="6" t="s">
        <v>798</v>
      </c>
    </row>
    <row r="203" spans="2:4" x14ac:dyDescent="0.25">
      <c r="B203">
        <v>181124994</v>
      </c>
      <c r="C203" t="s">
        <v>591</v>
      </c>
      <c r="D203" s="6" t="s">
        <v>799</v>
      </c>
    </row>
    <row r="204" spans="2:4" x14ac:dyDescent="0.25">
      <c r="B204">
        <v>10703020</v>
      </c>
      <c r="C204" t="s">
        <v>11</v>
      </c>
      <c r="D204" s="6" t="s">
        <v>800</v>
      </c>
    </row>
    <row r="205" spans="2:4" x14ac:dyDescent="0.25">
      <c r="B205">
        <v>191022969</v>
      </c>
      <c r="C205" t="s">
        <v>512</v>
      </c>
      <c r="D205" s="6" t="s">
        <v>801</v>
      </c>
    </row>
    <row r="206" spans="2:4" x14ac:dyDescent="0.25">
      <c r="B206">
        <v>100920934</v>
      </c>
      <c r="C206" t="s">
        <v>74</v>
      </c>
      <c r="D206" s="6" t="s">
        <v>802</v>
      </c>
    </row>
    <row r="207" spans="2:4" x14ac:dyDescent="0.25">
      <c r="B207">
        <v>60515769</v>
      </c>
      <c r="C207" t="s">
        <v>81</v>
      </c>
      <c r="D207" s="6" t="s">
        <v>803</v>
      </c>
    </row>
    <row r="208" spans="2:4" x14ac:dyDescent="0.25">
      <c r="B208">
        <v>31212631</v>
      </c>
      <c r="C208" t="s">
        <v>91</v>
      </c>
      <c r="D208" s="6" t="s">
        <v>804</v>
      </c>
    </row>
    <row r="209" spans="2:4" x14ac:dyDescent="0.25">
      <c r="B209">
        <v>10605133</v>
      </c>
      <c r="C209" t="s">
        <v>105</v>
      </c>
      <c r="D209" s="6" t="s">
        <v>805</v>
      </c>
    </row>
    <row r="210" spans="2:4" x14ac:dyDescent="0.25">
      <c r="B210">
        <v>40803040</v>
      </c>
      <c r="C210" t="s">
        <v>115</v>
      </c>
      <c r="D210" s="6" t="s">
        <v>806</v>
      </c>
    </row>
    <row r="211" spans="2:4" x14ac:dyDescent="0.25">
      <c r="B211">
        <v>200420932</v>
      </c>
      <c r="C211" t="s">
        <v>122</v>
      </c>
      <c r="D211" s="6" t="s">
        <v>807</v>
      </c>
    </row>
    <row r="212" spans="2:4" x14ac:dyDescent="0.25">
      <c r="B212">
        <v>120324987</v>
      </c>
      <c r="C212" t="s">
        <v>125</v>
      </c>
      <c r="D212" s="6" t="s">
        <v>808</v>
      </c>
    </row>
    <row r="213" spans="2:4" x14ac:dyDescent="0.25">
      <c r="B213">
        <v>60121944</v>
      </c>
      <c r="C213" t="s">
        <v>124</v>
      </c>
      <c r="D213" s="6" t="s">
        <v>764</v>
      </c>
    </row>
    <row r="214" spans="2:4" x14ac:dyDescent="0.25">
      <c r="B214">
        <v>10806250</v>
      </c>
      <c r="C214" t="s">
        <v>790</v>
      </c>
      <c r="D214" s="6" t="s">
        <v>809</v>
      </c>
    </row>
    <row r="215" spans="2:4" x14ac:dyDescent="0.25">
      <c r="B215">
        <v>70806256</v>
      </c>
      <c r="C215" t="s">
        <v>167</v>
      </c>
      <c r="D215" s="6" t="s">
        <v>810</v>
      </c>
    </row>
    <row r="216" spans="2:4" x14ac:dyDescent="0.25">
      <c r="B216">
        <v>191015786</v>
      </c>
      <c r="C216" t="s">
        <v>791</v>
      </c>
      <c r="D216" s="6" t="s">
        <v>811</v>
      </c>
    </row>
    <row r="217" spans="2:4" x14ac:dyDescent="0.25">
      <c r="B217">
        <v>40822965</v>
      </c>
      <c r="C217" t="s">
        <v>526</v>
      </c>
      <c r="D217" s="6" t="s">
        <v>812</v>
      </c>
    </row>
    <row r="218" spans="2:4" x14ac:dyDescent="0.25">
      <c r="B218">
        <v>170322960</v>
      </c>
      <c r="C218" t="s">
        <v>527</v>
      </c>
      <c r="D218" s="6" t="s">
        <v>813</v>
      </c>
    </row>
    <row r="219" spans="2:4" x14ac:dyDescent="0.25">
      <c r="B219">
        <v>40515767</v>
      </c>
      <c r="C219" t="s">
        <v>231</v>
      </c>
      <c r="D219" s="6" t="s">
        <v>814</v>
      </c>
    </row>
    <row r="220" spans="2:4" x14ac:dyDescent="0.25">
      <c r="B220">
        <v>190803044</v>
      </c>
      <c r="C220" t="s">
        <v>252</v>
      </c>
      <c r="D220" s="6" t="s">
        <v>815</v>
      </c>
    </row>
    <row r="221" spans="2:4" x14ac:dyDescent="0.25">
      <c r="B221">
        <v>170918883</v>
      </c>
      <c r="C221" t="s">
        <v>261</v>
      </c>
      <c r="D221" s="6" t="s">
        <v>816</v>
      </c>
    </row>
    <row r="222" spans="2:4" x14ac:dyDescent="0.25">
      <c r="B222">
        <v>160916799</v>
      </c>
      <c r="C222" t="s">
        <v>792</v>
      </c>
      <c r="D222" s="6" t="s">
        <v>817</v>
      </c>
    </row>
    <row r="223" spans="2:4" x14ac:dyDescent="0.25">
      <c r="B223">
        <v>10513665</v>
      </c>
      <c r="C223" t="s">
        <v>793</v>
      </c>
      <c r="D223" s="6" t="s">
        <v>818</v>
      </c>
    </row>
    <row r="224" spans="2:4" x14ac:dyDescent="0.25">
      <c r="B224">
        <v>1206251007</v>
      </c>
      <c r="C224" t="s">
        <v>600</v>
      </c>
      <c r="D224" s="6" t="s">
        <v>819</v>
      </c>
    </row>
    <row r="225" spans="2:4" x14ac:dyDescent="0.25">
      <c r="B225">
        <v>230125998</v>
      </c>
      <c r="C225" t="s">
        <v>603</v>
      </c>
      <c r="D225" s="6" t="s">
        <v>820</v>
      </c>
    </row>
    <row r="226" spans="2:4" x14ac:dyDescent="0.25">
      <c r="B226">
        <v>30105116</v>
      </c>
      <c r="C226" t="s">
        <v>300</v>
      </c>
      <c r="D226" s="6" t="s">
        <v>821</v>
      </c>
    </row>
    <row r="227" spans="2:4" x14ac:dyDescent="0.25">
      <c r="B227">
        <v>61106279</v>
      </c>
      <c r="C227" t="s">
        <v>306</v>
      </c>
      <c r="D227" s="6" t="s">
        <v>822</v>
      </c>
    </row>
    <row r="228" spans="2:4" x14ac:dyDescent="0.25">
      <c r="B228">
        <v>230924993</v>
      </c>
      <c r="C228" t="s">
        <v>573</v>
      </c>
      <c r="D228" s="6" t="s">
        <v>866</v>
      </c>
    </row>
    <row r="229" spans="2:4" x14ac:dyDescent="0.25">
      <c r="B229">
        <v>2011251012</v>
      </c>
      <c r="C229" t="s">
        <v>604</v>
      </c>
      <c r="D229" s="7" t="s">
        <v>864</v>
      </c>
    </row>
    <row r="230" spans="2:4" x14ac:dyDescent="0.25">
      <c r="B230">
        <v>51023981</v>
      </c>
      <c r="C230" t="s">
        <v>535</v>
      </c>
      <c r="D230" s="6" t="s">
        <v>823</v>
      </c>
    </row>
    <row r="231" spans="2:4" x14ac:dyDescent="0.25">
      <c r="B231">
        <v>603251003</v>
      </c>
      <c r="C231" t="s">
        <v>606</v>
      </c>
      <c r="D231" s="6" t="s">
        <v>865</v>
      </c>
    </row>
    <row r="232" spans="2:4" x14ac:dyDescent="0.25">
      <c r="B232">
        <v>2703251004</v>
      </c>
      <c r="C232" t="s">
        <v>608</v>
      </c>
    </row>
    <row r="233" spans="2:4" x14ac:dyDescent="0.25">
      <c r="B233">
        <v>221110557</v>
      </c>
      <c r="C233" t="s">
        <v>351</v>
      </c>
      <c r="D233" s="6" t="s">
        <v>824</v>
      </c>
    </row>
    <row r="234" spans="2:4" x14ac:dyDescent="0.25">
      <c r="B234">
        <v>141118892</v>
      </c>
      <c r="C234" t="s">
        <v>390</v>
      </c>
      <c r="D234" s="6" t="s">
        <v>825</v>
      </c>
    </row>
    <row r="235" spans="2:4" x14ac:dyDescent="0.25">
      <c r="B235">
        <v>130906272</v>
      </c>
      <c r="C235" t="s">
        <v>392</v>
      </c>
      <c r="D235" s="6" t="s">
        <v>826</v>
      </c>
    </row>
    <row r="236" spans="2:4" x14ac:dyDescent="0.25">
      <c r="B236">
        <v>240518874</v>
      </c>
      <c r="C236" t="s">
        <v>396</v>
      </c>
      <c r="D236" s="6" t="s">
        <v>827</v>
      </c>
    </row>
    <row r="237" spans="2:4" x14ac:dyDescent="0.25">
      <c r="B237">
        <v>10507354</v>
      </c>
      <c r="C237" t="s">
        <v>411</v>
      </c>
      <c r="D237" s="6" t="s">
        <v>828</v>
      </c>
    </row>
    <row r="238" spans="2:4" x14ac:dyDescent="0.25">
      <c r="B238">
        <v>10210516</v>
      </c>
      <c r="C238" t="s">
        <v>794</v>
      </c>
      <c r="D238" s="6" t="s">
        <v>829</v>
      </c>
    </row>
    <row r="239" spans="2:4" x14ac:dyDescent="0.25">
      <c r="B239">
        <v>280324989</v>
      </c>
      <c r="C239" t="s">
        <v>578</v>
      </c>
      <c r="D239" s="6" t="s">
        <v>830</v>
      </c>
    </row>
    <row r="240" spans="2:4" x14ac:dyDescent="0.25">
      <c r="B240">
        <v>30717839</v>
      </c>
      <c r="C240" t="s">
        <v>795</v>
      </c>
      <c r="D240" s="6" t="s">
        <v>870</v>
      </c>
    </row>
    <row r="241" spans="2:4" x14ac:dyDescent="0.25">
      <c r="B241">
        <v>90818879</v>
      </c>
      <c r="C241" t="s">
        <v>796</v>
      </c>
      <c r="D241" s="6" t="s">
        <v>831</v>
      </c>
    </row>
    <row r="242" spans="2:4" x14ac:dyDescent="0.25">
      <c r="B242">
        <v>240122958</v>
      </c>
      <c r="C242" t="s">
        <v>541</v>
      </c>
      <c r="D242" s="6" t="s">
        <v>832</v>
      </c>
    </row>
    <row r="243" spans="2:4" x14ac:dyDescent="0.25">
      <c r="B243">
        <v>150724991</v>
      </c>
      <c r="C243" t="s">
        <v>580</v>
      </c>
      <c r="D243" s="6" t="s">
        <v>833</v>
      </c>
    </row>
    <row r="244" spans="2:4" x14ac:dyDescent="0.25">
      <c r="B244">
        <v>260123977</v>
      </c>
      <c r="C244" t="s">
        <v>544</v>
      </c>
      <c r="D244" s="6" t="s">
        <v>834</v>
      </c>
    </row>
    <row r="245" spans="2:4" x14ac:dyDescent="0.25">
      <c r="B245">
        <v>160714734</v>
      </c>
      <c r="C245" t="s">
        <v>486</v>
      </c>
      <c r="D245" s="6" t="s">
        <v>835</v>
      </c>
    </row>
    <row r="246" spans="2:4" x14ac:dyDescent="0.25">
      <c r="B246">
        <v>90819915</v>
      </c>
      <c r="C246" t="s">
        <v>496</v>
      </c>
      <c r="D246" s="6" t="s">
        <v>836</v>
      </c>
    </row>
    <row r="247" spans="2:4" x14ac:dyDescent="0.25">
      <c r="B247">
        <v>3107251008</v>
      </c>
      <c r="C247" t="s">
        <v>797</v>
      </c>
      <c r="D247" s="6" t="s">
        <v>837</v>
      </c>
    </row>
    <row r="248" spans="2:4" x14ac:dyDescent="0.25">
      <c r="B248">
        <v>160603000</v>
      </c>
      <c r="C248" t="s">
        <v>346</v>
      </c>
      <c r="D248" s="6" t="s">
        <v>838</v>
      </c>
    </row>
    <row r="249" spans="2:4" x14ac:dyDescent="0.25">
      <c r="B249">
        <v>10218858</v>
      </c>
      <c r="C249" t="s">
        <v>166</v>
      </c>
      <c r="D249" s="6" t="s">
        <v>839</v>
      </c>
    </row>
    <row r="250" spans="2:4" x14ac:dyDescent="0.25">
      <c r="B250">
        <v>10224985</v>
      </c>
      <c r="C250" t="s">
        <v>558</v>
      </c>
      <c r="D250" s="6" t="s">
        <v>840</v>
      </c>
    </row>
    <row r="251" spans="2:4" x14ac:dyDescent="0.25">
      <c r="B251">
        <v>280314716</v>
      </c>
      <c r="C251" t="s">
        <v>16</v>
      </c>
      <c r="D251" s="6" t="s">
        <v>841</v>
      </c>
    </row>
    <row r="252" spans="2:4" x14ac:dyDescent="0.25">
      <c r="B252">
        <v>260716795</v>
      </c>
      <c r="C252" t="s">
        <v>508</v>
      </c>
      <c r="D252" s="6" t="s">
        <v>842</v>
      </c>
    </row>
    <row r="253" spans="2:4" x14ac:dyDescent="0.25">
      <c r="B253">
        <v>160313008</v>
      </c>
      <c r="C253" t="s">
        <v>843</v>
      </c>
      <c r="D253" s="6" t="s">
        <v>845</v>
      </c>
    </row>
    <row r="254" spans="2:4" x14ac:dyDescent="0.25">
      <c r="B254">
        <v>120124984</v>
      </c>
      <c r="C254" t="s">
        <v>594</v>
      </c>
      <c r="D254" s="6" t="s">
        <v>846</v>
      </c>
    </row>
    <row r="255" spans="2:4" x14ac:dyDescent="0.25">
      <c r="B255">
        <v>10413650</v>
      </c>
      <c r="C255" t="s">
        <v>595</v>
      </c>
      <c r="D255" s="6" t="s">
        <v>847</v>
      </c>
    </row>
    <row r="256" spans="2:4" x14ac:dyDescent="0.25">
      <c r="B256">
        <v>90821952</v>
      </c>
      <c r="C256" t="s">
        <v>516</v>
      </c>
      <c r="D256" s="6" t="s">
        <v>848</v>
      </c>
    </row>
    <row r="257" spans="2:5" x14ac:dyDescent="0.25">
      <c r="B257">
        <v>170417832</v>
      </c>
      <c r="C257" t="s">
        <v>92</v>
      </c>
      <c r="D257" s="6" t="s">
        <v>849</v>
      </c>
    </row>
    <row r="258" spans="2:5" x14ac:dyDescent="0.25">
      <c r="B258">
        <v>31022970</v>
      </c>
      <c r="C258" t="s">
        <v>549</v>
      </c>
      <c r="D258" s="6" t="s">
        <v>850</v>
      </c>
    </row>
    <row r="259" spans="2:5" x14ac:dyDescent="0.25">
      <c r="B259">
        <v>701251000</v>
      </c>
      <c r="C259" t="s">
        <v>119</v>
      </c>
      <c r="D259" s="6" t="s">
        <v>773</v>
      </c>
    </row>
    <row r="260" spans="2:5" x14ac:dyDescent="0.25">
      <c r="B260">
        <v>110523979</v>
      </c>
      <c r="C260" t="s">
        <v>520</v>
      </c>
      <c r="D260" s="6" t="s">
        <v>851</v>
      </c>
    </row>
    <row r="261" spans="2:5" x14ac:dyDescent="0.25">
      <c r="B261">
        <v>30225999</v>
      </c>
      <c r="C261" t="s">
        <v>587</v>
      </c>
      <c r="D261" s="6" t="s">
        <v>852</v>
      </c>
    </row>
    <row r="262" spans="2:5" x14ac:dyDescent="0.25">
      <c r="B262">
        <v>50422961</v>
      </c>
      <c r="C262" t="s">
        <v>550</v>
      </c>
      <c r="D262" s="6" t="s">
        <v>853</v>
      </c>
      <c r="E262" t="s">
        <v>854</v>
      </c>
    </row>
    <row r="263" spans="2:5" x14ac:dyDescent="0.25">
      <c r="B263">
        <v>160921954</v>
      </c>
      <c r="C263" t="s">
        <v>371</v>
      </c>
      <c r="D263" s="6" t="s">
        <v>855</v>
      </c>
    </row>
    <row r="264" spans="2:5" x14ac:dyDescent="0.25">
      <c r="B264">
        <v>10413649</v>
      </c>
      <c r="C264" t="s">
        <v>609</v>
      </c>
      <c r="D264" s="6" t="s">
        <v>856</v>
      </c>
    </row>
    <row r="265" spans="2:5" x14ac:dyDescent="0.25">
      <c r="B265">
        <v>20916798</v>
      </c>
      <c r="C265" t="s">
        <v>610</v>
      </c>
      <c r="D265" s="6" t="s">
        <v>857</v>
      </c>
    </row>
    <row r="266" spans="2:5" x14ac:dyDescent="0.25">
      <c r="B266">
        <v>80822967</v>
      </c>
      <c r="C266" t="s">
        <v>414</v>
      </c>
      <c r="D266" s="6" t="s">
        <v>858</v>
      </c>
    </row>
    <row r="267" spans="2:5" x14ac:dyDescent="0.25">
      <c r="B267">
        <v>20123976</v>
      </c>
      <c r="C267" t="s">
        <v>547</v>
      </c>
      <c r="D267" s="6" t="s">
        <v>859</v>
      </c>
    </row>
    <row r="268" spans="2:5" x14ac:dyDescent="0.25">
      <c r="B268">
        <v>10413653</v>
      </c>
      <c r="C268" t="s">
        <v>611</v>
      </c>
      <c r="D268" s="6" t="s">
        <v>860</v>
      </c>
    </row>
    <row r="269" spans="2:5" x14ac:dyDescent="0.25">
      <c r="B269">
        <v>300913696</v>
      </c>
      <c r="C269" t="s">
        <v>613</v>
      </c>
      <c r="D269" s="6" t="s">
        <v>861</v>
      </c>
    </row>
    <row r="270" spans="2:5" x14ac:dyDescent="0.25">
      <c r="B270">
        <v>10906267</v>
      </c>
      <c r="C270" t="s">
        <v>457</v>
      </c>
      <c r="D270" s="6" t="s">
        <v>862</v>
      </c>
    </row>
    <row r="271" spans="2:5" x14ac:dyDescent="0.25">
      <c r="B271">
        <v>209251009</v>
      </c>
      <c r="C271" t="s">
        <v>844</v>
      </c>
      <c r="D271" s="6" t="s">
        <v>863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K319"/>
  <sheetViews>
    <sheetView tabSelected="1" zoomScale="80" zoomScaleNormal="80" workbookViewId="0">
      <pane xSplit="4" ySplit="3" topLeftCell="E4" activePane="bottomRight" state="frozen"/>
      <selection pane="topRight" activeCell="C1" sqref="C1"/>
      <selection pane="bottomLeft" activeCell="A4" sqref="A4"/>
      <selection pane="bottomRight" activeCell="K4" sqref="K4"/>
    </sheetView>
  </sheetViews>
  <sheetFormatPr defaultRowHeight="12.75" x14ac:dyDescent="0.2"/>
  <cols>
    <col min="1" max="1" width="2.85546875" style="5" customWidth="1"/>
    <col min="2" max="2" width="14.85546875" style="2" bestFit="1" customWidth="1"/>
    <col min="3" max="3" width="88.85546875" style="5" bestFit="1" customWidth="1"/>
    <col min="4" max="4" width="18" style="2" bestFit="1" customWidth="1"/>
    <col min="5" max="5" width="14.85546875" style="5" customWidth="1"/>
    <col min="6" max="6" width="17" style="23" bestFit="1" customWidth="1"/>
    <col min="7" max="7" width="16" style="5" customWidth="1"/>
    <col min="8" max="8" width="26.28515625" style="5" bestFit="1" customWidth="1"/>
    <col min="9" max="9" width="2.85546875" style="5" customWidth="1"/>
    <col min="10" max="10" width="17.28515625" style="36" bestFit="1" customWidth="1"/>
    <col min="11" max="16384" width="9.140625" style="5"/>
  </cols>
  <sheetData>
    <row r="1" spans="2:11" ht="15" customHeight="1" thickBot="1" x14ac:dyDescent="0.25"/>
    <row r="2" spans="2:11" ht="25.5" x14ac:dyDescent="0.2">
      <c r="B2" s="18" t="s">
        <v>883</v>
      </c>
      <c r="C2" s="30" t="s">
        <v>894</v>
      </c>
      <c r="D2" s="30" t="s">
        <v>879</v>
      </c>
      <c r="E2" s="16" t="s">
        <v>884</v>
      </c>
      <c r="F2" s="24" t="s">
        <v>880</v>
      </c>
      <c r="G2" s="16" t="s">
        <v>882</v>
      </c>
      <c r="H2" s="13" t="s">
        <v>881</v>
      </c>
      <c r="J2" s="31" t="s">
        <v>896</v>
      </c>
      <c r="K2" s="32" t="s">
        <v>895</v>
      </c>
    </row>
    <row r="3" spans="2:11" ht="13.5" thickBot="1" x14ac:dyDescent="0.25">
      <c r="B3" s="19"/>
      <c r="C3" s="41"/>
      <c r="D3" s="38"/>
      <c r="E3" s="17"/>
      <c r="F3" s="25"/>
      <c r="G3" s="17"/>
      <c r="H3" s="15"/>
      <c r="J3" s="37">
        <v>286000000000000</v>
      </c>
      <c r="K3" s="33"/>
    </row>
    <row r="4" spans="2:11" x14ac:dyDescent="0.2">
      <c r="B4" s="20">
        <v>25000000000250</v>
      </c>
      <c r="C4" s="3" t="str">
        <f>IF(EXACT($B4, ""), "", IF((($B4 - MOD($B4, 1000000000000))/1000000000000)=25, CONCATENATE("Person - ", VLOOKUP($B4, [1]DataLookUp!$B$4:$C$2000, 2, FALSE)), IF((($B4 - MOD($B4, 1000000000000))/1000000000000)=124, CONCATENATE("Institution - ", VLOOKUP($B4, '[2]DataLookUp - InstitutionBranch'!$B$4:$C$2000, 2, FALSE)), "")))</f>
        <v>Person - Khafid Fahrurrozi</v>
      </c>
      <c r="D4" s="20">
        <v>223000000000002</v>
      </c>
      <c r="E4" s="39" t="str">
        <f>IF(EXACT($D4, ""), "", VLOOKUP($D4, 'REF - ContactNumberType'!$B$4:$C$10, 2, FALSE))</f>
        <v>Mobile Phone</v>
      </c>
      <c r="F4" s="26" t="s">
        <v>651</v>
      </c>
      <c r="G4" s="21"/>
      <c r="H4" s="21" t="s">
        <v>249</v>
      </c>
      <c r="J4" s="34">
        <f xml:space="preserve"> J3 + IF(EXACT(K4, ""), 0, 1)</f>
        <v>286000000000001</v>
      </c>
      <c r="K4" s="35" t="str">
        <f>IF(EXACT(F4, ""), "", CONCATENATE("PERFORM ""SchData-OLTP-Master"".""Func_TblContactNumber_SET""(varSystemLoginSession::bigint, null::bigint, null::varchar, null::timestamptz, null::timestamptz, null::varchar, varInstitutionBranchID::bigint, varBaseCurrencyID::bigint, ", IF(EXACT($D4, ""), "NULL", ""&amp;$D4&amp;""), "::bigint, ", IF(EXACT($F4, ""), "NULL", "'"&amp;$F4&amp;"'"), "::varchar, ", IF(EXACT($G4, ""), "NULL", "'"&amp;$G4&amp;"'"), "::varchar, ", IF(EXACT($H4, ""), "NULL", "'"&amp;$H4&amp;"'"), "::varchar, ", IF(EXACT($B4, ""), "NULL", "'"&amp;$B4&amp;"'"),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'+62 878-7792-3708'::varchar, NULL::varchar, 'Khafid Fahrurrozi'::varchar, '25000000000250'::bigint);</v>
      </c>
    </row>
    <row r="5" spans="2:11" x14ac:dyDescent="0.2">
      <c r="B5" s="22"/>
      <c r="C5" s="4" t="str">
        <f>IF(EXACT($B5, ""), "", IF((($B5 - MOD($B5, 1000000000000))/1000000000000)=25, CONCATENATE("Person - ", VLOOKUP($B5, [1]DataLookUp!$B$4:$C$2000, 2, FALSE)), IF((($B5 - MOD($B5, 1000000000000))/1000000000000)=124, CONCATENATE("Institution - ", VLOOKUP($B5, '[2]DataLookUp - InstitutionBranch'!$B$4:$C$2000, 2, FALSE)), "")))</f>
        <v/>
      </c>
      <c r="D5" s="22">
        <v>223000000000002</v>
      </c>
      <c r="E5" s="40" t="str">
        <f>IF(EXACT($D5, ""), "", VLOOKUP($D5, 'REF - ContactNumberType'!$B$4:$C$10, 2, FALSE))</f>
        <v>Mobile Phone</v>
      </c>
      <c r="F5" s="27" t="s">
        <v>652</v>
      </c>
      <c r="G5" s="9"/>
      <c r="H5" s="9" t="s">
        <v>627</v>
      </c>
      <c r="J5" s="34">
        <f t="shared" ref="J5:J68" si="0" xml:space="preserve"> J4 + IF(EXACT(K5, ""), 0, 1)</f>
        <v>286000000000002</v>
      </c>
      <c r="K5" s="35" t="str">
        <f>IF(EXACT(F5, ""), "", CONCATENATE("PERFORM ""SchData-OLTP-Master"".""Func_TblContactNumber_SET""(varSystemLoginSession::bigint, null::bigint, null::varchar, null::timestamptz, null::timestamptz, null::varchar, varInstitutionBranchID::bigint, varBaseCurrencyID::bigint, ", IF(EXACT($D5, ""), "NULL", ""&amp;$D5&amp;""), "::bigint, ", IF(EXACT($F5, ""), "NULL", "'"&amp;$F5&amp;"'"), "::varchar, ", IF(EXACT($G5, ""), "NULL", "'"&amp;$G5&amp;"'"), "::varchar, ", IF(EXACT($H5, ""), "NULL", "'"&amp;$H5&amp;"'"), "::varchar, ", IF(EXACT($B5, ""), "NULL", "'"&amp;$B5&amp;"'"),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'+62 812-9397-4227'::varchar, NULL::varchar, 'Lucky Daniansyah'::varchar, NULL::bigint);</v>
      </c>
    </row>
    <row r="6" spans="2:11" x14ac:dyDescent="0.2">
      <c r="B6" s="22">
        <v>25000000000353</v>
      </c>
      <c r="C6" s="4" t="str">
        <f>IF(EXACT($B6, ""), "", IF((($B6 - MOD($B6, 1000000000000))/1000000000000)=25, CONCATENATE("Person - ", VLOOKUP($B6, [1]DataLookUp!$B$4:$C$2000, 2, FALSE)), IF((($B6 - MOD($B6, 1000000000000))/1000000000000)=124, CONCATENATE("Institution - ", VLOOKUP($B6, '[2]DataLookUp - InstitutionBranch'!$B$4:$C$2000, 2, FALSE)), "")))</f>
        <v>Person - Rian Yushak</v>
      </c>
      <c r="D6" s="22">
        <v>223000000000002</v>
      </c>
      <c r="E6" s="40" t="str">
        <f>IF(EXACT($D6, ""), "", VLOOKUP($D6, 'REF - ContactNumberType'!$B$4:$C$10, 2, FALSE))</f>
        <v>Mobile Phone</v>
      </c>
      <c r="F6" s="27" t="s">
        <v>653</v>
      </c>
      <c r="G6" s="9"/>
      <c r="H6" s="9" t="s">
        <v>352</v>
      </c>
      <c r="J6" s="34">
        <f t="shared" ref="J6:J69" si="1" xml:space="preserve"> J5 + IF(EXACT(K6, ""), 0, 1)</f>
        <v>286000000000003</v>
      </c>
      <c r="K6" s="35" t="str">
        <f t="shared" ref="K6:K69" si="2">IF(EXACT(F6, ""), "", CONCATENATE("PERFORM ""SchData-OLTP-Master"".""Func_TblContactNumber_SET""(varSystemLoginSession::bigint, null::bigint, null::varchar, null::timestamptz, null::timestamptz, null::varchar, varInstitutionBranchID::bigint, varBaseCurrencyID::bigint, ", IF(EXACT($D6, ""), "NULL", ""&amp;$D6&amp;""), "::bigint, ", IF(EXACT($F6, ""), "NULL", "'"&amp;$F6&amp;"'"), "::varchar, ", IF(EXACT($G6, ""), "NULL", "'"&amp;$G6&amp;"'"), "::varchar, ", IF(EXACT($H6, ""), "NULL", "'"&amp;$H6&amp;"'"), "::varchar, ", IF(EXACT($B6, ""), "NULL", "'"&amp;$B6&amp;"'"),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'+62 856-9401-0438'::varchar, NULL::varchar, 'Rian Yushak'::varchar, '25000000000353'::bigint);</v>
      </c>
    </row>
    <row r="7" spans="2:11" x14ac:dyDescent="0.2">
      <c r="B7" s="22"/>
      <c r="C7" s="4" t="str">
        <f>IF(EXACT($B7, ""), "", IF((($B7 - MOD($B7, 1000000000000))/1000000000000)=25, CONCATENATE("Person - ", VLOOKUP($B7, [1]DataLookUp!$B$4:$C$2000, 2, FALSE)), IF((($B7 - MOD($B7, 1000000000000))/1000000000000)=124, CONCATENATE("Institution - ", VLOOKUP($B7, '[2]DataLookUp - InstitutionBranch'!$B$4:$C$2000, 2, FALSE)), "")))</f>
        <v/>
      </c>
      <c r="D7" s="22">
        <v>223000000000002</v>
      </c>
      <c r="E7" s="40" t="str">
        <f>IF(EXACT($D7, ""), "", VLOOKUP($D7, 'REF - ContactNumberType'!$B$4:$C$10, 2, FALSE))</f>
        <v>Mobile Phone</v>
      </c>
      <c r="F7" s="27" t="s">
        <v>867</v>
      </c>
      <c r="G7" s="9"/>
      <c r="H7" s="9" t="s">
        <v>628</v>
      </c>
      <c r="J7" s="34">
        <f t="shared" si="1"/>
        <v>286000000000004</v>
      </c>
      <c r="K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'+62 896-8226-1128'::varchar, NULL::varchar, 'Bahyu Sanciko'::varchar, NULL::bigint);</v>
      </c>
    </row>
    <row r="8" spans="2:11" x14ac:dyDescent="0.2">
      <c r="B8" s="22"/>
      <c r="C8" s="4" t="str">
        <f>IF(EXACT($B8, ""), "", IF((($B8 - MOD($B8, 1000000000000))/1000000000000)=25, CONCATENATE("Person - ", VLOOKUP($B8, [1]DataLookUp!$B$4:$C$2000, 2, FALSE)), IF((($B8 - MOD($B8, 1000000000000))/1000000000000)=124, CONCATENATE("Institution - ", VLOOKUP($B8, '[2]DataLookUp - InstitutionBranch'!$B$4:$C$2000, 2, FALSE)), "")))</f>
        <v/>
      </c>
      <c r="D8" s="22">
        <v>223000000000002</v>
      </c>
      <c r="E8" s="40" t="str">
        <f>IF(EXACT($D8, ""), "", VLOOKUP($D8, 'REF - ContactNumberType'!$B$4:$C$10, 2, FALSE))</f>
        <v>Mobile Phone</v>
      </c>
      <c r="F8" s="27" t="s">
        <v>654</v>
      </c>
      <c r="G8" s="9"/>
      <c r="H8" s="9" t="s">
        <v>629</v>
      </c>
      <c r="J8" s="34">
        <f t="shared" si="1"/>
        <v>286000000000005</v>
      </c>
      <c r="K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'+62 838-7009-0020'::varchar, NULL::varchar, 'Yusman W'::varchar, NULL::bigint);</v>
      </c>
    </row>
    <row r="9" spans="2:11" x14ac:dyDescent="0.2">
      <c r="B9" s="22">
        <v>25000000000047</v>
      </c>
      <c r="C9" s="4" t="str">
        <f>IF(EXACT($B9, ""), "", IF((($B9 - MOD($B9, 1000000000000))/1000000000000)=25, CONCATENATE("Person - ", VLOOKUP($B9, [1]DataLookUp!$B$4:$C$2000, 2, FALSE)), IF((($B9 - MOD($B9, 1000000000000))/1000000000000)=124, CONCATENATE("Institution - ", VLOOKUP($B9, '[2]DataLookUp - InstitutionBranch'!$B$4:$C$2000, 2, FALSE)), "")))</f>
        <v>Person - Ardi</v>
      </c>
      <c r="D9" s="22">
        <v>223000000000002</v>
      </c>
      <c r="E9" s="40" t="str">
        <f>IF(EXACT($D9, ""), "", VLOOKUP($D9, 'REF - ContactNumberType'!$B$4:$C$10, 2, FALSE))</f>
        <v>Mobile Phone</v>
      </c>
      <c r="F9" s="27" t="s">
        <v>868</v>
      </c>
      <c r="G9" s="9"/>
      <c r="H9" s="9" t="s">
        <v>46</v>
      </c>
      <c r="J9" s="34">
        <f t="shared" si="1"/>
        <v>286000000000006</v>
      </c>
      <c r="K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'+62 812-9592-4499'::varchar, NULL::varchar, 'Ardi'::varchar, '25000000000047'::bigint);</v>
      </c>
    </row>
    <row r="10" spans="2:11" x14ac:dyDescent="0.2">
      <c r="B10" s="22">
        <v>25000000000141</v>
      </c>
      <c r="C10" s="4" t="str">
        <f>IF(EXACT($B10, ""), "", IF((($B10 - MOD($B10, 1000000000000))/1000000000000)=25, CONCATENATE("Person - ", VLOOKUP($B10, [1]DataLookUp!$B$4:$C$2000, 2, FALSE)), IF((($B10 - MOD($B10, 1000000000000))/1000000000000)=124, CONCATENATE("Institution - ", VLOOKUP($B10, '[2]DataLookUp - InstitutionBranch'!$B$4:$C$2000, 2, FALSE)), "")))</f>
        <v>Person - Erwin Firmansyah</v>
      </c>
      <c r="D10" s="22">
        <v>223000000000002</v>
      </c>
      <c r="E10" s="40" t="str">
        <f>IF(EXACT($D10, ""), "", VLOOKUP($D10, 'REF - ContactNumberType'!$B$4:$C$10, 2, FALSE))</f>
        <v>Mobile Phone</v>
      </c>
      <c r="F10" s="27" t="s">
        <v>655</v>
      </c>
      <c r="G10" s="9"/>
      <c r="H10" s="9" t="s">
        <v>140</v>
      </c>
      <c r="J10" s="34">
        <f t="shared" si="1"/>
        <v>286000000000007</v>
      </c>
      <c r="K1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'+62 857-2162-3338'::varchar, NULL::varchar, 'Erwin Firmansyah'::varchar, '25000000000141'::bigint);</v>
      </c>
    </row>
    <row r="11" spans="2:11" x14ac:dyDescent="0.2">
      <c r="B11" s="22">
        <v>25000000000328</v>
      </c>
      <c r="C11" s="4" t="str">
        <f>IF(EXACT($B11, ""), "", IF((($B11 - MOD($B11, 1000000000000))/1000000000000)=25, CONCATENATE("Person - ", VLOOKUP($B11, [1]DataLookUp!$B$4:$C$2000, 2, FALSE)), IF((($B11 - MOD($B11, 1000000000000))/1000000000000)=124, CONCATENATE("Institution - ", VLOOKUP($B11, '[2]DataLookUp - InstitutionBranch'!$B$4:$C$2000, 2, FALSE)), "")))</f>
        <v>Person - Paryanto</v>
      </c>
      <c r="D11" s="22">
        <v>223000000000002</v>
      </c>
      <c r="E11" s="40" t="str">
        <f>IF(EXACT($D11, ""), "", VLOOKUP($D11, 'REF - ContactNumberType'!$B$4:$C$10, 2, FALSE))</f>
        <v>Mobile Phone</v>
      </c>
      <c r="F11" s="27" t="s">
        <v>656</v>
      </c>
      <c r="G11" s="9"/>
      <c r="H11" s="9" t="s">
        <v>327</v>
      </c>
      <c r="J11" s="34">
        <f t="shared" si="1"/>
        <v>286000000000008</v>
      </c>
      <c r="K1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'+62 813-8428-4951'::varchar, NULL::varchar, 'Paryanto'::varchar, '25000000000328'::bigint);</v>
      </c>
    </row>
    <row r="12" spans="2:11" x14ac:dyDescent="0.2">
      <c r="B12" s="22"/>
      <c r="C12" s="4" t="str">
        <f>IF(EXACT($B12, ""), "", IF((($B12 - MOD($B12, 1000000000000))/1000000000000)=25, CONCATENATE("Person - ", VLOOKUP($B12, [1]DataLookUp!$B$4:$C$2000, 2, FALSE)), IF((($B12 - MOD($B12, 1000000000000))/1000000000000)=124, CONCATENATE("Institution - ", VLOOKUP($B12, '[2]DataLookUp - InstitutionBranch'!$B$4:$C$2000, 2, FALSE)), "")))</f>
        <v/>
      </c>
      <c r="D12" s="22">
        <v>223000000000002</v>
      </c>
      <c r="E12" s="40" t="str">
        <f>IF(EXACT($D12, ""), "", VLOOKUP($D12, 'REF - ContactNumberType'!$B$4:$C$10, 2, FALSE))</f>
        <v>Mobile Phone</v>
      </c>
      <c r="F12" s="27" t="s">
        <v>657</v>
      </c>
      <c r="G12" s="9"/>
      <c r="H12" s="9" t="s">
        <v>630</v>
      </c>
      <c r="J12" s="34">
        <f t="shared" si="1"/>
        <v>286000000000009</v>
      </c>
      <c r="K1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'+62 838-7375-2989'::varchar, NULL::varchar, 'Vidhy Putri Kartika'::varchar, NULL::bigint);</v>
      </c>
    </row>
    <row r="13" spans="2:11" x14ac:dyDescent="0.2">
      <c r="B13" s="22"/>
      <c r="C13" s="4" t="str">
        <f>IF(EXACT($B13, ""), "", IF((($B13 - MOD($B13, 1000000000000))/1000000000000)=25, CONCATENATE("Person - ", VLOOKUP($B13, [1]DataLookUp!$B$4:$C$2000, 2, FALSE)), IF((($B13 - MOD($B13, 1000000000000))/1000000000000)=124, CONCATENATE("Institution - ", VLOOKUP($B13, '[2]DataLookUp - InstitutionBranch'!$B$4:$C$2000, 2, FALSE)), "")))</f>
        <v/>
      </c>
      <c r="D13" s="22">
        <v>223000000000002</v>
      </c>
      <c r="E13" s="40" t="str">
        <f>IF(EXACT($D13, ""), "", VLOOKUP($D13, 'REF - ContactNumberType'!$B$4:$C$10, 2, FALSE))</f>
        <v>Mobile Phone</v>
      </c>
      <c r="F13" s="27" t="s">
        <v>658</v>
      </c>
      <c r="G13" s="9"/>
      <c r="H13" s="9" t="s">
        <v>631</v>
      </c>
      <c r="J13" s="34">
        <f t="shared" si="1"/>
        <v>286000000000010</v>
      </c>
      <c r="K1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'+62 822-6092-0555'::varchar, NULL::varchar, 'Rohendi'::varchar, NULL::bigint);</v>
      </c>
    </row>
    <row r="14" spans="2:11" x14ac:dyDescent="0.2">
      <c r="B14" s="22">
        <v>25000000000035</v>
      </c>
      <c r="C14" s="4" t="str">
        <f>IF(EXACT($B14, ""), "", IF((($B14 - MOD($B14, 1000000000000))/1000000000000)=25, CONCATENATE("Person - ", VLOOKUP($B14, [1]DataLookUp!$B$4:$C$2000, 2, FALSE)), IF((($B14 - MOD($B14, 1000000000000))/1000000000000)=124, CONCATENATE("Institution - ", VLOOKUP($B14, '[2]DataLookUp - InstitutionBranch'!$B$4:$C$2000, 2, FALSE)), "")))</f>
        <v>Person - Anggit Ismiyanto</v>
      </c>
      <c r="D14" s="22">
        <v>223000000000002</v>
      </c>
      <c r="E14" s="40" t="str">
        <f>IF(EXACT($D14, ""), "", VLOOKUP($D14, 'REF - ContactNumberType'!$B$4:$C$10, 2, FALSE))</f>
        <v>Mobile Phone</v>
      </c>
      <c r="F14" s="27" t="s">
        <v>659</v>
      </c>
      <c r="G14" s="9"/>
      <c r="H14" s="9" t="s">
        <v>34</v>
      </c>
      <c r="J14" s="34">
        <f t="shared" si="1"/>
        <v>286000000000011</v>
      </c>
      <c r="K1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'+62 822-5131-3575'::varchar, NULL::varchar, 'Anggit Ismiyanto'::varchar, '25000000000035'::bigint);</v>
      </c>
    </row>
    <row r="15" spans="2:11" x14ac:dyDescent="0.2">
      <c r="B15" s="22">
        <v>25000000000156</v>
      </c>
      <c r="C15" s="4" t="str">
        <f>IF(EXACT($B15, ""), "", IF((($B15 - MOD($B15, 1000000000000))/1000000000000)=25, CONCATENATE("Person - ", VLOOKUP($B15, [1]DataLookUp!$B$4:$C$2000, 2, FALSE)), IF((($B15 - MOD($B15, 1000000000000))/1000000000000)=124, CONCATENATE("Institution - ", VLOOKUP($B15, '[2]DataLookUp - InstitutionBranch'!$B$4:$C$2000, 2, FALSE)), "")))</f>
        <v>Person - Firman Akbar</v>
      </c>
      <c r="D15" s="22">
        <v>223000000000002</v>
      </c>
      <c r="E15" s="40" t="str">
        <f>IF(EXACT($D15, ""), "", VLOOKUP($D15, 'REF - ContactNumberType'!$B$4:$C$10, 2, FALSE))</f>
        <v>Mobile Phone</v>
      </c>
      <c r="F15" s="27" t="s">
        <v>660</v>
      </c>
      <c r="G15" s="9"/>
      <c r="H15" s="9" t="s">
        <v>155</v>
      </c>
      <c r="J15" s="34">
        <f t="shared" si="1"/>
        <v>286000000000012</v>
      </c>
      <c r="K1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'+62 812-4519-2298'::varchar, NULL::varchar, 'Firman Akbar'::varchar, '25000000000156'::bigint);</v>
      </c>
    </row>
    <row r="16" spans="2:11" x14ac:dyDescent="0.2">
      <c r="B16" s="22">
        <v>25000000000161</v>
      </c>
      <c r="C16" s="4" t="str">
        <f>IF(EXACT($B16, ""), "", IF((($B16 - MOD($B16, 1000000000000))/1000000000000)=25, CONCATENATE("Person - ", VLOOKUP($B16, [1]DataLookUp!$B$4:$C$2000, 2, FALSE)), IF((($B16 - MOD($B16, 1000000000000))/1000000000000)=124, CONCATENATE("Institution - ", VLOOKUP($B16, '[2]DataLookUp - InstitutionBranch'!$B$4:$C$2000, 2, FALSE)), "")))</f>
        <v>Person - Fuad Febrian</v>
      </c>
      <c r="D16" s="22">
        <v>223000000000002</v>
      </c>
      <c r="E16" s="40" t="str">
        <f>IF(EXACT($D16, ""), "", VLOOKUP($D16, 'REF - ContactNumberType'!$B$4:$C$10, 2, FALSE))</f>
        <v>Mobile Phone</v>
      </c>
      <c r="F16" s="27" t="s">
        <v>661</v>
      </c>
      <c r="G16" s="9"/>
      <c r="H16" s="9" t="s">
        <v>160</v>
      </c>
      <c r="J16" s="34">
        <f t="shared" si="1"/>
        <v>286000000000013</v>
      </c>
      <c r="K1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'+62 813-1422-8295'::varchar, NULL::varchar, 'Fuad Febrian'::varchar, '25000000000161'::bigint);</v>
      </c>
    </row>
    <row r="17" spans="2:11" x14ac:dyDescent="0.2">
      <c r="B17" s="22">
        <v>25000000000416</v>
      </c>
      <c r="C17" s="4" t="str">
        <f>IF(EXACT($B17, ""), "", IF((($B17 - MOD($B17, 1000000000000))/1000000000000)=25, CONCATENATE("Person - ", VLOOKUP($B17, [1]DataLookUp!$B$4:$C$2000, 2, FALSE)), IF((($B17 - MOD($B17, 1000000000000))/1000000000000)=124, CONCATENATE("Institution - ", VLOOKUP($B17, '[2]DataLookUp - InstitutionBranch'!$B$4:$C$2000, 2, FALSE)), "")))</f>
        <v>Person - Sulih</v>
      </c>
      <c r="D17" s="22">
        <v>223000000000002</v>
      </c>
      <c r="E17" s="40" t="str">
        <f>IF(EXACT($D17, ""), "", VLOOKUP($D17, 'REF - ContactNumberType'!$B$4:$C$10, 2, FALSE))</f>
        <v>Mobile Phone</v>
      </c>
      <c r="F17" s="27" t="s">
        <v>662</v>
      </c>
      <c r="G17" s="9"/>
      <c r="H17" s="9" t="s">
        <v>415</v>
      </c>
      <c r="J17" s="34">
        <f t="shared" si="1"/>
        <v>286000000000014</v>
      </c>
      <c r="K1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'+62 857-2881-8103'::varchar, NULL::varchar, 'Sulih'::varchar, '25000000000416'::bigint);</v>
      </c>
    </row>
    <row r="18" spans="2:11" x14ac:dyDescent="0.2">
      <c r="B18" s="22">
        <v>25000000000192</v>
      </c>
      <c r="C18" s="4" t="str">
        <f>IF(EXACT($B18, ""), "", IF((($B18 - MOD($B18, 1000000000000))/1000000000000)=25, CONCATENATE("Person - ", VLOOKUP($B18, [1]DataLookUp!$B$4:$C$2000, 2, FALSE)), IF((($B18 - MOD($B18, 1000000000000))/1000000000000)=124, CONCATENATE("Institution - ", VLOOKUP($B18, '[2]DataLookUp - InstitutionBranch'!$B$4:$C$2000, 2, FALSE)), "")))</f>
        <v>Person - Heru Sugiri</v>
      </c>
      <c r="D18" s="22">
        <v>223000000000002</v>
      </c>
      <c r="E18" s="40" t="str">
        <f>IF(EXACT($D18, ""), "", VLOOKUP($D18, 'REF - ContactNumberType'!$B$4:$C$10, 2, FALSE))</f>
        <v>Mobile Phone</v>
      </c>
      <c r="F18" s="27" t="s">
        <v>663</v>
      </c>
      <c r="G18" s="9"/>
      <c r="H18" s="9" t="s">
        <v>191</v>
      </c>
      <c r="J18" s="34">
        <f t="shared" si="1"/>
        <v>286000000000015</v>
      </c>
      <c r="K1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'+62 812-2491-0322'::varchar, NULL::varchar, 'Heru Sugiri'::varchar, '25000000000192'::bigint);</v>
      </c>
    </row>
    <row r="19" spans="2:11" x14ac:dyDescent="0.2">
      <c r="B19" s="22">
        <v>25000000000361</v>
      </c>
      <c r="C19" s="4" t="str">
        <f>IF(EXACT($B19, ""), "", IF((($B19 - MOD($B19, 1000000000000))/1000000000000)=25, CONCATENATE("Person - ", VLOOKUP($B19, [1]DataLookUp!$B$4:$C$2000, 2, FALSE)), IF((($B19 - MOD($B19, 1000000000000))/1000000000000)=124, CONCATENATE("Institution - ", VLOOKUP($B19, '[2]DataLookUp - InstitutionBranch'!$B$4:$C$2000, 2, FALSE)), "")))</f>
        <v>Person - Rinaldi Asrin</v>
      </c>
      <c r="D19" s="22">
        <v>223000000000002</v>
      </c>
      <c r="E19" s="40" t="str">
        <f>IF(EXACT($D19, ""), "", VLOOKUP($D19, 'REF - ContactNumberType'!$B$4:$C$10, 2, FALSE))</f>
        <v>Mobile Phone</v>
      </c>
      <c r="F19" s="27" t="s">
        <v>664</v>
      </c>
      <c r="G19" s="9"/>
      <c r="H19" s="9" t="s">
        <v>360</v>
      </c>
      <c r="J19" s="34">
        <f t="shared" si="1"/>
        <v>286000000000016</v>
      </c>
      <c r="K1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'+62 818-0691-9844'::varchar, NULL::varchar, 'Rinaldi Asrin'::varchar, '25000000000361'::bigint);</v>
      </c>
    </row>
    <row r="20" spans="2:11" x14ac:dyDescent="0.2">
      <c r="B20" s="22">
        <v>25000000000337</v>
      </c>
      <c r="C20" s="4" t="str">
        <f>IF(EXACT($B20, ""), "", IF((($B20 - MOD($B20, 1000000000000))/1000000000000)=25, CONCATENATE("Person - ", VLOOKUP($B20, [1]DataLookUp!$B$4:$C$2000, 2, FALSE)), IF((($B20 - MOD($B20, 1000000000000))/1000000000000)=124, CONCATENATE("Institution - ", VLOOKUP($B20, '[2]DataLookUp - InstitutionBranch'!$B$4:$C$2000, 2, FALSE)), "")))</f>
        <v>Person - Rafi Firman Saputra</v>
      </c>
      <c r="D20" s="22">
        <v>223000000000002</v>
      </c>
      <c r="E20" s="40" t="str">
        <f>IF(EXACT($D20, ""), "", VLOOKUP($D20, 'REF - ContactNumberType'!$B$4:$C$10, 2, FALSE))</f>
        <v>Mobile Phone</v>
      </c>
      <c r="F20" s="27" t="s">
        <v>665</v>
      </c>
      <c r="G20" s="9"/>
      <c r="H20" s="9" t="s">
        <v>336</v>
      </c>
      <c r="J20" s="34">
        <f t="shared" si="1"/>
        <v>286000000000017</v>
      </c>
      <c r="K2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'+62 857-6021-1355'::varchar, NULL::varchar, 'Rafi Firman Saputra'::varchar, '25000000000337'::bigint);</v>
      </c>
    </row>
    <row r="21" spans="2:11" x14ac:dyDescent="0.2">
      <c r="B21" s="22">
        <v>25000000000333</v>
      </c>
      <c r="C21" s="4" t="str">
        <f>IF(EXACT($B21, ""), "", IF((($B21 - MOD($B21, 1000000000000))/1000000000000)=25, CONCATENATE("Person - ", VLOOKUP($B21, [1]DataLookUp!$B$4:$C$2000, 2, FALSE)), IF((($B21 - MOD($B21, 1000000000000))/1000000000000)=124, CONCATENATE("Institution - ", VLOOKUP($B21, '[2]DataLookUp - InstitutionBranch'!$B$4:$C$2000, 2, FALSE)), "")))</f>
        <v>Person - Putra Perdana Tirtomoyo</v>
      </c>
      <c r="D21" s="22">
        <v>223000000000002</v>
      </c>
      <c r="E21" s="40" t="str">
        <f>IF(EXACT($D21, ""), "", VLOOKUP($D21, 'REF - ContactNumberType'!$B$4:$C$10, 2, FALSE))</f>
        <v>Mobile Phone</v>
      </c>
      <c r="F21" s="27" t="s">
        <v>666</v>
      </c>
      <c r="G21" s="9"/>
      <c r="H21" s="9" t="s">
        <v>332</v>
      </c>
      <c r="J21" s="34">
        <f t="shared" si="1"/>
        <v>286000000000018</v>
      </c>
      <c r="K2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'+62 812-8884-4266'::varchar, NULL::varchar, 'Putra Perdana Tirtomoyo'::varchar, '25000000000333'::bigint);</v>
      </c>
    </row>
    <row r="22" spans="2:11" x14ac:dyDescent="0.2">
      <c r="B22" s="22">
        <v>25000000000365</v>
      </c>
      <c r="C22" s="4" t="str">
        <f>IF(EXACT($B22, ""), "", IF((($B22 - MOD($B22, 1000000000000))/1000000000000)=25, CONCATENATE("Person - ", VLOOKUP($B22, [1]DataLookUp!$B$4:$C$2000, 2, FALSE)), IF((($B22 - MOD($B22, 1000000000000))/1000000000000)=124, CONCATENATE("Institution - ", VLOOKUP($B22, '[2]DataLookUp - InstitutionBranch'!$B$4:$C$2000, 2, FALSE)), "")))</f>
        <v>Person - Rizak Tri Septian</v>
      </c>
      <c r="D22" s="22">
        <v>223000000000002</v>
      </c>
      <c r="E22" s="40" t="str">
        <f>IF(EXACT($D22, ""), "", VLOOKUP($D22, 'REF - ContactNumberType'!$B$4:$C$10, 2, FALSE))</f>
        <v>Mobile Phone</v>
      </c>
      <c r="F22" s="27" t="s">
        <v>667</v>
      </c>
      <c r="G22" s="9"/>
      <c r="H22" s="9" t="s">
        <v>364</v>
      </c>
      <c r="J22" s="34">
        <f t="shared" si="1"/>
        <v>286000000000019</v>
      </c>
      <c r="K2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'+62 856-7124-030'::varchar, NULL::varchar, 'Rizak Tri Septian'::varchar, '25000000000365'::bigint);</v>
      </c>
    </row>
    <row r="23" spans="2:11" x14ac:dyDescent="0.2">
      <c r="B23" s="22">
        <v>25000000000500</v>
      </c>
      <c r="C23" s="4" t="str">
        <f>IF(EXACT($B23, ""), "", IF((($B23 - MOD($B23, 1000000000000))/1000000000000)=25, CONCATENATE("Person - ", VLOOKUP($B23, [1]DataLookUp!$B$4:$C$2000, 2, FALSE)), IF((($B23 - MOD($B23, 1000000000000))/1000000000000)=124, CONCATENATE("Institution - ", VLOOKUP($B23, '[2]DataLookUp - InstitutionBranch'!$B$4:$C$2000, 2, FALSE)), "")))</f>
        <v>Person - Zam Roji</v>
      </c>
      <c r="D23" s="22">
        <v>223000000000002</v>
      </c>
      <c r="E23" s="40" t="str">
        <f>IF(EXACT($D23, ""), "", VLOOKUP($D23, 'REF - ContactNumberType'!$B$4:$C$10, 2, FALSE))</f>
        <v>Mobile Phone</v>
      </c>
      <c r="F23" s="27" t="s">
        <v>668</v>
      </c>
      <c r="G23" s="9"/>
      <c r="H23" s="9" t="s">
        <v>499</v>
      </c>
      <c r="J23" s="34">
        <f t="shared" si="1"/>
        <v>286000000000020</v>
      </c>
      <c r="K2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'+62 821-1395-1375'::varchar, NULL::varchar, 'Zam Roji'::varchar, '25000000000500'::bigint);</v>
      </c>
    </row>
    <row r="24" spans="2:11" x14ac:dyDescent="0.2">
      <c r="B24" s="22">
        <v>25000000000348</v>
      </c>
      <c r="C24" s="4" t="str">
        <f>IF(EXACT($B24, ""), "", IF((($B24 - MOD($B24, 1000000000000))/1000000000000)=25, CONCATENATE("Person - ", VLOOKUP($B24, [1]DataLookUp!$B$4:$C$2000, 2, FALSE)), IF((($B24 - MOD($B24, 1000000000000))/1000000000000)=124, CONCATENATE("Institution - ", VLOOKUP($B24, '[2]DataLookUp - InstitutionBranch'!$B$4:$C$2000, 2, FALSE)), "")))</f>
        <v>Person - Rendy Prananta Purba</v>
      </c>
      <c r="D24" s="22">
        <v>223000000000002</v>
      </c>
      <c r="E24" s="40" t="str">
        <f>IF(EXACT($D24, ""), "", VLOOKUP($D24, 'REF - ContactNumberType'!$B$4:$C$10, 2, FALSE))</f>
        <v>Mobile Phone</v>
      </c>
      <c r="F24" s="27" t="s">
        <v>669</v>
      </c>
      <c r="G24" s="9"/>
      <c r="H24" s="9" t="s">
        <v>347</v>
      </c>
      <c r="J24" s="34">
        <f t="shared" si="1"/>
        <v>286000000000021</v>
      </c>
      <c r="K2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'+62 852-9500-0042'::varchar, NULL::varchar, 'Rendy Prananta Purba'::varchar, '25000000000348'::bigint);</v>
      </c>
    </row>
    <row r="25" spans="2:11" x14ac:dyDescent="0.2">
      <c r="B25" s="22">
        <v>25000000000323</v>
      </c>
      <c r="C25" s="4" t="str">
        <f>IF(EXACT($B25, ""), "", IF((($B25 - MOD($B25, 1000000000000))/1000000000000)=25, CONCATENATE("Person - ", VLOOKUP($B25, [1]DataLookUp!$B$4:$C$2000, 2, FALSE)), IF((($B25 - MOD($B25, 1000000000000))/1000000000000)=124, CONCATENATE("Institution - ", VLOOKUP($B25, '[2]DataLookUp - InstitutionBranch'!$B$4:$C$2000, 2, FALSE)), "")))</f>
        <v>Person - Otong Bustori</v>
      </c>
      <c r="D25" s="22">
        <v>223000000000002</v>
      </c>
      <c r="E25" s="40" t="str">
        <f>IF(EXACT($D25, ""), "", VLOOKUP($D25, 'REF - ContactNumberType'!$B$4:$C$10, 2, FALSE))</f>
        <v>Mobile Phone</v>
      </c>
      <c r="F25" s="27" t="s">
        <v>670</v>
      </c>
      <c r="G25" s="9"/>
      <c r="H25" s="9" t="s">
        <v>322</v>
      </c>
      <c r="J25" s="34">
        <f t="shared" si="1"/>
        <v>286000000000022</v>
      </c>
      <c r="K2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'+62 812-1021-3789'::varchar, NULL::varchar, 'Otong Bustori'::varchar, '25000000000323'::bigint);</v>
      </c>
    </row>
    <row r="26" spans="2:11" x14ac:dyDescent="0.2">
      <c r="B26" s="22">
        <v>25000000000299</v>
      </c>
      <c r="C26" s="4" t="str">
        <f>IF(EXACT($B26, ""), "", IF((($B26 - MOD($B26, 1000000000000))/1000000000000)=25, CONCATENATE("Person - ", VLOOKUP($B26, [1]DataLookUp!$B$4:$C$2000, 2, FALSE)), IF((($B26 - MOD($B26, 1000000000000))/1000000000000)=124, CONCATENATE("Institution - ", VLOOKUP($B26, '[2]DataLookUp - InstitutionBranch'!$B$4:$C$2000, 2, FALSE)), "")))</f>
        <v>Person - Muklis</v>
      </c>
      <c r="D26" s="22">
        <v>223000000000002</v>
      </c>
      <c r="E26" s="40" t="str">
        <f>IF(EXACT($D26, ""), "", VLOOKUP($D26, 'REF - ContactNumberType'!$B$4:$C$10, 2, FALSE))</f>
        <v>Mobile Phone</v>
      </c>
      <c r="F26" s="27" t="s">
        <v>671</v>
      </c>
      <c r="G26" s="9"/>
      <c r="H26" s="9" t="s">
        <v>298</v>
      </c>
      <c r="J26" s="34">
        <f t="shared" si="1"/>
        <v>286000000000023</v>
      </c>
      <c r="K2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'+62 813-7695-3133'::varchar, NULL::varchar, 'Muklis'::varchar, '25000000000299'::bigint);</v>
      </c>
    </row>
    <row r="27" spans="2:11" x14ac:dyDescent="0.2">
      <c r="B27" s="22">
        <v>25000000000425</v>
      </c>
      <c r="C27" s="4" t="str">
        <f>IF(EXACT($B27, ""), "", IF((($B27 - MOD($B27, 1000000000000))/1000000000000)=25, CONCATENATE("Person - ", VLOOKUP($B27, [1]DataLookUp!$B$4:$C$2000, 2, FALSE)), IF((($B27 - MOD($B27, 1000000000000))/1000000000000)=124, CONCATENATE("Institution - ", VLOOKUP($B27, '[2]DataLookUp - InstitutionBranch'!$B$4:$C$2000, 2, FALSE)), "")))</f>
        <v>Person - Susilawati</v>
      </c>
      <c r="D27" s="22">
        <v>223000000000002</v>
      </c>
      <c r="E27" s="40" t="str">
        <f>IF(EXACT($D27, ""), "", VLOOKUP($D27, 'REF - ContactNumberType'!$B$4:$C$10, 2, FALSE))</f>
        <v>Mobile Phone</v>
      </c>
      <c r="F27" s="27" t="s">
        <v>886</v>
      </c>
      <c r="G27" s="9"/>
      <c r="H27" s="9" t="s">
        <v>424</v>
      </c>
      <c r="J27" s="34">
        <f t="shared" si="1"/>
        <v>286000000000024</v>
      </c>
      <c r="K2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'+62 811-6449-13'::varchar, NULL::varchar, 'Susilawati'::varchar, '25000000000425'::bigint);</v>
      </c>
    </row>
    <row r="28" spans="2:11" x14ac:dyDescent="0.2">
      <c r="B28" s="22">
        <v>25000000000187</v>
      </c>
      <c r="C28" s="4" t="str">
        <f>IF(EXACT($B28, ""), "", IF((($B28 - MOD($B28, 1000000000000))/1000000000000)=25, CONCATENATE("Person - ", VLOOKUP($B28, [1]DataLookUp!$B$4:$C$2000, 2, FALSE)), IF((($B28 - MOD($B28, 1000000000000))/1000000000000)=124, CONCATENATE("Institution - ", VLOOKUP($B28, '[2]DataLookUp - InstitutionBranch'!$B$4:$C$2000, 2, FALSE)), "")))</f>
        <v>Person - Herlin Juli Asri</v>
      </c>
      <c r="D28" s="22">
        <v>223000000000002</v>
      </c>
      <c r="E28" s="40" t="str">
        <f>IF(EXACT($D28, ""), "", VLOOKUP($D28, 'REF - ContactNumberType'!$B$4:$C$10, 2, FALSE))</f>
        <v>Mobile Phone</v>
      </c>
      <c r="F28" s="27" t="s">
        <v>673</v>
      </c>
      <c r="G28" s="9"/>
      <c r="H28" s="9" t="s">
        <v>186</v>
      </c>
      <c r="J28" s="34">
        <f t="shared" si="1"/>
        <v>286000000000025</v>
      </c>
      <c r="K2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'+62 813-1920-7116'::varchar, NULL::varchar, 'Herlin Juli Asri'::varchar, '25000000000187'::bigint);</v>
      </c>
    </row>
    <row r="29" spans="2:11" x14ac:dyDescent="0.2">
      <c r="B29" s="22"/>
      <c r="C29" s="4" t="str">
        <f>IF(EXACT($B29, ""), "", IF((($B29 - MOD($B29, 1000000000000))/1000000000000)=25, CONCATENATE("Person - ", VLOOKUP($B29, [1]DataLookUp!$B$4:$C$2000, 2, FALSE)), IF((($B29 - MOD($B29, 1000000000000))/1000000000000)=124, CONCATENATE("Institution - ", VLOOKUP($B29, '[2]DataLookUp - InstitutionBranch'!$B$4:$C$2000, 2, FALSE)), "")))</f>
        <v/>
      </c>
      <c r="D29" s="22">
        <v>223000000000002</v>
      </c>
      <c r="E29" s="40" t="str">
        <f>IF(EXACT($D29, ""), "", VLOOKUP($D29, 'REF - ContactNumberType'!$B$4:$C$10, 2, FALSE))</f>
        <v>Mobile Phone</v>
      </c>
      <c r="F29" s="27" t="s">
        <v>674</v>
      </c>
      <c r="G29" s="9"/>
      <c r="H29" s="9" t="s">
        <v>632</v>
      </c>
      <c r="J29" s="34">
        <f t="shared" si="1"/>
        <v>286000000000026</v>
      </c>
      <c r="K2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'+62 811-9568-886'::varchar, NULL::varchar, 'Sherly Tamira Happy'::varchar, NULL::bigint);</v>
      </c>
    </row>
    <row r="30" spans="2:11" x14ac:dyDescent="0.2">
      <c r="B30" s="22"/>
      <c r="C30" s="4" t="str">
        <f>IF(EXACT($B30, ""), "", IF((($B30 - MOD($B30, 1000000000000))/1000000000000)=25, CONCATENATE("Person - ", VLOOKUP($B30, [1]DataLookUp!$B$4:$C$2000, 2, FALSE)), IF((($B30 - MOD($B30, 1000000000000))/1000000000000)=124, CONCATENATE("Institution - ", VLOOKUP($B30, '[2]DataLookUp - InstitutionBranch'!$B$4:$C$2000, 2, FALSE)), "")))</f>
        <v/>
      </c>
      <c r="D30" s="22">
        <v>223000000000002</v>
      </c>
      <c r="E30" s="40" t="str">
        <f>IF(EXACT($D30, ""), "", VLOOKUP($D30, 'REF - ContactNumberType'!$B$4:$C$10, 2, FALSE))</f>
        <v>Mobile Phone</v>
      </c>
      <c r="F30" s="27" t="s">
        <v>887</v>
      </c>
      <c r="G30" s="9"/>
      <c r="H30" s="9" t="s">
        <v>632</v>
      </c>
      <c r="J30" s="34">
        <f t="shared" si="1"/>
        <v>286000000000027</v>
      </c>
      <c r="K3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'+62 812-8223-0665'::varchar, NULL::varchar, 'Sherly Tamira Happy'::varchar, NULL::bigint);</v>
      </c>
    </row>
    <row r="31" spans="2:11" x14ac:dyDescent="0.2">
      <c r="B31" s="22">
        <v>25000000000297</v>
      </c>
      <c r="C31" s="4" t="str">
        <f>IF(EXACT($B31, ""), "", IF((($B31 - MOD($B31, 1000000000000))/1000000000000)=25, CONCATENATE("Person - ", VLOOKUP($B31, [1]DataLookUp!$B$4:$C$2000, 2, FALSE)), IF((($B31 - MOD($B31, 1000000000000))/1000000000000)=124, CONCATENATE("Institution - ", VLOOKUP($B31, '[2]DataLookUp - InstitutionBranch'!$B$4:$C$2000, 2, FALSE)), "")))</f>
        <v>Person - Muhammad Khadafy</v>
      </c>
      <c r="D31" s="22">
        <v>223000000000002</v>
      </c>
      <c r="E31" s="40" t="str">
        <f>IF(EXACT($D31, ""), "", VLOOKUP($D31, 'REF - ContactNumberType'!$B$4:$C$10, 2, FALSE))</f>
        <v>Mobile Phone</v>
      </c>
      <c r="F31" s="27" t="s">
        <v>676</v>
      </c>
      <c r="G31" s="9"/>
      <c r="H31" s="9" t="s">
        <v>296</v>
      </c>
      <c r="J31" s="34">
        <f t="shared" si="1"/>
        <v>286000000000028</v>
      </c>
      <c r="K3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'+62 812-8744-1774'::varchar, NULL::varchar, 'Muhammad Khadafy'::varchar, '25000000000297'::bigint);</v>
      </c>
    </row>
    <row r="32" spans="2:11" x14ac:dyDescent="0.2">
      <c r="B32" s="22"/>
      <c r="C32" s="4" t="str">
        <f>IF(EXACT($B32, ""), "", IF((($B32 - MOD($B32, 1000000000000))/1000000000000)=25, CONCATENATE("Person - ", VLOOKUP($B32, [1]DataLookUp!$B$4:$C$2000, 2, FALSE)), IF((($B32 - MOD($B32, 1000000000000))/1000000000000)=124, CONCATENATE("Institution - ", VLOOKUP($B32, '[2]DataLookUp - InstitutionBranch'!$B$4:$C$2000, 2, FALSE)), "")))</f>
        <v/>
      </c>
      <c r="D32" s="22">
        <v>223000000000002</v>
      </c>
      <c r="E32" s="40" t="str">
        <f>IF(EXACT($D32, ""), "", VLOOKUP($D32, 'REF - ContactNumberType'!$B$4:$C$10, 2, FALSE))</f>
        <v>Mobile Phone</v>
      </c>
      <c r="F32" s="27" t="s">
        <v>677</v>
      </c>
      <c r="G32" s="9"/>
      <c r="H32" s="9" t="s">
        <v>633</v>
      </c>
      <c r="J32" s="34">
        <f t="shared" si="1"/>
        <v>286000000000029</v>
      </c>
      <c r="K3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'+62 857-7048-1711'::varchar, NULL::varchar, 'Hernita Dwi Cahyani Putri'::varchar, NULL::bigint);</v>
      </c>
    </row>
    <row r="33" spans="2:11" x14ac:dyDescent="0.2">
      <c r="B33" s="22">
        <v>25000000000029</v>
      </c>
      <c r="C33" s="4" t="str">
        <f>IF(EXACT($B33, ""), "", IF((($B33 - MOD($B33, 1000000000000))/1000000000000)=25, CONCATENATE("Person - ", VLOOKUP($B33, [1]DataLookUp!$B$4:$C$2000, 2, FALSE)), IF((($B33 - MOD($B33, 1000000000000))/1000000000000)=124, CONCATENATE("Institution - ", VLOOKUP($B33, '[2]DataLookUp - InstitutionBranch'!$B$4:$C$2000, 2, FALSE)), "")))</f>
        <v>Person - Amir Sofyan Hadi</v>
      </c>
      <c r="D33" s="22">
        <v>223000000000002</v>
      </c>
      <c r="E33" s="40" t="str">
        <f>IF(EXACT($D33, ""), "", VLOOKUP($D33, 'REF - ContactNumberType'!$B$4:$C$10, 2, FALSE))</f>
        <v>Mobile Phone</v>
      </c>
      <c r="F33" s="27" t="s">
        <v>678</v>
      </c>
      <c r="G33" s="9"/>
      <c r="H33" s="9" t="s">
        <v>28</v>
      </c>
      <c r="J33" s="34">
        <f t="shared" si="1"/>
        <v>286000000000030</v>
      </c>
      <c r="K3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'+62 813-1690-6639'::varchar, NULL::varchar, 'Amir Sofyan Hadi'::varchar, '25000000000029'::bigint);</v>
      </c>
    </row>
    <row r="34" spans="2:11" x14ac:dyDescent="0.2">
      <c r="B34" s="22">
        <v>25000000000071</v>
      </c>
      <c r="C34" s="4" t="str">
        <f>IF(EXACT($B34, ""), "", IF((($B34 - MOD($B34, 1000000000000))/1000000000000)=25, CONCATENATE("Person - ", VLOOKUP($B34, [1]DataLookUp!$B$4:$C$2000, 2, FALSE)), IF((($B34 - MOD($B34, 1000000000000))/1000000000000)=124, CONCATENATE("Institution - ", VLOOKUP($B34, '[2]DataLookUp - InstitutionBranch'!$B$4:$C$2000, 2, FALSE)), "")))</f>
        <v>Person - Bani Mustazeni</v>
      </c>
      <c r="D34" s="22">
        <v>223000000000002</v>
      </c>
      <c r="E34" s="40" t="str">
        <f>IF(EXACT($D34, ""), "", VLOOKUP($D34, 'REF - ContactNumberType'!$B$4:$C$10, 2, FALSE))</f>
        <v>Mobile Phone</v>
      </c>
      <c r="F34" s="27" t="s">
        <v>679</v>
      </c>
      <c r="G34" s="9"/>
      <c r="H34" s="9" t="s">
        <v>70</v>
      </c>
      <c r="J34" s="34">
        <f t="shared" si="1"/>
        <v>286000000000031</v>
      </c>
      <c r="K3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'+62 857-1519-9050'::varchar, NULL::varchar, 'Bani Mustazeni'::varchar, '25000000000071'::bigint);</v>
      </c>
    </row>
    <row r="35" spans="2:11" x14ac:dyDescent="0.2">
      <c r="B35" s="22"/>
      <c r="C35" s="4" t="str">
        <f>IF(EXACT($B35, ""), "", IF((($B35 - MOD($B35, 1000000000000))/1000000000000)=25, CONCATENATE("Person - ", VLOOKUP($B35, [1]DataLookUp!$B$4:$C$2000, 2, FALSE)), IF((($B35 - MOD($B35, 1000000000000))/1000000000000)=124, CONCATENATE("Institution - ", VLOOKUP($B35, '[2]DataLookUp - InstitutionBranch'!$B$4:$C$2000, 2, FALSE)), "")))</f>
        <v/>
      </c>
      <c r="D35" s="22">
        <v>223000000000002</v>
      </c>
      <c r="E35" s="40" t="str">
        <f>IF(EXACT($D35, ""), "", VLOOKUP($D35, 'REF - ContactNumberType'!$B$4:$C$10, 2, FALSE))</f>
        <v>Mobile Phone</v>
      </c>
      <c r="F35" s="27" t="s">
        <v>680</v>
      </c>
      <c r="G35" s="9"/>
      <c r="H35" s="9" t="s">
        <v>634</v>
      </c>
      <c r="J35" s="34">
        <f t="shared" si="1"/>
        <v>286000000000032</v>
      </c>
      <c r="K3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'+62 859-4561-9900'::varchar, NULL::varchar, 'Eko Kurniawan'::varchar, NULL::bigint);</v>
      </c>
    </row>
    <row r="36" spans="2:11" x14ac:dyDescent="0.2">
      <c r="B36" s="22">
        <v>25000000000145</v>
      </c>
      <c r="C36" s="4" t="str">
        <f>IF(EXACT($B36, ""), "", IF((($B36 - MOD($B36, 1000000000000))/1000000000000)=25, CONCATENATE("Person - ", VLOOKUP($B36, [1]DataLookUp!$B$4:$C$2000, 2, FALSE)), IF((($B36 - MOD($B36, 1000000000000))/1000000000000)=124, CONCATENATE("Institution - ", VLOOKUP($B36, '[2]DataLookUp - InstitutionBranch'!$B$4:$C$2000, 2, FALSE)), "")))</f>
        <v>Person - Fani Dwi Astutik</v>
      </c>
      <c r="D36" s="22">
        <v>223000000000002</v>
      </c>
      <c r="E36" s="40" t="str">
        <f>IF(EXACT($D36, ""), "", VLOOKUP($D36, 'REF - ContactNumberType'!$B$4:$C$10, 2, FALSE))</f>
        <v>Mobile Phone</v>
      </c>
      <c r="F36" s="27" t="s">
        <v>681</v>
      </c>
      <c r="G36" s="9"/>
      <c r="H36" s="9" t="s">
        <v>144</v>
      </c>
      <c r="J36" s="34">
        <f t="shared" si="1"/>
        <v>286000000000033</v>
      </c>
      <c r="K3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'+62 812-9902-0267'::varchar, NULL::varchar, 'Fani Dwi Astutik'::varchar, '25000000000145'::bigint);</v>
      </c>
    </row>
    <row r="37" spans="2:11" x14ac:dyDescent="0.2">
      <c r="B37" s="22"/>
      <c r="C37" s="4" t="str">
        <f>IF(EXACT($B37, ""), "", IF((($B37 - MOD($B37, 1000000000000))/1000000000000)=25, CONCATENATE("Person - ", VLOOKUP($B37, [1]DataLookUp!$B$4:$C$2000, 2, FALSE)), IF((($B37 - MOD($B37, 1000000000000))/1000000000000)=124, CONCATENATE("Institution - ", VLOOKUP($B37, '[2]DataLookUp - InstitutionBranch'!$B$4:$C$2000, 2, FALSE)), "")))</f>
        <v/>
      </c>
      <c r="D37" s="22">
        <v>223000000000002</v>
      </c>
      <c r="E37" s="40" t="str">
        <f>IF(EXACT($D37, ""), "", VLOOKUP($D37, 'REF - ContactNumberType'!$B$4:$C$10, 2, FALSE))</f>
        <v>Mobile Phone</v>
      </c>
      <c r="F37" s="27" t="s">
        <v>682</v>
      </c>
      <c r="G37" s="9"/>
      <c r="H37" s="9" t="s">
        <v>635</v>
      </c>
      <c r="J37" s="34">
        <f t="shared" si="1"/>
        <v>286000000000034</v>
      </c>
      <c r="K3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'+62 856-4156-8410'::varchar, NULL::varchar, 'Dony Setiyawan'::varchar, NULL::bigint);</v>
      </c>
    </row>
    <row r="38" spans="2:11" x14ac:dyDescent="0.2">
      <c r="B38" s="22"/>
      <c r="C38" s="4" t="str">
        <f>IF(EXACT($B38, ""), "", IF((($B38 - MOD($B38, 1000000000000))/1000000000000)=25, CONCATENATE("Person - ", VLOOKUP($B38, [1]DataLookUp!$B$4:$C$2000, 2, FALSE)), IF((($B38 - MOD($B38, 1000000000000))/1000000000000)=124, CONCATENATE("Institution - ", VLOOKUP($B38, '[2]DataLookUp - InstitutionBranch'!$B$4:$C$2000, 2, FALSE)), "")))</f>
        <v/>
      </c>
      <c r="D38" s="22">
        <v>223000000000002</v>
      </c>
      <c r="E38" s="40" t="str">
        <f>IF(EXACT($D38, ""), "", VLOOKUP($D38, 'REF - ContactNumberType'!$B$4:$C$10, 2, FALSE))</f>
        <v>Mobile Phone</v>
      </c>
      <c r="F38" s="27" t="s">
        <v>683</v>
      </c>
      <c r="G38" s="9"/>
      <c r="H38" s="9" t="s">
        <v>636</v>
      </c>
      <c r="J38" s="34">
        <f t="shared" si="1"/>
        <v>286000000000035</v>
      </c>
      <c r="K3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'+62 813-6291-9395'::varchar, NULL::varchar, 'M Ari Ardizah Nasution'::varchar, NULL::bigint);</v>
      </c>
    </row>
    <row r="39" spans="2:11" x14ac:dyDescent="0.2">
      <c r="B39" s="22">
        <v>25000000000277</v>
      </c>
      <c r="C39" s="4" t="str">
        <f>IF(EXACT($B39, ""), "", IF((($B39 - MOD($B39, 1000000000000))/1000000000000)=25, CONCATENATE("Person - ", VLOOKUP($B39, [1]DataLookUp!$B$4:$C$2000, 2, FALSE)), IF((($B39 - MOD($B39, 1000000000000))/1000000000000)=124, CONCATENATE("Institution - ", VLOOKUP($B39, '[2]DataLookUp - InstitutionBranch'!$B$4:$C$2000, 2, FALSE)), "")))</f>
        <v>Person - Martimbul Rahman</v>
      </c>
      <c r="D39" s="22">
        <v>223000000000002</v>
      </c>
      <c r="E39" s="40" t="str">
        <f>IF(EXACT($D39, ""), "", VLOOKUP($D39, 'REF - ContactNumberType'!$B$4:$C$10, 2, FALSE))</f>
        <v>Mobile Phone</v>
      </c>
      <c r="F39" s="27" t="s">
        <v>684</v>
      </c>
      <c r="G39" s="9"/>
      <c r="H39" s="9" t="s">
        <v>276</v>
      </c>
      <c r="J39" s="34">
        <f t="shared" si="1"/>
        <v>286000000000036</v>
      </c>
      <c r="K3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'+62 813-6193-0878'::varchar, NULL::varchar, 'Martimbul Rahman'::varchar, '25000000000277'::bigint);</v>
      </c>
    </row>
    <row r="40" spans="2:11" x14ac:dyDescent="0.2">
      <c r="B40" s="22">
        <v>25000000000498</v>
      </c>
      <c r="C40" s="4" t="str">
        <f>IF(EXACT($B40, ""), "", IF((($B40 - MOD($B40, 1000000000000))/1000000000000)=25, CONCATENATE("Person - ", VLOOKUP($B40, [1]DataLookUp!$B$4:$C$2000, 2, FALSE)), IF((($B40 - MOD($B40, 1000000000000))/1000000000000)=124, CONCATENATE("Institution - ", VLOOKUP($B40, '[2]DataLookUp - InstitutionBranch'!$B$4:$C$2000, 2, FALSE)), "")))</f>
        <v>Person - Zaire Dite Biscaya</v>
      </c>
      <c r="D40" s="22">
        <v>223000000000002</v>
      </c>
      <c r="E40" s="40" t="str">
        <f>IF(EXACT($D40, ""), "", VLOOKUP($D40, 'REF - ContactNumberType'!$B$4:$C$10, 2, FALSE))</f>
        <v>Mobile Phone</v>
      </c>
      <c r="F40" s="27" t="s">
        <v>685</v>
      </c>
      <c r="G40" s="9"/>
      <c r="H40" s="9" t="s">
        <v>637</v>
      </c>
      <c r="J40" s="34">
        <f t="shared" si="1"/>
        <v>286000000000037</v>
      </c>
      <c r="K4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'+62 812-9102-5349'::varchar, NULL::varchar, 'Zaire Biscaya Dite'::varchar, '25000000000498'::bigint);</v>
      </c>
    </row>
    <row r="41" spans="2:11" x14ac:dyDescent="0.2">
      <c r="B41" s="22">
        <v>25000000000205</v>
      </c>
      <c r="C41" s="4" t="str">
        <f>IF(EXACT($B41, ""), "", IF((($B41 - MOD($B41, 1000000000000))/1000000000000)=25, CONCATENATE("Person - ", VLOOKUP($B41, [1]DataLookUp!$B$4:$C$2000, 2, FALSE)), IF((($B41 - MOD($B41, 1000000000000))/1000000000000)=124, CONCATENATE("Institution - ", VLOOKUP($B41, '[2]DataLookUp - InstitutionBranch'!$B$4:$C$2000, 2, FALSE)), "")))</f>
        <v>Person - Imam Basuki</v>
      </c>
      <c r="D41" s="22">
        <v>223000000000002</v>
      </c>
      <c r="E41" s="40" t="str">
        <f>IF(EXACT($D41, ""), "", VLOOKUP($D41, 'REF - ContactNumberType'!$B$4:$C$10, 2, FALSE))</f>
        <v>Mobile Phone</v>
      </c>
      <c r="F41" s="27" t="s">
        <v>686</v>
      </c>
      <c r="G41" s="9"/>
      <c r="H41" s="9" t="s">
        <v>204</v>
      </c>
      <c r="J41" s="34">
        <f t="shared" si="1"/>
        <v>286000000000038</v>
      </c>
      <c r="K4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'+62 813-1818-7318'::varchar, NULL::varchar, 'Imam Basuki'::varchar, '25000000000205'::bigint);</v>
      </c>
    </row>
    <row r="42" spans="2:11" x14ac:dyDescent="0.2">
      <c r="B42" s="22">
        <v>25000000000511</v>
      </c>
      <c r="C42" s="4" t="str">
        <f>IF(EXACT($B42, ""), "", IF((($B42 - MOD($B42, 1000000000000))/1000000000000)=25, CONCATENATE("Person - ", VLOOKUP($B42, [1]DataLookUp!$B$4:$C$2000, 2, FALSE)), IF((($B42 - MOD($B42, 1000000000000))/1000000000000)=124, CONCATENATE("Institution - ", VLOOKUP($B42, '[2]DataLookUp - InstitutionBranch'!$B$4:$C$2000, 2, FALSE)), "")))</f>
        <v>Person - Wisnu Andra Isdianto</v>
      </c>
      <c r="D42" s="22">
        <v>223000000000002</v>
      </c>
      <c r="E42" s="40" t="str">
        <f>IF(EXACT($D42, ""), "", VLOOKUP($D42, 'REF - ContactNumberType'!$B$4:$C$10, 2, FALSE))</f>
        <v>Mobile Phone</v>
      </c>
      <c r="F42" s="27" t="s">
        <v>687</v>
      </c>
      <c r="G42" s="9"/>
      <c r="H42" s="9" t="s">
        <v>510</v>
      </c>
      <c r="J42" s="34">
        <f t="shared" si="1"/>
        <v>286000000000039</v>
      </c>
      <c r="K4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'+62 877-8419-0978'::varchar, NULL::varchar, 'Wisnu Andra Isdianto'::varchar, '25000000000511'::bigint);</v>
      </c>
    </row>
    <row r="43" spans="2:11" x14ac:dyDescent="0.2">
      <c r="B43" s="22">
        <v>25000000000508</v>
      </c>
      <c r="C43" s="4" t="str">
        <f>IF(EXACT($B43, ""), "", IF((($B43 - MOD($B43, 1000000000000))/1000000000000)=25, CONCATENATE("Person - ", VLOOKUP($B43, [1]DataLookUp!$B$4:$C$2000, 2, FALSE)), IF((($B43 - MOD($B43, 1000000000000))/1000000000000)=124, CONCATENATE("Institution - ", VLOOKUP($B43, '[2]DataLookUp - InstitutionBranch'!$B$4:$C$2000, 2, FALSE)), "")))</f>
        <v>Person - Rafi Artman Siddiq</v>
      </c>
      <c r="D43" s="22">
        <v>223000000000002</v>
      </c>
      <c r="E43" s="40" t="str">
        <f>IF(EXACT($D43, ""), "", VLOOKUP($D43, 'REF - ContactNumberType'!$B$4:$C$10, 2, FALSE))</f>
        <v>Mobile Phone</v>
      </c>
      <c r="F43" s="27" t="s">
        <v>885</v>
      </c>
      <c r="G43" s="9"/>
      <c r="H43" s="9" t="s">
        <v>507</v>
      </c>
      <c r="J43" s="34">
        <f t="shared" si="1"/>
        <v>286000000000040</v>
      </c>
      <c r="K4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'+62 857-4118-8449'::varchar, NULL::varchar, 'Rafi Artman Siddiq'::varchar, '25000000000508'::bigint);</v>
      </c>
    </row>
    <row r="44" spans="2:11" x14ac:dyDescent="0.2">
      <c r="B44" s="22">
        <v>25000000000100</v>
      </c>
      <c r="C44" s="4" t="str">
        <f>IF(EXACT($B44, ""), "", IF((($B44 - MOD($B44, 1000000000000))/1000000000000)=25, CONCATENATE("Person - ", VLOOKUP($B44, [1]DataLookUp!$B$4:$C$2000, 2, FALSE)), IF((($B44 - MOD($B44, 1000000000000))/1000000000000)=124, CONCATENATE("Institution - ", VLOOKUP($B44, '[2]DataLookUp - InstitutionBranch'!$B$4:$C$2000, 2, FALSE)), "")))</f>
        <v>Person - Deny Adi Purnama</v>
      </c>
      <c r="D44" s="22">
        <v>223000000000002</v>
      </c>
      <c r="E44" s="40" t="str">
        <f>IF(EXACT($D44, ""), "", VLOOKUP($D44, 'REF - ContactNumberType'!$B$4:$C$10, 2, FALSE))</f>
        <v>Mobile Phone</v>
      </c>
      <c r="F44" s="27" t="s">
        <v>689</v>
      </c>
      <c r="G44" s="9"/>
      <c r="H44" s="9" t="s">
        <v>99</v>
      </c>
      <c r="J44" s="34">
        <f t="shared" si="1"/>
        <v>286000000000041</v>
      </c>
      <c r="K4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'+62 813-1846-0405'::varchar, NULL::varchar, 'Deny Adi Purnama'::varchar, '25000000000100'::bigint);</v>
      </c>
    </row>
    <row r="45" spans="2:11" x14ac:dyDescent="0.2">
      <c r="B45" s="22">
        <v>25000000000314</v>
      </c>
      <c r="C45" s="4" t="str">
        <f>IF(EXACT($B45, ""), "", IF((($B45 - MOD($B45, 1000000000000))/1000000000000)=25, CONCATENATE("Person - ", VLOOKUP($B45, [1]DataLookUp!$B$4:$C$2000, 2, FALSE)), IF((($B45 - MOD($B45, 1000000000000))/1000000000000)=124, CONCATENATE("Institution - ", VLOOKUP($B45, '[2]DataLookUp - InstitutionBranch'!$B$4:$C$2000, 2, FALSE)), "")))</f>
        <v>Person - Nopitasari</v>
      </c>
      <c r="D45" s="22">
        <v>223000000000002</v>
      </c>
      <c r="E45" s="40" t="str">
        <f>IF(EXACT($D45, ""), "", VLOOKUP($D45, 'REF - ContactNumberType'!$B$4:$C$10, 2, FALSE))</f>
        <v>Mobile Phone</v>
      </c>
      <c r="F45" s="27" t="s">
        <v>690</v>
      </c>
      <c r="G45" s="9"/>
      <c r="H45" s="9" t="s">
        <v>313</v>
      </c>
      <c r="J45" s="34">
        <f t="shared" si="1"/>
        <v>286000000000042</v>
      </c>
      <c r="K4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'+62 812-9586-6677'::varchar, NULL::varchar, 'Nopitasari'::varchar, '25000000000314'::bigint);</v>
      </c>
    </row>
    <row r="46" spans="2:11" x14ac:dyDescent="0.2">
      <c r="B46" s="22">
        <v>25000000000512</v>
      </c>
      <c r="C46" s="4" t="str">
        <f>IF(EXACT($B46, ""), "", IF((($B46 - MOD($B46, 1000000000000))/1000000000000)=25, CONCATENATE("Person - ", VLOOKUP($B46, [1]DataLookUp!$B$4:$C$2000, 2, FALSE)), IF((($B46 - MOD($B46, 1000000000000))/1000000000000)=124, CONCATENATE("Institution - ", VLOOKUP($B46, '[2]DataLookUp - InstitutionBranch'!$B$4:$C$2000, 2, FALSE)), "")))</f>
        <v>Person - Agus Budi Setiawan</v>
      </c>
      <c r="D46" s="22">
        <v>223000000000002</v>
      </c>
      <c r="E46" s="40" t="str">
        <f>IF(EXACT($D46, ""), "", VLOOKUP($D46, 'REF - ContactNumberType'!$B$4:$C$10, 2, FALSE))</f>
        <v>Mobile Phone</v>
      </c>
      <c r="F46" s="27" t="s">
        <v>691</v>
      </c>
      <c r="G46" s="9"/>
      <c r="H46" s="9" t="s">
        <v>511</v>
      </c>
      <c r="J46" s="34">
        <f t="shared" si="1"/>
        <v>286000000000043</v>
      </c>
      <c r="K4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'+62 821-2144-4989'::varchar, NULL::varchar, 'Agus Budi Setiawan'::varchar, '25000000000512'::bigint);</v>
      </c>
    </row>
    <row r="47" spans="2:11" x14ac:dyDescent="0.2">
      <c r="B47" s="22">
        <v>25000000000471</v>
      </c>
      <c r="C47" s="4" t="str">
        <f>IF(EXACT($B47, ""), "", IF((($B47 - MOD($B47, 1000000000000))/1000000000000)=25, CONCATENATE("Person - ", VLOOKUP($B47, [1]DataLookUp!$B$4:$C$2000, 2, FALSE)), IF((($B47 - MOD($B47, 1000000000000))/1000000000000)=124, CONCATENATE("Institution - ", VLOOKUP($B47, '[2]DataLookUp - InstitutionBranch'!$B$4:$C$2000, 2, FALSE)), "")))</f>
        <v>Person - Wendy Septiyan</v>
      </c>
      <c r="D47" s="22">
        <v>223000000000002</v>
      </c>
      <c r="E47" s="40" t="str">
        <f>IF(EXACT($D47, ""), "", VLOOKUP($D47, 'REF - ContactNumberType'!$B$4:$C$10, 2, FALSE))</f>
        <v>Mobile Phone</v>
      </c>
      <c r="F47" s="27" t="s">
        <v>692</v>
      </c>
      <c r="G47" s="9"/>
      <c r="H47" s="9" t="s">
        <v>470</v>
      </c>
      <c r="J47" s="34">
        <f t="shared" si="1"/>
        <v>286000000000044</v>
      </c>
      <c r="K4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'+62 838-0664-3866'::varchar, NULL::varchar, 'Wendy Septiyan'::varchar, '25000000000471'::bigint);</v>
      </c>
    </row>
    <row r="48" spans="2:11" x14ac:dyDescent="0.2">
      <c r="B48" s="22">
        <v>25000000000334</v>
      </c>
      <c r="C48" s="4" t="str">
        <f>IF(EXACT($B48, ""), "", IF((($B48 - MOD($B48, 1000000000000))/1000000000000)=25, CONCATENATE("Person - ", VLOOKUP($B48, [1]DataLookUp!$B$4:$C$2000, 2, FALSE)), IF((($B48 - MOD($B48, 1000000000000))/1000000000000)=124, CONCATENATE("Institution - ", VLOOKUP($B48, '[2]DataLookUp - InstitutionBranch'!$B$4:$C$2000, 2, FALSE)), "")))</f>
        <v>Person - R. Lar Kumalaning Tresno</v>
      </c>
      <c r="D48" s="22">
        <v>223000000000002</v>
      </c>
      <c r="E48" s="40" t="str">
        <f>IF(EXACT($D48, ""), "", VLOOKUP($D48, 'REF - ContactNumberType'!$B$4:$C$10, 2, FALSE))</f>
        <v>Mobile Phone</v>
      </c>
      <c r="F48" s="27" t="s">
        <v>693</v>
      </c>
      <c r="G48" s="9"/>
      <c r="H48" s="9" t="s">
        <v>333</v>
      </c>
      <c r="J48" s="34">
        <f t="shared" si="1"/>
        <v>286000000000045</v>
      </c>
      <c r="K4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'+62 856-9438-7250'::varchar, NULL::varchar, 'R. Lar Kumalaning Tresno'::varchar, '25000000000334'::bigint);</v>
      </c>
    </row>
    <row r="49" spans="2:11" x14ac:dyDescent="0.2">
      <c r="B49" s="22">
        <v>25000000000183</v>
      </c>
      <c r="C49" s="4" t="str">
        <f>IF(EXACT($B49, ""), "", IF((($B49 - MOD($B49, 1000000000000))/1000000000000)=25, CONCATENATE("Person - ", VLOOKUP($B49, [1]DataLookUp!$B$4:$C$2000, 2, FALSE)), IF((($B49 - MOD($B49, 1000000000000))/1000000000000)=124, CONCATENATE("Institution - ", VLOOKUP($B49, '[2]DataLookUp - InstitutionBranch'!$B$4:$C$2000, 2, FALSE)), "")))</f>
        <v>Person - Hendri Kustian</v>
      </c>
      <c r="D49" s="22">
        <v>223000000000002</v>
      </c>
      <c r="E49" s="40" t="str">
        <f>IF(EXACT($D49, ""), "", VLOOKUP($D49, 'REF - ContactNumberType'!$B$4:$C$10, 2, FALSE))</f>
        <v>Mobile Phone</v>
      </c>
      <c r="F49" s="27" t="s">
        <v>694</v>
      </c>
      <c r="G49" s="9"/>
      <c r="H49" s="9" t="s">
        <v>182</v>
      </c>
      <c r="J49" s="34">
        <f t="shared" si="1"/>
        <v>286000000000046</v>
      </c>
      <c r="K4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'+62 813-8432-9270'::varchar, NULL::varchar, 'Hendri Kustian'::varchar, '25000000000183'::bigint);</v>
      </c>
    </row>
    <row r="50" spans="2:11" x14ac:dyDescent="0.2">
      <c r="B50" s="22">
        <v>25000000000388</v>
      </c>
      <c r="C50" s="4" t="str">
        <f>IF(EXACT($B50, ""), "", IF((($B50 - MOD($B50, 1000000000000))/1000000000000)=25, CONCATENATE("Person - ", VLOOKUP($B50, [1]DataLookUp!$B$4:$C$2000, 2, FALSE)), IF((($B50 - MOD($B50, 1000000000000))/1000000000000)=124, CONCATENATE("Institution - ", VLOOKUP($B50, '[2]DataLookUp - InstitutionBranch'!$B$4:$C$2000, 2, FALSE)), "")))</f>
        <v>Person - Sarif Hidayatul Umah</v>
      </c>
      <c r="D50" s="22">
        <v>223000000000002</v>
      </c>
      <c r="E50" s="40" t="str">
        <f>IF(EXACT($D50, ""), "", VLOOKUP($D50, 'REF - ContactNumberType'!$B$4:$C$10, 2, FALSE))</f>
        <v>Mobile Phone</v>
      </c>
      <c r="F50" s="27" t="s">
        <v>695</v>
      </c>
      <c r="G50" s="9"/>
      <c r="H50" s="9" t="s">
        <v>387</v>
      </c>
      <c r="J50" s="34">
        <f t="shared" si="1"/>
        <v>286000000000047</v>
      </c>
      <c r="K5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'+62 812-9912-9011'::varchar, NULL::varchar, 'Sarif Hidayatul Umah'::varchar, '25000000000388'::bigint);</v>
      </c>
    </row>
    <row r="51" spans="2:11" x14ac:dyDescent="0.2">
      <c r="B51" s="22">
        <v>25000000000540</v>
      </c>
      <c r="C51" s="4" t="str">
        <f>IF(EXACT($B51, ""), "", IF((($B51 - MOD($B51, 1000000000000))/1000000000000)=25, CONCATENATE("Person - ", VLOOKUP($B51, [1]DataLookUp!$B$4:$C$2000, 2, FALSE)), IF((($B51 - MOD($B51, 1000000000000))/1000000000000)=124, CONCATENATE("Institution - ", VLOOKUP($B51, '[2]DataLookUp - InstitutionBranch'!$B$4:$C$2000, 2, FALSE)), "")))</f>
        <v>Person - Vingky Hendriek Yomerlin</v>
      </c>
      <c r="D51" s="22">
        <v>223000000000002</v>
      </c>
      <c r="E51" s="40" t="str">
        <f>IF(EXACT($D51, ""), "", VLOOKUP($D51, 'REF - ContactNumberType'!$B$4:$C$10, 2, FALSE))</f>
        <v>Mobile Phone</v>
      </c>
      <c r="F51" s="27" t="s">
        <v>696</v>
      </c>
      <c r="G51" s="9"/>
      <c r="H51" s="9" t="s">
        <v>539</v>
      </c>
      <c r="J51" s="34">
        <f t="shared" si="1"/>
        <v>286000000000048</v>
      </c>
      <c r="K5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'+62 821-7308-7816'::varchar, NULL::varchar, 'Vingky Hendriek Yomerlin'::varchar, '25000000000540'::bigint);</v>
      </c>
    </row>
    <row r="52" spans="2:11" x14ac:dyDescent="0.2">
      <c r="B52" s="22">
        <v>25000000000553</v>
      </c>
      <c r="C52" s="4" t="str">
        <f>IF(EXACT($B52, ""), "", IF((($B52 - MOD($B52, 1000000000000))/1000000000000)=25, CONCATENATE("Person - ", VLOOKUP($B52, [1]DataLookUp!$B$4:$C$2000, 2, FALSE)), IF((($B52 - MOD($B52, 1000000000000))/1000000000000)=124, CONCATENATE("Institution - ", VLOOKUP($B52, '[2]DataLookUp - InstitutionBranch'!$B$4:$C$2000, 2, FALSE)), "")))</f>
        <v>Person - Masimin</v>
      </c>
      <c r="D52" s="22">
        <v>223000000000002</v>
      </c>
      <c r="E52" s="40" t="str">
        <f>IF(EXACT($D52, ""), "", VLOOKUP($D52, 'REF - ContactNumberType'!$B$4:$C$10, 2, FALSE))</f>
        <v>Mobile Phone</v>
      </c>
      <c r="F52" s="27" t="s">
        <v>697</v>
      </c>
      <c r="G52" s="9"/>
      <c r="H52" s="9" t="s">
        <v>552</v>
      </c>
      <c r="J52" s="34">
        <f t="shared" si="1"/>
        <v>286000000000049</v>
      </c>
      <c r="K5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'+62 813-1886-3471'::varchar, NULL::varchar, 'Masimin'::varchar, '25000000000553'::bigint);</v>
      </c>
    </row>
    <row r="53" spans="2:11" x14ac:dyDescent="0.2">
      <c r="B53" s="22">
        <v>25000000000008</v>
      </c>
      <c r="C53" s="4" t="str">
        <f>IF(EXACT($B53, ""), "", IF((($B53 - MOD($B53, 1000000000000))/1000000000000)=25, CONCATENATE("Person - ", VLOOKUP($B53, [1]DataLookUp!$B$4:$C$2000, 2, FALSE)), IF((($B53 - MOD($B53, 1000000000000))/1000000000000)=124, CONCATENATE("Institution - ", VLOOKUP($B53, '[2]DataLookUp - InstitutionBranch'!$B$4:$C$2000, 2, FALSE)), "")))</f>
        <v>Person - Adietya Dharmawan</v>
      </c>
      <c r="D53" s="22">
        <v>223000000000002</v>
      </c>
      <c r="E53" s="40" t="str">
        <f>IF(EXACT($D53, ""), "", VLOOKUP($D53, 'REF - ContactNumberType'!$B$4:$C$10, 2, FALSE))</f>
        <v>Mobile Phone</v>
      </c>
      <c r="F53" s="27" t="s">
        <v>698</v>
      </c>
      <c r="G53" s="9"/>
      <c r="H53" s="9" t="s">
        <v>7</v>
      </c>
      <c r="J53" s="34">
        <f t="shared" si="1"/>
        <v>286000000000050</v>
      </c>
      <c r="K5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'+62 857-7326-1575'::varchar, NULL::varchar, 'Adietya Dharmawan'::varchar, '25000000000008'::bigint);</v>
      </c>
    </row>
    <row r="54" spans="2:11" x14ac:dyDescent="0.2">
      <c r="B54" s="22">
        <v>25000000000426</v>
      </c>
      <c r="C54" s="4" t="str">
        <f>IF(EXACT($B54, ""), "", IF((($B54 - MOD($B54, 1000000000000))/1000000000000)=25, CONCATENATE("Person - ", VLOOKUP($B54, [1]DataLookUp!$B$4:$C$2000, 2, FALSE)), IF((($B54 - MOD($B54, 1000000000000))/1000000000000)=124, CONCATENATE("Institution - ", VLOOKUP($B54, '[2]DataLookUp - InstitutionBranch'!$B$4:$C$2000, 2, FALSE)), "")))</f>
        <v>Person - Sutarno</v>
      </c>
      <c r="D54" s="22">
        <v>223000000000002</v>
      </c>
      <c r="E54" s="40" t="str">
        <f>IF(EXACT($D54, ""), "", VLOOKUP($D54, 'REF - ContactNumberType'!$B$4:$C$10, 2, FALSE))</f>
        <v>Mobile Phone</v>
      </c>
      <c r="F54" s="27" t="s">
        <v>699</v>
      </c>
      <c r="G54" s="9"/>
      <c r="H54" s="9" t="s">
        <v>425</v>
      </c>
      <c r="J54" s="34">
        <f t="shared" si="1"/>
        <v>286000000000051</v>
      </c>
      <c r="K5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'+62 812-9699-123'::varchar, NULL::varchar, 'Sutarno'::varchar, '25000000000426'::bigint);</v>
      </c>
    </row>
    <row r="55" spans="2:11" x14ac:dyDescent="0.2">
      <c r="B55" s="22">
        <v>25000000000523</v>
      </c>
      <c r="C55" s="4" t="str">
        <f>IF(EXACT($B55, ""), "", IF((($B55 - MOD($B55, 1000000000000))/1000000000000)=25, CONCATENATE("Person - ", VLOOKUP($B55, [1]DataLookUp!$B$4:$C$2000, 2, FALSE)), IF((($B55 - MOD($B55, 1000000000000))/1000000000000)=124, CONCATENATE("Institution - ", VLOOKUP($B55, '[2]DataLookUp - InstitutionBranch'!$B$4:$C$2000, 2, FALSE)), "")))</f>
        <v>Person - Fuzi Mafrozi</v>
      </c>
      <c r="D55" s="22">
        <v>223000000000002</v>
      </c>
      <c r="E55" s="40" t="str">
        <f>IF(EXACT($D55, ""), "", VLOOKUP($D55, 'REF - ContactNumberType'!$B$4:$C$10, 2, FALSE))</f>
        <v>Mobile Phone</v>
      </c>
      <c r="F55" s="27" t="s">
        <v>888</v>
      </c>
      <c r="G55" s="9"/>
      <c r="H55" s="9" t="s">
        <v>638</v>
      </c>
      <c r="J55" s="34">
        <f t="shared" si="1"/>
        <v>286000000000052</v>
      </c>
      <c r="K5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'+62 895-3368-9667-2'::varchar, NULL::varchar, 'Fuzi Mafhrozi'::varchar, '25000000000523'::bigint);</v>
      </c>
    </row>
    <row r="56" spans="2:11" x14ac:dyDescent="0.2">
      <c r="B56" s="22">
        <v>25000000000385</v>
      </c>
      <c r="C56" s="4" t="str">
        <f>IF(EXACT($B56, ""), "", IF((($B56 - MOD($B56, 1000000000000))/1000000000000)=25, CONCATENATE("Person - ", VLOOKUP($B56, [1]DataLookUp!$B$4:$C$2000, 2, FALSE)), IF((($B56 - MOD($B56, 1000000000000))/1000000000000)=124, CONCATENATE("Institution - ", VLOOKUP($B56, '[2]DataLookUp - InstitutionBranch'!$B$4:$C$2000, 2, FALSE)), "")))</f>
        <v>Person - Sang Toga Sitompul</v>
      </c>
      <c r="D56" s="22">
        <v>223000000000002</v>
      </c>
      <c r="E56" s="40" t="str">
        <f>IF(EXACT($D56, ""), "", VLOOKUP($D56, 'REF - ContactNumberType'!$B$4:$C$10, 2, FALSE))</f>
        <v>Mobile Phone</v>
      </c>
      <c r="F56" s="27" t="s">
        <v>701</v>
      </c>
      <c r="G56" s="9"/>
      <c r="H56" s="9" t="s">
        <v>384</v>
      </c>
      <c r="J56" s="34">
        <f t="shared" si="1"/>
        <v>286000000000053</v>
      </c>
      <c r="K5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'+62 812-2119-3402'::varchar, NULL::varchar, 'Sang Toga Sitompul'::varchar, '25000000000385'::bigint);</v>
      </c>
    </row>
    <row r="57" spans="2:11" x14ac:dyDescent="0.2">
      <c r="B57" s="22">
        <v>25000000000519</v>
      </c>
      <c r="C57" s="4" t="str">
        <f>IF(EXACT($B57, ""), "", IF((($B57 - MOD($B57, 1000000000000))/1000000000000)=25, CONCATENATE("Person - ", VLOOKUP($B57, [1]DataLookUp!$B$4:$C$2000, 2, FALSE)), IF((($B57 - MOD($B57, 1000000000000))/1000000000000)=124, CONCATENATE("Institution - ", VLOOKUP($B57, '[2]DataLookUp - InstitutionBranch'!$B$4:$C$2000, 2, FALSE)), "")))</f>
        <v>Person - Denny Achmad Ferlando</v>
      </c>
      <c r="D57" s="22">
        <v>223000000000002</v>
      </c>
      <c r="E57" s="40" t="str">
        <f>IF(EXACT($D57, ""), "", VLOOKUP($D57, 'REF - ContactNumberType'!$B$4:$C$10, 2, FALSE))</f>
        <v>Mobile Phone</v>
      </c>
      <c r="F57" s="27" t="s">
        <v>702</v>
      </c>
      <c r="G57" s="9"/>
      <c r="H57" s="9" t="s">
        <v>518</v>
      </c>
      <c r="J57" s="34">
        <f t="shared" si="1"/>
        <v>286000000000054</v>
      </c>
      <c r="K5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'+62 877-8038-9758'::varchar, NULL::varchar, 'Denny Achmad Ferlando'::varchar, '25000000000519'::bigint);</v>
      </c>
    </row>
    <row r="58" spans="2:11" x14ac:dyDescent="0.2">
      <c r="B58" s="22"/>
      <c r="C58" s="4" t="str">
        <f>IF(EXACT($B58, ""), "", IF((($B58 - MOD($B58, 1000000000000))/1000000000000)=25, CONCATENATE("Person - ", VLOOKUP($B58, [1]DataLookUp!$B$4:$C$2000, 2, FALSE)), IF((($B58 - MOD($B58, 1000000000000))/1000000000000)=124, CONCATENATE("Institution - ", VLOOKUP($B58, '[2]DataLookUp - InstitutionBranch'!$B$4:$C$2000, 2, FALSE)), "")))</f>
        <v/>
      </c>
      <c r="D58" s="22">
        <v>223000000000002</v>
      </c>
      <c r="E58" s="40" t="str">
        <f>IF(EXACT($D58, ""), "", VLOOKUP($D58, 'REF - ContactNumberType'!$B$4:$C$10, 2, FALSE))</f>
        <v>Mobile Phone</v>
      </c>
      <c r="F58" s="27" t="s">
        <v>703</v>
      </c>
      <c r="G58" s="9"/>
      <c r="H58" s="9" t="s">
        <v>639</v>
      </c>
      <c r="J58" s="34">
        <f t="shared" si="1"/>
        <v>286000000000055</v>
      </c>
      <c r="K5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'+62 821-1399-1950'::varchar, NULL::varchar, 'Azis Purwadana'::varchar, NULL::bigint);</v>
      </c>
    </row>
    <row r="59" spans="2:11" x14ac:dyDescent="0.2">
      <c r="B59" s="22">
        <v>25000000000325</v>
      </c>
      <c r="C59" s="4" t="str">
        <f>IF(EXACT($B59, ""), "", IF((($B59 - MOD($B59, 1000000000000))/1000000000000)=25, CONCATENATE("Person - ", VLOOKUP($B59, [1]DataLookUp!$B$4:$C$2000, 2, FALSE)), IF((($B59 - MOD($B59, 1000000000000))/1000000000000)=124, CONCATENATE("Institution - ", VLOOKUP($B59, '[2]DataLookUp - InstitutionBranch'!$B$4:$C$2000, 2, FALSE)), "")))</f>
        <v>Person - Panca Yudi Baskoro</v>
      </c>
      <c r="D59" s="22">
        <v>223000000000002</v>
      </c>
      <c r="E59" s="40" t="str">
        <f>IF(EXACT($D59, ""), "", VLOOKUP($D59, 'REF - ContactNumberType'!$B$4:$C$10, 2, FALSE))</f>
        <v>Mobile Phone</v>
      </c>
      <c r="F59" s="27" t="s">
        <v>704</v>
      </c>
      <c r="G59" s="9"/>
      <c r="H59" s="9" t="s">
        <v>324</v>
      </c>
      <c r="J59" s="34">
        <f t="shared" si="1"/>
        <v>286000000000056</v>
      </c>
      <c r="K5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'+62 813-8643-5585'::varchar, NULL::varchar, 'Panca Yudi Baskoro'::varchar, '25000000000325'::bigint);</v>
      </c>
    </row>
    <row r="60" spans="2:11" x14ac:dyDescent="0.2">
      <c r="B60" s="22">
        <v>25000000000474</v>
      </c>
      <c r="C60" s="4" t="str">
        <f>IF(EXACT($B60, ""), "", IF((($B60 - MOD($B60, 1000000000000))/1000000000000)=25, CONCATENATE("Person - ", VLOOKUP($B60, [1]DataLookUp!$B$4:$C$2000, 2, FALSE)), IF((($B60 - MOD($B60, 1000000000000))/1000000000000)=124, CONCATENATE("Institution - ", VLOOKUP($B60, '[2]DataLookUp - InstitutionBranch'!$B$4:$C$2000, 2, FALSE)), "")))</f>
        <v>Person - Wisnu Ardian</v>
      </c>
      <c r="D60" s="22">
        <v>223000000000002</v>
      </c>
      <c r="E60" s="40" t="str">
        <f>IF(EXACT($D60, ""), "", VLOOKUP($D60, 'REF - ContactNumberType'!$B$4:$C$10, 2, FALSE))</f>
        <v>Mobile Phone</v>
      </c>
      <c r="F60" s="27" t="s">
        <v>705</v>
      </c>
      <c r="G60" s="9"/>
      <c r="H60" s="9" t="s">
        <v>473</v>
      </c>
      <c r="J60" s="34">
        <f t="shared" si="1"/>
        <v>286000000000057</v>
      </c>
      <c r="K60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'+62 813-8600-7788'::varchar, NULL::varchar, 'Wisnu Ardian'::varchar, '25000000000474'::bigint);</v>
      </c>
    </row>
    <row r="61" spans="2:11" x14ac:dyDescent="0.2">
      <c r="B61" s="22"/>
      <c r="C61" s="4" t="str">
        <f>IF(EXACT($B61, ""), "", IF((($B61 - MOD($B61, 1000000000000))/1000000000000)=25, CONCATENATE("Person - ", VLOOKUP($B61, [1]DataLookUp!$B$4:$C$2000, 2, FALSE)), IF((($B61 - MOD($B61, 1000000000000))/1000000000000)=124, CONCATENATE("Institution - ", VLOOKUP($B61, '[2]DataLookUp - InstitutionBranch'!$B$4:$C$2000, 2, FALSE)), "")))</f>
        <v/>
      </c>
      <c r="D61" s="22">
        <v>223000000000002</v>
      </c>
      <c r="E61" s="40" t="str">
        <f>IF(EXACT($D61, ""), "", VLOOKUP($D61, 'REF - ContactNumberType'!$B$4:$C$10, 2, FALSE))</f>
        <v>Mobile Phone</v>
      </c>
      <c r="F61" s="27" t="s">
        <v>706</v>
      </c>
      <c r="G61" s="9"/>
      <c r="H61" s="9" t="s">
        <v>640</v>
      </c>
      <c r="J61" s="34">
        <f t="shared" si="1"/>
        <v>286000000000058</v>
      </c>
      <c r="K61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'+62 813-1016-7838'::varchar, NULL::varchar, 'H.T Assubki Ismail'::varchar, NULL::bigint);</v>
      </c>
    </row>
    <row r="62" spans="2:11" x14ac:dyDescent="0.2">
      <c r="B62" s="22">
        <v>25000000000537</v>
      </c>
      <c r="C62" s="4" t="str">
        <f>IF(EXACT($B62, ""), "", IF((($B62 - MOD($B62, 1000000000000))/1000000000000)=25, CONCATENATE("Person - ", VLOOKUP($B62, [1]DataLookUp!$B$4:$C$2000, 2, FALSE)), IF((($B62 - MOD($B62, 1000000000000))/1000000000000)=124, CONCATENATE("Institution - ", VLOOKUP($B62, '[2]DataLookUp - InstitutionBranch'!$B$4:$C$2000, 2, FALSE)), "")))</f>
        <v>Person - Rizal Amri</v>
      </c>
      <c r="D62" s="22">
        <v>223000000000002</v>
      </c>
      <c r="E62" s="40" t="str">
        <f>IF(EXACT($D62, ""), "", VLOOKUP($D62, 'REF - ContactNumberType'!$B$4:$C$10, 2, FALSE))</f>
        <v>Mobile Phone</v>
      </c>
      <c r="F62" s="27" t="s">
        <v>869</v>
      </c>
      <c r="G62" s="9"/>
      <c r="H62" s="9" t="s">
        <v>536</v>
      </c>
      <c r="J62" s="34">
        <f t="shared" si="1"/>
        <v>286000000000059</v>
      </c>
      <c r="K62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'+62 812-2420-8139'::varchar, NULL::varchar, 'Rizal Amri'::varchar, '25000000000537'::bigint);</v>
      </c>
    </row>
    <row r="63" spans="2:11" x14ac:dyDescent="0.2">
      <c r="B63" s="22"/>
      <c r="C63" s="4" t="str">
        <f>IF(EXACT($B63, ""), "", IF((($B63 - MOD($B63, 1000000000000))/1000000000000)=25, CONCATENATE("Person - ", VLOOKUP($B63, [1]DataLookUp!$B$4:$C$2000, 2, FALSE)), IF((($B63 - MOD($B63, 1000000000000))/1000000000000)=124, CONCATENATE("Institution - ", VLOOKUP($B63, '[2]DataLookUp - InstitutionBranch'!$B$4:$C$2000, 2, FALSE)), "")))</f>
        <v/>
      </c>
      <c r="D63" s="22">
        <v>223000000000002</v>
      </c>
      <c r="E63" s="40" t="str">
        <f>IF(EXACT($D63, ""), "", VLOOKUP($D63, 'REF - ContactNumberType'!$B$4:$C$10, 2, FALSE))</f>
        <v>Mobile Phone</v>
      </c>
      <c r="F63" s="27" t="s">
        <v>707</v>
      </c>
      <c r="G63" s="9"/>
      <c r="H63" s="9" t="s">
        <v>641</v>
      </c>
      <c r="J63" s="34">
        <f t="shared" si="1"/>
        <v>286000000000060</v>
      </c>
      <c r="K63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'+62 813-9855-7959'::varchar, NULL::varchar, 'Kurnia Fitriastuti'::varchar, NULL::bigint);</v>
      </c>
    </row>
    <row r="64" spans="2:11" x14ac:dyDescent="0.2">
      <c r="B64" s="22">
        <v>25000000000159</v>
      </c>
      <c r="C64" s="4" t="str">
        <f>IF(EXACT($B64, ""), "", IF((($B64 - MOD($B64, 1000000000000))/1000000000000)=25, CONCATENATE("Person - ", VLOOKUP($B64, [1]DataLookUp!$B$4:$C$2000, 2, FALSE)), IF((($B64 - MOD($B64, 1000000000000))/1000000000000)=124, CONCATENATE("Institution - ", VLOOKUP($B64, '[2]DataLookUp - InstitutionBranch'!$B$4:$C$2000, 2, FALSE)), "")))</f>
        <v>Person - Frando Judi Siahaan</v>
      </c>
      <c r="D64" s="22">
        <v>223000000000002</v>
      </c>
      <c r="E64" s="40" t="str">
        <f>IF(EXACT($D64, ""), "", VLOOKUP($D64, 'REF - ContactNumberType'!$B$4:$C$10, 2, FALSE))</f>
        <v>Mobile Phone</v>
      </c>
      <c r="F64" s="27" t="s">
        <v>708</v>
      </c>
      <c r="G64" s="9"/>
      <c r="H64" s="9" t="s">
        <v>158</v>
      </c>
      <c r="J64" s="34">
        <f t="shared" si="1"/>
        <v>286000000000061</v>
      </c>
      <c r="K64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'+62 853-7140-4163'::varchar, NULL::varchar, 'Frando Judi Siahaan'::varchar, '25000000000159'::bigint);</v>
      </c>
    </row>
    <row r="65" spans="2:11" x14ac:dyDescent="0.2">
      <c r="B65" s="22">
        <v>25000000000330</v>
      </c>
      <c r="C65" s="4" t="str">
        <f>IF(EXACT($B65, ""), "", IF((($B65 - MOD($B65, 1000000000000))/1000000000000)=25, CONCATENATE("Person - ", VLOOKUP($B65, [1]DataLookUp!$B$4:$C$2000, 2, FALSE)), IF((($B65 - MOD($B65, 1000000000000))/1000000000000)=124, CONCATENATE("Institution - ", VLOOKUP($B65, '[2]DataLookUp - InstitutionBranch'!$B$4:$C$2000, 2, FALSE)), "")))</f>
        <v>Person - Prayanti Dewi Anggraini</v>
      </c>
      <c r="D65" s="22">
        <v>223000000000002</v>
      </c>
      <c r="E65" s="40" t="str">
        <f>IF(EXACT($D65, ""), "", VLOOKUP($D65, 'REF - ContactNumberType'!$B$4:$C$10, 2, FALSE))</f>
        <v>Mobile Phone</v>
      </c>
      <c r="F65" s="27" t="s">
        <v>709</v>
      </c>
      <c r="G65" s="9"/>
      <c r="H65" s="9" t="s">
        <v>329</v>
      </c>
      <c r="J65" s="34">
        <f t="shared" si="1"/>
        <v>286000000000062</v>
      </c>
      <c r="K65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'+62 812-6807-4074'::varchar, NULL::varchar, 'Prayanti Dewi Anggraini'::varchar, '25000000000330'::bigint);</v>
      </c>
    </row>
    <row r="66" spans="2:11" x14ac:dyDescent="0.2">
      <c r="B66" s="22">
        <v>25000000000015</v>
      </c>
      <c r="C66" s="4" t="str">
        <f>IF(EXACT($B66, ""), "", IF((($B66 - MOD($B66, 1000000000000))/1000000000000)=25, CONCATENATE("Person - ", VLOOKUP($B66, [1]DataLookUp!$B$4:$C$2000, 2, FALSE)), IF((($B66 - MOD($B66, 1000000000000))/1000000000000)=124, CONCATENATE("Institution - ", VLOOKUP($B66, '[2]DataLookUp - InstitutionBranch'!$B$4:$C$2000, 2, FALSE)), "")))</f>
        <v>Person - Agus Salim</v>
      </c>
      <c r="D66" s="22">
        <v>223000000000002</v>
      </c>
      <c r="E66" s="40" t="str">
        <f>IF(EXACT($D66, ""), "", VLOOKUP($D66, 'REF - ContactNumberType'!$B$4:$C$10, 2, FALSE))</f>
        <v>Mobile Phone</v>
      </c>
      <c r="F66" s="27" t="s">
        <v>710</v>
      </c>
      <c r="G66" s="9"/>
      <c r="H66" s="9" t="s">
        <v>14</v>
      </c>
      <c r="J66" s="34">
        <f t="shared" si="1"/>
        <v>286000000000063</v>
      </c>
      <c r="K66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'+62 857-7598-7323'::varchar, NULL::varchar, 'Agus Salim'::varchar, '25000000000015'::bigint);</v>
      </c>
    </row>
    <row r="67" spans="2:11" x14ac:dyDescent="0.2">
      <c r="B67" s="22"/>
      <c r="C67" s="4" t="str">
        <f>IF(EXACT($B67, ""), "", IF((($B67 - MOD($B67, 1000000000000))/1000000000000)=25, CONCATENATE("Person - ", VLOOKUP($B67, [1]DataLookUp!$B$4:$C$2000, 2, FALSE)), IF((($B67 - MOD($B67, 1000000000000))/1000000000000)=124, CONCATENATE("Institution - ", VLOOKUP($B67, '[2]DataLookUp - InstitutionBranch'!$B$4:$C$2000, 2, FALSE)), "")))</f>
        <v/>
      </c>
      <c r="D67" s="22">
        <v>223000000000002</v>
      </c>
      <c r="E67" s="40" t="str">
        <f>IF(EXACT($D67, ""), "", VLOOKUP($D67, 'REF - ContactNumberType'!$B$4:$C$10, 2, FALSE))</f>
        <v>Mobile Phone</v>
      </c>
      <c r="F67" s="27" t="s">
        <v>711</v>
      </c>
      <c r="G67" s="9"/>
      <c r="H67" s="9" t="s">
        <v>642</v>
      </c>
      <c r="J67" s="34">
        <f t="shared" si="1"/>
        <v>286000000000064</v>
      </c>
      <c r="K67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'+62 822-5538-5557'::varchar, NULL::varchar, 'Ilham'::varchar, NULL::bigint);</v>
      </c>
    </row>
    <row r="68" spans="2:11" x14ac:dyDescent="0.2">
      <c r="B68" s="22">
        <v>25000000000039</v>
      </c>
      <c r="C68" s="4" t="str">
        <f>IF(EXACT($B68, ""), "", IF((($B68 - MOD($B68, 1000000000000))/1000000000000)=25, CONCATENATE("Person - ", VLOOKUP($B68, [1]DataLookUp!$B$4:$C$2000, 2, FALSE)), IF((($B68 - MOD($B68, 1000000000000))/1000000000000)=124, CONCATENATE("Institution - ", VLOOKUP($B68, '[2]DataLookUp - InstitutionBranch'!$B$4:$C$2000, 2, FALSE)), "")))</f>
        <v>Person - Annisa Dewi Arumsari</v>
      </c>
      <c r="D68" s="22">
        <v>223000000000002</v>
      </c>
      <c r="E68" s="40" t="str">
        <f>IF(EXACT($D68, ""), "", VLOOKUP($D68, 'REF - ContactNumberType'!$B$4:$C$10, 2, FALSE))</f>
        <v>Mobile Phone</v>
      </c>
      <c r="F68" s="27" t="s">
        <v>712</v>
      </c>
      <c r="G68" s="9"/>
      <c r="H68" s="9" t="s">
        <v>38</v>
      </c>
      <c r="J68" s="34">
        <f t="shared" si="1"/>
        <v>286000000000065</v>
      </c>
      <c r="K68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'+62 812-9949-5209'::varchar, NULL::varchar, 'Annisa Dewi Arumsari'::varchar, '25000000000039'::bigint);</v>
      </c>
    </row>
    <row r="69" spans="2:11" x14ac:dyDescent="0.2">
      <c r="B69" s="22">
        <v>25000000000514</v>
      </c>
      <c r="C69" s="4" t="str">
        <f>IF(EXACT($B69, ""), "", IF((($B69 - MOD($B69, 1000000000000))/1000000000000)=25, CONCATENATE("Person - ", VLOOKUP($B69, [1]DataLookUp!$B$4:$C$2000, 2, FALSE)), IF((($B69 - MOD($B69, 1000000000000))/1000000000000)=124, CONCATENATE("Institution - ", VLOOKUP($B69, '[2]DataLookUp - InstitutionBranch'!$B$4:$C$2000, 2, FALSE)), "")))</f>
        <v>Person - Achmad Yunadi</v>
      </c>
      <c r="D69" s="22">
        <v>223000000000002</v>
      </c>
      <c r="E69" s="40" t="str">
        <f>IF(EXACT($D69, ""), "", VLOOKUP($D69, 'REF - ContactNumberType'!$B$4:$C$10, 2, FALSE))</f>
        <v>Mobile Phone</v>
      </c>
      <c r="F69" s="27" t="s">
        <v>713</v>
      </c>
      <c r="G69" s="9"/>
      <c r="H69" s="9" t="s">
        <v>513</v>
      </c>
      <c r="J69" s="34">
        <f t="shared" si="1"/>
        <v>286000000000066</v>
      </c>
      <c r="K69" s="35" t="str">
        <f t="shared" si="2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'+62 812-9849-4325'::varchar, NULL::varchar, 'Achmad Yunadi'::varchar, '25000000000514'::bigint);</v>
      </c>
    </row>
    <row r="70" spans="2:11" x14ac:dyDescent="0.2">
      <c r="B70" s="22">
        <v>25000000000100</v>
      </c>
      <c r="C70" s="4" t="str">
        <f>IF(EXACT($B70, ""), "", IF((($B70 - MOD($B70, 1000000000000))/1000000000000)=25, CONCATENATE("Person - ", VLOOKUP($B70, [1]DataLookUp!$B$4:$C$2000, 2, FALSE)), IF((($B70 - MOD($B70, 1000000000000))/1000000000000)=124, CONCATENATE("Institution - ", VLOOKUP($B70, '[2]DataLookUp - InstitutionBranch'!$B$4:$C$2000, 2, FALSE)), "")))</f>
        <v>Person - Deny Adi Purnama</v>
      </c>
      <c r="D70" s="22">
        <v>223000000000002</v>
      </c>
      <c r="E70" s="40" t="str">
        <f>IF(EXACT($D70, ""), "", VLOOKUP($D70, 'REF - ContactNumberType'!$B$4:$C$10, 2, FALSE))</f>
        <v>Mobile Phone</v>
      </c>
      <c r="F70" s="27" t="s">
        <v>689</v>
      </c>
      <c r="G70" s="9"/>
      <c r="H70" s="9" t="s">
        <v>99</v>
      </c>
      <c r="J70" s="34">
        <f t="shared" ref="J70:J133" si="3" xml:space="preserve"> J69 + IF(EXACT(K70, ""), 0, 1)</f>
        <v>286000000000067</v>
      </c>
      <c r="K70" s="35" t="str">
        <f t="shared" ref="K70:K133" si="4">IF(EXACT(F70, ""), "", CONCATENATE("PERFORM ""SchData-OLTP-Master"".""Func_TblContactNumber_SET""(varSystemLoginSession::bigint, null::bigint, null::varchar, null::timestamptz, null::timestamptz, null::varchar, varInstitutionBranchID::bigint, varBaseCurrencyID::bigint, ", IF(EXACT($D70, ""), "NULL", ""&amp;$D70&amp;""), "::bigint, ", IF(EXACT($F70, ""), "NULL", "'"&amp;$F70&amp;"'"), "::varchar, ", IF(EXACT($G70, ""), "NULL", "'"&amp;$G70&amp;"'"), "::varchar, ", IF(EXACT($H70, ""), "NULL", "'"&amp;$H70&amp;"'"), "::varchar, ", IF(EXACT($B70, ""), "NULL", "'"&amp;$B70&amp;"'"),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'+62 813-1846-0405'::varchar, NULL::varchar, 'Deny Adi Purnama'::varchar, '25000000000100'::bigint);</v>
      </c>
    </row>
    <row r="71" spans="2:11" x14ac:dyDescent="0.2">
      <c r="B71" s="22">
        <v>25000000000467</v>
      </c>
      <c r="C71" s="4" t="str">
        <f>IF(EXACT($B71, ""), "", IF((($B71 - MOD($B71, 1000000000000))/1000000000000)=25, CONCATENATE("Person - ", VLOOKUP($B71, [1]DataLookUp!$B$4:$C$2000, 2, FALSE)), IF((($B71 - MOD($B71, 1000000000000))/1000000000000)=124, CONCATENATE("Institution - ", VLOOKUP($B71, '[2]DataLookUp - InstitutionBranch'!$B$4:$C$2000, 2, FALSE)), "")))</f>
        <v>Person - Wahyu Ramadhani</v>
      </c>
      <c r="D71" s="22">
        <v>223000000000002</v>
      </c>
      <c r="E71" s="40" t="str">
        <f>IF(EXACT($D71, ""), "", VLOOKUP($D71, 'REF - ContactNumberType'!$B$4:$C$10, 2, FALSE))</f>
        <v>Mobile Phone</v>
      </c>
      <c r="F71" s="27" t="s">
        <v>714</v>
      </c>
      <c r="G71" s="9"/>
      <c r="H71" s="9" t="s">
        <v>466</v>
      </c>
      <c r="J71" s="34">
        <f t="shared" si="3"/>
        <v>286000000000068</v>
      </c>
      <c r="K7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'+62 812-8954-4005'::varchar, NULL::varchar, 'Wahyu Ramadhani'::varchar, '25000000000467'::bigint);</v>
      </c>
    </row>
    <row r="72" spans="2:11" x14ac:dyDescent="0.2">
      <c r="B72" s="22"/>
      <c r="C72" s="4" t="str">
        <f>IF(EXACT($B72, ""), "", IF((($B72 - MOD($B72, 1000000000000))/1000000000000)=25, CONCATENATE("Person - ", VLOOKUP($B72, [1]DataLookUp!$B$4:$C$2000, 2, FALSE)), IF((($B72 - MOD($B72, 1000000000000))/1000000000000)=124, CONCATENATE("Institution - ", VLOOKUP($B72, '[2]DataLookUp - InstitutionBranch'!$B$4:$C$2000, 2, FALSE)), "")))</f>
        <v/>
      </c>
      <c r="D72" s="22">
        <v>223000000000002</v>
      </c>
      <c r="E72" s="40" t="str">
        <f>IF(EXACT($D72, ""), "", VLOOKUP($D72, 'REF - ContactNumberType'!$B$4:$C$10, 2, FALSE))</f>
        <v>Mobile Phone</v>
      </c>
      <c r="F72" s="27" t="s">
        <v>715</v>
      </c>
      <c r="G72" s="9"/>
      <c r="H72" s="9" t="s">
        <v>643</v>
      </c>
      <c r="J72" s="34">
        <f t="shared" si="3"/>
        <v>286000000000069</v>
      </c>
      <c r="K7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'+62 821-3029-5392'::varchar, NULL::varchar, 'Dedi Rohman'::varchar, NULL::bigint);</v>
      </c>
    </row>
    <row r="73" spans="2:11" x14ac:dyDescent="0.2">
      <c r="B73" s="22"/>
      <c r="C73" s="4" t="str">
        <f>IF(EXACT($B73, ""), "", IF((($B73 - MOD($B73, 1000000000000))/1000000000000)=25, CONCATENATE("Person - ", VLOOKUP($B73, [1]DataLookUp!$B$4:$C$2000, 2, FALSE)), IF((($B73 - MOD($B73, 1000000000000))/1000000000000)=124, CONCATENATE("Institution - ", VLOOKUP($B73, '[2]DataLookUp - InstitutionBranch'!$B$4:$C$2000, 2, FALSE)), "")))</f>
        <v/>
      </c>
      <c r="D73" s="22">
        <v>223000000000002</v>
      </c>
      <c r="E73" s="40" t="str">
        <f>IF(EXACT($D73, ""), "", VLOOKUP($D73, 'REF - ContactNumberType'!$B$4:$C$10, 2, FALSE))</f>
        <v>Mobile Phone</v>
      </c>
      <c r="F73" s="27" t="s">
        <v>716</v>
      </c>
      <c r="G73" s="9"/>
      <c r="H73" s="9" t="s">
        <v>644</v>
      </c>
      <c r="J73" s="34">
        <f t="shared" si="3"/>
        <v>286000000000070</v>
      </c>
      <c r="K7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'+62 813-3218-1409'::varchar, NULL::varchar, 'Abd Samad'::varchar, NULL::bigint);</v>
      </c>
    </row>
    <row r="74" spans="2:11" x14ac:dyDescent="0.2">
      <c r="B74" s="22">
        <v>25000000000019</v>
      </c>
      <c r="C74" s="4" t="str">
        <f>IF(EXACT($B74, ""), "", IF((($B74 - MOD($B74, 1000000000000))/1000000000000)=25, CONCATENATE("Person - ", VLOOKUP($B74, [1]DataLookUp!$B$4:$C$2000, 2, FALSE)), IF((($B74 - MOD($B74, 1000000000000))/1000000000000)=124, CONCATENATE("Institution - ", VLOOKUP($B74, '[2]DataLookUp - InstitutionBranch'!$B$4:$C$2000, 2, FALSE)), "")))</f>
        <v>Person - Ahmad Syaifulloh</v>
      </c>
      <c r="D74" s="22">
        <v>223000000000002</v>
      </c>
      <c r="E74" s="40" t="str">
        <f>IF(EXACT($D74, ""), "", VLOOKUP($D74, 'REF - ContactNumberType'!$B$4:$C$10, 2, FALSE))</f>
        <v>Mobile Phone</v>
      </c>
      <c r="F74" s="27" t="s">
        <v>717</v>
      </c>
      <c r="G74" s="9"/>
      <c r="H74" s="9" t="s">
        <v>18</v>
      </c>
      <c r="J74" s="34">
        <f t="shared" si="3"/>
        <v>286000000000071</v>
      </c>
      <c r="K7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'+62 813-8425-5855'::varchar, NULL::varchar, 'Ahmad Syaifulloh'::varchar, '25000000000019'::bigint);</v>
      </c>
    </row>
    <row r="75" spans="2:11" x14ac:dyDescent="0.2">
      <c r="B75" s="22">
        <v>25000000000522</v>
      </c>
      <c r="C75" s="4" t="str">
        <f>IF(EXACT($B75, ""), "", IF((($B75 - MOD($B75, 1000000000000))/1000000000000)=25, CONCATENATE("Person - ", VLOOKUP($B75, [1]DataLookUp!$B$4:$C$2000, 2, FALSE)), IF((($B75 - MOD($B75, 1000000000000))/1000000000000)=124, CONCATENATE("Institution - ", VLOOKUP($B75, '[2]DataLookUp - InstitutionBranch'!$B$4:$C$2000, 2, FALSE)), "")))</f>
        <v>Person - Ferdian Kriswantoro</v>
      </c>
      <c r="D75" s="22">
        <v>223000000000002</v>
      </c>
      <c r="E75" s="40" t="str">
        <f>IF(EXACT($D75, ""), "", VLOOKUP($D75, 'REF - ContactNumberType'!$B$4:$C$10, 2, FALSE))</f>
        <v>Mobile Phone</v>
      </c>
      <c r="F75" s="27" t="s">
        <v>890</v>
      </c>
      <c r="G75" s="9"/>
      <c r="H75" s="9" t="s">
        <v>521</v>
      </c>
      <c r="J75" s="34">
        <f t="shared" si="3"/>
        <v>286000000000072</v>
      </c>
      <c r="K7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'+62 821-1410-0054-5'::varchar, NULL::varchar, 'Ferdian Kriswantoro'::varchar, '25000000000522'::bigint);</v>
      </c>
    </row>
    <row r="76" spans="2:11" x14ac:dyDescent="0.2">
      <c r="B76" s="22">
        <v>25000000000544</v>
      </c>
      <c r="C76" s="4" t="str">
        <f>IF(EXACT($B76, ""), "", IF((($B76 - MOD($B76, 1000000000000))/1000000000000)=25, CONCATENATE("Person - ", VLOOKUP($B76, [1]DataLookUp!$B$4:$C$2000, 2, FALSE)), IF((($B76 - MOD($B76, 1000000000000))/1000000000000)=124, CONCATENATE("Institution - ", VLOOKUP($B76, '[2]DataLookUp - InstitutionBranch'!$B$4:$C$2000, 2, FALSE)), "")))</f>
        <v>Person - Wulanraniasih</v>
      </c>
      <c r="D76" s="22">
        <v>223000000000002</v>
      </c>
      <c r="E76" s="40" t="str">
        <f>IF(EXACT($D76, ""), "", VLOOKUP($D76, 'REF - ContactNumberType'!$B$4:$C$10, 2, FALSE))</f>
        <v>Mobile Phone</v>
      </c>
      <c r="F76" s="27" t="s">
        <v>719</v>
      </c>
      <c r="G76" s="9"/>
      <c r="H76" s="9" t="s">
        <v>543</v>
      </c>
      <c r="J76" s="34">
        <f t="shared" si="3"/>
        <v>286000000000073</v>
      </c>
      <c r="K7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'+62 851-6275-1360'::varchar, NULL::varchar, 'Wulanraniasih'::varchar, '25000000000544'::bigint);</v>
      </c>
    </row>
    <row r="77" spans="2:11" x14ac:dyDescent="0.2">
      <c r="B77" s="22">
        <v>25000000000413</v>
      </c>
      <c r="C77" s="4" t="str">
        <f>IF(EXACT($B77, ""), "", IF((($B77 - MOD($B77, 1000000000000))/1000000000000)=25, CONCATENATE("Person - ", VLOOKUP($B77, [1]DataLookUp!$B$4:$C$2000, 2, FALSE)), IF((($B77 - MOD($B77, 1000000000000))/1000000000000)=124, CONCATENATE("Institution - ", VLOOKUP($B77, '[2]DataLookUp - InstitutionBranch'!$B$4:$C$2000, 2, FALSE)), "")))</f>
        <v>Person - Sufie Amalia</v>
      </c>
      <c r="D77" s="22">
        <v>223000000000002</v>
      </c>
      <c r="E77" s="40" t="str">
        <f>IF(EXACT($D77, ""), "", VLOOKUP($D77, 'REF - ContactNumberType'!$B$4:$C$10, 2, FALSE))</f>
        <v>Mobile Phone</v>
      </c>
      <c r="F77" s="27" t="s">
        <v>720</v>
      </c>
      <c r="G77" s="9"/>
      <c r="H77" s="9" t="s">
        <v>412</v>
      </c>
      <c r="J77" s="34">
        <f t="shared" si="3"/>
        <v>286000000000074</v>
      </c>
      <c r="K7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'+62 856-7500-887'::varchar, NULL::varchar, 'Sufie Amalia'::varchar, '25000000000413'::bigint);</v>
      </c>
    </row>
    <row r="78" spans="2:11" x14ac:dyDescent="0.2">
      <c r="B78" s="22"/>
      <c r="C78" s="4" t="str">
        <f>IF(EXACT($B78, ""), "", IF((($B78 - MOD($B78, 1000000000000))/1000000000000)=25, CONCATENATE("Person - ", VLOOKUP($B78, [1]DataLookUp!$B$4:$C$2000, 2, FALSE)), IF((($B78 - MOD($B78, 1000000000000))/1000000000000)=124, CONCATENATE("Institution - ", VLOOKUP($B78, '[2]DataLookUp - InstitutionBranch'!$B$4:$C$2000, 2, FALSE)), "")))</f>
        <v/>
      </c>
      <c r="D78" s="22">
        <v>223000000000002</v>
      </c>
      <c r="E78" s="40" t="str">
        <f>IF(EXACT($D78, ""), "", VLOOKUP($D78, 'REF - ContactNumberType'!$B$4:$C$10, 2, FALSE))</f>
        <v>Mobile Phone</v>
      </c>
      <c r="F78" s="27" t="s">
        <v>721</v>
      </c>
      <c r="G78" s="9"/>
      <c r="H78" s="9" t="s">
        <v>646</v>
      </c>
      <c r="J78" s="34">
        <f t="shared" si="3"/>
        <v>286000000000075</v>
      </c>
      <c r="K7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'+62 859-5982-2621'::varchar, NULL::varchar, 'Ridha Nauval S'::varchar, NULL::bigint);</v>
      </c>
    </row>
    <row r="79" spans="2:11" x14ac:dyDescent="0.2">
      <c r="B79" s="22">
        <v>25000000000023</v>
      </c>
      <c r="C79" s="4" t="str">
        <f>IF(EXACT($B79, ""), "", IF((($B79 - MOD($B79, 1000000000000))/1000000000000)=25, CONCATENATE("Person - ", VLOOKUP($B79, [1]DataLookUp!$B$4:$C$2000, 2, FALSE)), IF((($B79 - MOD($B79, 1000000000000))/1000000000000)=124, CONCATENATE("Institution - ", VLOOKUP($B79, '[2]DataLookUp - InstitutionBranch'!$B$4:$C$2000, 2, FALSE)), "")))</f>
        <v>Person - Aldi Mulyadi</v>
      </c>
      <c r="D79" s="22">
        <v>223000000000002</v>
      </c>
      <c r="E79" s="40" t="str">
        <f>IF(EXACT($D79, ""), "", VLOOKUP($D79, 'REF - ContactNumberType'!$B$4:$C$10, 2, FALSE))</f>
        <v>Mobile Phone</v>
      </c>
      <c r="F79" s="27" t="s">
        <v>722</v>
      </c>
      <c r="G79" s="9"/>
      <c r="H79" s="9" t="s">
        <v>22</v>
      </c>
      <c r="J79" s="34">
        <f t="shared" si="3"/>
        <v>286000000000076</v>
      </c>
      <c r="K7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'+62 831-1250-5824'::varchar, NULL::varchar, 'Aldi Mulyadi'::varchar, '25000000000023'::bigint);</v>
      </c>
    </row>
    <row r="80" spans="2:11" x14ac:dyDescent="0.2">
      <c r="B80" s="22"/>
      <c r="C80" s="4" t="str">
        <f>IF(EXACT($B80, ""), "", IF((($B80 - MOD($B80, 1000000000000))/1000000000000)=25, CONCATENATE("Person - ", VLOOKUP($B80, [1]DataLookUp!$B$4:$C$2000, 2, FALSE)), IF((($B80 - MOD($B80, 1000000000000))/1000000000000)=124, CONCATENATE("Institution - ", VLOOKUP($B80, '[2]DataLookUp - InstitutionBranch'!$B$4:$C$2000, 2, FALSE)), "")))</f>
        <v/>
      </c>
      <c r="D80" s="22">
        <v>223000000000002</v>
      </c>
      <c r="E80" s="40" t="str">
        <f>IF(EXACT($D80, ""), "", VLOOKUP($D80, 'REF - ContactNumberType'!$B$4:$C$10, 2, FALSE))</f>
        <v>Mobile Phone</v>
      </c>
      <c r="F80" s="27" t="s">
        <v>723</v>
      </c>
      <c r="G80" s="9"/>
      <c r="H80" s="9" t="s">
        <v>648</v>
      </c>
      <c r="J80" s="34">
        <f t="shared" si="3"/>
        <v>286000000000077</v>
      </c>
      <c r="K8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'+62 898-0269-288'::varchar, NULL::varchar, 'Isa Taufik'::varchar, NULL::bigint);</v>
      </c>
    </row>
    <row r="81" spans="2:11" x14ac:dyDescent="0.2">
      <c r="B81" s="22"/>
      <c r="C81" s="4" t="str">
        <f>IF(EXACT($B81, ""), "", IF((($B81 - MOD($B81, 1000000000000))/1000000000000)=25, CONCATENATE("Person - ", VLOOKUP($B81, [1]DataLookUp!$B$4:$C$2000, 2, FALSE)), IF((($B81 - MOD($B81, 1000000000000))/1000000000000)=124, CONCATENATE("Institution - ", VLOOKUP($B81, '[2]DataLookUp - InstitutionBranch'!$B$4:$C$2000, 2, FALSE)), "")))</f>
        <v/>
      </c>
      <c r="D81" s="22">
        <v>223000000000002</v>
      </c>
      <c r="E81" s="40" t="str">
        <f>IF(EXACT($D81, ""), "", VLOOKUP($D81, 'REF - ContactNumberType'!$B$4:$C$10, 2, FALSE))</f>
        <v>Mobile Phone</v>
      </c>
      <c r="F81" s="27" t="s">
        <v>724</v>
      </c>
      <c r="G81" s="9"/>
      <c r="H81" s="9" t="s">
        <v>649</v>
      </c>
      <c r="J81" s="34">
        <f t="shared" si="3"/>
        <v>286000000000078</v>
      </c>
      <c r="K8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'+62 811-1193-9034'::varchar, NULL::varchar, 'Abdul Rachman Nur Hanafi'::varchar, NULL::bigint);</v>
      </c>
    </row>
    <row r="82" spans="2:11" x14ac:dyDescent="0.2">
      <c r="B82" s="22">
        <v>25000000000571</v>
      </c>
      <c r="C82" s="4" t="str">
        <f>IF(EXACT($B82, ""), "", IF((($B82 - MOD($B82, 1000000000000))/1000000000000)=25, CONCATENATE("Person - ", VLOOKUP($B82, [1]DataLookUp!$B$4:$C$2000, 2, FALSE)), IF((($B82 - MOD($B82, 1000000000000))/1000000000000)=124, CONCATENATE("Institution - ", VLOOKUP($B82, '[2]DataLookUp - InstitutionBranch'!$B$4:$C$2000, 2, FALSE)), "")))</f>
        <v>Person - Muhammad Ramadani</v>
      </c>
      <c r="D82" s="22">
        <v>223000000000002</v>
      </c>
      <c r="E82" s="40" t="str">
        <f>IF(EXACT($D82, ""), "", VLOOKUP($D82, 'REF - ContactNumberType'!$B$4:$C$10, 2, FALSE))</f>
        <v>Mobile Phone</v>
      </c>
      <c r="F82" s="27" t="s">
        <v>725</v>
      </c>
      <c r="G82" s="9"/>
      <c r="H82" s="9" t="s">
        <v>570</v>
      </c>
      <c r="J82" s="34">
        <f t="shared" si="3"/>
        <v>286000000000079</v>
      </c>
      <c r="K8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'+62 877-4832-9110'::varchar, NULL::varchar, 'Muhammad Ramadani'::varchar, '25000000000571'::bigint);</v>
      </c>
    </row>
    <row r="83" spans="2:11" x14ac:dyDescent="0.2">
      <c r="B83" s="22">
        <v>25000000000547</v>
      </c>
      <c r="C83" s="4" t="str">
        <f>IF(EXACT($B83, ""), "", IF((($B83 - MOD($B83, 1000000000000))/1000000000000)=25, CONCATENATE("Person - ", VLOOKUP($B83, [1]DataLookUp!$B$4:$C$2000, 2, FALSE)), IF((($B83 - MOD($B83, 1000000000000))/1000000000000)=124, CONCATENATE("Institution - ", VLOOKUP($B83, '[2]DataLookUp - InstitutionBranch'!$B$4:$C$2000, 2, FALSE)), "")))</f>
        <v>Person - Zeinurani</v>
      </c>
      <c r="D83" s="22">
        <v>223000000000002</v>
      </c>
      <c r="E83" s="40" t="str">
        <f>IF(EXACT($D83, ""), "", VLOOKUP($D83, 'REF - ContactNumberType'!$B$4:$C$10, 2, FALSE))</f>
        <v>Mobile Phone</v>
      </c>
      <c r="F83" s="27" t="s">
        <v>726</v>
      </c>
      <c r="G83" s="9"/>
      <c r="H83" s="9" t="s">
        <v>546</v>
      </c>
      <c r="J83" s="34">
        <f t="shared" si="3"/>
        <v>286000000000080</v>
      </c>
      <c r="K8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'+62 812-8084-0848'::varchar, NULL::varchar, 'Zeinurani'::varchar, '25000000000547'::bigint);</v>
      </c>
    </row>
    <row r="84" spans="2:11" x14ac:dyDescent="0.2">
      <c r="B84" s="22"/>
      <c r="C84" s="4" t="str">
        <f>IF(EXACT($B84, ""), "", IF((($B84 - MOD($B84, 1000000000000))/1000000000000)=25, CONCATENATE("Person - ", VLOOKUP($B84, [1]DataLookUp!$B$4:$C$2000, 2, FALSE)), IF((($B84 - MOD($B84, 1000000000000))/1000000000000)=124, CONCATENATE("Institution - ", VLOOKUP($B84, '[2]DataLookUp - InstitutionBranch'!$B$4:$C$2000, 2, FALSE)), "")))</f>
        <v/>
      </c>
      <c r="D84" s="22">
        <v>223000000000002</v>
      </c>
      <c r="E84" s="40" t="str">
        <f>IF(EXACT($D84, ""), "", VLOOKUP($D84, 'REF - ContactNumberType'!$B$4:$C$10, 2, FALSE))</f>
        <v>Mobile Phone</v>
      </c>
      <c r="F84" s="27" t="s">
        <v>727</v>
      </c>
      <c r="G84" s="9"/>
      <c r="H84" s="9" t="s">
        <v>650</v>
      </c>
      <c r="J84" s="34">
        <f t="shared" si="3"/>
        <v>286000000000081</v>
      </c>
      <c r="K8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'+62 823-3546-1142'::varchar, NULL::varchar, 'Satrio Dhiaputra Prayudi'::varchar, NULL::bigint);</v>
      </c>
    </row>
    <row r="85" spans="2:11" x14ac:dyDescent="0.2">
      <c r="B85" s="22">
        <v>25000000000044</v>
      </c>
      <c r="C85" s="4" t="str">
        <f>IF(EXACT($B85, ""), "", IF((($B85 - MOD($B85, 1000000000000))/1000000000000)=25, CONCATENATE("Person - ", VLOOKUP($B85, [1]DataLookUp!$B$4:$C$2000, 2, FALSE)), IF((($B85 - MOD($B85, 1000000000000))/1000000000000)=124, CONCATENATE("Institution - ", VLOOKUP($B85, '[2]DataLookUp - InstitutionBranch'!$B$4:$C$2000, 2, FALSE)), "")))</f>
        <v>Person - Anugerah Januariansyah</v>
      </c>
      <c r="D85" s="22">
        <v>223000000000002</v>
      </c>
      <c r="E85" s="40" t="str">
        <f>IF(EXACT($D85, ""), "", VLOOKUP($D85, 'REF - ContactNumberType'!$B$4:$C$10, 2, FALSE))</f>
        <v>Mobile Phone</v>
      </c>
      <c r="F85" s="27" t="s">
        <v>728</v>
      </c>
      <c r="G85" s="9"/>
      <c r="H85" s="9" t="s">
        <v>43</v>
      </c>
      <c r="J85" s="34">
        <f t="shared" si="3"/>
        <v>286000000000082</v>
      </c>
      <c r="K8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'+62 857-4382-5555'::varchar, NULL::varchar, 'Anugerah Januariansyah'::varchar, '25000000000044'::bigint);</v>
      </c>
    </row>
    <row r="86" spans="2:11" x14ac:dyDescent="0.2">
      <c r="B86" s="22">
        <v>25000000000600</v>
      </c>
      <c r="C86" s="4" t="str">
        <f>IF(EXACT($B86, ""), "", IF((($B86 - MOD($B86, 1000000000000))/1000000000000)=25, CONCATENATE("Person - ", VLOOKUP($B86, [1]DataLookUp!$B$4:$C$2000, 2, FALSE)), IF((($B86 - MOD($B86, 1000000000000))/1000000000000)=124, CONCATENATE("Institution - ", VLOOKUP($B86, '[2]DataLookUp - InstitutionBranch'!$B$4:$C$2000, 2, FALSE)), "")))</f>
        <v>Person - Kiki Prasetyo</v>
      </c>
      <c r="D86" s="22">
        <v>223000000000002</v>
      </c>
      <c r="E86" s="40" t="str">
        <f>IF(EXACT($D86, ""), "", VLOOKUP($D86, 'REF - ContactNumberType'!$B$4:$C$10, 2, FALSE))</f>
        <v>Mobile Phone</v>
      </c>
      <c r="F86" s="27" t="s">
        <v>729</v>
      </c>
      <c r="G86" s="9"/>
      <c r="H86" s="9" t="s">
        <v>599</v>
      </c>
      <c r="J86" s="34">
        <f t="shared" si="3"/>
        <v>286000000000083</v>
      </c>
      <c r="K8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'+62 812-1015-216'::varchar, NULL::varchar, 'Kiki Prasetyo'::varchar, '25000000000600'::bigint);</v>
      </c>
    </row>
    <row r="87" spans="2:11" x14ac:dyDescent="0.2">
      <c r="B87" s="22">
        <v>25000000000273</v>
      </c>
      <c r="C87" s="4" t="str">
        <f>IF(EXACT($B87, ""), "", IF((($B87 - MOD($B87, 1000000000000))/1000000000000)=25, CONCATENATE("Person - ", VLOOKUP($B87, [1]DataLookUp!$B$4:$C$2000, 2, FALSE)), IF((($B87 - MOD($B87, 1000000000000))/1000000000000)=124, CONCATENATE("Institution - ", VLOOKUP($B87, '[2]DataLookUp - InstitutionBranch'!$B$4:$C$2000, 2, FALSE)), "")))</f>
        <v>Person - Pantas Banjarnahor Marbun</v>
      </c>
      <c r="D87" s="22">
        <v>223000000000002</v>
      </c>
      <c r="E87" s="40" t="str">
        <f>IF(EXACT($D87, ""), "", VLOOKUP($D87, 'REF - ContactNumberType'!$B$4:$C$10, 2, FALSE))</f>
        <v>Mobile Phone</v>
      </c>
      <c r="F87" s="27" t="s">
        <v>730</v>
      </c>
      <c r="G87" s="9"/>
      <c r="H87" s="9" t="s">
        <v>272</v>
      </c>
      <c r="J87" s="34">
        <f t="shared" si="3"/>
        <v>286000000000084</v>
      </c>
      <c r="K8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'+62 813-7544-0999'::varchar, NULL::varchar, 'Pantas Banjarnahor Marbun'::varchar, '25000000000273'::bigint);</v>
      </c>
    </row>
    <row r="88" spans="2:11" x14ac:dyDescent="0.2">
      <c r="B88" s="22">
        <v>25000000000587</v>
      </c>
      <c r="C88" s="4" t="str">
        <f>IF(EXACT($B88, ""), "", IF((($B88 - MOD($B88, 1000000000000))/1000000000000)=25, CONCATENATE("Person - ", VLOOKUP($B88, [1]DataLookUp!$B$4:$C$2000, 2, FALSE)), IF((($B88 - MOD($B88, 1000000000000))/1000000000000)=124, CONCATENATE("Institution - ", VLOOKUP($B88, '[2]DataLookUp - InstitutionBranch'!$B$4:$C$2000, 2, FALSE)), "")))</f>
        <v>Person - Firmansyah Awaludin</v>
      </c>
      <c r="D88" s="22">
        <v>223000000000002</v>
      </c>
      <c r="E88" s="40" t="str">
        <f>IF(EXACT($D88, ""), "", VLOOKUP($D88, 'REF - ContactNumberType'!$B$4:$C$10, 2, FALSE))</f>
        <v>Mobile Phone</v>
      </c>
      <c r="F88" s="27" t="s">
        <v>731</v>
      </c>
      <c r="G88" s="9"/>
      <c r="H88" s="9" t="s">
        <v>586</v>
      </c>
      <c r="J88" s="34">
        <f t="shared" si="3"/>
        <v>286000000000085</v>
      </c>
      <c r="K8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'+62 812-1320-5160'::varchar, NULL::varchar, 'Firmansyah Awaludin'::varchar, '25000000000587'::bigint);</v>
      </c>
    </row>
    <row r="89" spans="2:11" x14ac:dyDescent="0.2">
      <c r="B89" s="22">
        <v>25000000000589</v>
      </c>
      <c r="C89" s="4" t="str">
        <f>IF(EXACT($B89, ""), "", IF((($B89 - MOD($B89, 1000000000000))/1000000000000)=25, CONCATENATE("Person - ", VLOOKUP($B89, [1]DataLookUp!$B$4:$C$2000, 2, FALSE)), IF((($B89 - MOD($B89, 1000000000000))/1000000000000)=124, CONCATENATE("Institution - ", VLOOKUP($B89, '[2]DataLookUp - InstitutionBranch'!$B$4:$C$2000, 2, FALSE)), "")))</f>
        <v>Person - Muhammad Irfan Alfikri Rayana</v>
      </c>
      <c r="D89" s="22">
        <v>223000000000002</v>
      </c>
      <c r="E89" s="40" t="str">
        <f>IF(EXACT($D89, ""), "", VLOOKUP($D89, 'REF - ContactNumberType'!$B$4:$C$10, 2, FALSE))</f>
        <v>Mobile Phone</v>
      </c>
      <c r="F89" s="27" t="s">
        <v>732</v>
      </c>
      <c r="G89" s="9"/>
      <c r="H89" s="9" t="s">
        <v>588</v>
      </c>
      <c r="J89" s="34">
        <f t="shared" si="3"/>
        <v>286000000000086</v>
      </c>
      <c r="K8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'+62 813-68061116'::varchar, NULL::varchar, 'Muhammad Irfan Alfikri Rayana'::varchar, '25000000000589'::bigint);</v>
      </c>
    </row>
    <row r="90" spans="2:11" x14ac:dyDescent="0.2">
      <c r="B90" s="22">
        <v>25000000000428</v>
      </c>
      <c r="C90" s="4" t="str">
        <f>IF(EXACT($B90, ""), "", IF((($B90 - MOD($B90, 1000000000000))/1000000000000)=25, CONCATENATE("Person - ", VLOOKUP($B90, [1]DataLookUp!$B$4:$C$2000, 2, FALSE)), IF((($B90 - MOD($B90, 1000000000000))/1000000000000)=124, CONCATENATE("Institution - ", VLOOKUP($B90, '[2]DataLookUp - InstitutionBranch'!$B$4:$C$2000, 2, FALSE)), "")))</f>
        <v>Person - Suyanto</v>
      </c>
      <c r="D90" s="22">
        <v>223000000000002</v>
      </c>
      <c r="E90" s="40" t="str">
        <f>IF(EXACT($D90, ""), "", VLOOKUP($D90, 'REF - ContactNumberType'!$B$4:$C$10, 2, FALSE))</f>
        <v>Mobile Phone</v>
      </c>
      <c r="F90" s="27" t="s">
        <v>733</v>
      </c>
      <c r="G90" s="9"/>
      <c r="H90" s="9" t="s">
        <v>427</v>
      </c>
      <c r="J90" s="34">
        <f t="shared" si="3"/>
        <v>286000000000087</v>
      </c>
      <c r="K9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'+62 838-2329-6661'::varchar, NULL::varchar, 'Suyanto'::varchar, '25000000000428'::bigint);</v>
      </c>
    </row>
    <row r="91" spans="2:11" x14ac:dyDescent="0.2">
      <c r="B91" s="22"/>
      <c r="C91" s="4" t="str">
        <f>IF(EXACT($B91, ""), "", IF((($B91 - MOD($B91, 1000000000000))/1000000000000)=25, CONCATENATE("Person - ", VLOOKUP($B91, [1]DataLookUp!$B$4:$C$2000, 2, FALSE)), IF((($B91 - MOD($B91, 1000000000000))/1000000000000)=124, CONCATENATE("Institution - ", VLOOKUP($B91, '[2]DataLookUp - InstitutionBranch'!$B$4:$C$2000, 2, FALSE)), "")))</f>
        <v/>
      </c>
      <c r="D91" s="22">
        <v>223000000000002</v>
      </c>
      <c r="E91" s="40" t="str">
        <f>IF(EXACT($D91, ""), "", VLOOKUP($D91, 'REF - ContactNumberType'!$B$4:$C$10, 2, FALSE))</f>
        <v>Mobile Phone</v>
      </c>
      <c r="F91" s="27" t="s">
        <v>736</v>
      </c>
      <c r="G91" s="9"/>
      <c r="H91" s="9" t="s">
        <v>889</v>
      </c>
      <c r="J91" s="34">
        <f t="shared" si="3"/>
        <v>286000000000088</v>
      </c>
      <c r="K9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'+62 817-4941-066'::varchar, NULL::varchar, 'Anna S. Haryadi'::varchar, NULL::bigint);</v>
      </c>
    </row>
    <row r="92" spans="2:11" x14ac:dyDescent="0.2">
      <c r="B92" s="22">
        <v>25000000000252</v>
      </c>
      <c r="C92" s="4" t="str">
        <f>IF(EXACT($B92, ""), "", IF((($B92 - MOD($B92, 1000000000000))/1000000000000)=25, CONCATENATE("Person - ", VLOOKUP($B92, [1]DataLookUp!$B$4:$C$2000, 2, FALSE)), IF((($B92 - MOD($B92, 1000000000000))/1000000000000)=124, CONCATENATE("Institution - ", VLOOKUP($B92, '[2]DataLookUp - InstitutionBranch'!$B$4:$C$2000, 2, FALSE)), "")))</f>
        <v>Person - Kiki Mustikawati</v>
      </c>
      <c r="D92" s="22">
        <v>223000000000002</v>
      </c>
      <c r="E92" s="40" t="str">
        <f>IF(EXACT($D92, ""), "", VLOOKUP($D92, 'REF - ContactNumberType'!$B$4:$C$10, 2, FALSE))</f>
        <v>Mobile Phone</v>
      </c>
      <c r="F92" s="27" t="s">
        <v>737</v>
      </c>
      <c r="G92" s="9"/>
      <c r="H92" s="9" t="s">
        <v>251</v>
      </c>
      <c r="J92" s="34">
        <f t="shared" si="3"/>
        <v>286000000000089</v>
      </c>
      <c r="K9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'+62 815-1420-0068'::varchar, NULL::varchar, 'Kiki Mustikawati'::varchar, '25000000000252'::bigint);</v>
      </c>
    </row>
    <row r="93" spans="2:11" x14ac:dyDescent="0.2">
      <c r="B93" s="22">
        <v>25000000000235</v>
      </c>
      <c r="C93" s="4" t="str">
        <f>IF(EXACT($B93, ""), "", IF((($B93 - MOD($B93, 1000000000000))/1000000000000)=25, CONCATENATE("Person - ", VLOOKUP($B93, [1]DataLookUp!$B$4:$C$2000, 2, FALSE)), IF((($B93 - MOD($B93, 1000000000000))/1000000000000)=124, CONCATENATE("Institution - ", VLOOKUP($B93, '[2]DataLookUp - InstitutionBranch'!$B$4:$C$2000, 2, FALSE)), "")))</f>
        <v>Person - Joko Wiyono</v>
      </c>
      <c r="D93" s="22">
        <v>223000000000002</v>
      </c>
      <c r="E93" s="40" t="str">
        <f>IF(EXACT($D93, ""), "", VLOOKUP($D93, 'REF - ContactNumberType'!$B$4:$C$10, 2, FALSE))</f>
        <v>Mobile Phone</v>
      </c>
      <c r="F93" s="27" t="s">
        <v>754</v>
      </c>
      <c r="G93" s="9"/>
      <c r="H93" s="9" t="s">
        <v>234</v>
      </c>
      <c r="J93" s="34">
        <f t="shared" si="3"/>
        <v>286000000000090</v>
      </c>
      <c r="K9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'+62 896-9470-0522'::varchar, NULL::varchar, 'Joko Wiyono'::varchar, '25000000000235'::bigint);</v>
      </c>
    </row>
    <row r="94" spans="2:11" x14ac:dyDescent="0.2">
      <c r="B94" s="22">
        <v>25000000000287</v>
      </c>
      <c r="C94" s="4" t="str">
        <f>IF(EXACT($B94, ""), "", IF((($B94 - MOD($B94, 1000000000000))/1000000000000)=25, CONCATENATE("Person - ", VLOOKUP($B94, [1]DataLookUp!$B$4:$C$2000, 2, FALSE)), IF((($B94 - MOD($B94, 1000000000000))/1000000000000)=124, CONCATENATE("Institution - ", VLOOKUP($B94, '[2]DataLookUp - InstitutionBranch'!$B$4:$C$2000, 2, FALSE)), "")))</f>
        <v>Person - Mochamad Samman</v>
      </c>
      <c r="D94" s="22">
        <v>223000000000002</v>
      </c>
      <c r="E94" s="40" t="str">
        <f>IF(EXACT($D94, ""), "", VLOOKUP($D94, 'REF - ContactNumberType'!$B$4:$C$10, 2, FALSE))</f>
        <v>Mobile Phone</v>
      </c>
      <c r="F94" s="27" t="s">
        <v>755</v>
      </c>
      <c r="G94" s="9"/>
      <c r="H94" s="9" t="s">
        <v>286</v>
      </c>
      <c r="J94" s="34">
        <f t="shared" si="3"/>
        <v>286000000000091</v>
      </c>
      <c r="K9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'+62 857-7788-4428'::varchar, NULL::varchar, 'Mochamad Samman'::varchar, '25000000000287'::bigint);</v>
      </c>
    </row>
    <row r="95" spans="2:11" x14ac:dyDescent="0.2">
      <c r="B95" s="22">
        <v>25000000000002</v>
      </c>
      <c r="C95" s="4" t="str">
        <f>IF(EXACT($B95, ""), "", IF((($B95 - MOD($B95, 1000000000000))/1000000000000)=25, CONCATENATE("Person - ", VLOOKUP($B95, [1]DataLookUp!$B$4:$C$2000, 2, FALSE)), IF((($B95 - MOD($B95, 1000000000000))/1000000000000)=124, CONCATENATE("Institution - ", VLOOKUP($B95, '[2]DataLookUp - InstitutionBranch'!$B$4:$C$2000, 2, FALSE)), "")))</f>
        <v>Person - Abdul Karim</v>
      </c>
      <c r="D95" s="22">
        <v>223000000000002</v>
      </c>
      <c r="E95" s="40" t="str">
        <f>IF(EXACT($D95, ""), "", VLOOKUP($D95, 'REF - ContactNumberType'!$B$4:$C$10, 2, FALSE))</f>
        <v>Mobile Phone</v>
      </c>
      <c r="F95" s="27" t="s">
        <v>756</v>
      </c>
      <c r="G95" s="9"/>
      <c r="H95" s="9" t="s">
        <v>1</v>
      </c>
      <c r="J95" s="34">
        <f t="shared" si="3"/>
        <v>286000000000092</v>
      </c>
      <c r="K9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'+62 812-1361-2811'::varchar, NULL::varchar, 'Abdul Karim'::varchar, '25000000000002'::bigint);</v>
      </c>
    </row>
    <row r="96" spans="2:11" x14ac:dyDescent="0.2">
      <c r="B96" s="22">
        <v>25000000000343</v>
      </c>
      <c r="C96" s="4" t="str">
        <f>IF(EXACT($B96, ""), "", IF((($B96 - MOD($B96, 1000000000000))/1000000000000)=25, CONCATENATE("Person - ", VLOOKUP($B96, [1]DataLookUp!$B$4:$C$2000, 2, FALSE)), IF((($B96 - MOD($B96, 1000000000000))/1000000000000)=124, CONCATENATE("Institution - ", VLOOKUP($B96, '[2]DataLookUp - InstitutionBranch'!$B$4:$C$2000, 2, FALSE)), "")))</f>
        <v>Person - Rangga Darmawan</v>
      </c>
      <c r="D96" s="22">
        <v>223000000000002</v>
      </c>
      <c r="E96" s="40" t="str">
        <f>IF(EXACT($D96, ""), "", VLOOKUP($D96, 'REF - ContactNumberType'!$B$4:$C$10, 2, FALSE))</f>
        <v>Mobile Phone</v>
      </c>
      <c r="F96" s="27" t="s">
        <v>757</v>
      </c>
      <c r="G96" s="9"/>
      <c r="H96" s="9" t="s">
        <v>342</v>
      </c>
      <c r="J96" s="34">
        <f t="shared" si="3"/>
        <v>286000000000093</v>
      </c>
      <c r="K9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'+62 895-1078-0429'::varchar, NULL::varchar, 'Rangga Darmawan'::varchar, '25000000000343'::bigint);</v>
      </c>
    </row>
    <row r="97" spans="2:11" x14ac:dyDescent="0.2">
      <c r="B97" s="22"/>
      <c r="C97" s="4" t="str">
        <f>IF(EXACT($B97, ""), "", IF((($B97 - MOD($B97, 1000000000000))/1000000000000)=25, CONCATENATE("Person - ", VLOOKUP($B97, [1]DataLookUp!$B$4:$C$2000, 2, FALSE)), IF((($B97 - MOD($B97, 1000000000000))/1000000000000)=124, CONCATENATE("Institution - ", VLOOKUP($B97, '[2]DataLookUp - InstitutionBranch'!$B$4:$C$2000, 2, FALSE)), "")))</f>
        <v/>
      </c>
      <c r="D97" s="22">
        <v>223000000000002</v>
      </c>
      <c r="E97" s="40" t="str">
        <f>IF(EXACT($D97, ""), "", VLOOKUP($D97, 'REF - ContactNumberType'!$B$4:$C$10, 2, FALSE))</f>
        <v>Mobile Phone</v>
      </c>
      <c r="F97" s="27" t="s">
        <v>758</v>
      </c>
      <c r="G97" s="9"/>
      <c r="H97" s="9" t="s">
        <v>744</v>
      </c>
      <c r="J97" s="34">
        <f t="shared" si="3"/>
        <v>286000000000094</v>
      </c>
      <c r="K9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'+62 813-1713-1650'::varchar, NULL::varchar, 'Dwi Kristianto'::varchar, NULL::bigint);</v>
      </c>
    </row>
    <row r="98" spans="2:11" x14ac:dyDescent="0.2">
      <c r="B98" s="22"/>
      <c r="C98" s="4" t="str">
        <f>IF(EXACT($B98, ""), "", IF((($B98 - MOD($B98, 1000000000000))/1000000000000)=25, CONCATENATE("Person - ", VLOOKUP($B98, [1]DataLookUp!$B$4:$C$2000, 2, FALSE)), IF((($B98 - MOD($B98, 1000000000000))/1000000000000)=124, CONCATENATE("Institution - ", VLOOKUP($B98, '[2]DataLookUp - InstitutionBranch'!$B$4:$C$2000, 2, FALSE)), "")))</f>
        <v/>
      </c>
      <c r="D98" s="22">
        <v>223000000000002</v>
      </c>
      <c r="E98" s="40" t="str">
        <f>IF(EXACT($D98, ""), "", VLOOKUP($D98, 'REF - ContactNumberType'!$B$4:$C$10, 2, FALSE))</f>
        <v>Mobile Phone</v>
      </c>
      <c r="F98" s="27" t="s">
        <v>759</v>
      </c>
      <c r="G98" s="9"/>
      <c r="H98" s="9" t="s">
        <v>745</v>
      </c>
      <c r="J98" s="34">
        <f t="shared" si="3"/>
        <v>286000000000095</v>
      </c>
      <c r="K9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'+62 813-6191-3004'::varchar, NULL::varchar, 'Jusuf Gandi Lumban Tobing'::varchar, NULL::bigint);</v>
      </c>
    </row>
    <row r="99" spans="2:11" x14ac:dyDescent="0.2">
      <c r="B99" s="22"/>
      <c r="C99" s="4" t="str">
        <f>IF(EXACT($B99, ""), "", IF((($B99 - MOD($B99, 1000000000000))/1000000000000)=25, CONCATENATE("Person - ", VLOOKUP($B99, [1]DataLookUp!$B$4:$C$2000, 2, FALSE)), IF((($B99 - MOD($B99, 1000000000000))/1000000000000)=124, CONCATENATE("Institution - ", VLOOKUP($B99, '[2]DataLookUp - InstitutionBranch'!$B$4:$C$2000, 2, FALSE)), "")))</f>
        <v/>
      </c>
      <c r="D99" s="22">
        <v>223000000000002</v>
      </c>
      <c r="E99" s="40" t="str">
        <f>IF(EXACT($D99, ""), "", VLOOKUP($D99, 'REF - ContactNumberType'!$B$4:$C$10, 2, FALSE))</f>
        <v>Mobile Phone</v>
      </c>
      <c r="F99" s="27" t="s">
        <v>760</v>
      </c>
      <c r="G99" s="9"/>
      <c r="H99" s="9" t="s">
        <v>746</v>
      </c>
      <c r="J99" s="34">
        <f t="shared" si="3"/>
        <v>286000000000096</v>
      </c>
      <c r="K9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'+62 813-1942-6812'::varchar, NULL::varchar, 'Herman'::varchar, NULL::bigint);</v>
      </c>
    </row>
    <row r="100" spans="2:11" x14ac:dyDescent="0.2">
      <c r="B100" s="22">
        <v>25000000000282</v>
      </c>
      <c r="C100" s="4" t="str">
        <f>IF(EXACT($B100, ""), "", IF((($B100 - MOD($B100, 1000000000000))/1000000000000)=25, CONCATENATE("Person - ", VLOOKUP($B100, [1]DataLookUp!$B$4:$C$2000, 2, FALSE)), IF((($B100 - MOD($B100, 1000000000000))/1000000000000)=124, CONCATENATE("Institution - ", VLOOKUP($B100, '[2]DataLookUp - InstitutionBranch'!$B$4:$C$2000, 2, FALSE)), "")))</f>
        <v>Person - Mhd Syahputra</v>
      </c>
      <c r="D100" s="22">
        <v>223000000000002</v>
      </c>
      <c r="E100" s="40" t="str">
        <f>IF(EXACT($D100, ""), "", VLOOKUP($D100, 'REF - ContactNumberType'!$B$4:$C$10, 2, FALSE))</f>
        <v>Mobile Phone</v>
      </c>
      <c r="F100" s="27" t="s">
        <v>761</v>
      </c>
      <c r="G100" s="9"/>
      <c r="H100" s="9" t="s">
        <v>281</v>
      </c>
      <c r="J100" s="34">
        <f t="shared" si="3"/>
        <v>286000000000097</v>
      </c>
      <c r="K10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'+62 821-6221-3821'::varchar, NULL::varchar, 'Mhd Syahputra'::varchar, '25000000000282'::bigint);</v>
      </c>
    </row>
    <row r="101" spans="2:11" x14ac:dyDescent="0.2">
      <c r="B101" s="22">
        <v>25000000000178</v>
      </c>
      <c r="C101" s="4" t="str">
        <f>IF(EXACT($B101, ""), "", IF((($B101 - MOD($B101, 1000000000000))/1000000000000)=25, CONCATENATE("Person - ", VLOOKUP($B101, [1]DataLookUp!$B$4:$C$2000, 2, FALSE)), IF((($B101 - MOD($B101, 1000000000000))/1000000000000)=124, CONCATENATE("Institution - ", VLOOKUP($B101, '[2]DataLookUp - InstitutionBranch'!$B$4:$C$2000, 2, FALSE)), "")))</f>
        <v>Person - Harlen Amudi Purba</v>
      </c>
      <c r="D101" s="22">
        <v>223000000000002</v>
      </c>
      <c r="E101" s="40" t="str">
        <f>IF(EXACT($D101, ""), "", VLOOKUP($D101, 'REF - ContactNumberType'!$B$4:$C$10, 2, FALSE))</f>
        <v>Mobile Phone</v>
      </c>
      <c r="F101" s="27" t="s">
        <v>762</v>
      </c>
      <c r="G101" s="9"/>
      <c r="H101" s="9" t="s">
        <v>177</v>
      </c>
      <c r="J101" s="34">
        <f t="shared" si="3"/>
        <v>286000000000098</v>
      </c>
      <c r="K10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'+62 823-6942-8777'::varchar, NULL::varchar, 'Harlen Amudi Purba'::varchar, '25000000000178'::bigint);</v>
      </c>
    </row>
    <row r="102" spans="2:11" x14ac:dyDescent="0.2">
      <c r="B102" s="22"/>
      <c r="C102" s="4" t="str">
        <f>IF(EXACT($B102, ""), "", IF((($B102 - MOD($B102, 1000000000000))/1000000000000)=25, CONCATENATE("Person - ", VLOOKUP($B102, [1]DataLookUp!$B$4:$C$2000, 2, FALSE)), IF((($B102 - MOD($B102, 1000000000000))/1000000000000)=124, CONCATENATE("Institution - ", VLOOKUP($B102, '[2]DataLookUp - InstitutionBranch'!$B$4:$C$2000, 2, FALSE)), "")))</f>
        <v/>
      </c>
      <c r="D102" s="22">
        <v>223000000000002</v>
      </c>
      <c r="E102" s="40" t="str">
        <f>IF(EXACT($D102, ""), "", VLOOKUP($D102, 'REF - ContactNumberType'!$B$4:$C$10, 2, FALSE))</f>
        <v>Mobile Phone</v>
      </c>
      <c r="F102" s="27" t="s">
        <v>763</v>
      </c>
      <c r="G102" s="9"/>
      <c r="H102" s="9" t="s">
        <v>747</v>
      </c>
      <c r="J102" s="34">
        <f t="shared" si="3"/>
        <v>286000000000099</v>
      </c>
      <c r="K10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'+62 856-0933-4286'::varchar, NULL::varchar, 'M Ridho Pramudia'::varchar, NULL::bigint);</v>
      </c>
    </row>
    <row r="103" spans="2:11" x14ac:dyDescent="0.2">
      <c r="B103" s="22">
        <v>25000000000125</v>
      </c>
      <c r="C103" s="4" t="str">
        <f>IF(EXACT($B103, ""), "", IF((($B103 - MOD($B103, 1000000000000))/1000000000000)=25, CONCATENATE("Person - ", VLOOKUP($B103, [1]DataLookUp!$B$4:$C$2000, 2, FALSE)), IF((($B103 - MOD($B103, 1000000000000))/1000000000000)=124, CONCATENATE("Institution - ", VLOOKUP($B103, '[2]DataLookUp - InstitutionBranch'!$B$4:$C$2000, 2, FALSE)), "")))</f>
        <v>Person - Eka Purwanti</v>
      </c>
      <c r="D103" s="22">
        <v>223000000000002</v>
      </c>
      <c r="E103" s="40" t="str">
        <f>IF(EXACT($D103, ""), "", VLOOKUP($D103, 'REF - ContactNumberType'!$B$4:$C$10, 2, FALSE))</f>
        <v>Mobile Phone</v>
      </c>
      <c r="F103" s="27" t="s">
        <v>764</v>
      </c>
      <c r="G103" s="9"/>
      <c r="H103" s="9" t="s">
        <v>124</v>
      </c>
      <c r="J103" s="34">
        <f t="shared" si="3"/>
        <v>286000000000100</v>
      </c>
      <c r="K10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'+62 878-8167-4480'::varchar, NULL::varchar, 'Eka Purwanti'::varchar, '25000000000125'::bigint);</v>
      </c>
    </row>
    <row r="104" spans="2:11" x14ac:dyDescent="0.2">
      <c r="B104" s="22">
        <v>25000000000255</v>
      </c>
      <c r="C104" s="4" t="str">
        <f>IF(EXACT($B104, ""), "", IF((($B104 - MOD($B104, 1000000000000))/1000000000000)=25, CONCATENATE("Person - ", VLOOKUP($B104, [1]DataLookUp!$B$4:$C$2000, 2, FALSE)), IF((($B104 - MOD($B104, 1000000000000))/1000000000000)=124, CONCATENATE("Institution - ", VLOOKUP($B104, '[2]DataLookUp - InstitutionBranch'!$B$4:$C$2000, 2, FALSE)), "")))</f>
        <v>Person - Krisnawan</v>
      </c>
      <c r="D104" s="22">
        <v>223000000000002</v>
      </c>
      <c r="E104" s="40" t="str">
        <f>IF(EXACT($D104, ""), "", VLOOKUP($D104, 'REF - ContactNumberType'!$B$4:$C$10, 2, FALSE))</f>
        <v>Mobile Phone</v>
      </c>
      <c r="F104" s="27" t="s">
        <v>765</v>
      </c>
      <c r="G104" s="9"/>
      <c r="H104" s="9" t="s">
        <v>254</v>
      </c>
      <c r="J104" s="34">
        <f t="shared" si="3"/>
        <v>286000000000101</v>
      </c>
      <c r="K10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'+62 811-133-616'::varchar, NULL::varchar, 'Krisnawan'::varchar, '25000000000255'::bigint);</v>
      </c>
    </row>
    <row r="105" spans="2:11" x14ac:dyDescent="0.2">
      <c r="B105" s="22">
        <v>25000000000150</v>
      </c>
      <c r="C105" s="4" t="str">
        <f>IF(EXACT($B105, ""), "", IF((($B105 - MOD($B105, 1000000000000))/1000000000000)=25, CONCATENATE("Person - ", VLOOKUP($B105, [1]DataLookUp!$B$4:$C$2000, 2, FALSE)), IF((($B105 - MOD($B105, 1000000000000))/1000000000000)=124, CONCATENATE("Institution - ", VLOOKUP($B105, '[2]DataLookUp - InstitutionBranch'!$B$4:$C$2000, 2, FALSE)), "")))</f>
        <v>Person - Febryan Mahsyar</v>
      </c>
      <c r="D105" s="22">
        <v>223000000000002</v>
      </c>
      <c r="E105" s="40" t="str">
        <f>IF(EXACT($D105, ""), "", VLOOKUP($D105, 'REF - ContactNumberType'!$B$4:$C$10, 2, FALSE))</f>
        <v>Mobile Phone</v>
      </c>
      <c r="F105" s="27" t="s">
        <v>766</v>
      </c>
      <c r="G105" s="9"/>
      <c r="H105" s="9" t="s">
        <v>149</v>
      </c>
      <c r="J105" s="34">
        <f t="shared" si="3"/>
        <v>286000000000102</v>
      </c>
      <c r="K10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'+62 895-0210-7482'::varchar, NULL::varchar, 'Febryan Mahsyar'::varchar, '25000000000150'::bigint);</v>
      </c>
    </row>
    <row r="106" spans="2:11" x14ac:dyDescent="0.2">
      <c r="B106" s="22">
        <v>25000000000507</v>
      </c>
      <c r="C106" s="4" t="str">
        <f>IF(EXACT($B106, ""), "", IF((($B106 - MOD($B106, 1000000000000))/1000000000000)=25, CONCATENATE("Person - ", VLOOKUP($B106, [1]DataLookUp!$B$4:$C$2000, 2, FALSE)), IF((($B106 - MOD($B106, 1000000000000))/1000000000000)=124, CONCATENATE("Institution - ", VLOOKUP($B106, '[2]DataLookUp - InstitutionBranch'!$B$4:$C$2000, 2, FALSE)), "")))</f>
        <v>Person - Khamim Taryono</v>
      </c>
      <c r="D106" s="22">
        <v>223000000000002</v>
      </c>
      <c r="E106" s="40" t="str">
        <f>IF(EXACT($D106, ""), "", VLOOKUP($D106, 'REF - ContactNumberType'!$B$4:$C$10, 2, FALSE))</f>
        <v>Mobile Phone</v>
      </c>
      <c r="F106" s="27" t="s">
        <v>767</v>
      </c>
      <c r="G106" s="9"/>
      <c r="H106" s="9" t="s">
        <v>506</v>
      </c>
      <c r="J106" s="34">
        <f t="shared" si="3"/>
        <v>286000000000103</v>
      </c>
      <c r="K10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'+62 813-8426-4004'::varchar, NULL::varchar, 'Khamim Taryono'::varchar, '25000000000507'::bigint);</v>
      </c>
    </row>
    <row r="107" spans="2:11" x14ac:dyDescent="0.2">
      <c r="B107" s="22">
        <v>25000000000101</v>
      </c>
      <c r="C107" s="4" t="str">
        <f>IF(EXACT($B107, ""), "", IF((($B107 - MOD($B107, 1000000000000))/1000000000000)=25, CONCATENATE("Person - ", VLOOKUP($B107, [1]DataLookUp!$B$4:$C$2000, 2, FALSE)), IF((($B107 - MOD($B107, 1000000000000))/1000000000000)=124, CONCATENATE("Institution - ", VLOOKUP($B107, '[2]DataLookUp - InstitutionBranch'!$B$4:$C$2000, 2, FALSE)), "")))</f>
        <v>Person - Desi Herawati</v>
      </c>
      <c r="D107" s="22">
        <v>223000000000002</v>
      </c>
      <c r="E107" s="40" t="str">
        <f>IF(EXACT($D107, ""), "", VLOOKUP($D107, 'REF - ContactNumberType'!$B$4:$C$10, 2, FALSE))</f>
        <v>Mobile Phone</v>
      </c>
      <c r="F107" s="27" t="s">
        <v>768</v>
      </c>
      <c r="G107" s="9"/>
      <c r="H107" s="9" t="s">
        <v>100</v>
      </c>
      <c r="J107" s="34">
        <f t="shared" si="3"/>
        <v>286000000000104</v>
      </c>
      <c r="K10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'+62 856-7861-993'::varchar, NULL::varchar, 'Desi Herawati'::varchar, '25000000000101'::bigint);</v>
      </c>
    </row>
    <row r="108" spans="2:11" x14ac:dyDescent="0.2">
      <c r="B108" s="22">
        <v>25000000000552</v>
      </c>
      <c r="C108" s="4" t="str">
        <f>IF(EXACT($B108, ""), "", IF((($B108 - MOD($B108, 1000000000000))/1000000000000)=25, CONCATENATE("Person - ", VLOOKUP($B108, [1]DataLookUp!$B$4:$C$2000, 2, FALSE)), IF((($B108 - MOD($B108, 1000000000000))/1000000000000)=124, CONCATENATE("Institution - ", VLOOKUP($B108, '[2]DataLookUp - InstitutionBranch'!$B$4:$C$2000, 2, FALSE)), "")))</f>
        <v>Person - Aldi Rizaldi</v>
      </c>
      <c r="D108" s="22">
        <v>223000000000002</v>
      </c>
      <c r="E108" s="40" t="str">
        <f>IF(EXACT($D108, ""), "", VLOOKUP($D108, 'REF - ContactNumberType'!$B$4:$C$10, 2, FALSE))</f>
        <v>Mobile Phone</v>
      </c>
      <c r="F108" s="27" t="s">
        <v>769</v>
      </c>
      <c r="G108" s="9"/>
      <c r="H108" s="9" t="s">
        <v>551</v>
      </c>
      <c r="J108" s="34">
        <f t="shared" si="3"/>
        <v>286000000000105</v>
      </c>
      <c r="K10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'+62 813-1095-1811'::varchar, NULL::varchar, 'Aldi Rizaldi'::varchar, '25000000000552'::bigint);</v>
      </c>
    </row>
    <row r="109" spans="2:11" x14ac:dyDescent="0.2">
      <c r="B109" s="22"/>
      <c r="C109" s="4" t="str">
        <f>IF(EXACT($B109, ""), "", IF((($B109 - MOD($B109, 1000000000000))/1000000000000)=25, CONCATENATE("Person - ", VLOOKUP($B109, [1]DataLookUp!$B$4:$C$2000, 2, FALSE)), IF((($B109 - MOD($B109, 1000000000000))/1000000000000)=124, CONCATENATE("Institution - ", VLOOKUP($B109, '[2]DataLookUp - InstitutionBranch'!$B$4:$C$2000, 2, FALSE)), "")))</f>
        <v/>
      </c>
      <c r="D109" s="22">
        <v>223000000000002</v>
      </c>
      <c r="E109" s="40" t="str">
        <f>IF(EXACT($D109, ""), "", VLOOKUP($D109, 'REF - ContactNumberType'!$B$4:$C$10, 2, FALSE))</f>
        <v>Mobile Phone</v>
      </c>
      <c r="F109" s="27" t="s">
        <v>770</v>
      </c>
      <c r="G109" s="9"/>
      <c r="H109" s="9" t="s">
        <v>741</v>
      </c>
      <c r="J109" s="34">
        <f t="shared" si="3"/>
        <v>286000000000106</v>
      </c>
      <c r="K10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'+62 815-7300-5652'::varchar, NULL::varchar, 'Habib Abdullah Wahab Muharram'::varchar, NULL::bigint);</v>
      </c>
    </row>
    <row r="110" spans="2:11" x14ac:dyDescent="0.2">
      <c r="B110" s="22">
        <v>25000000000004</v>
      </c>
      <c r="C110" s="4" t="str">
        <f>IF(EXACT($B110, ""), "", IF((($B110 - MOD($B110, 1000000000000))/1000000000000)=25, CONCATENATE("Person - ", VLOOKUP($B110, [1]DataLookUp!$B$4:$C$2000, 2, FALSE)), IF((($B110 - MOD($B110, 1000000000000))/1000000000000)=124, CONCATENATE("Institution - ", VLOOKUP($B110, '[2]DataLookUp - InstitutionBranch'!$B$4:$C$2000, 2, FALSE)), "")))</f>
        <v>Person - Abdul Risan</v>
      </c>
      <c r="D110" s="22">
        <v>223000000000002</v>
      </c>
      <c r="E110" s="40" t="str">
        <f>IF(EXACT($D110, ""), "", VLOOKUP($D110, 'REF - ContactNumberType'!$B$4:$C$10, 2, FALSE))</f>
        <v>Mobile Phone</v>
      </c>
      <c r="F110" s="27" t="s">
        <v>771</v>
      </c>
      <c r="G110" s="9"/>
      <c r="H110" s="9" t="s">
        <v>3</v>
      </c>
      <c r="J110" s="34">
        <f t="shared" si="3"/>
        <v>286000000000107</v>
      </c>
      <c r="K11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'+62 812-8098-7170'::varchar, NULL::varchar, 'Abdul Risan'::varchar, '25000000000004'::bigint);</v>
      </c>
    </row>
    <row r="111" spans="2:11" x14ac:dyDescent="0.2">
      <c r="B111" s="22">
        <v>25000000000371</v>
      </c>
      <c r="C111" s="4" t="str">
        <f>IF(EXACT($B111, ""), "", IF((($B111 - MOD($B111, 1000000000000))/1000000000000)=25, CONCATENATE("Person - ", VLOOKUP($B111, [1]DataLookUp!$B$4:$C$2000, 2, FALSE)), IF((($B111 - MOD($B111, 1000000000000))/1000000000000)=124, CONCATENATE("Institution - ", VLOOKUP($B111, '[2]DataLookUp - InstitutionBranch'!$B$4:$C$2000, 2, FALSE)), "")))</f>
        <v>Person - Rommel Hutapea</v>
      </c>
      <c r="D111" s="22">
        <v>223000000000002</v>
      </c>
      <c r="E111" s="40" t="str">
        <f>IF(EXACT($D111, ""), "", VLOOKUP($D111, 'REF - ContactNumberType'!$B$4:$C$10, 2, FALSE))</f>
        <v>Mobile Phone</v>
      </c>
      <c r="F111" s="27" t="s">
        <v>772</v>
      </c>
      <c r="G111" s="9"/>
      <c r="H111" s="9" t="s">
        <v>370</v>
      </c>
      <c r="J111" s="34">
        <f t="shared" si="3"/>
        <v>286000000000108</v>
      </c>
      <c r="K11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'+62 813-9623-7010'::varchar, NULL::varchar, 'Rommel Hutapea'::varchar, '25000000000371'::bigint);</v>
      </c>
    </row>
    <row r="112" spans="2:11" x14ac:dyDescent="0.2">
      <c r="B112" s="22">
        <v>25000000000120</v>
      </c>
      <c r="C112" s="4" t="str">
        <f>IF(EXACT($B112, ""), "", IF((($B112 - MOD($B112, 1000000000000))/1000000000000)=25, CONCATENATE("Person - ", VLOOKUP($B112, [1]DataLookUp!$B$4:$C$2000, 2, FALSE)), IF((($B112 - MOD($B112, 1000000000000))/1000000000000)=124, CONCATENATE("Institution - ", VLOOKUP($B112, '[2]DataLookUp - InstitutionBranch'!$B$4:$C$2000, 2, FALSE)), "")))</f>
        <v>Person - Edy Syahputra Situmeang</v>
      </c>
      <c r="D112" s="22">
        <v>223000000000002</v>
      </c>
      <c r="E112" s="40" t="str">
        <f>IF(EXACT($D112, ""), "", VLOOKUP($D112, 'REF - ContactNumberType'!$B$4:$C$10, 2, FALSE))</f>
        <v>Mobile Phone</v>
      </c>
      <c r="F112" s="27" t="s">
        <v>773</v>
      </c>
      <c r="G112" s="9"/>
      <c r="H112" s="9" t="s">
        <v>119</v>
      </c>
      <c r="J112" s="34">
        <f t="shared" si="3"/>
        <v>286000000000109</v>
      </c>
      <c r="K11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'+62 853-5998-3177'::varchar, NULL::varchar, 'Edy Syahputra Situmeang'::varchar, '25000000000120'::bigint);</v>
      </c>
    </row>
    <row r="113" spans="2:11" x14ac:dyDescent="0.2">
      <c r="B113" s="22"/>
      <c r="C113" s="4" t="str">
        <f>IF(EXACT($B113, ""), "", IF((($B113 - MOD($B113, 1000000000000))/1000000000000)=25, CONCATENATE("Person - ", VLOOKUP($B113, [1]DataLookUp!$B$4:$C$2000, 2, FALSE)), IF((($B113 - MOD($B113, 1000000000000))/1000000000000)=124, CONCATENATE("Institution - ", VLOOKUP($B113, '[2]DataLookUp - InstitutionBranch'!$B$4:$C$2000, 2, FALSE)), "")))</f>
        <v/>
      </c>
      <c r="D113" s="22">
        <v>223000000000002</v>
      </c>
      <c r="E113" s="40" t="str">
        <f>IF(EXACT($D113, ""), "", VLOOKUP($D113, 'REF - ContactNumberType'!$B$4:$C$10, 2, FALSE))</f>
        <v>Mobile Phone</v>
      </c>
      <c r="F113" s="27" t="s">
        <v>774</v>
      </c>
      <c r="G113" s="9"/>
      <c r="H113" s="9" t="s">
        <v>748</v>
      </c>
      <c r="J113" s="34">
        <f t="shared" si="3"/>
        <v>286000000000110</v>
      </c>
      <c r="K11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'+62 813-9722-3311'::varchar, NULL::varchar, 'Binsar Hutabarat'::varchar, NULL::bigint);</v>
      </c>
    </row>
    <row r="114" spans="2:11" x14ac:dyDescent="0.2">
      <c r="B114" s="22"/>
      <c r="C114" s="4" t="str">
        <f>IF(EXACT($B114, ""), "", IF((($B114 - MOD($B114, 1000000000000))/1000000000000)=25, CONCATENATE("Person - ", VLOOKUP($B114, [1]DataLookUp!$B$4:$C$2000, 2, FALSE)), IF((($B114 - MOD($B114, 1000000000000))/1000000000000)=124, CONCATENATE("Institution - ", VLOOKUP($B114, '[2]DataLookUp - InstitutionBranch'!$B$4:$C$2000, 2, FALSE)), "")))</f>
        <v/>
      </c>
      <c r="D114" s="22">
        <v>223000000000002</v>
      </c>
      <c r="E114" s="40" t="str">
        <f>IF(EXACT($D114, ""), "", VLOOKUP($D114, 'REF - ContactNumberType'!$B$4:$C$10, 2, FALSE))</f>
        <v>Mobile Phone</v>
      </c>
      <c r="F114" s="27" t="s">
        <v>775</v>
      </c>
      <c r="G114" s="9"/>
      <c r="H114" s="9" t="s">
        <v>749</v>
      </c>
      <c r="J114" s="34">
        <f t="shared" si="3"/>
        <v>286000000000111</v>
      </c>
      <c r="K11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'+62 852-6129-3614'::varchar, NULL::varchar, 'Jeefrianda HP. Sigalingging'::varchar, NULL::bigint);</v>
      </c>
    </row>
    <row r="115" spans="2:11" x14ac:dyDescent="0.2">
      <c r="B115" s="22"/>
      <c r="C115" s="4" t="str">
        <f>IF(EXACT($B115, ""), "", IF((($B115 - MOD($B115, 1000000000000))/1000000000000)=25, CONCATENATE("Person - ", VLOOKUP($B115, [1]DataLookUp!$B$4:$C$2000, 2, FALSE)), IF((($B115 - MOD($B115, 1000000000000))/1000000000000)=124, CONCATENATE("Institution - ", VLOOKUP($B115, '[2]DataLookUp - InstitutionBranch'!$B$4:$C$2000, 2, FALSE)), "")))</f>
        <v/>
      </c>
      <c r="D115" s="22">
        <v>223000000000002</v>
      </c>
      <c r="E115" s="40" t="str">
        <f>IF(EXACT($D115, ""), "", VLOOKUP($D115, 'REF - ContactNumberType'!$B$4:$C$10, 2, FALSE))</f>
        <v>Mobile Phone</v>
      </c>
      <c r="F115" s="27" t="s">
        <v>776</v>
      </c>
      <c r="G115" s="9"/>
      <c r="H115" s="9" t="s">
        <v>750</v>
      </c>
      <c r="J115" s="34">
        <f t="shared" si="3"/>
        <v>286000000000112</v>
      </c>
      <c r="K11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'+62 821-1481-1419'::varchar, NULL::varchar, 'Mulyani bin H Junaidi'::varchar, NULL::bigint);</v>
      </c>
    </row>
    <row r="116" spans="2:11" x14ac:dyDescent="0.2">
      <c r="B116" s="22"/>
      <c r="C116" s="4" t="str">
        <f>IF(EXACT($B116, ""), "", IF((($B116 - MOD($B116, 1000000000000))/1000000000000)=25, CONCATENATE("Person - ", VLOOKUP($B116, [1]DataLookUp!$B$4:$C$2000, 2, FALSE)), IF((($B116 - MOD($B116, 1000000000000))/1000000000000)=124, CONCATENATE("Institution - ", VLOOKUP($B116, '[2]DataLookUp - InstitutionBranch'!$B$4:$C$2000, 2, FALSE)), "")))</f>
        <v/>
      </c>
      <c r="D116" s="22">
        <v>223000000000002</v>
      </c>
      <c r="E116" s="40" t="str">
        <f>IF(EXACT($D116, ""), "", VLOOKUP($D116, 'REF - ContactNumberType'!$B$4:$C$10, 2, FALSE))</f>
        <v>Mobile Phone</v>
      </c>
      <c r="F116" s="27" t="s">
        <v>777</v>
      </c>
      <c r="G116" s="9"/>
      <c r="H116" s="9" t="s">
        <v>751</v>
      </c>
      <c r="J116" s="34">
        <f t="shared" si="3"/>
        <v>286000000000113</v>
      </c>
      <c r="K11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'+62 812-1387-3885'::varchar, NULL::varchar, 'Yeskiel Boki'::varchar, NULL::bigint);</v>
      </c>
    </row>
    <row r="117" spans="2:11" x14ac:dyDescent="0.2">
      <c r="B117" s="22">
        <v>25000000000114</v>
      </c>
      <c r="C117" s="4" t="str">
        <f>IF(EXACT($B117, ""), "", IF((($B117 - MOD($B117, 1000000000000))/1000000000000)=25, CONCATENATE("Person - ", VLOOKUP($B117, [1]DataLookUp!$B$4:$C$2000, 2, FALSE)), IF((($B117 - MOD($B117, 1000000000000))/1000000000000)=124, CONCATENATE("Institution - ", VLOOKUP($B117, '[2]DataLookUp - InstitutionBranch'!$B$4:$C$2000, 2, FALSE)), "")))</f>
        <v>Person - Dwi Joko Setio Tjaroko</v>
      </c>
      <c r="D117" s="22">
        <v>223000000000002</v>
      </c>
      <c r="E117" s="40" t="str">
        <f>IF(EXACT($D117, ""), "", VLOOKUP($D117, 'REF - ContactNumberType'!$B$4:$C$10, 2, FALSE))</f>
        <v>Mobile Phone</v>
      </c>
      <c r="F117" s="27" t="s">
        <v>778</v>
      </c>
      <c r="G117" s="9"/>
      <c r="H117" s="9" t="s">
        <v>752</v>
      </c>
      <c r="J117" s="34">
        <f t="shared" si="3"/>
        <v>286000000000114</v>
      </c>
      <c r="K11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'+62 812-8588-1212'::varchar, NULL::varchar, 'Dwi Joko Setio Tjaroko'::varchar, '25000000000114'::bigint);</v>
      </c>
    </row>
    <row r="118" spans="2:11" x14ac:dyDescent="0.2">
      <c r="B118" s="22">
        <v>25000000000214</v>
      </c>
      <c r="C118" s="4" t="str">
        <f>IF(EXACT($B118, ""), "", IF((($B118 - MOD($B118, 1000000000000))/1000000000000)=25, CONCATENATE("Person - ", VLOOKUP($B118, [1]DataLookUp!$B$4:$C$2000, 2, FALSE)), IF((($B118 - MOD($B118, 1000000000000))/1000000000000)=124, CONCATENATE("Institution - ", VLOOKUP($B118, '[2]DataLookUp - InstitutionBranch'!$B$4:$C$2000, 2, FALSE)), "")))</f>
        <v>Person - Irvan Agus Dharma Eka Putra</v>
      </c>
      <c r="D118" s="22">
        <v>223000000000002</v>
      </c>
      <c r="E118" s="40" t="str">
        <f>IF(EXACT($D118, ""), "", VLOOKUP($D118, 'REF - ContactNumberType'!$B$4:$C$10, 2, FALSE))</f>
        <v>Mobile Phone</v>
      </c>
      <c r="F118" s="27" t="s">
        <v>779</v>
      </c>
      <c r="G118" s="9"/>
      <c r="H118" s="9" t="s">
        <v>213</v>
      </c>
      <c r="J118" s="34">
        <f t="shared" si="3"/>
        <v>286000000000115</v>
      </c>
      <c r="K11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'+62 896-3212-8775'::varchar, NULL::varchar, 'Irvan Agus Dharma Eka Putra'::varchar, '25000000000214'::bigint);</v>
      </c>
    </row>
    <row r="119" spans="2:11" x14ac:dyDescent="0.2">
      <c r="B119" s="22">
        <v>25000000000613</v>
      </c>
      <c r="C119" s="4" t="str">
        <f>IF(EXACT($B119, ""), "", IF((($B119 - MOD($B119, 1000000000000))/1000000000000)=25, CONCATENATE("Person - ", VLOOKUP($B119, [1]DataLookUp!$B$4:$C$2000, 2, FALSE)), IF((($B119 - MOD($B119, 1000000000000))/1000000000000)=124, CONCATENATE("Institution - ", VLOOKUP($B119, '[2]DataLookUp - InstitutionBranch'!$B$4:$C$2000, 2, FALSE)), "")))</f>
        <v>Person - Taufik Aminudin</v>
      </c>
      <c r="D119" s="22">
        <v>223000000000002</v>
      </c>
      <c r="E119" s="40" t="str">
        <f>IF(EXACT($D119, ""), "", VLOOKUP($D119, 'REF - ContactNumberType'!$B$4:$C$10, 2, FALSE))</f>
        <v>Mobile Phone</v>
      </c>
      <c r="F119" s="27" t="s">
        <v>780</v>
      </c>
      <c r="G119" s="9"/>
      <c r="H119" s="9" t="s">
        <v>753</v>
      </c>
      <c r="J119" s="34">
        <f t="shared" si="3"/>
        <v>286000000000116</v>
      </c>
      <c r="K11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'+62 813-3820-0412'::varchar, NULL::varchar, 'Taufiq Aminudin'::varchar, '25000000000613'::bigint);</v>
      </c>
    </row>
    <row r="120" spans="2:11" x14ac:dyDescent="0.2">
      <c r="B120" s="22"/>
      <c r="C120" s="4" t="str">
        <f>IF(EXACT($B120, ""), "", IF((($B120 - MOD($B120, 1000000000000))/1000000000000)=25, CONCATENATE("Person - ", VLOOKUP($B120, [1]DataLookUp!$B$4:$C$2000, 2, FALSE)), IF((($B120 - MOD($B120, 1000000000000))/1000000000000)=124, CONCATENATE("Institution - ", VLOOKUP($B120, '[2]DataLookUp - InstitutionBranch'!$B$4:$C$2000, 2, FALSE)), "")))</f>
        <v/>
      </c>
      <c r="D120" s="22">
        <v>223000000000002</v>
      </c>
      <c r="E120" s="40" t="str">
        <f>IF(EXACT($D120, ""), "", VLOOKUP($D120, 'REF - ContactNumberType'!$B$4:$C$10, 2, FALSE))</f>
        <v>Mobile Phone</v>
      </c>
      <c r="F120" s="27" t="s">
        <v>786</v>
      </c>
      <c r="G120" s="9"/>
      <c r="H120" s="9" t="s">
        <v>783</v>
      </c>
      <c r="J120" s="34">
        <f t="shared" si="3"/>
        <v>286000000000117</v>
      </c>
      <c r="K12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'+62 822-1915-8804'::varchar, NULL::varchar, 'Muhammad Diki Abdul Rahman'::varchar, NULL::bigint);</v>
      </c>
    </row>
    <row r="121" spans="2:11" x14ac:dyDescent="0.2">
      <c r="B121" s="22">
        <v>25000000000144</v>
      </c>
      <c r="C121" s="4" t="str">
        <f>IF(EXACT($B121, ""), "", IF((($B121 - MOD($B121, 1000000000000))/1000000000000)=25, CONCATENATE("Person - ", VLOOKUP($B121, [1]DataLookUp!$B$4:$C$2000, 2, FALSE)), IF((($B121 - MOD($B121, 1000000000000))/1000000000000)=124, CONCATENATE("Institution - ", VLOOKUP($B121, '[2]DataLookUp - InstitutionBranch'!$B$4:$C$2000, 2, FALSE)), "")))</f>
        <v>Person - Faiz Horifal</v>
      </c>
      <c r="D121" s="22">
        <v>223000000000002</v>
      </c>
      <c r="E121" s="40" t="str">
        <f>IF(EXACT($D121, ""), "", VLOOKUP($D121, 'REF - ContactNumberType'!$B$4:$C$10, 2, FALSE))</f>
        <v>Mobile Phone</v>
      </c>
      <c r="F121" s="27" t="s">
        <v>787</v>
      </c>
      <c r="G121" s="9"/>
      <c r="H121" s="9" t="s">
        <v>143</v>
      </c>
      <c r="J121" s="34">
        <f t="shared" si="3"/>
        <v>286000000000118</v>
      </c>
      <c r="K12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'+62 822-9981-4132'::varchar, NULL::varchar, 'Faiz Horifal'::varchar, '25000000000144'::bigint);</v>
      </c>
    </row>
    <row r="122" spans="2:11" x14ac:dyDescent="0.2">
      <c r="B122" s="22"/>
      <c r="C122" s="4" t="str">
        <f>IF(EXACT($B122, ""), "", IF((($B122 - MOD($B122, 1000000000000))/1000000000000)=25, CONCATENATE("Person - ", VLOOKUP($B122, [1]DataLookUp!$B$4:$C$2000, 2, FALSE)), IF((($B122 - MOD($B122, 1000000000000))/1000000000000)=124, CONCATENATE("Institution - ", VLOOKUP($B122, '[2]DataLookUp - InstitutionBranch'!$B$4:$C$2000, 2, FALSE)), "")))</f>
        <v/>
      </c>
      <c r="D122" s="22">
        <v>223000000000002</v>
      </c>
      <c r="E122" s="40" t="str">
        <f>IF(EXACT($D122, ""), "", VLOOKUP($D122, 'REF - ContactNumberType'!$B$4:$C$10, 2, FALSE))</f>
        <v>Mobile Phone</v>
      </c>
      <c r="F122" s="27" t="s">
        <v>788</v>
      </c>
      <c r="G122" s="9"/>
      <c r="H122" s="9" t="s">
        <v>785</v>
      </c>
      <c r="J122" s="34">
        <f t="shared" si="3"/>
        <v>286000000000119</v>
      </c>
      <c r="K12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'+62 858-8167-5581'::varchar, NULL::varchar, 'Sindy Setyaningrum'::varchar, NULL::bigint);</v>
      </c>
    </row>
    <row r="123" spans="2:11" x14ac:dyDescent="0.2">
      <c r="B123" s="22">
        <v>25000000000201</v>
      </c>
      <c r="C123" s="4" t="str">
        <f>IF(EXACT($B123, ""), "", IF((($B123 - MOD($B123, 1000000000000))/1000000000000)=25, CONCATENATE("Person - ", VLOOKUP($B123, [1]DataLookUp!$B$4:$C$2000, 2, FALSE)), IF((($B123 - MOD($B123, 1000000000000))/1000000000000)=124, CONCATENATE("Institution - ", VLOOKUP($B123, '[2]DataLookUp - InstitutionBranch'!$B$4:$C$2000, 2, FALSE)), "")))</f>
        <v>Person - Idian</v>
      </c>
      <c r="D123" s="22">
        <v>223000000000002</v>
      </c>
      <c r="E123" s="40" t="str">
        <f>IF(EXACT($D123, ""), "", VLOOKUP($D123, 'REF - ContactNumberType'!$B$4:$C$10, 2, FALSE))</f>
        <v>Mobile Phone</v>
      </c>
      <c r="F123" s="27" t="s">
        <v>789</v>
      </c>
      <c r="G123" s="9"/>
      <c r="H123" s="9" t="s">
        <v>200</v>
      </c>
      <c r="J123" s="34">
        <f t="shared" si="3"/>
        <v>286000000000120</v>
      </c>
      <c r="K12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'+62 812-2528-5555'::varchar, NULL::varchar, 'Idian'::varchar, '25000000000201'::bigint);</v>
      </c>
    </row>
    <row r="124" spans="2:11" x14ac:dyDescent="0.2">
      <c r="B124" s="22">
        <v>25000000000593</v>
      </c>
      <c r="C124" s="4" t="str">
        <f>IF(EXACT($B124, ""), "", IF((($B124 - MOD($B124, 1000000000000))/1000000000000)=25, CONCATENATE("Person - ", VLOOKUP($B124, [1]DataLookUp!$B$4:$C$2000, 2, FALSE)), IF((($B124 - MOD($B124, 1000000000000))/1000000000000)=124, CONCATENATE("Institution - ", VLOOKUP($B124, '[2]DataLookUp - InstitutionBranch'!$B$4:$C$2000, 2, FALSE)), "")))</f>
        <v>Person - Andi Mapasoro</v>
      </c>
      <c r="D124" s="22">
        <v>223000000000002</v>
      </c>
      <c r="E124" s="40" t="str">
        <f>IF(EXACT($D124, ""), "", VLOOKUP($D124, 'REF - ContactNumberType'!$B$4:$C$10, 2, FALSE))</f>
        <v>Mobile Phone</v>
      </c>
      <c r="F124" s="27" t="s">
        <v>798</v>
      </c>
      <c r="G124" s="9"/>
      <c r="H124" s="9" t="s">
        <v>592</v>
      </c>
      <c r="J124" s="34">
        <f t="shared" si="3"/>
        <v>286000000000121</v>
      </c>
      <c r="K124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'+62 813-89851877'::varchar, NULL::varchar, 'Andi Mapasoro'::varchar, '25000000000593'::bigint);</v>
      </c>
    </row>
    <row r="125" spans="2:11" x14ac:dyDescent="0.2">
      <c r="B125" s="22">
        <v>25000000000592</v>
      </c>
      <c r="C125" s="4" t="str">
        <f>IF(EXACT($B125, ""), "", IF((($B125 - MOD($B125, 1000000000000))/1000000000000)=25, CONCATENATE("Person - ", VLOOKUP($B125, [1]DataLookUp!$B$4:$C$2000, 2, FALSE)), IF((($B125 - MOD($B125, 1000000000000))/1000000000000)=124, CONCATENATE("Institution - ", VLOOKUP($B125, '[2]DataLookUp - InstitutionBranch'!$B$4:$C$2000, 2, FALSE)), "")))</f>
        <v>Person - Ahmad Sandi Asyuri</v>
      </c>
      <c r="D125" s="22">
        <v>223000000000002</v>
      </c>
      <c r="E125" s="40" t="str">
        <f>IF(EXACT($D125, ""), "", VLOOKUP($D125, 'REF - ContactNumberType'!$B$4:$C$10, 2, FALSE))</f>
        <v>Mobile Phone</v>
      </c>
      <c r="F125" s="27" t="s">
        <v>799</v>
      </c>
      <c r="G125" s="9"/>
      <c r="H125" s="9" t="s">
        <v>591</v>
      </c>
      <c r="J125" s="34">
        <f t="shared" si="3"/>
        <v>286000000000122</v>
      </c>
      <c r="K125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'+62 877-88980659'::varchar, NULL::varchar, 'Ahmad Sandi Asyuri'::varchar, '25000000000592'::bigint);</v>
      </c>
    </row>
    <row r="126" spans="2:11" x14ac:dyDescent="0.2">
      <c r="B126" s="22">
        <v>25000000000012</v>
      </c>
      <c r="C126" s="4" t="str">
        <f>IF(EXACT($B126, ""), "", IF((($B126 - MOD($B126, 1000000000000))/1000000000000)=25, CONCATENATE("Person - ", VLOOKUP($B126, [1]DataLookUp!$B$4:$C$2000, 2, FALSE)), IF((($B126 - MOD($B126, 1000000000000))/1000000000000)=124, CONCATENATE("Institution - ", VLOOKUP($B126, '[2]DataLookUp - InstitutionBranch'!$B$4:$C$2000, 2, FALSE)), "")))</f>
        <v>Person - Agnes Sutedja</v>
      </c>
      <c r="D126" s="22">
        <v>223000000000002</v>
      </c>
      <c r="E126" s="40" t="str">
        <f>IF(EXACT($D126, ""), "", VLOOKUP($D126, 'REF - ContactNumberType'!$B$4:$C$10, 2, FALSE))</f>
        <v>Mobile Phone</v>
      </c>
      <c r="F126" s="27" t="s">
        <v>800</v>
      </c>
      <c r="G126" s="9"/>
      <c r="H126" s="9" t="s">
        <v>11</v>
      </c>
      <c r="J126" s="34">
        <f t="shared" si="3"/>
        <v>286000000000123</v>
      </c>
      <c r="K126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'+62 813-1789-7764'::varchar, NULL::varchar, 'Agnes Sutedja'::varchar, '25000000000012'::bigint);</v>
      </c>
    </row>
    <row r="127" spans="2:11" x14ac:dyDescent="0.2">
      <c r="B127" s="22">
        <v>25000000000513</v>
      </c>
      <c r="C127" s="4" t="str">
        <f>IF(EXACT($B127, ""), "", IF((($B127 - MOD($B127, 1000000000000))/1000000000000)=25, CONCATENATE("Person - ", VLOOKUP($B127, [1]DataLookUp!$B$4:$C$2000, 2, FALSE)), IF((($B127 - MOD($B127, 1000000000000))/1000000000000)=124, CONCATENATE("Institution - ", VLOOKUP($B127, '[2]DataLookUp - InstitutionBranch'!$B$4:$C$2000, 2, FALSE)), "")))</f>
        <v>Person - Ahmad Choerul</v>
      </c>
      <c r="D127" s="22">
        <v>223000000000002</v>
      </c>
      <c r="E127" s="40" t="str">
        <f>IF(EXACT($D127, ""), "", VLOOKUP($D127, 'REF - ContactNumberType'!$B$4:$C$10, 2, FALSE))</f>
        <v>Mobile Phone</v>
      </c>
      <c r="F127" s="27" t="s">
        <v>801</v>
      </c>
      <c r="G127" s="9"/>
      <c r="H127" s="9" t="s">
        <v>512</v>
      </c>
      <c r="J127" s="34">
        <f t="shared" si="3"/>
        <v>286000000000124</v>
      </c>
      <c r="K127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'+62 857-8278-6571'::varchar, NULL::varchar, 'Ahmad Choerul'::varchar, '25000000000513'::bigint);</v>
      </c>
    </row>
    <row r="128" spans="2:11" x14ac:dyDescent="0.2">
      <c r="B128" s="22">
        <v>25000000000075</v>
      </c>
      <c r="C128" s="4" t="str">
        <f>IF(EXACT($B128, ""), "", IF((($B128 - MOD($B128, 1000000000000))/1000000000000)=25, CONCATENATE("Person - ", VLOOKUP($B128, [1]DataLookUp!$B$4:$C$2000, 2, FALSE)), IF((($B128 - MOD($B128, 1000000000000))/1000000000000)=124, CONCATENATE("Institution - ", VLOOKUP($B128, '[2]DataLookUp - InstitutionBranch'!$B$4:$C$2000, 2, FALSE)), "")))</f>
        <v>Person - Belina Lindarwani</v>
      </c>
      <c r="D128" s="22">
        <v>223000000000002</v>
      </c>
      <c r="E128" s="40" t="str">
        <f>IF(EXACT($D128, ""), "", VLOOKUP($D128, 'REF - ContactNumberType'!$B$4:$C$10, 2, FALSE))</f>
        <v>Mobile Phone</v>
      </c>
      <c r="F128" s="27" t="s">
        <v>802</v>
      </c>
      <c r="G128" s="9"/>
      <c r="H128" s="9" t="s">
        <v>74</v>
      </c>
      <c r="J128" s="34">
        <f t="shared" si="3"/>
        <v>286000000000125</v>
      </c>
      <c r="K128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'+62 822-2570-8799'::varchar, NULL::varchar, 'Belina Lindarwani'::varchar, '25000000000075'::bigint);</v>
      </c>
    </row>
    <row r="129" spans="2:11" x14ac:dyDescent="0.2">
      <c r="B129" s="22">
        <v>25000000000082</v>
      </c>
      <c r="C129" s="4" t="str">
        <f>IF(EXACT($B129, ""), "", IF((($B129 - MOD($B129, 1000000000000))/1000000000000)=25, CONCATENATE("Person - ", VLOOKUP($B129, [1]DataLookUp!$B$4:$C$2000, 2, FALSE)), IF((($B129 - MOD($B129, 1000000000000))/1000000000000)=124, CONCATENATE("Institution - ", VLOOKUP($B129, '[2]DataLookUp - InstitutionBranch'!$B$4:$C$2000, 2, FALSE)), "")))</f>
        <v>Person - Budianto</v>
      </c>
      <c r="D129" s="22">
        <v>223000000000002</v>
      </c>
      <c r="E129" s="40" t="str">
        <f>IF(EXACT($D129, ""), "", VLOOKUP($D129, 'REF - ContactNumberType'!$B$4:$C$10, 2, FALSE))</f>
        <v>Mobile Phone</v>
      </c>
      <c r="F129" s="27" t="s">
        <v>803</v>
      </c>
      <c r="G129" s="9"/>
      <c r="H129" s="9" t="s">
        <v>81</v>
      </c>
      <c r="J129" s="34">
        <f t="shared" si="3"/>
        <v>286000000000126</v>
      </c>
      <c r="K129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'+62 812-8235-6976'::varchar, NULL::varchar, 'Budianto'::varchar, '25000000000082'::bigint);</v>
      </c>
    </row>
    <row r="130" spans="2:11" x14ac:dyDescent="0.2">
      <c r="B130" s="22">
        <v>25000000000092</v>
      </c>
      <c r="C130" s="4" t="str">
        <f>IF(EXACT($B130, ""), "", IF((($B130 - MOD($B130, 1000000000000))/1000000000000)=25, CONCATENATE("Person - ", VLOOKUP($B130, [1]DataLookUp!$B$4:$C$2000, 2, FALSE)), IF((($B130 - MOD($B130, 1000000000000))/1000000000000)=124, CONCATENATE("Institution - ", VLOOKUP($B130, '[2]DataLookUp - InstitutionBranch'!$B$4:$C$2000, 2, FALSE)), "")))</f>
        <v>Person - Darsito</v>
      </c>
      <c r="D130" s="22">
        <v>223000000000002</v>
      </c>
      <c r="E130" s="40" t="str">
        <f>IF(EXACT($D130, ""), "", VLOOKUP($D130, 'REF - ContactNumberType'!$B$4:$C$10, 2, FALSE))</f>
        <v>Mobile Phone</v>
      </c>
      <c r="F130" s="27" t="s">
        <v>804</v>
      </c>
      <c r="G130" s="9"/>
      <c r="H130" s="9" t="s">
        <v>91</v>
      </c>
      <c r="J130" s="34">
        <f t="shared" si="3"/>
        <v>286000000000127</v>
      </c>
      <c r="K130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'+62 812-3694-9841'::varchar, NULL::varchar, 'Darsito'::varchar, '25000000000092'::bigint);</v>
      </c>
    </row>
    <row r="131" spans="2:11" x14ac:dyDescent="0.2">
      <c r="B131" s="22">
        <v>25000000000106</v>
      </c>
      <c r="C131" s="4" t="str">
        <f>IF(EXACT($B131, ""), "", IF((($B131 - MOD($B131, 1000000000000))/1000000000000)=25, CONCATENATE("Person - ", VLOOKUP($B131, [1]DataLookUp!$B$4:$C$2000, 2, FALSE)), IF((($B131 - MOD($B131, 1000000000000))/1000000000000)=124, CONCATENATE("Institution - ", VLOOKUP($B131, '[2]DataLookUp - InstitutionBranch'!$B$4:$C$2000, 2, FALSE)), "")))</f>
        <v>Person - Dionesius Sostenist Duka</v>
      </c>
      <c r="D131" s="22">
        <v>223000000000002</v>
      </c>
      <c r="E131" s="40" t="str">
        <f>IF(EXACT($D131, ""), "", VLOOKUP($D131, 'REF - ContactNumberType'!$B$4:$C$10, 2, FALSE))</f>
        <v>Mobile Phone</v>
      </c>
      <c r="F131" s="27" t="s">
        <v>805</v>
      </c>
      <c r="G131" s="9"/>
      <c r="H131" s="9" t="s">
        <v>105</v>
      </c>
      <c r="J131" s="34">
        <f t="shared" si="3"/>
        <v>286000000000128</v>
      </c>
      <c r="K131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'+62 812-9831-1976'::varchar, NULL::varchar, 'Dionesius Sostenist Duka'::varchar, '25000000000106'::bigint);</v>
      </c>
    </row>
    <row r="132" spans="2:11" x14ac:dyDescent="0.2">
      <c r="B132" s="22">
        <v>25000000000116</v>
      </c>
      <c r="C132" s="4" t="str">
        <f>IF(EXACT($B132, ""), "", IF((($B132 - MOD($B132, 1000000000000))/1000000000000)=25, CONCATENATE("Person - ", VLOOKUP($B132, [1]DataLookUp!$B$4:$C$2000, 2, FALSE)), IF((($B132 - MOD($B132, 1000000000000))/1000000000000)=124, CONCATENATE("Institution - ", VLOOKUP($B132, '[2]DataLookUp - InstitutionBranch'!$B$4:$C$2000, 2, FALSE)), "")))</f>
        <v>Person - Edi Waluyo</v>
      </c>
      <c r="D132" s="22">
        <v>223000000000002</v>
      </c>
      <c r="E132" s="40" t="str">
        <f>IF(EXACT($D132, ""), "", VLOOKUP($D132, 'REF - ContactNumberType'!$B$4:$C$10, 2, FALSE))</f>
        <v>Mobile Phone</v>
      </c>
      <c r="F132" s="27" t="s">
        <v>806</v>
      </c>
      <c r="G132" s="9"/>
      <c r="H132" s="9" t="s">
        <v>115</v>
      </c>
      <c r="J132" s="34">
        <f t="shared" si="3"/>
        <v>286000000000129</v>
      </c>
      <c r="K132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'+62 812-3386-8624'::varchar, NULL::varchar, 'Edi Waluyo'::varchar, '25000000000116'::bigint);</v>
      </c>
    </row>
    <row r="133" spans="2:11" x14ac:dyDescent="0.2">
      <c r="B133" s="22">
        <v>25000000000123</v>
      </c>
      <c r="C133" s="4" t="str">
        <f>IF(EXACT($B133, ""), "", IF((($B133 - MOD($B133, 1000000000000))/1000000000000)=25, CONCATENATE("Person - ", VLOOKUP($B133, [1]DataLookUp!$B$4:$C$2000, 2, FALSE)), IF((($B133 - MOD($B133, 1000000000000))/1000000000000)=124, CONCATENATE("Institution - ", VLOOKUP($B133, '[2]DataLookUp - InstitutionBranch'!$B$4:$C$2000, 2, FALSE)), "")))</f>
        <v>Person - Eka Bagus Dwi Putra</v>
      </c>
      <c r="D133" s="22">
        <v>223000000000002</v>
      </c>
      <c r="E133" s="40" t="str">
        <f>IF(EXACT($D133, ""), "", VLOOKUP($D133, 'REF - ContactNumberType'!$B$4:$C$10, 2, FALSE))</f>
        <v>Mobile Phone</v>
      </c>
      <c r="F133" s="27" t="s">
        <v>807</v>
      </c>
      <c r="G133" s="9"/>
      <c r="H133" s="9" t="s">
        <v>122</v>
      </c>
      <c r="J133" s="34">
        <f t="shared" si="3"/>
        <v>286000000000130</v>
      </c>
      <c r="K133" s="35" t="str">
        <f t="shared" si="4"/>
        <v>PERFORM "SchData-OLTP-Master"."Func_TblContactNumber_SET"(varSystemLoginSession::bigint, null::bigint, null::varchar, null::timestamptz, null::timestamptz, null::varchar, varInstitutionBranchID::bigint, varBaseCurrencyID::bigint, 223000000000002::bigint, '+62 857-1960-7726'::varchar, NULL::varchar, 'Eka Bagus Dwi Putra'::varchar, '25000000000123'::bigint);</v>
      </c>
    </row>
    <row r="134" spans="2:11" x14ac:dyDescent="0.2">
      <c r="B134" s="22">
        <v>25000000000126</v>
      </c>
      <c r="C134" s="4" t="str">
        <f>IF(EXACT($B134, ""), "", IF((($B134 - MOD($B134, 1000000000000))/1000000000000)=25, CONCATENATE("Person - ", VLOOKUP($B134, [1]DataLookUp!$B$4:$C$2000, 2, FALSE)), IF((($B134 - MOD($B134, 1000000000000))/1000000000000)=124, CONCATENATE("Institution - ", VLOOKUP($B134, '[2]DataLookUp - InstitutionBranch'!$B$4:$C$2000, 2, FALSE)), "")))</f>
        <v>Person - Eka Kurniawan Hidayatullah</v>
      </c>
      <c r="D134" s="22">
        <v>223000000000002</v>
      </c>
      <c r="E134" s="40" t="str">
        <f>IF(EXACT($D134, ""), "", VLOOKUP($D134, 'REF - ContactNumberType'!$B$4:$C$10, 2, FALSE))</f>
        <v>Mobile Phone</v>
      </c>
      <c r="F134" s="27" t="s">
        <v>808</v>
      </c>
      <c r="G134" s="9"/>
      <c r="H134" s="9" t="s">
        <v>125</v>
      </c>
      <c r="J134" s="34">
        <f t="shared" ref="J134:J197" si="5" xml:space="preserve"> J133 + IF(EXACT(K134, ""), 0, 1)</f>
        <v>286000000000131</v>
      </c>
      <c r="K134" s="35" t="str">
        <f t="shared" ref="K134:K197" si="6">IF(EXACT(F134, ""), "", CONCATENATE("PERFORM ""SchData-OLTP-Master"".""Func_TblContactNumber_SET""(varSystemLoginSession::bigint, null::bigint, null::varchar, null::timestamptz, null::timestamptz, null::varchar, varInstitutionBranchID::bigint, varBaseCurrencyID::bigint, ", IF(EXACT($D134, ""), "NULL", ""&amp;$D134&amp;""), "::bigint, ", IF(EXACT($F134, ""), "NULL", "'"&amp;$F134&amp;"'"), "::varchar, ", IF(EXACT($G134, ""), "NULL", "'"&amp;$G134&amp;"'"), "::varchar, ", IF(EXACT($H134, ""), "NULL", "'"&amp;$H134&amp;"'"), "::varchar, ", IF(EXACT($B134, ""), "NULL", "'"&amp;$B134&amp;"'"),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'+62 812-1875-9198'::varchar, NULL::varchar, 'Eka Kurniawan Hidayatullah'::varchar, '25000000000126'::bigint);</v>
      </c>
    </row>
    <row r="135" spans="2:11" x14ac:dyDescent="0.2">
      <c r="B135" s="22">
        <v>25000000000125</v>
      </c>
      <c r="C135" s="4" t="str">
        <f>IF(EXACT($B135, ""), "", IF((($B135 - MOD($B135, 1000000000000))/1000000000000)=25, CONCATENATE("Person - ", VLOOKUP($B135, [1]DataLookUp!$B$4:$C$2000, 2, FALSE)), IF((($B135 - MOD($B135, 1000000000000))/1000000000000)=124, CONCATENATE("Institution - ", VLOOKUP($B135, '[2]DataLookUp - InstitutionBranch'!$B$4:$C$2000, 2, FALSE)), "")))</f>
        <v>Person - Eka Purwanti</v>
      </c>
      <c r="D135" s="22">
        <v>223000000000002</v>
      </c>
      <c r="E135" s="40" t="str">
        <f>IF(EXACT($D135, ""), "", VLOOKUP($D135, 'REF - ContactNumberType'!$B$4:$C$10, 2, FALSE))</f>
        <v>Mobile Phone</v>
      </c>
      <c r="F135" s="27" t="s">
        <v>764</v>
      </c>
      <c r="G135" s="9"/>
      <c r="H135" s="9" t="s">
        <v>124</v>
      </c>
      <c r="J135" s="34">
        <f t="shared" si="5"/>
        <v>286000000000132</v>
      </c>
      <c r="K13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'+62 878-8167-4480'::varchar, NULL::varchar, 'Eka Purwanti'::varchar, '25000000000125'::bigint);</v>
      </c>
    </row>
    <row r="136" spans="2:11" x14ac:dyDescent="0.2">
      <c r="B136" s="22">
        <v>25000000000138</v>
      </c>
      <c r="C136" s="4" t="str">
        <f>IF(EXACT($B136, ""), "", IF((($B136 - MOD($B136, 1000000000000))/1000000000000)=25, CONCATENATE("Person - ", VLOOKUP($B136, [1]DataLookUp!$B$4:$C$2000, 2, FALSE)), IF((($B136 - MOD($B136, 1000000000000))/1000000000000)=124, CONCATENATE("Institution - ", VLOOKUP($B136, '[2]DataLookUp - InstitutionBranch'!$B$4:$C$2000, 2, FALSE)), "")))</f>
        <v>Person - Endang Sutrisna</v>
      </c>
      <c r="D136" s="22">
        <v>223000000000002</v>
      </c>
      <c r="E136" s="40" t="str">
        <f>IF(EXACT($D136, ""), "", VLOOKUP($D136, 'REF - ContactNumberType'!$B$4:$C$10, 2, FALSE))</f>
        <v>Mobile Phone</v>
      </c>
      <c r="F136" s="27" t="s">
        <v>809</v>
      </c>
      <c r="G136" s="9"/>
      <c r="H136" s="9" t="s">
        <v>790</v>
      </c>
      <c r="J136" s="34">
        <f t="shared" si="5"/>
        <v>286000000000133</v>
      </c>
      <c r="K13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'+62 819-9994-5447'::varchar, NULL::varchar, 'Endang Sutrisno'::varchar, '25000000000138'::bigint);</v>
      </c>
    </row>
    <row r="137" spans="2:11" x14ac:dyDescent="0.2">
      <c r="B137" s="22">
        <v>25000000000168</v>
      </c>
      <c r="C137" s="4" t="str">
        <f>IF(EXACT($B137, ""), "", IF((($B137 - MOD($B137, 1000000000000))/1000000000000)=25, CONCATENATE("Person - ", VLOOKUP($B137, [1]DataLookUp!$B$4:$C$2000, 2, FALSE)), IF((($B137 - MOD($B137, 1000000000000))/1000000000000)=124, CONCATENATE("Institution - ", VLOOKUP($B137, '[2]DataLookUp - InstitutionBranch'!$B$4:$C$2000, 2, FALSE)), "")))</f>
        <v>Person - Gunawan</v>
      </c>
      <c r="D137" s="22">
        <v>223000000000002</v>
      </c>
      <c r="E137" s="40" t="str">
        <f>IF(EXACT($D137, ""), "", VLOOKUP($D137, 'REF - ContactNumberType'!$B$4:$C$10, 2, FALSE))</f>
        <v>Mobile Phone</v>
      </c>
      <c r="F137" s="27" t="s">
        <v>810</v>
      </c>
      <c r="G137" s="9"/>
      <c r="H137" s="9" t="s">
        <v>167</v>
      </c>
      <c r="J137" s="34">
        <f t="shared" si="5"/>
        <v>286000000000134</v>
      </c>
      <c r="K13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'+62 812-9294-620'::varchar, NULL::varchar, 'Gunawan'::varchar, '25000000000168'::bigint);</v>
      </c>
    </row>
    <row r="138" spans="2:11" x14ac:dyDescent="0.2">
      <c r="B138" s="22">
        <v>25000000000196</v>
      </c>
      <c r="C138" s="4" t="str">
        <f>IF(EXACT($B138, ""), "", IF((($B138 - MOD($B138, 1000000000000))/1000000000000)=25, CONCATENATE("Person - ", VLOOKUP($B138, [1]DataLookUp!$B$4:$C$2000, 2, FALSE)), IF((($B138 - MOD($B138, 1000000000000))/1000000000000)=124, CONCATENATE("Institution - ", VLOOKUP($B138, '[2]DataLookUp - InstitutionBranch'!$B$4:$C$2000, 2, FALSE)), "")))</f>
        <v>Person - Icha Mailinda Syamsoedin</v>
      </c>
      <c r="D138" s="22">
        <v>223000000000002</v>
      </c>
      <c r="E138" s="40" t="str">
        <f>IF(EXACT($D138, ""), "", VLOOKUP($D138, 'REF - ContactNumberType'!$B$4:$C$10, 2, FALSE))</f>
        <v>Mobile Phone</v>
      </c>
      <c r="F138" s="27" t="s">
        <v>811</v>
      </c>
      <c r="G138" s="9"/>
      <c r="H138" s="9" t="s">
        <v>791</v>
      </c>
      <c r="J138" s="34">
        <f t="shared" si="5"/>
        <v>286000000000135</v>
      </c>
      <c r="K13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'+62 878-8222-1308'::varchar, NULL::varchar, 'Icha Mailinda'::varchar, '25000000000196'::bigint);</v>
      </c>
    </row>
    <row r="139" spans="2:11" x14ac:dyDescent="0.2">
      <c r="B139" s="22">
        <v>25000000000527</v>
      </c>
      <c r="C139" s="4" t="str">
        <f>IF(EXACT($B139, ""), "", IF((($B139 - MOD($B139, 1000000000000))/1000000000000)=25, CONCATENATE("Person - ", VLOOKUP($B139, [1]DataLookUp!$B$4:$C$2000, 2, FALSE)), IF((($B139 - MOD($B139, 1000000000000))/1000000000000)=124, CONCATENATE("Institution - ", VLOOKUP($B139, '[2]DataLookUp - InstitutionBranch'!$B$4:$C$2000, 2, FALSE)), "")))</f>
        <v>Person - Irma Maulidawati</v>
      </c>
      <c r="D139" s="22">
        <v>223000000000002</v>
      </c>
      <c r="E139" s="40" t="str">
        <f>IF(EXACT($D139, ""), "", VLOOKUP($D139, 'REF - ContactNumberType'!$B$4:$C$10, 2, FALSE))</f>
        <v>Mobile Phone</v>
      </c>
      <c r="F139" s="27" t="s">
        <v>812</v>
      </c>
      <c r="G139" s="9"/>
      <c r="H139" s="9" t="s">
        <v>526</v>
      </c>
      <c r="J139" s="34">
        <f t="shared" si="5"/>
        <v>286000000000136</v>
      </c>
      <c r="K13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'+62 878-8401-4359'::varchar, NULL::varchar, 'Irma Maulidawati'::varchar, '25000000000527'::bigint);</v>
      </c>
    </row>
    <row r="140" spans="2:11" x14ac:dyDescent="0.2">
      <c r="B140" s="22">
        <v>25000000000528</v>
      </c>
      <c r="C140" s="4" t="str">
        <f>IF(EXACT($B140, ""), "", IF((($B140 - MOD($B140, 1000000000000))/1000000000000)=25, CONCATENATE("Person - ", VLOOKUP($B140, [1]DataLookUp!$B$4:$C$2000, 2, FALSE)), IF((($B140 - MOD($B140, 1000000000000))/1000000000000)=124, CONCATENATE("Institution - ", VLOOKUP($B140, '[2]DataLookUp - InstitutionBranch'!$B$4:$C$2000, 2, FALSE)), "")))</f>
        <v>Person - Istikaro Fauziah</v>
      </c>
      <c r="D140" s="22">
        <v>223000000000002</v>
      </c>
      <c r="E140" s="40" t="str">
        <f>IF(EXACT($D140, ""), "", VLOOKUP($D140, 'REF - ContactNumberType'!$B$4:$C$10, 2, FALSE))</f>
        <v>Mobile Phone</v>
      </c>
      <c r="F140" s="27" t="s">
        <v>813</v>
      </c>
      <c r="G140" s="9"/>
      <c r="H140" s="9" t="s">
        <v>527</v>
      </c>
      <c r="J140" s="34">
        <f t="shared" si="5"/>
        <v>286000000000137</v>
      </c>
      <c r="K14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'+62 897-7449-206'::varchar, NULL::varchar, 'Istikaro Fauziah'::varchar, '25000000000528'::bigint);</v>
      </c>
    </row>
    <row r="141" spans="2:11" x14ac:dyDescent="0.2">
      <c r="B141" s="22">
        <v>25000000000232</v>
      </c>
      <c r="C141" s="4" t="str">
        <f>IF(EXACT($B141, ""), "", IF((($B141 - MOD($B141, 1000000000000))/1000000000000)=25, CONCATENATE("Person - ", VLOOKUP($B141, [1]DataLookUp!$B$4:$C$2000, 2, FALSE)), IF((($B141 - MOD($B141, 1000000000000))/1000000000000)=124, CONCATENATE("Institution - ", VLOOKUP($B141, '[2]DataLookUp - InstitutionBranch'!$B$4:$C$2000, 2, FALSE)), "")))</f>
        <v>Person - Jimmywal</v>
      </c>
      <c r="D141" s="22">
        <v>223000000000002</v>
      </c>
      <c r="E141" s="40" t="str">
        <f>IF(EXACT($D141, ""), "", VLOOKUP($D141, 'REF - ContactNumberType'!$B$4:$C$10, 2, FALSE))</f>
        <v>Mobile Phone</v>
      </c>
      <c r="F141" s="27" t="s">
        <v>814</v>
      </c>
      <c r="G141" s="9"/>
      <c r="H141" s="9" t="s">
        <v>231</v>
      </c>
      <c r="J141" s="34">
        <f t="shared" si="5"/>
        <v>286000000000138</v>
      </c>
      <c r="K14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'+62 813-1132-2014'::varchar, NULL::varchar, 'Jimmywal'::varchar, '25000000000232'::bigint);</v>
      </c>
    </row>
    <row r="142" spans="2:11" x14ac:dyDescent="0.2">
      <c r="B142" s="22">
        <v>25000000000253</v>
      </c>
      <c r="C142" s="4" t="str">
        <f>IF(EXACT($B142, ""), "", IF((($B142 - MOD($B142, 1000000000000))/1000000000000)=25, CONCATENATE("Person - ", VLOOKUP($B142, [1]DataLookUp!$B$4:$C$2000, 2, FALSE)), IF((($B142 - MOD($B142, 1000000000000))/1000000000000)=124, CONCATENATE("Institution - ", VLOOKUP($B142, '[2]DataLookUp - InstitutionBranch'!$B$4:$C$2000, 2, FALSE)), "")))</f>
        <v>Person - Kornelius Sakan</v>
      </c>
      <c r="D142" s="22">
        <v>223000000000002</v>
      </c>
      <c r="E142" s="40" t="str">
        <f>IF(EXACT($D142, ""), "", VLOOKUP($D142, 'REF - ContactNumberType'!$B$4:$C$10, 2, FALSE))</f>
        <v>Mobile Phone</v>
      </c>
      <c r="F142" s="27" t="s">
        <v>815</v>
      </c>
      <c r="G142" s="9"/>
      <c r="H142" s="9" t="s">
        <v>252</v>
      </c>
      <c r="J142" s="34">
        <f t="shared" si="5"/>
        <v>286000000000139</v>
      </c>
      <c r="K14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'+62 812-8002-0551'::varchar, NULL::varchar, 'Kornelius Sakan'::varchar, '25000000000253'::bigint);</v>
      </c>
    </row>
    <row r="143" spans="2:11" x14ac:dyDescent="0.2">
      <c r="B143" s="22">
        <v>25000000000262</v>
      </c>
      <c r="C143" s="4" t="str">
        <f>IF(EXACT($B143, ""), "", IF((($B143 - MOD($B143, 1000000000000))/1000000000000)=25, CONCATENATE("Person - ", VLOOKUP($B143, [1]DataLookUp!$B$4:$C$2000, 2, FALSE)), IF((($B143 - MOD($B143, 1000000000000))/1000000000000)=124, CONCATENATE("Institution - ", VLOOKUP($B143, '[2]DataLookUp - InstitutionBranch'!$B$4:$C$2000, 2, FALSE)), "")))</f>
        <v>Person - Lisma Natalia</v>
      </c>
      <c r="D143" s="22">
        <v>223000000000002</v>
      </c>
      <c r="E143" s="40" t="str">
        <f>IF(EXACT($D143, ""), "", VLOOKUP($D143, 'REF - ContactNumberType'!$B$4:$C$10, 2, FALSE))</f>
        <v>Mobile Phone</v>
      </c>
      <c r="F143" s="27" t="s">
        <v>816</v>
      </c>
      <c r="G143" s="9"/>
      <c r="H143" s="9" t="s">
        <v>261</v>
      </c>
      <c r="J143" s="34">
        <f t="shared" si="5"/>
        <v>286000000000140</v>
      </c>
      <c r="K14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'+62 811-9728-227'::varchar, NULL::varchar, 'Lisma Natalia'::varchar, '25000000000262'::bigint);</v>
      </c>
    </row>
    <row r="144" spans="2:11" x14ac:dyDescent="0.2">
      <c r="B144" s="22">
        <v>25000000000155</v>
      </c>
      <c r="C144" s="4" t="str">
        <f>IF(EXACT($B144, ""), "", IF((($B144 - MOD($B144, 1000000000000))/1000000000000)=25, CONCATENATE("Person - ", VLOOKUP($B144, [1]DataLookUp!$B$4:$C$2000, 2, FALSE)), IF((($B144 - MOD($B144, 1000000000000))/1000000000000)=124, CONCATENATE("Institution - ", VLOOKUP($B144, '[2]DataLookUp - InstitutionBranch'!$B$4:$C$2000, 2, FALSE)), "")))</f>
        <v>Person - M. Fikri Caesarandi Hasibuan</v>
      </c>
      <c r="D144" s="22">
        <v>223000000000002</v>
      </c>
      <c r="E144" s="40" t="str">
        <f>IF(EXACT($D144, ""), "", VLOOKUP($D144, 'REF - ContactNumberType'!$B$4:$C$10, 2, FALSE))</f>
        <v>Mobile Phone</v>
      </c>
      <c r="F144" s="27" t="s">
        <v>817</v>
      </c>
      <c r="G144" s="9"/>
      <c r="H144" s="9" t="s">
        <v>792</v>
      </c>
      <c r="J144" s="34">
        <f t="shared" si="5"/>
        <v>286000000000141</v>
      </c>
      <c r="K14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'+62 812-6293-9221'::varchar, NULL::varchar, 'M Fikri Caesarandi Hasibuan'::varchar, '25000000000155'::bigint);</v>
      </c>
    </row>
    <row r="145" spans="2:11" x14ac:dyDescent="0.2">
      <c r="B145" s="22">
        <v>25000000000276</v>
      </c>
      <c r="C145" s="4" t="str">
        <f>IF(EXACT($B145, ""), "", IF((($B145 - MOD($B145, 1000000000000))/1000000000000)=25, CONCATENATE("Person - ", VLOOKUP($B145, [1]DataLookUp!$B$4:$C$2000, 2, FALSE)), IF((($B145 - MOD($B145, 1000000000000))/1000000000000)=124, CONCATENATE("Institution - ", VLOOKUP($B145, '[2]DataLookUp - InstitutionBranch'!$B$4:$C$2000, 2, FALSE)), "")))</f>
        <v>Person - Marten Tabun</v>
      </c>
      <c r="D145" s="22">
        <v>223000000000002</v>
      </c>
      <c r="E145" s="40" t="str">
        <f>IF(EXACT($D145, ""), "", VLOOKUP($D145, 'REF - ContactNumberType'!$B$4:$C$10, 2, FALSE))</f>
        <v>Mobile Phone</v>
      </c>
      <c r="F145" s="27" t="s">
        <v>818</v>
      </c>
      <c r="G145" s="9"/>
      <c r="H145" s="9" t="s">
        <v>275</v>
      </c>
      <c r="J145" s="34">
        <f t="shared" si="5"/>
        <v>286000000000142</v>
      </c>
      <c r="K14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'+62 852-8080-5771'::varchar, NULL::varchar, 'Marten Tabun'::varchar, '25000000000276'::bigint);</v>
      </c>
    </row>
    <row r="146" spans="2:11" x14ac:dyDescent="0.2">
      <c r="B146" s="22">
        <v>25000000000601</v>
      </c>
      <c r="C146" s="4" t="str">
        <f>IF(EXACT($B146, ""), "", IF((($B146 - MOD($B146, 1000000000000))/1000000000000)=25, CONCATENATE("Person - ", VLOOKUP($B146, [1]DataLookUp!$B$4:$C$2000, 2, FALSE)), IF((($B146 - MOD($B146, 1000000000000))/1000000000000)=124, CONCATENATE("Institution - ", VLOOKUP($B146, '[2]DataLookUp - InstitutionBranch'!$B$4:$C$2000, 2, FALSE)), "")))</f>
        <v>Person - Mochamad Ulul Azmi Wira Utama</v>
      </c>
      <c r="D146" s="22">
        <v>223000000000002</v>
      </c>
      <c r="E146" s="40" t="str">
        <f>IF(EXACT($D146, ""), "", VLOOKUP($D146, 'REF - ContactNumberType'!$B$4:$C$10, 2, FALSE))</f>
        <v>Mobile Phone</v>
      </c>
      <c r="F146" s="27" t="s">
        <v>819</v>
      </c>
      <c r="G146" s="9"/>
      <c r="H146" s="9" t="s">
        <v>600</v>
      </c>
      <c r="J146" s="34">
        <f t="shared" si="5"/>
        <v>286000000000143</v>
      </c>
      <c r="K14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'+62 812-8580-2247'::varchar, NULL::varchar, 'Mochamad Ulul Azmi Wira Utama'::varchar, '25000000000601'::bigint);</v>
      </c>
    </row>
    <row r="147" spans="2:11" x14ac:dyDescent="0.2">
      <c r="B147" s="22">
        <v>25000000000604</v>
      </c>
      <c r="C147" s="4" t="str">
        <f>IF(EXACT($B147, ""), "", IF((($B147 - MOD($B147, 1000000000000))/1000000000000)=25, CONCATENATE("Person - ", VLOOKUP($B147, [1]DataLookUp!$B$4:$C$2000, 2, FALSE)), IF((($B147 - MOD($B147, 1000000000000))/1000000000000)=124, CONCATENATE("Institution - ", VLOOKUP($B147, '[2]DataLookUp - InstitutionBranch'!$B$4:$C$2000, 2, FALSE)), "")))</f>
        <v>Person - Muhammad Rizal</v>
      </c>
      <c r="D147" s="22">
        <v>223000000000002</v>
      </c>
      <c r="E147" s="40" t="str">
        <f>IF(EXACT($D147, ""), "", VLOOKUP($D147, 'REF - ContactNumberType'!$B$4:$C$10, 2, FALSE))</f>
        <v>Mobile Phone</v>
      </c>
      <c r="F147" s="27" t="s">
        <v>820</v>
      </c>
      <c r="G147" s="9"/>
      <c r="H147" s="9" t="s">
        <v>603</v>
      </c>
      <c r="J147" s="34">
        <f t="shared" si="5"/>
        <v>286000000000144</v>
      </c>
      <c r="K14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'+62 812-2897-5977'::varchar, NULL::varchar, 'Muhammad Rizal'::varchar, '25000000000604'::bigint);</v>
      </c>
    </row>
    <row r="148" spans="2:11" x14ac:dyDescent="0.2">
      <c r="B148" s="22">
        <v>25000000000301</v>
      </c>
      <c r="C148" s="4" t="str">
        <f>IF(EXACT($B148, ""), "", IF((($B148 - MOD($B148, 1000000000000))/1000000000000)=25, CONCATENATE("Person - ", VLOOKUP($B148, [1]DataLookUp!$B$4:$C$2000, 2, FALSE)), IF((($B148 - MOD($B148, 1000000000000))/1000000000000)=124, CONCATENATE("Institution - ", VLOOKUP($B148, '[2]DataLookUp - InstitutionBranch'!$B$4:$C$2000, 2, FALSE)), "")))</f>
        <v>Person - Mullan Tresna</v>
      </c>
      <c r="D148" s="22">
        <v>223000000000002</v>
      </c>
      <c r="E148" s="40" t="str">
        <f>IF(EXACT($D148, ""), "", VLOOKUP($D148, 'REF - ContactNumberType'!$B$4:$C$10, 2, FALSE))</f>
        <v>Mobile Phone</v>
      </c>
      <c r="F148" s="27" t="s">
        <v>821</v>
      </c>
      <c r="G148" s="9"/>
      <c r="H148" s="9" t="s">
        <v>300</v>
      </c>
      <c r="J148" s="34">
        <f t="shared" si="5"/>
        <v>286000000000145</v>
      </c>
      <c r="K14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'+62 815-8884-838'::varchar, NULL::varchar, 'Mullan Tresna'::varchar, '25000000000301'::bigint);</v>
      </c>
    </row>
    <row r="149" spans="2:11" x14ac:dyDescent="0.2">
      <c r="B149" s="22">
        <v>25000000000307</v>
      </c>
      <c r="C149" s="4" t="str">
        <f>IF(EXACT($B149, ""), "", IF((($B149 - MOD($B149, 1000000000000))/1000000000000)=25, CONCATENATE("Person - ", VLOOKUP($B149, [1]DataLookUp!$B$4:$C$2000, 2, FALSE)), IF((($B149 - MOD($B149, 1000000000000))/1000000000000)=124, CONCATENATE("Institution - ", VLOOKUP($B149, '[2]DataLookUp - InstitutionBranch'!$B$4:$C$2000, 2, FALSE)), "")))</f>
        <v>Person - Nandang Effendi</v>
      </c>
      <c r="D149" s="22">
        <v>223000000000002</v>
      </c>
      <c r="E149" s="40" t="str">
        <f>IF(EXACT($D149, ""), "", VLOOKUP($D149, 'REF - ContactNumberType'!$B$4:$C$10, 2, FALSE))</f>
        <v>Mobile Phone</v>
      </c>
      <c r="F149" s="27" t="s">
        <v>822</v>
      </c>
      <c r="G149" s="9"/>
      <c r="H149" s="9" t="s">
        <v>306</v>
      </c>
      <c r="J149" s="34">
        <f t="shared" si="5"/>
        <v>286000000000146</v>
      </c>
      <c r="K14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'+62 812-4152-1262'::varchar, NULL::varchar, 'Nandang Effendi'::varchar, '25000000000307'::bigint);</v>
      </c>
    </row>
    <row r="150" spans="2:11" x14ac:dyDescent="0.2">
      <c r="B150" s="22">
        <v>25000000000574</v>
      </c>
      <c r="C150" s="4" t="str">
        <f>IF(EXACT($B150, ""), "", IF((($B150 - MOD($B150, 1000000000000))/1000000000000)=25, CONCATENATE("Person - ", VLOOKUP($B150, [1]DataLookUp!$B$4:$C$2000, 2, FALSE)), IF((($B150 - MOD($B150, 1000000000000))/1000000000000)=124, CONCATENATE("Institution - ", VLOOKUP($B150, '[2]DataLookUp - InstitutionBranch'!$B$4:$C$2000, 2, FALSE)), "")))</f>
        <v>Person - Rahmata Novanisa</v>
      </c>
      <c r="D150" s="22">
        <v>223000000000002</v>
      </c>
      <c r="E150" s="40" t="str">
        <f>IF(EXACT($D150, ""), "", VLOOKUP($D150, 'REF - ContactNumberType'!$B$4:$C$10, 2, FALSE))</f>
        <v>Mobile Phone</v>
      </c>
      <c r="F150" s="27" t="s">
        <v>866</v>
      </c>
      <c r="G150" s="9"/>
      <c r="H150" s="9" t="s">
        <v>573</v>
      </c>
      <c r="J150" s="34">
        <f t="shared" si="5"/>
        <v>286000000000147</v>
      </c>
      <c r="K15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'+62 856-0210-0410'::varchar, NULL::varchar, 'Rahmata Novanisa'::varchar, '25000000000574'::bigint);</v>
      </c>
    </row>
    <row r="151" spans="2:11" x14ac:dyDescent="0.2">
      <c r="B151" s="22">
        <v>25000000000605</v>
      </c>
      <c r="C151" s="4" t="str">
        <f>IF(EXACT($B151, ""), "", IF((($B151 - MOD($B151, 1000000000000))/1000000000000)=25, CONCATENATE("Person - ", VLOOKUP($B151, [1]DataLookUp!$B$4:$C$2000, 2, FALSE)), IF((($B151 - MOD($B151, 1000000000000))/1000000000000)=124, CONCATENATE("Institution - ", VLOOKUP($B151, '[2]DataLookUp - InstitutionBranch'!$B$4:$C$2000, 2, FALSE)), "")))</f>
        <v>Person - Rahmad Dwifar</v>
      </c>
      <c r="D151" s="22">
        <v>223000000000002</v>
      </c>
      <c r="E151" s="40" t="str">
        <f>IF(EXACT($D151, ""), "", VLOOKUP($D151, 'REF - ContactNumberType'!$B$4:$C$10, 2, FALSE))</f>
        <v>Mobile Phone</v>
      </c>
      <c r="F151" s="27" t="s">
        <v>864</v>
      </c>
      <c r="G151" s="9"/>
      <c r="H151" s="9" t="s">
        <v>604</v>
      </c>
      <c r="J151" s="34">
        <f t="shared" si="5"/>
        <v>286000000000148</v>
      </c>
      <c r="K15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'+62 822-8865-3239'::varchar, NULL::varchar, 'Rahmad Dwifar'::varchar, '25000000000605'::bigint);</v>
      </c>
    </row>
    <row r="152" spans="2:11" x14ac:dyDescent="0.2">
      <c r="B152" s="22">
        <v>25000000000536</v>
      </c>
      <c r="C152" s="4" t="str">
        <f>IF(EXACT($B152, ""), "", IF((($B152 - MOD($B152, 1000000000000))/1000000000000)=25, CONCATENATE("Person - ", VLOOKUP($B152, [1]DataLookUp!$B$4:$C$2000, 2, FALSE)), IF((($B152 - MOD($B152, 1000000000000))/1000000000000)=124, CONCATENATE("Institution - ", VLOOKUP($B152, '[2]DataLookUp - InstitutionBranch'!$B$4:$C$2000, 2, FALSE)), "")))</f>
        <v>Person - Restu Dwi Anjayani</v>
      </c>
      <c r="D152" s="22">
        <v>223000000000002</v>
      </c>
      <c r="E152" s="40" t="str">
        <f>IF(EXACT($D152, ""), "", VLOOKUP($D152, 'REF - ContactNumberType'!$B$4:$C$10, 2, FALSE))</f>
        <v>Mobile Phone</v>
      </c>
      <c r="F152" s="27" t="s">
        <v>823</v>
      </c>
      <c r="G152" s="9"/>
      <c r="H152" s="9" t="s">
        <v>535</v>
      </c>
      <c r="J152" s="34">
        <f t="shared" si="5"/>
        <v>286000000000149</v>
      </c>
      <c r="K15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'+62 815-1394-8537'::varchar, NULL::varchar, 'Restu Dwi Anjayani'::varchar, '25000000000536'::bigint);</v>
      </c>
    </row>
    <row r="153" spans="2:11" x14ac:dyDescent="0.2">
      <c r="B153" s="22">
        <v>25000000000607</v>
      </c>
      <c r="C153" s="4" t="str">
        <f>IF(EXACT($B153, ""), "", IF((($B153 - MOD($B153, 1000000000000))/1000000000000)=25, CONCATENATE("Person - ", VLOOKUP($B153, [1]DataLookUp!$B$4:$C$2000, 2, FALSE)), IF((($B153 - MOD($B153, 1000000000000))/1000000000000)=124, CONCATENATE("Institution - ", VLOOKUP($B153, '[2]DataLookUp - InstitutionBranch'!$B$4:$C$2000, 2, FALSE)), "")))</f>
        <v>Person - Ridwan Nur Muttaqin</v>
      </c>
      <c r="D153" s="22">
        <v>223000000000002</v>
      </c>
      <c r="E153" s="40" t="str">
        <f>IF(EXACT($D153, ""), "", VLOOKUP($D153, 'REF - ContactNumberType'!$B$4:$C$10, 2, FALSE))</f>
        <v>Mobile Phone</v>
      </c>
      <c r="F153" s="27" t="s">
        <v>865</v>
      </c>
      <c r="G153" s="9"/>
      <c r="H153" s="9" t="s">
        <v>606</v>
      </c>
      <c r="J153" s="34">
        <f t="shared" si="5"/>
        <v>286000000000150</v>
      </c>
      <c r="K15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'+62 813-3068-3991'::varchar, NULL::varchar, 'Ridwan Nur Muttaqin'::varchar, '25000000000607'::bigint);</v>
      </c>
    </row>
    <row r="154" spans="2:11" x14ac:dyDescent="0.2">
      <c r="B154" s="22">
        <v>25000000000352</v>
      </c>
      <c r="C154" s="4" t="str">
        <f>IF(EXACT($B154, ""), "", IF((($B154 - MOD($B154, 1000000000000))/1000000000000)=25, CONCATENATE("Person - ", VLOOKUP($B154, [1]DataLookUp!$B$4:$C$2000, 2, FALSE)), IF((($B154 - MOD($B154, 1000000000000))/1000000000000)=124, CONCATENATE("Institution - ", VLOOKUP($B154, '[2]DataLookUp - InstitutionBranch'!$B$4:$C$2000, 2, FALSE)), "")))</f>
        <v>Person - Rhino Priawan</v>
      </c>
      <c r="D154" s="22">
        <v>223000000000002</v>
      </c>
      <c r="E154" s="40" t="str">
        <f>IF(EXACT($D154, ""), "", VLOOKUP($D154, 'REF - ContactNumberType'!$B$4:$C$10, 2, FALSE))</f>
        <v>Mobile Phone</v>
      </c>
      <c r="F154" s="27" t="s">
        <v>824</v>
      </c>
      <c r="G154" s="9"/>
      <c r="H154" s="9" t="s">
        <v>351</v>
      </c>
      <c r="J154" s="34">
        <f t="shared" si="5"/>
        <v>286000000000151</v>
      </c>
      <c r="K15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'+62 813-1894-0491'::varchar, NULL::varchar, 'Rhino Priawan'::varchar, '25000000000352'::bigint);</v>
      </c>
    </row>
    <row r="155" spans="2:11" x14ac:dyDescent="0.2">
      <c r="B155" s="22">
        <v>25000000000391</v>
      </c>
      <c r="C155" s="4" t="str">
        <f>IF(EXACT($B155, ""), "", IF((($B155 - MOD($B155, 1000000000000))/1000000000000)=25, CONCATENATE("Person - ", VLOOKUP($B155, [1]DataLookUp!$B$4:$C$2000, 2, FALSE)), IF((($B155 - MOD($B155, 1000000000000))/1000000000000)=124, CONCATENATE("Institution - ", VLOOKUP($B155, '[2]DataLookUp - InstitutionBranch'!$B$4:$C$2000, 2, FALSE)), "")))</f>
        <v>Person - Seftiyan Hadi Maulana</v>
      </c>
      <c r="D155" s="22">
        <v>223000000000002</v>
      </c>
      <c r="E155" s="40" t="str">
        <f>IF(EXACT($D155, ""), "", VLOOKUP($D155, 'REF - ContactNumberType'!$B$4:$C$10, 2, FALSE))</f>
        <v>Mobile Phone</v>
      </c>
      <c r="F155" s="27" t="s">
        <v>825</v>
      </c>
      <c r="G155" s="9"/>
      <c r="H155" s="9" t="s">
        <v>390</v>
      </c>
      <c r="J155" s="34">
        <f t="shared" si="5"/>
        <v>286000000000152</v>
      </c>
      <c r="K15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'+62 856-9296-5294'::varchar, NULL::varchar, 'Seftiyan Hadi Maulana'::varchar, '25000000000391'::bigint);</v>
      </c>
    </row>
    <row r="156" spans="2:11" x14ac:dyDescent="0.2">
      <c r="B156" s="22">
        <v>25000000000393</v>
      </c>
      <c r="C156" s="4" t="str">
        <f>IF(EXACT($B156, ""), "", IF((($B156 - MOD($B156, 1000000000000))/1000000000000)=25, CONCATENATE("Person - ", VLOOKUP($B156, [1]DataLookUp!$B$4:$C$2000, 2, FALSE)), IF((($B156 - MOD($B156, 1000000000000))/1000000000000)=124, CONCATENATE("Institution - ", VLOOKUP($B156, '[2]DataLookUp - InstitutionBranch'!$B$4:$C$2000, 2, FALSE)), "")))</f>
        <v>Person - Setiadi</v>
      </c>
      <c r="D156" s="22">
        <v>223000000000002</v>
      </c>
      <c r="E156" s="40" t="str">
        <f>IF(EXACT($D156, ""), "", VLOOKUP($D156, 'REF - ContactNumberType'!$B$4:$C$10, 2, FALSE))</f>
        <v>Mobile Phone</v>
      </c>
      <c r="F156" s="27" t="s">
        <v>826</v>
      </c>
      <c r="G156" s="9"/>
      <c r="H156" s="9" t="s">
        <v>392</v>
      </c>
      <c r="J156" s="34">
        <f t="shared" si="5"/>
        <v>286000000000153</v>
      </c>
      <c r="K15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'+62 878-6983-2081'::varchar, NULL::varchar, 'Setiadi'::varchar, '25000000000393'::bigint);</v>
      </c>
    </row>
    <row r="157" spans="2:11" x14ac:dyDescent="0.2">
      <c r="B157" s="22">
        <v>25000000000397</v>
      </c>
      <c r="C157" s="4" t="str">
        <f>IF(EXACT($B157, ""), "", IF((($B157 - MOD($B157, 1000000000000))/1000000000000)=25, CONCATENATE("Person - ", VLOOKUP($B157, [1]DataLookUp!$B$4:$C$2000, 2, FALSE)), IF((($B157 - MOD($B157, 1000000000000))/1000000000000)=124, CONCATENATE("Institution - ", VLOOKUP($B157, '[2]DataLookUp - InstitutionBranch'!$B$4:$C$2000, 2, FALSE)), "")))</f>
        <v>Person - Sholehah</v>
      </c>
      <c r="D157" s="22">
        <v>223000000000002</v>
      </c>
      <c r="E157" s="40" t="str">
        <f>IF(EXACT($D157, ""), "", VLOOKUP($D157, 'REF - ContactNumberType'!$B$4:$C$10, 2, FALSE))</f>
        <v>Mobile Phone</v>
      </c>
      <c r="F157" s="27" t="s">
        <v>827</v>
      </c>
      <c r="G157" s="9"/>
      <c r="H157" s="9" t="s">
        <v>396</v>
      </c>
      <c r="J157" s="34">
        <f t="shared" si="5"/>
        <v>286000000000154</v>
      </c>
      <c r="K15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'+62 896-2474-6190'::varchar, NULL::varchar, 'Sholehah'::varchar, '25000000000397'::bigint);</v>
      </c>
    </row>
    <row r="158" spans="2:11" x14ac:dyDescent="0.2">
      <c r="B158" s="22">
        <v>25000000000412</v>
      </c>
      <c r="C158" s="4" t="str">
        <f>IF(EXACT($B158, ""), "", IF((($B158 - MOD($B158, 1000000000000))/1000000000000)=25, CONCATENATE("Person - ", VLOOKUP($B158, [1]DataLookUp!$B$4:$C$2000, 2, FALSE)), IF((($B158 - MOD($B158, 1000000000000))/1000000000000)=124, CONCATENATE("Institution - ", VLOOKUP($B158, '[2]DataLookUp - InstitutionBranch'!$B$4:$C$2000, 2, FALSE)), "")))</f>
        <v>Person - Sudarlan</v>
      </c>
      <c r="D158" s="22">
        <v>223000000000002</v>
      </c>
      <c r="E158" s="40" t="str">
        <f>IF(EXACT($D158, ""), "", VLOOKUP($D158, 'REF - ContactNumberType'!$B$4:$C$10, 2, FALSE))</f>
        <v>Mobile Phone</v>
      </c>
      <c r="F158" s="27" t="s">
        <v>828</v>
      </c>
      <c r="G158" s="9"/>
      <c r="H158" s="9" t="s">
        <v>411</v>
      </c>
      <c r="J158" s="34">
        <f t="shared" si="5"/>
        <v>286000000000155</v>
      </c>
      <c r="K15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'+62 813-1420-5669'::varchar, NULL::varchar, 'Sudarlan'::varchar, '25000000000412'::bigint);</v>
      </c>
    </row>
    <row r="159" spans="2:11" x14ac:dyDescent="0.2">
      <c r="B159" s="22">
        <v>25000000000278</v>
      </c>
      <c r="C159" s="4" t="str">
        <f>IF(EXACT($B159, ""), "", IF((($B159 - MOD($B159, 1000000000000))/1000000000000)=25, CONCATENATE("Person - ", VLOOKUP($B159, [1]DataLookUp!$B$4:$C$2000, 2, FALSE)), IF((($B159 - MOD($B159, 1000000000000))/1000000000000)=124, CONCATENATE("Institution - ", VLOOKUP($B159, '[2]DataLookUp - InstitutionBranch'!$B$4:$C$2000, 2, FALSE)), "")))</f>
        <v>Person - T. Marungkil U. S. Sagala</v>
      </c>
      <c r="D159" s="22">
        <v>223000000000002</v>
      </c>
      <c r="E159" s="40" t="str">
        <f>IF(EXACT($D159, ""), "", VLOOKUP($D159, 'REF - ContactNumberType'!$B$4:$C$10, 2, FALSE))</f>
        <v>Mobile Phone</v>
      </c>
      <c r="F159" s="27" t="s">
        <v>829</v>
      </c>
      <c r="G159" s="9"/>
      <c r="H159" s="9" t="s">
        <v>794</v>
      </c>
      <c r="J159" s="34">
        <f t="shared" si="5"/>
        <v>286000000000156</v>
      </c>
      <c r="K15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'+62 813-7307-5210'::varchar, NULL::varchar, 'T Marungkil U.S. Sagala'::varchar, '25000000000278'::bigint);</v>
      </c>
    </row>
    <row r="160" spans="2:11" x14ac:dyDescent="0.2">
      <c r="B160" s="22">
        <v>25000000000579</v>
      </c>
      <c r="C160" s="4" t="str">
        <f>IF(EXACT($B160, ""), "", IF((($B160 - MOD($B160, 1000000000000))/1000000000000)=25, CONCATENATE("Person - ", VLOOKUP($B160, [1]DataLookUp!$B$4:$C$2000, 2, FALSE)), IF((($B160 - MOD($B160, 1000000000000))/1000000000000)=124, CONCATENATE("Institution - ", VLOOKUP($B160, '[2]DataLookUp - InstitutionBranch'!$B$4:$C$2000, 2, FALSE)), "")))</f>
        <v>Person - Tegar Hersaputra</v>
      </c>
      <c r="D160" s="22">
        <v>223000000000002</v>
      </c>
      <c r="E160" s="40" t="str">
        <f>IF(EXACT($D160, ""), "", VLOOKUP($D160, 'REF - ContactNumberType'!$B$4:$C$10, 2, FALSE))</f>
        <v>Mobile Phone</v>
      </c>
      <c r="F160" s="27" t="s">
        <v>830</v>
      </c>
      <c r="G160" s="9"/>
      <c r="H160" s="9" t="s">
        <v>578</v>
      </c>
      <c r="J160" s="34">
        <f t="shared" si="5"/>
        <v>286000000000157</v>
      </c>
      <c r="K16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'+62 823-1055-5988'::varchar, NULL::varchar, 'Tegar Hersaputra'::varchar, '25000000000579'::bigint);</v>
      </c>
    </row>
    <row r="161" spans="2:11" x14ac:dyDescent="0.2">
      <c r="B161" s="22">
        <v>25000000000439</v>
      </c>
      <c r="C161" s="4" t="str">
        <f>IF(EXACT($B161, ""), "", IF((($B161 - MOD($B161, 1000000000000))/1000000000000)=25, CONCATENATE("Person - ", VLOOKUP($B161, [1]DataLookUp!$B$4:$C$2000, 2, FALSE)), IF((($B161 - MOD($B161, 1000000000000))/1000000000000)=124, CONCATENATE("Institution - ", VLOOKUP($B161, '[2]DataLookUp - InstitutionBranch'!$B$4:$C$2000, 2, FALSE)), "")))</f>
        <v>Person - Teguh Pratama Januzir Sukin</v>
      </c>
      <c r="D161" s="22">
        <v>223000000000002</v>
      </c>
      <c r="E161" s="40" t="str">
        <f>IF(EXACT($D161, ""), "", VLOOKUP($D161, 'REF - ContactNumberType'!$B$4:$C$10, 2, FALSE))</f>
        <v>Mobile Phone</v>
      </c>
      <c r="F161" s="27" t="s">
        <v>870</v>
      </c>
      <c r="G161" s="9"/>
      <c r="H161" s="9" t="s">
        <v>891</v>
      </c>
      <c r="I161" s="1"/>
      <c r="J161" s="34">
        <f t="shared" si="5"/>
        <v>286000000000158</v>
      </c>
      <c r="K16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'+62 818-2166-74'::varchar, NULL::varchar, 'Teguh Pratama Januzir S'::varchar, '25000000000439'::bigint);</v>
      </c>
    </row>
    <row r="162" spans="2:11" x14ac:dyDescent="0.2">
      <c r="B162" s="22">
        <v>25000000000439</v>
      </c>
      <c r="C162" s="4" t="str">
        <f>IF(EXACT($B162, ""), "", IF((($B162 - MOD($B162, 1000000000000))/1000000000000)=25, CONCATENATE("Person - ", VLOOKUP($B162, [1]DataLookUp!$B$4:$C$2000, 2, FALSE)), IF((($B162 - MOD($B162, 1000000000000))/1000000000000)=124, CONCATENATE("Institution - ", VLOOKUP($B162, '[2]DataLookUp - InstitutionBranch'!$B$4:$C$2000, 2, FALSE)), "")))</f>
        <v>Person - Teguh Pratama Januzir Sukin</v>
      </c>
      <c r="D162" s="22">
        <v>223000000000002</v>
      </c>
      <c r="E162" s="40" t="str">
        <f>IF(EXACT($D162, ""), "", VLOOKUP($D162, 'REF - ContactNumberType'!$B$4:$C$10, 2, FALSE))</f>
        <v>Mobile Phone</v>
      </c>
      <c r="F162" s="27" t="s">
        <v>892</v>
      </c>
      <c r="G162" s="9"/>
      <c r="H162" s="9" t="s">
        <v>891</v>
      </c>
      <c r="J162" s="34">
        <f t="shared" si="5"/>
        <v>286000000000159</v>
      </c>
      <c r="K16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'+62 821-1480-0364'::varchar, NULL::varchar, 'Teguh Pratama Januzir S'::varchar, '25000000000439'::bigint);</v>
      </c>
    </row>
    <row r="163" spans="2:11" x14ac:dyDescent="0.2">
      <c r="B163" s="22">
        <v>25000000000439</v>
      </c>
      <c r="C163" s="4" t="str">
        <f>IF(EXACT($B163, ""), "", IF((($B163 - MOD($B163, 1000000000000))/1000000000000)=25, CONCATENATE("Person - ", VLOOKUP($B163, [1]DataLookUp!$B$4:$C$2000, 2, FALSE)), IF((($B163 - MOD($B163, 1000000000000))/1000000000000)=124, CONCATENATE("Institution - ", VLOOKUP($B163, '[2]DataLookUp - InstitutionBranch'!$B$4:$C$2000, 2, FALSE)), "")))</f>
        <v>Person - Teguh Pratama Januzir Sukin</v>
      </c>
      <c r="D163" s="22">
        <v>223000000000003</v>
      </c>
      <c r="E163" s="40" t="str">
        <f>IF(EXACT($D163, ""), "", VLOOKUP($D163, 'REF - ContactNumberType'!$B$4:$C$10, 2, FALSE))</f>
        <v>Home Phone</v>
      </c>
      <c r="F163" s="27" t="s">
        <v>893</v>
      </c>
      <c r="G163" s="9"/>
      <c r="H163" s="9" t="s">
        <v>891</v>
      </c>
      <c r="J163" s="34">
        <f t="shared" si="5"/>
        <v>286000000000160</v>
      </c>
      <c r="K16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223000000000003::bigint, '+62 21 782-1769'::varchar, NULL::varchar, 'Teguh Pratama Januzir S'::varchar, '25000000000439'::bigint);</v>
      </c>
    </row>
    <row r="164" spans="2:11" x14ac:dyDescent="0.2">
      <c r="B164" s="22">
        <v>25000000000452</v>
      </c>
      <c r="C164" s="4" t="str">
        <f>IF(EXACT($B164, ""), "", IF((($B164 - MOD($B164, 1000000000000))/1000000000000)=25, CONCATENATE("Person - ", VLOOKUP($B164, [1]DataLookUp!$B$4:$C$2000, 2, FALSE)), IF((($B164 - MOD($B164, 1000000000000))/1000000000000)=124, CONCATENATE("Institution - ", VLOOKUP($B164, '[2]DataLookUp - InstitutionBranch'!$B$4:$C$2000, 2, FALSE)), "")))</f>
        <v>Person - Turita Pramuning Marantina</v>
      </c>
      <c r="D164" s="22">
        <v>223000000000002</v>
      </c>
      <c r="E164" s="40" t="str">
        <f>IF(EXACT($D164, ""), "", VLOOKUP($D164, 'REF - ContactNumberType'!$B$4:$C$10, 2, FALSE))</f>
        <v>Mobile Phone</v>
      </c>
      <c r="F164" s="27" t="s">
        <v>831</v>
      </c>
      <c r="G164" s="9"/>
      <c r="H164" s="9" t="s">
        <v>796</v>
      </c>
      <c r="J164" s="34">
        <f t="shared" si="5"/>
        <v>286000000000161</v>
      </c>
      <c r="K16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'+62 822-4343-9555'::varchar, NULL::varchar, 'Turita Pramuning M'::varchar, '25000000000452'::bigint);</v>
      </c>
    </row>
    <row r="165" spans="2:11" x14ac:dyDescent="0.2">
      <c r="B165" s="22">
        <v>25000000000542</v>
      </c>
      <c r="C165" s="4" t="str">
        <f>IF(EXACT($B165, ""), "", IF((($B165 - MOD($B165, 1000000000000))/1000000000000)=25, CONCATENATE("Person - ", VLOOKUP($B165, [1]DataLookUp!$B$4:$C$2000, 2, FALSE)), IF((($B165 - MOD($B165, 1000000000000))/1000000000000)=124, CONCATENATE("Institution - ", VLOOKUP($B165, '[2]DataLookUp - InstitutionBranch'!$B$4:$C$2000, 2, FALSE)), "")))</f>
        <v>Person - Wardah Laily Khoiriyah</v>
      </c>
      <c r="D165" s="22">
        <v>223000000000002</v>
      </c>
      <c r="E165" s="40" t="str">
        <f>IF(EXACT($D165, ""), "", VLOOKUP($D165, 'REF - ContactNumberType'!$B$4:$C$10, 2, FALSE))</f>
        <v>Mobile Phone</v>
      </c>
      <c r="F165" s="27" t="s">
        <v>832</v>
      </c>
      <c r="G165" s="9"/>
      <c r="H165" s="9" t="s">
        <v>541</v>
      </c>
      <c r="J165" s="34">
        <f t="shared" si="5"/>
        <v>286000000000162</v>
      </c>
      <c r="K16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'+62 856-9369-4287'::varchar, NULL::varchar, 'Wardah Laily Khoiriyah'::varchar, '25000000000542'::bigint);</v>
      </c>
    </row>
    <row r="166" spans="2:11" x14ac:dyDescent="0.2">
      <c r="B166" s="22">
        <v>25000000000581</v>
      </c>
      <c r="C166" s="4" t="str">
        <f>IF(EXACT($B166, ""), "", IF((($B166 - MOD($B166, 1000000000000))/1000000000000)=25, CONCATENATE("Person - ", VLOOKUP($B166, [1]DataLookUp!$B$4:$C$2000, 2, FALSE)), IF((($B166 - MOD($B166, 1000000000000))/1000000000000)=124, CONCATENATE("Institution - ", VLOOKUP($B166, '[2]DataLookUp - InstitutionBranch'!$B$4:$C$2000, 2, FALSE)), "")))</f>
        <v>Person - Wisnu Trenggono Wirayuda</v>
      </c>
      <c r="D166" s="22">
        <v>223000000000002</v>
      </c>
      <c r="E166" s="40" t="str">
        <f>IF(EXACT($D166, ""), "", VLOOKUP($D166, 'REF - ContactNumberType'!$B$4:$C$10, 2, FALSE))</f>
        <v>Mobile Phone</v>
      </c>
      <c r="F166" s="27" t="s">
        <v>833</v>
      </c>
      <c r="G166" s="9"/>
      <c r="H166" s="9" t="s">
        <v>580</v>
      </c>
      <c r="J166" s="34">
        <f t="shared" si="5"/>
        <v>286000000000163</v>
      </c>
      <c r="K16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'+62 896-6615-1134'::varchar, NULL::varchar, 'Wisnu Trenggono Wirayuda'::varchar, '25000000000581'::bigint);</v>
      </c>
    </row>
    <row r="167" spans="2:11" x14ac:dyDescent="0.2">
      <c r="B167" s="22">
        <v>25000000000545</v>
      </c>
      <c r="C167" s="4" t="str">
        <f>IF(EXACT($B167, ""), "", IF((($B167 - MOD($B167, 1000000000000))/1000000000000)=25, CONCATENATE("Person - ", VLOOKUP($B167, [1]DataLookUp!$B$4:$C$2000, 2, FALSE)), IF((($B167 - MOD($B167, 1000000000000))/1000000000000)=124, CONCATENATE("Institution - ", VLOOKUP($B167, '[2]DataLookUp - InstitutionBranch'!$B$4:$C$2000, 2, FALSE)), "")))</f>
        <v>Person - Yogi Perbangkara</v>
      </c>
      <c r="D167" s="22">
        <v>223000000000002</v>
      </c>
      <c r="E167" s="40" t="str">
        <f>IF(EXACT($D167, ""), "", VLOOKUP($D167, 'REF - ContactNumberType'!$B$4:$C$10, 2, FALSE))</f>
        <v>Mobile Phone</v>
      </c>
      <c r="F167" s="27" t="s">
        <v>834</v>
      </c>
      <c r="G167" s="9"/>
      <c r="H167" s="9" t="s">
        <v>544</v>
      </c>
      <c r="J167" s="34">
        <f t="shared" si="5"/>
        <v>286000000000164</v>
      </c>
      <c r="K16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'+62 812-8934-9170'::varchar, NULL::varchar, 'Yogi Perbangkara'::varchar, '25000000000545'::bigint);</v>
      </c>
    </row>
    <row r="168" spans="2:11" x14ac:dyDescent="0.2">
      <c r="B168" s="22">
        <v>25000000000487</v>
      </c>
      <c r="C168" s="4" t="str">
        <f>IF(EXACT($B168, ""), "", IF((($B168 - MOD($B168, 1000000000000))/1000000000000)=25, CONCATENATE("Person - ", VLOOKUP($B168, [1]DataLookUp!$B$4:$C$2000, 2, FALSE)), IF((($B168 - MOD($B168, 1000000000000))/1000000000000)=124, CONCATENATE("Institution - ", VLOOKUP($B168, '[2]DataLookUp - InstitutionBranch'!$B$4:$C$2000, 2, FALSE)), "")))</f>
        <v>Person - Yuliandaru Suryoatmodjo</v>
      </c>
      <c r="D168" s="22">
        <v>223000000000002</v>
      </c>
      <c r="E168" s="40" t="str">
        <f>IF(EXACT($D168, ""), "", VLOOKUP($D168, 'REF - ContactNumberType'!$B$4:$C$10, 2, FALSE))</f>
        <v>Mobile Phone</v>
      </c>
      <c r="F168" s="27" t="s">
        <v>835</v>
      </c>
      <c r="G168" s="9"/>
      <c r="H168" s="9" t="s">
        <v>486</v>
      </c>
      <c r="J168" s="34">
        <f t="shared" si="5"/>
        <v>286000000000165</v>
      </c>
      <c r="K16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'+62 859-2070-7074'::varchar, NULL::varchar, 'Yuliandaru Suryoatmodjo'::varchar, '25000000000487'::bigint);</v>
      </c>
    </row>
    <row r="169" spans="2:11" x14ac:dyDescent="0.2">
      <c r="B169" s="22">
        <v>25000000000497</v>
      </c>
      <c r="C169" s="4" t="str">
        <f>IF(EXACT($B169, ""), "", IF((($B169 - MOD($B169, 1000000000000))/1000000000000)=25, CONCATENATE("Person - ", VLOOKUP($B169, [1]DataLookUp!$B$4:$C$2000, 2, FALSE)), IF((($B169 - MOD($B169, 1000000000000))/1000000000000)=124, CONCATENATE("Institution - ", VLOOKUP($B169, '[2]DataLookUp - InstitutionBranch'!$B$4:$C$2000, 2, FALSE)), "")))</f>
        <v>Person - Zainudin Anwar</v>
      </c>
      <c r="D169" s="22">
        <v>223000000000002</v>
      </c>
      <c r="E169" s="40" t="str">
        <f>IF(EXACT($D169, ""), "", VLOOKUP($D169, 'REF - ContactNumberType'!$B$4:$C$10, 2, FALSE))</f>
        <v>Mobile Phone</v>
      </c>
      <c r="F169" s="27" t="s">
        <v>836</v>
      </c>
      <c r="G169" s="9"/>
      <c r="H169" s="9" t="s">
        <v>496</v>
      </c>
      <c r="J169" s="34">
        <f t="shared" si="5"/>
        <v>286000000000166</v>
      </c>
      <c r="K16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'+62 896-3011-7006'::varchar, NULL::varchar, 'Zainudin Anwar'::varchar, '25000000000497'::bigint);</v>
      </c>
    </row>
    <row r="170" spans="2:11" x14ac:dyDescent="0.2">
      <c r="B170" s="22">
        <v>25000000000501</v>
      </c>
      <c r="C170" s="4" t="str">
        <f>IF(EXACT($B170, ""), "", IF((($B170 - MOD($B170, 1000000000000))/1000000000000)=25, CONCATENATE("Person - ", VLOOKUP($B170, [1]DataLookUp!$B$4:$C$2000, 2, FALSE)), IF((($B170 - MOD($B170, 1000000000000))/1000000000000)=124, CONCATENATE("Institution - ", VLOOKUP($B170, '[2]DataLookUp - InstitutionBranch'!$B$4:$C$2000, 2, FALSE)), "")))</f>
        <v>Person - Zulfikar K. Siregar</v>
      </c>
      <c r="D170" s="22">
        <v>223000000000002</v>
      </c>
      <c r="E170" s="40" t="str">
        <f>IF(EXACT($D170, ""), "", VLOOKUP($D170, 'REF - ContactNumberType'!$B$4:$C$10, 2, FALSE))</f>
        <v>Mobile Phone</v>
      </c>
      <c r="F170" s="27" t="s">
        <v>837</v>
      </c>
      <c r="G170" s="9"/>
      <c r="H170" s="9" t="s">
        <v>500</v>
      </c>
      <c r="J170" s="34">
        <f t="shared" si="5"/>
        <v>286000000000167</v>
      </c>
      <c r="K17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'+62 852-9624-8470'::varchar, NULL::varchar, 'Zulfikar K. Siregar'::varchar, '25000000000501'::bigint);</v>
      </c>
    </row>
    <row r="171" spans="2:11" x14ac:dyDescent="0.2">
      <c r="B171" s="22">
        <v>25000000000347</v>
      </c>
      <c r="C171" s="4" t="str">
        <f>IF(EXACT($B171, ""), "", IF((($B171 - MOD($B171, 1000000000000))/1000000000000)=25, CONCATENATE("Person - ", VLOOKUP($B171, [1]DataLookUp!$B$4:$C$2000, 2, FALSE)), IF((($B171 - MOD($B171, 1000000000000))/1000000000000)=124, CONCATENATE("Institution - ", VLOOKUP($B171, '[2]DataLookUp - InstitutionBranch'!$B$4:$C$2000, 2, FALSE)), "")))</f>
        <v>Person - Redi Subekti</v>
      </c>
      <c r="D171" s="22">
        <v>223000000000002</v>
      </c>
      <c r="E171" s="40" t="str">
        <f>IF(EXACT($D171, ""), "", VLOOKUP($D171, 'REF - ContactNumberType'!$B$4:$C$10, 2, FALSE))</f>
        <v>Mobile Phone</v>
      </c>
      <c r="F171" s="27" t="s">
        <v>838</v>
      </c>
      <c r="G171" s="9"/>
      <c r="H171" s="9" t="s">
        <v>346</v>
      </c>
      <c r="J171" s="34">
        <f t="shared" si="5"/>
        <v>286000000000168</v>
      </c>
      <c r="K17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'+62 812-1080-840'::varchar, NULL::varchar, 'Redi Subekti'::varchar, '25000000000347'::bigint);</v>
      </c>
    </row>
    <row r="172" spans="2:11" x14ac:dyDescent="0.2">
      <c r="B172" s="22">
        <v>25000000000347</v>
      </c>
      <c r="C172" s="4" t="str">
        <f>IF(EXACT($B172, ""), "", IF((($B172 - MOD($B172, 1000000000000))/1000000000000)=25, CONCATENATE("Person - ", VLOOKUP($B172, [1]DataLookUp!$B$4:$C$2000, 2, FALSE)), IF((($B172 - MOD($B172, 1000000000000))/1000000000000)=124, CONCATENATE("Institution - ", VLOOKUP($B172, '[2]DataLookUp - InstitutionBranch'!$B$4:$C$2000, 2, FALSE)), "")))</f>
        <v>Person - Redi Subekti</v>
      </c>
      <c r="D172" s="22">
        <v>223000000000002</v>
      </c>
      <c r="E172" s="40" t="str">
        <f>IF(EXACT($D172, ""), "", VLOOKUP($D172, 'REF - ContactNumberType'!$B$4:$C$10, 2, FALSE))</f>
        <v>Mobile Phone</v>
      </c>
      <c r="F172" s="27" t="s">
        <v>899</v>
      </c>
      <c r="G172" s="9"/>
      <c r="H172" s="9" t="s">
        <v>346</v>
      </c>
      <c r="J172" s="34">
        <f t="shared" si="5"/>
        <v>286000000000169</v>
      </c>
      <c r="K17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'+62 816-8808-40'::varchar, NULL::varchar, 'Redi Subekti'::varchar, '25000000000347'::bigint);</v>
      </c>
    </row>
    <row r="173" spans="2:11" x14ac:dyDescent="0.2">
      <c r="B173" s="22">
        <v>25000000000167</v>
      </c>
      <c r="C173" s="4" t="str">
        <f>IF(EXACT($B173, ""), "", IF((($B173 - MOD($B173, 1000000000000))/1000000000000)=25, CONCATENATE("Person - ", VLOOKUP($B173, [1]DataLookUp!$B$4:$C$2000, 2, FALSE)), IF((($B173 - MOD($B173, 1000000000000))/1000000000000)=124, CONCATENATE("Institution - ", VLOOKUP($B173, '[2]DataLookUp - InstitutionBranch'!$B$4:$C$2000, 2, FALSE)), "")))</f>
        <v>Person - Grace Kurniawan</v>
      </c>
      <c r="D173" s="22">
        <v>223000000000002</v>
      </c>
      <c r="E173" s="40" t="str">
        <f>IF(EXACT($D173, ""), "", VLOOKUP($D173, 'REF - ContactNumberType'!$B$4:$C$10, 2, FALSE))</f>
        <v>Mobile Phone</v>
      </c>
      <c r="F173" s="27" t="s">
        <v>839</v>
      </c>
      <c r="G173" s="9"/>
      <c r="H173" s="9" t="s">
        <v>166</v>
      </c>
      <c r="J173" s="34">
        <f t="shared" si="5"/>
        <v>286000000000170</v>
      </c>
      <c r="K17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'+62 811-1975-696'::varchar, NULL::varchar, 'Grace Kurniawan'::varchar, '25000000000167'::bigint);</v>
      </c>
    </row>
    <row r="174" spans="2:11" x14ac:dyDescent="0.2">
      <c r="B174" s="22">
        <v>25000000000559</v>
      </c>
      <c r="C174" s="4" t="str">
        <f>IF(EXACT($B174, ""), "", IF((($B174 - MOD($B174, 1000000000000))/1000000000000)=25, CONCATENATE("Person - ", VLOOKUP($B174, [1]DataLookUp!$B$4:$C$2000, 2, FALSE)), IF((($B174 - MOD($B174, 1000000000000))/1000000000000)=124, CONCATENATE("Institution - ", VLOOKUP($B174, '[2]DataLookUp - InstitutionBranch'!$B$4:$C$2000, 2, FALSE)), "")))</f>
        <v>Person - Adhe Kurniawan</v>
      </c>
      <c r="D174" s="22">
        <v>223000000000002</v>
      </c>
      <c r="E174" s="40" t="str">
        <f>IF(EXACT($D174, ""), "", VLOOKUP($D174, 'REF - ContactNumberType'!$B$4:$C$10, 2, FALSE))</f>
        <v>Mobile Phone</v>
      </c>
      <c r="F174" s="27" t="s">
        <v>840</v>
      </c>
      <c r="G174" s="9"/>
      <c r="H174" s="9" t="s">
        <v>558</v>
      </c>
      <c r="J174" s="34">
        <f t="shared" si="5"/>
        <v>286000000000171</v>
      </c>
      <c r="K17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'+62 812-8425-4284'::varchar, NULL::varchar, 'Adhe Kurniawan'::varchar, '25000000000559'::bigint);</v>
      </c>
    </row>
    <row r="175" spans="2:11" x14ac:dyDescent="0.2">
      <c r="B175" s="22">
        <v>25000000000559</v>
      </c>
      <c r="C175" s="4" t="str">
        <f>IF(EXACT($B175, ""), "", IF((($B175 - MOD($B175, 1000000000000))/1000000000000)=25, CONCATENATE("Person - ", VLOOKUP($B175, [1]DataLookUp!$B$4:$C$2000, 2, FALSE)), IF((($B175 - MOD($B175, 1000000000000))/1000000000000)=124, CONCATENATE("Institution - ", VLOOKUP($B175, '[2]DataLookUp - InstitutionBranch'!$B$4:$C$2000, 2, FALSE)), "")))</f>
        <v>Person - Adhe Kurniawan</v>
      </c>
      <c r="D175" s="22">
        <v>223000000000002</v>
      </c>
      <c r="E175" s="40" t="str">
        <f>IF(EXACT($D175, ""), "", VLOOKUP($D175, 'REF - ContactNumberType'!$B$4:$C$10, 2, FALSE))</f>
        <v>Mobile Phone</v>
      </c>
      <c r="F175" s="27" t="s">
        <v>900</v>
      </c>
      <c r="G175" s="9"/>
      <c r="H175" s="9" t="s">
        <v>558</v>
      </c>
      <c r="J175" s="34">
        <f t="shared" si="5"/>
        <v>286000000000172</v>
      </c>
      <c r="K17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'+62 812-6338-284'::varchar, NULL::varchar, 'Adhe Kurniawan'::varchar, '25000000000559'::bigint);</v>
      </c>
    </row>
    <row r="176" spans="2:11" x14ac:dyDescent="0.2">
      <c r="B176" s="22">
        <v>25000000000017</v>
      </c>
      <c r="C176" s="4" t="str">
        <f>IF(EXACT($B176, ""), "", IF((($B176 - MOD($B176, 1000000000000))/1000000000000)=25, CONCATENATE("Person - ", VLOOKUP($B176, [1]DataLookUp!$B$4:$C$2000, 2, FALSE)), IF((($B176 - MOD($B176, 1000000000000))/1000000000000)=124, CONCATENATE("Institution - ", VLOOKUP($B176, '[2]DataLookUp - InstitutionBranch'!$B$4:$C$2000, 2, FALSE)), "")))</f>
        <v>Person - Ahmad Faiz Haems Muda</v>
      </c>
      <c r="D176" s="22">
        <v>223000000000002</v>
      </c>
      <c r="E176" s="40" t="str">
        <f>IF(EXACT($D176, ""), "", VLOOKUP($D176, 'REF - ContactNumberType'!$B$4:$C$10, 2, FALSE))</f>
        <v>Mobile Phone</v>
      </c>
      <c r="F176" s="27" t="s">
        <v>841</v>
      </c>
      <c r="G176" s="9"/>
      <c r="H176" s="9" t="s">
        <v>16</v>
      </c>
      <c r="J176" s="34">
        <f t="shared" si="5"/>
        <v>286000000000173</v>
      </c>
      <c r="K17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'+62 813-1458-9939'::varchar, NULL::varchar, 'Ahmad Faiz Haems Muda'::varchar, '25000000000017'::bigint);</v>
      </c>
    </row>
    <row r="177" spans="2:11" x14ac:dyDescent="0.2">
      <c r="B177" s="22">
        <v>25000000000509</v>
      </c>
      <c r="C177" s="4" t="str">
        <f>IF(EXACT($B177, ""), "", IF((($B177 - MOD($B177, 1000000000000))/1000000000000)=25, CONCATENATE("Person - ", VLOOKUP($B177, [1]DataLookUp!$B$4:$C$2000, 2, FALSE)), IF((($B177 - MOD($B177, 1000000000000))/1000000000000)=124, CONCATENATE("Institution - ", VLOOKUP($B177, '[2]DataLookUp - InstitutionBranch'!$B$4:$C$2000, 2, FALSE)), "")))</f>
        <v>Person - Riza Emir Subekti</v>
      </c>
      <c r="D177" s="22">
        <v>223000000000002</v>
      </c>
      <c r="E177" s="40" t="str">
        <f>IF(EXACT($D177, ""), "", VLOOKUP($D177, 'REF - ContactNumberType'!$B$4:$C$10, 2, FALSE))</f>
        <v>Mobile Phone</v>
      </c>
      <c r="F177" s="27" t="s">
        <v>842</v>
      </c>
      <c r="G177" s="9"/>
      <c r="H177" s="9" t="s">
        <v>508</v>
      </c>
      <c r="J177" s="34">
        <f t="shared" si="5"/>
        <v>286000000000174</v>
      </c>
      <c r="K17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'+62 811-1137-275'::varchar, NULL::varchar, 'Riza Emir Subekti'::varchar, '25000000000509'::bigint);</v>
      </c>
    </row>
    <row r="178" spans="2:11" x14ac:dyDescent="0.2">
      <c r="B178" s="22">
        <v>25000000000051</v>
      </c>
      <c r="C178" s="4" t="str">
        <f>IF(EXACT($B178, ""), "", IF((($B178 - MOD($B178, 1000000000000))/1000000000000)=25, CONCATENATE("Person - ", VLOOKUP($B178, [1]DataLookUp!$B$4:$C$2000, 2, FALSE)), IF((($B178 - MOD($B178, 1000000000000))/1000000000000)=124, CONCATENATE("Institution - ", VLOOKUP($B178, '[2]DataLookUp - InstitutionBranch'!$B$4:$C$2000, 2, FALSE)), "")))</f>
        <v>Person - Ares S. Mauboi</v>
      </c>
      <c r="D178" s="22">
        <v>223000000000002</v>
      </c>
      <c r="E178" s="40" t="str">
        <f>IF(EXACT($D178, ""), "", VLOOKUP($D178, 'REF - ContactNumberType'!$B$4:$C$10, 2, FALSE))</f>
        <v>Mobile Phone</v>
      </c>
      <c r="F178" s="27" t="s">
        <v>845</v>
      </c>
      <c r="G178" s="9"/>
      <c r="H178" s="9" t="s">
        <v>843</v>
      </c>
      <c r="J178" s="34">
        <f t="shared" si="5"/>
        <v>286000000000175</v>
      </c>
      <c r="K17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'+62 812-8326-4959'::varchar, NULL::varchar, 'Ares S. Mauboy'::varchar, '25000000000051'::bigint);</v>
      </c>
    </row>
    <row r="179" spans="2:11" x14ac:dyDescent="0.2">
      <c r="B179" s="22">
        <v>25000000000595</v>
      </c>
      <c r="C179" s="4" t="str">
        <f>IF(EXACT($B179, ""), "", IF((($B179 - MOD($B179, 1000000000000))/1000000000000)=25, CONCATENATE("Person - ", VLOOKUP($B179, [1]DataLookUp!$B$4:$C$2000, 2, FALSE)), IF((($B179 - MOD($B179, 1000000000000))/1000000000000)=124, CONCATENATE("Institution - ", VLOOKUP($B179, '[2]DataLookUp - InstitutionBranch'!$B$4:$C$2000, 2, FALSE)), "")))</f>
        <v>Person - Arief Yulianto</v>
      </c>
      <c r="D179" s="22">
        <v>223000000000002</v>
      </c>
      <c r="E179" s="40" t="str">
        <f>IF(EXACT($D179, ""), "", VLOOKUP($D179, 'REF - ContactNumberType'!$B$4:$C$10, 2, FALSE))</f>
        <v>Mobile Phone</v>
      </c>
      <c r="F179" s="27" t="s">
        <v>846</v>
      </c>
      <c r="G179" s="9"/>
      <c r="H179" s="9" t="s">
        <v>594</v>
      </c>
      <c r="J179" s="34">
        <f t="shared" si="5"/>
        <v>286000000000176</v>
      </c>
      <c r="K17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'+62 857-7006-7607'::varchar, NULL::varchar, 'Arief Yulianto'::varchar, '25000000000595'::bigint);</v>
      </c>
    </row>
    <row r="180" spans="2:11" x14ac:dyDescent="0.2">
      <c r="B180" s="22">
        <v>25000000000596</v>
      </c>
      <c r="C180" s="4" t="str">
        <f>IF(EXACT($B180, ""), "", IF((($B180 - MOD($B180, 1000000000000))/1000000000000)=25, CONCATENATE("Person - ", VLOOKUP($B180, [1]DataLookUp!$B$4:$C$2000, 2, FALSE)), IF((($B180 - MOD($B180, 1000000000000))/1000000000000)=124, CONCATENATE("Institution - ", VLOOKUP($B180, '[2]DataLookUp - InstitutionBranch'!$B$4:$C$2000, 2, FALSE)), "")))</f>
        <v>Person - Burhan</v>
      </c>
      <c r="D180" s="22">
        <v>223000000000002</v>
      </c>
      <c r="E180" s="40" t="str">
        <f>IF(EXACT($D180, ""), "", VLOOKUP($D180, 'REF - ContactNumberType'!$B$4:$C$10, 2, FALSE))</f>
        <v>Mobile Phone</v>
      </c>
      <c r="F180" s="27" t="s">
        <v>847</v>
      </c>
      <c r="G180" s="9"/>
      <c r="H180" s="9" t="s">
        <v>595</v>
      </c>
      <c r="J180" s="34">
        <f t="shared" si="5"/>
        <v>286000000000177</v>
      </c>
      <c r="K18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'+62 877-8435-5937'::varchar, NULL::varchar, 'Burhan'::varchar, '25000000000596'::bigint);</v>
      </c>
    </row>
    <row r="181" spans="2:11" x14ac:dyDescent="0.2">
      <c r="B181" s="22">
        <v>25000000000517</v>
      </c>
      <c r="C181" s="4" t="str">
        <f>IF(EXACT($B181, ""), "", IF((($B181 - MOD($B181, 1000000000000))/1000000000000)=25, CONCATENATE("Person - ", VLOOKUP($B181, [1]DataLookUp!$B$4:$C$2000, 2, FALSE)), IF((($B181 - MOD($B181, 1000000000000))/1000000000000)=124, CONCATENATE("Institution - ", VLOOKUP($B181, '[2]DataLookUp - InstitutionBranch'!$B$4:$C$2000, 2, FALSE)), "")))</f>
        <v>Person - Cahyana</v>
      </c>
      <c r="D181" s="22">
        <v>223000000000002</v>
      </c>
      <c r="E181" s="40" t="str">
        <f>IF(EXACT($D181, ""), "", VLOOKUP($D181, 'REF - ContactNumberType'!$B$4:$C$10, 2, FALSE))</f>
        <v>Mobile Phone</v>
      </c>
      <c r="F181" s="27" t="s">
        <v>848</v>
      </c>
      <c r="G181" s="9"/>
      <c r="H181" s="9" t="s">
        <v>516</v>
      </c>
      <c r="J181" s="34">
        <f t="shared" si="5"/>
        <v>286000000000178</v>
      </c>
      <c r="K18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8121-8555-661'::varchar, NULL::varchar, 'Cahyana'::varchar, '25000000000517'::bigint);</v>
      </c>
    </row>
    <row r="182" spans="2:11" x14ac:dyDescent="0.2">
      <c r="B182" s="22">
        <v>25000000000093</v>
      </c>
      <c r="C182" s="4" t="str">
        <f>IF(EXACT($B182, ""), "", IF((($B182 - MOD($B182, 1000000000000))/1000000000000)=25, CONCATENATE("Person - ", VLOOKUP($B182, [1]DataLookUp!$B$4:$C$2000, 2, FALSE)), IF((($B182 - MOD($B182, 1000000000000))/1000000000000)=124, CONCATENATE("Institution - ", VLOOKUP($B182, '[2]DataLookUp - InstitutionBranch'!$B$4:$C$2000, 2, FALSE)), "")))</f>
        <v>Person - Davit Lumban Gaol</v>
      </c>
      <c r="D182" s="22">
        <v>223000000000002</v>
      </c>
      <c r="E182" s="40" t="str">
        <f>IF(EXACT($D182, ""), "", VLOOKUP($D182, 'REF - ContactNumberType'!$B$4:$C$10, 2, FALSE))</f>
        <v>Mobile Phone</v>
      </c>
      <c r="F182" s="27" t="s">
        <v>849</v>
      </c>
      <c r="G182" s="9"/>
      <c r="H182" s="9" t="s">
        <v>92</v>
      </c>
      <c r="J182" s="34">
        <f t="shared" si="5"/>
        <v>286000000000179</v>
      </c>
      <c r="K18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'+62 822-7398-5841'::varchar, NULL::varchar, 'Davit Lumban Gaol'::varchar, '25000000000093'::bigint);</v>
      </c>
    </row>
    <row r="183" spans="2:11" x14ac:dyDescent="0.2">
      <c r="B183" s="22">
        <v>25000000000550</v>
      </c>
      <c r="C183" s="4" t="str">
        <f>IF(EXACT($B183, ""), "", IF((($B183 - MOD($B183, 1000000000000))/1000000000000)=25, CONCATENATE("Person - ", VLOOKUP($B183, [1]DataLookUp!$B$4:$C$2000, 2, FALSE)), IF((($B183 - MOD($B183, 1000000000000))/1000000000000)=124, CONCATENATE("Institution - ", VLOOKUP($B183, '[2]DataLookUp - InstitutionBranch'!$B$4:$C$2000, 2, FALSE)), "")))</f>
        <v>Person - Dian Tri Rahmawati</v>
      </c>
      <c r="D183" s="22">
        <v>223000000000002</v>
      </c>
      <c r="E183" s="40" t="str">
        <f>IF(EXACT($D183, ""), "", VLOOKUP($D183, 'REF - ContactNumberType'!$B$4:$C$10, 2, FALSE))</f>
        <v>Mobile Phone</v>
      </c>
      <c r="F183" s="27" t="s">
        <v>850</v>
      </c>
      <c r="G183" s="9"/>
      <c r="H183" s="9" t="s">
        <v>549</v>
      </c>
      <c r="J183" s="34">
        <f t="shared" si="5"/>
        <v>286000000000180</v>
      </c>
      <c r="K18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'+62 812-9465-7916'::varchar, NULL::varchar, 'Dian Tri Rahmawati'::varchar, '25000000000550'::bigint);</v>
      </c>
    </row>
    <row r="184" spans="2:11" x14ac:dyDescent="0.2">
      <c r="B184" s="22">
        <v>25000000000120</v>
      </c>
      <c r="C184" s="4" t="str">
        <f>IF(EXACT($B184, ""), "", IF((($B184 - MOD($B184, 1000000000000))/1000000000000)=25, CONCATENATE("Person - ", VLOOKUP($B184, [1]DataLookUp!$B$4:$C$2000, 2, FALSE)), IF((($B184 - MOD($B184, 1000000000000))/1000000000000)=124, CONCATENATE("Institution - ", VLOOKUP($B184, '[2]DataLookUp - InstitutionBranch'!$B$4:$C$2000, 2, FALSE)), "")))</f>
        <v>Person - Edy Syahputra Situmeang</v>
      </c>
      <c r="D184" s="22">
        <v>223000000000002</v>
      </c>
      <c r="E184" s="40" t="str">
        <f>IF(EXACT($D184, ""), "", VLOOKUP($D184, 'REF - ContactNumberType'!$B$4:$C$10, 2, FALSE))</f>
        <v>Mobile Phone</v>
      </c>
      <c r="F184" s="27" t="s">
        <v>773</v>
      </c>
      <c r="G184" s="9"/>
      <c r="H184" s="9" t="s">
        <v>119</v>
      </c>
      <c r="J184" s="34">
        <f t="shared" si="5"/>
        <v>286000000000181</v>
      </c>
      <c r="K18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'+62 853-5998-3177'::varchar, NULL::varchar, 'Edy Syahputra Situmeang'::varchar, '25000000000120'::bigint);</v>
      </c>
    </row>
    <row r="185" spans="2:11" x14ac:dyDescent="0.2">
      <c r="B185" s="22">
        <v>25000000000521</v>
      </c>
      <c r="C185" s="4" t="str">
        <f>IF(EXACT($B185, ""), "", IF((($B185 - MOD($B185, 1000000000000))/1000000000000)=25, CONCATENATE("Person - ", VLOOKUP($B185, [1]DataLookUp!$B$4:$C$2000, 2, FALSE)), IF((($B185 - MOD($B185, 1000000000000))/1000000000000)=124, CONCATENATE("Institution - ", VLOOKUP($B185, '[2]DataLookUp - InstitutionBranch'!$B$4:$C$2000, 2, FALSE)), "")))</f>
        <v>Person - Fabrian Danang Destiyara</v>
      </c>
      <c r="D185" s="22">
        <v>223000000000002</v>
      </c>
      <c r="E185" s="40" t="str">
        <f>IF(EXACT($D185, ""), "", VLOOKUP($D185, 'REF - ContactNumberType'!$B$4:$C$10, 2, FALSE))</f>
        <v>Mobile Phone</v>
      </c>
      <c r="F185" s="27" t="s">
        <v>851</v>
      </c>
      <c r="G185" s="9"/>
      <c r="H185" s="9" t="s">
        <v>520</v>
      </c>
      <c r="J185" s="34">
        <f t="shared" si="5"/>
        <v>286000000000182</v>
      </c>
      <c r="K18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'+62 822-1385-9070'::varchar, NULL::varchar, 'Fabrian Danang Destiyara'::varchar, '25000000000521'::bigint);</v>
      </c>
    </row>
    <row r="186" spans="2:11" x14ac:dyDescent="0.2">
      <c r="B186" s="22">
        <v>25000000000588</v>
      </c>
      <c r="C186" s="4" t="str">
        <f>IF(EXACT($B186, ""), "", IF((($B186 - MOD($B186, 1000000000000))/1000000000000)=25, CONCATENATE("Person - ", VLOOKUP($B186, [1]DataLookUp!$B$4:$C$2000, 2, FALSE)), IF((($B186 - MOD($B186, 1000000000000))/1000000000000)=124, CONCATENATE("Institution - ", VLOOKUP($B186, '[2]DataLookUp - InstitutionBranch'!$B$4:$C$2000, 2, FALSE)), "")))</f>
        <v>Person - Iman Faisal Abdurahman</v>
      </c>
      <c r="D186" s="22">
        <v>223000000000002</v>
      </c>
      <c r="E186" s="40" t="str">
        <f>IF(EXACT($D186, ""), "", VLOOKUP($D186, 'REF - ContactNumberType'!$B$4:$C$10, 2, FALSE))</f>
        <v>Mobile Phone</v>
      </c>
      <c r="F186" s="27" t="s">
        <v>852</v>
      </c>
      <c r="G186" s="9"/>
      <c r="H186" s="9" t="s">
        <v>587</v>
      </c>
      <c r="J186" s="34">
        <f t="shared" si="5"/>
        <v>286000000000183</v>
      </c>
      <c r="K18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'+62 856-8100-752'::varchar, NULL::varchar, 'Iman Faisal Abdurahman'::varchar, '25000000000588'::bigint);</v>
      </c>
    </row>
    <row r="187" spans="2:11" x14ac:dyDescent="0.2">
      <c r="B187" s="22">
        <v>25000000000551</v>
      </c>
      <c r="C187" s="4" t="str">
        <f>IF(EXACT($B187, ""), "", IF((($B187 - MOD($B187, 1000000000000))/1000000000000)=25, CONCATENATE("Person - ", VLOOKUP($B187, [1]DataLookUp!$B$4:$C$2000, 2, FALSE)), IF((($B187 - MOD($B187, 1000000000000))/1000000000000)=124, CONCATENATE("Institution - ", VLOOKUP($B187, '[2]DataLookUp - InstitutionBranch'!$B$4:$C$2000, 2, FALSE)), "")))</f>
        <v>Person - Langgeng Eko Dwiantoro</v>
      </c>
      <c r="D187" s="22">
        <v>223000000000002</v>
      </c>
      <c r="E187" s="40" t="str">
        <f>IF(EXACT($D187, ""), "", VLOOKUP($D187, 'REF - ContactNumberType'!$B$4:$C$10, 2, FALSE))</f>
        <v>Mobile Phone</v>
      </c>
      <c r="F187" s="27" t="s">
        <v>853</v>
      </c>
      <c r="G187" s="9"/>
      <c r="H187" s="9" t="s">
        <v>550</v>
      </c>
      <c r="J187" s="34">
        <f t="shared" si="5"/>
        <v>286000000000184</v>
      </c>
      <c r="K18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'+62 838-0600-4470'::varchar, NULL::varchar, 'Langgeng Eko Dwiantoro'::varchar, '25000000000551'::bigint);</v>
      </c>
    </row>
    <row r="188" spans="2:11" x14ac:dyDescent="0.2">
      <c r="B188" s="22">
        <v>25000000000551</v>
      </c>
      <c r="C188" s="4" t="str">
        <f>IF(EXACT($B188, ""), "", IF((($B188 - MOD($B188, 1000000000000))/1000000000000)=25, CONCATENATE("Person - ", VLOOKUP($B188, [1]DataLookUp!$B$4:$C$2000, 2, FALSE)), IF((($B188 - MOD($B188, 1000000000000))/1000000000000)=124, CONCATENATE("Institution - ", VLOOKUP($B188, '[2]DataLookUp - InstitutionBranch'!$B$4:$C$2000, 2, FALSE)), "")))</f>
        <v>Person - Langgeng Eko Dwiantoro</v>
      </c>
      <c r="D188" s="22">
        <v>223000000000002</v>
      </c>
      <c r="E188" s="40" t="str">
        <f>IF(EXACT($D188, ""), "", VLOOKUP($D188, 'REF - ContactNumberType'!$B$4:$C$10, 2, FALSE))</f>
        <v>Mobile Phone</v>
      </c>
      <c r="F188" s="27" t="s">
        <v>854</v>
      </c>
      <c r="G188" s="9"/>
      <c r="H188" s="9" t="s">
        <v>550</v>
      </c>
      <c r="J188" s="34">
        <f t="shared" si="5"/>
        <v>286000000000185</v>
      </c>
      <c r="K188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'+62 831-4318-2038'::varchar, NULL::varchar, 'Langgeng Eko Dwiantoro'::varchar, '25000000000551'::bigint);</v>
      </c>
    </row>
    <row r="189" spans="2:11" x14ac:dyDescent="0.2">
      <c r="B189" s="22">
        <v>25000000000372</v>
      </c>
      <c r="C189" s="4" t="str">
        <f>IF(EXACT($B189, ""), "", IF((($B189 - MOD($B189, 1000000000000))/1000000000000)=25, CONCATENATE("Person - ", VLOOKUP($B189, [1]DataLookUp!$B$4:$C$2000, 2, FALSE)), IF((($B189 - MOD($B189, 1000000000000))/1000000000000)=124, CONCATENATE("Institution - ", VLOOKUP($B189, '[2]DataLookUp - InstitutionBranch'!$B$4:$C$2000, 2, FALSE)), "")))</f>
        <v>Person - Roy Aditya</v>
      </c>
      <c r="D189" s="22">
        <v>223000000000002</v>
      </c>
      <c r="E189" s="40" t="str">
        <f>IF(EXACT($D189, ""), "", VLOOKUP($D189, 'REF - ContactNumberType'!$B$4:$C$10, 2, FALSE))</f>
        <v>Mobile Phone</v>
      </c>
      <c r="F189" s="27" t="s">
        <v>855</v>
      </c>
      <c r="G189" s="9"/>
      <c r="H189" s="9" t="s">
        <v>371</v>
      </c>
      <c r="J189" s="34">
        <f t="shared" si="5"/>
        <v>286000000000186</v>
      </c>
      <c r="K189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'+62 819-3279-8900'::varchar, NULL::varchar, 'Roy Aditya'::varchar, '25000000000372'::bigint);</v>
      </c>
    </row>
    <row r="190" spans="2:11" x14ac:dyDescent="0.2">
      <c r="B190" s="22">
        <v>25000000000610</v>
      </c>
      <c r="C190" s="4" t="str">
        <f>IF(EXACT($B190, ""), "", IF((($B190 - MOD($B190, 1000000000000))/1000000000000)=25, CONCATENATE("Person - ", VLOOKUP($B190, [1]DataLookUp!$B$4:$C$2000, 2, FALSE)), IF((($B190 - MOD($B190, 1000000000000))/1000000000000)=124, CONCATENATE("Institution - ", VLOOKUP($B190, '[2]DataLookUp - InstitutionBranch'!$B$4:$C$2000, 2, FALSE)), "")))</f>
        <v>Person - Rustono</v>
      </c>
      <c r="D190" s="22">
        <v>223000000000002</v>
      </c>
      <c r="E190" s="40" t="str">
        <f>IF(EXACT($D190, ""), "", VLOOKUP($D190, 'REF - ContactNumberType'!$B$4:$C$10, 2, FALSE))</f>
        <v>Mobile Phone</v>
      </c>
      <c r="F190" s="27" t="s">
        <v>856</v>
      </c>
      <c r="G190" s="9"/>
      <c r="H190" s="9" t="s">
        <v>609</v>
      </c>
      <c r="J190" s="34">
        <f t="shared" si="5"/>
        <v>286000000000187</v>
      </c>
      <c r="K190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'+62 896-3029-4828'::varchar, NULL::varchar, 'Rustono'::varchar, '25000000000610'::bigint);</v>
      </c>
    </row>
    <row r="191" spans="2:11" x14ac:dyDescent="0.2">
      <c r="B191" s="22">
        <v>25000000000611</v>
      </c>
      <c r="C191" s="4" t="str">
        <f>IF(EXACT($B191, ""), "", IF((($B191 - MOD($B191, 1000000000000))/1000000000000)=25, CONCATENATE("Person - ", VLOOKUP($B191, [1]DataLookUp!$B$4:$C$2000, 2, FALSE)), IF((($B191 - MOD($B191, 1000000000000))/1000000000000)=124, CONCATENATE("Institution - ", VLOOKUP($B191, '[2]DataLookUp - InstitutionBranch'!$B$4:$C$2000, 2, FALSE)), "")))</f>
        <v>Person - Solihin</v>
      </c>
      <c r="D191" s="22">
        <v>223000000000002</v>
      </c>
      <c r="E191" s="40" t="str">
        <f>IF(EXACT($D191, ""), "", VLOOKUP($D191, 'REF - ContactNumberType'!$B$4:$C$10, 2, FALSE))</f>
        <v>Mobile Phone</v>
      </c>
      <c r="F191" s="27" t="s">
        <v>857</v>
      </c>
      <c r="G191" s="9"/>
      <c r="H191" s="9" t="s">
        <v>610</v>
      </c>
      <c r="J191" s="34">
        <f t="shared" si="5"/>
        <v>286000000000188</v>
      </c>
      <c r="K191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'+62 858-1112-8435'::varchar, NULL::varchar, 'Solihin'::varchar, '25000000000611'::bigint);</v>
      </c>
    </row>
    <row r="192" spans="2:11" x14ac:dyDescent="0.2">
      <c r="B192" s="22">
        <v>25000000000415</v>
      </c>
      <c r="C192" s="4" t="str">
        <f>IF(EXACT($B192, ""), "", IF((($B192 - MOD($B192, 1000000000000))/1000000000000)=25, CONCATENATE("Person - ", VLOOKUP($B192, [1]DataLookUp!$B$4:$C$2000, 2, FALSE)), IF((($B192 - MOD($B192, 1000000000000))/1000000000000)=124, CONCATENATE("Institution - ", VLOOKUP($B192, '[2]DataLookUp - InstitutionBranch'!$B$4:$C$2000, 2, FALSE)), "")))</f>
        <v>Person - Sugiarto</v>
      </c>
      <c r="D192" s="22">
        <v>223000000000002</v>
      </c>
      <c r="E192" s="40" t="str">
        <f>IF(EXACT($D192, ""), "", VLOOKUP($D192, 'REF - ContactNumberType'!$B$4:$C$10, 2, FALSE))</f>
        <v>Mobile Phone</v>
      </c>
      <c r="F192" s="27" t="s">
        <v>858</v>
      </c>
      <c r="G192" s="9"/>
      <c r="H192" s="9" t="s">
        <v>414</v>
      </c>
      <c r="J192" s="34">
        <f t="shared" si="5"/>
        <v>286000000000189</v>
      </c>
      <c r="K192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'+62 896-4421-9358'::varchar, NULL::varchar, 'Sugiarto'::varchar, '25000000000415'::bigint);</v>
      </c>
    </row>
    <row r="193" spans="2:11" x14ac:dyDescent="0.2">
      <c r="B193" s="22">
        <v>25000000000548</v>
      </c>
      <c r="C193" s="4" t="str">
        <f>IF(EXACT($B193, ""), "", IF((($B193 - MOD($B193, 1000000000000))/1000000000000)=25, CONCATENATE("Person - ", VLOOKUP($B193, [1]DataLookUp!$B$4:$C$2000, 2, FALSE)), IF((($B193 - MOD($B193, 1000000000000))/1000000000000)=124, CONCATENATE("Institution - ", VLOOKUP($B193, '[2]DataLookUp - InstitutionBranch'!$B$4:$C$2000, 2, FALSE)), "")))</f>
        <v>Person - Sulaeman</v>
      </c>
      <c r="D193" s="22">
        <v>223000000000002</v>
      </c>
      <c r="E193" s="40" t="str">
        <f>IF(EXACT($D193, ""), "", VLOOKUP($D193, 'REF - ContactNumberType'!$B$4:$C$10, 2, FALSE))</f>
        <v>Mobile Phone</v>
      </c>
      <c r="F193" s="27" t="s">
        <v>859</v>
      </c>
      <c r="G193" s="9"/>
      <c r="H193" s="9" t="s">
        <v>547</v>
      </c>
      <c r="J193" s="34">
        <f t="shared" si="5"/>
        <v>286000000000190</v>
      </c>
      <c r="K193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'+62 857-1407-2656'::varchar, NULL::varchar, 'Sulaeman'::varchar, '25000000000548'::bigint);</v>
      </c>
    </row>
    <row r="194" spans="2:11" x14ac:dyDescent="0.2">
      <c r="B194" s="22">
        <v>25000000000612</v>
      </c>
      <c r="C194" s="4" t="str">
        <f>IF(EXACT($B194, ""), "", IF((($B194 - MOD($B194, 1000000000000))/1000000000000)=25, CONCATENATE("Person - ", VLOOKUP($B194, [1]DataLookUp!$B$4:$C$2000, 2, FALSE)), IF((($B194 - MOD($B194, 1000000000000))/1000000000000)=124, CONCATENATE("Institution - ", VLOOKUP($B194, '[2]DataLookUp - InstitutionBranch'!$B$4:$C$2000, 2, FALSE)), "")))</f>
        <v>Person - Supriatna</v>
      </c>
      <c r="D194" s="22">
        <v>223000000000002</v>
      </c>
      <c r="E194" s="40" t="str">
        <f>IF(EXACT($D194, ""), "", VLOOKUP($D194, 'REF - ContactNumberType'!$B$4:$C$10, 2, FALSE))</f>
        <v>Mobile Phone</v>
      </c>
      <c r="F194" s="27" t="s">
        <v>860</v>
      </c>
      <c r="G194" s="9"/>
      <c r="H194" s="9" t="s">
        <v>611</v>
      </c>
      <c r="J194" s="34">
        <f t="shared" si="5"/>
        <v>286000000000191</v>
      </c>
      <c r="K194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'+62 812-9625-7489'::varchar, NULL::varchar, 'Supriatna'::varchar, '25000000000612'::bigint);</v>
      </c>
    </row>
    <row r="195" spans="2:11" x14ac:dyDescent="0.2">
      <c r="B195" s="22">
        <v>25000000000614</v>
      </c>
      <c r="C195" s="4" t="str">
        <f>IF(EXACT($B195, ""), "", IF((($B195 - MOD($B195, 1000000000000))/1000000000000)=25, CONCATENATE("Person - ", VLOOKUP($B195, [1]DataLookUp!$B$4:$C$2000, 2, FALSE)), IF((($B195 - MOD($B195, 1000000000000))/1000000000000)=124, CONCATENATE("Institution - ", VLOOKUP($B195, '[2]DataLookUp - InstitutionBranch'!$B$4:$C$2000, 2, FALSE)), "")))</f>
        <v>Person - Timotius Tabun</v>
      </c>
      <c r="D195" s="22">
        <v>223000000000002</v>
      </c>
      <c r="E195" s="40" t="str">
        <f>IF(EXACT($D195, ""), "", VLOOKUP($D195, 'REF - ContactNumberType'!$B$4:$C$10, 2, FALSE))</f>
        <v>Mobile Phone</v>
      </c>
      <c r="F195" s="27" t="s">
        <v>861</v>
      </c>
      <c r="G195" s="9"/>
      <c r="H195" s="9" t="s">
        <v>613</v>
      </c>
      <c r="J195" s="34">
        <f t="shared" si="5"/>
        <v>286000000000192</v>
      </c>
      <c r="K195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'+62 812-8268-4357'::varchar, NULL::varchar, 'Timotius Tabun'::varchar, '25000000000614'::bigint);</v>
      </c>
    </row>
    <row r="196" spans="2:11" x14ac:dyDescent="0.2">
      <c r="B196" s="22">
        <v>25000000000458</v>
      </c>
      <c r="C196" s="4" t="str">
        <f>IF(EXACT($B196, ""), "", IF((($B196 - MOD($B196, 1000000000000))/1000000000000)=25, CONCATENATE("Person - ", VLOOKUP($B196, [1]DataLookUp!$B$4:$C$2000, 2, FALSE)), IF((($B196 - MOD($B196, 1000000000000))/1000000000000)=124, CONCATENATE("Institution - ", VLOOKUP($B196, '[2]DataLookUp - InstitutionBranch'!$B$4:$C$2000, 2, FALSE)), "")))</f>
        <v>Person - Urbanus Boimau</v>
      </c>
      <c r="D196" s="22">
        <v>223000000000002</v>
      </c>
      <c r="E196" s="40" t="str">
        <f>IF(EXACT($D196, ""), "", VLOOKUP($D196, 'REF - ContactNumberType'!$B$4:$C$10, 2, FALSE))</f>
        <v>Mobile Phone</v>
      </c>
      <c r="F196" s="27" t="s">
        <v>862</v>
      </c>
      <c r="G196" s="9"/>
      <c r="H196" s="9" t="s">
        <v>457</v>
      </c>
      <c r="J196" s="34">
        <f t="shared" si="5"/>
        <v>286000000000193</v>
      </c>
      <c r="K196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'+62 821-4815-2759'::varchar, NULL::varchar, 'Urbanus Boimau'::varchar, '25000000000458'::bigint);</v>
      </c>
    </row>
    <row r="197" spans="2:11" x14ac:dyDescent="0.2">
      <c r="B197" s="22">
        <v>25000000000615</v>
      </c>
      <c r="C197" s="4" t="str">
        <f>IF(EXACT($B197, ""), "", IF((($B197 - MOD($B197, 1000000000000))/1000000000000)=25, CONCATENATE("Person - ", VLOOKUP($B197, [1]DataLookUp!$B$4:$C$2000, 2, FALSE)), IF((($B197 - MOD($B197, 1000000000000))/1000000000000)=124, CONCATENATE("Institution - ", VLOOKUP($B197, '[2]DataLookUp - InstitutionBranch'!$B$4:$C$2000, 2, FALSE)), "")))</f>
        <v>Person - Adi</v>
      </c>
      <c r="D197" s="22">
        <v>223000000000002</v>
      </c>
      <c r="E197" s="40" t="str">
        <f>IF(EXACT($D197, ""), "", VLOOKUP($D197, 'REF - ContactNumberType'!$B$4:$C$10, 2, FALSE))</f>
        <v>Mobile Phone</v>
      </c>
      <c r="F197" s="27" t="s">
        <v>863</v>
      </c>
      <c r="G197" s="9"/>
      <c r="H197" s="9" t="s">
        <v>844</v>
      </c>
      <c r="J197" s="34">
        <f t="shared" si="5"/>
        <v>286000000000194</v>
      </c>
      <c r="K197" s="35" t="str">
        <f t="shared" si="6"/>
        <v>PERFORM "SchData-OLTP-Master"."Func_TblContactNumber_SET"(varSystemLoginSession::bigint, null::bigint, null::varchar, null::timestamptz, null::timestamptz, null::varchar, varInstitutionBranchID::bigint, varBaseCurrencyID::bigint, 223000000000002::bigint, '+62 812-8967-5850'::varchar, NULL::varchar, 'Adi'::varchar, '25000000000615'::bigint);</v>
      </c>
    </row>
    <row r="198" spans="2:11" x14ac:dyDescent="0.2">
      <c r="B198" s="28">
        <v>25000000000609</v>
      </c>
      <c r="C198" s="42" t="str">
        <f>IF(EXACT($B198, ""), "", IF((($B198 - MOD($B198, 1000000000000))/1000000000000)=25, CONCATENATE("Person - ", VLOOKUP($B198, [1]DataLookUp!$B$4:$C$2000, 2, FALSE)), IF((($B198 - MOD($B198, 1000000000000))/1000000000000)=124, CONCATENATE("Institution - ", VLOOKUP($B198, '[2]DataLookUp - InstitutionBranch'!$B$4:$C$2000, 2, FALSE)), "")))</f>
        <v>Person - Risty Alawiyah</v>
      </c>
      <c r="D198" s="28">
        <v>223000000000002</v>
      </c>
      <c r="E198" s="43" t="str">
        <f>IF(EXACT($D198, ""), "", VLOOKUP($D198, 'REF - ContactNumberType'!$B$4:$C$10, 2, FALSE))</f>
        <v>Mobile Phone</v>
      </c>
      <c r="F198" s="29" t="s">
        <v>897</v>
      </c>
      <c r="G198" s="11"/>
      <c r="H198" s="11" t="s">
        <v>608</v>
      </c>
      <c r="J198" s="34">
        <f t="shared" ref="J198:J261" si="7" xml:space="preserve"> J197 + IF(EXACT(K198, ""), 0, 1)</f>
        <v>286000000000195</v>
      </c>
      <c r="K198" s="35" t="str">
        <f t="shared" ref="K198:K261" si="8">IF(EXACT(F198, ""), "", CONCATENATE("PERFORM ""SchData-OLTP-Master"".""Func_TblContactNumber_SET""(varSystemLoginSession::bigint, null::bigint, null::varchar, null::timestamptz, null::timestamptz, null::varchar, varInstitutionBranchID::bigint, varBaseCurrencyID::bigint, ", IF(EXACT($D198, ""), "NULL", ""&amp;$D198&amp;""), "::bigint, ", IF(EXACT($F198, ""), "NULL", "'"&amp;$F198&amp;"'"), "::varchar, ", IF(EXACT($G198, ""), "NULL", "'"&amp;$G198&amp;"'"), "::varchar, ", IF(EXACT($H198, ""), "NULL", "'"&amp;$H198&amp;"'"), "::varchar, ", IF(EXACT($B198, ""), "NULL", "'"&amp;$B198&amp;"'"),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223000000000002::bigint, '+62 821-6677-0677'::varchar, NULL::varchar, 'Risty Alawiyah'::varchar, '25000000000609'::bigint);</v>
      </c>
    </row>
    <row r="199" spans="2:11" x14ac:dyDescent="0.2">
      <c r="B199" s="22">
        <v>124000000000001</v>
      </c>
      <c r="C199" s="4" t="str">
        <f>IF(EXACT($B199, ""), "", IF((($B199 - MOD($B199, 1000000000000))/1000000000000)=25, CONCATENATE("Person - ", VLOOKUP($B199, [1]DataLookUp!$B$4:$C$2000, 2, FALSE)), IF((($B199 - MOD($B199, 1000000000000))/1000000000000)=124, CONCATENATE("Institution - ", VLOOKUP($B199, '[2]DataLookUp - InstitutionBranch'!$B$4:$C$2000, 2, FALSE)), "")))</f>
        <v>Institution - PT. QDC Technologies</v>
      </c>
      <c r="D199" s="22">
        <v>223000000000004</v>
      </c>
      <c r="E199" s="40" t="str">
        <f>IF(EXACT($D199, ""), "", VLOOKUP($D199, 'REF - ContactNumberType'!$B$4:$C$10, 2, FALSE))</f>
        <v>Office Phone</v>
      </c>
      <c r="F199" s="27" t="s">
        <v>923</v>
      </c>
      <c r="G199" s="9"/>
      <c r="H199" s="9" t="s">
        <v>898</v>
      </c>
      <c r="J199" s="34">
        <f t="shared" si="7"/>
        <v>286000000000196</v>
      </c>
      <c r="K19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21 791-912-34'::varchar, NULL::varchar, 'PT QDC Technologies'::varchar, '124000000000001'::bigint);</v>
      </c>
    </row>
    <row r="200" spans="2:11" x14ac:dyDescent="0.2">
      <c r="B200" s="22">
        <v>124000000000001</v>
      </c>
      <c r="C200" s="4" t="str">
        <f>IF(EXACT($B200, ""), "", IF((($B200 - MOD($B200, 1000000000000))/1000000000000)=25, CONCATENATE("Person - ", VLOOKUP($B200, [1]DataLookUp!$B$4:$C$2000, 2, FALSE)), IF((($B200 - MOD($B200, 1000000000000))/1000000000000)=124, CONCATENATE("Institution - ", VLOOKUP($B200, '[2]DataLookUp - InstitutionBranch'!$B$4:$C$2000, 2, FALSE)), "")))</f>
        <v>Institution - PT. QDC Technologies</v>
      </c>
      <c r="D200" s="22">
        <v>223000000000005</v>
      </c>
      <c r="E200" s="40" t="str">
        <f>IF(EXACT($D200, ""), "", VLOOKUP($D200, 'REF - ContactNumberType'!$B$4:$C$10, 2, FALSE))</f>
        <v>Faximile</v>
      </c>
      <c r="F200" s="27" t="s">
        <v>922</v>
      </c>
      <c r="G200" s="9"/>
      <c r="H200" s="9" t="s">
        <v>898</v>
      </c>
      <c r="J200" s="34">
        <f t="shared" si="7"/>
        <v>286000000000197</v>
      </c>
      <c r="K20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21 791-933-33'::varchar, NULL::varchar, 'PT QDC Technologies'::varchar, '124000000000001'::bigint);</v>
      </c>
    </row>
    <row r="201" spans="2:11" x14ac:dyDescent="0.2">
      <c r="B201" s="22">
        <v>124000000000002</v>
      </c>
      <c r="C201" s="4" t="str">
        <f>IF(EXACT($B201, ""), "", IF((($B201 - MOD($B201, 1000000000000))/1000000000000)=25, CONCATENATE("Person - ", VLOOKUP($B201, [1]DataLookUp!$B$4:$C$2000, 2, FALSE)), IF((($B201 - MOD($B201, 1000000000000))/1000000000000)=124, CONCATENATE("Institution - ", VLOOKUP($B201, '[2]DataLookUp - InstitutionBranch'!$B$4:$C$2000, 2, FALSE)), "")))</f>
        <v>Institution - PT. Infra Media Dinamika</v>
      </c>
      <c r="D201" s="22">
        <v>223000000000004</v>
      </c>
      <c r="E201" s="40" t="str">
        <f>IF(EXACT($D201, ""), "", VLOOKUP($D201, 'REF - ContactNumberType'!$B$4:$C$10, 2, FALSE))</f>
        <v>Office Phone</v>
      </c>
      <c r="F201" s="27"/>
      <c r="G201" s="9"/>
      <c r="H201" s="9"/>
      <c r="J201" s="34">
        <f t="shared" si="7"/>
        <v>286000000000197</v>
      </c>
      <c r="K201" s="35" t="str">
        <f t="shared" si="8"/>
        <v/>
      </c>
    </row>
    <row r="202" spans="2:11" x14ac:dyDescent="0.2">
      <c r="B202" s="22">
        <v>124000000000003</v>
      </c>
      <c r="C202" s="4" t="str">
        <f>IF(EXACT($B202, ""), "", IF((($B202 - MOD($B202, 1000000000000))/1000000000000)=25, CONCATENATE("Person - ", VLOOKUP($B202, [1]DataLookUp!$B$4:$C$2000, 2, FALSE)), IF((($B202 - MOD($B202, 1000000000000))/1000000000000)=124, CONCATENATE("Institution - ", VLOOKUP($B202, '[2]DataLookUp - InstitutionBranch'!$B$4:$C$2000, 2, FALSE)), "")))</f>
        <v>Institution - PT. Daya Hidro Dinamika</v>
      </c>
      <c r="D202" s="22">
        <v>223000000000004</v>
      </c>
      <c r="E202" s="40" t="str">
        <f>IF(EXACT($D202, ""), "", VLOOKUP($D202, 'REF - ContactNumberType'!$B$4:$C$10, 2, FALSE))</f>
        <v>Office Phone</v>
      </c>
      <c r="F202" s="27"/>
      <c r="G202" s="9"/>
      <c r="H202" s="9"/>
      <c r="J202" s="34">
        <f t="shared" si="7"/>
        <v>286000000000197</v>
      </c>
      <c r="K202" s="35" t="str">
        <f t="shared" si="8"/>
        <v/>
      </c>
    </row>
    <row r="203" spans="2:11" x14ac:dyDescent="0.2">
      <c r="B203" s="22">
        <v>124000000000004</v>
      </c>
      <c r="C203" s="4" t="str">
        <f>IF(EXACT($B203, ""), "", IF((($B203 - MOD($B203, 1000000000000))/1000000000000)=25, CONCATENATE("Person - ", VLOOKUP($B203, [1]DataLookUp!$B$4:$C$2000, 2, FALSE)), IF((($B203 - MOD($B203, 1000000000000))/1000000000000)=124, CONCATENATE("Institution - ", VLOOKUP($B203, '[2]DataLookUp - InstitutionBranch'!$B$4:$C$2000, 2, FALSE)), "")))</f>
        <v>Institution - PT. Energi Mekar Lestari</v>
      </c>
      <c r="D203" s="22">
        <v>223000000000004</v>
      </c>
      <c r="E203" s="40" t="str">
        <f>IF(EXACT($D203, ""), "", VLOOKUP($D203, 'REF - ContactNumberType'!$B$4:$C$10, 2, FALSE))</f>
        <v>Office Phone</v>
      </c>
      <c r="F203" s="27" t="s">
        <v>924</v>
      </c>
      <c r="G203" s="9"/>
      <c r="H203" s="9"/>
      <c r="J203" s="34">
        <f t="shared" si="7"/>
        <v>286000000000198</v>
      </c>
      <c r="K20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21 521-255-2'::varchar, NULL::varchar, NULL::varchar, '124000000000004'::bigint);</v>
      </c>
    </row>
    <row r="204" spans="2:11" x14ac:dyDescent="0.2">
      <c r="B204" s="22">
        <v>124000000000004</v>
      </c>
      <c r="C204" s="4" t="str">
        <f>IF(EXACT($B204, ""), "", IF((($B204 - MOD($B204, 1000000000000))/1000000000000)=25, CONCATENATE("Person - ", VLOOKUP($B204, [1]DataLookUp!$B$4:$C$2000, 2, FALSE)), IF((($B204 - MOD($B204, 1000000000000))/1000000000000)=124, CONCATENATE("Institution - ", VLOOKUP($B204, '[2]DataLookUp - InstitutionBranch'!$B$4:$C$2000, 2, FALSE)), "")))</f>
        <v>Institution - PT. Energi Mekar Lestari</v>
      </c>
      <c r="D204" s="22">
        <v>223000000000005</v>
      </c>
      <c r="E204" s="40" t="str">
        <f>IF(EXACT($D204, ""), "", VLOOKUP($D204, 'REF - ContactNumberType'!$B$4:$C$10, 2, FALSE))</f>
        <v>Faximile</v>
      </c>
      <c r="F204" s="27" t="s">
        <v>925</v>
      </c>
      <c r="G204" s="9"/>
      <c r="H204" s="9"/>
      <c r="J204" s="34">
        <f t="shared" si="7"/>
        <v>286000000000199</v>
      </c>
      <c r="K20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21 521-290-0'::varchar, NULL::varchar, NULL::varchar, '124000000000004'::bigint);</v>
      </c>
    </row>
    <row r="205" spans="2:11" x14ac:dyDescent="0.2">
      <c r="B205" s="22">
        <v>124000000000005</v>
      </c>
      <c r="C205" s="4" t="str">
        <f>IF(EXACT($B205, ""), "", IF((($B205 - MOD($B205, 1000000000000))/1000000000000)=25, CONCATENATE("Person - ", VLOOKUP($B205, [1]DataLookUp!$B$4:$C$2000, 2, FALSE)), IF((($B205 - MOD($B205, 1000000000000))/1000000000000)=124, CONCATENATE("Institution - ", VLOOKUP($B205, '[2]DataLookUp - InstitutionBranch'!$B$4:$C$2000, 2, FALSE)), "")))</f>
        <v>Institution - PT. KHA</v>
      </c>
      <c r="D205" s="22">
        <v>223000000000004</v>
      </c>
      <c r="E205" s="40" t="str">
        <f>IF(EXACT($D205, ""), "", VLOOKUP($D205, 'REF - ContactNumberType'!$B$4:$C$10, 2, FALSE))</f>
        <v>Office Phone</v>
      </c>
      <c r="F205" s="27"/>
      <c r="G205" s="9"/>
      <c r="H205" s="9"/>
      <c r="J205" s="34">
        <f t="shared" si="7"/>
        <v>286000000000199</v>
      </c>
      <c r="K205" s="35" t="str">
        <f t="shared" si="8"/>
        <v/>
      </c>
    </row>
    <row r="206" spans="2:11" x14ac:dyDescent="0.2">
      <c r="B206" s="22">
        <v>124000000000006</v>
      </c>
      <c r="C206" s="4" t="str">
        <f>IF(EXACT($B206, ""), "", IF((($B206 - MOD($B206, 1000000000000))/1000000000000)=25, CONCATENATE("Person - ", VLOOKUP($B206, [1]DataLookUp!$B$4:$C$2000, 2, FALSE)), IF((($B206 - MOD($B206, 1000000000000))/1000000000000)=124, CONCATENATE("Institution - ", VLOOKUP($B206, '[2]DataLookUp - InstitutionBranch'!$B$4:$C$2000, 2, FALSE)), "")))</f>
        <v>Institution - PT. Abhitama Citra Abadi</v>
      </c>
      <c r="D206" s="22">
        <v>223000000000004</v>
      </c>
      <c r="E206" s="40" t="str">
        <f>IF(EXACT($D206, ""), "", VLOOKUP($D206, 'REF - ContactNumberType'!$B$4:$C$10, 2, FALSE))</f>
        <v>Office Phone</v>
      </c>
      <c r="F206" s="27" t="s">
        <v>926</v>
      </c>
      <c r="G206" s="9"/>
      <c r="H206" s="9"/>
      <c r="J206" s="34">
        <f t="shared" si="7"/>
        <v>286000000000200</v>
      </c>
      <c r="K20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21 579-303-04'::varchar, NULL::varchar, NULL::varchar, '124000000000006'::bigint);</v>
      </c>
    </row>
    <row r="207" spans="2:11" x14ac:dyDescent="0.2">
      <c r="B207" s="22">
        <v>124000000000006</v>
      </c>
      <c r="C207" s="4" t="str">
        <f>IF(EXACT($B207, ""), "", IF((($B207 - MOD($B207, 1000000000000))/1000000000000)=25, CONCATENATE("Person - ", VLOOKUP($B207, [1]DataLookUp!$B$4:$C$2000, 2, FALSE)), IF((($B207 - MOD($B207, 1000000000000))/1000000000000)=124, CONCATENATE("Institution - ", VLOOKUP($B207, '[2]DataLookUp - InstitutionBranch'!$B$4:$C$2000, 2, FALSE)), "")))</f>
        <v>Institution - PT. Abhitama Citra Abadi</v>
      </c>
      <c r="D207" s="22">
        <v>223000000000005</v>
      </c>
      <c r="E207" s="40" t="str">
        <f>IF(EXACT($D207, ""), "", VLOOKUP($D207, 'REF - ContactNumberType'!$B$4:$C$10, 2, FALSE))</f>
        <v>Faximile</v>
      </c>
      <c r="F207" s="27" t="s">
        <v>927</v>
      </c>
      <c r="G207" s="9"/>
      <c r="H207" s="9"/>
      <c r="J207" s="34">
        <f t="shared" si="7"/>
        <v>286000000000201</v>
      </c>
      <c r="K207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21 579-303-11'::varchar, NULL::varchar, NULL::varchar, '124000000000006'::bigint);</v>
      </c>
    </row>
    <row r="208" spans="2:11" x14ac:dyDescent="0.2">
      <c r="B208" s="22">
        <v>124000000000007</v>
      </c>
      <c r="C208" s="4" t="str">
        <f>IF(EXACT($B208, ""), "", IF((($B208 - MOD($B208, 1000000000000))/1000000000000)=25, CONCATENATE("Person - ", VLOOKUP($B208, [1]DataLookUp!$B$4:$C$2000, 2, FALSE)), IF((($B208 - MOD($B208, 1000000000000))/1000000000000)=124, CONCATENATE("Institution - ", VLOOKUP($B208, '[2]DataLookUp - InstitutionBranch'!$B$4:$C$2000, 2, FALSE)), "")))</f>
        <v>Institution - PT. Abiyasa Tunggal</v>
      </c>
      <c r="D208" s="22">
        <v>223000000000004</v>
      </c>
      <c r="E208" s="40" t="str">
        <f>IF(EXACT($D208, ""), "", VLOOKUP($D208, 'REF - ContactNumberType'!$B$4:$C$10, 2, FALSE))</f>
        <v>Office Phone</v>
      </c>
      <c r="F208" s="27"/>
      <c r="G208" s="9"/>
      <c r="H208" s="9"/>
      <c r="J208" s="34">
        <f t="shared" si="7"/>
        <v>286000000000201</v>
      </c>
      <c r="K208" s="35" t="str">
        <f t="shared" si="8"/>
        <v/>
      </c>
    </row>
    <row r="209" spans="2:11" x14ac:dyDescent="0.2">
      <c r="B209" s="22">
        <v>124000000000008</v>
      </c>
      <c r="C209" s="4" t="str">
        <f>IF(EXACT($B209, ""), "", IF((($B209 - MOD($B209, 1000000000000))/1000000000000)=25, CONCATENATE("Person - ", VLOOKUP($B209, [1]DataLookUp!$B$4:$C$2000, 2, FALSE)), IF((($B209 - MOD($B209, 1000000000000))/1000000000000)=124, CONCATENATE("Institution - ", VLOOKUP($B209, '[2]DataLookUp - InstitutionBranch'!$B$4:$C$2000, 2, FALSE)), "")))</f>
        <v>Institution - PT. Aplika Nusa Lintas Arta</v>
      </c>
      <c r="D209" s="22">
        <v>223000000000004</v>
      </c>
      <c r="E209" s="40" t="str">
        <f>IF(EXACT($D209, ""), "", VLOOKUP($D209, 'REF - ContactNumberType'!$B$4:$C$10, 2, FALSE))</f>
        <v>Office Phone</v>
      </c>
      <c r="F209" s="27" t="s">
        <v>928</v>
      </c>
      <c r="G209" s="9"/>
      <c r="H209" s="9"/>
      <c r="J209" s="34">
        <f t="shared" si="7"/>
        <v>286000000000202</v>
      </c>
      <c r="K20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21 230-234-5'::varchar, NULL::varchar, NULL::varchar, '124000000000008'::bigint);</v>
      </c>
    </row>
    <row r="210" spans="2:11" x14ac:dyDescent="0.2">
      <c r="B210" s="22">
        <v>124000000000008</v>
      </c>
      <c r="C210" s="4" t="str">
        <f>IF(EXACT($B210, ""), "", IF((($B210 - MOD($B210, 1000000000000))/1000000000000)=25, CONCATENATE("Person - ", VLOOKUP($B210, [1]DataLookUp!$B$4:$C$2000, 2, FALSE)), IF((($B210 - MOD($B210, 1000000000000))/1000000000000)=124, CONCATENATE("Institution - ", VLOOKUP($B210, '[2]DataLookUp - InstitutionBranch'!$B$4:$C$2000, 2, FALSE)), "")))</f>
        <v>Institution - PT. Aplika Nusa Lintas Arta</v>
      </c>
      <c r="D210" s="22">
        <v>223000000000005</v>
      </c>
      <c r="E210" s="40" t="str">
        <f>IF(EXACT($D210, ""), "", VLOOKUP($D210, 'REF - ContactNumberType'!$B$4:$C$10, 2, FALSE))</f>
        <v>Faximile</v>
      </c>
      <c r="F210" s="27" t="s">
        <v>929</v>
      </c>
      <c r="G210" s="9"/>
      <c r="H210" s="9"/>
      <c r="J210" s="34">
        <f t="shared" si="7"/>
        <v>286000000000203</v>
      </c>
      <c r="K21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21 230-317-1'::varchar, NULL::varchar, NULL::varchar, '124000000000008'::bigint);</v>
      </c>
    </row>
    <row r="211" spans="2:11" x14ac:dyDescent="0.2">
      <c r="B211" s="22">
        <v>124000000000009</v>
      </c>
      <c r="C211" s="4" t="str">
        <f>IF(EXACT($B211, ""), "", IF((($B211 - MOD($B211, 1000000000000))/1000000000000)=25, CONCATENATE("Person - ", VLOOKUP($B211, [1]DataLookUp!$B$4:$C$2000, 2, FALSE)), IF((($B211 - MOD($B211, 1000000000000))/1000000000000)=124, CONCATENATE("Institution - ", VLOOKUP($B211, '[2]DataLookUp - InstitutionBranch'!$B$4:$C$2000, 2, FALSE)), "")))</f>
        <v>Institution - PT. Bakrie Telecom, Tbk</v>
      </c>
      <c r="D211" s="22">
        <v>223000000000004</v>
      </c>
      <c r="E211" s="40" t="str">
        <f>IF(EXACT($D211, ""), "", VLOOKUP($D211, 'REF - ContactNumberType'!$B$4:$C$10, 2, FALSE))</f>
        <v>Office Phone</v>
      </c>
      <c r="F211" s="27" t="s">
        <v>930</v>
      </c>
      <c r="G211" s="9"/>
      <c r="H211" s="9"/>
      <c r="J211" s="34">
        <f t="shared" si="7"/>
        <v>286000000000204</v>
      </c>
      <c r="K21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21 910-111'::varchar, NULL::varchar, NULL::varchar, '124000000000009'::bigint);</v>
      </c>
    </row>
    <row r="212" spans="2:11" x14ac:dyDescent="0.2">
      <c r="B212" s="22">
        <v>124000000000009</v>
      </c>
      <c r="C212" s="4" t="str">
        <f>IF(EXACT($B212, ""), "", IF((($B212 - MOD($B212, 1000000000000))/1000000000000)=25, CONCATENATE("Person - ", VLOOKUP($B212, [1]DataLookUp!$B$4:$C$2000, 2, FALSE)), IF((($B212 - MOD($B212, 1000000000000))/1000000000000)=124, CONCATENATE("Institution - ", VLOOKUP($B212, '[2]DataLookUp - InstitutionBranch'!$B$4:$C$2000, 2, FALSE)), "")))</f>
        <v>Institution - PT. Bakrie Telecom, Tbk</v>
      </c>
      <c r="D212" s="22">
        <v>223000000000005</v>
      </c>
      <c r="E212" s="40" t="str">
        <f>IF(EXACT($D212, ""), "", VLOOKUP($D212, 'REF - ContactNumberType'!$B$4:$C$10, 2, FALSE))</f>
        <v>Faximile</v>
      </c>
      <c r="F212" s="27" t="s">
        <v>931</v>
      </c>
      <c r="G212" s="9"/>
      <c r="H212" s="9"/>
      <c r="J212" s="34">
        <f t="shared" si="7"/>
        <v>286000000000205</v>
      </c>
      <c r="K212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21 914-980'::varchar, NULL::varchar, NULL::varchar, '124000000000009'::bigint);</v>
      </c>
    </row>
    <row r="213" spans="2:11" x14ac:dyDescent="0.2">
      <c r="B213" s="22">
        <v>124000000000010</v>
      </c>
      <c r="C213" s="4" t="str">
        <f>IF(EXACT($B213, ""), "", IF((($B213 - MOD($B213, 1000000000000))/1000000000000)=25, CONCATENATE("Person - ", VLOOKUP($B213, [1]DataLookUp!$B$4:$C$2000, 2, FALSE)), IF((($B213 - MOD($B213, 1000000000000))/1000000000000)=124, CONCATENATE("Institution - ", VLOOKUP($B213, '[2]DataLookUp - InstitutionBranch'!$B$4:$C$2000, 2, FALSE)), "")))</f>
        <v>Institution - PT. Bukaka Teknik Utama, Tbk</v>
      </c>
      <c r="D213" s="22">
        <v>223000000000004</v>
      </c>
      <c r="E213" s="40" t="str">
        <f>IF(EXACT($D213, ""), "", VLOOKUP($D213, 'REF - ContactNumberType'!$B$4:$C$10, 2, FALSE))</f>
        <v>Office Phone</v>
      </c>
      <c r="F213" s="27" t="s">
        <v>932</v>
      </c>
      <c r="G213" s="9"/>
      <c r="H213" s="9"/>
      <c r="J213" s="34">
        <f t="shared" si="7"/>
        <v>286000000000206</v>
      </c>
      <c r="K21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21 823-232-3'::varchar, NULL::varchar, NULL::varchar, '124000000000010'::bigint);</v>
      </c>
    </row>
    <row r="214" spans="2:11" x14ac:dyDescent="0.2">
      <c r="B214" s="22">
        <v>124000000000010</v>
      </c>
      <c r="C214" s="4" t="str">
        <f>IF(EXACT($B214, ""), "", IF((($B214 - MOD($B214, 1000000000000))/1000000000000)=25, CONCATENATE("Person - ", VLOOKUP($B214, [1]DataLookUp!$B$4:$C$2000, 2, FALSE)), IF((($B214 - MOD($B214, 1000000000000))/1000000000000)=124, CONCATENATE("Institution - ", VLOOKUP($B214, '[2]DataLookUp - InstitutionBranch'!$B$4:$C$2000, 2, FALSE)), "")))</f>
        <v>Institution - PT. Bukaka Teknik Utama, Tbk</v>
      </c>
      <c r="D214" s="22">
        <v>223000000000005</v>
      </c>
      <c r="E214" s="40" t="str">
        <f>IF(EXACT($D214, ""), "", VLOOKUP($D214, 'REF - ContactNumberType'!$B$4:$C$10, 2, FALSE))</f>
        <v>Faximile</v>
      </c>
      <c r="F214" s="27" t="s">
        <v>933</v>
      </c>
      <c r="G214" s="9"/>
      <c r="H214" s="9"/>
      <c r="J214" s="34">
        <f t="shared" si="7"/>
        <v>286000000000207</v>
      </c>
      <c r="K21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21 823-176-7'::varchar, NULL::varchar, NULL::varchar, '124000000000010'::bigint);</v>
      </c>
    </row>
    <row r="215" spans="2:11" x14ac:dyDescent="0.2">
      <c r="B215" s="22">
        <v>124000000000011</v>
      </c>
      <c r="C215" s="4" t="str">
        <f>IF(EXACT($B215, ""), "", IF((($B215 - MOD($B215, 1000000000000))/1000000000000)=25, CONCATENATE("Person - ", VLOOKUP($B215, [1]DataLookUp!$B$4:$C$2000, 2, FALSE)), IF((($B215 - MOD($B215, 1000000000000))/1000000000000)=124, CONCATENATE("Institution - ", VLOOKUP($B215, '[2]DataLookUp - InstitutionBranch'!$B$4:$C$2000, 2, FALSE)), "")))</f>
        <v>Institution - PT. Citra Panji Manunggal</v>
      </c>
      <c r="D215" s="22">
        <v>223000000000004</v>
      </c>
      <c r="E215" s="40" t="str">
        <f>IF(EXACT($D215, ""), "", VLOOKUP($D215, 'REF - ContactNumberType'!$B$4:$C$10, 2, FALSE))</f>
        <v>Office Phone</v>
      </c>
      <c r="F215" s="27" t="s">
        <v>980</v>
      </c>
      <c r="G215" s="9"/>
      <c r="H215" s="9"/>
      <c r="J215" s="34">
        <f t="shared" si="7"/>
        <v>286000000000208</v>
      </c>
      <c r="K21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21 765-372-3'::varchar, NULL::varchar, NULL::varchar, '124000000000011'::bigint);</v>
      </c>
    </row>
    <row r="216" spans="2:11" x14ac:dyDescent="0.2">
      <c r="B216" s="22">
        <v>124000000000011</v>
      </c>
      <c r="C216" s="4" t="str">
        <f>IF(EXACT($B216, ""), "", IF((($B216 - MOD($B216, 1000000000000))/1000000000000)=25, CONCATENATE("Person - ", VLOOKUP($B216, [1]DataLookUp!$B$4:$C$2000, 2, FALSE)), IF((($B216 - MOD($B216, 1000000000000))/1000000000000)=124, CONCATENATE("Institution - ", VLOOKUP($B216, '[2]DataLookUp - InstitutionBranch'!$B$4:$C$2000, 2, FALSE)), "")))</f>
        <v>Institution - PT. Citra Panji Manunggal</v>
      </c>
      <c r="D216" s="22">
        <v>223000000000005</v>
      </c>
      <c r="E216" s="40" t="str">
        <f>IF(EXACT($D216, ""), "", VLOOKUP($D216, 'REF - ContactNumberType'!$B$4:$C$10, 2, FALSE))</f>
        <v>Faximile</v>
      </c>
      <c r="F216" s="27" t="s">
        <v>979</v>
      </c>
      <c r="G216" s="9"/>
      <c r="H216" s="9"/>
      <c r="J216" s="34">
        <f t="shared" si="7"/>
        <v>286000000000209</v>
      </c>
      <c r="K21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21 765-880-60'::varchar, NULL::varchar, NULL::varchar, '124000000000011'::bigint);</v>
      </c>
    </row>
    <row r="217" spans="2:11" x14ac:dyDescent="0.2">
      <c r="B217" s="22">
        <v>124000000000012</v>
      </c>
      <c r="C217" s="4" t="str">
        <f>IF(EXACT($B217, ""), "", IF((($B217 - MOD($B217, 1000000000000))/1000000000000)=25, CONCATENATE("Person - ", VLOOKUP($B217, [1]DataLookUp!$B$4:$C$2000, 2, FALSE)), IF((($B217 - MOD($B217, 1000000000000))/1000000000000)=124, CONCATENATE("Institution - ", VLOOKUP($B217, '[2]DataLookUp - InstitutionBranch'!$B$4:$C$2000, 2, FALSE)), "")))</f>
        <v>Institution - PT. Dayamitra Telekomunikasi</v>
      </c>
      <c r="D217" s="22">
        <v>223000000000004</v>
      </c>
      <c r="E217" s="40" t="str">
        <f>IF(EXACT($D217, ""), "", VLOOKUP($D217, 'REF - ContactNumberType'!$B$4:$C$10, 2, FALSE))</f>
        <v>Office Phone</v>
      </c>
      <c r="F217" s="27"/>
      <c r="G217" s="9"/>
      <c r="H217" s="9"/>
      <c r="J217" s="34">
        <f t="shared" si="7"/>
        <v>286000000000209</v>
      </c>
      <c r="K217" s="35" t="str">
        <f t="shared" si="8"/>
        <v/>
      </c>
    </row>
    <row r="218" spans="2:11" x14ac:dyDescent="0.2">
      <c r="B218" s="22">
        <v>124000000000013</v>
      </c>
      <c r="C218" s="4" t="str">
        <f>IF(EXACT($B218, ""), "", IF((($B218 - MOD($B218, 1000000000000))/1000000000000)=25, CONCATENATE("Person - ", VLOOKUP($B218, [1]DataLookUp!$B$4:$C$2000, 2, FALSE)), IF((($B218 - MOD($B218, 1000000000000))/1000000000000)=124, CONCATENATE("Institution - ", VLOOKUP($B218, '[2]DataLookUp - InstitutionBranch'!$B$4:$C$2000, 2, FALSE)), "")))</f>
        <v>Institution - Departemen Dalam Negeri</v>
      </c>
      <c r="D218" s="22">
        <v>223000000000004</v>
      </c>
      <c r="E218" s="40" t="str">
        <f>IF(EXACT($D218, ""), "", VLOOKUP($D218, 'REF - ContactNumberType'!$B$4:$C$10, 2, FALSE))</f>
        <v>Office Phone</v>
      </c>
      <c r="F218" s="27" t="s">
        <v>934</v>
      </c>
      <c r="G218" s="9"/>
      <c r="H218" s="9"/>
      <c r="J218" s="34">
        <f t="shared" si="7"/>
        <v>286000000000210</v>
      </c>
      <c r="K21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21 345-005'::varchar, NULL::varchar, NULL::varchar, '124000000000013'::bigint);</v>
      </c>
    </row>
    <row r="219" spans="2:11" x14ac:dyDescent="0.2">
      <c r="B219" s="22">
        <v>124000000000013</v>
      </c>
      <c r="C219" s="4" t="str">
        <f>IF(EXACT($B219, ""), "", IF((($B219 - MOD($B219, 1000000000000))/1000000000000)=25, CONCATENATE("Person - ", VLOOKUP($B219, [1]DataLookUp!$B$4:$C$2000, 2, FALSE)), IF((($B219 - MOD($B219, 1000000000000))/1000000000000)=124, CONCATENATE("Institution - ", VLOOKUP($B219, '[2]DataLookUp - InstitutionBranch'!$B$4:$C$2000, 2, FALSE)), "")))</f>
        <v>Institution - Departemen Dalam Negeri</v>
      </c>
      <c r="D219" s="22">
        <v>223000000000005</v>
      </c>
      <c r="E219" s="40" t="str">
        <f>IF(EXACT($D219, ""), "", VLOOKUP($D219, 'REF - ContactNumberType'!$B$4:$C$10, 2, FALSE))</f>
        <v>Faximile</v>
      </c>
      <c r="F219" s="27" t="s">
        <v>935</v>
      </c>
      <c r="G219" s="9"/>
      <c r="H219" s="9"/>
      <c r="J219" s="34">
        <f t="shared" si="7"/>
        <v>286000000000211</v>
      </c>
      <c r="K21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21 383-119'::varchar, NULL::varchar, NULL::varchar, '124000000000013'::bigint);</v>
      </c>
    </row>
    <row r="220" spans="2:11" x14ac:dyDescent="0.2">
      <c r="B220" s="22">
        <v>124000000000014</v>
      </c>
      <c r="C220" s="4" t="str">
        <f>IF(EXACT($B220, ""), "", IF((($B220 - MOD($B220, 1000000000000))/1000000000000)=25, CONCATENATE("Person - ", VLOOKUP($B220, [1]DataLookUp!$B$4:$C$2000, 2, FALSE)), IF((($B220 - MOD($B220, 1000000000000))/1000000000000)=124, CONCATENATE("Institution - ", VLOOKUP($B220, '[2]DataLookUp - InstitutionBranch'!$B$4:$C$2000, 2, FALSE)), "")))</f>
        <v>Institution - PT. Duta Hita Jaya</v>
      </c>
      <c r="D220" s="22">
        <v>223000000000004</v>
      </c>
      <c r="E220" s="40" t="str">
        <f>IF(EXACT($D220, ""), "", VLOOKUP($D220, 'REF - ContactNumberType'!$B$4:$C$10, 2, FALSE))</f>
        <v>Office Phone</v>
      </c>
      <c r="F220" s="27" t="s">
        <v>936</v>
      </c>
      <c r="G220" s="9"/>
      <c r="H220" s="9"/>
      <c r="J220" s="34">
        <f t="shared" si="7"/>
        <v>286000000000212</v>
      </c>
      <c r="K22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21 460-108-8'::varchar, NULL::varchar, NULL::varchar, '124000000000014'::bigint);</v>
      </c>
    </row>
    <row r="221" spans="2:11" x14ac:dyDescent="0.2">
      <c r="B221" s="22">
        <v>124000000000014</v>
      </c>
      <c r="C221" s="4" t="str">
        <f>IF(EXACT($B221, ""), "", IF((($B221 - MOD($B221, 1000000000000))/1000000000000)=25, CONCATENATE("Person - ", VLOOKUP($B221, [1]DataLookUp!$B$4:$C$2000, 2, FALSE)), IF((($B221 - MOD($B221, 1000000000000))/1000000000000)=124, CONCATENATE("Institution - ", VLOOKUP($B221, '[2]DataLookUp - InstitutionBranch'!$B$4:$C$2000, 2, FALSE)), "")))</f>
        <v>Institution - PT. Duta Hita Jaya</v>
      </c>
      <c r="D221" s="22">
        <v>223000000000005</v>
      </c>
      <c r="E221" s="40" t="str">
        <f>IF(EXACT($D221, ""), "", VLOOKUP($D221, 'REF - ContactNumberType'!$B$4:$C$10, 2, FALSE))</f>
        <v>Faximile</v>
      </c>
      <c r="F221" s="27" t="s">
        <v>937</v>
      </c>
      <c r="G221" s="9"/>
      <c r="H221" s="9"/>
      <c r="J221" s="34">
        <f t="shared" si="7"/>
        <v>286000000000213</v>
      </c>
      <c r="K22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21 468-236-36'::varchar, NULL::varchar, NULL::varchar, '124000000000014'::bigint);</v>
      </c>
    </row>
    <row r="222" spans="2:11" x14ac:dyDescent="0.2">
      <c r="B222" s="22">
        <v>124000000000014</v>
      </c>
      <c r="C222" s="4" t="str">
        <f>IF(EXACT($B222, ""), "", IF((($B222 - MOD($B222, 1000000000000))/1000000000000)=25, CONCATENATE("Person - ", VLOOKUP($B222, [1]DataLookUp!$B$4:$C$2000, 2, FALSE)), IF((($B222 - MOD($B222, 1000000000000))/1000000000000)=124, CONCATENATE("Institution - ", VLOOKUP($B222, '[2]DataLookUp - InstitutionBranch'!$B$4:$C$2000, 2, FALSE)), "")))</f>
        <v>Institution - PT. Duta Hita Jaya</v>
      </c>
      <c r="D222" s="22">
        <v>223000000000005</v>
      </c>
      <c r="E222" s="40" t="str">
        <f>IF(EXACT($D222, ""), "", VLOOKUP($D222, 'REF - ContactNumberType'!$B$4:$C$10, 2, FALSE))</f>
        <v>Faximile</v>
      </c>
      <c r="F222" s="27" t="s">
        <v>938</v>
      </c>
      <c r="G222" s="9"/>
      <c r="H222" s="9"/>
      <c r="J222" s="34">
        <f t="shared" si="7"/>
        <v>286000000000214</v>
      </c>
      <c r="K222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21 468-236-46'::varchar, NULL::varchar, NULL::varchar, '124000000000014'::bigint);</v>
      </c>
    </row>
    <row r="223" spans="2:11" x14ac:dyDescent="0.2">
      <c r="B223" s="22">
        <v>124000000000015</v>
      </c>
      <c r="C223" s="4" t="str">
        <f>IF(EXACT($B223, ""), "", IF((($B223 - MOD($B223, 1000000000000))/1000000000000)=25, CONCATENATE("Person - ", VLOOKUP($B223, [1]DataLookUp!$B$4:$C$2000, 2, FALSE)), IF((($B223 - MOD($B223, 1000000000000))/1000000000000)=124, CONCATENATE("Institution - ", VLOOKUP($B223, '[2]DataLookUp - InstitutionBranch'!$B$4:$C$2000, 2, FALSE)), "")))</f>
        <v>Institution - PT. Duta Pertiwi, Tbk</v>
      </c>
      <c r="D223" s="22">
        <v>223000000000004</v>
      </c>
      <c r="E223" s="40" t="str">
        <f>IF(EXACT($D223, ""), "", VLOOKUP($D223, 'REF - ContactNumberType'!$B$4:$C$10, 2, FALSE))</f>
        <v>Office Phone</v>
      </c>
      <c r="F223" s="27" t="s">
        <v>939</v>
      </c>
      <c r="G223" s="9"/>
      <c r="H223" s="9"/>
      <c r="J223" s="34">
        <f t="shared" si="7"/>
        <v>286000000000215</v>
      </c>
      <c r="K22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31 843-777-7'::varchar, NULL::varchar, NULL::varchar, '124000000000015'::bigint);</v>
      </c>
    </row>
    <row r="224" spans="2:11" x14ac:dyDescent="0.2">
      <c r="B224" s="22">
        <v>124000000000015</v>
      </c>
      <c r="C224" s="4" t="str">
        <f>IF(EXACT($B224, ""), "", IF((($B224 - MOD($B224, 1000000000000))/1000000000000)=25, CONCATENATE("Person - ", VLOOKUP($B224, [1]DataLookUp!$B$4:$C$2000, 2, FALSE)), IF((($B224 - MOD($B224, 1000000000000))/1000000000000)=124, CONCATENATE("Institution - ", VLOOKUP($B224, '[2]DataLookUp - InstitutionBranch'!$B$4:$C$2000, 2, FALSE)), "")))</f>
        <v>Institution - PT. Duta Pertiwi, Tbk</v>
      </c>
      <c r="D224" s="22">
        <v>223000000000005</v>
      </c>
      <c r="E224" s="40" t="str">
        <f>IF(EXACT($D224, ""), "", VLOOKUP($D224, 'REF - ContactNumberType'!$B$4:$C$10, 2, FALSE))</f>
        <v>Faximile</v>
      </c>
      <c r="F224" s="27" t="s">
        <v>921</v>
      </c>
      <c r="G224" s="9"/>
      <c r="H224" s="9"/>
      <c r="J224" s="34">
        <f t="shared" si="7"/>
        <v>286000000000216</v>
      </c>
      <c r="K22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31 841-137-7'::varchar, NULL::varchar, NULL::varchar, '124000000000015'::bigint);</v>
      </c>
    </row>
    <row r="225" spans="2:11" x14ac:dyDescent="0.2">
      <c r="B225" s="22">
        <v>124000000000016</v>
      </c>
      <c r="C225" s="4" t="str">
        <f>IF(EXACT($B225, ""), "", IF((($B225 - MOD($B225, 1000000000000))/1000000000000)=25, CONCATENATE("Person - ", VLOOKUP($B225, [1]DataLookUp!$B$4:$C$2000, 2, FALSE)), IF((($B225 - MOD($B225, 1000000000000))/1000000000000)=124, CONCATENATE("Institution - ", VLOOKUP($B225, '[2]DataLookUp - InstitutionBranch'!$B$4:$C$2000, 2, FALSE)), "")))</f>
        <v>Institution - PT. Duta Realtindo Perkasa</v>
      </c>
      <c r="D225" s="22">
        <v>223000000000002</v>
      </c>
      <c r="E225" s="40" t="str">
        <f>IF(EXACT($D225, ""), "", VLOOKUP($D225, 'REF - ContactNumberType'!$B$4:$C$10, 2, FALSE))</f>
        <v>Mobile Phone</v>
      </c>
      <c r="F225" s="27" t="s">
        <v>978</v>
      </c>
      <c r="G225" s="9"/>
      <c r="H225" s="9"/>
      <c r="J225" s="34">
        <f t="shared" si="7"/>
        <v>286000000000217</v>
      </c>
      <c r="K22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223000000000002::bigint, '+62 8129-0034-845'::varchar, NULL::varchar, NULL::varchar, '124000000000016'::bigint);</v>
      </c>
    </row>
    <row r="226" spans="2:11" x14ac:dyDescent="0.2">
      <c r="B226" s="22">
        <v>124000000000017</v>
      </c>
      <c r="C226" s="4" t="str">
        <f>IF(EXACT($B226, ""), "", IF((($B226 - MOD($B226, 1000000000000))/1000000000000)=25, CONCATENATE("Person - ", VLOOKUP($B226, [1]DataLookUp!$B$4:$C$2000, 2, FALSE)), IF((($B226 - MOD($B226, 1000000000000))/1000000000000)=124, CONCATENATE("Institution - ", VLOOKUP($B226, '[2]DataLookUp - InstitutionBranch'!$B$4:$C$2000, 2, FALSE)), "")))</f>
        <v>Institution - PT. Energi Mekar Lestari</v>
      </c>
      <c r="D226" s="22">
        <v>223000000000004</v>
      </c>
      <c r="E226" s="40" t="str">
        <f>IF(EXACT($D226, ""), "", VLOOKUP($D226, 'REF - ContactNumberType'!$B$4:$C$10, 2, FALSE))</f>
        <v>Office Phone</v>
      </c>
      <c r="F226" s="27"/>
      <c r="G226" s="9"/>
      <c r="H226" s="9"/>
      <c r="J226" s="34">
        <f t="shared" si="7"/>
        <v>286000000000217</v>
      </c>
      <c r="K226" s="35" t="str">
        <f t="shared" si="8"/>
        <v/>
      </c>
    </row>
    <row r="227" spans="2:11" x14ac:dyDescent="0.2">
      <c r="B227" s="22">
        <v>124000000000018</v>
      </c>
      <c r="C227" s="4" t="str">
        <f>IF(EXACT($B227, ""), "", IF((($B227 - MOD($B227, 1000000000000))/1000000000000)=25, CONCATENATE("Person - ", VLOOKUP($B227, [1]DataLookUp!$B$4:$C$2000, 2, FALSE)), IF((($B227 - MOD($B227, 1000000000000))/1000000000000)=124, CONCATENATE("Institution - ", VLOOKUP($B227, '[2]DataLookUp - InstitutionBranch'!$B$4:$C$2000, 2, FALSE)), "")))</f>
        <v>Institution - PT. Ericsson Indonesia</v>
      </c>
      <c r="D227" s="22">
        <v>223000000000004</v>
      </c>
      <c r="E227" s="40" t="str">
        <f>IF(EXACT($D227, ""), "", VLOOKUP($D227, 'REF - ContactNumberType'!$B$4:$C$10, 2, FALSE))</f>
        <v>Office Phone</v>
      </c>
      <c r="F227" s="27"/>
      <c r="G227" s="9"/>
      <c r="H227" s="9"/>
      <c r="J227" s="34">
        <f t="shared" si="7"/>
        <v>286000000000217</v>
      </c>
      <c r="K227" s="35" t="str">
        <f t="shared" si="8"/>
        <v/>
      </c>
    </row>
    <row r="228" spans="2:11" x14ac:dyDescent="0.2">
      <c r="B228" s="22">
        <v>124000000000019</v>
      </c>
      <c r="C228" s="4" t="str">
        <f>IF(EXACT($B228, ""), "", IF((($B228 - MOD($B228, 1000000000000))/1000000000000)=25, CONCATENATE("Person - ", VLOOKUP($B228, [1]DataLookUp!$B$4:$C$2000, 2, FALSE)), IF((($B228 - MOD($B228, 1000000000000))/1000000000000)=124, CONCATENATE("Institution - ", VLOOKUP($B228, '[2]DataLookUp - InstitutionBranch'!$B$4:$C$2000, 2, FALSE)), "")))</f>
        <v>Institution - PT. Esa Mitra Teknologi</v>
      </c>
      <c r="D228" s="22">
        <v>223000000000004</v>
      </c>
      <c r="E228" s="40" t="str">
        <f>IF(EXACT($D228, ""), "", VLOOKUP($D228, 'REF - ContactNumberType'!$B$4:$C$10, 2, FALSE))</f>
        <v>Office Phone</v>
      </c>
      <c r="F228" s="27" t="s">
        <v>919</v>
      </c>
      <c r="G228" s="9"/>
      <c r="H228" s="9"/>
      <c r="J228" s="34">
        <f t="shared" si="7"/>
        <v>286000000000218</v>
      </c>
      <c r="K22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21 456-789'::varchar, NULL::varchar, NULL::varchar, '124000000000019'::bigint);</v>
      </c>
    </row>
    <row r="229" spans="2:11" x14ac:dyDescent="0.2">
      <c r="B229" s="22">
        <v>124000000000019</v>
      </c>
      <c r="C229" s="4" t="str">
        <f>IF(EXACT($B229, ""), "", IF((($B229 - MOD($B229, 1000000000000))/1000000000000)=25, CONCATENATE("Person - ", VLOOKUP($B229, [1]DataLookUp!$B$4:$C$2000, 2, FALSE)), IF((($B229 - MOD($B229, 1000000000000))/1000000000000)=124, CONCATENATE("Institution - ", VLOOKUP($B229, '[2]DataLookUp - InstitutionBranch'!$B$4:$C$2000, 2, FALSE)), "")))</f>
        <v>Institution - PT. Esa Mitra Teknologi</v>
      </c>
      <c r="D229" s="22">
        <v>223000000000005</v>
      </c>
      <c r="E229" s="40" t="str">
        <f>IF(EXACT($D229, ""), "", VLOOKUP($D229, 'REF - ContactNumberType'!$B$4:$C$10, 2, FALSE))</f>
        <v>Faximile</v>
      </c>
      <c r="F229" s="27" t="s">
        <v>920</v>
      </c>
      <c r="G229" s="9"/>
      <c r="H229" s="9"/>
      <c r="J229" s="34">
        <f t="shared" si="7"/>
        <v>286000000000219</v>
      </c>
      <c r="K22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21 456-790'::varchar, NULL::varchar, NULL::varchar, '124000000000019'::bigint);</v>
      </c>
    </row>
    <row r="230" spans="2:11" x14ac:dyDescent="0.2">
      <c r="B230" s="22">
        <v>124000000000020</v>
      </c>
      <c r="C230" s="4" t="str">
        <f>IF(EXACT($B230, ""), "", IF((($B230 - MOD($B230, 1000000000000))/1000000000000)=25, CONCATENATE("Person - ", VLOOKUP($B230, [1]DataLookUp!$B$4:$C$2000, 2, FALSE)), IF((($B230 - MOD($B230, 1000000000000))/1000000000000)=124, CONCATENATE("Institution - ", VLOOKUP($B230, '[2]DataLookUp - InstitutionBranch'!$B$4:$C$2000, 2, FALSE)), "")))</f>
        <v>Institution - PT. First Media, Tbk</v>
      </c>
      <c r="D230" s="22">
        <v>223000000000004</v>
      </c>
      <c r="E230" s="40" t="str">
        <f>IF(EXACT($D230, ""), "", VLOOKUP($D230, 'REF - ContactNumberType'!$B$4:$C$10, 2, FALSE))</f>
        <v>Office Phone</v>
      </c>
      <c r="F230" s="27"/>
      <c r="G230" s="9"/>
      <c r="H230" s="9"/>
      <c r="J230" s="34">
        <f t="shared" si="7"/>
        <v>286000000000219</v>
      </c>
      <c r="K230" s="35" t="str">
        <f t="shared" si="8"/>
        <v/>
      </c>
    </row>
    <row r="231" spans="2:11" x14ac:dyDescent="0.2">
      <c r="B231" s="22">
        <v>124000000000021</v>
      </c>
      <c r="C231" s="4" t="str">
        <f>IF(EXACT($B231, ""), "", IF((($B231 - MOD($B231, 1000000000000))/1000000000000)=25, CONCATENATE("Person - ", VLOOKUP($B231, [1]DataLookUp!$B$4:$C$2000, 2, FALSE)), IF((($B231 - MOD($B231, 1000000000000))/1000000000000)=124, CONCATENATE("Institution - ", VLOOKUP($B231, '[2]DataLookUp - InstitutionBranch'!$B$4:$C$2000, 2, FALSE)), "")))</f>
        <v xml:space="preserve">Institution - Flexi </v>
      </c>
      <c r="D231" s="22">
        <v>223000000000004</v>
      </c>
      <c r="E231" s="40" t="str">
        <f>IF(EXACT($D231, ""), "", VLOOKUP($D231, 'REF - ContactNumberType'!$B$4:$C$10, 2, FALSE))</f>
        <v>Office Phone</v>
      </c>
      <c r="F231" s="27"/>
      <c r="G231" s="9"/>
      <c r="H231" s="9"/>
      <c r="J231" s="34">
        <f t="shared" si="7"/>
        <v>286000000000219</v>
      </c>
      <c r="K231" s="35" t="str">
        <f t="shared" si="8"/>
        <v/>
      </c>
    </row>
    <row r="232" spans="2:11" x14ac:dyDescent="0.2">
      <c r="B232" s="22">
        <v>124000000000022</v>
      </c>
      <c r="C232" s="4" t="str">
        <f>IF(EXACT($B232, ""), "", IF((($B232 - MOD($B232, 1000000000000))/1000000000000)=25, CONCATENATE("Person - ", VLOOKUP($B232, [1]DataLookUp!$B$4:$C$2000, 2, FALSE)), IF((($B232 - MOD($B232, 1000000000000))/1000000000000)=124, CONCATENATE("Institution - ", VLOOKUP($B232, '[2]DataLookUp - InstitutionBranch'!$B$4:$C$2000, 2, FALSE)), "")))</f>
        <v>Institution - Flexi Mitrayasa</v>
      </c>
      <c r="D232" s="22">
        <v>223000000000004</v>
      </c>
      <c r="E232" s="40" t="str">
        <f>IF(EXACT($D232, ""), "", VLOOKUP($D232, 'REF - ContactNumberType'!$B$4:$C$10, 2, FALSE))</f>
        <v>Office Phone</v>
      </c>
      <c r="F232" s="27"/>
      <c r="G232" s="9"/>
      <c r="H232" s="9"/>
      <c r="J232" s="34">
        <f t="shared" si="7"/>
        <v>286000000000219</v>
      </c>
      <c r="K232" s="35" t="str">
        <f t="shared" si="8"/>
        <v/>
      </c>
    </row>
    <row r="233" spans="2:11" x14ac:dyDescent="0.2">
      <c r="B233" s="22">
        <v>124000000000023</v>
      </c>
      <c r="C233" s="4" t="str">
        <f>IF(EXACT($B233, ""), "", IF((($B233 - MOD($B233, 1000000000000))/1000000000000)=25, CONCATENATE("Person - ", VLOOKUP($B233, [1]DataLookUp!$B$4:$C$2000, 2, FALSE)), IF((($B233 - MOD($B233, 1000000000000))/1000000000000)=124, CONCATENATE("Institution - ", VLOOKUP($B233, '[2]DataLookUp - InstitutionBranch'!$B$4:$C$2000, 2, FALSE)), "")))</f>
        <v>Institution - PT. Huawei Tech Investment</v>
      </c>
      <c r="D233" s="22">
        <v>223000000000004</v>
      </c>
      <c r="E233" s="40" t="str">
        <f>IF(EXACT($D233, ""), "", VLOOKUP($D233, 'REF - ContactNumberType'!$B$4:$C$10, 2, FALSE))</f>
        <v>Office Phone</v>
      </c>
      <c r="F233" s="27"/>
      <c r="G233" s="9"/>
      <c r="H233" s="9"/>
      <c r="J233" s="34">
        <f t="shared" si="7"/>
        <v>286000000000219</v>
      </c>
      <c r="K233" s="35" t="str">
        <f t="shared" si="8"/>
        <v/>
      </c>
    </row>
    <row r="234" spans="2:11" x14ac:dyDescent="0.2">
      <c r="B234" s="22">
        <v>124000000000024</v>
      </c>
      <c r="C234" s="4" t="str">
        <f>IF(EXACT($B234, ""), "", IF((($B234 - MOD($B234, 1000000000000))/1000000000000)=25, CONCATENATE("Person - ", VLOOKUP($B234, [1]DataLookUp!$B$4:$C$2000, 2, FALSE)), IF((($B234 - MOD($B234, 1000000000000))/1000000000000)=124, CONCATENATE("Institution - ", VLOOKUP($B234, '[2]DataLookUp - InstitutionBranch'!$B$4:$C$2000, 2, FALSE)), "")))</f>
        <v>Institution - PT. Hutchinson 3 Indonesia</v>
      </c>
      <c r="D234" s="22">
        <v>223000000000004</v>
      </c>
      <c r="E234" s="40" t="str">
        <f>IF(EXACT($D234, ""), "", VLOOKUP($D234, 'REF - ContactNumberType'!$B$4:$C$10, 2, FALSE))</f>
        <v>Office Phone</v>
      </c>
      <c r="F234" s="27"/>
      <c r="G234" s="9"/>
      <c r="H234" s="9"/>
      <c r="J234" s="34">
        <f t="shared" si="7"/>
        <v>286000000000219</v>
      </c>
      <c r="K234" s="35" t="str">
        <f t="shared" si="8"/>
        <v/>
      </c>
    </row>
    <row r="235" spans="2:11" x14ac:dyDescent="0.2">
      <c r="B235" s="22">
        <v>124000000000025</v>
      </c>
      <c r="C235" s="4" t="str">
        <f>IF(EXACT($B235, ""), "", IF((($B235 - MOD($B235, 1000000000000))/1000000000000)=25, CONCATENATE("Person - ", VLOOKUP($B235, [1]DataLookUp!$B$4:$C$2000, 2, FALSE)), IF((($B235 - MOD($B235, 1000000000000))/1000000000000)=124, CONCATENATE("Institution - ", VLOOKUP($B235, '[2]DataLookUp - InstitutionBranch'!$B$4:$C$2000, 2, FALSE)), "")))</f>
        <v>Institution - PT. Indoprima Seluler</v>
      </c>
      <c r="D235" s="22">
        <v>223000000000004</v>
      </c>
      <c r="E235" s="40" t="str">
        <f>IF(EXACT($D235, ""), "", VLOOKUP($D235, 'REF - ContactNumberType'!$B$4:$C$10, 2, FALSE))</f>
        <v>Office Phone</v>
      </c>
      <c r="F235" s="27"/>
      <c r="G235" s="9"/>
      <c r="H235" s="9"/>
      <c r="J235" s="34">
        <f t="shared" si="7"/>
        <v>286000000000219</v>
      </c>
      <c r="K235" s="35" t="str">
        <f t="shared" si="8"/>
        <v/>
      </c>
    </row>
    <row r="236" spans="2:11" x14ac:dyDescent="0.2">
      <c r="B236" s="22">
        <v>124000000000026</v>
      </c>
      <c r="C236" s="4" t="str">
        <f>IF(EXACT($B236, ""), "", IF((($B236 - MOD($B236, 1000000000000))/1000000000000)=25, CONCATENATE("Person - ", VLOOKUP($B236, [1]DataLookUp!$B$4:$C$2000, 2, FALSE)), IF((($B236 - MOD($B236, 1000000000000))/1000000000000)=124, CONCATENATE("Institution - ", VLOOKUP($B236, '[2]DataLookUp - InstitutionBranch'!$B$4:$C$2000, 2, FALSE)), "")))</f>
        <v>Institution - PT. Indosat, Tbk</v>
      </c>
      <c r="D236" s="22">
        <v>223000000000004</v>
      </c>
      <c r="E236" s="40" t="str">
        <f>IF(EXACT($D236, ""), "", VLOOKUP($D236, 'REF - ContactNumberType'!$B$4:$C$10, 2, FALSE))</f>
        <v>Office Phone</v>
      </c>
      <c r="F236" s="27"/>
      <c r="G236" s="9"/>
      <c r="H236" s="9"/>
      <c r="J236" s="34">
        <f t="shared" si="7"/>
        <v>286000000000219</v>
      </c>
      <c r="K236" s="35" t="str">
        <f t="shared" si="8"/>
        <v/>
      </c>
    </row>
    <row r="237" spans="2:11" x14ac:dyDescent="0.2">
      <c r="B237" s="22">
        <v>124000000000027</v>
      </c>
      <c r="C237" s="4" t="str">
        <f>IF(EXACT($B237, ""), "", IF((($B237 - MOD($B237, 1000000000000))/1000000000000)=25, CONCATENATE("Person - ", VLOOKUP($B237, [1]DataLookUp!$B$4:$C$2000, 2, FALSE)), IF((($B237 - MOD($B237, 1000000000000))/1000000000000)=124, CONCATENATE("Institution - ", VLOOKUP($B237, '[2]DataLookUp - InstitutionBranch'!$B$4:$C$2000, 2, FALSE)), "")))</f>
        <v>Institution - PT. Industri Telekomunikasi Indonesia (Persero)</v>
      </c>
      <c r="D237" s="22">
        <v>223000000000004</v>
      </c>
      <c r="E237" s="40" t="str">
        <f>IF(EXACT($D237, ""), "", VLOOKUP($D237, 'REF - ContactNumberType'!$B$4:$C$10, 2, FALSE))</f>
        <v>Office Phone</v>
      </c>
      <c r="F237" s="27" t="s">
        <v>917</v>
      </c>
      <c r="G237" s="9"/>
      <c r="H237" s="9"/>
      <c r="J237" s="34">
        <f t="shared" si="7"/>
        <v>286000000000220</v>
      </c>
      <c r="K237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22 520-150-1'::varchar, NULL::varchar, NULL::varchar, '124000000000027'::bigint);</v>
      </c>
    </row>
    <row r="238" spans="2:11" x14ac:dyDescent="0.2">
      <c r="B238" s="22">
        <v>124000000000027</v>
      </c>
      <c r="C238" s="4" t="str">
        <f>IF(EXACT($B238, ""), "", IF((($B238 - MOD($B238, 1000000000000))/1000000000000)=25, CONCATENATE("Person - ", VLOOKUP($B238, [1]DataLookUp!$B$4:$C$2000, 2, FALSE)), IF((($B238 - MOD($B238, 1000000000000))/1000000000000)=124, CONCATENATE("Institution - ", VLOOKUP($B238, '[2]DataLookUp - InstitutionBranch'!$B$4:$C$2000, 2, FALSE)), "")))</f>
        <v>Institution - PT. Industri Telekomunikasi Indonesia (Persero)</v>
      </c>
      <c r="D238" s="22">
        <v>223000000000005</v>
      </c>
      <c r="E238" s="40" t="str">
        <f>IF(EXACT($D238, ""), "", VLOOKUP($D238, 'REF - ContactNumberType'!$B$4:$C$10, 2, FALSE))</f>
        <v>Faximile</v>
      </c>
      <c r="F238" s="27" t="s">
        <v>918</v>
      </c>
      <c r="G238" s="9"/>
      <c r="H238" s="9"/>
      <c r="J238" s="34">
        <f t="shared" si="7"/>
        <v>286000000000221</v>
      </c>
      <c r="K23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22 520-244-4 '::varchar, NULL::varchar, NULL::varchar, '124000000000027'::bigint);</v>
      </c>
    </row>
    <row r="239" spans="2:11" x14ac:dyDescent="0.2">
      <c r="B239" s="22">
        <v>124000000000028</v>
      </c>
      <c r="C239" s="4" t="str">
        <f>IF(EXACT($B239, ""), "", IF((($B239 - MOD($B239, 1000000000000))/1000000000000)=25, CONCATENATE("Person - ", VLOOKUP($B239, [1]DataLookUp!$B$4:$C$2000, 2, FALSE)), IF((($B239 - MOD($B239, 1000000000000))/1000000000000)=124, CONCATENATE("Institution - ", VLOOKUP($B239, '[2]DataLookUp - InstitutionBranch'!$B$4:$C$2000, 2, FALSE)), "")))</f>
        <v>Institution - PT. Infrastruktur Bisnis Sejahtera</v>
      </c>
      <c r="D239" s="22">
        <v>223000000000004</v>
      </c>
      <c r="E239" s="40" t="str">
        <f>IF(EXACT($D239, ""), "", VLOOKUP($D239, 'REF - ContactNumberType'!$B$4:$C$10, 2, FALSE))</f>
        <v>Office Phone</v>
      </c>
      <c r="F239" s="27" t="s">
        <v>916</v>
      </c>
      <c r="G239" s="9"/>
      <c r="H239" s="9"/>
      <c r="J239" s="34">
        <f t="shared" si="7"/>
        <v>286000000000222</v>
      </c>
      <c r="K23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21 837-095'::varchar, NULL::varchar, NULL::varchar, '124000000000028'::bigint);</v>
      </c>
    </row>
    <row r="240" spans="2:11" x14ac:dyDescent="0.2">
      <c r="B240" s="22">
        <v>124000000000029</v>
      </c>
      <c r="C240" s="4" t="str">
        <f>IF(EXACT($B240, ""), "", IF((($B240 - MOD($B240, 1000000000000))/1000000000000)=25, CONCATENATE("Person - ", VLOOKUP($B240, [1]DataLookUp!$B$4:$C$2000, 2, FALSE)), IF((($B240 - MOD($B240, 1000000000000))/1000000000000)=124, CONCATENATE("Institution - ", VLOOKUP($B240, '[2]DataLookUp - InstitutionBranch'!$B$4:$C$2000, 2, FALSE)), "")))</f>
        <v>Institution - PT. Intershop Prima Center</v>
      </c>
      <c r="D240" s="22">
        <v>223000000000004</v>
      </c>
      <c r="E240" s="40" t="str">
        <f>IF(EXACT($D240, ""), "", VLOOKUP($D240, 'REF - ContactNumberType'!$B$4:$C$10, 2, FALSE))</f>
        <v>Office Phone</v>
      </c>
      <c r="F240" s="27" t="s">
        <v>976</v>
      </c>
      <c r="G240" s="9"/>
      <c r="H240" s="9"/>
      <c r="J240" s="34">
        <f t="shared" si="7"/>
        <v>286000000000223</v>
      </c>
      <c r="K240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21 300-130-01'::varchar, NULL::varchar, NULL::varchar, '124000000000029'::bigint);</v>
      </c>
    </row>
    <row r="241" spans="2:11" x14ac:dyDescent="0.2">
      <c r="B241" s="22">
        <v>124000000000029</v>
      </c>
      <c r="C241" s="4" t="str">
        <f>IF(EXACT($B241, ""), "", IF((($B241 - MOD($B241, 1000000000000))/1000000000000)=25, CONCATENATE("Person - ", VLOOKUP($B241, [1]DataLookUp!$B$4:$C$2000, 2, FALSE)), IF((($B241 - MOD($B241, 1000000000000))/1000000000000)=124, CONCATENATE("Institution - ", VLOOKUP($B241, '[2]DataLookUp - InstitutionBranch'!$B$4:$C$2000, 2, FALSE)), "")))</f>
        <v>Institution - PT. Intershop Prima Center</v>
      </c>
      <c r="D241" s="22">
        <v>223000000000005</v>
      </c>
      <c r="E241" s="40" t="str">
        <f>IF(EXACT($D241, ""), "", VLOOKUP($D241, 'REF - ContactNumberType'!$B$4:$C$10, 2, FALSE))</f>
        <v>Faximile</v>
      </c>
      <c r="F241" s="27" t="s">
        <v>977</v>
      </c>
      <c r="G241" s="9"/>
      <c r="H241" s="9"/>
      <c r="J241" s="34">
        <f t="shared" si="7"/>
        <v>286000000000224</v>
      </c>
      <c r="K24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21 300-130-02'::varchar, NULL::varchar, NULL::varchar, '124000000000029'::bigint);</v>
      </c>
    </row>
    <row r="242" spans="2:11" x14ac:dyDescent="0.2">
      <c r="B242" s="22">
        <v>124000000000030</v>
      </c>
      <c r="C242" s="4" t="str">
        <f>IF(EXACT($B242, ""), "", IF((($B242 - MOD($B242, 1000000000000))/1000000000000)=25, CONCATENATE("Person - ", VLOOKUP($B242, [1]DataLookUp!$B$4:$C$2000, 2, FALSE)), IF((($B242 - MOD($B242, 1000000000000))/1000000000000)=124, CONCATENATE("Institution - ", VLOOKUP($B242, '[2]DataLookUp - InstitutionBranch'!$B$4:$C$2000, 2, FALSE)), "")))</f>
        <v>Institution - PT. Inti Bangun Sejahtera, Tbk</v>
      </c>
      <c r="D242" s="22">
        <v>223000000000004</v>
      </c>
      <c r="E242" s="40" t="str">
        <f>IF(EXACT($D242, ""), "", VLOOKUP($D242, 'REF - ContactNumberType'!$B$4:$C$10, 2, FALSE))</f>
        <v>Office Phone</v>
      </c>
      <c r="F242" s="27"/>
      <c r="G242" s="9"/>
      <c r="H242" s="9"/>
      <c r="J242" s="34">
        <f t="shared" si="7"/>
        <v>286000000000224</v>
      </c>
      <c r="K242" s="35" t="str">
        <f t="shared" si="8"/>
        <v/>
      </c>
    </row>
    <row r="243" spans="2:11" x14ac:dyDescent="0.2">
      <c r="B243" s="22">
        <v>124000000000031</v>
      </c>
      <c r="C243" s="4" t="str">
        <f>IF(EXACT($B243, ""), "", IF((($B243 - MOD($B243, 1000000000000))/1000000000000)=25, CONCATENATE("Person - ", VLOOKUP($B243, [1]DataLookUp!$B$4:$C$2000, 2, FALSE)), IF((($B243 - MOD($B243, 1000000000000))/1000000000000)=124, CONCATENATE("Institution - ", VLOOKUP($B243, '[2]DataLookUp - InstitutionBranch'!$B$4:$C$2000, 2, FALSE)), "")))</f>
        <v>Institution - PT. Karya Mitra Nugraha</v>
      </c>
      <c r="D243" s="22">
        <v>223000000000004</v>
      </c>
      <c r="E243" s="40" t="str">
        <f>IF(EXACT($D243, ""), "", VLOOKUP($D243, 'REF - ContactNumberType'!$B$4:$C$10, 2, FALSE))</f>
        <v>Office Phone</v>
      </c>
      <c r="F243" s="27" t="s">
        <v>974</v>
      </c>
      <c r="G243" s="9"/>
      <c r="H243" s="9"/>
      <c r="J243" s="34">
        <f t="shared" si="7"/>
        <v>286000000000225</v>
      </c>
      <c r="K243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24 845-707-0'::varchar, NULL::varchar, NULL::varchar, '124000000000031'::bigint);</v>
      </c>
    </row>
    <row r="244" spans="2:11" x14ac:dyDescent="0.2">
      <c r="B244" s="22">
        <v>124000000000031</v>
      </c>
      <c r="C244" s="4" t="str">
        <f>IF(EXACT($B244, ""), "", IF((($B244 - MOD($B244, 1000000000000))/1000000000000)=25, CONCATENATE("Person - ", VLOOKUP($B244, [1]DataLookUp!$B$4:$C$2000, 2, FALSE)), IF((($B244 - MOD($B244, 1000000000000))/1000000000000)=124, CONCATENATE("Institution - ", VLOOKUP($B244, '[2]DataLookUp - InstitutionBranch'!$B$4:$C$2000, 2, FALSE)), "")))</f>
        <v>Institution - PT. Karya Mitra Nugraha</v>
      </c>
      <c r="D244" s="22">
        <v>223000000000005</v>
      </c>
      <c r="E244" s="40" t="str">
        <f>IF(EXACT($D244, ""), "", VLOOKUP($D244, 'REF - ContactNumberType'!$B$4:$C$10, 2, FALSE))</f>
        <v>Faximile</v>
      </c>
      <c r="F244" s="27" t="s">
        <v>975</v>
      </c>
      <c r="G244" s="9"/>
      <c r="H244" s="9"/>
      <c r="J244" s="34">
        <f t="shared" si="7"/>
        <v>286000000000226</v>
      </c>
      <c r="K24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24 844-614-5'::varchar, NULL::varchar, NULL::varchar, '124000000000031'::bigint);</v>
      </c>
    </row>
    <row r="245" spans="2:11" x14ac:dyDescent="0.2">
      <c r="B245" s="22">
        <v>124000000000032</v>
      </c>
      <c r="C245" s="4" t="str">
        <f>IF(EXACT($B245, ""), "", IF((($B245 - MOD($B245, 1000000000000))/1000000000000)=25, CONCATENATE("Person - ", VLOOKUP($B245, [1]DataLookUp!$B$4:$C$2000, 2, FALSE)), IF((($B245 - MOD($B245, 1000000000000))/1000000000000)=124, CONCATENATE("Institution - ", VLOOKUP($B245, '[2]DataLookUp - InstitutionBranch'!$B$4:$C$2000, 2, FALSE)), "")))</f>
        <v>Institution - PT. Lektrika Karyatama</v>
      </c>
      <c r="D245" s="22">
        <v>223000000000004</v>
      </c>
      <c r="E245" s="40" t="str">
        <f>IF(EXACT($D245, ""), "", VLOOKUP($D245, 'REF - ContactNumberType'!$B$4:$C$10, 2, FALSE))</f>
        <v>Office Phone</v>
      </c>
      <c r="F245" s="27" t="s">
        <v>972</v>
      </c>
      <c r="G245" s="9"/>
      <c r="H245" s="9"/>
      <c r="J245" s="34">
        <f t="shared" si="7"/>
        <v>286000000000227</v>
      </c>
      <c r="K24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21 750-191-5'::varchar, NULL::varchar, NULL::varchar, '124000000000032'::bigint);</v>
      </c>
    </row>
    <row r="246" spans="2:11" x14ac:dyDescent="0.2">
      <c r="B246" s="22">
        <v>124000000000032</v>
      </c>
      <c r="C246" s="4" t="str">
        <f>IF(EXACT($B246, ""), "", IF((($B246 - MOD($B246, 1000000000000))/1000000000000)=25, CONCATENATE("Person - ", VLOOKUP($B246, [1]DataLookUp!$B$4:$C$2000, 2, FALSE)), IF((($B246 - MOD($B246, 1000000000000))/1000000000000)=124, CONCATENATE("Institution - ", VLOOKUP($B246, '[2]DataLookUp - InstitutionBranch'!$B$4:$C$2000, 2, FALSE)), "")))</f>
        <v>Institution - PT. Lektrika Karyatama</v>
      </c>
      <c r="D246" s="22">
        <v>223000000000005</v>
      </c>
      <c r="E246" s="40" t="str">
        <f>IF(EXACT($D246, ""), "", VLOOKUP($D246, 'REF - ContactNumberType'!$B$4:$C$10, 2, FALSE))</f>
        <v>Faximile</v>
      </c>
      <c r="F246" s="27" t="s">
        <v>973</v>
      </c>
      <c r="G246" s="9"/>
      <c r="H246" s="9"/>
      <c r="J246" s="34">
        <f t="shared" si="7"/>
        <v>286000000000228</v>
      </c>
      <c r="K24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21 766-098-6'::varchar, NULL::varchar, NULL::varchar, '124000000000032'::bigint);</v>
      </c>
    </row>
    <row r="247" spans="2:11" x14ac:dyDescent="0.2">
      <c r="B247" s="22">
        <v>124000000000033</v>
      </c>
      <c r="C247" s="4" t="str">
        <f>IF(EXACT($B247, ""), "", IF((($B247 - MOD($B247, 1000000000000))/1000000000000)=25, CONCATENATE("Person - ", VLOOKUP($B247, [1]DataLookUp!$B$4:$C$2000, 2, FALSE)), IF((($B247 - MOD($B247, 1000000000000))/1000000000000)=124, CONCATENATE("Institution - ", VLOOKUP($B247, '[2]DataLookUp - InstitutionBranch'!$B$4:$C$2000, 2, FALSE)), "")))</f>
        <v>Institution - PT. Link Net</v>
      </c>
      <c r="D247" s="22">
        <v>223000000000004</v>
      </c>
      <c r="E247" s="40" t="str">
        <f>IF(EXACT($D247, ""), "", VLOOKUP($D247, 'REF - ContactNumberType'!$B$4:$C$10, 2, FALSE))</f>
        <v>Office Phone</v>
      </c>
      <c r="F247" s="27" t="s">
        <v>971</v>
      </c>
      <c r="G247" s="9"/>
      <c r="H247" s="9"/>
      <c r="J247" s="34">
        <f t="shared" si="7"/>
        <v>286000000000229</v>
      </c>
      <c r="K247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21 557-777-5'::varchar, NULL::varchar, NULL::varchar, '124000000000033'::bigint);</v>
      </c>
    </row>
    <row r="248" spans="2:11" x14ac:dyDescent="0.2">
      <c r="B248" s="22">
        <v>124000000000034</v>
      </c>
      <c r="C248" s="4" t="str">
        <f>IF(EXACT($B248, ""), "", IF((($B248 - MOD($B248, 1000000000000))/1000000000000)=25, CONCATENATE("Person - ", VLOOKUP($B248, [1]DataLookUp!$B$4:$C$2000, 2, FALSE)), IF((($B248 - MOD($B248, 1000000000000))/1000000000000)=124, CONCATENATE("Institution - ", VLOOKUP($B248, '[2]DataLookUp - InstitutionBranch'!$B$4:$C$2000, 2, FALSE)), "")))</f>
        <v>Institution - PT. Lintas Teknologi Indonesia</v>
      </c>
      <c r="D248" s="22">
        <v>223000000000004</v>
      </c>
      <c r="E248" s="40" t="str">
        <f>IF(EXACT($D248, ""), "", VLOOKUP($D248, 'REF - ContactNumberType'!$B$4:$C$10, 2, FALSE))</f>
        <v>Office Phone</v>
      </c>
      <c r="F248" s="27" t="s">
        <v>915</v>
      </c>
      <c r="G248" s="9"/>
      <c r="H248" s="9"/>
      <c r="J248" s="34">
        <f t="shared" si="7"/>
        <v>286000000000230</v>
      </c>
      <c r="K248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21 837-800-00'::varchar, NULL::varchar, NULL::varchar, '124000000000034'::bigint);</v>
      </c>
    </row>
    <row r="249" spans="2:11" x14ac:dyDescent="0.2">
      <c r="B249" s="22">
        <v>124000000000034</v>
      </c>
      <c r="C249" s="4" t="str">
        <f>IF(EXACT($B249, ""), "", IF((($B249 - MOD($B249, 1000000000000))/1000000000000)=25, CONCATENATE("Person - ", VLOOKUP($B249, [1]DataLookUp!$B$4:$C$2000, 2, FALSE)), IF((($B249 - MOD($B249, 1000000000000))/1000000000000)=124, CONCATENATE("Institution - ", VLOOKUP($B249, '[2]DataLookUp - InstitutionBranch'!$B$4:$C$2000, 2, FALSE)), "")))</f>
        <v>Institution - PT. Lintas Teknologi Indonesia</v>
      </c>
      <c r="D249" s="22">
        <v>223000000000005</v>
      </c>
      <c r="E249" s="40" t="str">
        <f>IF(EXACT($D249, ""), "", VLOOKUP($D249, 'REF - ContactNumberType'!$B$4:$C$10, 2, FALSE))</f>
        <v>Faximile</v>
      </c>
      <c r="F249" s="27" t="s">
        <v>914</v>
      </c>
      <c r="G249" s="9"/>
      <c r="H249" s="9"/>
      <c r="J249" s="34">
        <f t="shared" si="7"/>
        <v>286000000000231</v>
      </c>
      <c r="K249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21 837-800-01'::varchar, NULL::varchar, NULL::varchar, '124000000000034'::bigint);</v>
      </c>
    </row>
    <row r="250" spans="2:11" x14ac:dyDescent="0.2">
      <c r="B250" s="22">
        <v>124000000000035</v>
      </c>
      <c r="C250" s="4" t="str">
        <f>IF(EXACT($B250, ""), "", IF((($B250 - MOD($B250, 1000000000000))/1000000000000)=25, CONCATENATE("Person - ", VLOOKUP($B250, [1]DataLookUp!$B$4:$C$2000, 2, FALSE)), IF((($B250 - MOD($B250, 1000000000000))/1000000000000)=124, CONCATENATE("Institution - ", VLOOKUP($B250, '[2]DataLookUp - InstitutionBranch'!$B$4:$C$2000, 2, FALSE)), "")))</f>
        <v>Institution - PT. Mega Eltra</v>
      </c>
      <c r="D250" s="22">
        <v>223000000000004</v>
      </c>
      <c r="E250" s="40" t="str">
        <f>IF(EXACT($D250, ""), "", VLOOKUP($D250, 'REF - ContactNumberType'!$B$4:$C$10, 2, FALSE))</f>
        <v>Office Phone</v>
      </c>
      <c r="F250" s="27"/>
      <c r="G250" s="9"/>
      <c r="H250" s="9"/>
      <c r="J250" s="34">
        <f t="shared" si="7"/>
        <v>286000000000231</v>
      </c>
      <c r="K250" s="35" t="str">
        <f t="shared" si="8"/>
        <v/>
      </c>
    </row>
    <row r="251" spans="2:11" x14ac:dyDescent="0.2">
      <c r="B251" s="22">
        <v>124000000000036</v>
      </c>
      <c r="C251" s="4" t="str">
        <f>IF(EXACT($B251, ""), "", IF((($B251 - MOD($B251, 1000000000000))/1000000000000)=25, CONCATENATE("Person - ", VLOOKUP($B251, [1]DataLookUp!$B$4:$C$2000, 2, FALSE)), IF((($B251 - MOD($B251, 1000000000000))/1000000000000)=124, CONCATENATE("Institution - ", VLOOKUP($B251, '[2]DataLookUp - InstitutionBranch'!$B$4:$C$2000, 2, FALSE)), "")))</f>
        <v>Institution - PT. Megatel Jaya Swastikarya</v>
      </c>
      <c r="D251" s="22">
        <v>223000000000004</v>
      </c>
      <c r="E251" s="40" t="str">
        <f>IF(EXACT($D251, ""), "", VLOOKUP($D251, 'REF - ContactNumberType'!$B$4:$C$10, 2, FALSE))</f>
        <v>Office Phone</v>
      </c>
      <c r="F251" s="27"/>
      <c r="G251" s="9"/>
      <c r="H251" s="9"/>
      <c r="J251" s="34">
        <f t="shared" si="7"/>
        <v>286000000000231</v>
      </c>
      <c r="K251" s="35" t="str">
        <f t="shared" si="8"/>
        <v/>
      </c>
    </row>
    <row r="252" spans="2:11" x14ac:dyDescent="0.2">
      <c r="B252" s="22">
        <v>124000000000037</v>
      </c>
      <c r="C252" s="4" t="str">
        <f>IF(EXACT($B252, ""), "", IF((($B252 - MOD($B252, 1000000000000))/1000000000000)=25, CONCATENATE("Person - ", VLOOKUP($B252, [1]DataLookUp!$B$4:$C$2000, 2, FALSE)), IF((($B252 - MOD($B252, 1000000000000))/1000000000000)=124, CONCATENATE("Institution - ", VLOOKUP($B252, '[2]DataLookUp - InstitutionBranch'!$B$4:$C$2000, 2, FALSE)), "")))</f>
        <v>Institution - PT. Nokia Indonesia</v>
      </c>
      <c r="D252" s="22">
        <v>223000000000004</v>
      </c>
      <c r="E252" s="40" t="str">
        <f>IF(EXACT($D252, ""), "", VLOOKUP($D252, 'REF - ContactNumberType'!$B$4:$C$10, 2, FALSE))</f>
        <v>Office Phone</v>
      </c>
      <c r="F252" s="27"/>
      <c r="G252" s="9"/>
      <c r="H252" s="9"/>
      <c r="J252" s="34">
        <f t="shared" si="7"/>
        <v>286000000000231</v>
      </c>
      <c r="K252" s="35" t="str">
        <f t="shared" si="8"/>
        <v/>
      </c>
    </row>
    <row r="253" spans="2:11" x14ac:dyDescent="0.2">
      <c r="B253" s="22">
        <v>124000000000038</v>
      </c>
      <c r="C253" s="4" t="str">
        <f>IF(EXACT($B253, ""), "", IF((($B253 - MOD($B253, 1000000000000))/1000000000000)=25, CONCATENATE("Person - ", VLOOKUP($B253, [1]DataLookUp!$B$4:$C$2000, 2, FALSE)), IF((($B253 - MOD($B253, 1000000000000))/1000000000000)=124, CONCATENATE("Institution - ", VLOOKUP($B253, '[2]DataLookUp - InstitutionBranch'!$B$4:$C$2000, 2, FALSE)), "")))</f>
        <v>Institution - PT. Nokia Siemens Network Indonesia</v>
      </c>
      <c r="D253" s="22">
        <v>223000000000004</v>
      </c>
      <c r="E253" s="40" t="str">
        <f>IF(EXACT($D253, ""), "", VLOOKUP($D253, 'REF - ContactNumberType'!$B$4:$C$10, 2, FALSE))</f>
        <v>Office Phone</v>
      </c>
      <c r="F253" s="27"/>
      <c r="G253" s="9"/>
      <c r="H253" s="9"/>
      <c r="J253" s="34">
        <f t="shared" si="7"/>
        <v>286000000000231</v>
      </c>
      <c r="K253" s="35" t="str">
        <f t="shared" si="8"/>
        <v/>
      </c>
    </row>
    <row r="254" spans="2:11" x14ac:dyDescent="0.2">
      <c r="B254" s="22">
        <v>124000000000039</v>
      </c>
      <c r="C254" s="4" t="str">
        <f>IF(EXACT($B254, ""), "", IF((($B254 - MOD($B254, 1000000000000))/1000000000000)=25, CONCATENATE("Person - ", VLOOKUP($B254, [1]DataLookUp!$B$4:$C$2000, 2, FALSE)), IF((($B254 - MOD($B254, 1000000000000))/1000000000000)=124, CONCATENATE("Institution - ", VLOOKUP($B254, '[2]DataLookUp - InstitutionBranch'!$B$4:$C$2000, 2, FALSE)), "")))</f>
        <v>Institution - PT. Pertamina Geothermal Energy</v>
      </c>
      <c r="D254" s="22">
        <v>223000000000004</v>
      </c>
      <c r="E254" s="40" t="str">
        <f>IF(EXACT($D254, ""), "", VLOOKUP($D254, 'REF - ContactNumberType'!$B$4:$C$10, 2, FALSE))</f>
        <v>Office Phone</v>
      </c>
      <c r="F254" s="27" t="s">
        <v>911</v>
      </c>
      <c r="G254" s="9"/>
      <c r="H254" s="9"/>
      <c r="J254" s="34">
        <f t="shared" si="7"/>
        <v>286000000000232</v>
      </c>
      <c r="K254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21 398-332-22'::varchar, NULL::varchar, NULL::varchar, '124000000000039'::bigint);</v>
      </c>
    </row>
    <row r="255" spans="2:11" x14ac:dyDescent="0.2">
      <c r="B255" s="22">
        <v>124000000000039</v>
      </c>
      <c r="C255" s="4" t="str">
        <f>IF(EXACT($B255, ""), "", IF((($B255 - MOD($B255, 1000000000000))/1000000000000)=25, CONCATENATE("Person - ", VLOOKUP($B255, [1]DataLookUp!$B$4:$C$2000, 2, FALSE)), IF((($B255 - MOD($B255, 1000000000000))/1000000000000)=124, CONCATENATE("Institution - ", VLOOKUP($B255, '[2]DataLookUp - InstitutionBranch'!$B$4:$C$2000, 2, FALSE)), "")))</f>
        <v>Institution - PT. Pertamina Geothermal Energy</v>
      </c>
      <c r="D255" s="22">
        <v>223000000000004</v>
      </c>
      <c r="E255" s="40" t="str">
        <f>IF(EXACT($D255, ""), "", VLOOKUP($D255, 'REF - ContactNumberType'!$B$4:$C$10, 2, FALSE))</f>
        <v>Office Phone</v>
      </c>
      <c r="F255" s="27" t="s">
        <v>913</v>
      </c>
      <c r="G255" s="9"/>
      <c r="H255" s="9"/>
      <c r="J255" s="34">
        <f t="shared" si="7"/>
        <v>286000000000233</v>
      </c>
      <c r="K255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21 398-331-50'::varchar, NULL::varchar, NULL::varchar, '124000000000039'::bigint);</v>
      </c>
    </row>
    <row r="256" spans="2:11" x14ac:dyDescent="0.2">
      <c r="B256" s="22">
        <v>124000000000039</v>
      </c>
      <c r="C256" s="4" t="str">
        <f>IF(EXACT($B256, ""), "", IF((($B256 - MOD($B256, 1000000000000))/1000000000000)=25, CONCATENATE("Person - ", VLOOKUP($B256, [1]DataLookUp!$B$4:$C$2000, 2, FALSE)), IF((($B256 - MOD($B256, 1000000000000))/1000000000000)=124, CONCATENATE("Institution - ", VLOOKUP($B256, '[2]DataLookUp - InstitutionBranch'!$B$4:$C$2000, 2, FALSE)), "")))</f>
        <v>Institution - PT. Pertamina Geothermal Energy</v>
      </c>
      <c r="D256" s="22">
        <v>223000000000005</v>
      </c>
      <c r="E256" s="40" t="str">
        <f>IF(EXACT($D256, ""), "", VLOOKUP($D256, 'REF - ContactNumberType'!$B$4:$C$10, 2, FALSE))</f>
        <v>Faximile</v>
      </c>
      <c r="F256" s="27" t="s">
        <v>912</v>
      </c>
      <c r="G256" s="9"/>
      <c r="H256" s="9"/>
      <c r="J256" s="34">
        <f t="shared" si="7"/>
        <v>286000000000234</v>
      </c>
      <c r="K256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223000000000005::bigint, '+62 21 398-332-30'::varchar, NULL::varchar, NULL::varchar, '124000000000039'::bigint);</v>
      </c>
    </row>
    <row r="257" spans="2:11" x14ac:dyDescent="0.2">
      <c r="B257" s="22">
        <v>124000000000040</v>
      </c>
      <c r="C257" s="4" t="str">
        <f>IF(EXACT($B257, ""), "", IF((($B257 - MOD($B257, 1000000000000))/1000000000000)=25, CONCATENATE("Person - ", VLOOKUP($B257, [1]DataLookUp!$B$4:$C$2000, 2, FALSE)), IF((($B257 - MOD($B257, 1000000000000))/1000000000000)=124, CONCATENATE("Institution - ", VLOOKUP($B257, '[2]DataLookUp - InstitutionBranch'!$B$4:$C$2000, 2, FALSE)), "")))</f>
        <v>Institution - PT. Pelayanan Listrik Nasional (PLN) (Persero) - Kantor Pusat</v>
      </c>
      <c r="D257" s="22">
        <v>223000000000004</v>
      </c>
      <c r="E257" s="40" t="str">
        <f>IF(EXACT($D257, ""), "", VLOOKUP($D257, 'REF - ContactNumberType'!$B$4:$C$10, 2, FALSE))</f>
        <v>Office Phone</v>
      </c>
      <c r="F257" s="27"/>
      <c r="G257" s="9"/>
      <c r="H257" s="9"/>
      <c r="J257" s="34">
        <f t="shared" si="7"/>
        <v>286000000000234</v>
      </c>
      <c r="K257" s="35" t="str">
        <f t="shared" si="8"/>
        <v/>
      </c>
    </row>
    <row r="258" spans="2:11" x14ac:dyDescent="0.2">
      <c r="B258" s="22">
        <v>124000000000041</v>
      </c>
      <c r="C258" s="4" t="str">
        <f>IF(EXACT($B258, ""), "", IF((($B258 - MOD($B258, 1000000000000))/1000000000000)=25, CONCATENATE("Person - ", VLOOKUP($B258, [1]DataLookUp!$B$4:$C$2000, 2, FALSE)), IF((($B258 - MOD($B258, 1000000000000))/1000000000000)=124, CONCATENATE("Institution - ", VLOOKUP($B258, '[2]DataLookUp - InstitutionBranch'!$B$4:$C$2000, 2, FALSE)), "")))</f>
        <v>Institution - PT. Pelayanan Listrik Nasional (PLN) (Persero) - Batam</v>
      </c>
      <c r="D258" s="22">
        <v>223000000000004</v>
      </c>
      <c r="E258" s="40" t="str">
        <f>IF(EXACT($D258, ""), "", VLOOKUP($D258, 'REF - ContactNumberType'!$B$4:$C$10, 2, FALSE))</f>
        <v>Office Phone</v>
      </c>
      <c r="F258" s="27"/>
      <c r="G258" s="9"/>
      <c r="H258" s="9"/>
      <c r="J258" s="34">
        <f t="shared" si="7"/>
        <v>286000000000234</v>
      </c>
      <c r="K258" s="35" t="str">
        <f t="shared" si="8"/>
        <v/>
      </c>
    </row>
    <row r="259" spans="2:11" x14ac:dyDescent="0.2">
      <c r="B259" s="22">
        <v>124000000000042</v>
      </c>
      <c r="C259" s="4" t="str">
        <f>IF(EXACT($B259, ""), "", IF((($B259 - MOD($B259, 1000000000000))/1000000000000)=25, CONCATENATE("Person - ", VLOOKUP($B259, [1]DataLookUp!$B$4:$C$2000, 2, FALSE)), IF((($B259 - MOD($B259, 1000000000000))/1000000000000)=124, CONCATENATE("Institution - ", VLOOKUP($B259, '[2]DataLookUp - InstitutionBranch'!$B$4:$C$2000, 2, FALSE)), "")))</f>
        <v>Institution - PT. Pelayanan Listrik Nasional (PLN) (Persero) - P3B Jawa Bali APP Cawang</v>
      </c>
      <c r="D259" s="22">
        <v>223000000000004</v>
      </c>
      <c r="E259" s="40" t="str">
        <f>IF(EXACT($D259, ""), "", VLOOKUP($D259, 'REF - ContactNumberType'!$B$4:$C$10, 2, FALSE))</f>
        <v>Office Phone</v>
      </c>
      <c r="F259" s="27"/>
      <c r="G259" s="9"/>
      <c r="H259" s="9"/>
      <c r="J259" s="34">
        <f t="shared" si="7"/>
        <v>286000000000234</v>
      </c>
      <c r="K259" s="35" t="str">
        <f t="shared" si="8"/>
        <v/>
      </c>
    </row>
    <row r="260" spans="2:11" x14ac:dyDescent="0.2">
      <c r="B260" s="22">
        <v>124000000000043</v>
      </c>
      <c r="C260" s="4" t="str">
        <f>IF(EXACT($B260, ""), "", IF((($B260 - MOD($B260, 1000000000000))/1000000000000)=25, CONCATENATE("Person - ", VLOOKUP($B260, [1]DataLookUp!$B$4:$C$2000, 2, FALSE)), IF((($B260 - MOD($B260, 1000000000000))/1000000000000)=124, CONCATENATE("Institution - ", VLOOKUP($B260, '[2]DataLookUp - InstitutionBranch'!$B$4:$C$2000, 2, FALSE)), "")))</f>
        <v>Institution - PT. Pelayanan Listrik Nasional (PLN) (Persero) - Unit Induk Pembangunan V</v>
      </c>
      <c r="D260" s="22">
        <v>223000000000004</v>
      </c>
      <c r="E260" s="40" t="str">
        <f>IF(EXACT($D260, ""), "", VLOOKUP($D260, 'REF - ContactNumberType'!$B$4:$C$10, 2, FALSE))</f>
        <v>Office Phone</v>
      </c>
      <c r="F260" s="27"/>
      <c r="G260" s="9"/>
      <c r="H260" s="9"/>
      <c r="J260" s="34">
        <f t="shared" si="7"/>
        <v>286000000000234</v>
      </c>
      <c r="K260" s="35" t="str">
        <f t="shared" si="8"/>
        <v/>
      </c>
    </row>
    <row r="261" spans="2:11" x14ac:dyDescent="0.2">
      <c r="B261" s="22">
        <v>124000000000044</v>
      </c>
      <c r="C261" s="4" t="str">
        <f>IF(EXACT($B261, ""), "", IF((($B261 - MOD($B261, 1000000000000))/1000000000000)=25, CONCATENATE("Person - ", VLOOKUP($B261, [1]DataLookUp!$B$4:$C$2000, 2, FALSE)), IF((($B261 - MOD($B261, 1000000000000))/1000000000000)=124, CONCATENATE("Institution - ", VLOOKUP($B261, '[2]DataLookUp - InstitutionBranch'!$B$4:$C$2000, 2, FALSE)), "")))</f>
        <v>Institution - PT. Pelayanan Listrik Nasional (PLN) (Persero) - Unit Induk Pembangunan Nusa Tenggara</v>
      </c>
      <c r="D261" s="22">
        <v>223000000000004</v>
      </c>
      <c r="E261" s="40" t="str">
        <f>IF(EXACT($D261, ""), "", VLOOKUP($D261, 'REF - ContactNumberType'!$B$4:$C$10, 2, FALSE))</f>
        <v>Office Phone</v>
      </c>
      <c r="F261" s="27" t="s">
        <v>910</v>
      </c>
      <c r="G261" s="9"/>
      <c r="H261" s="9"/>
      <c r="J261" s="34">
        <f t="shared" si="7"/>
        <v>286000000000235</v>
      </c>
      <c r="K261" s="35" t="str">
        <f t="shared" si="8"/>
        <v>PERFORM "SchData-OLTP-Master"."Func_TblContactNumber_SET"(varSystemLoginSession::bigint, null::bigint, null::varchar, null::timestamptz, null::timestamptz, null::varchar, varInstitutionBranchID::bigint, varBaseCurrencyID::bigint, 223000000000004::bigint, '+62 370 638-884'::varchar, NULL::varchar, NULL::varchar, '124000000000044'::bigint);</v>
      </c>
    </row>
    <row r="262" spans="2:11" x14ac:dyDescent="0.2">
      <c r="B262" s="22">
        <v>124000000000044</v>
      </c>
      <c r="C262" s="4" t="str">
        <f>IF(EXACT($B262, ""), "", IF((($B262 - MOD($B262, 1000000000000))/1000000000000)=25, CONCATENATE("Person - ", VLOOKUP($B262, [1]DataLookUp!$B$4:$C$2000, 2, FALSE)), IF((($B262 - MOD($B262, 1000000000000))/1000000000000)=124, CONCATENATE("Institution - ", VLOOKUP($B262, '[2]DataLookUp - InstitutionBranch'!$B$4:$C$2000, 2, FALSE)), "")))</f>
        <v>Institution - PT. Pelayanan Listrik Nasional (PLN) (Persero) - Unit Induk Pembangunan Nusa Tenggara</v>
      </c>
      <c r="D262" s="22">
        <v>223000000000005</v>
      </c>
      <c r="E262" s="40" t="str">
        <f>IF(EXACT($D262, ""), "", VLOOKUP($D262, 'REF - ContactNumberType'!$B$4:$C$10, 2, FALSE))</f>
        <v>Faximile</v>
      </c>
      <c r="F262" s="27" t="s">
        <v>909</v>
      </c>
      <c r="G262" s="9"/>
      <c r="H262" s="9"/>
      <c r="J262" s="34">
        <f t="shared" ref="J262:J319" si="9" xml:space="preserve"> J261 + IF(EXACT(K262, ""), 0, 1)</f>
        <v>286000000000236</v>
      </c>
      <c r="K262" s="35" t="str">
        <f t="shared" ref="K262:K319" si="10">IF(EXACT(F262, ""), "", CONCATENATE("PERFORM ""SchData-OLTP-Master"".""Func_TblContactNumber_SET""(varSystemLoginSession::bigint, null::bigint, null::varchar, null::timestamptz, null::timestamptz, null::varchar, varInstitutionBranchID::bigint, varBaseCurrencyID::bigint, ", IF(EXACT($D262, ""), "NULL", ""&amp;$D262&amp;""), "::bigint, ", IF(EXACT($F262, ""), "NULL", "'"&amp;$F262&amp;"'"), "::varchar, ", IF(EXACT($G262, ""), "NULL", "'"&amp;$G262&amp;"'"), "::varchar, ", IF(EXACT($H262, ""), "NULL", "'"&amp;$H262&amp;"'"), "::varchar, ", IF(EXACT($B262, ""), "NULL", "'"&amp;$B262&amp;"'"), "::bigint);"))</f>
        <v>PERFORM "SchData-OLTP-Master"."Func_TblContactNumber_SET"(varSystemLoginSession::bigint, null::bigint, null::varchar, null::timestamptz, null::timestamptz, null::varchar, varInstitutionBranchID::bigint, varBaseCurrencyID::bigint, 223000000000005::bigint, '+62 370 627-631'::varchar, NULL::varchar, NULL::varchar, '124000000000044'::bigint);</v>
      </c>
    </row>
    <row r="263" spans="2:11" x14ac:dyDescent="0.2">
      <c r="B263" s="22">
        <v>124000000000045</v>
      </c>
      <c r="C263" s="4" t="str">
        <f>IF(EXACT($B263, ""), "", IF((($B263 - MOD($B263, 1000000000000))/1000000000000)=25, CONCATENATE("Person - ", VLOOKUP($B263, [1]DataLookUp!$B$4:$C$2000, 2, FALSE)), IF((($B263 - MOD($B263, 1000000000000))/1000000000000)=124, CONCATENATE("Institution - ", VLOOKUP($B263, '[2]DataLookUp - InstitutionBranch'!$B$4:$C$2000, 2, FALSE)), "")))</f>
        <v>Institution - PT. Pelayanan Listrik Nasional (PLN) (Persero) - Unit Induk Pembangunan XIII</v>
      </c>
      <c r="D263" s="22">
        <v>223000000000004</v>
      </c>
      <c r="E263" s="40" t="str">
        <f>IF(EXACT($D263, ""), "", VLOOKUP($D263, 'REF - ContactNumberType'!$B$4:$C$10, 2, FALSE))</f>
        <v>Office Phone</v>
      </c>
      <c r="F263" s="27"/>
      <c r="G263" s="9"/>
      <c r="H263" s="9"/>
      <c r="J263" s="34">
        <f t="shared" si="9"/>
        <v>286000000000236</v>
      </c>
      <c r="K263" s="35" t="str">
        <f t="shared" si="10"/>
        <v/>
      </c>
    </row>
    <row r="264" spans="2:11" x14ac:dyDescent="0.2">
      <c r="B264" s="22">
        <v>124000000000046</v>
      </c>
      <c r="C264" s="4" t="str">
        <f>IF(EXACT($B264, ""), "", IF((($B264 - MOD($B264, 1000000000000))/1000000000000)=25, CONCATENATE("Person - ", VLOOKUP($B264, [1]DataLookUp!$B$4:$C$2000, 2, FALSE)), IF((($B264 - MOD($B264, 1000000000000))/1000000000000)=124, CONCATENATE("Institution - ", VLOOKUP($B264, '[2]DataLookUp - InstitutionBranch'!$B$4:$C$2000, 2, FALSE)), "")))</f>
        <v>Institution - PT. Pelayanan Listrik Nasional (PLN) (Persero) - P2B Jawa Bali APB Jawa Tengah &amp; DIY</v>
      </c>
      <c r="D264" s="22">
        <v>223000000000004</v>
      </c>
      <c r="E264" s="40" t="str">
        <f>IF(EXACT($D264, ""), "", VLOOKUP($D264, 'REF - ContactNumberType'!$B$4:$C$10, 2, FALSE))</f>
        <v>Office Phone</v>
      </c>
      <c r="F264" s="27" t="s">
        <v>908</v>
      </c>
      <c r="G264" s="9"/>
      <c r="H264" s="9"/>
      <c r="J264" s="34">
        <f t="shared" si="9"/>
        <v>286000000000237</v>
      </c>
      <c r="K26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21 692-120-9'::varchar, NULL::varchar, NULL::varchar, '124000000000046'::bigint);</v>
      </c>
    </row>
    <row r="265" spans="2:11" x14ac:dyDescent="0.2">
      <c r="B265" s="22">
        <v>124000000000046</v>
      </c>
      <c r="C265" s="4" t="str">
        <f>IF(EXACT($B265, ""), "", IF((($B265 - MOD($B265, 1000000000000))/1000000000000)=25, CONCATENATE("Person - ", VLOOKUP($B265, [1]DataLookUp!$B$4:$C$2000, 2, FALSE)), IF((($B265 - MOD($B265, 1000000000000))/1000000000000)=124, CONCATENATE("Institution - ", VLOOKUP($B265, '[2]DataLookUp - InstitutionBranch'!$B$4:$C$2000, 2, FALSE)), "")))</f>
        <v>Institution - PT. Pelayanan Listrik Nasional (PLN) (Persero) - P2B Jawa Bali APB Jawa Tengah &amp; DIY</v>
      </c>
      <c r="D265" s="22">
        <v>223000000000005</v>
      </c>
      <c r="E265" s="40" t="str">
        <f>IF(EXACT($D265, ""), "", VLOOKUP($D265, 'REF - ContactNumberType'!$B$4:$C$10, 2, FALSE))</f>
        <v>Faximile</v>
      </c>
      <c r="F265" s="27" t="s">
        <v>907</v>
      </c>
      <c r="G265" s="9"/>
      <c r="H265" s="9"/>
      <c r="J265" s="34">
        <f t="shared" si="9"/>
        <v>286000000000238</v>
      </c>
      <c r="K26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21 692-240-2'::varchar, NULL::varchar, NULL::varchar, '124000000000046'::bigint);</v>
      </c>
    </row>
    <row r="266" spans="2:11" x14ac:dyDescent="0.2">
      <c r="B266" s="22">
        <v>124000000000047</v>
      </c>
      <c r="C266" s="4" t="str">
        <f>IF(EXACT($B266, ""), "", IF((($B266 - MOD($B266, 1000000000000))/1000000000000)=25, CONCATENATE("Person - ", VLOOKUP($B266, [1]DataLookUp!$B$4:$C$2000, 2, FALSE)), IF((($B266 - MOD($B266, 1000000000000))/1000000000000)=124, CONCATENATE("Institution - ", VLOOKUP($B266, '[2]DataLookUp - InstitutionBranch'!$B$4:$C$2000, 2, FALSE)), "")))</f>
        <v>Institution - PT. Pelayanan Listrik Nasional (PLN) (Persero) - Unit Induk Pembangunan II</v>
      </c>
      <c r="D266" s="22">
        <v>223000000000004</v>
      </c>
      <c r="E266" s="40" t="str">
        <f>IF(EXACT($D266, ""), "", VLOOKUP($D266, 'REF - ContactNumberType'!$B$4:$C$10, 2, FALSE))</f>
        <v>Office Phone</v>
      </c>
      <c r="F266" s="27"/>
      <c r="G266" s="9"/>
      <c r="H266" s="9"/>
      <c r="J266" s="34">
        <f t="shared" si="9"/>
        <v>286000000000238</v>
      </c>
      <c r="K266" s="35" t="str">
        <f t="shared" si="10"/>
        <v/>
      </c>
    </row>
    <row r="267" spans="2:11" x14ac:dyDescent="0.2">
      <c r="B267" s="22">
        <v>124000000000048</v>
      </c>
      <c r="C267" s="4" t="str">
        <f>IF(EXACT($B267, ""), "", IF((($B267 - MOD($B267, 1000000000000))/1000000000000)=25, CONCATENATE("Person - ", VLOOKUP($B267, [1]DataLookUp!$B$4:$C$2000, 2, FALSE)), IF((($B267 - MOD($B267, 1000000000000))/1000000000000)=124, CONCATENATE("Institution - ", VLOOKUP($B267, '[2]DataLookUp - InstitutionBranch'!$B$4:$C$2000, 2, FALSE)), "")))</f>
        <v>Institution - PT. Pelayanan Listrik Nasional (PLN) (Persero) - Unit Induk Pembangunan Interkoneksi Sumatera Jawa</v>
      </c>
      <c r="D267" s="22">
        <v>223000000000004</v>
      </c>
      <c r="E267" s="40" t="str">
        <f>IF(EXACT($D267, ""), "", VLOOKUP($D267, 'REF - ContactNumberType'!$B$4:$C$10, 2, FALSE))</f>
        <v>Office Phone</v>
      </c>
      <c r="F267" s="27" t="s">
        <v>906</v>
      </c>
      <c r="G267" s="9"/>
      <c r="H267" s="9"/>
      <c r="J267" s="34">
        <f t="shared" si="9"/>
        <v>286000000000239</v>
      </c>
      <c r="K26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21 569-504-12'::varchar, NULL::varchar, NULL::varchar, '124000000000048'::bigint);</v>
      </c>
    </row>
    <row r="268" spans="2:11" x14ac:dyDescent="0.2">
      <c r="B268" s="22">
        <v>124000000000048</v>
      </c>
      <c r="C268" s="4" t="str">
        <f>IF(EXACT($B268, ""), "", IF((($B268 - MOD($B268, 1000000000000))/1000000000000)=25, CONCATENATE("Person - ", VLOOKUP($B268, [1]DataLookUp!$B$4:$C$2000, 2, FALSE)), IF((($B268 - MOD($B268, 1000000000000))/1000000000000)=124, CONCATENATE("Institution - ", VLOOKUP($B268, '[2]DataLookUp - InstitutionBranch'!$B$4:$C$2000, 2, FALSE)), "")))</f>
        <v>Institution - PT. Pelayanan Listrik Nasional (PLN) (Persero) - Unit Induk Pembangunan Interkoneksi Sumatera Jawa</v>
      </c>
      <c r="D268" s="22">
        <v>223000000000005</v>
      </c>
      <c r="E268" s="40" t="str">
        <f>IF(EXACT($D268, ""), "", VLOOKUP($D268, 'REF - ContactNumberType'!$B$4:$C$10, 2, FALSE))</f>
        <v>Faximile</v>
      </c>
      <c r="F268" s="27" t="s">
        <v>905</v>
      </c>
      <c r="G268" s="9"/>
      <c r="H268" s="9"/>
      <c r="J268" s="34">
        <f t="shared" si="9"/>
        <v>286000000000240</v>
      </c>
      <c r="K26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21 569-504-13'::varchar, NULL::varchar, NULL::varchar, '124000000000048'::bigint);</v>
      </c>
    </row>
    <row r="269" spans="2:11" x14ac:dyDescent="0.2">
      <c r="B269" s="22">
        <v>124000000000049</v>
      </c>
      <c r="C269" s="4" t="str">
        <f>IF(EXACT($B269, ""), "", IF((($B269 - MOD($B269, 1000000000000))/1000000000000)=25, CONCATENATE("Person - ", VLOOKUP($B269, [1]DataLookUp!$B$4:$C$2000, 2, FALSE)), IF((($B269 - MOD($B269, 1000000000000))/1000000000000)=124, CONCATENATE("Institution - ", VLOOKUP($B269, '[2]DataLookUp - InstitutionBranch'!$B$4:$C$2000, 2, FALSE)), "")))</f>
        <v>Institution - PT. Pelayanan Listrik Nasional (PLN) (Persero) - Unit Induk Pembangunan X</v>
      </c>
      <c r="D269" s="22">
        <v>223000000000004</v>
      </c>
      <c r="E269" s="40" t="str">
        <f>IF(EXACT($D269, ""), "", VLOOKUP($D269, 'REF - ContactNumberType'!$B$4:$C$10, 2, FALSE))</f>
        <v>Office Phone</v>
      </c>
      <c r="F269" s="27"/>
      <c r="G269" s="9"/>
      <c r="H269" s="9"/>
      <c r="J269" s="34">
        <f t="shared" si="9"/>
        <v>286000000000240</v>
      </c>
      <c r="K269" s="35" t="str">
        <f t="shared" si="10"/>
        <v/>
      </c>
    </row>
    <row r="270" spans="2:11" x14ac:dyDescent="0.2">
      <c r="B270" s="22">
        <v>124000000000050</v>
      </c>
      <c r="C270" s="4" t="str">
        <f>IF(EXACT($B270, ""), "", IF((($B270 - MOD($B270, 1000000000000))/1000000000000)=25, CONCATENATE("Person - ", VLOOKUP($B270, [1]DataLookUp!$B$4:$C$2000, 2, FALSE)), IF((($B270 - MOD($B270, 1000000000000))/1000000000000)=124, CONCATENATE("Institution - ", VLOOKUP($B270, '[2]DataLookUp - InstitutionBranch'!$B$4:$C$2000, 2, FALSE)), "")))</f>
        <v xml:space="preserve">Institution - PT. Pelayanan Listrik Nasional (PLN) (Persero) - Unit Induk Pembangunan JBT II </v>
      </c>
      <c r="D270" s="22">
        <v>223000000000004</v>
      </c>
      <c r="E270" s="40" t="str">
        <f>IF(EXACT($D270, ""), "", VLOOKUP($D270, 'REF - ContactNumberType'!$B$4:$C$10, 2, FALSE))</f>
        <v>Office Phone</v>
      </c>
      <c r="F270" s="27"/>
      <c r="G270" s="9"/>
      <c r="H270" s="9"/>
      <c r="J270" s="34">
        <f t="shared" si="9"/>
        <v>286000000000240</v>
      </c>
      <c r="K270" s="35" t="str">
        <f t="shared" si="10"/>
        <v/>
      </c>
    </row>
    <row r="271" spans="2:11" x14ac:dyDescent="0.2">
      <c r="B271" s="22">
        <v>124000000000051</v>
      </c>
      <c r="C271" s="4" t="str">
        <f>IF(EXACT($B271, ""), "", IF((($B271 - MOD($B271, 1000000000000))/1000000000000)=25, CONCATENATE("Person - ", VLOOKUP($B271, [1]DataLookUp!$B$4:$C$2000, 2, FALSE)), IF((($B271 - MOD($B271, 1000000000000))/1000000000000)=124, CONCATENATE("Institution - ", VLOOKUP($B271, '[2]DataLookUp - InstitutionBranch'!$B$4:$C$2000, 2, FALSE)), "")))</f>
        <v>Institution - PT. Protelindo</v>
      </c>
      <c r="D271" s="22">
        <v>223000000000004</v>
      </c>
      <c r="E271" s="40" t="str">
        <f>IF(EXACT($D271, ""), "", VLOOKUP($D271, 'REF - ContactNumberType'!$B$4:$C$10, 2, FALSE))</f>
        <v>Office Phone</v>
      </c>
      <c r="F271" s="27" t="s">
        <v>904</v>
      </c>
      <c r="G271" s="9"/>
      <c r="H271" s="9"/>
      <c r="J271" s="34">
        <f t="shared" si="9"/>
        <v>286000000000241</v>
      </c>
      <c r="K271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21 235-855-00'::varchar, NULL::varchar, NULL::varchar, '124000000000051'::bigint);</v>
      </c>
    </row>
    <row r="272" spans="2:11" x14ac:dyDescent="0.2">
      <c r="B272" s="22">
        <v>124000000000051</v>
      </c>
      <c r="C272" s="4" t="str">
        <f>IF(EXACT($B272, ""), "", IF((($B272 - MOD($B272, 1000000000000))/1000000000000)=25, CONCATENATE("Person - ", VLOOKUP($B272, [1]DataLookUp!$B$4:$C$2000, 2, FALSE)), IF((($B272 - MOD($B272, 1000000000000))/1000000000000)=124, CONCATENATE("Institution - ", VLOOKUP($B272, '[2]DataLookUp - InstitutionBranch'!$B$4:$C$2000, 2, FALSE)), "")))</f>
        <v>Institution - PT. Protelindo</v>
      </c>
      <c r="D272" s="22">
        <v>223000000000005</v>
      </c>
      <c r="E272" s="40" t="str">
        <f>IF(EXACT($D272, ""), "", VLOOKUP($D272, 'REF - ContactNumberType'!$B$4:$C$10, 2, FALSE))</f>
        <v>Faximile</v>
      </c>
      <c r="F272" s="27" t="s">
        <v>903</v>
      </c>
      <c r="G272" s="9"/>
      <c r="H272" s="9"/>
      <c r="J272" s="34">
        <f t="shared" si="9"/>
        <v>286000000000242</v>
      </c>
      <c r="K27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21 235-864-46'::varchar, NULL::varchar, NULL::varchar, '124000000000051'::bigint);</v>
      </c>
    </row>
    <row r="273" spans="2:11" x14ac:dyDescent="0.2">
      <c r="B273" s="22">
        <v>124000000000052</v>
      </c>
      <c r="C273" s="4" t="str">
        <f>IF(EXACT($B273, ""), "", IF((($B273 - MOD($B273, 1000000000000))/1000000000000)=25, CONCATENATE("Person - ", VLOOKUP($B273, [1]DataLookUp!$B$4:$C$2000, 2, FALSE)), IF((($B273 - MOD($B273, 1000000000000))/1000000000000)=124, CONCATENATE("Institution - ", VLOOKUP($B273, '[2]DataLookUp - InstitutionBranch'!$B$4:$C$2000, 2, FALSE)), "")))</f>
        <v>Institution - PT. Ramayana Lestari Sentosa, Tbk</v>
      </c>
      <c r="D273" s="22">
        <v>223000000000004</v>
      </c>
      <c r="E273" s="40" t="str">
        <f>IF(EXACT($D273, ""), "", VLOOKUP($D273, 'REF - ContactNumberType'!$B$4:$C$10, 2, FALSE))</f>
        <v>Office Phone</v>
      </c>
      <c r="F273" s="27"/>
      <c r="G273" s="9"/>
      <c r="H273" s="9"/>
      <c r="J273" s="34">
        <f t="shared" si="9"/>
        <v>286000000000242</v>
      </c>
      <c r="K273" s="35" t="str">
        <f t="shared" si="10"/>
        <v/>
      </c>
    </row>
    <row r="274" spans="2:11" x14ac:dyDescent="0.2">
      <c r="B274" s="22">
        <v>124000000000053</v>
      </c>
      <c r="C274" s="4" t="str">
        <f>IF(EXACT($B274, ""), "", IF((($B274 - MOD($B274, 1000000000000))/1000000000000)=25, CONCATENATE("Person - ", VLOOKUP($B274, [1]DataLookUp!$B$4:$C$2000, 2, FALSE)), IF((($B274 - MOD($B274, 1000000000000))/1000000000000)=124, CONCATENATE("Institution - ", VLOOKUP($B274, '[2]DataLookUp - InstitutionBranch'!$B$4:$C$2000, 2, FALSE)), "")))</f>
        <v>Institution - PT. Rekadaya Elektrika</v>
      </c>
      <c r="D274" s="22">
        <v>223000000000004</v>
      </c>
      <c r="E274" s="40" t="str">
        <f>IF(EXACT($D274, ""), "", VLOOKUP($D274, 'REF - ContactNumberType'!$B$4:$C$10, 2, FALSE))</f>
        <v>Office Phone</v>
      </c>
      <c r="F274" s="27" t="s">
        <v>966</v>
      </c>
      <c r="G274" s="9"/>
      <c r="H274" s="9"/>
      <c r="J274" s="34">
        <f t="shared" si="9"/>
        <v>286000000000243</v>
      </c>
      <c r="K27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21 398-389-29'::varchar, NULL::varchar, NULL::varchar, '124000000000053'::bigint);</v>
      </c>
    </row>
    <row r="275" spans="2:11" x14ac:dyDescent="0.2">
      <c r="B275" s="22">
        <v>124000000000053</v>
      </c>
      <c r="C275" s="4" t="str">
        <f>IF(EXACT($B275, ""), "", IF((($B275 - MOD($B275, 1000000000000))/1000000000000)=25, CONCATENATE("Person - ", VLOOKUP($B275, [1]DataLookUp!$B$4:$C$2000, 2, FALSE)), IF((($B275 - MOD($B275, 1000000000000))/1000000000000)=124, CONCATENATE("Institution - ", VLOOKUP($B275, '[2]DataLookUp - InstitutionBranch'!$B$4:$C$2000, 2, FALSE)), "")))</f>
        <v>Institution - PT. Rekadaya Elektrika</v>
      </c>
      <c r="D275" s="22">
        <v>223000000000005</v>
      </c>
      <c r="E275" s="40" t="str">
        <f>IF(EXACT($D275, ""), "", VLOOKUP($D275, 'REF - ContactNumberType'!$B$4:$C$10, 2, FALSE))</f>
        <v>Faximile</v>
      </c>
      <c r="F275" s="27" t="s">
        <v>965</v>
      </c>
      <c r="G275" s="9"/>
      <c r="H275" s="9"/>
      <c r="J275" s="34">
        <f t="shared" si="9"/>
        <v>286000000000244</v>
      </c>
      <c r="K27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21 398-389-30'::varchar, NULL::varchar, NULL::varchar, '124000000000053'::bigint);</v>
      </c>
    </row>
    <row r="276" spans="2:11" x14ac:dyDescent="0.2">
      <c r="B276" s="22">
        <v>124000000000054</v>
      </c>
      <c r="C276" s="4" t="str">
        <f>IF(EXACT($B276, ""), "", IF((($B276 - MOD($B276, 1000000000000))/1000000000000)=25, CONCATENATE("Person - ", VLOOKUP($B276, [1]DataLookUp!$B$4:$C$2000, 2, FALSE)), IF((($B276 - MOD($B276, 1000000000000))/1000000000000)=124, CONCATENATE("Institution - ", VLOOKUP($B276, '[2]DataLookUp - InstitutionBranch'!$B$4:$C$2000, 2, FALSE)), "")))</f>
        <v>Institution - CV. Sejahtera Mandiri</v>
      </c>
      <c r="D276" s="22">
        <v>223000000000004</v>
      </c>
      <c r="E276" s="40" t="str">
        <f>IF(EXACT($D276, ""), "", VLOOKUP($D276, 'REF - ContactNumberType'!$B$4:$C$10, 2, FALSE))</f>
        <v>Office Phone</v>
      </c>
      <c r="F276" s="27" t="s">
        <v>940</v>
      </c>
      <c r="G276" s="9"/>
      <c r="H276" s="9"/>
      <c r="J276" s="34">
        <f t="shared" si="9"/>
        <v>286000000000245</v>
      </c>
      <c r="K27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29 547-900-02'::varchar, NULL::varchar, NULL::varchar, '124000000000054'::bigint);</v>
      </c>
    </row>
    <row r="277" spans="2:11" x14ac:dyDescent="0.2">
      <c r="B277" s="22">
        <v>124000000000054</v>
      </c>
      <c r="C277" s="4" t="str">
        <f>IF(EXACT($B277, ""), "", IF((($B277 - MOD($B277, 1000000000000))/1000000000000)=25, CONCATENATE("Person - ", VLOOKUP($B277, [1]DataLookUp!$B$4:$C$2000, 2, FALSE)), IF((($B277 - MOD($B277, 1000000000000))/1000000000000)=124, CONCATENATE("Institution - ", VLOOKUP($B277, '[2]DataLookUp - InstitutionBranch'!$B$4:$C$2000, 2, FALSE)), "")))</f>
        <v>Institution - CV. Sejahtera Mandiri</v>
      </c>
      <c r="D277" s="22">
        <v>223000000000005</v>
      </c>
      <c r="E277" s="40" t="str">
        <f>IF(EXACT($D277, ""), "", VLOOKUP($D277, 'REF - ContactNumberType'!$B$4:$C$10, 2, FALSE))</f>
        <v>Faximile</v>
      </c>
      <c r="F277" s="27" t="s">
        <v>941</v>
      </c>
      <c r="G277" s="9"/>
      <c r="H277" s="9"/>
      <c r="J277" s="34">
        <f t="shared" si="9"/>
        <v>286000000000246</v>
      </c>
      <c r="K27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29 555-167-67'::varchar, NULL::varchar, NULL::varchar, '124000000000054'::bigint);</v>
      </c>
    </row>
    <row r="278" spans="2:11" x14ac:dyDescent="0.2">
      <c r="B278" s="22">
        <v>124000000000055</v>
      </c>
      <c r="C278" s="4" t="str">
        <f>IF(EXACT($B278, ""), "", IF((($B278 - MOD($B278, 1000000000000))/1000000000000)=25, CONCATENATE("Person - ", VLOOKUP($B278, [1]DataLookUp!$B$4:$C$2000, 2, FALSE)), IF((($B278 - MOD($B278, 1000000000000))/1000000000000)=124, CONCATENATE("Institution - ", VLOOKUP($B278, '[2]DataLookUp - InstitutionBranch'!$B$4:$C$2000, 2, FALSE)), "")))</f>
        <v>Institution - PT. Sigindo Kemas</v>
      </c>
      <c r="D278" s="22">
        <v>223000000000004</v>
      </c>
      <c r="E278" s="40" t="str">
        <f>IF(EXACT($D278, ""), "", VLOOKUP($D278, 'REF - ContactNumberType'!$B$4:$C$10, 2, FALSE))</f>
        <v>Office Phone</v>
      </c>
      <c r="F278" s="27" t="s">
        <v>939</v>
      </c>
      <c r="G278" s="9"/>
      <c r="H278" s="9"/>
      <c r="J278" s="34">
        <f t="shared" si="9"/>
        <v>286000000000247</v>
      </c>
      <c r="K27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31 843-777-7'::varchar, NULL::varchar, NULL::varchar, '124000000000055'::bigint);</v>
      </c>
    </row>
    <row r="279" spans="2:11" x14ac:dyDescent="0.2">
      <c r="B279" s="22">
        <v>124000000000056</v>
      </c>
      <c r="C279" s="4" t="str">
        <f>IF(EXACT($B279, ""), "", IF((($B279 - MOD($B279, 1000000000000))/1000000000000)=25, CONCATENATE("Person - ", VLOOKUP($B279, [1]DataLookUp!$B$4:$C$2000, 2, FALSE)), IF((($B279 - MOD($B279, 1000000000000))/1000000000000)=124, CONCATENATE("Institution - ", VLOOKUP($B279, '[2]DataLookUp - InstitutionBranch'!$B$4:$C$2000, 2, FALSE)), "")))</f>
        <v>Institution - PT. Smart Telecom</v>
      </c>
      <c r="D279" s="22">
        <v>223000000000004</v>
      </c>
      <c r="E279" s="40" t="str">
        <f>IF(EXACT($D279, ""), "", VLOOKUP($D279, 'REF - ContactNumberType'!$B$4:$C$10, 2, FALSE))</f>
        <v>Office Phone</v>
      </c>
      <c r="F279" s="27"/>
      <c r="G279" s="9"/>
      <c r="H279" s="9"/>
      <c r="J279" s="34">
        <f t="shared" si="9"/>
        <v>286000000000247</v>
      </c>
      <c r="K279" s="35" t="str">
        <f t="shared" si="10"/>
        <v/>
      </c>
    </row>
    <row r="280" spans="2:11" x14ac:dyDescent="0.2">
      <c r="B280" s="22">
        <v>124000000000057</v>
      </c>
      <c r="C280" s="4" t="str">
        <f>IF(EXACT($B280, ""), "", IF((($B280 - MOD($B280, 1000000000000))/1000000000000)=25, CONCATENATE("Person - ", VLOOKUP($B280, [1]DataLookUp!$B$4:$C$2000, 2, FALSE)), IF((($B280 - MOD($B280, 1000000000000))/1000000000000)=124, CONCATENATE("Institution - ", VLOOKUP($B280, '[2]DataLookUp - InstitutionBranch'!$B$4:$C$2000, 2, FALSE)), "")))</f>
        <v>Institution - PT. Telekomunikasi Indonesia (Telkom) (Persero), Tbk - Bandung</v>
      </c>
      <c r="D280" s="22">
        <v>223000000000004</v>
      </c>
      <c r="E280" s="40" t="str">
        <f>IF(EXACT($D280, ""), "", VLOOKUP($D280, 'REF - ContactNumberType'!$B$4:$C$10, 2, FALSE))</f>
        <v>Office Phone</v>
      </c>
      <c r="F280" s="27"/>
      <c r="G280" s="9"/>
      <c r="H280" s="9"/>
      <c r="J280" s="34">
        <f t="shared" si="9"/>
        <v>286000000000247</v>
      </c>
      <c r="K280" s="35" t="str">
        <f t="shared" si="10"/>
        <v/>
      </c>
    </row>
    <row r="281" spans="2:11" x14ac:dyDescent="0.2">
      <c r="B281" s="22">
        <v>124000000000058</v>
      </c>
      <c r="C281" s="4" t="str">
        <f>IF(EXACT($B281, ""), "", IF((($B281 - MOD($B281, 1000000000000))/1000000000000)=25, CONCATENATE("Person - ", VLOOKUP($B281, [1]DataLookUp!$B$4:$C$2000, 2, FALSE)), IF((($B281 - MOD($B281, 1000000000000))/1000000000000)=124, CONCATENATE("Institution - ", VLOOKUP($B281, '[2]DataLookUp - InstitutionBranch'!$B$4:$C$2000, 2, FALSE)), "")))</f>
        <v>Institution - PT. Telekomunikasi Selular (Telkomsel), Tbk - Jakarta</v>
      </c>
      <c r="D281" s="22">
        <v>223000000000004</v>
      </c>
      <c r="E281" s="40" t="str">
        <f>IF(EXACT($D281, ""), "", VLOOKUP($D281, 'REF - ContactNumberType'!$B$4:$C$10, 2, FALSE))</f>
        <v>Office Phone</v>
      </c>
      <c r="F281" s="27"/>
      <c r="G281" s="9"/>
      <c r="H281" s="9"/>
      <c r="J281" s="34">
        <f t="shared" si="9"/>
        <v>286000000000247</v>
      </c>
      <c r="K281" s="35" t="str">
        <f t="shared" si="10"/>
        <v/>
      </c>
    </row>
    <row r="282" spans="2:11" x14ac:dyDescent="0.2">
      <c r="B282" s="22">
        <v>124000000000059</v>
      </c>
      <c r="C282" s="4" t="str">
        <f>IF(EXACT($B282, ""), "", IF((($B282 - MOD($B282, 1000000000000))/1000000000000)=25, CONCATENATE("Person - ", VLOOKUP($B282, [1]DataLookUp!$B$4:$C$2000, 2, FALSE)), IF((($B282 - MOD($B282, 1000000000000))/1000000000000)=124, CONCATENATE("Institution - ", VLOOKUP($B282, '[2]DataLookUp - InstitutionBranch'!$B$4:$C$2000, 2, FALSE)), "")))</f>
        <v>Institution - PT. Telkom Akses</v>
      </c>
      <c r="D282" s="22">
        <v>223000000000004</v>
      </c>
      <c r="E282" s="40" t="str">
        <f>IF(EXACT($D282, ""), "", VLOOKUP($D282, 'REF - ContactNumberType'!$B$4:$C$10, 2, FALSE))</f>
        <v>Office Phone</v>
      </c>
      <c r="F282" s="27" t="s">
        <v>942</v>
      </c>
      <c r="G282" s="9"/>
      <c r="H282" s="9"/>
      <c r="J282" s="34">
        <f t="shared" si="9"/>
        <v>286000000000248</v>
      </c>
      <c r="K28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21 293-370-00'::varchar, NULL::varchar, NULL::varchar, '124000000000059'::bigint);</v>
      </c>
    </row>
    <row r="283" spans="2:11" x14ac:dyDescent="0.2">
      <c r="B283" s="22">
        <v>124000000000059</v>
      </c>
      <c r="C283" s="4" t="str">
        <f>IF(EXACT($B283, ""), "", IF((($B283 - MOD($B283, 1000000000000))/1000000000000)=25, CONCATENATE("Person - ", VLOOKUP($B283, [1]DataLookUp!$B$4:$C$2000, 2, FALSE)), IF((($B283 - MOD($B283, 1000000000000))/1000000000000)=124, CONCATENATE("Institution - ", VLOOKUP($B283, '[2]DataLookUp - InstitutionBranch'!$B$4:$C$2000, 2, FALSE)), "")))</f>
        <v>Institution - PT. Telkom Akses</v>
      </c>
      <c r="D283" s="22">
        <v>223000000000005</v>
      </c>
      <c r="E283" s="40" t="str">
        <f>IF(EXACT($D283, ""), "", VLOOKUP($D283, 'REF - ContactNumberType'!$B$4:$C$10, 2, FALSE))</f>
        <v>Faximile</v>
      </c>
      <c r="F283" s="27" t="s">
        <v>943</v>
      </c>
      <c r="G283" s="9"/>
      <c r="H283" s="9"/>
      <c r="J283" s="34">
        <f t="shared" si="9"/>
        <v>286000000000249</v>
      </c>
      <c r="K28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21 293-360-00'::varchar, NULL::varchar, NULL::varchar, '124000000000059'::bigint);</v>
      </c>
    </row>
    <row r="284" spans="2:11" x14ac:dyDescent="0.2">
      <c r="B284" s="22">
        <v>124000000000060</v>
      </c>
      <c r="C284" s="4" t="str">
        <f>IF(EXACT($B284, ""), "", IF((($B284 - MOD($B284, 1000000000000))/1000000000000)=25, CONCATENATE("Person - ", VLOOKUP($B284, [1]DataLookUp!$B$4:$C$2000, 2, FALSE)), IF((($B284 - MOD($B284, 1000000000000))/1000000000000)=124, CONCATENATE("Institution - ", VLOOKUP($B284, '[2]DataLookUp - InstitutionBranch'!$B$4:$C$2000, 2, FALSE)), "")))</f>
        <v>Institution - PT. Tosan Permai Lestari</v>
      </c>
      <c r="D284" s="22">
        <v>223000000000004</v>
      </c>
      <c r="E284" s="40" t="str">
        <f>IF(EXACT($D284, ""), "", VLOOKUP($D284, 'REF - ContactNumberType'!$B$4:$C$10, 2, FALSE))</f>
        <v>Office Phone</v>
      </c>
      <c r="F284" s="27"/>
      <c r="G284" s="9"/>
      <c r="H284" s="9"/>
      <c r="J284" s="34">
        <f t="shared" si="9"/>
        <v>286000000000249</v>
      </c>
      <c r="K284" s="35" t="str">
        <f t="shared" si="10"/>
        <v/>
      </c>
    </row>
    <row r="285" spans="2:11" x14ac:dyDescent="0.2">
      <c r="B285" s="22">
        <v>124000000000061</v>
      </c>
      <c r="C285" s="4" t="str">
        <f>IF(EXACT($B285, ""), "", IF((($B285 - MOD($B285, 1000000000000))/1000000000000)=25, CONCATENATE("Person - ", VLOOKUP($B285, [1]DataLookUp!$B$4:$C$2000, 2, FALSE)), IF((($B285 - MOD($B285, 1000000000000))/1000000000000)=124, CONCATENATE("Institution - ", VLOOKUP($B285, '[2]DataLookUp - InstitutionBranch'!$B$4:$C$2000, 2, FALSE)), "")))</f>
        <v>Institution - PT. Tower Capital Indonesia</v>
      </c>
      <c r="D285" s="22">
        <v>223000000000004</v>
      </c>
      <c r="E285" s="40" t="str">
        <f>IF(EXACT($D285, ""), "", VLOOKUP($D285, 'REF - ContactNumberType'!$B$4:$C$10, 2, FALSE))</f>
        <v>Office Phone</v>
      </c>
      <c r="F285" s="27"/>
      <c r="G285" s="9"/>
      <c r="H285" s="9"/>
      <c r="J285" s="34">
        <f t="shared" si="9"/>
        <v>286000000000249</v>
      </c>
      <c r="K285" s="35" t="str">
        <f t="shared" si="10"/>
        <v/>
      </c>
    </row>
    <row r="286" spans="2:11" x14ac:dyDescent="0.2">
      <c r="B286" s="22">
        <v>124000000000062</v>
      </c>
      <c r="C286" s="4" t="str">
        <f>IF(EXACT($B286, ""), "", IF((($B286 - MOD($B286, 1000000000000))/1000000000000)=25, CONCATENATE("Person - ", VLOOKUP($B286, [1]DataLookUp!$B$4:$C$2000, 2, FALSE)), IF((($B286 - MOD($B286, 1000000000000))/1000000000000)=124, CONCATENATE("Institution - ", VLOOKUP($B286, '[2]DataLookUp - InstitutionBranch'!$B$4:$C$2000, 2, FALSE)), "")))</f>
        <v>Institution - PT. Waskita Karya (Persero), Tbk</v>
      </c>
      <c r="D286" s="22">
        <v>223000000000004</v>
      </c>
      <c r="E286" s="40" t="str">
        <f>IF(EXACT($D286, ""), "", VLOOKUP($D286, 'REF - ContactNumberType'!$B$4:$C$10, 2, FALSE))</f>
        <v>Office Phone</v>
      </c>
      <c r="F286" s="27" t="s">
        <v>962</v>
      </c>
      <c r="G286" s="9"/>
      <c r="H286" s="9"/>
      <c r="J286" s="34">
        <f t="shared" si="9"/>
        <v>286000000000250</v>
      </c>
      <c r="K28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21 851-555-0'::varchar, NULL::varchar, NULL::varchar, '124000000000062'::bigint);</v>
      </c>
    </row>
    <row r="287" spans="2:11" x14ac:dyDescent="0.2">
      <c r="B287" s="22">
        <v>124000000000062</v>
      </c>
      <c r="C287" s="4" t="str">
        <f>IF(EXACT($B287, ""), "", IF((($B287 - MOD($B287, 1000000000000))/1000000000000)=25, CONCATENATE("Person - ", VLOOKUP($B287, [1]DataLookUp!$B$4:$C$2000, 2, FALSE)), IF((($B287 - MOD($B287, 1000000000000))/1000000000000)=124, CONCATENATE("Institution - ", VLOOKUP($B287, '[2]DataLookUp - InstitutionBranch'!$B$4:$C$2000, 2, FALSE)), "")))</f>
        <v>Institution - PT. Waskita Karya (Persero), Tbk</v>
      </c>
      <c r="D287" s="22">
        <v>223000000000005</v>
      </c>
      <c r="E287" s="40" t="str">
        <f>IF(EXACT($D287, ""), "", VLOOKUP($D287, 'REF - ContactNumberType'!$B$4:$C$10, 2, FALSE))</f>
        <v>Faximile</v>
      </c>
      <c r="F287" s="27" t="s">
        <v>961</v>
      </c>
      <c r="G287" s="9"/>
      <c r="H287" s="9"/>
      <c r="J287" s="34">
        <f t="shared" si="9"/>
        <v>286000000000251</v>
      </c>
      <c r="K28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21 851-551-0'::varchar, NULL::varchar, NULL::varchar, '124000000000062'::bigint);</v>
      </c>
    </row>
    <row r="288" spans="2:11" x14ac:dyDescent="0.2">
      <c r="B288" s="22">
        <v>124000000000063</v>
      </c>
      <c r="C288" s="4" t="str">
        <f>IF(EXACT($B288, ""), "", IF((($B288 - MOD($B288, 1000000000000))/1000000000000)=25, CONCATENATE("Person - ", VLOOKUP($B288, [1]DataLookUp!$B$4:$C$2000, 2, FALSE)), IF((($B288 - MOD($B288, 1000000000000))/1000000000000)=124, CONCATENATE("Institution - ", VLOOKUP($B288, '[2]DataLookUp - InstitutionBranch'!$B$4:$C$2000, 2, FALSE)), "")))</f>
        <v>Institution - PT. Widodo Karya Sejahtera</v>
      </c>
      <c r="D288" s="22">
        <v>223000000000004</v>
      </c>
      <c r="E288" s="40" t="str">
        <f>IF(EXACT($D288, ""), "", VLOOKUP($D288, 'REF - ContactNumberType'!$B$4:$C$10, 2, FALSE))</f>
        <v>Office Phone</v>
      </c>
      <c r="F288" s="27" t="s">
        <v>944</v>
      </c>
      <c r="G288" s="9"/>
      <c r="H288" s="9"/>
      <c r="J288" s="34">
        <f t="shared" si="9"/>
        <v>286000000000252</v>
      </c>
      <c r="K28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'+62 295 479-000-2 '::varchar, NULL::varchar, NULL::varchar, '124000000000063'::bigint);</v>
      </c>
    </row>
    <row r="289" spans="2:11" x14ac:dyDescent="0.2">
      <c r="B289" s="22">
        <v>124000000000063</v>
      </c>
      <c r="C289" s="4" t="str">
        <f>IF(EXACT($B289, ""), "", IF((($B289 - MOD($B289, 1000000000000))/1000000000000)=25, CONCATENATE("Person - ", VLOOKUP($B289, [1]DataLookUp!$B$4:$C$2000, 2, FALSE)), IF((($B289 - MOD($B289, 1000000000000))/1000000000000)=124, CONCATENATE("Institution - ", VLOOKUP($B289, '[2]DataLookUp - InstitutionBranch'!$B$4:$C$2000, 2, FALSE)), "")))</f>
        <v>Institution - PT. Widodo Karya Sejahtera</v>
      </c>
      <c r="D289" s="22">
        <v>223000000000005</v>
      </c>
      <c r="E289" s="40" t="str">
        <f>IF(EXACT($D289, ""), "", VLOOKUP($D289, 'REF - ContactNumberType'!$B$4:$C$10, 2, FALSE))</f>
        <v>Faximile</v>
      </c>
      <c r="F289" s="27" t="s">
        <v>945</v>
      </c>
      <c r="G289" s="9"/>
      <c r="H289" s="9"/>
      <c r="J289" s="34">
        <f t="shared" si="9"/>
        <v>286000000000253</v>
      </c>
      <c r="K289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'+62 295 479-001-1'::varchar, NULL::varchar, NULL::varchar, '124000000000063'::bigint);</v>
      </c>
    </row>
    <row r="290" spans="2:11" x14ac:dyDescent="0.2">
      <c r="B290" s="22">
        <v>124000000000064</v>
      </c>
      <c r="C290" s="4" t="str">
        <f>IF(EXACT($B290, ""), "", IF((($B290 - MOD($B290, 1000000000000))/1000000000000)=25, CONCATENATE("Person - ", VLOOKUP($B290, [1]DataLookUp!$B$4:$C$2000, 2, FALSE)), IF((($B290 - MOD($B290, 1000000000000))/1000000000000)=124, CONCATENATE("Institution - ", VLOOKUP($B290, '[2]DataLookUp - InstitutionBranch'!$B$4:$C$2000, 2, FALSE)), "")))</f>
        <v>Institution - PT. XL Axiata, Tbk</v>
      </c>
      <c r="D290" s="22">
        <v>223000000000004</v>
      </c>
      <c r="E290" s="40" t="str">
        <f>IF(EXACT($D290, ""), "", VLOOKUP($D290, 'REF - ContactNumberType'!$B$4:$C$10, 2, FALSE))</f>
        <v>Office Phone</v>
      </c>
      <c r="F290" s="27"/>
      <c r="G290" s="9"/>
      <c r="H290" s="9"/>
      <c r="J290" s="34">
        <f t="shared" si="9"/>
        <v>286000000000253</v>
      </c>
      <c r="K290" s="35" t="str">
        <f t="shared" si="10"/>
        <v/>
      </c>
    </row>
    <row r="291" spans="2:11" x14ac:dyDescent="0.2">
      <c r="B291" s="22">
        <v>124000000000065</v>
      </c>
      <c r="C291" s="4" t="str">
        <f>IF(EXACT($B291, ""), "", IF((($B291 - MOD($B291, 1000000000000))/1000000000000)=25, CONCATENATE("Person - ", VLOOKUP($B291, [1]DataLookUp!$B$4:$C$2000, 2, FALSE)), IF((($B291 - MOD($B291, 1000000000000))/1000000000000)=124, CONCATENATE("Institution - ", VLOOKUP($B291, '[2]DataLookUp - InstitutionBranch'!$B$4:$C$2000, 2, FALSE)), "")))</f>
        <v>Institution - PT. XL Mitrayasa</v>
      </c>
      <c r="D291" s="22">
        <v>223000000000004</v>
      </c>
      <c r="E291" s="40" t="str">
        <f>IF(EXACT($D291, ""), "", VLOOKUP($D291, 'REF - ContactNumberType'!$B$4:$C$10, 2, FALSE))</f>
        <v>Office Phone</v>
      </c>
      <c r="F291" s="27"/>
      <c r="G291" s="9"/>
      <c r="H291" s="9"/>
      <c r="J291" s="34">
        <f t="shared" si="9"/>
        <v>286000000000253</v>
      </c>
      <c r="K291" s="35" t="str">
        <f t="shared" si="10"/>
        <v/>
      </c>
    </row>
    <row r="292" spans="2:11" x14ac:dyDescent="0.2">
      <c r="B292" s="22">
        <v>124000000000066</v>
      </c>
      <c r="C292" s="4" t="str">
        <f>IF(EXACT($B292, ""), "", IF((($B292 - MOD($B292, 1000000000000))/1000000000000)=25, CONCATENATE("Person - ", VLOOKUP($B292, [1]DataLookUp!$B$4:$C$2000, 2, FALSE)), IF((($B292 - MOD($B292, 1000000000000))/1000000000000)=124, CONCATENATE("Institution - ", VLOOKUP($B292, '[2]DataLookUp - InstitutionBranch'!$B$4:$C$2000, 2, FALSE)), "")))</f>
        <v>Institution - PT. ZTE Indonesia</v>
      </c>
      <c r="D292" s="22">
        <v>223000000000004</v>
      </c>
      <c r="E292" s="40" t="str">
        <f>IF(EXACT($D292, ""), "", VLOOKUP($D292, 'REF - ContactNumberType'!$B$4:$C$10, 2, FALSE))</f>
        <v>Office Phone</v>
      </c>
      <c r="F292" s="27" t="s">
        <v>946</v>
      </c>
      <c r="G292" s="9"/>
      <c r="H292" s="9"/>
      <c r="J292" s="34">
        <f t="shared" si="9"/>
        <v>286000000000254</v>
      </c>
      <c r="K29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21 529-224-8'::varchar, NULL::varchar, NULL::varchar, '124000000000066'::bigint);</v>
      </c>
    </row>
    <row r="293" spans="2:11" x14ac:dyDescent="0.2">
      <c r="B293" s="22">
        <v>124000000000067</v>
      </c>
      <c r="C293" s="4" t="str">
        <f>IF(EXACT($B293, ""), "", IF((($B293 - MOD($B293, 1000000000000))/1000000000000)=25, CONCATENATE("Person - ", VLOOKUP($B293, [1]DataLookUp!$B$4:$C$2000, 2, FALSE)), IF((($B293 - MOD($B293, 1000000000000))/1000000000000)=124, CONCATENATE("Institution - ", VLOOKUP($B293, '[2]DataLookUp - InstitutionBranch'!$B$4:$C$2000, 2, FALSE)), "")))</f>
        <v>Institution - PT. Sansaine Exindo</v>
      </c>
      <c r="D293" s="22">
        <v>223000000000004</v>
      </c>
      <c r="E293" s="40" t="str">
        <f>IF(EXACT($D293, ""), "", VLOOKUP($D293, 'REF - ContactNumberType'!$B$4:$C$10, 2, FALSE))</f>
        <v>Office Phone</v>
      </c>
      <c r="F293" s="27" t="s">
        <v>947</v>
      </c>
      <c r="G293" s="9"/>
      <c r="H293" s="9"/>
      <c r="J293" s="34">
        <f t="shared" si="9"/>
        <v>286000000000255</v>
      </c>
      <c r="K29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21 837-088-77'::varchar, NULL::varchar, NULL::varchar, '124000000000067'::bigint);</v>
      </c>
    </row>
    <row r="294" spans="2:11" x14ac:dyDescent="0.2">
      <c r="B294" s="22">
        <v>124000000000067</v>
      </c>
      <c r="C294" s="4" t="str">
        <f>IF(EXACT($B294, ""), "", IF((($B294 - MOD($B294, 1000000000000))/1000000000000)=25, CONCATENATE("Person - ", VLOOKUP($B294, [1]DataLookUp!$B$4:$C$2000, 2, FALSE)), IF((($B294 - MOD($B294, 1000000000000))/1000000000000)=124, CONCATENATE("Institution - ", VLOOKUP($B294, '[2]DataLookUp - InstitutionBranch'!$B$4:$C$2000, 2, FALSE)), "")))</f>
        <v>Institution - PT. Sansaine Exindo</v>
      </c>
      <c r="D294" s="22">
        <v>223000000000005</v>
      </c>
      <c r="E294" s="40" t="str">
        <f>IF(EXACT($D294, ""), "", VLOOKUP($D294, 'REF - ContactNumberType'!$B$4:$C$10, 2, FALSE))</f>
        <v>Faximile</v>
      </c>
      <c r="F294" s="27" t="s">
        <v>948</v>
      </c>
      <c r="G294" s="9"/>
      <c r="H294" s="9"/>
      <c r="J294" s="34">
        <f t="shared" si="9"/>
        <v>286000000000256</v>
      </c>
      <c r="K29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21 837-804-87'::varchar, NULL::varchar, NULL::varchar, '124000000000067'::bigint);</v>
      </c>
    </row>
    <row r="295" spans="2:11" x14ac:dyDescent="0.2">
      <c r="B295" s="22">
        <v>124000000000068</v>
      </c>
      <c r="C295" s="4" t="str">
        <f>IF(EXACT($B295, ""), "", IF((($B295 - MOD($B295, 1000000000000))/1000000000000)=25, CONCATENATE("Person - ", VLOOKUP($B295, [1]DataLookUp!$B$4:$C$2000, 2, FALSE)), IF((($B295 - MOD($B295, 1000000000000))/1000000000000)=124, CONCATENATE("Institution - ", VLOOKUP($B295, '[2]DataLookUp - InstitutionBranch'!$B$4:$C$2000, 2, FALSE)), "")))</f>
        <v>Institution - Indo Jaya Scaffolding</v>
      </c>
      <c r="D295" s="22">
        <v>223000000000002</v>
      </c>
      <c r="E295" s="40" t="str">
        <f>IF(EXACT($D295, ""), "", VLOOKUP($D295, 'REF - ContactNumberType'!$B$4:$C$10, 2, FALSE))</f>
        <v>Mobile Phone</v>
      </c>
      <c r="F295" s="27" t="s">
        <v>901</v>
      </c>
      <c r="G295" s="9"/>
      <c r="H295" s="9"/>
      <c r="J295" s="34">
        <f t="shared" si="9"/>
        <v>286000000000257</v>
      </c>
      <c r="K29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223000000000002::bigint, '+62 8213-7999-898'::varchar, NULL::varchar, NULL::varchar, '124000000000068'::bigint);</v>
      </c>
    </row>
    <row r="296" spans="2:11" x14ac:dyDescent="0.2">
      <c r="B296" s="22">
        <v>124000000000069</v>
      </c>
      <c r="C296" s="4" t="str">
        <f>IF(EXACT($B296, ""), "", IF((($B296 - MOD($B296, 1000000000000))/1000000000000)=25, CONCATENATE("Person - ", VLOOKUP($B296, [1]DataLookUp!$B$4:$C$2000, 2, FALSE)), IF((($B296 - MOD($B296, 1000000000000))/1000000000000)=124, CONCATENATE("Institution - ", VLOOKUP($B296, '[2]DataLookUp - InstitutionBranch'!$B$4:$C$2000, 2, FALSE)), "")))</f>
        <v>Institution - PT. Pembangunan Perumahan (Persero), Tbk</v>
      </c>
      <c r="D296" s="22">
        <v>223000000000004</v>
      </c>
      <c r="E296" s="40" t="str">
        <f>IF(EXACT($D296, ""), "", VLOOKUP($D296, 'REF - ContactNumberType'!$B$4:$C$10, 2, FALSE))</f>
        <v>Office Phone</v>
      </c>
      <c r="F296" s="27" t="s">
        <v>968</v>
      </c>
      <c r="G296" s="9"/>
      <c r="H296" s="9"/>
      <c r="J296" s="34">
        <f t="shared" si="9"/>
        <v>286000000000258</v>
      </c>
      <c r="K29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21 840-388-3'::varchar, NULL::varchar, NULL::varchar, '124000000000069'::bigint);</v>
      </c>
    </row>
    <row r="297" spans="2:11" x14ac:dyDescent="0.2">
      <c r="B297" s="22">
        <v>124000000000069</v>
      </c>
      <c r="C297" s="4" t="str">
        <f>IF(EXACT($B297, ""), "", IF((($B297 - MOD($B297, 1000000000000))/1000000000000)=25, CONCATENATE("Person - ", VLOOKUP($B297, [1]DataLookUp!$B$4:$C$2000, 2, FALSE)), IF((($B297 - MOD($B297, 1000000000000))/1000000000000)=124, CONCATENATE("Institution - ", VLOOKUP($B297, '[2]DataLookUp - InstitutionBranch'!$B$4:$C$2000, 2, FALSE)), "")))</f>
        <v>Institution - PT. Pembangunan Perumahan (Persero), Tbk</v>
      </c>
      <c r="D297" s="22">
        <v>223000000000005</v>
      </c>
      <c r="E297" s="40" t="str">
        <f>IF(EXACT($D297, ""), "", VLOOKUP($D297, 'REF - ContactNumberType'!$B$4:$C$10, 2, FALSE))</f>
        <v>Faximile</v>
      </c>
      <c r="F297" s="27" t="s">
        <v>967</v>
      </c>
      <c r="G297" s="9"/>
      <c r="H297" s="9"/>
      <c r="J297" s="34">
        <f t="shared" si="9"/>
        <v>286000000000259</v>
      </c>
      <c r="K29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21 840-393-6'::varchar, NULL::varchar, NULL::varchar, '124000000000069'::bigint);</v>
      </c>
    </row>
    <row r="298" spans="2:11" x14ac:dyDescent="0.2">
      <c r="B298" s="22">
        <v>124000000000070</v>
      </c>
      <c r="C298" s="4" t="str">
        <f>IF(EXACT($B298, ""), "", IF((($B298 - MOD($B298, 1000000000000))/1000000000000)=25, CONCATENATE("Person - ", VLOOKUP($B298, [1]DataLookUp!$B$4:$C$2000, 2, FALSE)), IF((($B298 - MOD($B298, 1000000000000))/1000000000000)=124, CONCATENATE("Institution - ", VLOOKUP($B298, '[2]DataLookUp - InstitutionBranch'!$B$4:$C$2000, 2, FALSE)), "")))</f>
        <v>Institution - Linus Nusa Express</v>
      </c>
      <c r="D298" s="22">
        <v>223000000000002</v>
      </c>
      <c r="E298" s="40" t="str">
        <f>IF(EXACT($D298, ""), "", VLOOKUP($D298, 'REF - ContactNumberType'!$B$4:$C$10, 2, FALSE))</f>
        <v>Mobile Phone</v>
      </c>
      <c r="F298" s="27" t="s">
        <v>949</v>
      </c>
      <c r="G298" s="9"/>
      <c r="H298" s="9"/>
      <c r="J298" s="34">
        <f t="shared" si="9"/>
        <v>286000000000260</v>
      </c>
      <c r="K29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223000000000002::bigint, '+62 8118-7715-06'::varchar, NULL::varchar, NULL::varchar, '124000000000070'::bigint);</v>
      </c>
    </row>
    <row r="299" spans="2:11" x14ac:dyDescent="0.2">
      <c r="B299" s="22">
        <v>124000000000070</v>
      </c>
      <c r="C299" s="4" t="str">
        <f>IF(EXACT($B299, ""), "", IF((($B299 - MOD($B299, 1000000000000))/1000000000000)=25, CONCATENATE("Person - ", VLOOKUP($B299, [1]DataLookUp!$B$4:$C$2000, 2, FALSE)), IF((($B299 - MOD($B299, 1000000000000))/1000000000000)=124, CONCATENATE("Institution - ", VLOOKUP($B299, '[2]DataLookUp - InstitutionBranch'!$B$4:$C$2000, 2, FALSE)), "")))</f>
        <v>Institution - Linus Nusa Express</v>
      </c>
      <c r="D299" s="22">
        <v>223000000000005</v>
      </c>
      <c r="E299" s="40" t="str">
        <f>IF(EXACT($D299, ""), "", VLOOKUP($D299, 'REF - ContactNumberType'!$B$4:$C$10, 2, FALSE))</f>
        <v>Faximile</v>
      </c>
      <c r="F299" s="27" t="s">
        <v>950</v>
      </c>
      <c r="G299" s="9"/>
      <c r="H299" s="9"/>
      <c r="J299" s="34">
        <f t="shared" si="9"/>
        <v>286000000000261</v>
      </c>
      <c r="K299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21 827-667-731'::varchar, NULL::varchar, NULL::varchar, '124000000000070'::bigint);</v>
      </c>
    </row>
    <row r="300" spans="2:11" x14ac:dyDescent="0.2">
      <c r="B300" s="22">
        <v>124000000000071</v>
      </c>
      <c r="C300" s="4" t="str">
        <f>IF(EXACT($B300, ""), "", IF((($B300 - MOD($B300, 1000000000000))/1000000000000)=25, CONCATENATE("Person - ", VLOOKUP($B300, [1]DataLookUp!$B$4:$C$2000, 2, FALSE)), IF((($B300 - MOD($B300, 1000000000000))/1000000000000)=124, CONCATENATE("Institution - ", VLOOKUP($B300, '[2]DataLookUp - InstitutionBranch'!$B$4:$C$2000, 2, FALSE)), "")))</f>
        <v>Institution - PT. Penjaminan Jamkrindo Syariah</v>
      </c>
      <c r="D300" s="22">
        <v>223000000000004</v>
      </c>
      <c r="E300" s="40" t="str">
        <f>IF(EXACT($D300, ""), "", VLOOKUP($D300, 'REF - ContactNumberType'!$B$4:$C$10, 2, FALSE))</f>
        <v>Office Phone</v>
      </c>
      <c r="F300" s="27" t="s">
        <v>952</v>
      </c>
      <c r="G300" s="9"/>
      <c r="H300" s="9"/>
      <c r="J300" s="34">
        <f t="shared" si="9"/>
        <v>286000000000262</v>
      </c>
      <c r="K300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21 212-427-77'::varchar, NULL::varchar, NULL::varchar, '124000000000071'::bigint);</v>
      </c>
    </row>
    <row r="301" spans="2:11" x14ac:dyDescent="0.2">
      <c r="B301" s="22">
        <v>124000000000072</v>
      </c>
      <c r="C301" s="4" t="str">
        <f>IF(EXACT($B301, ""), "", IF((($B301 - MOD($B301, 1000000000000))/1000000000000)=25, CONCATENATE("Person - ", VLOOKUP($B301, [1]DataLookUp!$B$4:$C$2000, 2, FALSE)), IF((($B301 - MOD($B301, 1000000000000))/1000000000000)=124, CONCATENATE("Institution - ", VLOOKUP($B301, '[2]DataLookUp - InstitutionBranch'!$B$4:$C$2000, 2, FALSE)), "")))</f>
        <v>Institution - PT. Larsen And Tourbo</v>
      </c>
      <c r="D301" s="22">
        <v>223000000000004</v>
      </c>
      <c r="E301" s="40" t="str">
        <f>IF(EXACT($D301, ""), "", VLOOKUP($D301, 'REF - ContactNumberType'!$B$4:$C$10, 2, FALSE))</f>
        <v>Office Phone</v>
      </c>
      <c r="F301" s="27" t="s">
        <v>951</v>
      </c>
      <c r="G301" s="9"/>
      <c r="H301" s="9"/>
      <c r="J301" s="34">
        <f t="shared" si="9"/>
        <v>286000000000263</v>
      </c>
      <c r="K301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21 508-703-70'::varchar, NULL::varchar, NULL::varchar, '124000000000072'::bigint);</v>
      </c>
    </row>
    <row r="302" spans="2:11" x14ac:dyDescent="0.2">
      <c r="B302" s="22">
        <v>124000000000073</v>
      </c>
      <c r="C302" s="4" t="str">
        <f>IF(EXACT($B302, ""), "", IF((($B302 - MOD($B302, 1000000000000))/1000000000000)=25, CONCATENATE("Person - ", VLOOKUP($B302, [1]DataLookUp!$B$4:$C$2000, 2, FALSE)), IF((($B302 - MOD($B302, 1000000000000))/1000000000000)=124, CONCATENATE("Institution - ", VLOOKUP($B302, '[2]DataLookUp - InstitutionBranch'!$B$4:$C$2000, 2, FALSE)), "")))</f>
        <v>Institution - PT. Pelayanan Listrik Nasional (PLN) (Persero) - Unit Induk Pembangunan Kalimantan Bagian Barat</v>
      </c>
      <c r="D302" s="22">
        <v>223000000000004</v>
      </c>
      <c r="E302" s="40" t="str">
        <f>IF(EXACT($D302, ""), "", VLOOKUP($D302, 'REF - ContactNumberType'!$B$4:$C$10, 2, FALSE))</f>
        <v>Office Phone</v>
      </c>
      <c r="F302" s="27" t="s">
        <v>963</v>
      </c>
      <c r="G302" s="9"/>
      <c r="H302" s="9"/>
      <c r="J302" s="34">
        <f t="shared" si="9"/>
        <v>286000000000264</v>
      </c>
      <c r="K302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'+62 561 762-580'::varchar, NULL::varchar, NULL::varchar, '124000000000073'::bigint);</v>
      </c>
    </row>
    <row r="303" spans="2:11" x14ac:dyDescent="0.2">
      <c r="B303" s="22">
        <v>124000000000073</v>
      </c>
      <c r="C303" s="4" t="str">
        <f>IF(EXACT($B303, ""), "", IF((($B303 - MOD($B303, 1000000000000))/1000000000000)=25, CONCATENATE("Person - ", VLOOKUP($B303, [1]DataLookUp!$B$4:$C$2000, 2, FALSE)), IF((($B303 - MOD($B303, 1000000000000))/1000000000000)=124, CONCATENATE("Institution - ", VLOOKUP($B303, '[2]DataLookUp - InstitutionBranch'!$B$4:$C$2000, 2, FALSE)), "")))</f>
        <v>Institution - PT. Pelayanan Listrik Nasional (PLN) (Persero) - Unit Induk Pembangunan Kalimantan Bagian Barat</v>
      </c>
      <c r="D303" s="22">
        <v>223000000000005</v>
      </c>
      <c r="E303" s="40" t="str">
        <f>IF(EXACT($D303, ""), "", VLOOKUP($D303, 'REF - ContactNumberType'!$B$4:$C$10, 2, FALSE))</f>
        <v>Faximile</v>
      </c>
      <c r="F303" s="27" t="s">
        <v>964</v>
      </c>
      <c r="G303" s="9"/>
      <c r="H303" s="9"/>
      <c r="J303" s="34">
        <f t="shared" si="9"/>
        <v>286000000000265</v>
      </c>
      <c r="K30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'+62 561 762-579'::varchar, NULL::varchar, NULL::varchar, '124000000000073'::bigint);</v>
      </c>
    </row>
    <row r="304" spans="2:11" x14ac:dyDescent="0.2">
      <c r="B304" s="22">
        <v>124000000000074</v>
      </c>
      <c r="C304" s="4" t="str">
        <f>IF(EXACT($B304, ""), "", IF((($B304 - MOD($B304, 1000000000000))/1000000000000)=25, CONCATENATE("Person - ", VLOOKUP($B304, [1]DataLookUp!$B$4:$C$2000, 2, FALSE)), IF((($B304 - MOD($B304, 1000000000000))/1000000000000)=124, CONCATENATE("Institution - ", VLOOKUP($B304, '[2]DataLookUp - InstitutionBranch'!$B$4:$C$2000, 2, FALSE)), "")))</f>
        <v>Institution - PT. Pelayanan Listrik Nasional (PLN) (Persero) - Unit Induk Pembangunan Sumatera Bagian Tengah</v>
      </c>
      <c r="D304" s="22">
        <v>223000000000004</v>
      </c>
      <c r="E304" s="40" t="str">
        <f>IF(EXACT($D304, ""), "", VLOOKUP($D304, 'REF - ContactNumberType'!$B$4:$C$10, 2, FALSE))</f>
        <v>Office Phone</v>
      </c>
      <c r="F304" s="27" t="s">
        <v>953</v>
      </c>
      <c r="G304" s="9"/>
      <c r="H304" s="9"/>
      <c r="J304" s="34">
        <f t="shared" si="9"/>
        <v>286000000000266</v>
      </c>
      <c r="K30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'+62 761 670-488-1'::varchar, NULL::varchar, NULL::varchar, '124000000000074'::bigint);</v>
      </c>
    </row>
    <row r="305" spans="2:11" x14ac:dyDescent="0.2">
      <c r="B305" s="22">
        <v>124000000000074</v>
      </c>
      <c r="C305" s="4" t="str">
        <f>IF(EXACT($B305, ""), "", IF((($B305 - MOD($B305, 1000000000000))/1000000000000)=25, CONCATENATE("Person - ", VLOOKUP($B305, [1]DataLookUp!$B$4:$C$2000, 2, FALSE)), IF((($B305 - MOD($B305, 1000000000000))/1000000000000)=124, CONCATENATE("Institution - ", VLOOKUP($B305, '[2]DataLookUp - InstitutionBranch'!$B$4:$C$2000, 2, FALSE)), "")))</f>
        <v>Institution - PT. Pelayanan Listrik Nasional (PLN) (Persero) - Unit Induk Pembangunan Sumatera Bagian Tengah</v>
      </c>
      <c r="D305" s="22">
        <v>223000000000005</v>
      </c>
      <c r="E305" s="40" t="str">
        <f>IF(EXACT($D305, ""), "", VLOOKUP($D305, 'REF - ContactNumberType'!$B$4:$C$10, 2, FALSE))</f>
        <v>Faximile</v>
      </c>
      <c r="F305" s="27" t="s">
        <v>954</v>
      </c>
      <c r="G305" s="9"/>
      <c r="H305" s="9"/>
      <c r="J305" s="34">
        <f t="shared" si="9"/>
        <v>286000000000267</v>
      </c>
      <c r="K30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'+62 761 670-488-2'::varchar, NULL::varchar, NULL::varchar, '124000000000074'::bigint);</v>
      </c>
    </row>
    <row r="306" spans="2:11" x14ac:dyDescent="0.2">
      <c r="B306" s="22">
        <v>124000000000075</v>
      </c>
      <c r="C306" s="4" t="str">
        <f>IF(EXACT($B306, ""), "", IF((($B306 - MOD($B306, 1000000000000))/1000000000000)=25, CONCATENATE("Person - ", VLOOKUP($B306, [1]DataLookUp!$B$4:$C$2000, 2, FALSE)), IF((($B306 - MOD($B306, 1000000000000))/1000000000000)=124, CONCATENATE("Institution - ", VLOOKUP($B306, '[2]DataLookUp - InstitutionBranch'!$B$4:$C$2000, 2, FALSE)), "")))</f>
        <v xml:space="preserve">Institution - PT. Asuransi Sinar Mas </v>
      </c>
      <c r="D306" s="22">
        <v>223000000000004</v>
      </c>
      <c r="E306" s="40" t="str">
        <f>IF(EXACT($D306, ""), "", VLOOKUP($D306, 'REF - ContactNumberType'!$B$4:$C$10, 2, FALSE))</f>
        <v>Office Phone</v>
      </c>
      <c r="F306" s="27" t="s">
        <v>955</v>
      </c>
      <c r="G306" s="9"/>
      <c r="H306" s="9"/>
      <c r="J306" s="34">
        <f t="shared" si="9"/>
        <v>286000000000268</v>
      </c>
      <c r="K30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21 505-098-88'::varchar, NULL::varchar, NULL::varchar, '124000000000075'::bigint);</v>
      </c>
    </row>
    <row r="307" spans="2:11" x14ac:dyDescent="0.2">
      <c r="B307" s="22">
        <v>124000000000075</v>
      </c>
      <c r="C307" s="4" t="str">
        <f>IF(EXACT($B307, ""), "", IF((($B307 - MOD($B307, 1000000000000))/1000000000000)=25, CONCATENATE("Person - ", VLOOKUP($B307, [1]DataLookUp!$B$4:$C$2000, 2, FALSE)), IF((($B307 - MOD($B307, 1000000000000))/1000000000000)=124, CONCATENATE("Institution - ", VLOOKUP($B307, '[2]DataLookUp - InstitutionBranch'!$B$4:$C$2000, 2, FALSE)), "")))</f>
        <v xml:space="preserve">Institution - PT. Asuransi Sinar Mas </v>
      </c>
      <c r="D307" s="22">
        <v>223000000000005</v>
      </c>
      <c r="E307" s="40" t="str">
        <f>IF(EXACT($D307, ""), "", VLOOKUP($D307, 'REF - ContactNumberType'!$B$4:$C$10, 2, FALSE))</f>
        <v>Faximile</v>
      </c>
      <c r="F307" s="27" t="s">
        <v>956</v>
      </c>
      <c r="G307" s="9"/>
      <c r="H307" s="9"/>
      <c r="J307" s="34">
        <f t="shared" si="9"/>
        <v>286000000000269</v>
      </c>
      <c r="K30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21 291-899-99'::varchar, NULL::varchar, NULL::varchar, '124000000000075'::bigint);</v>
      </c>
    </row>
    <row r="308" spans="2:11" x14ac:dyDescent="0.2">
      <c r="B308" s="22">
        <v>124000000000076</v>
      </c>
      <c r="C308" s="4" t="str">
        <f>IF(EXACT($B308, ""), "", IF((($B308 - MOD($B308, 1000000000000))/1000000000000)=25, CONCATENATE("Person - ", VLOOKUP($B308, [1]DataLookUp!$B$4:$C$2000, 2, FALSE)), IF((($B308 - MOD($B308, 1000000000000))/1000000000000)=124, CONCATENATE("Institution - ", VLOOKUP($B308, '[2]DataLookUp - InstitutionBranch'!$B$4:$C$2000, 2, FALSE)), "")))</f>
        <v>Institution - Agung Jaya</v>
      </c>
      <c r="D308" s="22">
        <v>223000000000004</v>
      </c>
      <c r="E308" s="40" t="str">
        <f>IF(EXACT($D308, ""), "", VLOOKUP($D308, 'REF - ContactNumberType'!$B$4:$C$10, 2, FALSE))</f>
        <v>Office Phone</v>
      </c>
      <c r="F308" s="27"/>
      <c r="G308" s="9"/>
      <c r="H308" s="9"/>
      <c r="J308" s="34">
        <f t="shared" si="9"/>
        <v>286000000000269</v>
      </c>
      <c r="K308" s="35" t="str">
        <f t="shared" si="10"/>
        <v/>
      </c>
    </row>
    <row r="309" spans="2:11" x14ac:dyDescent="0.2">
      <c r="B309" s="22">
        <v>124000000000077</v>
      </c>
      <c r="C309" s="4" t="str">
        <f>IF(EXACT($B309, ""), "", IF((($B309 - MOD($B309, 1000000000000))/1000000000000)=25, CONCATENATE("Person - ", VLOOKUP($B309, [1]DataLookUp!$B$4:$C$2000, 2, FALSE)), IF((($B309 - MOD($B309, 1000000000000))/1000000000000)=124, CONCATENATE("Institution - ", VLOOKUP($B309, '[2]DataLookUp - InstitutionBranch'!$B$4:$C$2000, 2, FALSE)), "")))</f>
        <v>Institution - Aji Perkasa</v>
      </c>
      <c r="D309" s="22">
        <v>223000000000004</v>
      </c>
      <c r="E309" s="40" t="str">
        <f>IF(EXACT($D309, ""), "", VLOOKUP($D309, 'REF - ContactNumberType'!$B$4:$C$10, 2, FALSE))</f>
        <v>Office Phone</v>
      </c>
      <c r="F309" s="27"/>
      <c r="G309" s="9"/>
      <c r="H309" s="9"/>
      <c r="J309" s="34">
        <f t="shared" si="9"/>
        <v>286000000000269</v>
      </c>
      <c r="K309" s="35" t="str">
        <f t="shared" si="10"/>
        <v/>
      </c>
    </row>
    <row r="310" spans="2:11" x14ac:dyDescent="0.2">
      <c r="B310" s="22">
        <v>124000000000078</v>
      </c>
      <c r="C310" s="4" t="str">
        <f>IF(EXACT($B310, ""), "", IF((($B310 - MOD($B310, 1000000000000))/1000000000000)=25, CONCATENATE("Person - ", VLOOKUP($B310, [1]DataLookUp!$B$4:$C$2000, 2, FALSE)), IF((($B310 - MOD($B310, 1000000000000))/1000000000000)=124, CONCATENATE("Institution - ", VLOOKUP($B310, '[2]DataLookUp - InstitutionBranch'!$B$4:$C$2000, 2, FALSE)), "")))</f>
        <v>Institution - Aledro Duta Jaya</v>
      </c>
      <c r="D310" s="22">
        <v>223000000000004</v>
      </c>
      <c r="E310" s="40" t="str">
        <f>IF(EXACT($D310, ""), "", VLOOKUP($D310, 'REF - ContactNumberType'!$B$4:$C$10, 2, FALSE))</f>
        <v>Office Phone</v>
      </c>
      <c r="F310" s="27"/>
      <c r="G310" s="9"/>
      <c r="H310" s="9"/>
      <c r="J310" s="34">
        <f t="shared" si="9"/>
        <v>286000000000269</v>
      </c>
      <c r="K310" s="35" t="str">
        <f t="shared" si="10"/>
        <v/>
      </c>
    </row>
    <row r="311" spans="2:11" x14ac:dyDescent="0.2">
      <c r="B311" s="22">
        <v>124000000000079</v>
      </c>
      <c r="C311" s="4" t="str">
        <f>IF(EXACT($B311, ""), "", IF((($B311 - MOD($B311, 1000000000000))/1000000000000)=25, CONCATENATE("Person - ", VLOOKUP($B311, [1]DataLookUp!$B$4:$C$2000, 2, FALSE)), IF((($B311 - MOD($B311, 1000000000000))/1000000000000)=124, CONCATENATE("Institution - ", VLOOKUP($B311, '[2]DataLookUp - InstitutionBranch'!$B$4:$C$2000, 2, FALSE)), "")))</f>
        <v>Institution - Alpine Cool Utama</v>
      </c>
      <c r="D311" s="22">
        <v>223000000000004</v>
      </c>
      <c r="E311" s="40" t="str">
        <f>IF(EXACT($D311, ""), "", VLOOKUP($D311, 'REF - ContactNumberType'!$B$4:$C$10, 2, FALSE))</f>
        <v>Office Phone</v>
      </c>
      <c r="F311" s="27"/>
      <c r="G311" s="9"/>
      <c r="H311" s="9"/>
      <c r="J311" s="34">
        <f t="shared" si="9"/>
        <v>286000000000269</v>
      </c>
      <c r="K311" s="35" t="str">
        <f t="shared" si="10"/>
        <v/>
      </c>
    </row>
    <row r="312" spans="2:11" x14ac:dyDescent="0.2">
      <c r="B312" s="22">
        <v>124000000000080</v>
      </c>
      <c r="C312" s="4" t="str">
        <f>IF(EXACT($B312, ""), "", IF((($B312 - MOD($B312, 1000000000000))/1000000000000)=25, CONCATENATE("Person - ", VLOOKUP($B312, [1]DataLookUp!$B$4:$C$2000, 2, FALSE)), IF((($B312 - MOD($B312, 1000000000000))/1000000000000)=124, CONCATENATE("Institution - ", VLOOKUP($B312, '[2]DataLookUp - InstitutionBranch'!$B$4:$C$2000, 2, FALSE)), "")))</f>
        <v>Institution - Alumagada Jaya Mandiri</v>
      </c>
      <c r="D312" s="22">
        <v>223000000000004</v>
      </c>
      <c r="E312" s="40" t="str">
        <f>IF(EXACT($D312, ""), "", VLOOKUP($D312, 'REF - ContactNumberType'!$B$4:$C$10, 2, FALSE))</f>
        <v>Office Phone</v>
      </c>
      <c r="F312" s="27"/>
      <c r="G312" s="9"/>
      <c r="H312" s="9"/>
      <c r="J312" s="34">
        <f t="shared" si="9"/>
        <v>286000000000269</v>
      </c>
      <c r="K312" s="35" t="str">
        <f t="shared" si="10"/>
        <v/>
      </c>
    </row>
    <row r="313" spans="2:11" x14ac:dyDescent="0.2">
      <c r="B313" s="22">
        <v>124000000000081</v>
      </c>
      <c r="C313" s="4" t="str">
        <f>IF(EXACT($B313, ""), "", IF((($B313 - MOD($B313, 1000000000000))/1000000000000)=25, CONCATENATE("Person - ", VLOOKUP($B313, [1]DataLookUp!$B$4:$C$2000, 2, FALSE)), IF((($B313 - MOD($B313, 1000000000000))/1000000000000)=124, CONCATENATE("Institution - ", VLOOKUP($B313, '[2]DataLookUp - InstitutionBranch'!$B$4:$C$2000, 2, FALSE)), "")))</f>
        <v>Institution - PT. Karawang Dinamika Lestari</v>
      </c>
      <c r="D313" s="22">
        <v>223000000000002</v>
      </c>
      <c r="E313" s="40" t="str">
        <f>IF(EXACT($D313, ""), "", VLOOKUP($D313, 'REF - ContactNumberType'!$B$4:$C$10, 2, FALSE))</f>
        <v>Mobile Phone</v>
      </c>
      <c r="F313" s="27" t="s">
        <v>902</v>
      </c>
      <c r="G313" s="9"/>
      <c r="H313" s="9"/>
      <c r="J313" s="34">
        <f t="shared" si="9"/>
        <v>286000000000270</v>
      </c>
      <c r="K313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223000000000002::bigint, '+62 8112-1100-020'::varchar, NULL::varchar, NULL::varchar, '124000000000081'::bigint);</v>
      </c>
    </row>
    <row r="314" spans="2:11" x14ac:dyDescent="0.2">
      <c r="B314" s="22">
        <v>124000000000082</v>
      </c>
      <c r="C314" s="4" t="str">
        <f>IF(EXACT($B314, ""), "", IF((($B314 - MOD($B314, 1000000000000))/1000000000000)=25, CONCATENATE("Person - ", VLOOKUP($B314, [1]DataLookUp!$B$4:$C$2000, 2, FALSE)), IF((($B314 - MOD($B314, 1000000000000))/1000000000000)=124, CONCATENATE("Institution - ", VLOOKUP($B314, '[2]DataLookUp - InstitutionBranch'!$B$4:$C$2000, 2, FALSE)), "")))</f>
        <v>Institution - KSO WST-QDC</v>
      </c>
      <c r="D314" s="22">
        <v>223000000000004</v>
      </c>
      <c r="E314" s="40" t="str">
        <f>IF(EXACT($D314, ""), "", VLOOKUP($D314, 'REF - ContactNumberType'!$B$4:$C$10, 2, FALSE))</f>
        <v>Office Phone</v>
      </c>
      <c r="F314" s="27" t="s">
        <v>959</v>
      </c>
      <c r="G314" s="9"/>
      <c r="H314" s="9"/>
      <c r="J314" s="34">
        <f t="shared" si="9"/>
        <v>286000000000271</v>
      </c>
      <c r="K314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21 458-509-33'::varchar, NULL::varchar, NULL::varchar, '124000000000082'::bigint);</v>
      </c>
    </row>
    <row r="315" spans="2:11" x14ac:dyDescent="0.2">
      <c r="B315" s="22">
        <v>124000000000082</v>
      </c>
      <c r="C315" s="4" t="str">
        <f>IF(EXACT($B315, ""), "", IF((($B315 - MOD($B315, 1000000000000))/1000000000000)=25, CONCATENATE("Person - ", VLOOKUP($B315, [1]DataLookUp!$B$4:$C$2000, 2, FALSE)), IF((($B315 - MOD($B315, 1000000000000))/1000000000000)=124, CONCATENATE("Institution - ", VLOOKUP($B315, '[2]DataLookUp - InstitutionBranch'!$B$4:$C$2000, 2, FALSE)), "")))</f>
        <v>Institution - KSO WST-QDC</v>
      </c>
      <c r="D315" s="22">
        <v>223000000000005</v>
      </c>
      <c r="E315" s="40" t="str">
        <f>IF(EXACT($D315, ""), "", VLOOKUP($D315, 'REF - ContactNumberType'!$B$4:$C$10, 2, FALSE))</f>
        <v>Faximile</v>
      </c>
      <c r="F315" s="27" t="s">
        <v>960</v>
      </c>
      <c r="G315" s="9"/>
      <c r="H315" s="9"/>
      <c r="J315" s="34">
        <f t="shared" si="9"/>
        <v>286000000000272</v>
      </c>
      <c r="K315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21 458-509-32'::varchar, NULL::varchar, NULL::varchar, '124000000000082'::bigint);</v>
      </c>
    </row>
    <row r="316" spans="2:11" x14ac:dyDescent="0.2">
      <c r="B316" s="22">
        <v>124000000000083</v>
      </c>
      <c r="C316" s="4" t="str">
        <f>IF(EXACT($B316, ""), "", IF((($B316 - MOD($B316, 1000000000000))/1000000000000)=25, CONCATENATE("Person - ", VLOOKUP($B316, [1]DataLookUp!$B$4:$C$2000, 2, FALSE)), IF((($B316 - MOD($B316, 1000000000000))/1000000000000)=124, CONCATENATE("Institution - ", VLOOKUP($B316, '[2]DataLookUp - InstitutionBranch'!$B$4:$C$2000, 2, FALSE)), "")))</f>
        <v>Institution - PT. Adhi Commuter Properti</v>
      </c>
      <c r="D316" s="22">
        <v>223000000000004</v>
      </c>
      <c r="E316" s="40" t="str">
        <f>IF(EXACT($D316, ""), "", VLOOKUP($D316, 'REF - ContactNumberType'!$B$4:$C$10, 2, FALSE))</f>
        <v>Office Phone</v>
      </c>
      <c r="F316" s="27" t="s">
        <v>957</v>
      </c>
      <c r="G316" s="9"/>
      <c r="H316" s="9"/>
      <c r="J316" s="34">
        <f t="shared" si="9"/>
        <v>286000000000273</v>
      </c>
      <c r="K316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21 228-229-80'::varchar, NULL::varchar, NULL::varchar, '124000000000083'::bigint);</v>
      </c>
    </row>
    <row r="317" spans="2:11" x14ac:dyDescent="0.2">
      <c r="B317" s="22">
        <v>124000000000083</v>
      </c>
      <c r="C317" s="4" t="str">
        <f>IF(EXACT($B317, ""), "", IF((($B317 - MOD($B317, 1000000000000))/1000000000000)=25, CONCATENATE("Person - ", VLOOKUP($B317, [1]DataLookUp!$B$4:$C$2000, 2, FALSE)), IF((($B317 - MOD($B317, 1000000000000))/1000000000000)=124, CONCATENATE("Institution - ", VLOOKUP($B317, '[2]DataLookUp - InstitutionBranch'!$B$4:$C$2000, 2, FALSE)), "")))</f>
        <v>Institution - PT. Adhi Commuter Properti</v>
      </c>
      <c r="D317" s="22">
        <v>223000000000005</v>
      </c>
      <c r="E317" s="40" t="str">
        <f>IF(EXACT($D317, ""), "", VLOOKUP($D317, 'REF - ContactNumberType'!$B$4:$C$10, 2, FALSE))</f>
        <v>Faximile</v>
      </c>
      <c r="F317" s="27" t="s">
        <v>958</v>
      </c>
      <c r="G317" s="9"/>
      <c r="H317" s="9"/>
      <c r="J317" s="34">
        <f t="shared" si="9"/>
        <v>286000000000274</v>
      </c>
      <c r="K317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21 228-220-81'::varchar, NULL::varchar, NULL::varchar, '124000000000083'::bigint);</v>
      </c>
    </row>
    <row r="318" spans="2:11" x14ac:dyDescent="0.2">
      <c r="B318" s="22">
        <v>124000000000084</v>
      </c>
      <c r="C318" s="4" t="str">
        <f>IF(EXACT($B318, ""), "", IF((($B318 - MOD($B318, 1000000000000))/1000000000000)=25, CONCATENATE("Person - ", VLOOKUP($B318, [1]DataLookUp!$B$4:$C$2000, 2, FALSE)), IF((($B318 - MOD($B318, 1000000000000))/1000000000000)=124, CONCATENATE("Institution - ", VLOOKUP($B318, '[2]DataLookUp - InstitutionBranch'!$B$4:$C$2000, 2, FALSE)), "")))</f>
        <v xml:space="preserve">Institution - PT. Pelayanan Listrik Nasional (PLN) (Persero) - Penyaluran dan Pusat Pengaturan </v>
      </c>
      <c r="D318" s="22">
        <v>223000000000004</v>
      </c>
      <c r="E318" s="4" t="str">
        <f>IF(EXACT($D318, ""), "", VLOOKUP($D318, 'REF - ContactNumberType'!$B$4:$C$10, 2, FALSE))</f>
        <v>Office Phone</v>
      </c>
      <c r="F318" s="27" t="s">
        <v>970</v>
      </c>
      <c r="G318" s="9"/>
      <c r="H318" s="9"/>
      <c r="J318" s="34">
        <f t="shared" si="9"/>
        <v>286000000000275</v>
      </c>
      <c r="K318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223000000000004::bigint, '+62 24 692-240-2'::varchar, NULL::varchar, NULL::varchar, '124000000000084'::bigint);</v>
      </c>
    </row>
    <row r="319" spans="2:11" x14ac:dyDescent="0.2">
      <c r="B319" s="22">
        <v>124000000000084</v>
      </c>
      <c r="C319" s="4" t="str">
        <f>IF(EXACT($B319, ""), "", IF((($B319 - MOD($B319, 1000000000000))/1000000000000)=25, CONCATENATE("Person - ", VLOOKUP($B319, [1]DataLookUp!$B$4:$C$2000, 2, FALSE)), IF((($B319 - MOD($B319, 1000000000000))/1000000000000)=124, CONCATENATE("Institution - ", VLOOKUP($B319, '[2]DataLookUp - InstitutionBranch'!$B$4:$C$2000, 2, FALSE)), "")))</f>
        <v xml:space="preserve">Institution - PT. Pelayanan Listrik Nasional (PLN) (Persero) - Penyaluran dan Pusat Pengaturan </v>
      </c>
      <c r="D319" s="22">
        <v>223000000000005</v>
      </c>
      <c r="E319" s="4" t="str">
        <f>IF(EXACT($D319, ""), "", VLOOKUP($D319, 'REF - ContactNumberType'!$B$4:$C$10, 2, FALSE))</f>
        <v>Faximile</v>
      </c>
      <c r="F319" s="27" t="s">
        <v>969</v>
      </c>
      <c r="G319" s="9"/>
      <c r="H319" s="9"/>
      <c r="J319" s="34">
        <f t="shared" si="9"/>
        <v>286000000000276</v>
      </c>
      <c r="K319" s="35" t="str">
        <f t="shared" si="10"/>
        <v>PERFORM "SchData-OLTP-Master"."Func_TblContactNumber_SET"(varSystemLoginSession::bigint, null::bigint, null::varchar, null::timestamptz, null::timestamptz, null::varchar, varInstitutionBranchID::bigint, varBaseCurrencyID::bigint, 223000000000005::bigint, '+62 24 692-122-3'::varchar, NULL::varchar, NULL::varchar, '124000000000084'::bigint);</v>
      </c>
    </row>
  </sheetData>
  <conditionalFormatting sqref="J4:J319">
    <cfRule type="expression" dxfId="12" priority="37">
      <formula>EXACT(J3, J4)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334"/>
  <sheetViews>
    <sheetView workbookViewId="0">
      <pane xSplit="2" ySplit="3" topLeftCell="C323" activePane="bottomRight" state="frozen"/>
      <selection pane="topRight" activeCell="C1" sqref="C1"/>
      <selection pane="bottomLeft" activeCell="A4" sqref="A4"/>
      <selection pane="bottomRight" activeCell="B199" sqref="B199"/>
    </sheetView>
  </sheetViews>
  <sheetFormatPr defaultRowHeight="12.75" x14ac:dyDescent="0.2"/>
  <cols>
    <col min="1" max="1" width="2.85546875" style="5" customWidth="1"/>
    <col min="2" max="2" width="14" style="5" bestFit="1" customWidth="1"/>
    <col min="3" max="3" width="105.85546875" style="5" bestFit="1" customWidth="1"/>
    <col min="4" max="16384" width="9.140625" style="5"/>
  </cols>
  <sheetData>
    <row r="1" spans="2:3" ht="13.5" thickBot="1" x14ac:dyDescent="0.25"/>
    <row r="2" spans="2:3" ht="25.5" x14ac:dyDescent="0.2">
      <c r="B2" s="18" t="s">
        <v>877</v>
      </c>
      <c r="C2" s="30" t="s">
        <v>880</v>
      </c>
    </row>
    <row r="3" spans="2:3" ht="13.5" thickBot="1" x14ac:dyDescent="0.25">
      <c r="B3" s="19"/>
      <c r="C3" s="41"/>
    </row>
    <row r="4" spans="2:3" x14ac:dyDescent="0.2">
      <c r="B4" s="44">
        <f>IF(EXACT(SEED!$F4, ""), "", SEED!$J4)</f>
        <v>286000000000001</v>
      </c>
      <c r="C4" s="3" t="str">
        <f>IF(EXACT($B4, ""), "", CONCATENATE(SUBSTITUTE(SEED!$F4, "-", ""), " (", SEED!$E4, IF(EXACT(SEED!$C4, ""), "", CONCATENATE(" ►", SEED!$C4)), ")"))</f>
        <v>+62 87877923708 (Mobile Phone ►Person - Khafid Fahrurrozi)</v>
      </c>
    </row>
    <row r="5" spans="2:3" x14ac:dyDescent="0.2">
      <c r="B5" s="44">
        <f>IF(EXACT(SEED!$F5, ""), "", SEED!$J5)</f>
        <v>286000000000002</v>
      </c>
      <c r="C5" s="4" t="str">
        <f>IF(EXACT($B5, ""), "", CONCATENATE(SUBSTITUTE(SEED!$F5, "-", ""), " (", SEED!$E5, IF(EXACT(SEED!$C5, ""), "", CONCATENATE(" ►", SEED!$C5)), ")"))</f>
        <v>+62 81293974227 (Mobile Phone)</v>
      </c>
    </row>
    <row r="6" spans="2:3" x14ac:dyDescent="0.2">
      <c r="B6" s="44">
        <f>IF(EXACT(SEED!$F6, ""), "", SEED!$J6)</f>
        <v>286000000000003</v>
      </c>
      <c r="C6" s="4" t="str">
        <f>IF(EXACT($B6, ""), "", CONCATENATE(SUBSTITUTE(SEED!$F6, "-", ""), " (", SEED!$E6, IF(EXACT(SEED!$C6, ""), "", CONCATENATE(" ►", SEED!$C6)), ")"))</f>
        <v>+62 85694010438 (Mobile Phone ►Person - Rian Yushak)</v>
      </c>
    </row>
    <row r="7" spans="2:3" x14ac:dyDescent="0.2">
      <c r="B7" s="44">
        <f>IF(EXACT(SEED!$F7, ""), "", SEED!$J7)</f>
        <v>286000000000004</v>
      </c>
      <c r="C7" s="4" t="str">
        <f>IF(EXACT($B7, ""), "", CONCATENATE(SUBSTITUTE(SEED!$F7, "-", ""), " (", SEED!$E7, IF(EXACT(SEED!$C7, ""), "", CONCATENATE(" ►", SEED!$C7)), ")"))</f>
        <v>+62 89682261128 (Mobile Phone)</v>
      </c>
    </row>
    <row r="8" spans="2:3" x14ac:dyDescent="0.2">
      <c r="B8" s="44">
        <f>IF(EXACT(SEED!$F8, ""), "", SEED!$J8)</f>
        <v>286000000000005</v>
      </c>
      <c r="C8" s="4" t="str">
        <f>IF(EXACT($B8, ""), "", CONCATENATE(SUBSTITUTE(SEED!$F8, "-", ""), " (", SEED!$E8, IF(EXACT(SEED!$C8, ""), "", CONCATENATE(" ►", SEED!$C8)), ")"))</f>
        <v>+62 83870090020 (Mobile Phone)</v>
      </c>
    </row>
    <row r="9" spans="2:3" x14ac:dyDescent="0.2">
      <c r="B9" s="44">
        <f>IF(EXACT(SEED!$F9, ""), "", SEED!$J9)</f>
        <v>286000000000006</v>
      </c>
      <c r="C9" s="4" t="str">
        <f>IF(EXACT($B9, ""), "", CONCATENATE(SUBSTITUTE(SEED!$F9, "-", ""), " (", SEED!$E9, IF(EXACT(SEED!$C9, ""), "", CONCATENATE(" ►", SEED!$C9)), ")"))</f>
        <v>+62 81295924499 (Mobile Phone ►Person - Ardi)</v>
      </c>
    </row>
    <row r="10" spans="2:3" x14ac:dyDescent="0.2">
      <c r="B10" s="44">
        <f>IF(EXACT(SEED!$F10, ""), "", SEED!$J10)</f>
        <v>286000000000007</v>
      </c>
      <c r="C10" s="4" t="str">
        <f>IF(EXACT($B10, ""), "", CONCATENATE(SUBSTITUTE(SEED!$F10, "-", ""), " (", SEED!$E10, IF(EXACT(SEED!$C10, ""), "", CONCATENATE(" ►", SEED!$C10)), ")"))</f>
        <v>+62 85721623338 (Mobile Phone ►Person - Erwin Firmansyah)</v>
      </c>
    </row>
    <row r="11" spans="2:3" x14ac:dyDescent="0.2">
      <c r="B11" s="44">
        <f>IF(EXACT(SEED!$F11, ""), "", SEED!$J11)</f>
        <v>286000000000008</v>
      </c>
      <c r="C11" s="4" t="str">
        <f>IF(EXACT($B11, ""), "", CONCATENATE(SUBSTITUTE(SEED!$F11, "-", ""), " (", SEED!$E11, IF(EXACT(SEED!$C11, ""), "", CONCATENATE(" ►", SEED!$C11)), ")"))</f>
        <v>+62 81384284951 (Mobile Phone ►Person - Paryanto)</v>
      </c>
    </row>
    <row r="12" spans="2:3" x14ac:dyDescent="0.2">
      <c r="B12" s="44">
        <f>IF(EXACT(SEED!$F12, ""), "", SEED!$J12)</f>
        <v>286000000000009</v>
      </c>
      <c r="C12" s="4" t="str">
        <f>IF(EXACT($B12, ""), "", CONCATENATE(SUBSTITUTE(SEED!$F12, "-", ""), " (", SEED!$E12, IF(EXACT(SEED!$C12, ""), "", CONCATENATE(" ►", SEED!$C12)), ")"))</f>
        <v>+62 83873752989 (Mobile Phone)</v>
      </c>
    </row>
    <row r="13" spans="2:3" x14ac:dyDescent="0.2">
      <c r="B13" s="44">
        <f>IF(EXACT(SEED!$F13, ""), "", SEED!$J13)</f>
        <v>286000000000010</v>
      </c>
      <c r="C13" s="4" t="str">
        <f>IF(EXACT($B13, ""), "", CONCATENATE(SUBSTITUTE(SEED!$F13, "-", ""), " (", SEED!$E13, IF(EXACT(SEED!$C13, ""), "", CONCATENATE(" ►", SEED!$C13)), ")"))</f>
        <v>+62 82260920555 (Mobile Phone)</v>
      </c>
    </row>
    <row r="14" spans="2:3" x14ac:dyDescent="0.2">
      <c r="B14" s="44">
        <f>IF(EXACT(SEED!$F14, ""), "", SEED!$J14)</f>
        <v>286000000000011</v>
      </c>
      <c r="C14" s="4" t="str">
        <f>IF(EXACT($B14, ""), "", CONCATENATE(SUBSTITUTE(SEED!$F14, "-", ""), " (", SEED!$E14, IF(EXACT(SEED!$C14, ""), "", CONCATENATE(" ►", SEED!$C14)), ")"))</f>
        <v>+62 82251313575 (Mobile Phone ►Person - Anggit Ismiyanto)</v>
      </c>
    </row>
    <row r="15" spans="2:3" x14ac:dyDescent="0.2">
      <c r="B15" s="44">
        <f>IF(EXACT(SEED!$F15, ""), "", SEED!$J15)</f>
        <v>286000000000012</v>
      </c>
      <c r="C15" s="4" t="str">
        <f>IF(EXACT($B15, ""), "", CONCATENATE(SUBSTITUTE(SEED!$F15, "-", ""), " (", SEED!$E15, IF(EXACT(SEED!$C15, ""), "", CONCATENATE(" ►", SEED!$C15)), ")"))</f>
        <v>+62 81245192298 (Mobile Phone ►Person - Firman Akbar)</v>
      </c>
    </row>
    <row r="16" spans="2:3" x14ac:dyDescent="0.2">
      <c r="B16" s="44">
        <f>IF(EXACT(SEED!$F16, ""), "", SEED!$J16)</f>
        <v>286000000000013</v>
      </c>
      <c r="C16" s="4" t="str">
        <f>IF(EXACT($B16, ""), "", CONCATENATE(SUBSTITUTE(SEED!$F16, "-", ""), " (", SEED!$E16, IF(EXACT(SEED!$C16, ""), "", CONCATENATE(" ►", SEED!$C16)), ")"))</f>
        <v>+62 81314228295 (Mobile Phone ►Person - Fuad Febrian)</v>
      </c>
    </row>
    <row r="17" spans="2:3" x14ac:dyDescent="0.2">
      <c r="B17" s="44">
        <f>IF(EXACT(SEED!$F17, ""), "", SEED!$J17)</f>
        <v>286000000000014</v>
      </c>
      <c r="C17" s="4" t="str">
        <f>IF(EXACT($B17, ""), "", CONCATENATE(SUBSTITUTE(SEED!$F17, "-", ""), " (", SEED!$E17, IF(EXACT(SEED!$C17, ""), "", CONCATENATE(" ►", SEED!$C17)), ")"))</f>
        <v>+62 85728818103 (Mobile Phone ►Person - Sulih)</v>
      </c>
    </row>
    <row r="18" spans="2:3" x14ac:dyDescent="0.2">
      <c r="B18" s="44">
        <f>IF(EXACT(SEED!$F18, ""), "", SEED!$J18)</f>
        <v>286000000000015</v>
      </c>
      <c r="C18" s="4" t="str">
        <f>IF(EXACT($B18, ""), "", CONCATENATE(SUBSTITUTE(SEED!$F18, "-", ""), " (", SEED!$E18, IF(EXACT(SEED!$C18, ""), "", CONCATENATE(" ►", SEED!$C18)), ")"))</f>
        <v>+62 81224910322 (Mobile Phone ►Person - Heru Sugiri)</v>
      </c>
    </row>
    <row r="19" spans="2:3" x14ac:dyDescent="0.2">
      <c r="B19" s="44">
        <f>IF(EXACT(SEED!$F19, ""), "", SEED!$J19)</f>
        <v>286000000000016</v>
      </c>
      <c r="C19" s="4" t="str">
        <f>IF(EXACT($B19, ""), "", CONCATENATE(SUBSTITUTE(SEED!$F19, "-", ""), " (", SEED!$E19, IF(EXACT(SEED!$C19, ""), "", CONCATENATE(" ►", SEED!$C19)), ")"))</f>
        <v>+62 81806919844 (Mobile Phone ►Person - Rinaldi Asrin)</v>
      </c>
    </row>
    <row r="20" spans="2:3" x14ac:dyDescent="0.2">
      <c r="B20" s="44">
        <f>IF(EXACT(SEED!$F20, ""), "", SEED!$J20)</f>
        <v>286000000000017</v>
      </c>
      <c r="C20" s="4" t="str">
        <f>IF(EXACT($B20, ""), "", CONCATENATE(SUBSTITUTE(SEED!$F20, "-", ""), " (", SEED!$E20, IF(EXACT(SEED!$C20, ""), "", CONCATENATE(" ►", SEED!$C20)), ")"))</f>
        <v>+62 85760211355 (Mobile Phone ►Person - Rafi Firman Saputra)</v>
      </c>
    </row>
    <row r="21" spans="2:3" x14ac:dyDescent="0.2">
      <c r="B21" s="44">
        <f>IF(EXACT(SEED!$F21, ""), "", SEED!$J21)</f>
        <v>286000000000018</v>
      </c>
      <c r="C21" s="4" t="str">
        <f>IF(EXACT($B21, ""), "", CONCATENATE(SUBSTITUTE(SEED!$F21, "-", ""), " (", SEED!$E21, IF(EXACT(SEED!$C21, ""), "", CONCATENATE(" ►", SEED!$C21)), ")"))</f>
        <v>+62 81288844266 (Mobile Phone ►Person - Putra Perdana Tirtomoyo)</v>
      </c>
    </row>
    <row r="22" spans="2:3" x14ac:dyDescent="0.2">
      <c r="B22" s="44">
        <f>IF(EXACT(SEED!$F22, ""), "", SEED!$J22)</f>
        <v>286000000000019</v>
      </c>
      <c r="C22" s="4" t="str">
        <f>IF(EXACT($B22, ""), "", CONCATENATE(SUBSTITUTE(SEED!$F22, "-", ""), " (", SEED!$E22, IF(EXACT(SEED!$C22, ""), "", CONCATENATE(" ►", SEED!$C22)), ")"))</f>
        <v>+62 8567124030 (Mobile Phone ►Person - Rizak Tri Septian)</v>
      </c>
    </row>
    <row r="23" spans="2:3" x14ac:dyDescent="0.2">
      <c r="B23" s="44">
        <f>IF(EXACT(SEED!$F23, ""), "", SEED!$J23)</f>
        <v>286000000000020</v>
      </c>
      <c r="C23" s="4" t="str">
        <f>IF(EXACT($B23, ""), "", CONCATENATE(SUBSTITUTE(SEED!$F23, "-", ""), " (", SEED!$E23, IF(EXACT(SEED!$C23, ""), "", CONCATENATE(" ►", SEED!$C23)), ")"))</f>
        <v>+62 82113951375 (Mobile Phone ►Person - Zam Roji)</v>
      </c>
    </row>
    <row r="24" spans="2:3" x14ac:dyDescent="0.2">
      <c r="B24" s="44">
        <f>IF(EXACT(SEED!$F24, ""), "", SEED!$J24)</f>
        <v>286000000000021</v>
      </c>
      <c r="C24" s="4" t="str">
        <f>IF(EXACT($B24, ""), "", CONCATENATE(SUBSTITUTE(SEED!$F24, "-", ""), " (", SEED!$E24, IF(EXACT(SEED!$C24, ""), "", CONCATENATE(" ►", SEED!$C24)), ")"))</f>
        <v>+62 85295000042 (Mobile Phone ►Person - Rendy Prananta Purba)</v>
      </c>
    </row>
    <row r="25" spans="2:3" x14ac:dyDescent="0.2">
      <c r="B25" s="44">
        <f>IF(EXACT(SEED!$F25, ""), "", SEED!$J25)</f>
        <v>286000000000022</v>
      </c>
      <c r="C25" s="4" t="str">
        <f>IF(EXACT($B25, ""), "", CONCATENATE(SUBSTITUTE(SEED!$F25, "-", ""), " (", SEED!$E25, IF(EXACT(SEED!$C25, ""), "", CONCATENATE(" ►", SEED!$C25)), ")"))</f>
        <v>+62 81210213789 (Mobile Phone ►Person - Otong Bustori)</v>
      </c>
    </row>
    <row r="26" spans="2:3" x14ac:dyDescent="0.2">
      <c r="B26" s="44">
        <f>IF(EXACT(SEED!$F26, ""), "", SEED!$J26)</f>
        <v>286000000000023</v>
      </c>
      <c r="C26" s="4" t="str">
        <f>IF(EXACT($B26, ""), "", CONCATENATE(SUBSTITUTE(SEED!$F26, "-", ""), " (", SEED!$E26, IF(EXACT(SEED!$C26, ""), "", CONCATENATE(" ►", SEED!$C26)), ")"))</f>
        <v>+62 81376953133 (Mobile Phone ►Person - Muklis)</v>
      </c>
    </row>
    <row r="27" spans="2:3" x14ac:dyDescent="0.2">
      <c r="B27" s="44">
        <f>IF(EXACT(SEED!$F27, ""), "", SEED!$J27)</f>
        <v>286000000000024</v>
      </c>
      <c r="C27" s="4" t="str">
        <f>IF(EXACT($B27, ""), "", CONCATENATE(SUBSTITUTE(SEED!$F27, "-", ""), " (", SEED!$E27, IF(EXACT(SEED!$C27, ""), "", CONCATENATE(" ►", SEED!$C27)), ")"))</f>
        <v>+62 811644913 (Mobile Phone ►Person - Susilawati)</v>
      </c>
    </row>
    <row r="28" spans="2:3" x14ac:dyDescent="0.2">
      <c r="B28" s="44">
        <f>IF(EXACT(SEED!$F28, ""), "", SEED!$J28)</f>
        <v>286000000000025</v>
      </c>
      <c r="C28" s="4" t="str">
        <f>IF(EXACT($B28, ""), "", CONCATENATE(SUBSTITUTE(SEED!$F28, "-", ""), " (", SEED!$E28, IF(EXACT(SEED!$C28, ""), "", CONCATENATE(" ►", SEED!$C28)), ")"))</f>
        <v>+62 81319207116 (Mobile Phone ►Person - Herlin Juli Asri)</v>
      </c>
    </row>
    <row r="29" spans="2:3" x14ac:dyDescent="0.2">
      <c r="B29" s="44">
        <f>IF(EXACT(SEED!$F29, ""), "", SEED!$J29)</f>
        <v>286000000000026</v>
      </c>
      <c r="C29" s="4" t="str">
        <f>IF(EXACT($B29, ""), "", CONCATENATE(SUBSTITUTE(SEED!$F29, "-", ""), " (", SEED!$E29, IF(EXACT(SEED!$C29, ""), "", CONCATENATE(" ►", SEED!$C29)), ")"))</f>
        <v>+62 8119568886 (Mobile Phone)</v>
      </c>
    </row>
    <row r="30" spans="2:3" x14ac:dyDescent="0.2">
      <c r="B30" s="44">
        <f>IF(EXACT(SEED!$F30, ""), "", SEED!$J30)</f>
        <v>286000000000027</v>
      </c>
      <c r="C30" s="4" t="str">
        <f>IF(EXACT($B30, ""), "", CONCATENATE(SUBSTITUTE(SEED!$F30, "-", ""), " (", SEED!$E30, IF(EXACT(SEED!$C30, ""), "", CONCATENATE(" ►", SEED!$C30)), ")"))</f>
        <v>+62 81282230665 (Mobile Phone)</v>
      </c>
    </row>
    <row r="31" spans="2:3" x14ac:dyDescent="0.2">
      <c r="B31" s="44">
        <f>IF(EXACT(SEED!$F31, ""), "", SEED!$J31)</f>
        <v>286000000000028</v>
      </c>
      <c r="C31" s="4" t="str">
        <f>IF(EXACT($B31, ""), "", CONCATENATE(SUBSTITUTE(SEED!$F31, "-", ""), " (", SEED!$E31, IF(EXACT(SEED!$C31, ""), "", CONCATENATE(" ►", SEED!$C31)), ")"))</f>
        <v>+62 81287441774 (Mobile Phone ►Person - Muhammad Khadafy)</v>
      </c>
    </row>
    <row r="32" spans="2:3" x14ac:dyDescent="0.2">
      <c r="B32" s="44">
        <f>IF(EXACT(SEED!$F32, ""), "", SEED!$J32)</f>
        <v>286000000000029</v>
      </c>
      <c r="C32" s="4" t="str">
        <f>IF(EXACT($B32, ""), "", CONCATENATE(SUBSTITUTE(SEED!$F32, "-", ""), " (", SEED!$E32, IF(EXACT(SEED!$C32, ""), "", CONCATENATE(" ►", SEED!$C32)), ")"))</f>
        <v>+62 85770481711 (Mobile Phone)</v>
      </c>
    </row>
    <row r="33" spans="2:3" x14ac:dyDescent="0.2">
      <c r="B33" s="44">
        <f>IF(EXACT(SEED!$F33, ""), "", SEED!$J33)</f>
        <v>286000000000030</v>
      </c>
      <c r="C33" s="4" t="str">
        <f>IF(EXACT($B33, ""), "", CONCATENATE(SUBSTITUTE(SEED!$F33, "-", ""), " (", SEED!$E33, IF(EXACT(SEED!$C33, ""), "", CONCATENATE(" ►", SEED!$C33)), ")"))</f>
        <v>+62 81316906639 (Mobile Phone ►Person - Amir Sofyan Hadi)</v>
      </c>
    </row>
    <row r="34" spans="2:3" x14ac:dyDescent="0.2">
      <c r="B34" s="44">
        <f>IF(EXACT(SEED!$F34, ""), "", SEED!$J34)</f>
        <v>286000000000031</v>
      </c>
      <c r="C34" s="4" t="str">
        <f>IF(EXACT($B34, ""), "", CONCATENATE(SUBSTITUTE(SEED!$F34, "-", ""), " (", SEED!$E34, IF(EXACT(SEED!$C34, ""), "", CONCATENATE(" ►", SEED!$C34)), ")"))</f>
        <v>+62 85715199050 (Mobile Phone ►Person - Bani Mustazeni)</v>
      </c>
    </row>
    <row r="35" spans="2:3" x14ac:dyDescent="0.2">
      <c r="B35" s="44">
        <f>IF(EXACT(SEED!$F35, ""), "", SEED!$J35)</f>
        <v>286000000000032</v>
      </c>
      <c r="C35" s="4" t="str">
        <f>IF(EXACT($B35, ""), "", CONCATENATE(SUBSTITUTE(SEED!$F35, "-", ""), " (", SEED!$E35, IF(EXACT(SEED!$C35, ""), "", CONCATENATE(" ►", SEED!$C35)), ")"))</f>
        <v>+62 85945619900 (Mobile Phone)</v>
      </c>
    </row>
    <row r="36" spans="2:3" x14ac:dyDescent="0.2">
      <c r="B36" s="44">
        <f>IF(EXACT(SEED!$F36, ""), "", SEED!$J36)</f>
        <v>286000000000033</v>
      </c>
      <c r="C36" s="4" t="str">
        <f>IF(EXACT($B36, ""), "", CONCATENATE(SUBSTITUTE(SEED!$F36, "-", ""), " (", SEED!$E36, IF(EXACT(SEED!$C36, ""), "", CONCATENATE(" ►", SEED!$C36)), ")"))</f>
        <v>+62 81299020267 (Mobile Phone ►Person - Fani Dwi Astutik)</v>
      </c>
    </row>
    <row r="37" spans="2:3" x14ac:dyDescent="0.2">
      <c r="B37" s="44">
        <f>IF(EXACT(SEED!$F37, ""), "", SEED!$J37)</f>
        <v>286000000000034</v>
      </c>
      <c r="C37" s="4" t="str">
        <f>IF(EXACT($B37, ""), "", CONCATENATE(SUBSTITUTE(SEED!$F37, "-", ""), " (", SEED!$E37, IF(EXACT(SEED!$C37, ""), "", CONCATENATE(" ►", SEED!$C37)), ")"))</f>
        <v>+62 85641568410 (Mobile Phone)</v>
      </c>
    </row>
    <row r="38" spans="2:3" x14ac:dyDescent="0.2">
      <c r="B38" s="44">
        <f>IF(EXACT(SEED!$F38, ""), "", SEED!$J38)</f>
        <v>286000000000035</v>
      </c>
      <c r="C38" s="4" t="str">
        <f>IF(EXACT($B38, ""), "", CONCATENATE(SUBSTITUTE(SEED!$F38, "-", ""), " (", SEED!$E38, IF(EXACT(SEED!$C38, ""), "", CONCATENATE(" ►", SEED!$C38)), ")"))</f>
        <v>+62 81362919395 (Mobile Phone)</v>
      </c>
    </row>
    <row r="39" spans="2:3" x14ac:dyDescent="0.2">
      <c r="B39" s="44">
        <f>IF(EXACT(SEED!$F39, ""), "", SEED!$J39)</f>
        <v>286000000000036</v>
      </c>
      <c r="C39" s="4" t="str">
        <f>IF(EXACT($B39, ""), "", CONCATENATE(SUBSTITUTE(SEED!$F39, "-", ""), " (", SEED!$E39, IF(EXACT(SEED!$C39, ""), "", CONCATENATE(" ►", SEED!$C39)), ")"))</f>
        <v>+62 81361930878 (Mobile Phone ►Person - Martimbul Rahman)</v>
      </c>
    </row>
    <row r="40" spans="2:3" x14ac:dyDescent="0.2">
      <c r="B40" s="44">
        <f>IF(EXACT(SEED!$F40, ""), "", SEED!$J40)</f>
        <v>286000000000037</v>
      </c>
      <c r="C40" s="4" t="str">
        <f>IF(EXACT($B40, ""), "", CONCATENATE(SUBSTITUTE(SEED!$F40, "-", ""), " (", SEED!$E40, IF(EXACT(SEED!$C40, ""), "", CONCATENATE(" ►", SEED!$C40)), ")"))</f>
        <v>+62 81291025349 (Mobile Phone ►Person - Zaire Dite Biscaya)</v>
      </c>
    </row>
    <row r="41" spans="2:3" x14ac:dyDescent="0.2">
      <c r="B41" s="44">
        <f>IF(EXACT(SEED!$F41, ""), "", SEED!$J41)</f>
        <v>286000000000038</v>
      </c>
      <c r="C41" s="4" t="str">
        <f>IF(EXACT($B41, ""), "", CONCATENATE(SUBSTITUTE(SEED!$F41, "-", ""), " (", SEED!$E41, IF(EXACT(SEED!$C41, ""), "", CONCATENATE(" ►", SEED!$C41)), ")"))</f>
        <v>+62 81318187318 (Mobile Phone ►Person - Imam Basuki)</v>
      </c>
    </row>
    <row r="42" spans="2:3" x14ac:dyDescent="0.2">
      <c r="B42" s="44">
        <f>IF(EXACT(SEED!$F42, ""), "", SEED!$J42)</f>
        <v>286000000000039</v>
      </c>
      <c r="C42" s="4" t="str">
        <f>IF(EXACT($B42, ""), "", CONCATENATE(SUBSTITUTE(SEED!$F42, "-", ""), " (", SEED!$E42, IF(EXACT(SEED!$C42, ""), "", CONCATENATE(" ►", SEED!$C42)), ")"))</f>
        <v>+62 87784190978 (Mobile Phone ►Person - Wisnu Andra Isdianto)</v>
      </c>
    </row>
    <row r="43" spans="2:3" x14ac:dyDescent="0.2">
      <c r="B43" s="44">
        <f>IF(EXACT(SEED!$F43, ""), "", SEED!$J43)</f>
        <v>286000000000040</v>
      </c>
      <c r="C43" s="4" t="str">
        <f>IF(EXACT($B43, ""), "", CONCATENATE(SUBSTITUTE(SEED!$F43, "-", ""), " (", SEED!$E43, IF(EXACT(SEED!$C43, ""), "", CONCATENATE(" ►", SEED!$C43)), ")"))</f>
        <v>+62 85741188449 (Mobile Phone ►Person - Rafi Artman Siddiq)</v>
      </c>
    </row>
    <row r="44" spans="2:3" x14ac:dyDescent="0.2">
      <c r="B44" s="44">
        <f>IF(EXACT(SEED!$F44, ""), "", SEED!$J44)</f>
        <v>286000000000041</v>
      </c>
      <c r="C44" s="4" t="str">
        <f>IF(EXACT($B44, ""), "", CONCATENATE(SUBSTITUTE(SEED!$F44, "-", ""), " (", SEED!$E44, IF(EXACT(SEED!$C44, ""), "", CONCATENATE(" ►", SEED!$C44)), ")"))</f>
        <v>+62 81318460405 (Mobile Phone ►Person - Deny Adi Purnama)</v>
      </c>
    </row>
    <row r="45" spans="2:3" x14ac:dyDescent="0.2">
      <c r="B45" s="44">
        <f>IF(EXACT(SEED!$F45, ""), "", SEED!$J45)</f>
        <v>286000000000042</v>
      </c>
      <c r="C45" s="4" t="str">
        <f>IF(EXACT($B45, ""), "", CONCATENATE(SUBSTITUTE(SEED!$F45, "-", ""), " (", SEED!$E45, IF(EXACT(SEED!$C45, ""), "", CONCATENATE(" ►", SEED!$C45)), ")"))</f>
        <v>+62 81295866677 (Mobile Phone ►Person - Nopitasari)</v>
      </c>
    </row>
    <row r="46" spans="2:3" x14ac:dyDescent="0.2">
      <c r="B46" s="44">
        <f>IF(EXACT(SEED!$F46, ""), "", SEED!$J46)</f>
        <v>286000000000043</v>
      </c>
      <c r="C46" s="4" t="str">
        <f>IF(EXACT($B46, ""), "", CONCATENATE(SUBSTITUTE(SEED!$F46, "-", ""), " (", SEED!$E46, IF(EXACT(SEED!$C46, ""), "", CONCATENATE(" ►", SEED!$C46)), ")"))</f>
        <v>+62 82121444989 (Mobile Phone ►Person - Agus Budi Setiawan)</v>
      </c>
    </row>
    <row r="47" spans="2:3" x14ac:dyDescent="0.2">
      <c r="B47" s="44">
        <f>IF(EXACT(SEED!$F47, ""), "", SEED!$J47)</f>
        <v>286000000000044</v>
      </c>
      <c r="C47" s="4" t="str">
        <f>IF(EXACT($B47, ""), "", CONCATENATE(SUBSTITUTE(SEED!$F47, "-", ""), " (", SEED!$E47, IF(EXACT(SEED!$C47, ""), "", CONCATENATE(" ►", SEED!$C47)), ")"))</f>
        <v>+62 83806643866 (Mobile Phone ►Person - Wendy Septiyan)</v>
      </c>
    </row>
    <row r="48" spans="2:3" x14ac:dyDescent="0.2">
      <c r="B48" s="44">
        <f>IF(EXACT(SEED!$F48, ""), "", SEED!$J48)</f>
        <v>286000000000045</v>
      </c>
      <c r="C48" s="4" t="str">
        <f>IF(EXACT($B48, ""), "", CONCATENATE(SUBSTITUTE(SEED!$F48, "-", ""), " (", SEED!$E48, IF(EXACT(SEED!$C48, ""), "", CONCATENATE(" ►", SEED!$C48)), ")"))</f>
        <v>+62 85694387250 (Mobile Phone ►Person - R. Lar Kumalaning Tresno)</v>
      </c>
    </row>
    <row r="49" spans="2:3" x14ac:dyDescent="0.2">
      <c r="B49" s="44">
        <f>IF(EXACT(SEED!$F49, ""), "", SEED!$J49)</f>
        <v>286000000000046</v>
      </c>
      <c r="C49" s="4" t="str">
        <f>IF(EXACT($B49, ""), "", CONCATENATE(SUBSTITUTE(SEED!$F49, "-", ""), " (", SEED!$E49, IF(EXACT(SEED!$C49, ""), "", CONCATENATE(" ►", SEED!$C49)), ")"))</f>
        <v>+62 81384329270 (Mobile Phone ►Person - Hendri Kustian)</v>
      </c>
    </row>
    <row r="50" spans="2:3" x14ac:dyDescent="0.2">
      <c r="B50" s="44">
        <f>IF(EXACT(SEED!$F50, ""), "", SEED!$J50)</f>
        <v>286000000000047</v>
      </c>
      <c r="C50" s="4" t="str">
        <f>IF(EXACT($B50, ""), "", CONCATENATE(SUBSTITUTE(SEED!$F50, "-", ""), " (", SEED!$E50, IF(EXACT(SEED!$C50, ""), "", CONCATENATE(" ►", SEED!$C50)), ")"))</f>
        <v>+62 81299129011 (Mobile Phone ►Person - Sarif Hidayatul Umah)</v>
      </c>
    </row>
    <row r="51" spans="2:3" x14ac:dyDescent="0.2">
      <c r="B51" s="44">
        <f>IF(EXACT(SEED!$F51, ""), "", SEED!$J51)</f>
        <v>286000000000048</v>
      </c>
      <c r="C51" s="4" t="str">
        <f>IF(EXACT($B51, ""), "", CONCATENATE(SUBSTITUTE(SEED!$F51, "-", ""), " (", SEED!$E51, IF(EXACT(SEED!$C51, ""), "", CONCATENATE(" ►", SEED!$C51)), ")"))</f>
        <v>+62 82173087816 (Mobile Phone ►Person - Vingky Hendriek Yomerlin)</v>
      </c>
    </row>
    <row r="52" spans="2:3" x14ac:dyDescent="0.2">
      <c r="B52" s="44">
        <f>IF(EXACT(SEED!$F52, ""), "", SEED!$J52)</f>
        <v>286000000000049</v>
      </c>
      <c r="C52" s="4" t="str">
        <f>IF(EXACT($B52, ""), "", CONCATENATE(SUBSTITUTE(SEED!$F52, "-", ""), " (", SEED!$E52, IF(EXACT(SEED!$C52, ""), "", CONCATENATE(" ►", SEED!$C52)), ")"))</f>
        <v>+62 81318863471 (Mobile Phone ►Person - Masimin)</v>
      </c>
    </row>
    <row r="53" spans="2:3" x14ac:dyDescent="0.2">
      <c r="B53" s="44">
        <f>IF(EXACT(SEED!$F53, ""), "", SEED!$J53)</f>
        <v>286000000000050</v>
      </c>
      <c r="C53" s="4" t="str">
        <f>IF(EXACT($B53, ""), "", CONCATENATE(SUBSTITUTE(SEED!$F53, "-", ""), " (", SEED!$E53, IF(EXACT(SEED!$C53, ""), "", CONCATENATE(" ►", SEED!$C53)), ")"))</f>
        <v>+62 85773261575 (Mobile Phone ►Person - Adietya Dharmawan)</v>
      </c>
    </row>
    <row r="54" spans="2:3" x14ac:dyDescent="0.2">
      <c r="B54" s="44">
        <f>IF(EXACT(SEED!$F54, ""), "", SEED!$J54)</f>
        <v>286000000000051</v>
      </c>
      <c r="C54" s="4" t="str">
        <f>IF(EXACT($B54, ""), "", CONCATENATE(SUBSTITUTE(SEED!$F54, "-", ""), " (", SEED!$E54, IF(EXACT(SEED!$C54, ""), "", CONCATENATE(" ►", SEED!$C54)), ")"))</f>
        <v>+62 8129699123 (Mobile Phone ►Person - Sutarno)</v>
      </c>
    </row>
    <row r="55" spans="2:3" x14ac:dyDescent="0.2">
      <c r="B55" s="44">
        <f>IF(EXACT(SEED!$F55, ""), "", SEED!$J55)</f>
        <v>286000000000052</v>
      </c>
      <c r="C55" s="4" t="str">
        <f>IF(EXACT($B55, ""), "", CONCATENATE(SUBSTITUTE(SEED!$F55, "-", ""), " (", SEED!$E55, IF(EXACT(SEED!$C55, ""), "", CONCATENATE(" ►", SEED!$C55)), ")"))</f>
        <v>+62 895336896672 (Mobile Phone ►Person - Fuzi Mafrozi)</v>
      </c>
    </row>
    <row r="56" spans="2:3" x14ac:dyDescent="0.2">
      <c r="B56" s="44">
        <f>IF(EXACT(SEED!$F56, ""), "", SEED!$J56)</f>
        <v>286000000000053</v>
      </c>
      <c r="C56" s="4" t="str">
        <f>IF(EXACT($B56, ""), "", CONCATENATE(SUBSTITUTE(SEED!$F56, "-", ""), " (", SEED!$E56, IF(EXACT(SEED!$C56, ""), "", CONCATENATE(" ►", SEED!$C56)), ")"))</f>
        <v>+62 81221193402 (Mobile Phone ►Person - Sang Toga Sitompul)</v>
      </c>
    </row>
    <row r="57" spans="2:3" x14ac:dyDescent="0.2">
      <c r="B57" s="44">
        <f>IF(EXACT(SEED!$F57, ""), "", SEED!$J57)</f>
        <v>286000000000054</v>
      </c>
      <c r="C57" s="4" t="str">
        <f>IF(EXACT($B57, ""), "", CONCATENATE(SUBSTITUTE(SEED!$F57, "-", ""), " (", SEED!$E57, IF(EXACT(SEED!$C57, ""), "", CONCATENATE(" ►", SEED!$C57)), ")"))</f>
        <v>+62 87780389758 (Mobile Phone ►Person - Denny Achmad Ferlando)</v>
      </c>
    </row>
    <row r="58" spans="2:3" x14ac:dyDescent="0.2">
      <c r="B58" s="44">
        <f>IF(EXACT(SEED!$F58, ""), "", SEED!$J58)</f>
        <v>286000000000055</v>
      </c>
      <c r="C58" s="4" t="str">
        <f>IF(EXACT($B58, ""), "", CONCATENATE(SUBSTITUTE(SEED!$F58, "-", ""), " (", SEED!$E58, IF(EXACT(SEED!$C58, ""), "", CONCATENATE(" ►", SEED!$C58)), ")"))</f>
        <v>+62 82113991950 (Mobile Phone)</v>
      </c>
    </row>
    <row r="59" spans="2:3" x14ac:dyDescent="0.2">
      <c r="B59" s="44">
        <f>IF(EXACT(SEED!$F59, ""), "", SEED!$J59)</f>
        <v>286000000000056</v>
      </c>
      <c r="C59" s="4" t="str">
        <f>IF(EXACT($B59, ""), "", CONCATENATE(SUBSTITUTE(SEED!$F59, "-", ""), " (", SEED!$E59, IF(EXACT(SEED!$C59, ""), "", CONCATENATE(" ►", SEED!$C59)), ")"))</f>
        <v>+62 81386435585 (Mobile Phone ►Person - Panca Yudi Baskoro)</v>
      </c>
    </row>
    <row r="60" spans="2:3" x14ac:dyDescent="0.2">
      <c r="B60" s="44">
        <f>IF(EXACT(SEED!$F60, ""), "", SEED!$J60)</f>
        <v>286000000000057</v>
      </c>
      <c r="C60" s="4" t="str">
        <f>IF(EXACT($B60, ""), "", CONCATENATE(SUBSTITUTE(SEED!$F60, "-", ""), " (", SEED!$E60, IF(EXACT(SEED!$C60, ""), "", CONCATENATE(" ►", SEED!$C60)), ")"))</f>
        <v>+62 81386007788 (Mobile Phone ►Person - Wisnu Ardian)</v>
      </c>
    </row>
    <row r="61" spans="2:3" x14ac:dyDescent="0.2">
      <c r="B61" s="44">
        <f>IF(EXACT(SEED!$F61, ""), "", SEED!$J61)</f>
        <v>286000000000058</v>
      </c>
      <c r="C61" s="4" t="str">
        <f>IF(EXACT($B61, ""), "", CONCATENATE(SUBSTITUTE(SEED!$F61, "-", ""), " (", SEED!$E61, IF(EXACT(SEED!$C61, ""), "", CONCATENATE(" ►", SEED!$C61)), ")"))</f>
        <v>+62 81310167838 (Mobile Phone)</v>
      </c>
    </row>
    <row r="62" spans="2:3" x14ac:dyDescent="0.2">
      <c r="B62" s="44">
        <f>IF(EXACT(SEED!$F62, ""), "", SEED!$J62)</f>
        <v>286000000000059</v>
      </c>
      <c r="C62" s="4" t="str">
        <f>IF(EXACT($B62, ""), "", CONCATENATE(SUBSTITUTE(SEED!$F62, "-", ""), " (", SEED!$E62, IF(EXACT(SEED!$C62, ""), "", CONCATENATE(" ►", SEED!$C62)), ")"))</f>
        <v>+62 81224208139 (Mobile Phone ►Person - Rizal Amri)</v>
      </c>
    </row>
    <row r="63" spans="2:3" x14ac:dyDescent="0.2">
      <c r="B63" s="44">
        <f>IF(EXACT(SEED!$F63, ""), "", SEED!$J63)</f>
        <v>286000000000060</v>
      </c>
      <c r="C63" s="4" t="str">
        <f>IF(EXACT($B63, ""), "", CONCATENATE(SUBSTITUTE(SEED!$F63, "-", ""), " (", SEED!$E63, IF(EXACT(SEED!$C63, ""), "", CONCATENATE(" ►", SEED!$C63)), ")"))</f>
        <v>+62 81398557959 (Mobile Phone)</v>
      </c>
    </row>
    <row r="64" spans="2:3" x14ac:dyDescent="0.2">
      <c r="B64" s="44">
        <f>IF(EXACT(SEED!$F64, ""), "", SEED!$J64)</f>
        <v>286000000000061</v>
      </c>
      <c r="C64" s="4" t="str">
        <f>IF(EXACT($B64, ""), "", CONCATENATE(SUBSTITUTE(SEED!$F64, "-", ""), " (", SEED!$E64, IF(EXACT(SEED!$C64, ""), "", CONCATENATE(" ►", SEED!$C64)), ")"))</f>
        <v>+62 85371404163 (Mobile Phone ►Person - Frando Judi Siahaan)</v>
      </c>
    </row>
    <row r="65" spans="2:3" x14ac:dyDescent="0.2">
      <c r="B65" s="44">
        <f>IF(EXACT(SEED!$F65, ""), "", SEED!$J65)</f>
        <v>286000000000062</v>
      </c>
      <c r="C65" s="4" t="str">
        <f>IF(EXACT($B65, ""), "", CONCATENATE(SUBSTITUTE(SEED!$F65, "-", ""), " (", SEED!$E65, IF(EXACT(SEED!$C65, ""), "", CONCATENATE(" ►", SEED!$C65)), ")"))</f>
        <v>+62 81268074074 (Mobile Phone ►Person - Prayanti Dewi Anggraini)</v>
      </c>
    </row>
    <row r="66" spans="2:3" x14ac:dyDescent="0.2">
      <c r="B66" s="44">
        <f>IF(EXACT(SEED!$F66, ""), "", SEED!$J66)</f>
        <v>286000000000063</v>
      </c>
      <c r="C66" s="4" t="str">
        <f>IF(EXACT($B66, ""), "", CONCATENATE(SUBSTITUTE(SEED!$F66, "-", ""), " (", SEED!$E66, IF(EXACT(SEED!$C66, ""), "", CONCATENATE(" ►", SEED!$C66)), ")"))</f>
        <v>+62 85775987323 (Mobile Phone ►Person - Agus Salim)</v>
      </c>
    </row>
    <row r="67" spans="2:3" x14ac:dyDescent="0.2">
      <c r="B67" s="44">
        <f>IF(EXACT(SEED!$F67, ""), "", SEED!$J67)</f>
        <v>286000000000064</v>
      </c>
      <c r="C67" s="4" t="str">
        <f>IF(EXACT($B67, ""), "", CONCATENATE(SUBSTITUTE(SEED!$F67, "-", ""), " (", SEED!$E67, IF(EXACT(SEED!$C67, ""), "", CONCATENATE(" ►", SEED!$C67)), ")"))</f>
        <v>+62 82255385557 (Mobile Phone)</v>
      </c>
    </row>
    <row r="68" spans="2:3" x14ac:dyDescent="0.2">
      <c r="B68" s="44">
        <f>IF(EXACT(SEED!$F68, ""), "", SEED!$J68)</f>
        <v>286000000000065</v>
      </c>
      <c r="C68" s="4" t="str">
        <f>IF(EXACT($B68, ""), "", CONCATENATE(SUBSTITUTE(SEED!$F68, "-", ""), " (", SEED!$E68, IF(EXACT(SEED!$C68, ""), "", CONCATENATE(" ►", SEED!$C68)), ")"))</f>
        <v>+62 81299495209 (Mobile Phone ►Person - Annisa Dewi Arumsari)</v>
      </c>
    </row>
    <row r="69" spans="2:3" x14ac:dyDescent="0.2">
      <c r="B69" s="44">
        <f>IF(EXACT(SEED!$F69, ""), "", SEED!$J69)</f>
        <v>286000000000066</v>
      </c>
      <c r="C69" s="4" t="str">
        <f>IF(EXACT($B69, ""), "", CONCATENATE(SUBSTITUTE(SEED!$F69, "-", ""), " (", SEED!$E69, IF(EXACT(SEED!$C69, ""), "", CONCATENATE(" ►", SEED!$C69)), ")"))</f>
        <v>+62 81298494325 (Mobile Phone ►Person - Achmad Yunadi)</v>
      </c>
    </row>
    <row r="70" spans="2:3" x14ac:dyDescent="0.2">
      <c r="B70" s="44">
        <f>IF(EXACT(SEED!$F70, ""), "", SEED!$J70)</f>
        <v>286000000000067</v>
      </c>
      <c r="C70" s="4" t="str">
        <f>IF(EXACT($B70, ""), "", CONCATENATE(SUBSTITUTE(SEED!$F70, "-", ""), " (", SEED!$E70, IF(EXACT(SEED!$C70, ""), "", CONCATENATE(" ►", SEED!$C70)), ")"))</f>
        <v>+62 81318460405 (Mobile Phone ►Person - Deny Adi Purnama)</v>
      </c>
    </row>
    <row r="71" spans="2:3" x14ac:dyDescent="0.2">
      <c r="B71" s="44">
        <f>IF(EXACT(SEED!$F71, ""), "", SEED!$J71)</f>
        <v>286000000000068</v>
      </c>
      <c r="C71" s="4" t="str">
        <f>IF(EXACT($B71, ""), "", CONCATENATE(SUBSTITUTE(SEED!$F71, "-", ""), " (", SEED!$E71, IF(EXACT(SEED!$C71, ""), "", CONCATENATE(" ►", SEED!$C71)), ")"))</f>
        <v>+62 81289544005 (Mobile Phone ►Person - Wahyu Ramadhani)</v>
      </c>
    </row>
    <row r="72" spans="2:3" x14ac:dyDescent="0.2">
      <c r="B72" s="44">
        <f>IF(EXACT(SEED!$F72, ""), "", SEED!$J72)</f>
        <v>286000000000069</v>
      </c>
      <c r="C72" s="4" t="str">
        <f>IF(EXACT($B72, ""), "", CONCATENATE(SUBSTITUTE(SEED!$F72, "-", ""), " (", SEED!$E72, IF(EXACT(SEED!$C72, ""), "", CONCATENATE(" ►", SEED!$C72)), ")"))</f>
        <v>+62 82130295392 (Mobile Phone)</v>
      </c>
    </row>
    <row r="73" spans="2:3" x14ac:dyDescent="0.2">
      <c r="B73" s="44">
        <f>IF(EXACT(SEED!$F73, ""), "", SEED!$J73)</f>
        <v>286000000000070</v>
      </c>
      <c r="C73" s="4" t="str">
        <f>IF(EXACT($B73, ""), "", CONCATENATE(SUBSTITUTE(SEED!$F73, "-", ""), " (", SEED!$E73, IF(EXACT(SEED!$C73, ""), "", CONCATENATE(" ►", SEED!$C73)), ")"))</f>
        <v>+62 81332181409 (Mobile Phone)</v>
      </c>
    </row>
    <row r="74" spans="2:3" x14ac:dyDescent="0.2">
      <c r="B74" s="44">
        <f>IF(EXACT(SEED!$F74, ""), "", SEED!$J74)</f>
        <v>286000000000071</v>
      </c>
      <c r="C74" s="4" t="str">
        <f>IF(EXACT($B74, ""), "", CONCATENATE(SUBSTITUTE(SEED!$F74, "-", ""), " (", SEED!$E74, IF(EXACT(SEED!$C74, ""), "", CONCATENATE(" ►", SEED!$C74)), ")"))</f>
        <v>+62 81384255855 (Mobile Phone ►Person - Ahmad Syaifulloh)</v>
      </c>
    </row>
    <row r="75" spans="2:3" x14ac:dyDescent="0.2">
      <c r="B75" s="44">
        <f>IF(EXACT(SEED!$F75, ""), "", SEED!$J75)</f>
        <v>286000000000072</v>
      </c>
      <c r="C75" s="4" t="str">
        <f>IF(EXACT($B75, ""), "", CONCATENATE(SUBSTITUTE(SEED!$F75, "-", ""), " (", SEED!$E75, IF(EXACT(SEED!$C75, ""), "", CONCATENATE(" ►", SEED!$C75)), ")"))</f>
        <v>+62 821141000545 (Mobile Phone ►Person - Ferdian Kriswantoro)</v>
      </c>
    </row>
    <row r="76" spans="2:3" x14ac:dyDescent="0.2">
      <c r="B76" s="44">
        <f>IF(EXACT(SEED!$F76, ""), "", SEED!$J76)</f>
        <v>286000000000073</v>
      </c>
      <c r="C76" s="4" t="str">
        <f>IF(EXACT($B76, ""), "", CONCATENATE(SUBSTITUTE(SEED!$F76, "-", ""), " (", SEED!$E76, IF(EXACT(SEED!$C76, ""), "", CONCATENATE(" ►", SEED!$C76)), ")"))</f>
        <v>+62 85162751360 (Mobile Phone ►Person - Wulanraniasih)</v>
      </c>
    </row>
    <row r="77" spans="2:3" x14ac:dyDescent="0.2">
      <c r="B77" s="44">
        <f>IF(EXACT(SEED!$F77, ""), "", SEED!$J77)</f>
        <v>286000000000074</v>
      </c>
      <c r="C77" s="4" t="str">
        <f>IF(EXACT($B77, ""), "", CONCATENATE(SUBSTITUTE(SEED!$F77, "-", ""), " (", SEED!$E77, IF(EXACT(SEED!$C77, ""), "", CONCATENATE(" ►", SEED!$C77)), ")"))</f>
        <v>+62 8567500887 (Mobile Phone ►Person - Sufie Amalia)</v>
      </c>
    </row>
    <row r="78" spans="2:3" x14ac:dyDescent="0.2">
      <c r="B78" s="44">
        <f>IF(EXACT(SEED!$F78, ""), "", SEED!$J78)</f>
        <v>286000000000075</v>
      </c>
      <c r="C78" s="4" t="str">
        <f>IF(EXACT($B78, ""), "", CONCATENATE(SUBSTITUTE(SEED!$F78, "-", ""), " (", SEED!$E78, IF(EXACT(SEED!$C78, ""), "", CONCATENATE(" ►", SEED!$C78)), ")"))</f>
        <v>+62 85959822621 (Mobile Phone)</v>
      </c>
    </row>
    <row r="79" spans="2:3" x14ac:dyDescent="0.2">
      <c r="B79" s="44">
        <f>IF(EXACT(SEED!$F79, ""), "", SEED!$J79)</f>
        <v>286000000000076</v>
      </c>
      <c r="C79" s="4" t="str">
        <f>IF(EXACT($B79, ""), "", CONCATENATE(SUBSTITUTE(SEED!$F79, "-", ""), " (", SEED!$E79, IF(EXACT(SEED!$C79, ""), "", CONCATENATE(" ►", SEED!$C79)), ")"))</f>
        <v>+62 83112505824 (Mobile Phone ►Person - Aldi Mulyadi)</v>
      </c>
    </row>
    <row r="80" spans="2:3" x14ac:dyDescent="0.2">
      <c r="B80" s="44">
        <f>IF(EXACT(SEED!$F80, ""), "", SEED!$J80)</f>
        <v>286000000000077</v>
      </c>
      <c r="C80" s="4" t="str">
        <f>IF(EXACT($B80, ""), "", CONCATENATE(SUBSTITUTE(SEED!$F80, "-", ""), " (", SEED!$E80, IF(EXACT(SEED!$C80, ""), "", CONCATENATE(" ►", SEED!$C80)), ")"))</f>
        <v>+62 8980269288 (Mobile Phone)</v>
      </c>
    </row>
    <row r="81" spans="2:3" x14ac:dyDescent="0.2">
      <c r="B81" s="44">
        <f>IF(EXACT(SEED!$F81, ""), "", SEED!$J81)</f>
        <v>286000000000078</v>
      </c>
      <c r="C81" s="4" t="str">
        <f>IF(EXACT($B81, ""), "", CONCATENATE(SUBSTITUTE(SEED!$F81, "-", ""), " (", SEED!$E81, IF(EXACT(SEED!$C81, ""), "", CONCATENATE(" ►", SEED!$C81)), ")"))</f>
        <v>+62 81111939034 (Mobile Phone)</v>
      </c>
    </row>
    <row r="82" spans="2:3" x14ac:dyDescent="0.2">
      <c r="B82" s="44">
        <f>IF(EXACT(SEED!$F82, ""), "", SEED!$J82)</f>
        <v>286000000000079</v>
      </c>
      <c r="C82" s="4" t="str">
        <f>IF(EXACT($B82, ""), "", CONCATENATE(SUBSTITUTE(SEED!$F82, "-", ""), " (", SEED!$E82, IF(EXACT(SEED!$C82, ""), "", CONCATENATE(" ►", SEED!$C82)), ")"))</f>
        <v>+62 87748329110 (Mobile Phone ►Person - Muhammad Ramadani)</v>
      </c>
    </row>
    <row r="83" spans="2:3" x14ac:dyDescent="0.2">
      <c r="B83" s="44">
        <f>IF(EXACT(SEED!$F83, ""), "", SEED!$J83)</f>
        <v>286000000000080</v>
      </c>
      <c r="C83" s="4" t="str">
        <f>IF(EXACT($B83, ""), "", CONCATENATE(SUBSTITUTE(SEED!$F83, "-", ""), " (", SEED!$E83, IF(EXACT(SEED!$C83, ""), "", CONCATENATE(" ►", SEED!$C83)), ")"))</f>
        <v>+62 81280840848 (Mobile Phone ►Person - Zeinurani)</v>
      </c>
    </row>
    <row r="84" spans="2:3" x14ac:dyDescent="0.2">
      <c r="B84" s="44">
        <f>IF(EXACT(SEED!$F84, ""), "", SEED!$J84)</f>
        <v>286000000000081</v>
      </c>
      <c r="C84" s="4" t="str">
        <f>IF(EXACT($B84, ""), "", CONCATENATE(SUBSTITUTE(SEED!$F84, "-", ""), " (", SEED!$E84, IF(EXACT(SEED!$C84, ""), "", CONCATENATE(" ►", SEED!$C84)), ")"))</f>
        <v>+62 82335461142 (Mobile Phone)</v>
      </c>
    </row>
    <row r="85" spans="2:3" x14ac:dyDescent="0.2">
      <c r="B85" s="44">
        <f>IF(EXACT(SEED!$F85, ""), "", SEED!$J85)</f>
        <v>286000000000082</v>
      </c>
      <c r="C85" s="4" t="str">
        <f>IF(EXACT($B85, ""), "", CONCATENATE(SUBSTITUTE(SEED!$F85, "-", ""), " (", SEED!$E85, IF(EXACT(SEED!$C85, ""), "", CONCATENATE(" ►", SEED!$C85)), ")"))</f>
        <v>+62 85743825555 (Mobile Phone ►Person - Anugerah Januariansyah)</v>
      </c>
    </row>
    <row r="86" spans="2:3" x14ac:dyDescent="0.2">
      <c r="B86" s="44">
        <f>IF(EXACT(SEED!$F86, ""), "", SEED!$J86)</f>
        <v>286000000000083</v>
      </c>
      <c r="C86" s="4" t="str">
        <f>IF(EXACT($B86, ""), "", CONCATENATE(SUBSTITUTE(SEED!$F86, "-", ""), " (", SEED!$E86, IF(EXACT(SEED!$C86, ""), "", CONCATENATE(" ►", SEED!$C86)), ")"))</f>
        <v>+62 8121015216 (Mobile Phone ►Person - Kiki Prasetyo)</v>
      </c>
    </row>
    <row r="87" spans="2:3" x14ac:dyDescent="0.2">
      <c r="B87" s="44">
        <f>IF(EXACT(SEED!$F87, ""), "", SEED!$J87)</f>
        <v>286000000000084</v>
      </c>
      <c r="C87" s="4" t="str">
        <f>IF(EXACT($B87, ""), "", CONCATENATE(SUBSTITUTE(SEED!$F87, "-", ""), " (", SEED!$E87, IF(EXACT(SEED!$C87, ""), "", CONCATENATE(" ►", SEED!$C87)), ")"))</f>
        <v>+62 81375440999 (Mobile Phone ►Person - Pantas Banjarnahor Marbun)</v>
      </c>
    </row>
    <row r="88" spans="2:3" x14ac:dyDescent="0.2">
      <c r="B88" s="44">
        <f>IF(EXACT(SEED!$F88, ""), "", SEED!$J88)</f>
        <v>286000000000085</v>
      </c>
      <c r="C88" s="4" t="str">
        <f>IF(EXACT($B88, ""), "", CONCATENATE(SUBSTITUTE(SEED!$F88, "-", ""), " (", SEED!$E88, IF(EXACT(SEED!$C88, ""), "", CONCATENATE(" ►", SEED!$C88)), ")"))</f>
        <v>+62 81213205160 (Mobile Phone ►Person - Firmansyah Awaludin)</v>
      </c>
    </row>
    <row r="89" spans="2:3" x14ac:dyDescent="0.2">
      <c r="B89" s="44">
        <f>IF(EXACT(SEED!$F89, ""), "", SEED!$J89)</f>
        <v>286000000000086</v>
      </c>
      <c r="C89" s="4" t="str">
        <f>IF(EXACT($B89, ""), "", CONCATENATE(SUBSTITUTE(SEED!$F89, "-", ""), " (", SEED!$E89, IF(EXACT(SEED!$C89, ""), "", CONCATENATE(" ►", SEED!$C89)), ")"))</f>
        <v>+62 81368061116 (Mobile Phone ►Person - Muhammad Irfan Alfikri Rayana)</v>
      </c>
    </row>
    <row r="90" spans="2:3" x14ac:dyDescent="0.2">
      <c r="B90" s="44">
        <f>IF(EXACT(SEED!$F90, ""), "", SEED!$J90)</f>
        <v>286000000000087</v>
      </c>
      <c r="C90" s="4" t="str">
        <f>IF(EXACT($B90, ""), "", CONCATENATE(SUBSTITUTE(SEED!$F90, "-", ""), " (", SEED!$E90, IF(EXACT(SEED!$C90, ""), "", CONCATENATE(" ►", SEED!$C90)), ")"))</f>
        <v>+62 83823296661 (Mobile Phone ►Person - Suyanto)</v>
      </c>
    </row>
    <row r="91" spans="2:3" x14ac:dyDescent="0.2">
      <c r="B91" s="44">
        <f>IF(EXACT(SEED!$F91, ""), "", SEED!$J91)</f>
        <v>286000000000088</v>
      </c>
      <c r="C91" s="4" t="str">
        <f>IF(EXACT($B91, ""), "", CONCATENATE(SUBSTITUTE(SEED!$F91, "-", ""), " (", SEED!$E91, IF(EXACT(SEED!$C91, ""), "", CONCATENATE(" ►", SEED!$C91)), ")"))</f>
        <v>+62 8174941066 (Mobile Phone)</v>
      </c>
    </row>
    <row r="92" spans="2:3" x14ac:dyDescent="0.2">
      <c r="B92" s="44">
        <f>IF(EXACT(SEED!$F92, ""), "", SEED!$J92)</f>
        <v>286000000000089</v>
      </c>
      <c r="C92" s="4" t="str">
        <f>IF(EXACT($B92, ""), "", CONCATENATE(SUBSTITUTE(SEED!$F92, "-", ""), " (", SEED!$E92, IF(EXACT(SEED!$C92, ""), "", CONCATENATE(" ►", SEED!$C92)), ")"))</f>
        <v>+62 81514200068 (Mobile Phone ►Person - Kiki Mustikawati)</v>
      </c>
    </row>
    <row r="93" spans="2:3" x14ac:dyDescent="0.2">
      <c r="B93" s="44">
        <f>IF(EXACT(SEED!$F93, ""), "", SEED!$J93)</f>
        <v>286000000000090</v>
      </c>
      <c r="C93" s="4" t="str">
        <f>IF(EXACT($B93, ""), "", CONCATENATE(SUBSTITUTE(SEED!$F93, "-", ""), " (", SEED!$E93, IF(EXACT(SEED!$C93, ""), "", CONCATENATE(" ►", SEED!$C93)), ")"))</f>
        <v>+62 89694700522 (Mobile Phone ►Person - Joko Wiyono)</v>
      </c>
    </row>
    <row r="94" spans="2:3" x14ac:dyDescent="0.2">
      <c r="B94" s="44">
        <f>IF(EXACT(SEED!$F94, ""), "", SEED!$J94)</f>
        <v>286000000000091</v>
      </c>
      <c r="C94" s="4" t="str">
        <f>IF(EXACT($B94, ""), "", CONCATENATE(SUBSTITUTE(SEED!$F94, "-", ""), " (", SEED!$E94, IF(EXACT(SEED!$C94, ""), "", CONCATENATE(" ►", SEED!$C94)), ")"))</f>
        <v>+62 85777884428 (Mobile Phone ►Person - Mochamad Samman)</v>
      </c>
    </row>
    <row r="95" spans="2:3" x14ac:dyDescent="0.2">
      <c r="B95" s="44">
        <f>IF(EXACT(SEED!$F95, ""), "", SEED!$J95)</f>
        <v>286000000000092</v>
      </c>
      <c r="C95" s="4" t="str">
        <f>IF(EXACT($B95, ""), "", CONCATENATE(SUBSTITUTE(SEED!$F95, "-", ""), " (", SEED!$E95, IF(EXACT(SEED!$C95, ""), "", CONCATENATE(" ►", SEED!$C95)), ")"))</f>
        <v>+62 81213612811 (Mobile Phone ►Person - Abdul Karim)</v>
      </c>
    </row>
    <row r="96" spans="2:3" x14ac:dyDescent="0.2">
      <c r="B96" s="44">
        <f>IF(EXACT(SEED!$F96, ""), "", SEED!$J96)</f>
        <v>286000000000093</v>
      </c>
      <c r="C96" s="4" t="str">
        <f>IF(EXACT($B96, ""), "", CONCATENATE(SUBSTITUTE(SEED!$F96, "-", ""), " (", SEED!$E96, IF(EXACT(SEED!$C96, ""), "", CONCATENATE(" ►", SEED!$C96)), ")"))</f>
        <v>+62 89510780429 (Mobile Phone ►Person - Rangga Darmawan)</v>
      </c>
    </row>
    <row r="97" spans="2:3" x14ac:dyDescent="0.2">
      <c r="B97" s="44">
        <f>IF(EXACT(SEED!$F97, ""), "", SEED!$J97)</f>
        <v>286000000000094</v>
      </c>
      <c r="C97" s="4" t="str">
        <f>IF(EXACT($B97, ""), "", CONCATENATE(SUBSTITUTE(SEED!$F97, "-", ""), " (", SEED!$E97, IF(EXACT(SEED!$C97, ""), "", CONCATENATE(" ►", SEED!$C97)), ")"))</f>
        <v>+62 81317131650 (Mobile Phone)</v>
      </c>
    </row>
    <row r="98" spans="2:3" x14ac:dyDescent="0.2">
      <c r="B98" s="44">
        <f>IF(EXACT(SEED!$F98, ""), "", SEED!$J98)</f>
        <v>286000000000095</v>
      </c>
      <c r="C98" s="4" t="str">
        <f>IF(EXACT($B98, ""), "", CONCATENATE(SUBSTITUTE(SEED!$F98, "-", ""), " (", SEED!$E98, IF(EXACT(SEED!$C98, ""), "", CONCATENATE(" ►", SEED!$C98)), ")"))</f>
        <v>+62 81361913004 (Mobile Phone)</v>
      </c>
    </row>
    <row r="99" spans="2:3" x14ac:dyDescent="0.2">
      <c r="B99" s="44">
        <f>IF(EXACT(SEED!$F99, ""), "", SEED!$J99)</f>
        <v>286000000000096</v>
      </c>
      <c r="C99" s="4" t="str">
        <f>IF(EXACT($B99, ""), "", CONCATENATE(SUBSTITUTE(SEED!$F99, "-", ""), " (", SEED!$E99, IF(EXACT(SEED!$C99, ""), "", CONCATENATE(" ►", SEED!$C99)), ")"))</f>
        <v>+62 81319426812 (Mobile Phone)</v>
      </c>
    </row>
    <row r="100" spans="2:3" x14ac:dyDescent="0.2">
      <c r="B100" s="44">
        <f>IF(EXACT(SEED!$F100, ""), "", SEED!$J100)</f>
        <v>286000000000097</v>
      </c>
      <c r="C100" s="4" t="str">
        <f>IF(EXACT($B100, ""), "", CONCATENATE(SUBSTITUTE(SEED!$F100, "-", ""), " (", SEED!$E100, IF(EXACT(SEED!$C100, ""), "", CONCATENATE(" ►", SEED!$C100)), ")"))</f>
        <v>+62 82162213821 (Mobile Phone ►Person - Mhd Syahputra)</v>
      </c>
    </row>
    <row r="101" spans="2:3" x14ac:dyDescent="0.2">
      <c r="B101" s="44">
        <f>IF(EXACT(SEED!$F101, ""), "", SEED!$J101)</f>
        <v>286000000000098</v>
      </c>
      <c r="C101" s="4" t="str">
        <f>IF(EXACT($B101, ""), "", CONCATENATE(SUBSTITUTE(SEED!$F101, "-", ""), " (", SEED!$E101, IF(EXACT(SEED!$C101, ""), "", CONCATENATE(" ►", SEED!$C101)), ")"))</f>
        <v>+62 82369428777 (Mobile Phone ►Person - Harlen Amudi Purba)</v>
      </c>
    </row>
    <row r="102" spans="2:3" x14ac:dyDescent="0.2">
      <c r="B102" s="44">
        <f>IF(EXACT(SEED!$F102, ""), "", SEED!$J102)</f>
        <v>286000000000099</v>
      </c>
      <c r="C102" s="4" t="str">
        <f>IF(EXACT($B102, ""), "", CONCATENATE(SUBSTITUTE(SEED!$F102, "-", ""), " (", SEED!$E102, IF(EXACT(SEED!$C102, ""), "", CONCATENATE(" ►", SEED!$C102)), ")"))</f>
        <v>+62 85609334286 (Mobile Phone)</v>
      </c>
    </row>
    <row r="103" spans="2:3" x14ac:dyDescent="0.2">
      <c r="B103" s="44">
        <f>IF(EXACT(SEED!$F103, ""), "", SEED!$J103)</f>
        <v>286000000000100</v>
      </c>
      <c r="C103" s="4" t="str">
        <f>IF(EXACT($B103, ""), "", CONCATENATE(SUBSTITUTE(SEED!$F103, "-", ""), " (", SEED!$E103, IF(EXACT(SEED!$C103, ""), "", CONCATENATE(" ►", SEED!$C103)), ")"))</f>
        <v>+62 87881674480 (Mobile Phone ►Person - Eka Purwanti)</v>
      </c>
    </row>
    <row r="104" spans="2:3" x14ac:dyDescent="0.2">
      <c r="B104" s="44">
        <f>IF(EXACT(SEED!$F104, ""), "", SEED!$J104)</f>
        <v>286000000000101</v>
      </c>
      <c r="C104" s="4" t="str">
        <f>IF(EXACT($B104, ""), "", CONCATENATE(SUBSTITUTE(SEED!$F104, "-", ""), " (", SEED!$E104, IF(EXACT(SEED!$C104, ""), "", CONCATENATE(" ►", SEED!$C104)), ")"))</f>
        <v>+62 811133616 (Mobile Phone ►Person - Krisnawan)</v>
      </c>
    </row>
    <row r="105" spans="2:3" x14ac:dyDescent="0.2">
      <c r="B105" s="44">
        <f>IF(EXACT(SEED!$F105, ""), "", SEED!$J105)</f>
        <v>286000000000102</v>
      </c>
      <c r="C105" s="4" t="str">
        <f>IF(EXACT($B105, ""), "", CONCATENATE(SUBSTITUTE(SEED!$F105, "-", ""), " (", SEED!$E105, IF(EXACT(SEED!$C105, ""), "", CONCATENATE(" ►", SEED!$C105)), ")"))</f>
        <v>+62 89502107482 (Mobile Phone ►Person - Febryan Mahsyar)</v>
      </c>
    </row>
    <row r="106" spans="2:3" x14ac:dyDescent="0.2">
      <c r="B106" s="44">
        <f>IF(EXACT(SEED!$F106, ""), "", SEED!$J106)</f>
        <v>286000000000103</v>
      </c>
      <c r="C106" s="4" t="str">
        <f>IF(EXACT($B106, ""), "", CONCATENATE(SUBSTITUTE(SEED!$F106, "-", ""), " (", SEED!$E106, IF(EXACT(SEED!$C106, ""), "", CONCATENATE(" ►", SEED!$C106)), ")"))</f>
        <v>+62 81384264004 (Mobile Phone ►Person - Khamim Taryono)</v>
      </c>
    </row>
    <row r="107" spans="2:3" x14ac:dyDescent="0.2">
      <c r="B107" s="44">
        <f>IF(EXACT(SEED!$F107, ""), "", SEED!$J107)</f>
        <v>286000000000104</v>
      </c>
      <c r="C107" s="4" t="str">
        <f>IF(EXACT($B107, ""), "", CONCATENATE(SUBSTITUTE(SEED!$F107, "-", ""), " (", SEED!$E107, IF(EXACT(SEED!$C107, ""), "", CONCATENATE(" ►", SEED!$C107)), ")"))</f>
        <v>+62 8567861993 (Mobile Phone ►Person - Desi Herawati)</v>
      </c>
    </row>
    <row r="108" spans="2:3" x14ac:dyDescent="0.2">
      <c r="B108" s="44">
        <f>IF(EXACT(SEED!$F108, ""), "", SEED!$J108)</f>
        <v>286000000000105</v>
      </c>
      <c r="C108" s="4" t="str">
        <f>IF(EXACT($B108, ""), "", CONCATENATE(SUBSTITUTE(SEED!$F108, "-", ""), " (", SEED!$E108, IF(EXACT(SEED!$C108, ""), "", CONCATENATE(" ►", SEED!$C108)), ")"))</f>
        <v>+62 81310951811 (Mobile Phone ►Person - Aldi Rizaldi)</v>
      </c>
    </row>
    <row r="109" spans="2:3" x14ac:dyDescent="0.2">
      <c r="B109" s="44">
        <f>IF(EXACT(SEED!$F109, ""), "", SEED!$J109)</f>
        <v>286000000000106</v>
      </c>
      <c r="C109" s="4" t="str">
        <f>IF(EXACT($B109, ""), "", CONCATENATE(SUBSTITUTE(SEED!$F109, "-", ""), " (", SEED!$E109, IF(EXACT(SEED!$C109, ""), "", CONCATENATE(" ►", SEED!$C109)), ")"))</f>
        <v>+62 81573005652 (Mobile Phone)</v>
      </c>
    </row>
    <row r="110" spans="2:3" x14ac:dyDescent="0.2">
      <c r="B110" s="44">
        <f>IF(EXACT(SEED!$F110, ""), "", SEED!$J110)</f>
        <v>286000000000107</v>
      </c>
      <c r="C110" s="4" t="str">
        <f>IF(EXACT($B110, ""), "", CONCATENATE(SUBSTITUTE(SEED!$F110, "-", ""), " (", SEED!$E110, IF(EXACT(SEED!$C110, ""), "", CONCATENATE(" ►", SEED!$C110)), ")"))</f>
        <v>+62 81280987170 (Mobile Phone ►Person - Abdul Risan)</v>
      </c>
    </row>
    <row r="111" spans="2:3" x14ac:dyDescent="0.2">
      <c r="B111" s="44">
        <f>IF(EXACT(SEED!$F111, ""), "", SEED!$J111)</f>
        <v>286000000000108</v>
      </c>
      <c r="C111" s="4" t="str">
        <f>IF(EXACT($B111, ""), "", CONCATENATE(SUBSTITUTE(SEED!$F111, "-", ""), " (", SEED!$E111, IF(EXACT(SEED!$C111, ""), "", CONCATENATE(" ►", SEED!$C111)), ")"))</f>
        <v>+62 81396237010 (Mobile Phone ►Person - Rommel Hutapea)</v>
      </c>
    </row>
    <row r="112" spans="2:3" x14ac:dyDescent="0.2">
      <c r="B112" s="44">
        <f>IF(EXACT(SEED!$F112, ""), "", SEED!$J112)</f>
        <v>286000000000109</v>
      </c>
      <c r="C112" s="4" t="str">
        <f>IF(EXACT($B112, ""), "", CONCATENATE(SUBSTITUTE(SEED!$F112, "-", ""), " (", SEED!$E112, IF(EXACT(SEED!$C112, ""), "", CONCATENATE(" ►", SEED!$C112)), ")"))</f>
        <v>+62 85359983177 (Mobile Phone ►Person - Edy Syahputra Situmeang)</v>
      </c>
    </row>
    <row r="113" spans="2:3" x14ac:dyDescent="0.2">
      <c r="B113" s="44">
        <f>IF(EXACT(SEED!$F113, ""), "", SEED!$J113)</f>
        <v>286000000000110</v>
      </c>
      <c r="C113" s="4" t="str">
        <f>IF(EXACT($B113, ""), "", CONCATENATE(SUBSTITUTE(SEED!$F113, "-", ""), " (", SEED!$E113, IF(EXACT(SEED!$C113, ""), "", CONCATENATE(" ►", SEED!$C113)), ")"))</f>
        <v>+62 81397223311 (Mobile Phone)</v>
      </c>
    </row>
    <row r="114" spans="2:3" x14ac:dyDescent="0.2">
      <c r="B114" s="44">
        <f>IF(EXACT(SEED!$F114, ""), "", SEED!$J114)</f>
        <v>286000000000111</v>
      </c>
      <c r="C114" s="4" t="str">
        <f>IF(EXACT($B114, ""), "", CONCATENATE(SUBSTITUTE(SEED!$F114, "-", ""), " (", SEED!$E114, IF(EXACT(SEED!$C114, ""), "", CONCATENATE(" ►", SEED!$C114)), ")"))</f>
        <v>+62 85261293614 (Mobile Phone)</v>
      </c>
    </row>
    <row r="115" spans="2:3" x14ac:dyDescent="0.2">
      <c r="B115" s="44">
        <f>IF(EXACT(SEED!$F115, ""), "", SEED!$J115)</f>
        <v>286000000000112</v>
      </c>
      <c r="C115" s="4" t="str">
        <f>IF(EXACT($B115, ""), "", CONCATENATE(SUBSTITUTE(SEED!$F115, "-", ""), " (", SEED!$E115, IF(EXACT(SEED!$C115, ""), "", CONCATENATE(" ►", SEED!$C115)), ")"))</f>
        <v>+62 82114811419 (Mobile Phone)</v>
      </c>
    </row>
    <row r="116" spans="2:3" x14ac:dyDescent="0.2">
      <c r="B116" s="44">
        <f>IF(EXACT(SEED!$F116, ""), "", SEED!$J116)</f>
        <v>286000000000113</v>
      </c>
      <c r="C116" s="4" t="str">
        <f>IF(EXACT($B116, ""), "", CONCATENATE(SUBSTITUTE(SEED!$F116, "-", ""), " (", SEED!$E116, IF(EXACT(SEED!$C116, ""), "", CONCATENATE(" ►", SEED!$C116)), ")"))</f>
        <v>+62 81213873885 (Mobile Phone)</v>
      </c>
    </row>
    <row r="117" spans="2:3" x14ac:dyDescent="0.2">
      <c r="B117" s="44">
        <f>IF(EXACT(SEED!$F117, ""), "", SEED!$J117)</f>
        <v>286000000000114</v>
      </c>
      <c r="C117" s="4" t="str">
        <f>IF(EXACT($B117, ""), "", CONCATENATE(SUBSTITUTE(SEED!$F117, "-", ""), " (", SEED!$E117, IF(EXACT(SEED!$C117, ""), "", CONCATENATE(" ►", SEED!$C117)), ")"))</f>
        <v>+62 81285881212 (Mobile Phone ►Person - Dwi Joko Setio Tjaroko)</v>
      </c>
    </row>
    <row r="118" spans="2:3" x14ac:dyDescent="0.2">
      <c r="B118" s="44">
        <f>IF(EXACT(SEED!$F118, ""), "", SEED!$J118)</f>
        <v>286000000000115</v>
      </c>
      <c r="C118" s="4" t="str">
        <f>IF(EXACT($B118, ""), "", CONCATENATE(SUBSTITUTE(SEED!$F118, "-", ""), " (", SEED!$E118, IF(EXACT(SEED!$C118, ""), "", CONCATENATE(" ►", SEED!$C118)), ")"))</f>
        <v>+62 89632128775 (Mobile Phone ►Person - Irvan Agus Dharma Eka Putra)</v>
      </c>
    </row>
    <row r="119" spans="2:3" x14ac:dyDescent="0.2">
      <c r="B119" s="44">
        <f>IF(EXACT(SEED!$F119, ""), "", SEED!$J119)</f>
        <v>286000000000116</v>
      </c>
      <c r="C119" s="4" t="str">
        <f>IF(EXACT($B119, ""), "", CONCATENATE(SUBSTITUTE(SEED!$F119, "-", ""), " (", SEED!$E119, IF(EXACT(SEED!$C119, ""), "", CONCATENATE(" ►", SEED!$C119)), ")"))</f>
        <v>+62 81338200412 (Mobile Phone ►Person - Taufik Aminudin)</v>
      </c>
    </row>
    <row r="120" spans="2:3" x14ac:dyDescent="0.2">
      <c r="B120" s="44">
        <f>IF(EXACT(SEED!$F120, ""), "", SEED!$J120)</f>
        <v>286000000000117</v>
      </c>
      <c r="C120" s="4" t="str">
        <f>IF(EXACT($B120, ""), "", CONCATENATE(SUBSTITUTE(SEED!$F120, "-", ""), " (", SEED!$E120, IF(EXACT(SEED!$C120, ""), "", CONCATENATE(" ►", SEED!$C120)), ")"))</f>
        <v>+62 82219158804 (Mobile Phone)</v>
      </c>
    </row>
    <row r="121" spans="2:3" x14ac:dyDescent="0.2">
      <c r="B121" s="44">
        <f>IF(EXACT(SEED!$F121, ""), "", SEED!$J121)</f>
        <v>286000000000118</v>
      </c>
      <c r="C121" s="4" t="str">
        <f>IF(EXACT($B121, ""), "", CONCATENATE(SUBSTITUTE(SEED!$F121, "-", ""), " (", SEED!$E121, IF(EXACT(SEED!$C121, ""), "", CONCATENATE(" ►", SEED!$C121)), ")"))</f>
        <v>+62 82299814132 (Mobile Phone ►Person - Faiz Horifal)</v>
      </c>
    </row>
    <row r="122" spans="2:3" x14ac:dyDescent="0.2">
      <c r="B122" s="44">
        <f>IF(EXACT(SEED!$F122, ""), "", SEED!$J122)</f>
        <v>286000000000119</v>
      </c>
      <c r="C122" s="4" t="str">
        <f>IF(EXACT($B122, ""), "", CONCATENATE(SUBSTITUTE(SEED!$F122, "-", ""), " (", SEED!$E122, IF(EXACT(SEED!$C122, ""), "", CONCATENATE(" ►", SEED!$C122)), ")"))</f>
        <v>+62 85881675581 (Mobile Phone)</v>
      </c>
    </row>
    <row r="123" spans="2:3" x14ac:dyDescent="0.2">
      <c r="B123" s="44">
        <f>IF(EXACT(SEED!$F123, ""), "", SEED!$J123)</f>
        <v>286000000000120</v>
      </c>
      <c r="C123" s="4" t="str">
        <f>IF(EXACT($B123, ""), "", CONCATENATE(SUBSTITUTE(SEED!$F123, "-", ""), " (", SEED!$E123, IF(EXACT(SEED!$C123, ""), "", CONCATENATE(" ►", SEED!$C123)), ")"))</f>
        <v>+62 81225285555 (Mobile Phone ►Person - Idian)</v>
      </c>
    </row>
    <row r="124" spans="2:3" x14ac:dyDescent="0.2">
      <c r="B124" s="44">
        <f>IF(EXACT(SEED!$F124, ""), "", SEED!$J124)</f>
        <v>286000000000121</v>
      </c>
      <c r="C124" s="4" t="str">
        <f>IF(EXACT($B124, ""), "", CONCATENATE(SUBSTITUTE(SEED!$F124, "-", ""), " (", SEED!$E124, IF(EXACT(SEED!$C124, ""), "", CONCATENATE(" ►", SEED!$C124)), ")"))</f>
        <v>+62 81389851877 (Mobile Phone ►Person - Andi Mapasoro)</v>
      </c>
    </row>
    <row r="125" spans="2:3" x14ac:dyDescent="0.2">
      <c r="B125" s="44">
        <f>IF(EXACT(SEED!$F125, ""), "", SEED!$J125)</f>
        <v>286000000000122</v>
      </c>
      <c r="C125" s="4" t="str">
        <f>IF(EXACT($B125, ""), "", CONCATENATE(SUBSTITUTE(SEED!$F125, "-", ""), " (", SEED!$E125, IF(EXACT(SEED!$C125, ""), "", CONCATENATE(" ►", SEED!$C125)), ")"))</f>
        <v>+62 87788980659 (Mobile Phone ►Person - Ahmad Sandi Asyuri)</v>
      </c>
    </row>
    <row r="126" spans="2:3" x14ac:dyDescent="0.2">
      <c r="B126" s="44">
        <f>IF(EXACT(SEED!$F126, ""), "", SEED!$J126)</f>
        <v>286000000000123</v>
      </c>
      <c r="C126" s="4" t="str">
        <f>IF(EXACT($B126, ""), "", CONCATENATE(SUBSTITUTE(SEED!$F126, "-", ""), " (", SEED!$E126, IF(EXACT(SEED!$C126, ""), "", CONCATENATE(" ►", SEED!$C126)), ")"))</f>
        <v>+62 81317897764 (Mobile Phone ►Person - Agnes Sutedja)</v>
      </c>
    </row>
    <row r="127" spans="2:3" x14ac:dyDescent="0.2">
      <c r="B127" s="44">
        <f>IF(EXACT(SEED!$F127, ""), "", SEED!$J127)</f>
        <v>286000000000124</v>
      </c>
      <c r="C127" s="4" t="str">
        <f>IF(EXACT($B127, ""), "", CONCATENATE(SUBSTITUTE(SEED!$F127, "-", ""), " (", SEED!$E127, IF(EXACT(SEED!$C127, ""), "", CONCATENATE(" ►", SEED!$C127)), ")"))</f>
        <v>+62 85782786571 (Mobile Phone ►Person - Ahmad Choerul)</v>
      </c>
    </row>
    <row r="128" spans="2:3" x14ac:dyDescent="0.2">
      <c r="B128" s="44">
        <f>IF(EXACT(SEED!$F128, ""), "", SEED!$J128)</f>
        <v>286000000000125</v>
      </c>
      <c r="C128" s="4" t="str">
        <f>IF(EXACT($B128, ""), "", CONCATENATE(SUBSTITUTE(SEED!$F128, "-", ""), " (", SEED!$E128, IF(EXACT(SEED!$C128, ""), "", CONCATENATE(" ►", SEED!$C128)), ")"))</f>
        <v>+62 82225708799 (Mobile Phone ►Person - Belina Lindarwani)</v>
      </c>
    </row>
    <row r="129" spans="2:3" x14ac:dyDescent="0.2">
      <c r="B129" s="44">
        <f>IF(EXACT(SEED!$F129, ""), "", SEED!$J129)</f>
        <v>286000000000126</v>
      </c>
      <c r="C129" s="4" t="str">
        <f>IF(EXACT($B129, ""), "", CONCATENATE(SUBSTITUTE(SEED!$F129, "-", ""), " (", SEED!$E129, IF(EXACT(SEED!$C129, ""), "", CONCATENATE(" ►", SEED!$C129)), ")"))</f>
        <v>+62 81282356976 (Mobile Phone ►Person - Budianto)</v>
      </c>
    </row>
    <row r="130" spans="2:3" x14ac:dyDescent="0.2">
      <c r="B130" s="44">
        <f>IF(EXACT(SEED!$F130, ""), "", SEED!$J130)</f>
        <v>286000000000127</v>
      </c>
      <c r="C130" s="4" t="str">
        <f>IF(EXACT($B130, ""), "", CONCATENATE(SUBSTITUTE(SEED!$F130, "-", ""), " (", SEED!$E130, IF(EXACT(SEED!$C130, ""), "", CONCATENATE(" ►", SEED!$C130)), ")"))</f>
        <v>+62 81236949841 (Mobile Phone ►Person - Darsito)</v>
      </c>
    </row>
    <row r="131" spans="2:3" x14ac:dyDescent="0.2">
      <c r="B131" s="44">
        <f>IF(EXACT(SEED!$F131, ""), "", SEED!$J131)</f>
        <v>286000000000128</v>
      </c>
      <c r="C131" s="4" t="str">
        <f>IF(EXACT($B131, ""), "", CONCATENATE(SUBSTITUTE(SEED!$F131, "-", ""), " (", SEED!$E131, IF(EXACT(SEED!$C131, ""), "", CONCATENATE(" ►", SEED!$C131)), ")"))</f>
        <v>+62 81298311976 (Mobile Phone ►Person - Dionesius Sostenist Duka)</v>
      </c>
    </row>
    <row r="132" spans="2:3" x14ac:dyDescent="0.2">
      <c r="B132" s="44">
        <f>IF(EXACT(SEED!$F132, ""), "", SEED!$J132)</f>
        <v>286000000000129</v>
      </c>
      <c r="C132" s="4" t="str">
        <f>IF(EXACT($B132, ""), "", CONCATENATE(SUBSTITUTE(SEED!$F132, "-", ""), " (", SEED!$E132, IF(EXACT(SEED!$C132, ""), "", CONCATENATE(" ►", SEED!$C132)), ")"))</f>
        <v>+62 81233868624 (Mobile Phone ►Person - Edi Waluyo)</v>
      </c>
    </row>
    <row r="133" spans="2:3" x14ac:dyDescent="0.2">
      <c r="B133" s="44">
        <f>IF(EXACT(SEED!$F133, ""), "", SEED!$J133)</f>
        <v>286000000000130</v>
      </c>
      <c r="C133" s="4" t="str">
        <f>IF(EXACT($B133, ""), "", CONCATENATE(SUBSTITUTE(SEED!$F133, "-", ""), " (", SEED!$E133, IF(EXACT(SEED!$C133, ""), "", CONCATENATE(" ►", SEED!$C133)), ")"))</f>
        <v>+62 85719607726 (Mobile Phone ►Person - Eka Bagus Dwi Putra)</v>
      </c>
    </row>
    <row r="134" spans="2:3" x14ac:dyDescent="0.2">
      <c r="B134" s="44">
        <f>IF(EXACT(SEED!$F134, ""), "", SEED!$J134)</f>
        <v>286000000000131</v>
      </c>
      <c r="C134" s="4" t="str">
        <f>IF(EXACT($B134, ""), "", CONCATENATE(SUBSTITUTE(SEED!$F134, "-", ""), " (", SEED!$E134, IF(EXACT(SEED!$C134, ""), "", CONCATENATE(" ►", SEED!$C134)), ")"))</f>
        <v>+62 81218759198 (Mobile Phone ►Person - Eka Kurniawan Hidayatullah)</v>
      </c>
    </row>
    <row r="135" spans="2:3" x14ac:dyDescent="0.2">
      <c r="B135" s="44">
        <f>IF(EXACT(SEED!$F135, ""), "", SEED!$J135)</f>
        <v>286000000000132</v>
      </c>
      <c r="C135" s="4" t="str">
        <f>IF(EXACT($B135, ""), "", CONCATENATE(SUBSTITUTE(SEED!$F135, "-", ""), " (", SEED!$E135, IF(EXACT(SEED!$C135, ""), "", CONCATENATE(" ►", SEED!$C135)), ")"))</f>
        <v>+62 87881674480 (Mobile Phone ►Person - Eka Purwanti)</v>
      </c>
    </row>
    <row r="136" spans="2:3" x14ac:dyDescent="0.2">
      <c r="B136" s="44">
        <f>IF(EXACT(SEED!$F136, ""), "", SEED!$J136)</f>
        <v>286000000000133</v>
      </c>
      <c r="C136" s="4" t="str">
        <f>IF(EXACT($B136, ""), "", CONCATENATE(SUBSTITUTE(SEED!$F136, "-", ""), " (", SEED!$E136, IF(EXACT(SEED!$C136, ""), "", CONCATENATE(" ►", SEED!$C136)), ")"))</f>
        <v>+62 81999945447 (Mobile Phone ►Person - Endang Sutrisna)</v>
      </c>
    </row>
    <row r="137" spans="2:3" x14ac:dyDescent="0.2">
      <c r="B137" s="44">
        <f>IF(EXACT(SEED!$F137, ""), "", SEED!$J137)</f>
        <v>286000000000134</v>
      </c>
      <c r="C137" s="4" t="str">
        <f>IF(EXACT($B137, ""), "", CONCATENATE(SUBSTITUTE(SEED!$F137, "-", ""), " (", SEED!$E137, IF(EXACT(SEED!$C137, ""), "", CONCATENATE(" ►", SEED!$C137)), ")"))</f>
        <v>+62 8129294620 (Mobile Phone ►Person - Gunawan)</v>
      </c>
    </row>
    <row r="138" spans="2:3" x14ac:dyDescent="0.2">
      <c r="B138" s="44">
        <f>IF(EXACT(SEED!$F138, ""), "", SEED!$J138)</f>
        <v>286000000000135</v>
      </c>
      <c r="C138" s="4" t="str">
        <f>IF(EXACT($B138, ""), "", CONCATENATE(SUBSTITUTE(SEED!$F138, "-", ""), " (", SEED!$E138, IF(EXACT(SEED!$C138, ""), "", CONCATENATE(" ►", SEED!$C138)), ")"))</f>
        <v>+62 87882221308 (Mobile Phone ►Person - Icha Mailinda Syamsoedin)</v>
      </c>
    </row>
    <row r="139" spans="2:3" x14ac:dyDescent="0.2">
      <c r="B139" s="44">
        <f>IF(EXACT(SEED!$F139, ""), "", SEED!$J139)</f>
        <v>286000000000136</v>
      </c>
      <c r="C139" s="4" t="str">
        <f>IF(EXACT($B139, ""), "", CONCATENATE(SUBSTITUTE(SEED!$F139, "-", ""), " (", SEED!$E139, IF(EXACT(SEED!$C139, ""), "", CONCATENATE(" ►", SEED!$C139)), ")"))</f>
        <v>+62 87884014359 (Mobile Phone ►Person - Irma Maulidawati)</v>
      </c>
    </row>
    <row r="140" spans="2:3" x14ac:dyDescent="0.2">
      <c r="B140" s="44">
        <f>IF(EXACT(SEED!$F140, ""), "", SEED!$J140)</f>
        <v>286000000000137</v>
      </c>
      <c r="C140" s="4" t="str">
        <f>IF(EXACT($B140, ""), "", CONCATENATE(SUBSTITUTE(SEED!$F140, "-", ""), " (", SEED!$E140, IF(EXACT(SEED!$C140, ""), "", CONCATENATE(" ►", SEED!$C140)), ")"))</f>
        <v>+62 8977449206 (Mobile Phone ►Person - Istikaro Fauziah)</v>
      </c>
    </row>
    <row r="141" spans="2:3" x14ac:dyDescent="0.2">
      <c r="B141" s="44">
        <f>IF(EXACT(SEED!$F141, ""), "", SEED!$J141)</f>
        <v>286000000000138</v>
      </c>
      <c r="C141" s="4" t="str">
        <f>IF(EXACT($B141, ""), "", CONCATENATE(SUBSTITUTE(SEED!$F141, "-", ""), " (", SEED!$E141, IF(EXACT(SEED!$C141, ""), "", CONCATENATE(" ►", SEED!$C141)), ")"))</f>
        <v>+62 81311322014 (Mobile Phone ►Person - Jimmywal)</v>
      </c>
    </row>
    <row r="142" spans="2:3" x14ac:dyDescent="0.2">
      <c r="B142" s="44">
        <f>IF(EXACT(SEED!$F142, ""), "", SEED!$J142)</f>
        <v>286000000000139</v>
      </c>
      <c r="C142" s="4" t="str">
        <f>IF(EXACT($B142, ""), "", CONCATENATE(SUBSTITUTE(SEED!$F142, "-", ""), " (", SEED!$E142, IF(EXACT(SEED!$C142, ""), "", CONCATENATE(" ►", SEED!$C142)), ")"))</f>
        <v>+62 81280020551 (Mobile Phone ►Person - Kornelius Sakan)</v>
      </c>
    </row>
    <row r="143" spans="2:3" x14ac:dyDescent="0.2">
      <c r="B143" s="44">
        <f>IF(EXACT(SEED!$F143, ""), "", SEED!$J143)</f>
        <v>286000000000140</v>
      </c>
      <c r="C143" s="4" t="str">
        <f>IF(EXACT($B143, ""), "", CONCATENATE(SUBSTITUTE(SEED!$F143, "-", ""), " (", SEED!$E143, IF(EXACT(SEED!$C143, ""), "", CONCATENATE(" ►", SEED!$C143)), ")"))</f>
        <v>+62 8119728227 (Mobile Phone ►Person - Lisma Natalia)</v>
      </c>
    </row>
    <row r="144" spans="2:3" x14ac:dyDescent="0.2">
      <c r="B144" s="44">
        <f>IF(EXACT(SEED!$F144, ""), "", SEED!$J144)</f>
        <v>286000000000141</v>
      </c>
      <c r="C144" s="4" t="str">
        <f>IF(EXACT($B144, ""), "", CONCATENATE(SUBSTITUTE(SEED!$F144, "-", ""), " (", SEED!$E144, IF(EXACT(SEED!$C144, ""), "", CONCATENATE(" ►", SEED!$C144)), ")"))</f>
        <v>+62 81262939221 (Mobile Phone ►Person - M. Fikri Caesarandi Hasibuan)</v>
      </c>
    </row>
    <row r="145" spans="2:3" x14ac:dyDescent="0.2">
      <c r="B145" s="44">
        <f>IF(EXACT(SEED!$F145, ""), "", SEED!$J145)</f>
        <v>286000000000142</v>
      </c>
      <c r="C145" s="4" t="str">
        <f>IF(EXACT($B145, ""), "", CONCATENATE(SUBSTITUTE(SEED!$F145, "-", ""), " (", SEED!$E145, IF(EXACT(SEED!$C145, ""), "", CONCATENATE(" ►", SEED!$C145)), ")"))</f>
        <v>+62 85280805771 (Mobile Phone ►Person - Marten Tabun)</v>
      </c>
    </row>
    <row r="146" spans="2:3" x14ac:dyDescent="0.2">
      <c r="B146" s="44">
        <f>IF(EXACT(SEED!$F146, ""), "", SEED!$J146)</f>
        <v>286000000000143</v>
      </c>
      <c r="C146" s="4" t="str">
        <f>IF(EXACT($B146, ""), "", CONCATENATE(SUBSTITUTE(SEED!$F146, "-", ""), " (", SEED!$E146, IF(EXACT(SEED!$C146, ""), "", CONCATENATE(" ►", SEED!$C146)), ")"))</f>
        <v>+62 81285802247 (Mobile Phone ►Person - Mochamad Ulul Azmi Wira Utama)</v>
      </c>
    </row>
    <row r="147" spans="2:3" x14ac:dyDescent="0.2">
      <c r="B147" s="44">
        <f>IF(EXACT(SEED!$F147, ""), "", SEED!$J147)</f>
        <v>286000000000144</v>
      </c>
      <c r="C147" s="4" t="str">
        <f>IF(EXACT($B147, ""), "", CONCATENATE(SUBSTITUTE(SEED!$F147, "-", ""), " (", SEED!$E147, IF(EXACT(SEED!$C147, ""), "", CONCATENATE(" ►", SEED!$C147)), ")"))</f>
        <v>+62 81228975977 (Mobile Phone ►Person - Muhammad Rizal)</v>
      </c>
    </row>
    <row r="148" spans="2:3" x14ac:dyDescent="0.2">
      <c r="B148" s="44">
        <f>IF(EXACT(SEED!$F148, ""), "", SEED!$J148)</f>
        <v>286000000000145</v>
      </c>
      <c r="C148" s="4" t="str">
        <f>IF(EXACT($B148, ""), "", CONCATENATE(SUBSTITUTE(SEED!$F148, "-", ""), " (", SEED!$E148, IF(EXACT(SEED!$C148, ""), "", CONCATENATE(" ►", SEED!$C148)), ")"))</f>
        <v>+62 8158884838 (Mobile Phone ►Person - Mullan Tresna)</v>
      </c>
    </row>
    <row r="149" spans="2:3" x14ac:dyDescent="0.2">
      <c r="B149" s="44">
        <f>IF(EXACT(SEED!$F149, ""), "", SEED!$J149)</f>
        <v>286000000000146</v>
      </c>
      <c r="C149" s="4" t="str">
        <f>IF(EXACT($B149, ""), "", CONCATENATE(SUBSTITUTE(SEED!$F149, "-", ""), " (", SEED!$E149, IF(EXACT(SEED!$C149, ""), "", CONCATENATE(" ►", SEED!$C149)), ")"))</f>
        <v>+62 81241521262 (Mobile Phone ►Person - Nandang Effendi)</v>
      </c>
    </row>
    <row r="150" spans="2:3" x14ac:dyDescent="0.2">
      <c r="B150" s="44">
        <f>IF(EXACT(SEED!$F150, ""), "", SEED!$J150)</f>
        <v>286000000000147</v>
      </c>
      <c r="C150" s="4" t="str">
        <f>IF(EXACT($B150, ""), "", CONCATENATE(SUBSTITUTE(SEED!$F150, "-", ""), " (", SEED!$E150, IF(EXACT(SEED!$C150, ""), "", CONCATENATE(" ►", SEED!$C150)), ")"))</f>
        <v>+62 85602100410 (Mobile Phone ►Person - Rahmata Novanisa)</v>
      </c>
    </row>
    <row r="151" spans="2:3" x14ac:dyDescent="0.2">
      <c r="B151" s="44">
        <f>IF(EXACT(SEED!$F151, ""), "", SEED!$J151)</f>
        <v>286000000000148</v>
      </c>
      <c r="C151" s="4" t="str">
        <f>IF(EXACT($B151, ""), "", CONCATENATE(SUBSTITUTE(SEED!$F151, "-", ""), " (", SEED!$E151, IF(EXACT(SEED!$C151, ""), "", CONCATENATE(" ►", SEED!$C151)), ")"))</f>
        <v>+62 82288653239 (Mobile Phone ►Person - Rahmad Dwifar)</v>
      </c>
    </row>
    <row r="152" spans="2:3" x14ac:dyDescent="0.2">
      <c r="B152" s="44">
        <f>IF(EXACT(SEED!$F152, ""), "", SEED!$J152)</f>
        <v>286000000000149</v>
      </c>
      <c r="C152" s="4" t="str">
        <f>IF(EXACT($B152, ""), "", CONCATENATE(SUBSTITUTE(SEED!$F152, "-", ""), " (", SEED!$E152, IF(EXACT(SEED!$C152, ""), "", CONCATENATE(" ►", SEED!$C152)), ")"))</f>
        <v>+62 81513948537 (Mobile Phone ►Person - Restu Dwi Anjayani)</v>
      </c>
    </row>
    <row r="153" spans="2:3" x14ac:dyDescent="0.2">
      <c r="B153" s="44">
        <f>IF(EXACT(SEED!$F153, ""), "", SEED!$J153)</f>
        <v>286000000000150</v>
      </c>
      <c r="C153" s="4" t="str">
        <f>IF(EXACT($B153, ""), "", CONCATENATE(SUBSTITUTE(SEED!$F153, "-", ""), " (", SEED!$E153, IF(EXACT(SEED!$C153, ""), "", CONCATENATE(" ►", SEED!$C153)), ")"))</f>
        <v>+62 81330683991 (Mobile Phone ►Person - Ridwan Nur Muttaqin)</v>
      </c>
    </row>
    <row r="154" spans="2:3" x14ac:dyDescent="0.2">
      <c r="B154" s="44">
        <f>IF(EXACT(SEED!$F154, ""), "", SEED!$J154)</f>
        <v>286000000000151</v>
      </c>
      <c r="C154" s="4" t="str">
        <f>IF(EXACT($B154, ""), "", CONCATENATE(SUBSTITUTE(SEED!$F154, "-", ""), " (", SEED!$E154, IF(EXACT(SEED!$C154, ""), "", CONCATENATE(" ►", SEED!$C154)), ")"))</f>
        <v>+62 81318940491 (Mobile Phone ►Person - Rhino Priawan)</v>
      </c>
    </row>
    <row r="155" spans="2:3" x14ac:dyDescent="0.2">
      <c r="B155" s="44">
        <f>IF(EXACT(SEED!$F155, ""), "", SEED!$J155)</f>
        <v>286000000000152</v>
      </c>
      <c r="C155" s="4" t="str">
        <f>IF(EXACT($B155, ""), "", CONCATENATE(SUBSTITUTE(SEED!$F155, "-", ""), " (", SEED!$E155, IF(EXACT(SEED!$C155, ""), "", CONCATENATE(" ►", SEED!$C155)), ")"))</f>
        <v>+62 85692965294 (Mobile Phone ►Person - Seftiyan Hadi Maulana)</v>
      </c>
    </row>
    <row r="156" spans="2:3" x14ac:dyDescent="0.2">
      <c r="B156" s="44">
        <f>IF(EXACT(SEED!$F156, ""), "", SEED!$J156)</f>
        <v>286000000000153</v>
      </c>
      <c r="C156" s="4" t="str">
        <f>IF(EXACT($B156, ""), "", CONCATENATE(SUBSTITUTE(SEED!$F156, "-", ""), " (", SEED!$E156, IF(EXACT(SEED!$C156, ""), "", CONCATENATE(" ►", SEED!$C156)), ")"))</f>
        <v>+62 87869832081 (Mobile Phone ►Person - Setiadi)</v>
      </c>
    </row>
    <row r="157" spans="2:3" x14ac:dyDescent="0.2">
      <c r="B157" s="44">
        <f>IF(EXACT(SEED!$F157, ""), "", SEED!$J157)</f>
        <v>286000000000154</v>
      </c>
      <c r="C157" s="4" t="str">
        <f>IF(EXACT($B157, ""), "", CONCATENATE(SUBSTITUTE(SEED!$F157, "-", ""), " (", SEED!$E157, IF(EXACT(SEED!$C157, ""), "", CONCATENATE(" ►", SEED!$C157)), ")"))</f>
        <v>+62 89624746190 (Mobile Phone ►Person - Sholehah)</v>
      </c>
    </row>
    <row r="158" spans="2:3" x14ac:dyDescent="0.2">
      <c r="B158" s="44">
        <f>IF(EXACT(SEED!$F158, ""), "", SEED!$J158)</f>
        <v>286000000000155</v>
      </c>
      <c r="C158" s="4" t="str">
        <f>IF(EXACT($B158, ""), "", CONCATENATE(SUBSTITUTE(SEED!$F158, "-", ""), " (", SEED!$E158, IF(EXACT(SEED!$C158, ""), "", CONCATENATE(" ►", SEED!$C158)), ")"))</f>
        <v>+62 81314205669 (Mobile Phone ►Person - Sudarlan)</v>
      </c>
    </row>
    <row r="159" spans="2:3" x14ac:dyDescent="0.2">
      <c r="B159" s="44">
        <f>IF(EXACT(SEED!$F159, ""), "", SEED!$J159)</f>
        <v>286000000000156</v>
      </c>
      <c r="C159" s="4" t="str">
        <f>IF(EXACT($B159, ""), "", CONCATENATE(SUBSTITUTE(SEED!$F159, "-", ""), " (", SEED!$E159, IF(EXACT(SEED!$C159, ""), "", CONCATENATE(" ►", SEED!$C159)), ")"))</f>
        <v>+62 81373075210 (Mobile Phone ►Person - T. Marungkil U. S. Sagala)</v>
      </c>
    </row>
    <row r="160" spans="2:3" x14ac:dyDescent="0.2">
      <c r="B160" s="44">
        <f>IF(EXACT(SEED!$F160, ""), "", SEED!$J160)</f>
        <v>286000000000157</v>
      </c>
      <c r="C160" s="4" t="str">
        <f>IF(EXACT($B160, ""), "", CONCATENATE(SUBSTITUTE(SEED!$F160, "-", ""), " (", SEED!$E160, IF(EXACT(SEED!$C160, ""), "", CONCATENATE(" ►", SEED!$C160)), ")"))</f>
        <v>+62 82310555988 (Mobile Phone ►Person - Tegar Hersaputra)</v>
      </c>
    </row>
    <row r="161" spans="2:3" x14ac:dyDescent="0.2">
      <c r="B161" s="44">
        <f>IF(EXACT(SEED!$F161, ""), "", SEED!$J161)</f>
        <v>286000000000158</v>
      </c>
      <c r="C161" s="4" t="str">
        <f>IF(EXACT($B161, ""), "", CONCATENATE(SUBSTITUTE(SEED!$F161, "-", ""), " (", SEED!$E161, IF(EXACT(SEED!$C161, ""), "", CONCATENATE(" ►", SEED!$C161)), ")"))</f>
        <v>+62 818216674 (Mobile Phone ►Person - Teguh Pratama Januzir Sukin)</v>
      </c>
    </row>
    <row r="162" spans="2:3" x14ac:dyDescent="0.2">
      <c r="B162" s="44">
        <f>IF(EXACT(SEED!$F162, ""), "", SEED!$J162)</f>
        <v>286000000000159</v>
      </c>
      <c r="C162" s="4" t="str">
        <f>IF(EXACT($B162, ""), "", CONCATENATE(SUBSTITUTE(SEED!$F162, "-", ""), " (", SEED!$E162, IF(EXACT(SEED!$C162, ""), "", CONCATENATE(" ►", SEED!$C162)), ")"))</f>
        <v>+62 82114800364 (Mobile Phone ►Person - Teguh Pratama Januzir Sukin)</v>
      </c>
    </row>
    <row r="163" spans="2:3" x14ac:dyDescent="0.2">
      <c r="B163" s="44">
        <f>IF(EXACT(SEED!$F163, ""), "", SEED!$J163)</f>
        <v>286000000000160</v>
      </c>
      <c r="C163" s="4" t="str">
        <f>IF(EXACT($B163, ""), "", CONCATENATE(SUBSTITUTE(SEED!$F163, "-", ""), " (", SEED!$E163, IF(EXACT(SEED!$C163, ""), "", CONCATENATE(" ►", SEED!$C163)), ")"))</f>
        <v>+62 21 7821769 (Home Phone ►Person - Teguh Pratama Januzir Sukin)</v>
      </c>
    </row>
    <row r="164" spans="2:3" x14ac:dyDescent="0.2">
      <c r="B164" s="44">
        <f>IF(EXACT(SEED!$F164, ""), "", SEED!$J164)</f>
        <v>286000000000161</v>
      </c>
      <c r="C164" s="4" t="str">
        <f>IF(EXACT($B164, ""), "", CONCATENATE(SUBSTITUTE(SEED!$F164, "-", ""), " (", SEED!$E164, IF(EXACT(SEED!$C164, ""), "", CONCATENATE(" ►", SEED!$C164)), ")"))</f>
        <v>+62 82243439555 (Mobile Phone ►Person - Turita Pramuning Marantina)</v>
      </c>
    </row>
    <row r="165" spans="2:3" x14ac:dyDescent="0.2">
      <c r="B165" s="44">
        <f>IF(EXACT(SEED!$F165, ""), "", SEED!$J165)</f>
        <v>286000000000162</v>
      </c>
      <c r="C165" s="4" t="str">
        <f>IF(EXACT($B165, ""), "", CONCATENATE(SUBSTITUTE(SEED!$F165, "-", ""), " (", SEED!$E165, IF(EXACT(SEED!$C165, ""), "", CONCATENATE(" ►", SEED!$C165)), ")"))</f>
        <v>+62 85693694287 (Mobile Phone ►Person - Wardah Laily Khoiriyah)</v>
      </c>
    </row>
    <row r="166" spans="2:3" x14ac:dyDescent="0.2">
      <c r="B166" s="44">
        <f>IF(EXACT(SEED!$F166, ""), "", SEED!$J166)</f>
        <v>286000000000163</v>
      </c>
      <c r="C166" s="4" t="str">
        <f>IF(EXACT($B166, ""), "", CONCATENATE(SUBSTITUTE(SEED!$F166, "-", ""), " (", SEED!$E166, IF(EXACT(SEED!$C166, ""), "", CONCATENATE(" ►", SEED!$C166)), ")"))</f>
        <v>+62 89666151134 (Mobile Phone ►Person - Wisnu Trenggono Wirayuda)</v>
      </c>
    </row>
    <row r="167" spans="2:3" x14ac:dyDescent="0.2">
      <c r="B167" s="44">
        <f>IF(EXACT(SEED!$F167, ""), "", SEED!$J167)</f>
        <v>286000000000164</v>
      </c>
      <c r="C167" s="4" t="str">
        <f>IF(EXACT($B167, ""), "", CONCATENATE(SUBSTITUTE(SEED!$F167, "-", ""), " (", SEED!$E167, IF(EXACT(SEED!$C167, ""), "", CONCATENATE(" ►", SEED!$C167)), ")"))</f>
        <v>+62 81289349170 (Mobile Phone ►Person - Yogi Perbangkara)</v>
      </c>
    </row>
    <row r="168" spans="2:3" x14ac:dyDescent="0.2">
      <c r="B168" s="44">
        <f>IF(EXACT(SEED!$F168, ""), "", SEED!$J168)</f>
        <v>286000000000165</v>
      </c>
      <c r="C168" s="4" t="str">
        <f>IF(EXACT($B168, ""), "", CONCATENATE(SUBSTITUTE(SEED!$F168, "-", ""), " (", SEED!$E168, IF(EXACT(SEED!$C168, ""), "", CONCATENATE(" ►", SEED!$C168)), ")"))</f>
        <v>+62 85920707074 (Mobile Phone ►Person - Yuliandaru Suryoatmodjo)</v>
      </c>
    </row>
    <row r="169" spans="2:3" x14ac:dyDescent="0.2">
      <c r="B169" s="44">
        <f>IF(EXACT(SEED!$F169, ""), "", SEED!$J169)</f>
        <v>286000000000166</v>
      </c>
      <c r="C169" s="4" t="str">
        <f>IF(EXACT($B169, ""), "", CONCATENATE(SUBSTITUTE(SEED!$F169, "-", ""), " (", SEED!$E169, IF(EXACT(SEED!$C169, ""), "", CONCATENATE(" ►", SEED!$C169)), ")"))</f>
        <v>+62 89630117006 (Mobile Phone ►Person - Zainudin Anwar)</v>
      </c>
    </row>
    <row r="170" spans="2:3" x14ac:dyDescent="0.2">
      <c r="B170" s="44">
        <f>IF(EXACT(SEED!$F170, ""), "", SEED!$J170)</f>
        <v>286000000000167</v>
      </c>
      <c r="C170" s="4" t="str">
        <f>IF(EXACT($B170, ""), "", CONCATENATE(SUBSTITUTE(SEED!$F170, "-", ""), " (", SEED!$E170, IF(EXACT(SEED!$C170, ""), "", CONCATENATE(" ►", SEED!$C170)), ")"))</f>
        <v>+62 85296248470 (Mobile Phone ►Person - Zulfikar K. Siregar)</v>
      </c>
    </row>
    <row r="171" spans="2:3" x14ac:dyDescent="0.2">
      <c r="B171" s="44">
        <f>IF(EXACT(SEED!$F171, ""), "", SEED!$J171)</f>
        <v>286000000000168</v>
      </c>
      <c r="C171" s="4" t="str">
        <f>IF(EXACT($B171, ""), "", CONCATENATE(SUBSTITUTE(SEED!$F171, "-", ""), " (", SEED!$E171, IF(EXACT(SEED!$C171, ""), "", CONCATENATE(" ►", SEED!$C171)), ")"))</f>
        <v>+62 8121080840 (Mobile Phone ►Person - Redi Subekti)</v>
      </c>
    </row>
    <row r="172" spans="2:3" x14ac:dyDescent="0.2">
      <c r="B172" s="44">
        <f>IF(EXACT(SEED!$F172, ""), "", SEED!$J172)</f>
        <v>286000000000169</v>
      </c>
      <c r="C172" s="4" t="str">
        <f>IF(EXACT($B172, ""), "", CONCATENATE(SUBSTITUTE(SEED!$F172, "-", ""), " (", SEED!$E172, IF(EXACT(SEED!$C172, ""), "", CONCATENATE(" ►", SEED!$C172)), ")"))</f>
        <v>+62 816880840 (Mobile Phone ►Person - Redi Subekti)</v>
      </c>
    </row>
    <row r="173" spans="2:3" x14ac:dyDescent="0.2">
      <c r="B173" s="44">
        <f>IF(EXACT(SEED!$F173, ""), "", SEED!$J173)</f>
        <v>286000000000170</v>
      </c>
      <c r="C173" s="4" t="str">
        <f>IF(EXACT($B173, ""), "", CONCATENATE(SUBSTITUTE(SEED!$F173, "-", ""), " (", SEED!$E173, IF(EXACT(SEED!$C173, ""), "", CONCATENATE(" ►", SEED!$C173)), ")"))</f>
        <v>+62 8111975696 (Mobile Phone ►Person - Grace Kurniawan)</v>
      </c>
    </row>
    <row r="174" spans="2:3" x14ac:dyDescent="0.2">
      <c r="B174" s="44">
        <f>IF(EXACT(SEED!$F174, ""), "", SEED!$J174)</f>
        <v>286000000000171</v>
      </c>
      <c r="C174" s="4" t="str">
        <f>IF(EXACT($B174, ""), "", CONCATENATE(SUBSTITUTE(SEED!$F174, "-", ""), " (", SEED!$E174, IF(EXACT(SEED!$C174, ""), "", CONCATENATE(" ►", SEED!$C174)), ")"))</f>
        <v>+62 81284254284 (Mobile Phone ►Person - Adhe Kurniawan)</v>
      </c>
    </row>
    <row r="175" spans="2:3" x14ac:dyDescent="0.2">
      <c r="B175" s="44">
        <f>IF(EXACT(SEED!$F175, ""), "", SEED!$J175)</f>
        <v>286000000000172</v>
      </c>
      <c r="C175" s="4" t="str">
        <f>IF(EXACT($B175, ""), "", CONCATENATE(SUBSTITUTE(SEED!$F175, "-", ""), " (", SEED!$E175, IF(EXACT(SEED!$C175, ""), "", CONCATENATE(" ►", SEED!$C175)), ")"))</f>
        <v>+62 8126338284 (Mobile Phone ►Person - Adhe Kurniawan)</v>
      </c>
    </row>
    <row r="176" spans="2:3" x14ac:dyDescent="0.2">
      <c r="B176" s="44">
        <f>IF(EXACT(SEED!$F176, ""), "", SEED!$J176)</f>
        <v>286000000000173</v>
      </c>
      <c r="C176" s="4" t="str">
        <f>IF(EXACT($B176, ""), "", CONCATENATE(SUBSTITUTE(SEED!$F176, "-", ""), " (", SEED!$E176, IF(EXACT(SEED!$C176, ""), "", CONCATENATE(" ►", SEED!$C176)), ")"))</f>
        <v>+62 81314589939 (Mobile Phone ►Person - Ahmad Faiz Haems Muda)</v>
      </c>
    </row>
    <row r="177" spans="2:3" x14ac:dyDescent="0.2">
      <c r="B177" s="44">
        <f>IF(EXACT(SEED!$F177, ""), "", SEED!$J177)</f>
        <v>286000000000174</v>
      </c>
      <c r="C177" s="4" t="str">
        <f>IF(EXACT($B177, ""), "", CONCATENATE(SUBSTITUTE(SEED!$F177, "-", ""), " (", SEED!$E177, IF(EXACT(SEED!$C177, ""), "", CONCATENATE(" ►", SEED!$C177)), ")"))</f>
        <v>+62 8111137275 (Mobile Phone ►Person - Riza Emir Subekti)</v>
      </c>
    </row>
    <row r="178" spans="2:3" x14ac:dyDescent="0.2">
      <c r="B178" s="44">
        <f>IF(EXACT(SEED!$F178, ""), "", SEED!$J178)</f>
        <v>286000000000175</v>
      </c>
      <c r="C178" s="4" t="str">
        <f>IF(EXACT($B178, ""), "", CONCATENATE(SUBSTITUTE(SEED!$F178, "-", ""), " (", SEED!$E178, IF(EXACT(SEED!$C178, ""), "", CONCATENATE(" ►", SEED!$C178)), ")"))</f>
        <v>+62 81283264959 (Mobile Phone ►Person - Ares S. Mauboi)</v>
      </c>
    </row>
    <row r="179" spans="2:3" x14ac:dyDescent="0.2">
      <c r="B179" s="44">
        <f>IF(EXACT(SEED!$F179, ""), "", SEED!$J179)</f>
        <v>286000000000176</v>
      </c>
      <c r="C179" s="4" t="str">
        <f>IF(EXACT($B179, ""), "", CONCATENATE(SUBSTITUTE(SEED!$F179, "-", ""), " (", SEED!$E179, IF(EXACT(SEED!$C179, ""), "", CONCATENATE(" ►", SEED!$C179)), ")"))</f>
        <v>+62 85770067607 (Mobile Phone ►Person - Arief Yulianto)</v>
      </c>
    </row>
    <row r="180" spans="2:3" x14ac:dyDescent="0.2">
      <c r="B180" s="44">
        <f>IF(EXACT(SEED!$F180, ""), "", SEED!$J180)</f>
        <v>286000000000177</v>
      </c>
      <c r="C180" s="4" t="str">
        <f>IF(EXACT($B180, ""), "", CONCATENATE(SUBSTITUTE(SEED!$F180, "-", ""), " (", SEED!$E180, IF(EXACT(SEED!$C180, ""), "", CONCATENATE(" ►", SEED!$C180)), ")"))</f>
        <v>+62 87784355937 (Mobile Phone ►Person - Burhan)</v>
      </c>
    </row>
    <row r="181" spans="2:3" x14ac:dyDescent="0.2">
      <c r="B181" s="44">
        <f>IF(EXACT(SEED!$F181, ""), "", SEED!$J181)</f>
        <v>286000000000178</v>
      </c>
      <c r="C181" s="4" t="str">
        <f>IF(EXACT($B181, ""), "", CONCATENATE(SUBSTITUTE(SEED!$F181, "-", ""), " (", SEED!$E181, IF(EXACT(SEED!$C181, ""), "", CONCATENATE(" ►", SEED!$C181)), ")"))</f>
        <v>+62 81218555661 (Mobile Phone ►Person - Cahyana)</v>
      </c>
    </row>
    <row r="182" spans="2:3" x14ac:dyDescent="0.2">
      <c r="B182" s="44">
        <f>IF(EXACT(SEED!$F182, ""), "", SEED!$J182)</f>
        <v>286000000000179</v>
      </c>
      <c r="C182" s="4" t="str">
        <f>IF(EXACT($B182, ""), "", CONCATENATE(SUBSTITUTE(SEED!$F182, "-", ""), " (", SEED!$E182, IF(EXACT(SEED!$C182, ""), "", CONCATENATE(" ►", SEED!$C182)), ")"))</f>
        <v>+62 82273985841 (Mobile Phone ►Person - Davit Lumban Gaol)</v>
      </c>
    </row>
    <row r="183" spans="2:3" x14ac:dyDescent="0.2">
      <c r="B183" s="44">
        <f>IF(EXACT(SEED!$F183, ""), "", SEED!$J183)</f>
        <v>286000000000180</v>
      </c>
      <c r="C183" s="4" t="str">
        <f>IF(EXACT($B183, ""), "", CONCATENATE(SUBSTITUTE(SEED!$F183, "-", ""), " (", SEED!$E183, IF(EXACT(SEED!$C183, ""), "", CONCATENATE(" ►", SEED!$C183)), ")"))</f>
        <v>+62 81294657916 (Mobile Phone ►Person - Dian Tri Rahmawati)</v>
      </c>
    </row>
    <row r="184" spans="2:3" x14ac:dyDescent="0.2">
      <c r="B184" s="44">
        <f>IF(EXACT(SEED!$F184, ""), "", SEED!$J184)</f>
        <v>286000000000181</v>
      </c>
      <c r="C184" s="4" t="str">
        <f>IF(EXACT($B184, ""), "", CONCATENATE(SUBSTITUTE(SEED!$F184, "-", ""), " (", SEED!$E184, IF(EXACT(SEED!$C184, ""), "", CONCATENATE(" ►", SEED!$C184)), ")"))</f>
        <v>+62 85359983177 (Mobile Phone ►Person - Edy Syahputra Situmeang)</v>
      </c>
    </row>
    <row r="185" spans="2:3" x14ac:dyDescent="0.2">
      <c r="B185" s="44">
        <f>IF(EXACT(SEED!$F185, ""), "", SEED!$J185)</f>
        <v>286000000000182</v>
      </c>
      <c r="C185" s="4" t="str">
        <f>IF(EXACT($B185, ""), "", CONCATENATE(SUBSTITUTE(SEED!$F185, "-", ""), " (", SEED!$E185, IF(EXACT(SEED!$C185, ""), "", CONCATENATE(" ►", SEED!$C185)), ")"))</f>
        <v>+62 82213859070 (Mobile Phone ►Person - Fabrian Danang Destiyara)</v>
      </c>
    </row>
    <row r="186" spans="2:3" x14ac:dyDescent="0.2">
      <c r="B186" s="44">
        <f>IF(EXACT(SEED!$F186, ""), "", SEED!$J186)</f>
        <v>286000000000183</v>
      </c>
      <c r="C186" s="4" t="str">
        <f>IF(EXACT($B186, ""), "", CONCATENATE(SUBSTITUTE(SEED!$F186, "-", ""), " (", SEED!$E186, IF(EXACT(SEED!$C186, ""), "", CONCATENATE(" ►", SEED!$C186)), ")"))</f>
        <v>+62 8568100752 (Mobile Phone ►Person - Iman Faisal Abdurahman)</v>
      </c>
    </row>
    <row r="187" spans="2:3" x14ac:dyDescent="0.2">
      <c r="B187" s="44">
        <f>IF(EXACT(SEED!$F187, ""), "", SEED!$J187)</f>
        <v>286000000000184</v>
      </c>
      <c r="C187" s="4" t="str">
        <f>IF(EXACT($B187, ""), "", CONCATENATE(SUBSTITUTE(SEED!$F187, "-", ""), " (", SEED!$E187, IF(EXACT(SEED!$C187, ""), "", CONCATENATE(" ►", SEED!$C187)), ")"))</f>
        <v>+62 83806004470 (Mobile Phone ►Person - Langgeng Eko Dwiantoro)</v>
      </c>
    </row>
    <row r="188" spans="2:3" x14ac:dyDescent="0.2">
      <c r="B188" s="44">
        <f>IF(EXACT(SEED!$F188, ""), "", SEED!$J188)</f>
        <v>286000000000185</v>
      </c>
      <c r="C188" s="4" t="str">
        <f>IF(EXACT($B188, ""), "", CONCATENATE(SUBSTITUTE(SEED!$F188, "-", ""), " (", SEED!$E188, IF(EXACT(SEED!$C188, ""), "", CONCATENATE(" ►", SEED!$C188)), ")"))</f>
        <v>+62 83143182038 (Mobile Phone ►Person - Langgeng Eko Dwiantoro)</v>
      </c>
    </row>
    <row r="189" spans="2:3" x14ac:dyDescent="0.2">
      <c r="B189" s="44">
        <f>IF(EXACT(SEED!$F189, ""), "", SEED!$J189)</f>
        <v>286000000000186</v>
      </c>
      <c r="C189" s="4" t="str">
        <f>IF(EXACT($B189, ""), "", CONCATENATE(SUBSTITUTE(SEED!$F189, "-", ""), " (", SEED!$E189, IF(EXACT(SEED!$C189, ""), "", CONCATENATE(" ►", SEED!$C189)), ")"))</f>
        <v>+62 81932798900 (Mobile Phone ►Person - Roy Aditya)</v>
      </c>
    </row>
    <row r="190" spans="2:3" x14ac:dyDescent="0.2">
      <c r="B190" s="44">
        <f>IF(EXACT(SEED!$F190, ""), "", SEED!$J190)</f>
        <v>286000000000187</v>
      </c>
      <c r="C190" s="4" t="str">
        <f>IF(EXACT($B190, ""), "", CONCATENATE(SUBSTITUTE(SEED!$F190, "-", ""), " (", SEED!$E190, IF(EXACT(SEED!$C190, ""), "", CONCATENATE(" ►", SEED!$C190)), ")"))</f>
        <v>+62 89630294828 (Mobile Phone ►Person - Rustono)</v>
      </c>
    </row>
    <row r="191" spans="2:3" x14ac:dyDescent="0.2">
      <c r="B191" s="44">
        <f>IF(EXACT(SEED!$F191, ""), "", SEED!$J191)</f>
        <v>286000000000188</v>
      </c>
      <c r="C191" s="4" t="str">
        <f>IF(EXACT($B191, ""), "", CONCATENATE(SUBSTITUTE(SEED!$F191, "-", ""), " (", SEED!$E191, IF(EXACT(SEED!$C191, ""), "", CONCATENATE(" ►", SEED!$C191)), ")"))</f>
        <v>+62 85811128435 (Mobile Phone ►Person - Solihin)</v>
      </c>
    </row>
    <row r="192" spans="2:3" x14ac:dyDescent="0.2">
      <c r="B192" s="44">
        <f>IF(EXACT(SEED!$F192, ""), "", SEED!$J192)</f>
        <v>286000000000189</v>
      </c>
      <c r="C192" s="4" t="str">
        <f>IF(EXACT($B192, ""), "", CONCATENATE(SUBSTITUTE(SEED!$F192, "-", ""), " (", SEED!$E192, IF(EXACT(SEED!$C192, ""), "", CONCATENATE(" ►", SEED!$C192)), ")"))</f>
        <v>+62 89644219358 (Mobile Phone ►Person - Sugiarto)</v>
      </c>
    </row>
    <row r="193" spans="2:3" x14ac:dyDescent="0.2">
      <c r="B193" s="44">
        <f>IF(EXACT(SEED!$F193, ""), "", SEED!$J193)</f>
        <v>286000000000190</v>
      </c>
      <c r="C193" s="4" t="str">
        <f>IF(EXACT($B193, ""), "", CONCATENATE(SUBSTITUTE(SEED!$F193, "-", ""), " (", SEED!$E193, IF(EXACT(SEED!$C193, ""), "", CONCATENATE(" ►", SEED!$C193)), ")"))</f>
        <v>+62 85714072656 (Mobile Phone ►Person - Sulaeman)</v>
      </c>
    </row>
    <row r="194" spans="2:3" x14ac:dyDescent="0.2">
      <c r="B194" s="44">
        <f>IF(EXACT(SEED!$F194, ""), "", SEED!$J194)</f>
        <v>286000000000191</v>
      </c>
      <c r="C194" s="4" t="str">
        <f>IF(EXACT($B194, ""), "", CONCATENATE(SUBSTITUTE(SEED!$F194, "-", ""), " (", SEED!$E194, IF(EXACT(SEED!$C194, ""), "", CONCATENATE(" ►", SEED!$C194)), ")"))</f>
        <v>+62 81296257489 (Mobile Phone ►Person - Supriatna)</v>
      </c>
    </row>
    <row r="195" spans="2:3" x14ac:dyDescent="0.2">
      <c r="B195" s="44">
        <f>IF(EXACT(SEED!$F195, ""), "", SEED!$J195)</f>
        <v>286000000000192</v>
      </c>
      <c r="C195" s="4" t="str">
        <f>IF(EXACT($B195, ""), "", CONCATENATE(SUBSTITUTE(SEED!$F195, "-", ""), " (", SEED!$E195, IF(EXACT(SEED!$C195, ""), "", CONCATENATE(" ►", SEED!$C195)), ")"))</f>
        <v>+62 81282684357 (Mobile Phone ►Person - Timotius Tabun)</v>
      </c>
    </row>
    <row r="196" spans="2:3" x14ac:dyDescent="0.2">
      <c r="B196" s="44">
        <f>IF(EXACT(SEED!$F196, ""), "", SEED!$J196)</f>
        <v>286000000000193</v>
      </c>
      <c r="C196" s="4" t="str">
        <f>IF(EXACT($B196, ""), "", CONCATENATE(SUBSTITUTE(SEED!$F196, "-", ""), " (", SEED!$E196, IF(EXACT(SEED!$C196, ""), "", CONCATENATE(" ►", SEED!$C196)), ")"))</f>
        <v>+62 82148152759 (Mobile Phone ►Person - Urbanus Boimau)</v>
      </c>
    </row>
    <row r="197" spans="2:3" x14ac:dyDescent="0.2">
      <c r="B197" s="44">
        <f>IF(EXACT(SEED!$F197, ""), "", SEED!$J197)</f>
        <v>286000000000194</v>
      </c>
      <c r="C197" s="4" t="str">
        <f>IF(EXACT($B197, ""), "", CONCATENATE(SUBSTITUTE(SEED!$F197, "-", ""), " (", SEED!$E197, IF(EXACT(SEED!$C197, ""), "", CONCATENATE(" ►", SEED!$C197)), ")"))</f>
        <v>+62 81289675850 (Mobile Phone ►Person - Adi)</v>
      </c>
    </row>
    <row r="198" spans="2:3" x14ac:dyDescent="0.2">
      <c r="B198" s="44">
        <f>IF(EXACT(SEED!$F198, ""), "", SEED!$J198)</f>
        <v>286000000000195</v>
      </c>
      <c r="C198" s="4" t="str">
        <f>IF(EXACT($B198, ""), "", CONCATENATE(SUBSTITUTE(SEED!$F198, "-", ""), " (", SEED!$E198, IF(EXACT(SEED!$C198, ""), "", CONCATENATE(" ►", SEED!$C198)), ")"))</f>
        <v>+62 82166770677 (Mobile Phone ►Person - Risty Alawiyah)</v>
      </c>
    </row>
    <row r="199" spans="2:3" x14ac:dyDescent="0.2">
      <c r="B199" s="44">
        <f>IF(EXACT(SEED!$F199, ""), "", SEED!$J199)</f>
        <v>286000000000196</v>
      </c>
      <c r="C199" s="4" t="str">
        <f>IF(EXACT($B199, ""), "", CONCATENATE(SUBSTITUTE(SEED!$F199, "-", ""), " (", SEED!$E199, IF(EXACT(SEED!$C199, ""), "", CONCATENATE(" ►", SEED!$C199)), ")"))</f>
        <v>+62 21 79191234 (Office Phone ►Institution - PT. QDC Technologies)</v>
      </c>
    </row>
    <row r="200" spans="2:3" x14ac:dyDescent="0.2">
      <c r="B200" s="44">
        <f>IF(EXACT(SEED!$F200, ""), "", SEED!$J200)</f>
        <v>286000000000197</v>
      </c>
      <c r="C200" s="4" t="str">
        <f>IF(EXACT($B200, ""), "", CONCATENATE(SUBSTITUTE(SEED!$F200, "-", ""), " (", SEED!$E200, IF(EXACT(SEED!$C200, ""), "", CONCATENATE(" ►", SEED!$C200)), ")"))</f>
        <v>+62 21 79193333 (Faximile ►Institution - PT. QDC Technologies)</v>
      </c>
    </row>
    <row r="201" spans="2:3" x14ac:dyDescent="0.2">
      <c r="B201" s="44" t="str">
        <f>IF(EXACT(SEED!$F201, ""), "", SEED!$J201)</f>
        <v/>
      </c>
      <c r="C201" s="4" t="str">
        <f>IF(EXACT($B201, ""), "", CONCATENATE(SUBSTITUTE(SEED!$F201, "-", ""), " (", SEED!$E201, IF(EXACT(SEED!$C201, ""), "", CONCATENATE(" ►", SEED!$C201)), ")"))</f>
        <v/>
      </c>
    </row>
    <row r="202" spans="2:3" x14ac:dyDescent="0.2">
      <c r="B202" s="44" t="str">
        <f>IF(EXACT(SEED!$F202, ""), "", SEED!$J202)</f>
        <v/>
      </c>
      <c r="C202" s="4" t="str">
        <f>IF(EXACT($B202, ""), "", CONCATENATE(SUBSTITUTE(SEED!$F202, "-", ""), " (", SEED!$E202, IF(EXACT(SEED!$C202, ""), "", CONCATENATE(" ►", SEED!$C202)), ")"))</f>
        <v/>
      </c>
    </row>
    <row r="203" spans="2:3" x14ac:dyDescent="0.2">
      <c r="B203" s="44">
        <f>IF(EXACT(SEED!$F203, ""), "", SEED!$J203)</f>
        <v>286000000000198</v>
      </c>
      <c r="C203" s="4" t="str">
        <f>IF(EXACT($B203, ""), "", CONCATENATE(SUBSTITUTE(SEED!$F203, "-", ""), " (", SEED!$E203, IF(EXACT(SEED!$C203, ""), "", CONCATENATE(" ►", SEED!$C203)), ")"))</f>
        <v>+62 21 5212552 (Office Phone ►Institution - PT. Energi Mekar Lestari)</v>
      </c>
    </row>
    <row r="204" spans="2:3" x14ac:dyDescent="0.2">
      <c r="B204" s="44">
        <f>IF(EXACT(SEED!$F204, ""), "", SEED!$J204)</f>
        <v>286000000000199</v>
      </c>
      <c r="C204" s="4" t="str">
        <f>IF(EXACT($B204, ""), "", CONCATENATE(SUBSTITUTE(SEED!$F204, "-", ""), " (", SEED!$E204, IF(EXACT(SEED!$C204, ""), "", CONCATENATE(" ►", SEED!$C204)), ")"))</f>
        <v>+62 21 5212900 (Faximile ►Institution - PT. Energi Mekar Lestari)</v>
      </c>
    </row>
    <row r="205" spans="2:3" x14ac:dyDescent="0.2">
      <c r="B205" s="44" t="str">
        <f>IF(EXACT(SEED!$F205, ""), "", SEED!$J205)</f>
        <v/>
      </c>
      <c r="C205" s="4" t="str">
        <f>IF(EXACT($B205, ""), "", CONCATENATE(SUBSTITUTE(SEED!$F205, "-", ""), " (", SEED!$E205, IF(EXACT(SEED!$C205, ""), "", CONCATENATE(" ►", SEED!$C205)), ")"))</f>
        <v/>
      </c>
    </row>
    <row r="206" spans="2:3" x14ac:dyDescent="0.2">
      <c r="B206" s="44">
        <f>IF(EXACT(SEED!$F206, ""), "", SEED!$J206)</f>
        <v>286000000000200</v>
      </c>
      <c r="C206" s="4" t="str">
        <f>IF(EXACT($B206, ""), "", CONCATENATE(SUBSTITUTE(SEED!$F206, "-", ""), " (", SEED!$E206, IF(EXACT(SEED!$C206, ""), "", CONCATENATE(" ►", SEED!$C206)), ")"))</f>
        <v>+62 21 57930304 (Office Phone ►Institution - PT. Abhitama Citra Abadi)</v>
      </c>
    </row>
    <row r="207" spans="2:3" x14ac:dyDescent="0.2">
      <c r="B207" s="44">
        <f>IF(EXACT(SEED!$F207, ""), "", SEED!$J207)</f>
        <v>286000000000201</v>
      </c>
      <c r="C207" s="4" t="str">
        <f>IF(EXACT($B207, ""), "", CONCATENATE(SUBSTITUTE(SEED!$F207, "-", ""), " (", SEED!$E207, IF(EXACT(SEED!$C207, ""), "", CONCATENATE(" ►", SEED!$C207)), ")"))</f>
        <v>+62 21 57930311 (Faximile ►Institution - PT. Abhitama Citra Abadi)</v>
      </c>
    </row>
    <row r="208" spans="2:3" x14ac:dyDescent="0.2">
      <c r="B208" s="44" t="str">
        <f>IF(EXACT(SEED!$F208, ""), "", SEED!$J208)</f>
        <v/>
      </c>
      <c r="C208" s="4" t="str">
        <f>IF(EXACT($B208, ""), "", CONCATENATE(SUBSTITUTE(SEED!$F208, "-", ""), " (", SEED!$E208, IF(EXACT(SEED!$C208, ""), "", CONCATENATE(" ►", SEED!$C208)), ")"))</f>
        <v/>
      </c>
    </row>
    <row r="209" spans="2:3" x14ac:dyDescent="0.2">
      <c r="B209" s="44">
        <f>IF(EXACT(SEED!$F209, ""), "", SEED!$J209)</f>
        <v>286000000000202</v>
      </c>
      <c r="C209" s="4" t="str">
        <f>IF(EXACT($B209, ""), "", CONCATENATE(SUBSTITUTE(SEED!$F209, "-", ""), " (", SEED!$E209, IF(EXACT(SEED!$C209, ""), "", CONCATENATE(" ►", SEED!$C209)), ")"))</f>
        <v>+62 21 2302345 (Office Phone ►Institution - PT. Aplika Nusa Lintas Arta)</v>
      </c>
    </row>
    <row r="210" spans="2:3" x14ac:dyDescent="0.2">
      <c r="B210" s="44">
        <f>IF(EXACT(SEED!$F210, ""), "", SEED!$J210)</f>
        <v>286000000000203</v>
      </c>
      <c r="C210" s="4" t="str">
        <f>IF(EXACT($B210, ""), "", CONCATENATE(SUBSTITUTE(SEED!$F210, "-", ""), " (", SEED!$E210, IF(EXACT(SEED!$C210, ""), "", CONCATENATE(" ►", SEED!$C210)), ")"))</f>
        <v>+62 21 2303171 (Faximile ►Institution - PT. Aplika Nusa Lintas Arta)</v>
      </c>
    </row>
    <row r="211" spans="2:3" x14ac:dyDescent="0.2">
      <c r="B211" s="44">
        <f>IF(EXACT(SEED!$F211, ""), "", SEED!$J211)</f>
        <v>286000000000204</v>
      </c>
      <c r="C211" s="4" t="str">
        <f>IF(EXACT($B211, ""), "", CONCATENATE(SUBSTITUTE(SEED!$F211, "-", ""), " (", SEED!$E211, IF(EXACT(SEED!$C211, ""), "", CONCATENATE(" ►", SEED!$C211)), ")"))</f>
        <v>+62 21 910111 (Office Phone ►Institution - PT. Bakrie Telecom, Tbk)</v>
      </c>
    </row>
    <row r="212" spans="2:3" x14ac:dyDescent="0.2">
      <c r="B212" s="44">
        <f>IF(EXACT(SEED!$F212, ""), "", SEED!$J212)</f>
        <v>286000000000205</v>
      </c>
      <c r="C212" s="4" t="str">
        <f>IF(EXACT($B212, ""), "", CONCATENATE(SUBSTITUTE(SEED!$F212, "-", ""), " (", SEED!$E212, IF(EXACT(SEED!$C212, ""), "", CONCATENATE(" ►", SEED!$C212)), ")"))</f>
        <v>+62 21 914980 (Faximile ►Institution - PT. Bakrie Telecom, Tbk)</v>
      </c>
    </row>
    <row r="213" spans="2:3" x14ac:dyDescent="0.2">
      <c r="B213" s="44">
        <f>IF(EXACT(SEED!$F213, ""), "", SEED!$J213)</f>
        <v>286000000000206</v>
      </c>
      <c r="C213" s="4" t="str">
        <f>IF(EXACT($B213, ""), "", CONCATENATE(SUBSTITUTE(SEED!$F213, "-", ""), " (", SEED!$E213, IF(EXACT(SEED!$C213, ""), "", CONCATENATE(" ►", SEED!$C213)), ")"))</f>
        <v>+62 21 8232323 (Office Phone ►Institution - PT. Bukaka Teknik Utama, Tbk)</v>
      </c>
    </row>
    <row r="214" spans="2:3" x14ac:dyDescent="0.2">
      <c r="B214" s="44">
        <f>IF(EXACT(SEED!$F214, ""), "", SEED!$J214)</f>
        <v>286000000000207</v>
      </c>
      <c r="C214" s="4" t="str">
        <f>IF(EXACT($B214, ""), "", CONCATENATE(SUBSTITUTE(SEED!$F214, "-", ""), " (", SEED!$E214, IF(EXACT(SEED!$C214, ""), "", CONCATENATE(" ►", SEED!$C214)), ")"))</f>
        <v>+62 21 8231767 (Faximile ►Institution - PT. Bukaka Teknik Utama, Tbk)</v>
      </c>
    </row>
    <row r="215" spans="2:3" x14ac:dyDescent="0.2">
      <c r="B215" s="44">
        <f>IF(EXACT(SEED!$F215, ""), "", SEED!$J215)</f>
        <v>286000000000208</v>
      </c>
      <c r="C215" s="4" t="str">
        <f>IF(EXACT($B215, ""), "", CONCATENATE(SUBSTITUTE(SEED!$F215, "-", ""), " (", SEED!$E215, IF(EXACT(SEED!$C215, ""), "", CONCATENATE(" ►", SEED!$C215)), ")"))</f>
        <v>+62 21 7653723 (Office Phone ►Institution - PT. Citra Panji Manunggal)</v>
      </c>
    </row>
    <row r="216" spans="2:3" x14ac:dyDescent="0.2">
      <c r="B216" s="44">
        <f>IF(EXACT(SEED!$F216, ""), "", SEED!$J216)</f>
        <v>286000000000209</v>
      </c>
      <c r="C216" s="4" t="str">
        <f>IF(EXACT($B216, ""), "", CONCATENATE(SUBSTITUTE(SEED!$F216, "-", ""), " (", SEED!$E216, IF(EXACT(SEED!$C216, ""), "", CONCATENATE(" ►", SEED!$C216)), ")"))</f>
        <v>+62 21 76588060 (Faximile ►Institution - PT. Citra Panji Manunggal)</v>
      </c>
    </row>
    <row r="217" spans="2:3" x14ac:dyDescent="0.2">
      <c r="B217" s="44" t="str">
        <f>IF(EXACT(SEED!$F217, ""), "", SEED!$J217)</f>
        <v/>
      </c>
      <c r="C217" s="4" t="str">
        <f>IF(EXACT($B217, ""), "", CONCATENATE(SUBSTITUTE(SEED!$F217, "-", ""), " (", SEED!$E217, IF(EXACT(SEED!$C217, ""), "", CONCATENATE(" ►", SEED!$C217)), ")"))</f>
        <v/>
      </c>
    </row>
    <row r="218" spans="2:3" x14ac:dyDescent="0.2">
      <c r="B218" s="44">
        <f>IF(EXACT(SEED!$F218, ""), "", SEED!$J218)</f>
        <v>286000000000210</v>
      </c>
      <c r="C218" s="4" t="str">
        <f>IF(EXACT($B218, ""), "", CONCATENATE(SUBSTITUTE(SEED!$F218, "-", ""), " (", SEED!$E218, IF(EXACT(SEED!$C218, ""), "", CONCATENATE(" ►", SEED!$C218)), ")"))</f>
        <v>+62 21 345005 (Office Phone ►Institution - Departemen Dalam Negeri)</v>
      </c>
    </row>
    <row r="219" spans="2:3" x14ac:dyDescent="0.2">
      <c r="B219" s="44">
        <f>IF(EXACT(SEED!$F219, ""), "", SEED!$J219)</f>
        <v>286000000000211</v>
      </c>
      <c r="C219" s="4" t="str">
        <f>IF(EXACT($B219, ""), "", CONCATENATE(SUBSTITUTE(SEED!$F219, "-", ""), " (", SEED!$E219, IF(EXACT(SEED!$C219, ""), "", CONCATENATE(" ►", SEED!$C219)), ")"))</f>
        <v>+62 21 383119 (Faximile ►Institution - Departemen Dalam Negeri)</v>
      </c>
    </row>
    <row r="220" spans="2:3" x14ac:dyDescent="0.2">
      <c r="B220" s="44">
        <f>IF(EXACT(SEED!$F220, ""), "", SEED!$J220)</f>
        <v>286000000000212</v>
      </c>
      <c r="C220" s="4" t="str">
        <f>IF(EXACT($B220, ""), "", CONCATENATE(SUBSTITUTE(SEED!$F220, "-", ""), " (", SEED!$E220, IF(EXACT(SEED!$C220, ""), "", CONCATENATE(" ►", SEED!$C220)), ")"))</f>
        <v>+62 21 4601088 (Office Phone ►Institution - PT. Duta Hita Jaya)</v>
      </c>
    </row>
    <row r="221" spans="2:3" x14ac:dyDescent="0.2">
      <c r="B221" s="44">
        <f>IF(EXACT(SEED!$F221, ""), "", SEED!$J221)</f>
        <v>286000000000213</v>
      </c>
      <c r="C221" s="4" t="str">
        <f>IF(EXACT($B221, ""), "", CONCATENATE(SUBSTITUTE(SEED!$F221, "-", ""), " (", SEED!$E221, IF(EXACT(SEED!$C221, ""), "", CONCATENATE(" ►", SEED!$C221)), ")"))</f>
        <v>+62 21 46823636 (Faximile ►Institution - PT. Duta Hita Jaya)</v>
      </c>
    </row>
    <row r="222" spans="2:3" x14ac:dyDescent="0.2">
      <c r="B222" s="44">
        <f>IF(EXACT(SEED!$F222, ""), "", SEED!$J222)</f>
        <v>286000000000214</v>
      </c>
      <c r="C222" s="4" t="str">
        <f>IF(EXACT($B222, ""), "", CONCATENATE(SUBSTITUTE(SEED!$F222, "-", ""), " (", SEED!$E222, IF(EXACT(SEED!$C222, ""), "", CONCATENATE(" ►", SEED!$C222)), ")"))</f>
        <v>+62 21 46823646 (Faximile ►Institution - PT. Duta Hita Jaya)</v>
      </c>
    </row>
    <row r="223" spans="2:3" x14ac:dyDescent="0.2">
      <c r="B223" s="44">
        <f>IF(EXACT(SEED!$F223, ""), "", SEED!$J223)</f>
        <v>286000000000215</v>
      </c>
      <c r="C223" s="4" t="str">
        <f>IF(EXACT($B223, ""), "", CONCATENATE(SUBSTITUTE(SEED!$F223, "-", ""), " (", SEED!$E223, IF(EXACT(SEED!$C223, ""), "", CONCATENATE(" ►", SEED!$C223)), ")"))</f>
        <v>+62 31 8437777 (Office Phone ►Institution - PT. Duta Pertiwi, Tbk)</v>
      </c>
    </row>
    <row r="224" spans="2:3" x14ac:dyDescent="0.2">
      <c r="B224" s="44">
        <f>IF(EXACT(SEED!$F224, ""), "", SEED!$J224)</f>
        <v>286000000000216</v>
      </c>
      <c r="C224" s="4" t="str">
        <f>IF(EXACT($B224, ""), "", CONCATENATE(SUBSTITUTE(SEED!$F224, "-", ""), " (", SEED!$E224, IF(EXACT(SEED!$C224, ""), "", CONCATENATE(" ►", SEED!$C224)), ")"))</f>
        <v>+62 31 8411377 (Faximile ►Institution - PT. Duta Pertiwi, Tbk)</v>
      </c>
    </row>
    <row r="225" spans="2:3" x14ac:dyDescent="0.2">
      <c r="B225" s="44">
        <f>IF(EXACT(SEED!$F225, ""), "", SEED!$J225)</f>
        <v>286000000000217</v>
      </c>
      <c r="C225" s="4" t="str">
        <f>IF(EXACT($B225, ""), "", CONCATENATE(SUBSTITUTE(SEED!$F225, "-", ""), " (", SEED!$E225, IF(EXACT(SEED!$C225, ""), "", CONCATENATE(" ►", SEED!$C225)), ")"))</f>
        <v>+62 81290034845 (Mobile Phone ►Institution - PT. Duta Realtindo Perkasa)</v>
      </c>
    </row>
    <row r="226" spans="2:3" x14ac:dyDescent="0.2">
      <c r="B226" s="44" t="str">
        <f>IF(EXACT(SEED!$F226, ""), "", SEED!$J226)</f>
        <v/>
      </c>
      <c r="C226" s="4" t="str">
        <f>IF(EXACT($B226, ""), "", CONCATENATE(SUBSTITUTE(SEED!$F226, "-", ""), " (", SEED!$E226, IF(EXACT(SEED!$C226, ""), "", CONCATENATE(" ►", SEED!$C226)), ")"))</f>
        <v/>
      </c>
    </row>
    <row r="227" spans="2:3" x14ac:dyDescent="0.2">
      <c r="B227" s="44" t="str">
        <f>IF(EXACT(SEED!$F227, ""), "", SEED!$J227)</f>
        <v/>
      </c>
      <c r="C227" s="4" t="str">
        <f>IF(EXACT($B227, ""), "", CONCATENATE(SUBSTITUTE(SEED!$F227, "-", ""), " (", SEED!$E227, IF(EXACT(SEED!$C227, ""), "", CONCATENATE(" ►", SEED!$C227)), ")"))</f>
        <v/>
      </c>
    </row>
    <row r="228" spans="2:3" x14ac:dyDescent="0.2">
      <c r="B228" s="44">
        <f>IF(EXACT(SEED!$F228, ""), "", SEED!$J228)</f>
        <v>286000000000218</v>
      </c>
      <c r="C228" s="4" t="str">
        <f>IF(EXACT($B228, ""), "", CONCATENATE(SUBSTITUTE(SEED!$F228, "-", ""), " (", SEED!$E228, IF(EXACT(SEED!$C228, ""), "", CONCATENATE(" ►", SEED!$C228)), ")"))</f>
        <v>+62 21 456789 (Office Phone ►Institution - PT. Esa Mitra Teknologi)</v>
      </c>
    </row>
    <row r="229" spans="2:3" x14ac:dyDescent="0.2">
      <c r="B229" s="44">
        <f>IF(EXACT(SEED!$F229, ""), "", SEED!$J229)</f>
        <v>286000000000219</v>
      </c>
      <c r="C229" s="4" t="str">
        <f>IF(EXACT($B229, ""), "", CONCATENATE(SUBSTITUTE(SEED!$F229, "-", ""), " (", SEED!$E229, IF(EXACT(SEED!$C229, ""), "", CONCATENATE(" ►", SEED!$C229)), ")"))</f>
        <v>+62 21 456790 (Faximile ►Institution - PT. Esa Mitra Teknologi)</v>
      </c>
    </row>
    <row r="230" spans="2:3" x14ac:dyDescent="0.2">
      <c r="B230" s="44" t="str">
        <f>IF(EXACT(SEED!$F230, ""), "", SEED!$J230)</f>
        <v/>
      </c>
      <c r="C230" s="4" t="str">
        <f>IF(EXACT($B230, ""), "", CONCATENATE(SUBSTITUTE(SEED!$F230, "-", ""), " (", SEED!$E230, IF(EXACT(SEED!$C230, ""), "", CONCATENATE(" ►", SEED!$C230)), ")"))</f>
        <v/>
      </c>
    </row>
    <row r="231" spans="2:3" x14ac:dyDescent="0.2">
      <c r="B231" s="44" t="str">
        <f>IF(EXACT(SEED!$F231, ""), "", SEED!$J231)</f>
        <v/>
      </c>
      <c r="C231" s="4" t="str">
        <f>IF(EXACT($B231, ""), "", CONCATENATE(SUBSTITUTE(SEED!$F231, "-", ""), " (", SEED!$E231, IF(EXACT(SEED!$C231, ""), "", CONCATENATE(" ►", SEED!$C231)), ")"))</f>
        <v/>
      </c>
    </row>
    <row r="232" spans="2:3" x14ac:dyDescent="0.2">
      <c r="B232" s="44" t="str">
        <f>IF(EXACT(SEED!$F232, ""), "", SEED!$J232)</f>
        <v/>
      </c>
      <c r="C232" s="4" t="str">
        <f>IF(EXACT($B232, ""), "", CONCATENATE(SUBSTITUTE(SEED!$F232, "-", ""), " (", SEED!$E232, IF(EXACT(SEED!$C232, ""), "", CONCATENATE(" ►", SEED!$C232)), ")"))</f>
        <v/>
      </c>
    </row>
    <row r="233" spans="2:3" x14ac:dyDescent="0.2">
      <c r="B233" s="44" t="str">
        <f>IF(EXACT(SEED!$F233, ""), "", SEED!$J233)</f>
        <v/>
      </c>
      <c r="C233" s="4" t="str">
        <f>IF(EXACT($B233, ""), "", CONCATENATE(SUBSTITUTE(SEED!$F233, "-", ""), " (", SEED!$E233, IF(EXACT(SEED!$C233, ""), "", CONCATENATE(" ►", SEED!$C233)), ")"))</f>
        <v/>
      </c>
    </row>
    <row r="234" spans="2:3" x14ac:dyDescent="0.2">
      <c r="B234" s="44" t="str">
        <f>IF(EXACT(SEED!$F234, ""), "", SEED!$J234)</f>
        <v/>
      </c>
      <c r="C234" s="4" t="str">
        <f>IF(EXACT($B234, ""), "", CONCATENATE(SUBSTITUTE(SEED!$F234, "-", ""), " (", SEED!$E234, IF(EXACT(SEED!$C234, ""), "", CONCATENATE(" ►", SEED!$C234)), ")"))</f>
        <v/>
      </c>
    </row>
    <row r="235" spans="2:3" x14ac:dyDescent="0.2">
      <c r="B235" s="44" t="str">
        <f>IF(EXACT(SEED!$F235, ""), "", SEED!$J235)</f>
        <v/>
      </c>
      <c r="C235" s="4" t="str">
        <f>IF(EXACT($B235, ""), "", CONCATENATE(SUBSTITUTE(SEED!$F235, "-", ""), " (", SEED!$E235, IF(EXACT(SEED!$C235, ""), "", CONCATENATE(" ►", SEED!$C235)), ")"))</f>
        <v/>
      </c>
    </row>
    <row r="236" spans="2:3" x14ac:dyDescent="0.2">
      <c r="B236" s="44" t="str">
        <f>IF(EXACT(SEED!$F236, ""), "", SEED!$J236)</f>
        <v/>
      </c>
      <c r="C236" s="4" t="str">
        <f>IF(EXACT($B236, ""), "", CONCATENATE(SUBSTITUTE(SEED!$F236, "-", ""), " (", SEED!$E236, IF(EXACT(SEED!$C236, ""), "", CONCATENATE(" ►", SEED!$C236)), ")"))</f>
        <v/>
      </c>
    </row>
    <row r="237" spans="2:3" x14ac:dyDescent="0.2">
      <c r="B237" s="44">
        <f>IF(EXACT(SEED!$F237, ""), "", SEED!$J237)</f>
        <v>286000000000220</v>
      </c>
      <c r="C237" s="4" t="str">
        <f>IF(EXACT($B237, ""), "", CONCATENATE(SUBSTITUTE(SEED!$F237, "-", ""), " (", SEED!$E237, IF(EXACT(SEED!$C237, ""), "", CONCATENATE(" ►", SEED!$C237)), ")"))</f>
        <v>+62 22 5201501 (Office Phone ►Institution - PT. Industri Telekomunikasi Indonesia (Persero))</v>
      </c>
    </row>
    <row r="238" spans="2:3" x14ac:dyDescent="0.2">
      <c r="B238" s="44">
        <f>IF(EXACT(SEED!$F238, ""), "", SEED!$J238)</f>
        <v>286000000000221</v>
      </c>
      <c r="C238" s="4" t="str">
        <f>IF(EXACT($B238, ""), "", CONCATENATE(SUBSTITUTE(SEED!$F238, "-", ""), " (", SEED!$E238, IF(EXACT(SEED!$C238, ""), "", CONCATENATE(" ►", SEED!$C238)), ")"))</f>
        <v>+62 22 5202444  (Faximile ►Institution - PT. Industri Telekomunikasi Indonesia (Persero))</v>
      </c>
    </row>
    <row r="239" spans="2:3" x14ac:dyDescent="0.2">
      <c r="B239" s="44">
        <f>IF(EXACT(SEED!$F239, ""), "", SEED!$J239)</f>
        <v>286000000000222</v>
      </c>
      <c r="C239" s="4" t="str">
        <f>IF(EXACT($B239, ""), "", CONCATENATE(SUBSTITUTE(SEED!$F239, "-", ""), " (", SEED!$E239, IF(EXACT(SEED!$C239, ""), "", CONCATENATE(" ►", SEED!$C239)), ")"))</f>
        <v>+62 21 837095 (Office Phone ►Institution - PT. Infrastruktur Bisnis Sejahtera)</v>
      </c>
    </row>
    <row r="240" spans="2:3" x14ac:dyDescent="0.2">
      <c r="B240" s="44">
        <f>IF(EXACT(SEED!$F240, ""), "", SEED!$J240)</f>
        <v>286000000000223</v>
      </c>
      <c r="C240" s="4" t="str">
        <f>IF(EXACT($B240, ""), "", CONCATENATE(SUBSTITUTE(SEED!$F240, "-", ""), " (", SEED!$E240, IF(EXACT(SEED!$C240, ""), "", CONCATENATE(" ►", SEED!$C240)), ")"))</f>
        <v>+62 21 30013001 (Office Phone ►Institution - PT. Intershop Prima Center)</v>
      </c>
    </row>
    <row r="241" spans="2:3" x14ac:dyDescent="0.2">
      <c r="B241" s="44">
        <f>IF(EXACT(SEED!$F241, ""), "", SEED!$J241)</f>
        <v>286000000000224</v>
      </c>
      <c r="C241" s="4" t="str">
        <f>IF(EXACT($B241, ""), "", CONCATENATE(SUBSTITUTE(SEED!$F241, "-", ""), " (", SEED!$E241, IF(EXACT(SEED!$C241, ""), "", CONCATENATE(" ►", SEED!$C241)), ")"))</f>
        <v>+62 21 30013002 (Faximile ►Institution - PT. Intershop Prima Center)</v>
      </c>
    </row>
    <row r="242" spans="2:3" x14ac:dyDescent="0.2">
      <c r="B242" s="44" t="str">
        <f>IF(EXACT(SEED!$F242, ""), "", SEED!$J242)</f>
        <v/>
      </c>
      <c r="C242" s="4" t="str">
        <f>IF(EXACT($B242, ""), "", CONCATENATE(SUBSTITUTE(SEED!$F242, "-", ""), " (", SEED!$E242, IF(EXACT(SEED!$C242, ""), "", CONCATENATE(" ►", SEED!$C242)), ")"))</f>
        <v/>
      </c>
    </row>
    <row r="243" spans="2:3" x14ac:dyDescent="0.2">
      <c r="B243" s="44">
        <f>IF(EXACT(SEED!$F243, ""), "", SEED!$J243)</f>
        <v>286000000000225</v>
      </c>
      <c r="C243" s="4" t="str">
        <f>IF(EXACT($B243, ""), "", CONCATENATE(SUBSTITUTE(SEED!$F243, "-", ""), " (", SEED!$E243, IF(EXACT(SEED!$C243, ""), "", CONCATENATE(" ►", SEED!$C243)), ")"))</f>
        <v>+62 24 8457070 (Office Phone ►Institution - PT. Karya Mitra Nugraha)</v>
      </c>
    </row>
    <row r="244" spans="2:3" x14ac:dyDescent="0.2">
      <c r="B244" s="44">
        <f>IF(EXACT(SEED!$F244, ""), "", SEED!$J244)</f>
        <v>286000000000226</v>
      </c>
      <c r="C244" s="4" t="str">
        <f>IF(EXACT($B244, ""), "", CONCATENATE(SUBSTITUTE(SEED!$F244, "-", ""), " (", SEED!$E244, IF(EXACT(SEED!$C244, ""), "", CONCATENATE(" ►", SEED!$C244)), ")"))</f>
        <v>+62 24 8446145 (Faximile ►Institution - PT. Karya Mitra Nugraha)</v>
      </c>
    </row>
    <row r="245" spans="2:3" x14ac:dyDescent="0.2">
      <c r="B245" s="44">
        <f>IF(EXACT(SEED!$F245, ""), "", SEED!$J245)</f>
        <v>286000000000227</v>
      </c>
      <c r="C245" s="4" t="str">
        <f>IF(EXACT($B245, ""), "", CONCATENATE(SUBSTITUTE(SEED!$F245, "-", ""), " (", SEED!$E245, IF(EXACT(SEED!$C245, ""), "", CONCATENATE(" ►", SEED!$C245)), ")"))</f>
        <v>+62 21 7501915 (Office Phone ►Institution - PT. Lektrika Karyatama)</v>
      </c>
    </row>
    <row r="246" spans="2:3" x14ac:dyDescent="0.2">
      <c r="B246" s="44">
        <f>IF(EXACT(SEED!$F246, ""), "", SEED!$J246)</f>
        <v>286000000000228</v>
      </c>
      <c r="C246" s="4" t="str">
        <f>IF(EXACT($B246, ""), "", CONCATENATE(SUBSTITUTE(SEED!$F246, "-", ""), " (", SEED!$E246, IF(EXACT(SEED!$C246, ""), "", CONCATENATE(" ►", SEED!$C246)), ")"))</f>
        <v>+62 21 7660986 (Faximile ►Institution - PT. Lektrika Karyatama)</v>
      </c>
    </row>
    <row r="247" spans="2:3" x14ac:dyDescent="0.2">
      <c r="B247" s="44">
        <f>IF(EXACT(SEED!$F247, ""), "", SEED!$J247)</f>
        <v>286000000000229</v>
      </c>
      <c r="C247" s="4" t="str">
        <f>IF(EXACT($B247, ""), "", CONCATENATE(SUBSTITUTE(SEED!$F247, "-", ""), " (", SEED!$E247, IF(EXACT(SEED!$C247, ""), "", CONCATENATE(" ►", SEED!$C247)), ")"))</f>
        <v>+62 21 5577775 (Office Phone ►Institution - PT. Link Net)</v>
      </c>
    </row>
    <row r="248" spans="2:3" x14ac:dyDescent="0.2">
      <c r="B248" s="44">
        <f>IF(EXACT(SEED!$F248, ""), "", SEED!$J248)</f>
        <v>286000000000230</v>
      </c>
      <c r="C248" s="4" t="str">
        <f>IF(EXACT($B248, ""), "", CONCATENATE(SUBSTITUTE(SEED!$F248, "-", ""), " (", SEED!$E248, IF(EXACT(SEED!$C248, ""), "", CONCATENATE(" ►", SEED!$C248)), ")"))</f>
        <v>+62 21 83780000 (Office Phone ►Institution - PT. Lintas Teknologi Indonesia)</v>
      </c>
    </row>
    <row r="249" spans="2:3" x14ac:dyDescent="0.2">
      <c r="B249" s="44">
        <f>IF(EXACT(SEED!$F249, ""), "", SEED!$J249)</f>
        <v>286000000000231</v>
      </c>
      <c r="C249" s="4" t="str">
        <f>IF(EXACT($B249, ""), "", CONCATENATE(SUBSTITUTE(SEED!$F249, "-", ""), " (", SEED!$E249, IF(EXACT(SEED!$C249, ""), "", CONCATENATE(" ►", SEED!$C249)), ")"))</f>
        <v>+62 21 83780001 (Faximile ►Institution - PT. Lintas Teknologi Indonesia)</v>
      </c>
    </row>
    <row r="250" spans="2:3" x14ac:dyDescent="0.2">
      <c r="B250" s="44" t="str">
        <f>IF(EXACT(SEED!$F250, ""), "", SEED!$J250)</f>
        <v/>
      </c>
      <c r="C250" s="4" t="str">
        <f>IF(EXACT($B250, ""), "", CONCATENATE(SUBSTITUTE(SEED!$F250, "-", ""), " (", SEED!$E250, IF(EXACT(SEED!$C250, ""), "", CONCATENATE(" ►", SEED!$C250)), ")"))</f>
        <v/>
      </c>
    </row>
    <row r="251" spans="2:3" x14ac:dyDescent="0.2">
      <c r="B251" s="44" t="str">
        <f>IF(EXACT(SEED!$F251, ""), "", SEED!$J251)</f>
        <v/>
      </c>
      <c r="C251" s="4" t="str">
        <f>IF(EXACT($B251, ""), "", CONCATENATE(SUBSTITUTE(SEED!$F251, "-", ""), " (", SEED!$E251, IF(EXACT(SEED!$C251, ""), "", CONCATENATE(" ►", SEED!$C251)), ")"))</f>
        <v/>
      </c>
    </row>
    <row r="252" spans="2:3" x14ac:dyDescent="0.2">
      <c r="B252" s="44" t="str">
        <f>IF(EXACT(SEED!$F252, ""), "", SEED!$J252)</f>
        <v/>
      </c>
      <c r="C252" s="4" t="str">
        <f>IF(EXACT($B252, ""), "", CONCATENATE(SUBSTITUTE(SEED!$F252, "-", ""), " (", SEED!$E252, IF(EXACT(SEED!$C252, ""), "", CONCATENATE(" ►", SEED!$C252)), ")"))</f>
        <v/>
      </c>
    </row>
    <row r="253" spans="2:3" x14ac:dyDescent="0.2">
      <c r="B253" s="44" t="str">
        <f>IF(EXACT(SEED!$F253, ""), "", SEED!$J253)</f>
        <v/>
      </c>
      <c r="C253" s="4" t="str">
        <f>IF(EXACT($B253, ""), "", CONCATENATE(SUBSTITUTE(SEED!$F253, "-", ""), " (", SEED!$E253, IF(EXACT(SEED!$C253, ""), "", CONCATENATE(" ►", SEED!$C253)), ")"))</f>
        <v/>
      </c>
    </row>
    <row r="254" spans="2:3" x14ac:dyDescent="0.2">
      <c r="B254" s="44">
        <f>IF(EXACT(SEED!$F254, ""), "", SEED!$J254)</f>
        <v>286000000000232</v>
      </c>
      <c r="C254" s="4" t="str">
        <f>IF(EXACT($B254, ""), "", CONCATENATE(SUBSTITUTE(SEED!$F254, "-", ""), " (", SEED!$E254, IF(EXACT(SEED!$C254, ""), "", CONCATENATE(" ►", SEED!$C254)), ")"))</f>
        <v>+62 21 39833222 (Office Phone ►Institution - PT. Pertamina Geothermal Energy)</v>
      </c>
    </row>
    <row r="255" spans="2:3" x14ac:dyDescent="0.2">
      <c r="B255" s="44">
        <f>IF(EXACT(SEED!$F255, ""), "", SEED!$J255)</f>
        <v>286000000000233</v>
      </c>
      <c r="C255" s="4" t="str">
        <f>IF(EXACT($B255, ""), "", CONCATENATE(SUBSTITUTE(SEED!$F255, "-", ""), " (", SEED!$E255, IF(EXACT(SEED!$C255, ""), "", CONCATENATE(" ►", SEED!$C255)), ")"))</f>
        <v>+62 21 39833150 (Office Phone ►Institution - PT. Pertamina Geothermal Energy)</v>
      </c>
    </row>
    <row r="256" spans="2:3" x14ac:dyDescent="0.2">
      <c r="B256" s="44">
        <f>IF(EXACT(SEED!$F256, ""), "", SEED!$J256)</f>
        <v>286000000000234</v>
      </c>
      <c r="C256" s="4" t="str">
        <f>IF(EXACT($B256, ""), "", CONCATENATE(SUBSTITUTE(SEED!$F256, "-", ""), " (", SEED!$E256, IF(EXACT(SEED!$C256, ""), "", CONCATENATE(" ►", SEED!$C256)), ")"))</f>
        <v>+62 21 39833230 (Faximile ►Institution - PT. Pertamina Geothermal Energy)</v>
      </c>
    </row>
    <row r="257" spans="2:3" x14ac:dyDescent="0.2">
      <c r="B257" s="44" t="str">
        <f>IF(EXACT(SEED!$F257, ""), "", SEED!$J257)</f>
        <v/>
      </c>
      <c r="C257" s="4" t="str">
        <f>IF(EXACT($B257, ""), "", CONCATENATE(SUBSTITUTE(SEED!$F257, "-", ""), " (", SEED!$E257, IF(EXACT(SEED!$C257, ""), "", CONCATENATE(" ►", SEED!$C257)), ")"))</f>
        <v/>
      </c>
    </row>
    <row r="258" spans="2:3" x14ac:dyDescent="0.2">
      <c r="B258" s="44" t="str">
        <f>IF(EXACT(SEED!$F258, ""), "", SEED!$J258)</f>
        <v/>
      </c>
      <c r="C258" s="4" t="str">
        <f>IF(EXACT($B258, ""), "", CONCATENATE(SUBSTITUTE(SEED!$F258, "-", ""), " (", SEED!$E258, IF(EXACT(SEED!$C258, ""), "", CONCATENATE(" ►", SEED!$C258)), ")"))</f>
        <v/>
      </c>
    </row>
    <row r="259" spans="2:3" x14ac:dyDescent="0.2">
      <c r="B259" s="44" t="str">
        <f>IF(EXACT(SEED!$F259, ""), "", SEED!$J259)</f>
        <v/>
      </c>
      <c r="C259" s="4" t="str">
        <f>IF(EXACT($B259, ""), "", CONCATENATE(SUBSTITUTE(SEED!$F259, "-", ""), " (", SEED!$E259, IF(EXACT(SEED!$C259, ""), "", CONCATENATE(" ►", SEED!$C259)), ")"))</f>
        <v/>
      </c>
    </row>
    <row r="260" spans="2:3" x14ac:dyDescent="0.2">
      <c r="B260" s="44" t="str">
        <f>IF(EXACT(SEED!$F260, ""), "", SEED!$J260)</f>
        <v/>
      </c>
      <c r="C260" s="4" t="str">
        <f>IF(EXACT($B260, ""), "", CONCATENATE(SUBSTITUTE(SEED!$F260, "-", ""), " (", SEED!$E260, IF(EXACT(SEED!$C260, ""), "", CONCATENATE(" ►", SEED!$C260)), ")"))</f>
        <v/>
      </c>
    </row>
    <row r="261" spans="2:3" x14ac:dyDescent="0.2">
      <c r="B261" s="44">
        <f>IF(EXACT(SEED!$F261, ""), "", SEED!$J261)</f>
        <v>286000000000235</v>
      </c>
      <c r="C261" s="4" t="str">
        <f>IF(EXACT($B261, ""), "", CONCATENATE(SUBSTITUTE(SEED!$F261, "-", ""), " (", SEED!$E261, IF(EXACT(SEED!$C261, ""), "", CONCATENATE(" ►", SEED!$C261)), ")"))</f>
        <v>+62 370 638884 (Office Phone ►Institution - PT. Pelayanan Listrik Nasional (PLN) (Persero) - Unit Induk Pembangunan Nusa Tenggara)</v>
      </c>
    </row>
    <row r="262" spans="2:3" x14ac:dyDescent="0.2">
      <c r="B262" s="44">
        <f>IF(EXACT(SEED!$F262, ""), "", SEED!$J262)</f>
        <v>286000000000236</v>
      </c>
      <c r="C262" s="4" t="str">
        <f>IF(EXACT($B262, ""), "", CONCATENATE(SUBSTITUTE(SEED!$F262, "-", ""), " (", SEED!$E262, IF(EXACT(SEED!$C262, ""), "", CONCATENATE(" ►", SEED!$C262)), ")"))</f>
        <v>+62 370 627631 (Faximile ►Institution - PT. Pelayanan Listrik Nasional (PLN) (Persero) - Unit Induk Pembangunan Nusa Tenggara)</v>
      </c>
    </row>
    <row r="263" spans="2:3" x14ac:dyDescent="0.2">
      <c r="B263" s="44" t="str">
        <f>IF(EXACT(SEED!$F263, ""), "", SEED!$J263)</f>
        <v/>
      </c>
      <c r="C263" s="4" t="str">
        <f>IF(EXACT($B263, ""), "", CONCATENATE(SUBSTITUTE(SEED!$F263, "-", ""), " (", SEED!$E263, IF(EXACT(SEED!$C263, ""), "", CONCATENATE(" ►", SEED!$C263)), ")"))</f>
        <v/>
      </c>
    </row>
    <row r="264" spans="2:3" x14ac:dyDescent="0.2">
      <c r="B264" s="44">
        <f>IF(EXACT(SEED!$F264, ""), "", SEED!$J264)</f>
        <v>286000000000237</v>
      </c>
      <c r="C264" s="4" t="str">
        <f>IF(EXACT($B264, ""), "", CONCATENATE(SUBSTITUTE(SEED!$F264, "-", ""), " (", SEED!$E264, IF(EXACT(SEED!$C264, ""), "", CONCATENATE(" ►", SEED!$C264)), ")"))</f>
        <v>+62 21 6921209 (Office Phone ►Institution - PT. Pelayanan Listrik Nasional (PLN) (Persero) - P2B Jawa Bali APB Jawa Tengah &amp; DIY)</v>
      </c>
    </row>
    <row r="265" spans="2:3" x14ac:dyDescent="0.2">
      <c r="B265" s="44">
        <f>IF(EXACT(SEED!$F265, ""), "", SEED!$J265)</f>
        <v>286000000000238</v>
      </c>
      <c r="C265" s="4" t="str">
        <f>IF(EXACT($B265, ""), "", CONCATENATE(SUBSTITUTE(SEED!$F265, "-", ""), " (", SEED!$E265, IF(EXACT(SEED!$C265, ""), "", CONCATENATE(" ►", SEED!$C265)), ")"))</f>
        <v>+62 21 6922402 (Faximile ►Institution - PT. Pelayanan Listrik Nasional (PLN) (Persero) - P2B Jawa Bali APB Jawa Tengah &amp; DIY)</v>
      </c>
    </row>
    <row r="266" spans="2:3" x14ac:dyDescent="0.2">
      <c r="B266" s="44" t="str">
        <f>IF(EXACT(SEED!$F266, ""), "", SEED!$J266)</f>
        <v/>
      </c>
      <c r="C266" s="4" t="str">
        <f>IF(EXACT($B266, ""), "", CONCATENATE(SUBSTITUTE(SEED!$F266, "-", ""), " (", SEED!$E266, IF(EXACT(SEED!$C266, ""), "", CONCATENATE(" ►", SEED!$C266)), ")"))</f>
        <v/>
      </c>
    </row>
    <row r="267" spans="2:3" x14ac:dyDescent="0.2">
      <c r="B267" s="44">
        <f>IF(EXACT(SEED!$F267, ""), "", SEED!$J267)</f>
        <v>286000000000239</v>
      </c>
      <c r="C267" s="4" t="str">
        <f>IF(EXACT($B267, ""), "", CONCATENATE(SUBSTITUTE(SEED!$F267, "-", ""), " (", SEED!$E267, IF(EXACT(SEED!$C267, ""), "", CONCATENATE(" ►", SEED!$C267)), ")"))</f>
        <v>+62 21 56950412 (Office Phone ►Institution - PT. Pelayanan Listrik Nasional (PLN) (Persero) - Unit Induk Pembangunan Interkoneksi Sumatera Jawa)</v>
      </c>
    </row>
    <row r="268" spans="2:3" x14ac:dyDescent="0.2">
      <c r="B268" s="44">
        <f>IF(EXACT(SEED!$F268, ""), "", SEED!$J268)</f>
        <v>286000000000240</v>
      </c>
      <c r="C268" s="4" t="str">
        <f>IF(EXACT($B268, ""), "", CONCATENATE(SUBSTITUTE(SEED!$F268, "-", ""), " (", SEED!$E268, IF(EXACT(SEED!$C268, ""), "", CONCATENATE(" ►", SEED!$C268)), ")"))</f>
        <v>+62 21 56950413 (Faximile ►Institution - PT. Pelayanan Listrik Nasional (PLN) (Persero) - Unit Induk Pembangunan Interkoneksi Sumatera Jawa)</v>
      </c>
    </row>
    <row r="269" spans="2:3" x14ac:dyDescent="0.2">
      <c r="B269" s="44" t="str">
        <f>IF(EXACT(SEED!$F269, ""), "", SEED!$J269)</f>
        <v/>
      </c>
      <c r="C269" s="4" t="str">
        <f>IF(EXACT($B269, ""), "", CONCATENATE(SUBSTITUTE(SEED!$F269, "-", ""), " (", SEED!$E269, IF(EXACT(SEED!$C269, ""), "", CONCATENATE(" ►", SEED!$C269)), ")"))</f>
        <v/>
      </c>
    </row>
    <row r="270" spans="2:3" x14ac:dyDescent="0.2">
      <c r="B270" s="44" t="str">
        <f>IF(EXACT(SEED!$F270, ""), "", SEED!$J270)</f>
        <v/>
      </c>
      <c r="C270" s="4" t="str">
        <f>IF(EXACT($B270, ""), "", CONCATENATE(SUBSTITUTE(SEED!$F270, "-", ""), " (", SEED!$E270, IF(EXACT(SEED!$C270, ""), "", CONCATENATE(" ►", SEED!$C270)), ")"))</f>
        <v/>
      </c>
    </row>
    <row r="271" spans="2:3" x14ac:dyDescent="0.2">
      <c r="B271" s="44">
        <f>IF(EXACT(SEED!$F271, ""), "", SEED!$J271)</f>
        <v>286000000000241</v>
      </c>
      <c r="C271" s="4" t="str">
        <f>IF(EXACT($B271, ""), "", CONCATENATE(SUBSTITUTE(SEED!$F271, "-", ""), " (", SEED!$E271, IF(EXACT(SEED!$C271, ""), "", CONCATENATE(" ►", SEED!$C271)), ")"))</f>
        <v>+62 21 23585500 (Office Phone ►Institution - PT. Protelindo)</v>
      </c>
    </row>
    <row r="272" spans="2:3" x14ac:dyDescent="0.2">
      <c r="B272" s="44">
        <f>IF(EXACT(SEED!$F272, ""), "", SEED!$J272)</f>
        <v>286000000000242</v>
      </c>
      <c r="C272" s="4" t="str">
        <f>IF(EXACT($B272, ""), "", CONCATENATE(SUBSTITUTE(SEED!$F272, "-", ""), " (", SEED!$E272, IF(EXACT(SEED!$C272, ""), "", CONCATENATE(" ►", SEED!$C272)), ")"))</f>
        <v>+62 21 23586446 (Faximile ►Institution - PT. Protelindo)</v>
      </c>
    </row>
    <row r="273" spans="2:3" x14ac:dyDescent="0.2">
      <c r="B273" s="44" t="str">
        <f>IF(EXACT(SEED!$F273, ""), "", SEED!$J273)</f>
        <v/>
      </c>
      <c r="C273" s="4" t="str">
        <f>IF(EXACT($B273, ""), "", CONCATENATE(SUBSTITUTE(SEED!$F273, "-", ""), " (", SEED!$E273, IF(EXACT(SEED!$C273, ""), "", CONCATENATE(" ►", SEED!$C273)), ")"))</f>
        <v/>
      </c>
    </row>
    <row r="274" spans="2:3" x14ac:dyDescent="0.2">
      <c r="B274" s="44">
        <f>IF(EXACT(SEED!$F274, ""), "", SEED!$J274)</f>
        <v>286000000000243</v>
      </c>
      <c r="C274" s="4" t="str">
        <f>IF(EXACT($B274, ""), "", CONCATENATE(SUBSTITUTE(SEED!$F274, "-", ""), " (", SEED!$E274, IF(EXACT(SEED!$C274, ""), "", CONCATENATE(" ►", SEED!$C274)), ")"))</f>
        <v>+62 21 39838929 (Office Phone ►Institution - PT. Rekadaya Elektrika)</v>
      </c>
    </row>
    <row r="275" spans="2:3" x14ac:dyDescent="0.2">
      <c r="B275" s="44">
        <f>IF(EXACT(SEED!$F275, ""), "", SEED!$J275)</f>
        <v>286000000000244</v>
      </c>
      <c r="C275" s="4" t="str">
        <f>IF(EXACT($B275, ""), "", CONCATENATE(SUBSTITUTE(SEED!$F275, "-", ""), " (", SEED!$E275, IF(EXACT(SEED!$C275, ""), "", CONCATENATE(" ►", SEED!$C275)), ")"))</f>
        <v>+62 21 39838930 (Faximile ►Institution - PT. Rekadaya Elektrika)</v>
      </c>
    </row>
    <row r="276" spans="2:3" x14ac:dyDescent="0.2">
      <c r="B276" s="44">
        <f>IF(EXACT(SEED!$F276, ""), "", SEED!$J276)</f>
        <v>286000000000245</v>
      </c>
      <c r="C276" s="4" t="str">
        <f>IF(EXACT($B276, ""), "", CONCATENATE(SUBSTITUTE(SEED!$F276, "-", ""), " (", SEED!$E276, IF(EXACT(SEED!$C276, ""), "", CONCATENATE(" ►", SEED!$C276)), ")"))</f>
        <v>+62 29 54790002 (Office Phone ►Institution - CV. Sejahtera Mandiri)</v>
      </c>
    </row>
    <row r="277" spans="2:3" x14ac:dyDescent="0.2">
      <c r="B277" s="44">
        <f>IF(EXACT(SEED!$F277, ""), "", SEED!$J277)</f>
        <v>286000000000246</v>
      </c>
      <c r="C277" s="4" t="str">
        <f>IF(EXACT($B277, ""), "", CONCATENATE(SUBSTITUTE(SEED!$F277, "-", ""), " (", SEED!$E277, IF(EXACT(SEED!$C277, ""), "", CONCATENATE(" ►", SEED!$C277)), ")"))</f>
        <v>+62 29 55516767 (Faximile ►Institution - CV. Sejahtera Mandiri)</v>
      </c>
    </row>
    <row r="278" spans="2:3" x14ac:dyDescent="0.2">
      <c r="B278" s="44">
        <f>IF(EXACT(SEED!$F278, ""), "", SEED!$J278)</f>
        <v>286000000000247</v>
      </c>
      <c r="C278" s="4" t="str">
        <f>IF(EXACT($B278, ""), "", CONCATENATE(SUBSTITUTE(SEED!$F278, "-", ""), " (", SEED!$E278, IF(EXACT(SEED!$C278, ""), "", CONCATENATE(" ►", SEED!$C278)), ")"))</f>
        <v>+62 31 8437777 (Office Phone ►Institution - PT. Sigindo Kemas)</v>
      </c>
    </row>
    <row r="279" spans="2:3" x14ac:dyDescent="0.2">
      <c r="B279" s="44" t="str">
        <f>IF(EXACT(SEED!$F279, ""), "", SEED!$J279)</f>
        <v/>
      </c>
      <c r="C279" s="4" t="str">
        <f>IF(EXACT($B279, ""), "", CONCATENATE(SUBSTITUTE(SEED!$F279, "-", ""), " (", SEED!$E279, IF(EXACT(SEED!$C279, ""), "", CONCATENATE(" ►", SEED!$C279)), ")"))</f>
        <v/>
      </c>
    </row>
    <row r="280" spans="2:3" x14ac:dyDescent="0.2">
      <c r="B280" s="44" t="str">
        <f>IF(EXACT(SEED!$F280, ""), "", SEED!$J280)</f>
        <v/>
      </c>
      <c r="C280" s="4" t="str">
        <f>IF(EXACT($B280, ""), "", CONCATENATE(SUBSTITUTE(SEED!$F280, "-", ""), " (", SEED!$E280, IF(EXACT(SEED!$C280, ""), "", CONCATENATE(" ►", SEED!$C280)), ")"))</f>
        <v/>
      </c>
    </row>
    <row r="281" spans="2:3" x14ac:dyDescent="0.2">
      <c r="B281" s="44" t="str">
        <f>IF(EXACT(SEED!$F281, ""), "", SEED!$J281)</f>
        <v/>
      </c>
      <c r="C281" s="4" t="str">
        <f>IF(EXACT($B281, ""), "", CONCATENATE(SUBSTITUTE(SEED!$F281, "-", ""), " (", SEED!$E281, IF(EXACT(SEED!$C281, ""), "", CONCATENATE(" ►", SEED!$C281)), ")"))</f>
        <v/>
      </c>
    </row>
    <row r="282" spans="2:3" x14ac:dyDescent="0.2">
      <c r="B282" s="44">
        <f>IF(EXACT(SEED!$F282, ""), "", SEED!$J282)</f>
        <v>286000000000248</v>
      </c>
      <c r="C282" s="4" t="str">
        <f>IF(EXACT($B282, ""), "", CONCATENATE(SUBSTITUTE(SEED!$F282, "-", ""), " (", SEED!$E282, IF(EXACT(SEED!$C282, ""), "", CONCATENATE(" ►", SEED!$C282)), ")"))</f>
        <v>+62 21 29337000 (Office Phone ►Institution - PT. Telkom Akses)</v>
      </c>
    </row>
    <row r="283" spans="2:3" x14ac:dyDescent="0.2">
      <c r="B283" s="44">
        <f>IF(EXACT(SEED!$F283, ""), "", SEED!$J283)</f>
        <v>286000000000249</v>
      </c>
      <c r="C283" s="4" t="str">
        <f>IF(EXACT($B283, ""), "", CONCATENATE(SUBSTITUTE(SEED!$F283, "-", ""), " (", SEED!$E283, IF(EXACT(SEED!$C283, ""), "", CONCATENATE(" ►", SEED!$C283)), ")"))</f>
        <v>+62 21 29336000 (Faximile ►Institution - PT. Telkom Akses)</v>
      </c>
    </row>
    <row r="284" spans="2:3" x14ac:dyDescent="0.2">
      <c r="B284" s="44" t="str">
        <f>IF(EXACT(SEED!$F284, ""), "", SEED!$J284)</f>
        <v/>
      </c>
      <c r="C284" s="4" t="str">
        <f>IF(EXACT($B284, ""), "", CONCATENATE(SUBSTITUTE(SEED!$F284, "-", ""), " (", SEED!$E284, IF(EXACT(SEED!$C284, ""), "", CONCATENATE(" ►", SEED!$C284)), ")"))</f>
        <v/>
      </c>
    </row>
    <row r="285" spans="2:3" x14ac:dyDescent="0.2">
      <c r="B285" s="44" t="str">
        <f>IF(EXACT(SEED!$F285, ""), "", SEED!$J285)</f>
        <v/>
      </c>
      <c r="C285" s="4" t="str">
        <f>IF(EXACT($B285, ""), "", CONCATENATE(SUBSTITUTE(SEED!$F285, "-", ""), " (", SEED!$E285, IF(EXACT(SEED!$C285, ""), "", CONCATENATE(" ►", SEED!$C285)), ")"))</f>
        <v/>
      </c>
    </row>
    <row r="286" spans="2:3" x14ac:dyDescent="0.2">
      <c r="B286" s="44">
        <f>IF(EXACT(SEED!$F286, ""), "", SEED!$J286)</f>
        <v>286000000000250</v>
      </c>
      <c r="C286" s="4" t="str">
        <f>IF(EXACT($B286, ""), "", CONCATENATE(SUBSTITUTE(SEED!$F286, "-", ""), " (", SEED!$E286, IF(EXACT(SEED!$C286, ""), "", CONCATENATE(" ►", SEED!$C286)), ")"))</f>
        <v>+62 21 8515550 (Office Phone ►Institution - PT. Waskita Karya (Persero), Tbk)</v>
      </c>
    </row>
    <row r="287" spans="2:3" x14ac:dyDescent="0.2">
      <c r="B287" s="44">
        <f>IF(EXACT(SEED!$F287, ""), "", SEED!$J287)</f>
        <v>286000000000251</v>
      </c>
      <c r="C287" s="4" t="str">
        <f>IF(EXACT($B287, ""), "", CONCATENATE(SUBSTITUTE(SEED!$F287, "-", ""), " (", SEED!$E287, IF(EXACT(SEED!$C287, ""), "", CONCATENATE(" ►", SEED!$C287)), ")"))</f>
        <v>+62 21 8515510 (Faximile ►Institution - PT. Waskita Karya (Persero), Tbk)</v>
      </c>
    </row>
    <row r="288" spans="2:3" x14ac:dyDescent="0.2">
      <c r="B288" s="44">
        <f>IF(EXACT(SEED!$F288, ""), "", SEED!$J288)</f>
        <v>286000000000252</v>
      </c>
      <c r="C288" s="4" t="str">
        <f>IF(EXACT($B288, ""), "", CONCATENATE(SUBSTITUTE(SEED!$F288, "-", ""), " (", SEED!$E288, IF(EXACT(SEED!$C288, ""), "", CONCATENATE(" ►", SEED!$C288)), ")"))</f>
        <v>+62 295 4790002  (Office Phone ►Institution - PT. Widodo Karya Sejahtera)</v>
      </c>
    </row>
    <row r="289" spans="2:3" x14ac:dyDescent="0.2">
      <c r="B289" s="44">
        <f>IF(EXACT(SEED!$F289, ""), "", SEED!$J289)</f>
        <v>286000000000253</v>
      </c>
      <c r="C289" s="4" t="str">
        <f>IF(EXACT($B289, ""), "", CONCATENATE(SUBSTITUTE(SEED!$F289, "-", ""), " (", SEED!$E289, IF(EXACT(SEED!$C289, ""), "", CONCATENATE(" ►", SEED!$C289)), ")"))</f>
        <v>+62 295 4790011 (Faximile ►Institution - PT. Widodo Karya Sejahtera)</v>
      </c>
    </row>
    <row r="290" spans="2:3" x14ac:dyDescent="0.2">
      <c r="B290" s="44" t="str">
        <f>IF(EXACT(SEED!$F290, ""), "", SEED!$J290)</f>
        <v/>
      </c>
      <c r="C290" s="4" t="str">
        <f>IF(EXACT($B290, ""), "", CONCATENATE(SUBSTITUTE(SEED!$F290, "-", ""), " (", SEED!$E290, IF(EXACT(SEED!$C290, ""), "", CONCATENATE(" ►", SEED!$C290)), ")"))</f>
        <v/>
      </c>
    </row>
    <row r="291" spans="2:3" x14ac:dyDescent="0.2">
      <c r="B291" s="44" t="str">
        <f>IF(EXACT(SEED!$F291, ""), "", SEED!$J291)</f>
        <v/>
      </c>
      <c r="C291" s="4" t="str">
        <f>IF(EXACT($B291, ""), "", CONCATENATE(SUBSTITUTE(SEED!$F291, "-", ""), " (", SEED!$E291, IF(EXACT(SEED!$C291, ""), "", CONCATENATE(" ►", SEED!$C291)), ")"))</f>
        <v/>
      </c>
    </row>
    <row r="292" spans="2:3" x14ac:dyDescent="0.2">
      <c r="B292" s="44">
        <f>IF(EXACT(SEED!$F292, ""), "", SEED!$J292)</f>
        <v>286000000000254</v>
      </c>
      <c r="C292" s="4" t="str">
        <f>IF(EXACT($B292, ""), "", CONCATENATE(SUBSTITUTE(SEED!$F292, "-", ""), " (", SEED!$E292, IF(EXACT(SEED!$C292, ""), "", CONCATENATE(" ►", SEED!$C292)), ")"))</f>
        <v>+62 21 5292248 (Office Phone ►Institution - PT. ZTE Indonesia)</v>
      </c>
    </row>
    <row r="293" spans="2:3" x14ac:dyDescent="0.2">
      <c r="B293" s="44">
        <f>IF(EXACT(SEED!$F293, ""), "", SEED!$J293)</f>
        <v>286000000000255</v>
      </c>
      <c r="C293" s="4" t="str">
        <f>IF(EXACT($B293, ""), "", CONCATENATE(SUBSTITUTE(SEED!$F293, "-", ""), " (", SEED!$E293, IF(EXACT(SEED!$C293, ""), "", CONCATENATE(" ►", SEED!$C293)), ")"))</f>
        <v>+62 21 83708877 (Office Phone ►Institution - PT. Sansaine Exindo)</v>
      </c>
    </row>
    <row r="294" spans="2:3" x14ac:dyDescent="0.2">
      <c r="B294" s="44">
        <f>IF(EXACT(SEED!$F294, ""), "", SEED!$J294)</f>
        <v>286000000000256</v>
      </c>
      <c r="C294" s="4" t="str">
        <f>IF(EXACT($B294, ""), "", CONCATENATE(SUBSTITUTE(SEED!$F294, "-", ""), " (", SEED!$E294, IF(EXACT(SEED!$C294, ""), "", CONCATENATE(" ►", SEED!$C294)), ")"))</f>
        <v>+62 21 83780487 (Faximile ►Institution - PT. Sansaine Exindo)</v>
      </c>
    </row>
    <row r="295" spans="2:3" x14ac:dyDescent="0.2">
      <c r="B295" s="44">
        <f>IF(EXACT(SEED!$F295, ""), "", SEED!$J295)</f>
        <v>286000000000257</v>
      </c>
      <c r="C295" s="4" t="str">
        <f>IF(EXACT($B295, ""), "", CONCATENATE(SUBSTITUTE(SEED!$F295, "-", ""), " (", SEED!$E295, IF(EXACT(SEED!$C295, ""), "", CONCATENATE(" ►", SEED!$C295)), ")"))</f>
        <v>+62 82137999898 (Mobile Phone ►Institution - Indo Jaya Scaffolding)</v>
      </c>
    </row>
    <row r="296" spans="2:3" x14ac:dyDescent="0.2">
      <c r="B296" s="44">
        <f>IF(EXACT(SEED!$F296, ""), "", SEED!$J296)</f>
        <v>286000000000258</v>
      </c>
      <c r="C296" s="4" t="str">
        <f>IF(EXACT($B296, ""), "", CONCATENATE(SUBSTITUTE(SEED!$F296, "-", ""), " (", SEED!$E296, IF(EXACT(SEED!$C296, ""), "", CONCATENATE(" ►", SEED!$C296)), ")"))</f>
        <v>+62 21 8403883 (Office Phone ►Institution - PT. Pembangunan Perumahan (Persero), Tbk)</v>
      </c>
    </row>
    <row r="297" spans="2:3" x14ac:dyDescent="0.2">
      <c r="B297" s="44">
        <f>IF(EXACT(SEED!$F297, ""), "", SEED!$J297)</f>
        <v>286000000000259</v>
      </c>
      <c r="C297" s="4" t="str">
        <f>IF(EXACT($B297, ""), "", CONCATENATE(SUBSTITUTE(SEED!$F297, "-", ""), " (", SEED!$E297, IF(EXACT(SEED!$C297, ""), "", CONCATENATE(" ►", SEED!$C297)), ")"))</f>
        <v>+62 21 8403936 (Faximile ►Institution - PT. Pembangunan Perumahan (Persero), Tbk)</v>
      </c>
    </row>
    <row r="298" spans="2:3" x14ac:dyDescent="0.2">
      <c r="B298" s="44">
        <f>IF(EXACT(SEED!$F298, ""), "", SEED!$J298)</f>
        <v>286000000000260</v>
      </c>
      <c r="C298" s="4" t="str">
        <f>IF(EXACT($B298, ""), "", CONCATENATE(SUBSTITUTE(SEED!$F298, "-", ""), " (", SEED!$E298, IF(EXACT(SEED!$C298, ""), "", CONCATENATE(" ►", SEED!$C298)), ")"))</f>
        <v>+62 8118771506 (Mobile Phone ►Institution - Linus Nusa Express)</v>
      </c>
    </row>
    <row r="299" spans="2:3" x14ac:dyDescent="0.2">
      <c r="B299" s="44">
        <f>IF(EXACT(SEED!$F299, ""), "", SEED!$J299)</f>
        <v>286000000000261</v>
      </c>
      <c r="C299" s="4" t="str">
        <f>IF(EXACT($B299, ""), "", CONCATENATE(SUBSTITUTE(SEED!$F299, "-", ""), " (", SEED!$E299, IF(EXACT(SEED!$C299, ""), "", CONCATENATE(" ►", SEED!$C299)), ")"))</f>
        <v>+62 21 827667731 (Faximile ►Institution - Linus Nusa Express)</v>
      </c>
    </row>
    <row r="300" spans="2:3" x14ac:dyDescent="0.2">
      <c r="B300" s="44">
        <f>IF(EXACT(SEED!$F300, ""), "", SEED!$J300)</f>
        <v>286000000000262</v>
      </c>
      <c r="C300" s="4" t="str">
        <f>IF(EXACT($B300, ""), "", CONCATENATE(SUBSTITUTE(SEED!$F300, "-", ""), " (", SEED!$E300, IF(EXACT(SEED!$C300, ""), "", CONCATENATE(" ►", SEED!$C300)), ")"))</f>
        <v>+62 21 21242777 (Office Phone ►Institution - PT. Penjaminan Jamkrindo Syariah)</v>
      </c>
    </row>
    <row r="301" spans="2:3" x14ac:dyDescent="0.2">
      <c r="B301" s="44">
        <f>IF(EXACT(SEED!$F301, ""), "", SEED!$J301)</f>
        <v>286000000000263</v>
      </c>
      <c r="C301" s="4" t="str">
        <f>IF(EXACT($B301, ""), "", CONCATENATE(SUBSTITUTE(SEED!$F301, "-", ""), " (", SEED!$E301, IF(EXACT(SEED!$C301, ""), "", CONCATENATE(" ►", SEED!$C301)), ")"))</f>
        <v>+62 21 50870370 (Office Phone ►Institution - PT. Larsen And Tourbo)</v>
      </c>
    </row>
    <row r="302" spans="2:3" x14ac:dyDescent="0.2">
      <c r="B302" s="44">
        <f>IF(EXACT(SEED!$F302, ""), "", SEED!$J302)</f>
        <v>286000000000264</v>
      </c>
      <c r="C302" s="4" t="str">
        <f>IF(EXACT($B302, ""), "", CONCATENATE(SUBSTITUTE(SEED!$F302, "-", ""), " (", SEED!$E302, IF(EXACT(SEED!$C302, ""), "", CONCATENATE(" ►", SEED!$C302)), ")"))</f>
        <v>+62 561 762580 (Office Phone ►Institution - PT. Pelayanan Listrik Nasional (PLN) (Persero) - Unit Induk Pembangunan Kalimantan Bagian Barat)</v>
      </c>
    </row>
    <row r="303" spans="2:3" x14ac:dyDescent="0.2">
      <c r="B303" s="44">
        <f>IF(EXACT(SEED!$F303, ""), "", SEED!$J303)</f>
        <v>286000000000265</v>
      </c>
      <c r="C303" s="4" t="str">
        <f>IF(EXACT($B303, ""), "", CONCATENATE(SUBSTITUTE(SEED!$F303, "-", ""), " (", SEED!$E303, IF(EXACT(SEED!$C303, ""), "", CONCATENATE(" ►", SEED!$C303)), ")"))</f>
        <v>+62 561 762579 (Faximile ►Institution - PT. Pelayanan Listrik Nasional (PLN) (Persero) - Unit Induk Pembangunan Kalimantan Bagian Barat)</v>
      </c>
    </row>
    <row r="304" spans="2:3" x14ac:dyDescent="0.2">
      <c r="B304" s="44">
        <f>IF(EXACT(SEED!$F304, ""), "", SEED!$J304)</f>
        <v>286000000000266</v>
      </c>
      <c r="C304" s="4" t="str">
        <f>IF(EXACT($B304, ""), "", CONCATENATE(SUBSTITUTE(SEED!$F304, "-", ""), " (", SEED!$E304, IF(EXACT(SEED!$C304, ""), "", CONCATENATE(" ►", SEED!$C304)), ")"))</f>
        <v>+62 761 6704881 (Office Phone ►Institution - PT. Pelayanan Listrik Nasional (PLN) (Persero) - Unit Induk Pembangunan Sumatera Bagian Tengah)</v>
      </c>
    </row>
    <row r="305" spans="2:3" x14ac:dyDescent="0.2">
      <c r="B305" s="44">
        <f>IF(EXACT(SEED!$F305, ""), "", SEED!$J305)</f>
        <v>286000000000267</v>
      </c>
      <c r="C305" s="4" t="str">
        <f>IF(EXACT($B305, ""), "", CONCATENATE(SUBSTITUTE(SEED!$F305, "-", ""), " (", SEED!$E305, IF(EXACT(SEED!$C305, ""), "", CONCATENATE(" ►", SEED!$C305)), ")"))</f>
        <v>+62 761 6704882 (Faximile ►Institution - PT. Pelayanan Listrik Nasional (PLN) (Persero) - Unit Induk Pembangunan Sumatera Bagian Tengah)</v>
      </c>
    </row>
    <row r="306" spans="2:3" x14ac:dyDescent="0.2">
      <c r="B306" s="44">
        <f>IF(EXACT(SEED!$F306, ""), "", SEED!$J306)</f>
        <v>286000000000268</v>
      </c>
      <c r="C306" s="4" t="str">
        <f>IF(EXACT($B306, ""), "", CONCATENATE(SUBSTITUTE(SEED!$F306, "-", ""), " (", SEED!$E306, IF(EXACT(SEED!$C306, ""), "", CONCATENATE(" ►", SEED!$C306)), ")"))</f>
        <v>+62 21 50509888 (Office Phone ►Institution - PT. Asuransi Sinar Mas )</v>
      </c>
    </row>
    <row r="307" spans="2:3" x14ac:dyDescent="0.2">
      <c r="B307" s="44">
        <f>IF(EXACT(SEED!$F307, ""), "", SEED!$J307)</f>
        <v>286000000000269</v>
      </c>
      <c r="C307" s="4" t="str">
        <f>IF(EXACT($B307, ""), "", CONCATENATE(SUBSTITUTE(SEED!$F307, "-", ""), " (", SEED!$E307, IF(EXACT(SEED!$C307, ""), "", CONCATENATE(" ►", SEED!$C307)), ")"))</f>
        <v>+62 21 29189999 (Faximile ►Institution - PT. Asuransi Sinar Mas )</v>
      </c>
    </row>
    <row r="308" spans="2:3" x14ac:dyDescent="0.2">
      <c r="B308" s="44" t="str">
        <f>IF(EXACT(SEED!$F308, ""), "", SEED!$J308)</f>
        <v/>
      </c>
      <c r="C308" s="4" t="str">
        <f>IF(EXACT($B308, ""), "", CONCATENATE(SUBSTITUTE(SEED!$F308, "-", ""), " (", SEED!$E308, IF(EXACT(SEED!$C308, ""), "", CONCATENATE(" ►", SEED!$C308)), ")"))</f>
        <v/>
      </c>
    </row>
    <row r="309" spans="2:3" x14ac:dyDescent="0.2">
      <c r="B309" s="44" t="str">
        <f>IF(EXACT(SEED!$F309, ""), "", SEED!$J309)</f>
        <v/>
      </c>
      <c r="C309" s="4" t="str">
        <f>IF(EXACT($B309, ""), "", CONCATENATE(SUBSTITUTE(SEED!$F309, "-", ""), " (", SEED!$E309, IF(EXACT(SEED!$C309, ""), "", CONCATENATE(" ►", SEED!$C309)), ")"))</f>
        <v/>
      </c>
    </row>
    <row r="310" spans="2:3" x14ac:dyDescent="0.2">
      <c r="B310" s="44" t="str">
        <f>IF(EXACT(SEED!$F310, ""), "", SEED!$J310)</f>
        <v/>
      </c>
      <c r="C310" s="4" t="str">
        <f>IF(EXACT($B310, ""), "", CONCATENATE(SUBSTITUTE(SEED!$F310, "-", ""), " (", SEED!$E310, IF(EXACT(SEED!$C310, ""), "", CONCATENATE(" ►", SEED!$C310)), ")"))</f>
        <v/>
      </c>
    </row>
    <row r="311" spans="2:3" x14ac:dyDescent="0.2">
      <c r="B311" s="44" t="str">
        <f>IF(EXACT(SEED!$F311, ""), "", SEED!$J311)</f>
        <v/>
      </c>
      <c r="C311" s="4" t="str">
        <f>IF(EXACT($B311, ""), "", CONCATENATE(SUBSTITUTE(SEED!$F311, "-", ""), " (", SEED!$E311, IF(EXACT(SEED!$C311, ""), "", CONCATENATE(" ►", SEED!$C311)), ")"))</f>
        <v/>
      </c>
    </row>
    <row r="312" spans="2:3" x14ac:dyDescent="0.2">
      <c r="B312" s="44" t="str">
        <f>IF(EXACT(SEED!$F312, ""), "", SEED!$J312)</f>
        <v/>
      </c>
      <c r="C312" s="4" t="str">
        <f>IF(EXACT($B312, ""), "", CONCATENATE(SUBSTITUTE(SEED!$F312, "-", ""), " (", SEED!$E312, IF(EXACT(SEED!$C312, ""), "", CONCATENATE(" ►", SEED!$C312)), ")"))</f>
        <v/>
      </c>
    </row>
    <row r="313" spans="2:3" x14ac:dyDescent="0.2">
      <c r="B313" s="44">
        <f>IF(EXACT(SEED!$F313, ""), "", SEED!$J313)</f>
        <v>286000000000270</v>
      </c>
      <c r="C313" s="4" t="str">
        <f>IF(EXACT($B313, ""), "", CONCATENATE(SUBSTITUTE(SEED!$F313, "-", ""), " (", SEED!$E313, IF(EXACT(SEED!$C313, ""), "", CONCATENATE(" ►", SEED!$C313)), ")"))</f>
        <v>+62 81121100020 (Mobile Phone ►Institution - PT. Karawang Dinamika Lestari)</v>
      </c>
    </row>
    <row r="314" spans="2:3" x14ac:dyDescent="0.2">
      <c r="B314" s="44">
        <f>IF(EXACT(SEED!$F314, ""), "", SEED!$J314)</f>
        <v>286000000000271</v>
      </c>
      <c r="C314" s="4" t="str">
        <f>IF(EXACT($B314, ""), "", CONCATENATE(SUBSTITUTE(SEED!$F314, "-", ""), " (", SEED!$E314, IF(EXACT(SEED!$C314, ""), "", CONCATENATE(" ►", SEED!$C314)), ")"))</f>
        <v>+62 21 45850933 (Office Phone ►Institution - KSO WST-QDC)</v>
      </c>
    </row>
    <row r="315" spans="2:3" x14ac:dyDescent="0.2">
      <c r="B315" s="44">
        <f>IF(EXACT(SEED!$F315, ""), "", SEED!$J315)</f>
        <v>286000000000272</v>
      </c>
      <c r="C315" s="4" t="str">
        <f>IF(EXACT($B315, ""), "", CONCATENATE(SUBSTITUTE(SEED!$F315, "-", ""), " (", SEED!$E315, IF(EXACT(SEED!$C315, ""), "", CONCATENATE(" ►", SEED!$C315)), ")"))</f>
        <v>+62 21 45850932 (Faximile ►Institution - KSO WST-QDC)</v>
      </c>
    </row>
    <row r="316" spans="2:3" x14ac:dyDescent="0.2">
      <c r="B316" s="44">
        <f>IF(EXACT(SEED!$F316, ""), "", SEED!$J316)</f>
        <v>286000000000273</v>
      </c>
      <c r="C316" s="4" t="str">
        <f>IF(EXACT($B316, ""), "", CONCATENATE(SUBSTITUTE(SEED!$F316, "-", ""), " (", SEED!$E316, IF(EXACT(SEED!$C316, ""), "", CONCATENATE(" ►", SEED!$C316)), ")"))</f>
        <v>+62 21 22822980 (Office Phone ►Institution - PT. Adhi Commuter Properti)</v>
      </c>
    </row>
    <row r="317" spans="2:3" x14ac:dyDescent="0.2">
      <c r="B317" s="44">
        <f>IF(EXACT(SEED!$F317, ""), "", SEED!$J317)</f>
        <v>286000000000274</v>
      </c>
      <c r="C317" s="4" t="str">
        <f>IF(EXACT($B317, ""), "", CONCATENATE(SUBSTITUTE(SEED!$F317, "-", ""), " (", SEED!$E317, IF(EXACT(SEED!$C317, ""), "", CONCATENATE(" ►", SEED!$C317)), ")"))</f>
        <v>+62 21 22822081 (Faximile ►Institution - PT. Adhi Commuter Properti)</v>
      </c>
    </row>
    <row r="318" spans="2:3" x14ac:dyDescent="0.2">
      <c r="B318" s="44">
        <f>IF(EXACT(SEED!$F318, ""), "", SEED!$J318)</f>
        <v>286000000000275</v>
      </c>
      <c r="C318" s="4" t="str">
        <f>IF(EXACT($B318, ""), "", CONCATENATE(SUBSTITUTE(SEED!$F318, "-", ""), " (", SEED!$E318, IF(EXACT(SEED!$C318, ""), "", CONCATENATE(" ►", SEED!$C318)), ")"))</f>
        <v>+62 24 6922402 (Office Phone ►Institution - PT. Pelayanan Listrik Nasional (PLN) (Persero) - Penyaluran dan Pusat Pengaturan )</v>
      </c>
    </row>
    <row r="319" spans="2:3" x14ac:dyDescent="0.2">
      <c r="B319" s="44">
        <f>IF(EXACT(SEED!$F319, ""), "", SEED!$J319)</f>
        <v>286000000000276</v>
      </c>
      <c r="C319" s="4" t="str">
        <f>IF(EXACT($B319, ""), "", CONCATENATE(SUBSTITUTE(SEED!$F319, "-", ""), " (", SEED!$E319, IF(EXACT(SEED!$C319, ""), "", CONCATENATE(" ►", SEED!$C319)), ")"))</f>
        <v>+62 24 6921223 (Faximile ►Institution - PT. Pelayanan Listrik Nasional (PLN) (Persero) - Penyaluran dan Pusat Pengaturan )</v>
      </c>
    </row>
    <row r="320" spans="2:3" x14ac:dyDescent="0.2">
      <c r="B320" s="44" t="str">
        <f>IF(EXACT(SEED!$F320, ""), "", SEED!$J320)</f>
        <v/>
      </c>
      <c r="C320" s="4" t="str">
        <f>IF(EXACT($B320, ""), "", CONCATENATE(SUBSTITUTE(SEED!$F320, "-", ""), " (", SEED!$E320, IF(EXACT(SEED!$C320, ""), "", CONCATENATE(" ►", SEED!$C320)), ")"))</f>
        <v/>
      </c>
    </row>
    <row r="321" spans="2:3" x14ac:dyDescent="0.2">
      <c r="B321" s="44" t="str">
        <f>IF(EXACT(SEED!$F321, ""), "", SEED!$J321)</f>
        <v/>
      </c>
      <c r="C321" s="4" t="str">
        <f>IF(EXACT($B321, ""), "", CONCATENATE(SUBSTITUTE(SEED!$F321, "-", ""), " (", SEED!$E321, IF(EXACT(SEED!$C321, ""), "", CONCATENATE(" ►", SEED!$C321)), ")"))</f>
        <v/>
      </c>
    </row>
    <row r="322" spans="2:3" x14ac:dyDescent="0.2">
      <c r="B322" s="44" t="str">
        <f>IF(EXACT(SEED!$F322, ""), "", SEED!$J322)</f>
        <v/>
      </c>
      <c r="C322" s="4" t="str">
        <f>IF(EXACT($B322, ""), "", CONCATENATE(SUBSTITUTE(SEED!$F322, "-", ""), " (", SEED!$E322, IF(EXACT(SEED!$C322, ""), "", CONCATENATE(" ►", SEED!$C322)), ")"))</f>
        <v/>
      </c>
    </row>
    <row r="323" spans="2:3" x14ac:dyDescent="0.2">
      <c r="B323" s="44" t="str">
        <f>IF(EXACT(SEED!$F323, ""), "", SEED!$J323)</f>
        <v/>
      </c>
      <c r="C323" s="4" t="str">
        <f>IF(EXACT($B323, ""), "", CONCATENATE(SUBSTITUTE(SEED!$F323, "-", ""), " (", SEED!$E323, IF(EXACT(SEED!$C323, ""), "", CONCATENATE(" ►", SEED!$C323)), ")"))</f>
        <v/>
      </c>
    </row>
    <row r="324" spans="2:3" x14ac:dyDescent="0.2">
      <c r="B324" s="44" t="str">
        <f>IF(EXACT(SEED!$F324, ""), "", SEED!$J324)</f>
        <v/>
      </c>
      <c r="C324" s="4" t="str">
        <f>IF(EXACT($B324, ""), "", CONCATENATE(SUBSTITUTE(SEED!$F324, "-", ""), " (", SEED!$E324, IF(EXACT(SEED!$C324, ""), "", CONCATENATE(" ►", SEED!$C324)), ")"))</f>
        <v/>
      </c>
    </row>
    <row r="325" spans="2:3" x14ac:dyDescent="0.2">
      <c r="B325" s="44" t="str">
        <f>IF(EXACT(SEED!$F325, ""), "", SEED!$J325)</f>
        <v/>
      </c>
      <c r="C325" s="4" t="str">
        <f>IF(EXACT($B325, ""), "", CONCATENATE(SUBSTITUTE(SEED!$F325, "-", ""), " (", SEED!$E325, IF(EXACT(SEED!$C325, ""), "", CONCATENATE(" ►", SEED!$C325)), ")"))</f>
        <v/>
      </c>
    </row>
    <row r="326" spans="2:3" x14ac:dyDescent="0.2">
      <c r="B326" s="44" t="str">
        <f>IF(EXACT(SEED!$F326, ""), "", SEED!$J326)</f>
        <v/>
      </c>
      <c r="C326" s="4" t="str">
        <f>IF(EXACT($B326, ""), "", CONCATENATE(SUBSTITUTE(SEED!$F326, "-", ""), " (", SEED!$E326, IF(EXACT(SEED!$C326, ""), "", CONCATENATE(" ►", SEED!$C326)), ")"))</f>
        <v/>
      </c>
    </row>
    <row r="327" spans="2:3" x14ac:dyDescent="0.2">
      <c r="B327" s="44" t="str">
        <f>IF(EXACT(SEED!$F327, ""), "", SEED!$J327)</f>
        <v/>
      </c>
      <c r="C327" s="4" t="str">
        <f>IF(EXACT($B327, ""), "", CONCATENATE(SUBSTITUTE(SEED!$F327, "-", ""), " (", SEED!$E327, IF(EXACT(SEED!$C327, ""), "", CONCATENATE(" ►", SEED!$C327)), ")"))</f>
        <v/>
      </c>
    </row>
    <row r="328" spans="2:3" x14ac:dyDescent="0.2">
      <c r="B328" s="44" t="str">
        <f>IF(EXACT(SEED!$F328, ""), "", SEED!$J328)</f>
        <v/>
      </c>
      <c r="C328" s="4" t="str">
        <f>IF(EXACT($B328, ""), "", CONCATENATE(SUBSTITUTE(SEED!$F328, "-", ""), " (", SEED!$E328, IF(EXACT(SEED!$C328, ""), "", CONCATENATE(" ►", SEED!$C328)), ")"))</f>
        <v/>
      </c>
    </row>
    <row r="329" spans="2:3" x14ac:dyDescent="0.2">
      <c r="B329" s="44" t="str">
        <f>IF(EXACT(SEED!$F329, ""), "", SEED!$J329)</f>
        <v/>
      </c>
      <c r="C329" s="4" t="str">
        <f>IF(EXACT($B329, ""), "", CONCATENATE(SUBSTITUTE(SEED!$F329, "-", ""), " (", SEED!$E329, IF(EXACT(SEED!$C329, ""), "", CONCATENATE(" ►", SEED!$C329)), ")"))</f>
        <v/>
      </c>
    </row>
    <row r="330" spans="2:3" x14ac:dyDescent="0.2">
      <c r="B330" s="44" t="str">
        <f>IF(EXACT(SEED!$F330, ""), "", SEED!$J330)</f>
        <v/>
      </c>
      <c r="C330" s="4" t="str">
        <f>IF(EXACT($B330, ""), "", CONCATENATE(SUBSTITUTE(SEED!$F330, "-", ""), " (", SEED!$E330, IF(EXACT(SEED!$C330, ""), "", CONCATENATE(" ►", SEED!$C330)), ")"))</f>
        <v/>
      </c>
    </row>
    <row r="331" spans="2:3" x14ac:dyDescent="0.2">
      <c r="B331" s="44" t="str">
        <f>IF(EXACT(SEED!$F331, ""), "", SEED!$J331)</f>
        <v/>
      </c>
      <c r="C331" s="4" t="str">
        <f>IF(EXACT($B331, ""), "", CONCATENATE(SUBSTITUTE(SEED!$F331, "-", ""), " (", SEED!$E331, IF(EXACT(SEED!$C331, ""), "", CONCATENATE(" ►", SEED!$C331)), ")"))</f>
        <v/>
      </c>
    </row>
    <row r="332" spans="2:3" x14ac:dyDescent="0.2">
      <c r="B332" s="44" t="str">
        <f>IF(EXACT(SEED!$F332, ""), "", SEED!$J332)</f>
        <v/>
      </c>
      <c r="C332" s="4" t="str">
        <f>IF(EXACT($B332, ""), "", CONCATENATE(SUBSTITUTE(SEED!$F332, "-", ""), " (", SEED!$E332, IF(EXACT(SEED!$C332, ""), "", CONCATENATE(" ►", SEED!$C332)), ")"))</f>
        <v/>
      </c>
    </row>
    <row r="333" spans="2:3" x14ac:dyDescent="0.2">
      <c r="B333" s="44" t="str">
        <f>IF(EXACT(SEED!$F333, ""), "", SEED!$J333)</f>
        <v/>
      </c>
      <c r="C333" s="4" t="str">
        <f>IF(EXACT($B333, ""), "", CONCATENATE(SUBSTITUTE(SEED!$F333, "-", ""), " (", SEED!$E333, IF(EXACT(SEED!$C333, ""), "", CONCATENATE(" ►", SEED!$C333)), ")"))</f>
        <v/>
      </c>
    </row>
    <row r="334" spans="2:3" x14ac:dyDescent="0.2">
      <c r="B334" s="44" t="str">
        <f>IF(EXACT(SEED!$F334, ""), "", SEED!$J334)</f>
        <v/>
      </c>
      <c r="C334" s="4" t="str">
        <f>IF(EXACT($B334, ""), "", CONCATENATE(SUBSTITUTE(SEED!$F334, "-", ""), " (", SEED!$E334, IF(EXACT(SEED!$C334, ""), "", CONCATENATE(" ►", SEED!$C334)), ")"))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C10"/>
  <sheetViews>
    <sheetView workbookViewId="0">
      <selection activeCell="B8" sqref="B8"/>
    </sheetView>
  </sheetViews>
  <sheetFormatPr defaultRowHeight="12.75" x14ac:dyDescent="0.2"/>
  <cols>
    <col min="1" max="1" width="9.140625" style="5"/>
    <col min="2" max="2" width="16.140625" style="1" bestFit="1" customWidth="1"/>
    <col min="3" max="3" width="10.28515625" style="5" bestFit="1" customWidth="1"/>
    <col min="4" max="16384" width="9.140625" style="5"/>
  </cols>
  <sheetData>
    <row r="1" spans="2:3" ht="13.5" thickBot="1" x14ac:dyDescent="0.25"/>
    <row r="2" spans="2:3" x14ac:dyDescent="0.2">
      <c r="B2" s="12" t="s">
        <v>877</v>
      </c>
      <c r="C2" s="13" t="s">
        <v>878</v>
      </c>
    </row>
    <row r="3" spans="2:3" ht="13.5" thickBot="1" x14ac:dyDescent="0.25">
      <c r="B3" s="14"/>
      <c r="C3" s="15"/>
    </row>
    <row r="4" spans="2:3" x14ac:dyDescent="0.2">
      <c r="B4" s="8">
        <v>223000000000001</v>
      </c>
      <c r="C4" s="9" t="s">
        <v>871</v>
      </c>
    </row>
    <row r="5" spans="2:3" x14ac:dyDescent="0.2">
      <c r="B5" s="8">
        <v>223000000000002</v>
      </c>
      <c r="C5" s="9" t="s">
        <v>872</v>
      </c>
    </row>
    <row r="6" spans="2:3" x14ac:dyDescent="0.2">
      <c r="B6" s="8">
        <v>223000000000003</v>
      </c>
      <c r="C6" s="9" t="s">
        <v>873</v>
      </c>
    </row>
    <row r="7" spans="2:3" x14ac:dyDescent="0.2">
      <c r="B7" s="8">
        <v>223000000000004</v>
      </c>
      <c r="C7" s="9" t="s">
        <v>874</v>
      </c>
    </row>
    <row r="8" spans="2:3" x14ac:dyDescent="0.2">
      <c r="B8" s="8">
        <v>223000000000005</v>
      </c>
      <c r="C8" s="9" t="s">
        <v>875</v>
      </c>
    </row>
    <row r="9" spans="2:3" x14ac:dyDescent="0.2">
      <c r="B9" s="8">
        <v>223000000000006</v>
      </c>
      <c r="C9" s="9" t="s">
        <v>876</v>
      </c>
    </row>
    <row r="10" spans="2:3" x14ac:dyDescent="0.2">
      <c r="B10" s="10"/>
      <c r="C10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617"/>
  <sheetViews>
    <sheetView topLeftCell="A16" workbookViewId="0">
      <selection activeCell="D8" sqref="D8"/>
    </sheetView>
  </sheetViews>
  <sheetFormatPr defaultRowHeight="12.75" x14ac:dyDescent="0.2"/>
  <cols>
    <col min="1" max="1" width="9.140625" style="5"/>
    <col min="2" max="2" width="15.140625" style="2" bestFit="1" customWidth="1"/>
    <col min="3" max="3" width="31.28515625" style="5" bestFit="1" customWidth="1"/>
    <col min="4" max="16384" width="9.140625" style="5"/>
  </cols>
  <sheetData>
    <row r="4" spans="2:3" x14ac:dyDescent="0.2">
      <c r="B4" s="2">
        <v>25000000000001</v>
      </c>
      <c r="C4" s="5" t="s">
        <v>0</v>
      </c>
    </row>
    <row r="5" spans="2:3" x14ac:dyDescent="0.2">
      <c r="B5" s="2">
        <v>25000000000002</v>
      </c>
      <c r="C5" s="5" t="s">
        <v>1</v>
      </c>
    </row>
    <row r="6" spans="2:3" x14ac:dyDescent="0.2">
      <c r="B6" s="2">
        <v>25000000000003</v>
      </c>
      <c r="C6" s="5" t="s">
        <v>2</v>
      </c>
    </row>
    <row r="7" spans="2:3" x14ac:dyDescent="0.2">
      <c r="B7" s="2">
        <v>25000000000004</v>
      </c>
      <c r="C7" s="5" t="s">
        <v>3</v>
      </c>
    </row>
    <row r="8" spans="2:3" x14ac:dyDescent="0.2">
      <c r="B8" s="2">
        <v>25000000000005</v>
      </c>
      <c r="C8" s="5" t="s">
        <v>4</v>
      </c>
    </row>
    <row r="9" spans="2:3" x14ac:dyDescent="0.2">
      <c r="B9" s="2">
        <v>25000000000006</v>
      </c>
      <c r="C9" s="5" t="s">
        <v>5</v>
      </c>
    </row>
    <row r="10" spans="2:3" x14ac:dyDescent="0.2">
      <c r="B10" s="2">
        <v>25000000000007</v>
      </c>
      <c r="C10" s="5" t="s">
        <v>6</v>
      </c>
    </row>
    <row r="11" spans="2:3" x14ac:dyDescent="0.2">
      <c r="B11" s="2">
        <v>25000000000008</v>
      </c>
      <c r="C11" s="5" t="s">
        <v>7</v>
      </c>
    </row>
    <row r="12" spans="2:3" x14ac:dyDescent="0.2">
      <c r="B12" s="2">
        <v>25000000000009</v>
      </c>
      <c r="C12" s="5" t="s">
        <v>8</v>
      </c>
    </row>
    <row r="13" spans="2:3" x14ac:dyDescent="0.2">
      <c r="B13" s="2">
        <v>25000000000010</v>
      </c>
      <c r="C13" s="5" t="s">
        <v>9</v>
      </c>
    </row>
    <row r="14" spans="2:3" x14ac:dyDescent="0.2">
      <c r="B14" s="2">
        <v>25000000000011</v>
      </c>
      <c r="C14" s="5" t="s">
        <v>10</v>
      </c>
    </row>
    <row r="15" spans="2:3" x14ac:dyDescent="0.2">
      <c r="B15" s="2">
        <v>25000000000012</v>
      </c>
      <c r="C15" s="5" t="s">
        <v>11</v>
      </c>
    </row>
    <row r="16" spans="2:3" x14ac:dyDescent="0.2">
      <c r="B16" s="2">
        <v>25000000000013</v>
      </c>
      <c r="C16" s="5" t="s">
        <v>12</v>
      </c>
    </row>
    <row r="17" spans="2:3" x14ac:dyDescent="0.2">
      <c r="B17" s="2">
        <v>25000000000014</v>
      </c>
      <c r="C17" s="5" t="s">
        <v>13</v>
      </c>
    </row>
    <row r="18" spans="2:3" x14ac:dyDescent="0.2">
      <c r="B18" s="2">
        <v>25000000000015</v>
      </c>
      <c r="C18" s="5" t="s">
        <v>14</v>
      </c>
    </row>
    <row r="19" spans="2:3" x14ac:dyDescent="0.2">
      <c r="B19" s="2">
        <v>25000000000016</v>
      </c>
      <c r="C19" s="5" t="s">
        <v>15</v>
      </c>
    </row>
    <row r="20" spans="2:3" x14ac:dyDescent="0.2">
      <c r="B20" s="2">
        <v>25000000000017</v>
      </c>
      <c r="C20" s="5" t="s">
        <v>16</v>
      </c>
    </row>
    <row r="21" spans="2:3" x14ac:dyDescent="0.2">
      <c r="B21" s="2">
        <v>25000000000018</v>
      </c>
      <c r="C21" s="5" t="s">
        <v>17</v>
      </c>
    </row>
    <row r="22" spans="2:3" x14ac:dyDescent="0.2">
      <c r="B22" s="2">
        <v>25000000000019</v>
      </c>
      <c r="C22" s="5" t="s">
        <v>18</v>
      </c>
    </row>
    <row r="23" spans="2:3" x14ac:dyDescent="0.2">
      <c r="B23" s="2">
        <v>25000000000020</v>
      </c>
      <c r="C23" s="5" t="s">
        <v>19</v>
      </c>
    </row>
    <row r="24" spans="2:3" x14ac:dyDescent="0.2">
      <c r="B24" s="2">
        <v>25000000000021</v>
      </c>
      <c r="C24" s="5" t="s">
        <v>20</v>
      </c>
    </row>
    <row r="25" spans="2:3" x14ac:dyDescent="0.2">
      <c r="B25" s="2">
        <v>25000000000022</v>
      </c>
      <c r="C25" s="5" t="s">
        <v>21</v>
      </c>
    </row>
    <row r="26" spans="2:3" x14ac:dyDescent="0.2">
      <c r="B26" s="2">
        <v>25000000000023</v>
      </c>
      <c r="C26" s="5" t="s">
        <v>22</v>
      </c>
    </row>
    <row r="27" spans="2:3" x14ac:dyDescent="0.2">
      <c r="B27" s="2">
        <v>25000000000024</v>
      </c>
      <c r="C27" s="5" t="s">
        <v>23</v>
      </c>
    </row>
    <row r="28" spans="2:3" x14ac:dyDescent="0.2">
      <c r="B28" s="2">
        <v>25000000000025</v>
      </c>
      <c r="C28" s="5" t="s">
        <v>24</v>
      </c>
    </row>
    <row r="29" spans="2:3" x14ac:dyDescent="0.2">
      <c r="B29" s="2">
        <v>25000000000026</v>
      </c>
      <c r="C29" s="5" t="s">
        <v>25</v>
      </c>
    </row>
    <row r="30" spans="2:3" x14ac:dyDescent="0.2">
      <c r="B30" s="2">
        <v>25000000000027</v>
      </c>
      <c r="C30" s="5" t="s">
        <v>26</v>
      </c>
    </row>
    <row r="31" spans="2:3" x14ac:dyDescent="0.2">
      <c r="B31" s="2">
        <v>25000000000028</v>
      </c>
      <c r="C31" s="5" t="s">
        <v>27</v>
      </c>
    </row>
    <row r="32" spans="2:3" x14ac:dyDescent="0.2">
      <c r="B32" s="2">
        <v>25000000000029</v>
      </c>
      <c r="C32" s="5" t="s">
        <v>28</v>
      </c>
    </row>
    <row r="33" spans="2:3" x14ac:dyDescent="0.2">
      <c r="B33" s="2">
        <v>25000000000030</v>
      </c>
      <c r="C33" s="5" t="s">
        <v>29</v>
      </c>
    </row>
    <row r="34" spans="2:3" x14ac:dyDescent="0.2">
      <c r="B34" s="2">
        <v>25000000000031</v>
      </c>
      <c r="C34" s="5" t="s">
        <v>30</v>
      </c>
    </row>
    <row r="35" spans="2:3" x14ac:dyDescent="0.2">
      <c r="B35" s="2">
        <v>25000000000032</v>
      </c>
      <c r="C35" s="5" t="s">
        <v>31</v>
      </c>
    </row>
    <row r="36" spans="2:3" x14ac:dyDescent="0.2">
      <c r="B36" s="2">
        <v>25000000000033</v>
      </c>
      <c r="C36" s="5" t="s">
        <v>32</v>
      </c>
    </row>
    <row r="37" spans="2:3" x14ac:dyDescent="0.2">
      <c r="B37" s="2">
        <v>25000000000034</v>
      </c>
      <c r="C37" s="5" t="s">
        <v>33</v>
      </c>
    </row>
    <row r="38" spans="2:3" x14ac:dyDescent="0.2">
      <c r="B38" s="2">
        <v>25000000000035</v>
      </c>
      <c r="C38" s="5" t="s">
        <v>34</v>
      </c>
    </row>
    <row r="39" spans="2:3" x14ac:dyDescent="0.2">
      <c r="B39" s="2">
        <v>25000000000036</v>
      </c>
      <c r="C39" s="5" t="s">
        <v>35</v>
      </c>
    </row>
    <row r="40" spans="2:3" x14ac:dyDescent="0.2">
      <c r="B40" s="2">
        <v>25000000000037</v>
      </c>
      <c r="C40" s="5" t="s">
        <v>36</v>
      </c>
    </row>
    <row r="41" spans="2:3" x14ac:dyDescent="0.2">
      <c r="B41" s="2">
        <v>25000000000038</v>
      </c>
      <c r="C41" s="5" t="s">
        <v>37</v>
      </c>
    </row>
    <row r="42" spans="2:3" x14ac:dyDescent="0.2">
      <c r="B42" s="2">
        <v>25000000000039</v>
      </c>
      <c r="C42" s="5" t="s">
        <v>38</v>
      </c>
    </row>
    <row r="43" spans="2:3" x14ac:dyDescent="0.2">
      <c r="B43" s="2">
        <v>25000000000040</v>
      </c>
      <c r="C43" s="5" t="s">
        <v>39</v>
      </c>
    </row>
    <row r="44" spans="2:3" x14ac:dyDescent="0.2">
      <c r="B44" s="2">
        <v>25000000000041</v>
      </c>
      <c r="C44" s="5" t="s">
        <v>40</v>
      </c>
    </row>
    <row r="45" spans="2:3" x14ac:dyDescent="0.2">
      <c r="B45" s="2">
        <v>25000000000042</v>
      </c>
      <c r="C45" s="5" t="s">
        <v>41</v>
      </c>
    </row>
    <row r="46" spans="2:3" x14ac:dyDescent="0.2">
      <c r="B46" s="2">
        <v>25000000000043</v>
      </c>
      <c r="C46" s="5" t="s">
        <v>42</v>
      </c>
    </row>
    <row r="47" spans="2:3" x14ac:dyDescent="0.2">
      <c r="B47" s="2">
        <v>25000000000044</v>
      </c>
      <c r="C47" s="5" t="s">
        <v>43</v>
      </c>
    </row>
    <row r="48" spans="2:3" x14ac:dyDescent="0.2">
      <c r="B48" s="2">
        <v>25000000000045</v>
      </c>
      <c r="C48" s="5" t="s">
        <v>44</v>
      </c>
    </row>
    <row r="49" spans="2:3" x14ac:dyDescent="0.2">
      <c r="B49" s="2">
        <v>25000000000046</v>
      </c>
      <c r="C49" s="5" t="s">
        <v>45</v>
      </c>
    </row>
    <row r="50" spans="2:3" x14ac:dyDescent="0.2">
      <c r="B50" s="2">
        <v>25000000000047</v>
      </c>
      <c r="C50" s="5" t="s">
        <v>46</v>
      </c>
    </row>
    <row r="51" spans="2:3" x14ac:dyDescent="0.2">
      <c r="B51" s="2">
        <v>25000000000048</v>
      </c>
      <c r="C51" s="5" t="s">
        <v>47</v>
      </c>
    </row>
    <row r="52" spans="2:3" x14ac:dyDescent="0.2">
      <c r="B52" s="2">
        <v>25000000000049</v>
      </c>
      <c r="C52" s="5" t="s">
        <v>48</v>
      </c>
    </row>
    <row r="53" spans="2:3" x14ac:dyDescent="0.2">
      <c r="B53" s="2">
        <v>25000000000050</v>
      </c>
      <c r="C53" s="5" t="s">
        <v>49</v>
      </c>
    </row>
    <row r="54" spans="2:3" x14ac:dyDescent="0.2">
      <c r="B54" s="2">
        <v>25000000000051</v>
      </c>
      <c r="C54" s="5" t="s">
        <v>50</v>
      </c>
    </row>
    <row r="55" spans="2:3" x14ac:dyDescent="0.2">
      <c r="B55" s="2">
        <v>25000000000052</v>
      </c>
      <c r="C55" s="5" t="s">
        <v>51</v>
      </c>
    </row>
    <row r="56" spans="2:3" x14ac:dyDescent="0.2">
      <c r="B56" s="2">
        <v>25000000000053</v>
      </c>
      <c r="C56" s="5" t="s">
        <v>52</v>
      </c>
    </row>
    <row r="57" spans="2:3" x14ac:dyDescent="0.2">
      <c r="B57" s="2">
        <v>25000000000054</v>
      </c>
      <c r="C57" s="5" t="s">
        <v>53</v>
      </c>
    </row>
    <row r="58" spans="2:3" x14ac:dyDescent="0.2">
      <c r="B58" s="2">
        <v>25000000000055</v>
      </c>
      <c r="C58" s="5" t="s">
        <v>54</v>
      </c>
    </row>
    <row r="59" spans="2:3" x14ac:dyDescent="0.2">
      <c r="B59" s="2">
        <v>25000000000056</v>
      </c>
      <c r="C59" s="5" t="s">
        <v>55</v>
      </c>
    </row>
    <row r="60" spans="2:3" x14ac:dyDescent="0.2">
      <c r="B60" s="2">
        <v>25000000000057</v>
      </c>
      <c r="C60" s="5" t="s">
        <v>56</v>
      </c>
    </row>
    <row r="61" spans="2:3" x14ac:dyDescent="0.2">
      <c r="B61" s="2">
        <v>25000000000058</v>
      </c>
      <c r="C61" s="5" t="s">
        <v>57</v>
      </c>
    </row>
    <row r="62" spans="2:3" x14ac:dyDescent="0.2">
      <c r="B62" s="2">
        <v>25000000000059</v>
      </c>
      <c r="C62" s="5" t="s">
        <v>58</v>
      </c>
    </row>
    <row r="63" spans="2:3" x14ac:dyDescent="0.2">
      <c r="B63" s="2">
        <v>25000000000060</v>
      </c>
      <c r="C63" s="5" t="s">
        <v>59</v>
      </c>
    </row>
    <row r="64" spans="2:3" x14ac:dyDescent="0.2">
      <c r="B64" s="2">
        <v>25000000000061</v>
      </c>
      <c r="C64" s="5" t="s">
        <v>60</v>
      </c>
    </row>
    <row r="65" spans="2:3" x14ac:dyDescent="0.2">
      <c r="B65" s="2">
        <v>25000000000062</v>
      </c>
      <c r="C65" s="5" t="s">
        <v>61</v>
      </c>
    </row>
    <row r="66" spans="2:3" x14ac:dyDescent="0.2">
      <c r="B66" s="2">
        <v>25000000000063</v>
      </c>
      <c r="C66" s="5" t="s">
        <v>62</v>
      </c>
    </row>
    <row r="67" spans="2:3" x14ac:dyDescent="0.2">
      <c r="B67" s="2">
        <v>25000000000064</v>
      </c>
      <c r="C67" s="5" t="s">
        <v>63</v>
      </c>
    </row>
    <row r="68" spans="2:3" x14ac:dyDescent="0.2">
      <c r="B68" s="2">
        <v>25000000000065</v>
      </c>
      <c r="C68" s="5" t="s">
        <v>64</v>
      </c>
    </row>
    <row r="69" spans="2:3" x14ac:dyDescent="0.2">
      <c r="B69" s="2">
        <v>25000000000066</v>
      </c>
      <c r="C69" s="5" t="s">
        <v>65</v>
      </c>
    </row>
    <row r="70" spans="2:3" x14ac:dyDescent="0.2">
      <c r="B70" s="2">
        <v>25000000000067</v>
      </c>
      <c r="C70" s="5" t="s">
        <v>66</v>
      </c>
    </row>
    <row r="71" spans="2:3" x14ac:dyDescent="0.2">
      <c r="B71" s="2">
        <v>25000000000068</v>
      </c>
      <c r="C71" s="5" t="s">
        <v>67</v>
      </c>
    </row>
    <row r="72" spans="2:3" x14ac:dyDescent="0.2">
      <c r="B72" s="2">
        <v>25000000000069</v>
      </c>
      <c r="C72" s="5" t="s">
        <v>68</v>
      </c>
    </row>
    <row r="73" spans="2:3" x14ac:dyDescent="0.2">
      <c r="B73" s="2">
        <v>25000000000070</v>
      </c>
      <c r="C73" s="5" t="s">
        <v>69</v>
      </c>
    </row>
    <row r="74" spans="2:3" x14ac:dyDescent="0.2">
      <c r="B74" s="2">
        <v>25000000000071</v>
      </c>
      <c r="C74" s="5" t="s">
        <v>70</v>
      </c>
    </row>
    <row r="75" spans="2:3" x14ac:dyDescent="0.2">
      <c r="B75" s="2">
        <v>25000000000072</v>
      </c>
      <c r="C75" s="5" t="s">
        <v>71</v>
      </c>
    </row>
    <row r="76" spans="2:3" x14ac:dyDescent="0.2">
      <c r="B76" s="2">
        <v>25000000000073</v>
      </c>
      <c r="C76" s="5" t="s">
        <v>72</v>
      </c>
    </row>
    <row r="77" spans="2:3" x14ac:dyDescent="0.2">
      <c r="B77" s="2">
        <v>25000000000074</v>
      </c>
      <c r="C77" s="5" t="s">
        <v>73</v>
      </c>
    </row>
    <row r="78" spans="2:3" x14ac:dyDescent="0.2">
      <c r="B78" s="2">
        <v>25000000000075</v>
      </c>
      <c r="C78" s="5" t="s">
        <v>74</v>
      </c>
    </row>
    <row r="79" spans="2:3" x14ac:dyDescent="0.2">
      <c r="B79" s="2">
        <v>25000000000076</v>
      </c>
      <c r="C79" s="5" t="s">
        <v>75</v>
      </c>
    </row>
    <row r="80" spans="2:3" x14ac:dyDescent="0.2">
      <c r="B80" s="2">
        <v>25000000000077</v>
      </c>
      <c r="C80" s="5" t="s">
        <v>76</v>
      </c>
    </row>
    <row r="81" spans="2:3" x14ac:dyDescent="0.2">
      <c r="B81" s="2">
        <v>25000000000078</v>
      </c>
      <c r="C81" s="5" t="s">
        <v>77</v>
      </c>
    </row>
    <row r="82" spans="2:3" x14ac:dyDescent="0.2">
      <c r="B82" s="2">
        <v>25000000000079</v>
      </c>
      <c r="C82" s="5" t="s">
        <v>78</v>
      </c>
    </row>
    <row r="83" spans="2:3" x14ac:dyDescent="0.2">
      <c r="B83" s="2">
        <v>25000000000080</v>
      </c>
      <c r="C83" s="5" t="s">
        <v>79</v>
      </c>
    </row>
    <row r="84" spans="2:3" x14ac:dyDescent="0.2">
      <c r="B84" s="2">
        <v>25000000000081</v>
      </c>
      <c r="C84" s="5" t="s">
        <v>80</v>
      </c>
    </row>
    <row r="85" spans="2:3" x14ac:dyDescent="0.2">
      <c r="B85" s="2">
        <v>25000000000082</v>
      </c>
      <c r="C85" s="5" t="s">
        <v>81</v>
      </c>
    </row>
    <row r="86" spans="2:3" x14ac:dyDescent="0.2">
      <c r="B86" s="2">
        <v>25000000000083</v>
      </c>
      <c r="C86" s="5" t="s">
        <v>82</v>
      </c>
    </row>
    <row r="87" spans="2:3" x14ac:dyDescent="0.2">
      <c r="B87" s="2">
        <v>25000000000084</v>
      </c>
      <c r="C87" s="5" t="s">
        <v>83</v>
      </c>
    </row>
    <row r="88" spans="2:3" x14ac:dyDescent="0.2">
      <c r="B88" s="2">
        <v>25000000000085</v>
      </c>
      <c r="C88" s="5" t="s">
        <v>84</v>
      </c>
    </row>
    <row r="89" spans="2:3" x14ac:dyDescent="0.2">
      <c r="B89" s="2">
        <v>25000000000086</v>
      </c>
      <c r="C89" s="5" t="s">
        <v>85</v>
      </c>
    </row>
    <row r="90" spans="2:3" x14ac:dyDescent="0.2">
      <c r="B90" s="2">
        <v>25000000000087</v>
      </c>
      <c r="C90" s="5" t="s">
        <v>86</v>
      </c>
    </row>
    <row r="91" spans="2:3" x14ac:dyDescent="0.2">
      <c r="B91" s="2">
        <v>25000000000088</v>
      </c>
      <c r="C91" s="5" t="s">
        <v>87</v>
      </c>
    </row>
    <row r="92" spans="2:3" x14ac:dyDescent="0.2">
      <c r="B92" s="2">
        <v>25000000000089</v>
      </c>
      <c r="C92" s="5" t="s">
        <v>88</v>
      </c>
    </row>
    <row r="93" spans="2:3" x14ac:dyDescent="0.2">
      <c r="B93" s="2">
        <v>25000000000090</v>
      </c>
      <c r="C93" s="5" t="s">
        <v>89</v>
      </c>
    </row>
    <row r="94" spans="2:3" x14ac:dyDescent="0.2">
      <c r="B94" s="2">
        <v>25000000000091</v>
      </c>
      <c r="C94" s="5" t="s">
        <v>90</v>
      </c>
    </row>
    <row r="95" spans="2:3" x14ac:dyDescent="0.2">
      <c r="B95" s="2">
        <v>25000000000092</v>
      </c>
      <c r="C95" s="5" t="s">
        <v>91</v>
      </c>
    </row>
    <row r="96" spans="2:3" x14ac:dyDescent="0.2">
      <c r="B96" s="2">
        <v>25000000000093</v>
      </c>
      <c r="C96" s="5" t="s">
        <v>92</v>
      </c>
    </row>
    <row r="97" spans="2:3" x14ac:dyDescent="0.2">
      <c r="B97" s="2">
        <v>25000000000094</v>
      </c>
      <c r="C97" s="5" t="s">
        <v>93</v>
      </c>
    </row>
    <row r="98" spans="2:3" x14ac:dyDescent="0.2">
      <c r="B98" s="2">
        <v>25000000000095</v>
      </c>
      <c r="C98" s="5" t="s">
        <v>94</v>
      </c>
    </row>
    <row r="99" spans="2:3" x14ac:dyDescent="0.2">
      <c r="B99" s="2">
        <v>25000000000096</v>
      </c>
      <c r="C99" s="5" t="s">
        <v>95</v>
      </c>
    </row>
    <row r="100" spans="2:3" x14ac:dyDescent="0.2">
      <c r="B100" s="2">
        <v>25000000000097</v>
      </c>
      <c r="C100" s="5" t="s">
        <v>96</v>
      </c>
    </row>
    <row r="101" spans="2:3" x14ac:dyDescent="0.2">
      <c r="B101" s="2">
        <v>25000000000098</v>
      </c>
      <c r="C101" s="5" t="s">
        <v>97</v>
      </c>
    </row>
    <row r="102" spans="2:3" x14ac:dyDescent="0.2">
      <c r="B102" s="2">
        <v>25000000000099</v>
      </c>
      <c r="C102" s="5" t="s">
        <v>98</v>
      </c>
    </row>
    <row r="103" spans="2:3" x14ac:dyDescent="0.2">
      <c r="B103" s="2">
        <v>25000000000100</v>
      </c>
      <c r="C103" s="5" t="s">
        <v>99</v>
      </c>
    </row>
    <row r="104" spans="2:3" x14ac:dyDescent="0.2">
      <c r="B104" s="2">
        <v>25000000000101</v>
      </c>
      <c r="C104" s="5" t="s">
        <v>100</v>
      </c>
    </row>
    <row r="105" spans="2:3" x14ac:dyDescent="0.2">
      <c r="B105" s="2">
        <v>25000000000102</v>
      </c>
      <c r="C105" s="5" t="s">
        <v>101</v>
      </c>
    </row>
    <row r="106" spans="2:3" x14ac:dyDescent="0.2">
      <c r="B106" s="2">
        <v>25000000000103</v>
      </c>
      <c r="C106" s="5" t="s">
        <v>102</v>
      </c>
    </row>
    <row r="107" spans="2:3" x14ac:dyDescent="0.2">
      <c r="B107" s="2">
        <v>25000000000104</v>
      </c>
      <c r="C107" s="5" t="s">
        <v>103</v>
      </c>
    </row>
    <row r="108" spans="2:3" x14ac:dyDescent="0.2">
      <c r="B108" s="2">
        <v>25000000000105</v>
      </c>
      <c r="C108" s="5" t="s">
        <v>104</v>
      </c>
    </row>
    <row r="109" spans="2:3" x14ac:dyDescent="0.2">
      <c r="B109" s="2">
        <v>25000000000106</v>
      </c>
      <c r="C109" s="5" t="s">
        <v>105</v>
      </c>
    </row>
    <row r="110" spans="2:3" x14ac:dyDescent="0.2">
      <c r="B110" s="2">
        <v>25000000000107</v>
      </c>
      <c r="C110" s="5" t="s">
        <v>106</v>
      </c>
    </row>
    <row r="111" spans="2:3" x14ac:dyDescent="0.2">
      <c r="B111" s="2">
        <v>25000000000108</v>
      </c>
      <c r="C111" s="5" t="s">
        <v>107</v>
      </c>
    </row>
    <row r="112" spans="2:3" x14ac:dyDescent="0.2">
      <c r="B112" s="2">
        <v>25000000000109</v>
      </c>
      <c r="C112" s="5" t="s">
        <v>108</v>
      </c>
    </row>
    <row r="113" spans="2:3" x14ac:dyDescent="0.2">
      <c r="B113" s="2">
        <v>25000000000110</v>
      </c>
      <c r="C113" s="5" t="s">
        <v>109</v>
      </c>
    </row>
    <row r="114" spans="2:3" x14ac:dyDescent="0.2">
      <c r="B114" s="2">
        <v>25000000000111</v>
      </c>
      <c r="C114" s="5" t="s">
        <v>110</v>
      </c>
    </row>
    <row r="115" spans="2:3" x14ac:dyDescent="0.2">
      <c r="B115" s="2">
        <v>25000000000112</v>
      </c>
      <c r="C115" s="5" t="s">
        <v>111</v>
      </c>
    </row>
    <row r="116" spans="2:3" x14ac:dyDescent="0.2">
      <c r="B116" s="2">
        <v>25000000000113</v>
      </c>
      <c r="C116" s="5" t="s">
        <v>112</v>
      </c>
    </row>
    <row r="117" spans="2:3" x14ac:dyDescent="0.2">
      <c r="B117" s="2">
        <v>25000000000114</v>
      </c>
      <c r="C117" s="5" t="s">
        <v>113</v>
      </c>
    </row>
    <row r="118" spans="2:3" x14ac:dyDescent="0.2">
      <c r="B118" s="2">
        <v>25000000000115</v>
      </c>
      <c r="C118" s="5" t="s">
        <v>114</v>
      </c>
    </row>
    <row r="119" spans="2:3" x14ac:dyDescent="0.2">
      <c r="B119" s="2">
        <v>25000000000116</v>
      </c>
      <c r="C119" s="5" t="s">
        <v>115</v>
      </c>
    </row>
    <row r="120" spans="2:3" x14ac:dyDescent="0.2">
      <c r="B120" s="2">
        <v>25000000000117</v>
      </c>
      <c r="C120" s="5" t="s">
        <v>116</v>
      </c>
    </row>
    <row r="121" spans="2:3" x14ac:dyDescent="0.2">
      <c r="B121" s="2">
        <v>25000000000118</v>
      </c>
      <c r="C121" s="5" t="s">
        <v>117</v>
      </c>
    </row>
    <row r="122" spans="2:3" x14ac:dyDescent="0.2">
      <c r="B122" s="2">
        <v>25000000000119</v>
      </c>
      <c r="C122" s="5" t="s">
        <v>118</v>
      </c>
    </row>
    <row r="123" spans="2:3" x14ac:dyDescent="0.2">
      <c r="B123" s="2">
        <v>25000000000120</v>
      </c>
      <c r="C123" s="5" t="s">
        <v>119</v>
      </c>
    </row>
    <row r="124" spans="2:3" x14ac:dyDescent="0.2">
      <c r="B124" s="2">
        <v>25000000000121</v>
      </c>
      <c r="C124" s="5" t="s">
        <v>120</v>
      </c>
    </row>
    <row r="125" spans="2:3" x14ac:dyDescent="0.2">
      <c r="B125" s="2">
        <v>25000000000122</v>
      </c>
      <c r="C125" s="5" t="s">
        <v>121</v>
      </c>
    </row>
    <row r="126" spans="2:3" x14ac:dyDescent="0.2">
      <c r="B126" s="2">
        <v>25000000000123</v>
      </c>
      <c r="C126" s="5" t="s">
        <v>122</v>
      </c>
    </row>
    <row r="127" spans="2:3" x14ac:dyDescent="0.2">
      <c r="B127" s="2">
        <v>25000000000124</v>
      </c>
      <c r="C127" s="5" t="s">
        <v>123</v>
      </c>
    </row>
    <row r="128" spans="2:3" x14ac:dyDescent="0.2">
      <c r="B128" s="2">
        <v>25000000000125</v>
      </c>
      <c r="C128" s="5" t="s">
        <v>124</v>
      </c>
    </row>
    <row r="129" spans="2:3" x14ac:dyDescent="0.2">
      <c r="B129" s="2">
        <v>25000000000126</v>
      </c>
      <c r="C129" s="5" t="s">
        <v>125</v>
      </c>
    </row>
    <row r="130" spans="2:3" x14ac:dyDescent="0.2">
      <c r="B130" s="2">
        <v>25000000000127</v>
      </c>
      <c r="C130" s="5" t="s">
        <v>126</v>
      </c>
    </row>
    <row r="131" spans="2:3" x14ac:dyDescent="0.2">
      <c r="B131" s="2">
        <v>25000000000128</v>
      </c>
      <c r="C131" s="5" t="s">
        <v>127</v>
      </c>
    </row>
    <row r="132" spans="2:3" x14ac:dyDescent="0.2">
      <c r="B132" s="2">
        <v>25000000000129</v>
      </c>
      <c r="C132" s="5" t="s">
        <v>128</v>
      </c>
    </row>
    <row r="133" spans="2:3" x14ac:dyDescent="0.2">
      <c r="B133" s="2">
        <v>25000000000130</v>
      </c>
      <c r="C133" s="5" t="s">
        <v>129</v>
      </c>
    </row>
    <row r="134" spans="2:3" x14ac:dyDescent="0.2">
      <c r="B134" s="2">
        <v>25000000000131</v>
      </c>
      <c r="C134" s="5" t="s">
        <v>130</v>
      </c>
    </row>
    <row r="135" spans="2:3" x14ac:dyDescent="0.2">
      <c r="B135" s="2">
        <v>25000000000132</v>
      </c>
      <c r="C135" s="5" t="s">
        <v>131</v>
      </c>
    </row>
    <row r="136" spans="2:3" x14ac:dyDescent="0.2">
      <c r="B136" s="2">
        <v>25000000000133</v>
      </c>
      <c r="C136" s="5" t="s">
        <v>132</v>
      </c>
    </row>
    <row r="137" spans="2:3" x14ac:dyDescent="0.2">
      <c r="B137" s="2">
        <v>25000000000134</v>
      </c>
      <c r="C137" s="5" t="s">
        <v>133</v>
      </c>
    </row>
    <row r="138" spans="2:3" x14ac:dyDescent="0.2">
      <c r="B138" s="2">
        <v>25000000000135</v>
      </c>
      <c r="C138" s="5" t="s">
        <v>134</v>
      </c>
    </row>
    <row r="139" spans="2:3" x14ac:dyDescent="0.2">
      <c r="B139" s="2">
        <v>25000000000136</v>
      </c>
      <c r="C139" s="5" t="s">
        <v>135</v>
      </c>
    </row>
    <row r="140" spans="2:3" x14ac:dyDescent="0.2">
      <c r="B140" s="2">
        <v>25000000000137</v>
      </c>
      <c r="C140" s="5" t="s">
        <v>136</v>
      </c>
    </row>
    <row r="141" spans="2:3" x14ac:dyDescent="0.2">
      <c r="B141" s="2">
        <v>25000000000138</v>
      </c>
      <c r="C141" s="5" t="s">
        <v>137</v>
      </c>
    </row>
    <row r="142" spans="2:3" x14ac:dyDescent="0.2">
      <c r="B142" s="2">
        <v>25000000000139</v>
      </c>
      <c r="C142" s="5" t="s">
        <v>138</v>
      </c>
    </row>
    <row r="143" spans="2:3" x14ac:dyDescent="0.2">
      <c r="B143" s="2">
        <v>25000000000140</v>
      </c>
      <c r="C143" s="5" t="s">
        <v>139</v>
      </c>
    </row>
    <row r="144" spans="2:3" x14ac:dyDescent="0.2">
      <c r="B144" s="2">
        <v>25000000000141</v>
      </c>
      <c r="C144" s="5" t="s">
        <v>140</v>
      </c>
    </row>
    <row r="145" spans="2:3" x14ac:dyDescent="0.2">
      <c r="B145" s="2">
        <v>25000000000142</v>
      </c>
      <c r="C145" s="5" t="s">
        <v>141</v>
      </c>
    </row>
    <row r="146" spans="2:3" x14ac:dyDescent="0.2">
      <c r="B146" s="2">
        <v>25000000000143</v>
      </c>
      <c r="C146" s="5" t="s">
        <v>142</v>
      </c>
    </row>
    <row r="147" spans="2:3" x14ac:dyDescent="0.2">
      <c r="B147" s="2">
        <v>25000000000144</v>
      </c>
      <c r="C147" s="5" t="s">
        <v>143</v>
      </c>
    </row>
    <row r="148" spans="2:3" x14ac:dyDescent="0.2">
      <c r="B148" s="2">
        <v>25000000000145</v>
      </c>
      <c r="C148" s="5" t="s">
        <v>144</v>
      </c>
    </row>
    <row r="149" spans="2:3" x14ac:dyDescent="0.2">
      <c r="B149" s="2">
        <v>25000000000146</v>
      </c>
      <c r="C149" s="5" t="s">
        <v>145</v>
      </c>
    </row>
    <row r="150" spans="2:3" x14ac:dyDescent="0.2">
      <c r="B150" s="2">
        <v>25000000000147</v>
      </c>
      <c r="C150" s="5" t="s">
        <v>146</v>
      </c>
    </row>
    <row r="151" spans="2:3" x14ac:dyDescent="0.2">
      <c r="B151" s="2">
        <v>25000000000148</v>
      </c>
      <c r="C151" s="5" t="s">
        <v>147</v>
      </c>
    </row>
    <row r="152" spans="2:3" x14ac:dyDescent="0.2">
      <c r="B152" s="2">
        <v>25000000000149</v>
      </c>
      <c r="C152" s="5" t="s">
        <v>148</v>
      </c>
    </row>
    <row r="153" spans="2:3" x14ac:dyDescent="0.2">
      <c r="B153" s="2">
        <v>25000000000150</v>
      </c>
      <c r="C153" s="5" t="s">
        <v>149</v>
      </c>
    </row>
    <row r="154" spans="2:3" x14ac:dyDescent="0.2">
      <c r="B154" s="2">
        <v>25000000000151</v>
      </c>
      <c r="C154" s="5" t="s">
        <v>150</v>
      </c>
    </row>
    <row r="155" spans="2:3" x14ac:dyDescent="0.2">
      <c r="B155" s="2">
        <v>25000000000152</v>
      </c>
      <c r="C155" s="5" t="s">
        <v>151</v>
      </c>
    </row>
    <row r="156" spans="2:3" x14ac:dyDescent="0.2">
      <c r="B156" s="2">
        <v>25000000000153</v>
      </c>
      <c r="C156" s="5" t="s">
        <v>152</v>
      </c>
    </row>
    <row r="157" spans="2:3" x14ac:dyDescent="0.2">
      <c r="B157" s="2">
        <v>25000000000154</v>
      </c>
      <c r="C157" s="5" t="s">
        <v>153</v>
      </c>
    </row>
    <row r="158" spans="2:3" x14ac:dyDescent="0.2">
      <c r="B158" s="2">
        <v>25000000000155</v>
      </c>
      <c r="C158" s="5" t="s">
        <v>154</v>
      </c>
    </row>
    <row r="159" spans="2:3" x14ac:dyDescent="0.2">
      <c r="B159" s="2">
        <v>25000000000156</v>
      </c>
      <c r="C159" s="5" t="s">
        <v>155</v>
      </c>
    </row>
    <row r="160" spans="2:3" x14ac:dyDescent="0.2">
      <c r="B160" s="2">
        <v>25000000000157</v>
      </c>
      <c r="C160" s="5" t="s">
        <v>156</v>
      </c>
    </row>
    <row r="161" spans="2:3" x14ac:dyDescent="0.2">
      <c r="B161" s="2">
        <v>25000000000158</v>
      </c>
      <c r="C161" s="5" t="s">
        <v>157</v>
      </c>
    </row>
    <row r="162" spans="2:3" x14ac:dyDescent="0.2">
      <c r="B162" s="2">
        <v>25000000000159</v>
      </c>
      <c r="C162" s="5" t="s">
        <v>158</v>
      </c>
    </row>
    <row r="163" spans="2:3" x14ac:dyDescent="0.2">
      <c r="B163" s="2">
        <v>25000000000160</v>
      </c>
      <c r="C163" s="5" t="s">
        <v>159</v>
      </c>
    </row>
    <row r="164" spans="2:3" x14ac:dyDescent="0.2">
      <c r="B164" s="2">
        <v>25000000000161</v>
      </c>
      <c r="C164" s="5" t="s">
        <v>160</v>
      </c>
    </row>
    <row r="165" spans="2:3" x14ac:dyDescent="0.2">
      <c r="B165" s="2">
        <v>25000000000162</v>
      </c>
      <c r="C165" s="5" t="s">
        <v>161</v>
      </c>
    </row>
    <row r="166" spans="2:3" x14ac:dyDescent="0.2">
      <c r="B166" s="2">
        <v>25000000000163</v>
      </c>
      <c r="C166" s="5" t="s">
        <v>162</v>
      </c>
    </row>
    <row r="167" spans="2:3" x14ac:dyDescent="0.2">
      <c r="B167" s="2">
        <v>25000000000164</v>
      </c>
      <c r="C167" s="5" t="s">
        <v>163</v>
      </c>
    </row>
    <row r="168" spans="2:3" x14ac:dyDescent="0.2">
      <c r="B168" s="2">
        <v>25000000000165</v>
      </c>
      <c r="C168" s="5" t="s">
        <v>164</v>
      </c>
    </row>
    <row r="169" spans="2:3" x14ac:dyDescent="0.2">
      <c r="B169" s="2">
        <v>25000000000166</v>
      </c>
      <c r="C169" s="5" t="s">
        <v>165</v>
      </c>
    </row>
    <row r="170" spans="2:3" x14ac:dyDescent="0.2">
      <c r="B170" s="2">
        <v>25000000000167</v>
      </c>
      <c r="C170" s="5" t="s">
        <v>166</v>
      </c>
    </row>
    <row r="171" spans="2:3" x14ac:dyDescent="0.2">
      <c r="B171" s="2">
        <v>25000000000168</v>
      </c>
      <c r="C171" s="5" t="s">
        <v>167</v>
      </c>
    </row>
    <row r="172" spans="2:3" x14ac:dyDescent="0.2">
      <c r="B172" s="2">
        <v>25000000000169</v>
      </c>
      <c r="C172" s="5" t="s">
        <v>168</v>
      </c>
    </row>
    <row r="173" spans="2:3" x14ac:dyDescent="0.2">
      <c r="B173" s="2">
        <v>25000000000170</v>
      </c>
      <c r="C173" s="5" t="s">
        <v>169</v>
      </c>
    </row>
    <row r="174" spans="2:3" x14ac:dyDescent="0.2">
      <c r="B174" s="2">
        <v>25000000000171</v>
      </c>
      <c r="C174" s="5" t="s">
        <v>170</v>
      </c>
    </row>
    <row r="175" spans="2:3" x14ac:dyDescent="0.2">
      <c r="B175" s="2">
        <v>25000000000172</v>
      </c>
      <c r="C175" s="5" t="s">
        <v>171</v>
      </c>
    </row>
    <row r="176" spans="2:3" x14ac:dyDescent="0.2">
      <c r="B176" s="2">
        <v>25000000000173</v>
      </c>
      <c r="C176" s="5" t="s">
        <v>172</v>
      </c>
    </row>
    <row r="177" spans="2:3" x14ac:dyDescent="0.2">
      <c r="B177" s="2">
        <v>25000000000174</v>
      </c>
      <c r="C177" s="5" t="s">
        <v>173</v>
      </c>
    </row>
    <row r="178" spans="2:3" x14ac:dyDescent="0.2">
      <c r="B178" s="2">
        <v>25000000000175</v>
      </c>
      <c r="C178" s="5" t="s">
        <v>174</v>
      </c>
    </row>
    <row r="179" spans="2:3" x14ac:dyDescent="0.2">
      <c r="B179" s="2">
        <v>25000000000176</v>
      </c>
      <c r="C179" s="5" t="s">
        <v>175</v>
      </c>
    </row>
    <row r="180" spans="2:3" x14ac:dyDescent="0.2">
      <c r="B180" s="2">
        <v>25000000000177</v>
      </c>
      <c r="C180" s="5" t="s">
        <v>176</v>
      </c>
    </row>
    <row r="181" spans="2:3" x14ac:dyDescent="0.2">
      <c r="B181" s="2">
        <v>25000000000178</v>
      </c>
      <c r="C181" s="5" t="s">
        <v>177</v>
      </c>
    </row>
    <row r="182" spans="2:3" x14ac:dyDescent="0.2">
      <c r="B182" s="2">
        <v>25000000000179</v>
      </c>
      <c r="C182" s="5" t="s">
        <v>178</v>
      </c>
    </row>
    <row r="183" spans="2:3" x14ac:dyDescent="0.2">
      <c r="B183" s="2">
        <v>25000000000180</v>
      </c>
      <c r="C183" s="5" t="s">
        <v>179</v>
      </c>
    </row>
    <row r="184" spans="2:3" x14ac:dyDescent="0.2">
      <c r="B184" s="2">
        <v>25000000000181</v>
      </c>
      <c r="C184" s="5" t="s">
        <v>180</v>
      </c>
    </row>
    <row r="185" spans="2:3" x14ac:dyDescent="0.2">
      <c r="B185" s="2">
        <v>25000000000182</v>
      </c>
      <c r="C185" s="5" t="s">
        <v>181</v>
      </c>
    </row>
    <row r="186" spans="2:3" x14ac:dyDescent="0.2">
      <c r="B186" s="2">
        <v>25000000000183</v>
      </c>
      <c r="C186" s="5" t="s">
        <v>182</v>
      </c>
    </row>
    <row r="187" spans="2:3" x14ac:dyDescent="0.2">
      <c r="B187" s="2">
        <v>25000000000184</v>
      </c>
      <c r="C187" s="5" t="s">
        <v>183</v>
      </c>
    </row>
    <row r="188" spans="2:3" x14ac:dyDescent="0.2">
      <c r="B188" s="2">
        <v>25000000000185</v>
      </c>
      <c r="C188" s="5" t="s">
        <v>184</v>
      </c>
    </row>
    <row r="189" spans="2:3" x14ac:dyDescent="0.2">
      <c r="B189" s="2">
        <v>25000000000186</v>
      </c>
      <c r="C189" s="5" t="s">
        <v>185</v>
      </c>
    </row>
    <row r="190" spans="2:3" x14ac:dyDescent="0.2">
      <c r="B190" s="2">
        <v>25000000000187</v>
      </c>
      <c r="C190" s="5" t="s">
        <v>186</v>
      </c>
    </row>
    <row r="191" spans="2:3" x14ac:dyDescent="0.2">
      <c r="B191" s="2">
        <v>25000000000188</v>
      </c>
      <c r="C191" s="5" t="s">
        <v>187</v>
      </c>
    </row>
    <row r="192" spans="2:3" x14ac:dyDescent="0.2">
      <c r="B192" s="2">
        <v>25000000000189</v>
      </c>
      <c r="C192" s="5" t="s">
        <v>188</v>
      </c>
    </row>
    <row r="193" spans="2:3" x14ac:dyDescent="0.2">
      <c r="B193" s="2">
        <v>25000000000190</v>
      </c>
      <c r="C193" s="5" t="s">
        <v>189</v>
      </c>
    </row>
    <row r="194" spans="2:3" x14ac:dyDescent="0.2">
      <c r="B194" s="2">
        <v>25000000000191</v>
      </c>
      <c r="C194" s="5" t="s">
        <v>190</v>
      </c>
    </row>
    <row r="195" spans="2:3" x14ac:dyDescent="0.2">
      <c r="B195" s="2">
        <v>25000000000192</v>
      </c>
      <c r="C195" s="5" t="s">
        <v>191</v>
      </c>
    </row>
    <row r="196" spans="2:3" x14ac:dyDescent="0.2">
      <c r="B196" s="2">
        <v>25000000000193</v>
      </c>
      <c r="C196" s="5" t="s">
        <v>192</v>
      </c>
    </row>
    <row r="197" spans="2:3" x14ac:dyDescent="0.2">
      <c r="B197" s="2">
        <v>25000000000194</v>
      </c>
      <c r="C197" s="5" t="s">
        <v>193</v>
      </c>
    </row>
    <row r="198" spans="2:3" x14ac:dyDescent="0.2">
      <c r="B198" s="2">
        <v>25000000000195</v>
      </c>
      <c r="C198" s="5" t="s">
        <v>194</v>
      </c>
    </row>
    <row r="199" spans="2:3" x14ac:dyDescent="0.2">
      <c r="B199" s="2">
        <v>25000000000196</v>
      </c>
      <c r="C199" s="5" t="s">
        <v>195</v>
      </c>
    </row>
    <row r="200" spans="2:3" x14ac:dyDescent="0.2">
      <c r="B200" s="2">
        <v>25000000000197</v>
      </c>
      <c r="C200" s="5" t="s">
        <v>196</v>
      </c>
    </row>
    <row r="201" spans="2:3" x14ac:dyDescent="0.2">
      <c r="B201" s="2">
        <v>25000000000198</v>
      </c>
      <c r="C201" s="5" t="s">
        <v>197</v>
      </c>
    </row>
    <row r="202" spans="2:3" x14ac:dyDescent="0.2">
      <c r="B202" s="2">
        <v>25000000000199</v>
      </c>
      <c r="C202" s="5" t="s">
        <v>198</v>
      </c>
    </row>
    <row r="203" spans="2:3" x14ac:dyDescent="0.2">
      <c r="B203" s="2">
        <v>25000000000200</v>
      </c>
      <c r="C203" s="5" t="s">
        <v>199</v>
      </c>
    </row>
    <row r="204" spans="2:3" x14ac:dyDescent="0.2">
      <c r="B204" s="2">
        <v>25000000000201</v>
      </c>
      <c r="C204" s="5" t="s">
        <v>200</v>
      </c>
    </row>
    <row r="205" spans="2:3" x14ac:dyDescent="0.2">
      <c r="B205" s="2">
        <v>25000000000202</v>
      </c>
      <c r="C205" s="5" t="s">
        <v>201</v>
      </c>
    </row>
    <row r="206" spans="2:3" x14ac:dyDescent="0.2">
      <c r="B206" s="2">
        <v>25000000000203</v>
      </c>
      <c r="C206" s="5" t="s">
        <v>202</v>
      </c>
    </row>
    <row r="207" spans="2:3" x14ac:dyDescent="0.2">
      <c r="B207" s="2">
        <v>25000000000204</v>
      </c>
      <c r="C207" s="5" t="s">
        <v>203</v>
      </c>
    </row>
    <row r="208" spans="2:3" x14ac:dyDescent="0.2">
      <c r="B208" s="2">
        <v>25000000000205</v>
      </c>
      <c r="C208" s="5" t="s">
        <v>204</v>
      </c>
    </row>
    <row r="209" spans="2:3" x14ac:dyDescent="0.2">
      <c r="B209" s="2">
        <v>25000000000206</v>
      </c>
      <c r="C209" s="5" t="s">
        <v>205</v>
      </c>
    </row>
    <row r="210" spans="2:3" x14ac:dyDescent="0.2">
      <c r="B210" s="2">
        <v>25000000000207</v>
      </c>
      <c r="C210" s="5" t="s">
        <v>206</v>
      </c>
    </row>
    <row r="211" spans="2:3" x14ac:dyDescent="0.2">
      <c r="B211" s="2">
        <v>25000000000208</v>
      </c>
      <c r="C211" s="5" t="s">
        <v>207</v>
      </c>
    </row>
    <row r="212" spans="2:3" x14ac:dyDescent="0.2">
      <c r="B212" s="2">
        <v>25000000000209</v>
      </c>
      <c r="C212" s="5" t="s">
        <v>208</v>
      </c>
    </row>
    <row r="213" spans="2:3" x14ac:dyDescent="0.2">
      <c r="B213" s="2">
        <v>25000000000210</v>
      </c>
      <c r="C213" s="5" t="s">
        <v>209</v>
      </c>
    </row>
    <row r="214" spans="2:3" x14ac:dyDescent="0.2">
      <c r="B214" s="2">
        <v>25000000000211</v>
      </c>
      <c r="C214" s="5" t="s">
        <v>210</v>
      </c>
    </row>
    <row r="215" spans="2:3" x14ac:dyDescent="0.2">
      <c r="B215" s="2">
        <v>25000000000212</v>
      </c>
      <c r="C215" s="5" t="s">
        <v>211</v>
      </c>
    </row>
    <row r="216" spans="2:3" x14ac:dyDescent="0.2">
      <c r="B216" s="2">
        <v>25000000000213</v>
      </c>
      <c r="C216" s="5" t="s">
        <v>212</v>
      </c>
    </row>
    <row r="217" spans="2:3" x14ac:dyDescent="0.2">
      <c r="B217" s="2">
        <v>25000000000214</v>
      </c>
      <c r="C217" s="5" t="s">
        <v>213</v>
      </c>
    </row>
    <row r="218" spans="2:3" x14ac:dyDescent="0.2">
      <c r="B218" s="2">
        <v>25000000000215</v>
      </c>
      <c r="C218" s="5" t="s">
        <v>214</v>
      </c>
    </row>
    <row r="219" spans="2:3" x14ac:dyDescent="0.2">
      <c r="B219" s="2">
        <v>25000000000216</v>
      </c>
      <c r="C219" s="5" t="s">
        <v>215</v>
      </c>
    </row>
    <row r="220" spans="2:3" x14ac:dyDescent="0.2">
      <c r="B220" s="2">
        <v>25000000000217</v>
      </c>
      <c r="C220" s="5" t="s">
        <v>216</v>
      </c>
    </row>
    <row r="221" spans="2:3" x14ac:dyDescent="0.2">
      <c r="B221" s="2">
        <v>25000000000218</v>
      </c>
      <c r="C221" s="5" t="s">
        <v>217</v>
      </c>
    </row>
    <row r="222" spans="2:3" x14ac:dyDescent="0.2">
      <c r="B222" s="2">
        <v>25000000000219</v>
      </c>
      <c r="C222" s="5" t="s">
        <v>218</v>
      </c>
    </row>
    <row r="223" spans="2:3" x14ac:dyDescent="0.2">
      <c r="B223" s="2">
        <v>25000000000220</v>
      </c>
      <c r="C223" s="5" t="s">
        <v>219</v>
      </c>
    </row>
    <row r="224" spans="2:3" x14ac:dyDescent="0.2">
      <c r="B224" s="2">
        <v>25000000000221</v>
      </c>
      <c r="C224" s="5" t="s">
        <v>220</v>
      </c>
    </row>
    <row r="225" spans="2:3" x14ac:dyDescent="0.2">
      <c r="B225" s="2">
        <v>25000000000222</v>
      </c>
      <c r="C225" s="5" t="s">
        <v>221</v>
      </c>
    </row>
    <row r="226" spans="2:3" x14ac:dyDescent="0.2">
      <c r="B226" s="2">
        <v>25000000000223</v>
      </c>
      <c r="C226" s="5" t="s">
        <v>222</v>
      </c>
    </row>
    <row r="227" spans="2:3" x14ac:dyDescent="0.2">
      <c r="B227" s="2">
        <v>25000000000224</v>
      </c>
      <c r="C227" s="5" t="s">
        <v>223</v>
      </c>
    </row>
    <row r="228" spans="2:3" x14ac:dyDescent="0.2">
      <c r="B228" s="2">
        <v>25000000000225</v>
      </c>
      <c r="C228" s="5" t="s">
        <v>224</v>
      </c>
    </row>
    <row r="229" spans="2:3" x14ac:dyDescent="0.2">
      <c r="B229" s="2">
        <v>25000000000226</v>
      </c>
      <c r="C229" s="5" t="s">
        <v>225</v>
      </c>
    </row>
    <row r="230" spans="2:3" x14ac:dyDescent="0.2">
      <c r="B230" s="2">
        <v>25000000000227</v>
      </c>
      <c r="C230" s="5" t="s">
        <v>226</v>
      </c>
    </row>
    <row r="231" spans="2:3" x14ac:dyDescent="0.2">
      <c r="B231" s="2">
        <v>25000000000228</v>
      </c>
      <c r="C231" s="5" t="s">
        <v>227</v>
      </c>
    </row>
    <row r="232" spans="2:3" x14ac:dyDescent="0.2">
      <c r="B232" s="2">
        <v>25000000000229</v>
      </c>
      <c r="C232" s="5" t="s">
        <v>228</v>
      </c>
    </row>
    <row r="233" spans="2:3" x14ac:dyDescent="0.2">
      <c r="B233" s="2">
        <v>25000000000230</v>
      </c>
      <c r="C233" s="5" t="s">
        <v>229</v>
      </c>
    </row>
    <row r="234" spans="2:3" x14ac:dyDescent="0.2">
      <c r="B234" s="2">
        <v>25000000000231</v>
      </c>
      <c r="C234" s="5" t="s">
        <v>230</v>
      </c>
    </row>
    <row r="235" spans="2:3" x14ac:dyDescent="0.2">
      <c r="B235" s="2">
        <v>25000000000232</v>
      </c>
      <c r="C235" s="5" t="s">
        <v>231</v>
      </c>
    </row>
    <row r="236" spans="2:3" x14ac:dyDescent="0.2">
      <c r="B236" s="2">
        <v>25000000000233</v>
      </c>
      <c r="C236" s="5" t="s">
        <v>232</v>
      </c>
    </row>
    <row r="237" spans="2:3" x14ac:dyDescent="0.2">
      <c r="B237" s="2">
        <v>25000000000234</v>
      </c>
      <c r="C237" s="5" t="s">
        <v>233</v>
      </c>
    </row>
    <row r="238" spans="2:3" x14ac:dyDescent="0.2">
      <c r="B238" s="2">
        <v>25000000000235</v>
      </c>
      <c r="C238" s="5" t="s">
        <v>234</v>
      </c>
    </row>
    <row r="239" spans="2:3" x14ac:dyDescent="0.2">
      <c r="B239" s="2">
        <v>25000000000236</v>
      </c>
      <c r="C239" s="5" t="s">
        <v>235</v>
      </c>
    </row>
    <row r="240" spans="2:3" x14ac:dyDescent="0.2">
      <c r="B240" s="2">
        <v>25000000000237</v>
      </c>
      <c r="C240" s="5" t="s">
        <v>236</v>
      </c>
    </row>
    <row r="241" spans="2:3" x14ac:dyDescent="0.2">
      <c r="B241" s="2">
        <v>25000000000238</v>
      </c>
      <c r="C241" s="5" t="s">
        <v>237</v>
      </c>
    </row>
    <row r="242" spans="2:3" x14ac:dyDescent="0.2">
      <c r="B242" s="2">
        <v>25000000000239</v>
      </c>
      <c r="C242" s="5" t="s">
        <v>238</v>
      </c>
    </row>
    <row r="243" spans="2:3" x14ac:dyDescent="0.2">
      <c r="B243" s="2">
        <v>25000000000240</v>
      </c>
      <c r="C243" s="5" t="s">
        <v>239</v>
      </c>
    </row>
    <row r="244" spans="2:3" x14ac:dyDescent="0.2">
      <c r="B244" s="2">
        <v>25000000000241</v>
      </c>
      <c r="C244" s="5" t="s">
        <v>240</v>
      </c>
    </row>
    <row r="245" spans="2:3" x14ac:dyDescent="0.2">
      <c r="B245" s="2">
        <v>25000000000242</v>
      </c>
      <c r="C245" s="5" t="s">
        <v>241</v>
      </c>
    </row>
    <row r="246" spans="2:3" x14ac:dyDescent="0.2">
      <c r="B246" s="2">
        <v>25000000000243</v>
      </c>
      <c r="C246" s="5" t="s">
        <v>242</v>
      </c>
    </row>
    <row r="247" spans="2:3" x14ac:dyDescent="0.2">
      <c r="B247" s="2">
        <v>25000000000244</v>
      </c>
      <c r="C247" s="5" t="s">
        <v>243</v>
      </c>
    </row>
    <row r="248" spans="2:3" x14ac:dyDescent="0.2">
      <c r="B248" s="2">
        <v>25000000000245</v>
      </c>
      <c r="C248" s="5" t="s">
        <v>244</v>
      </c>
    </row>
    <row r="249" spans="2:3" x14ac:dyDescent="0.2">
      <c r="B249" s="2">
        <v>25000000000246</v>
      </c>
      <c r="C249" s="5" t="s">
        <v>245</v>
      </c>
    </row>
    <row r="250" spans="2:3" x14ac:dyDescent="0.2">
      <c r="B250" s="2">
        <v>25000000000247</v>
      </c>
      <c r="C250" s="5" t="s">
        <v>246</v>
      </c>
    </row>
    <row r="251" spans="2:3" x14ac:dyDescent="0.2">
      <c r="B251" s="2">
        <v>25000000000248</v>
      </c>
      <c r="C251" s="5" t="s">
        <v>247</v>
      </c>
    </row>
    <row r="252" spans="2:3" x14ac:dyDescent="0.2">
      <c r="B252" s="2">
        <v>25000000000249</v>
      </c>
      <c r="C252" s="5" t="s">
        <v>248</v>
      </c>
    </row>
    <row r="253" spans="2:3" x14ac:dyDescent="0.2">
      <c r="B253" s="2">
        <v>25000000000250</v>
      </c>
      <c r="C253" s="5" t="s">
        <v>249</v>
      </c>
    </row>
    <row r="254" spans="2:3" x14ac:dyDescent="0.2">
      <c r="B254" s="2">
        <v>25000000000251</v>
      </c>
      <c r="C254" s="5" t="s">
        <v>250</v>
      </c>
    </row>
    <row r="255" spans="2:3" x14ac:dyDescent="0.2">
      <c r="B255" s="2">
        <v>25000000000252</v>
      </c>
      <c r="C255" s="5" t="s">
        <v>251</v>
      </c>
    </row>
    <row r="256" spans="2:3" x14ac:dyDescent="0.2">
      <c r="B256" s="2">
        <v>25000000000253</v>
      </c>
      <c r="C256" s="5" t="s">
        <v>252</v>
      </c>
    </row>
    <row r="257" spans="2:3" x14ac:dyDescent="0.2">
      <c r="B257" s="2">
        <v>25000000000254</v>
      </c>
      <c r="C257" s="5" t="s">
        <v>253</v>
      </c>
    </row>
    <row r="258" spans="2:3" x14ac:dyDescent="0.2">
      <c r="B258" s="2">
        <v>25000000000255</v>
      </c>
      <c r="C258" s="5" t="s">
        <v>254</v>
      </c>
    </row>
    <row r="259" spans="2:3" x14ac:dyDescent="0.2">
      <c r="B259" s="2">
        <v>25000000000256</v>
      </c>
      <c r="C259" s="5" t="s">
        <v>255</v>
      </c>
    </row>
    <row r="260" spans="2:3" x14ac:dyDescent="0.2">
      <c r="B260" s="2">
        <v>25000000000257</v>
      </c>
      <c r="C260" s="5" t="s">
        <v>256</v>
      </c>
    </row>
    <row r="261" spans="2:3" x14ac:dyDescent="0.2">
      <c r="B261" s="2">
        <v>25000000000258</v>
      </c>
      <c r="C261" s="5" t="s">
        <v>257</v>
      </c>
    </row>
    <row r="262" spans="2:3" x14ac:dyDescent="0.2">
      <c r="B262" s="2">
        <v>25000000000259</v>
      </c>
      <c r="C262" s="5" t="s">
        <v>258</v>
      </c>
    </row>
    <row r="263" spans="2:3" x14ac:dyDescent="0.2">
      <c r="B263" s="2">
        <v>25000000000260</v>
      </c>
      <c r="C263" s="5" t="s">
        <v>259</v>
      </c>
    </row>
    <row r="264" spans="2:3" x14ac:dyDescent="0.2">
      <c r="B264" s="2">
        <v>25000000000261</v>
      </c>
      <c r="C264" s="5" t="s">
        <v>260</v>
      </c>
    </row>
    <row r="265" spans="2:3" x14ac:dyDescent="0.2">
      <c r="B265" s="2">
        <v>25000000000262</v>
      </c>
      <c r="C265" s="5" t="s">
        <v>261</v>
      </c>
    </row>
    <row r="266" spans="2:3" x14ac:dyDescent="0.2">
      <c r="B266" s="2">
        <v>25000000000263</v>
      </c>
      <c r="C266" s="5" t="s">
        <v>262</v>
      </c>
    </row>
    <row r="267" spans="2:3" x14ac:dyDescent="0.2">
      <c r="B267" s="2">
        <v>25000000000264</v>
      </c>
      <c r="C267" s="5" t="s">
        <v>263</v>
      </c>
    </row>
    <row r="268" spans="2:3" x14ac:dyDescent="0.2">
      <c r="B268" s="2">
        <v>25000000000265</v>
      </c>
      <c r="C268" s="5" t="s">
        <v>264</v>
      </c>
    </row>
    <row r="269" spans="2:3" x14ac:dyDescent="0.2">
      <c r="B269" s="2">
        <v>25000000000266</v>
      </c>
      <c r="C269" s="5" t="s">
        <v>265</v>
      </c>
    </row>
    <row r="270" spans="2:3" x14ac:dyDescent="0.2">
      <c r="B270" s="2">
        <v>25000000000267</v>
      </c>
      <c r="C270" s="5" t="s">
        <v>266</v>
      </c>
    </row>
    <row r="271" spans="2:3" x14ac:dyDescent="0.2">
      <c r="B271" s="2">
        <v>25000000000268</v>
      </c>
      <c r="C271" s="5" t="s">
        <v>267</v>
      </c>
    </row>
    <row r="272" spans="2:3" x14ac:dyDescent="0.2">
      <c r="B272" s="2">
        <v>25000000000269</v>
      </c>
      <c r="C272" s="5" t="s">
        <v>268</v>
      </c>
    </row>
    <row r="273" spans="2:3" x14ac:dyDescent="0.2">
      <c r="B273" s="2">
        <v>25000000000270</v>
      </c>
      <c r="C273" s="5" t="s">
        <v>269</v>
      </c>
    </row>
    <row r="274" spans="2:3" x14ac:dyDescent="0.2">
      <c r="B274" s="2">
        <v>25000000000271</v>
      </c>
      <c r="C274" s="5" t="s">
        <v>270</v>
      </c>
    </row>
    <row r="275" spans="2:3" x14ac:dyDescent="0.2">
      <c r="B275" s="2">
        <v>25000000000272</v>
      </c>
      <c r="C275" s="5" t="s">
        <v>271</v>
      </c>
    </row>
    <row r="276" spans="2:3" x14ac:dyDescent="0.2">
      <c r="B276" s="2">
        <v>25000000000273</v>
      </c>
      <c r="C276" s="5" t="s">
        <v>272</v>
      </c>
    </row>
    <row r="277" spans="2:3" x14ac:dyDescent="0.2">
      <c r="B277" s="2">
        <v>25000000000274</v>
      </c>
      <c r="C277" s="5" t="s">
        <v>273</v>
      </c>
    </row>
    <row r="278" spans="2:3" x14ac:dyDescent="0.2">
      <c r="B278" s="2">
        <v>25000000000275</v>
      </c>
      <c r="C278" s="5" t="s">
        <v>274</v>
      </c>
    </row>
    <row r="279" spans="2:3" x14ac:dyDescent="0.2">
      <c r="B279" s="2">
        <v>25000000000276</v>
      </c>
      <c r="C279" s="5" t="s">
        <v>275</v>
      </c>
    </row>
    <row r="280" spans="2:3" x14ac:dyDescent="0.2">
      <c r="B280" s="2">
        <v>25000000000277</v>
      </c>
      <c r="C280" s="5" t="s">
        <v>276</v>
      </c>
    </row>
    <row r="281" spans="2:3" x14ac:dyDescent="0.2">
      <c r="B281" s="2">
        <v>25000000000278</v>
      </c>
      <c r="C281" s="5" t="s">
        <v>277</v>
      </c>
    </row>
    <row r="282" spans="2:3" x14ac:dyDescent="0.2">
      <c r="B282" s="2">
        <v>25000000000279</v>
      </c>
      <c r="C282" s="5" t="s">
        <v>278</v>
      </c>
    </row>
    <row r="283" spans="2:3" x14ac:dyDescent="0.2">
      <c r="B283" s="2">
        <v>25000000000280</v>
      </c>
      <c r="C283" s="5" t="s">
        <v>279</v>
      </c>
    </row>
    <row r="284" spans="2:3" x14ac:dyDescent="0.2">
      <c r="B284" s="2">
        <v>25000000000281</v>
      </c>
      <c r="C284" s="5" t="s">
        <v>280</v>
      </c>
    </row>
    <row r="285" spans="2:3" x14ac:dyDescent="0.2">
      <c r="B285" s="2">
        <v>25000000000282</v>
      </c>
      <c r="C285" s="5" t="s">
        <v>281</v>
      </c>
    </row>
    <row r="286" spans="2:3" x14ac:dyDescent="0.2">
      <c r="B286" s="2">
        <v>25000000000283</v>
      </c>
      <c r="C286" s="5" t="s">
        <v>282</v>
      </c>
    </row>
    <row r="287" spans="2:3" x14ac:dyDescent="0.2">
      <c r="B287" s="2">
        <v>25000000000284</v>
      </c>
      <c r="C287" s="5" t="s">
        <v>283</v>
      </c>
    </row>
    <row r="288" spans="2:3" x14ac:dyDescent="0.2">
      <c r="B288" s="2">
        <v>25000000000285</v>
      </c>
      <c r="C288" s="5" t="s">
        <v>284</v>
      </c>
    </row>
    <row r="289" spans="2:3" x14ac:dyDescent="0.2">
      <c r="B289" s="2">
        <v>25000000000286</v>
      </c>
      <c r="C289" s="5" t="s">
        <v>285</v>
      </c>
    </row>
    <row r="290" spans="2:3" x14ac:dyDescent="0.2">
      <c r="B290" s="2">
        <v>25000000000287</v>
      </c>
      <c r="C290" s="5" t="s">
        <v>286</v>
      </c>
    </row>
    <row r="291" spans="2:3" x14ac:dyDescent="0.2">
      <c r="B291" s="2">
        <v>25000000000288</v>
      </c>
      <c r="C291" s="5" t="s">
        <v>287</v>
      </c>
    </row>
    <row r="292" spans="2:3" x14ac:dyDescent="0.2">
      <c r="B292" s="2">
        <v>25000000000289</v>
      </c>
      <c r="C292" s="5" t="s">
        <v>288</v>
      </c>
    </row>
    <row r="293" spans="2:3" x14ac:dyDescent="0.2">
      <c r="B293" s="2">
        <v>25000000000290</v>
      </c>
      <c r="C293" s="5" t="s">
        <v>289</v>
      </c>
    </row>
    <row r="294" spans="2:3" x14ac:dyDescent="0.2">
      <c r="B294" s="2">
        <v>25000000000291</v>
      </c>
      <c r="C294" s="5" t="s">
        <v>290</v>
      </c>
    </row>
    <row r="295" spans="2:3" x14ac:dyDescent="0.2">
      <c r="B295" s="2">
        <v>25000000000292</v>
      </c>
      <c r="C295" s="5" t="s">
        <v>291</v>
      </c>
    </row>
    <row r="296" spans="2:3" x14ac:dyDescent="0.2">
      <c r="B296" s="2">
        <v>25000000000293</v>
      </c>
      <c r="C296" s="5" t="s">
        <v>292</v>
      </c>
    </row>
    <row r="297" spans="2:3" x14ac:dyDescent="0.2">
      <c r="B297" s="2">
        <v>25000000000294</v>
      </c>
      <c r="C297" s="5" t="s">
        <v>293</v>
      </c>
    </row>
    <row r="298" spans="2:3" x14ac:dyDescent="0.2">
      <c r="B298" s="2">
        <v>25000000000295</v>
      </c>
      <c r="C298" s="5" t="s">
        <v>294</v>
      </c>
    </row>
    <row r="299" spans="2:3" x14ac:dyDescent="0.2">
      <c r="B299" s="2">
        <v>25000000000296</v>
      </c>
      <c r="C299" s="5" t="s">
        <v>295</v>
      </c>
    </row>
    <row r="300" spans="2:3" x14ac:dyDescent="0.2">
      <c r="B300" s="2">
        <v>25000000000297</v>
      </c>
      <c r="C300" s="5" t="s">
        <v>296</v>
      </c>
    </row>
    <row r="301" spans="2:3" x14ac:dyDescent="0.2">
      <c r="B301" s="2">
        <v>25000000000298</v>
      </c>
      <c r="C301" s="5" t="s">
        <v>297</v>
      </c>
    </row>
    <row r="302" spans="2:3" x14ac:dyDescent="0.2">
      <c r="B302" s="2">
        <v>25000000000299</v>
      </c>
      <c r="C302" s="5" t="s">
        <v>298</v>
      </c>
    </row>
    <row r="303" spans="2:3" x14ac:dyDescent="0.2">
      <c r="B303" s="2">
        <v>25000000000300</v>
      </c>
      <c r="C303" s="5" t="s">
        <v>299</v>
      </c>
    </row>
    <row r="304" spans="2:3" x14ac:dyDescent="0.2">
      <c r="B304" s="2">
        <v>25000000000301</v>
      </c>
      <c r="C304" s="5" t="s">
        <v>300</v>
      </c>
    </row>
    <row r="305" spans="2:3" x14ac:dyDescent="0.2">
      <c r="B305" s="2">
        <v>25000000000302</v>
      </c>
      <c r="C305" s="5" t="s">
        <v>301</v>
      </c>
    </row>
    <row r="306" spans="2:3" x14ac:dyDescent="0.2">
      <c r="B306" s="2">
        <v>25000000000303</v>
      </c>
      <c r="C306" s="5" t="s">
        <v>302</v>
      </c>
    </row>
    <row r="307" spans="2:3" x14ac:dyDescent="0.2">
      <c r="B307" s="2">
        <v>25000000000304</v>
      </c>
      <c r="C307" s="5" t="s">
        <v>303</v>
      </c>
    </row>
    <row r="308" spans="2:3" x14ac:dyDescent="0.2">
      <c r="B308" s="2">
        <v>25000000000305</v>
      </c>
      <c r="C308" s="5" t="s">
        <v>304</v>
      </c>
    </row>
    <row r="309" spans="2:3" x14ac:dyDescent="0.2">
      <c r="B309" s="2">
        <v>25000000000306</v>
      </c>
      <c r="C309" s="5" t="s">
        <v>305</v>
      </c>
    </row>
    <row r="310" spans="2:3" x14ac:dyDescent="0.2">
      <c r="B310" s="2">
        <v>25000000000307</v>
      </c>
      <c r="C310" s="5" t="s">
        <v>306</v>
      </c>
    </row>
    <row r="311" spans="2:3" x14ac:dyDescent="0.2">
      <c r="B311" s="2">
        <v>25000000000308</v>
      </c>
      <c r="C311" s="5" t="s">
        <v>307</v>
      </c>
    </row>
    <row r="312" spans="2:3" x14ac:dyDescent="0.2">
      <c r="B312" s="2">
        <v>25000000000309</v>
      </c>
      <c r="C312" s="5" t="s">
        <v>308</v>
      </c>
    </row>
    <row r="313" spans="2:3" x14ac:dyDescent="0.2">
      <c r="B313" s="2">
        <v>25000000000310</v>
      </c>
      <c r="C313" s="5" t="s">
        <v>309</v>
      </c>
    </row>
    <row r="314" spans="2:3" x14ac:dyDescent="0.2">
      <c r="B314" s="2">
        <v>25000000000311</v>
      </c>
      <c r="C314" s="5" t="s">
        <v>310</v>
      </c>
    </row>
    <row r="315" spans="2:3" x14ac:dyDescent="0.2">
      <c r="B315" s="2">
        <v>25000000000312</v>
      </c>
      <c r="C315" s="5" t="s">
        <v>311</v>
      </c>
    </row>
    <row r="316" spans="2:3" x14ac:dyDescent="0.2">
      <c r="B316" s="2">
        <v>25000000000313</v>
      </c>
      <c r="C316" s="5" t="s">
        <v>312</v>
      </c>
    </row>
    <row r="317" spans="2:3" x14ac:dyDescent="0.2">
      <c r="B317" s="2">
        <v>25000000000314</v>
      </c>
      <c r="C317" s="5" t="s">
        <v>313</v>
      </c>
    </row>
    <row r="318" spans="2:3" x14ac:dyDescent="0.2">
      <c r="B318" s="2">
        <v>25000000000315</v>
      </c>
      <c r="C318" s="5" t="s">
        <v>314</v>
      </c>
    </row>
    <row r="319" spans="2:3" x14ac:dyDescent="0.2">
      <c r="B319" s="2">
        <v>25000000000316</v>
      </c>
      <c r="C319" s="5" t="s">
        <v>315</v>
      </c>
    </row>
    <row r="320" spans="2:3" x14ac:dyDescent="0.2">
      <c r="B320" s="2">
        <v>25000000000317</v>
      </c>
      <c r="C320" s="5" t="s">
        <v>316</v>
      </c>
    </row>
    <row r="321" spans="2:3" x14ac:dyDescent="0.2">
      <c r="B321" s="2">
        <v>25000000000318</v>
      </c>
      <c r="C321" s="5" t="s">
        <v>317</v>
      </c>
    </row>
    <row r="322" spans="2:3" x14ac:dyDescent="0.2">
      <c r="B322" s="2">
        <v>25000000000319</v>
      </c>
      <c r="C322" s="5" t="s">
        <v>318</v>
      </c>
    </row>
    <row r="323" spans="2:3" x14ac:dyDescent="0.2">
      <c r="B323" s="2">
        <v>25000000000320</v>
      </c>
      <c r="C323" s="5" t="s">
        <v>319</v>
      </c>
    </row>
    <row r="324" spans="2:3" x14ac:dyDescent="0.2">
      <c r="B324" s="2">
        <v>25000000000321</v>
      </c>
      <c r="C324" s="5" t="s">
        <v>320</v>
      </c>
    </row>
    <row r="325" spans="2:3" x14ac:dyDescent="0.2">
      <c r="B325" s="2">
        <v>25000000000322</v>
      </c>
      <c r="C325" s="5" t="s">
        <v>321</v>
      </c>
    </row>
    <row r="326" spans="2:3" x14ac:dyDescent="0.2">
      <c r="B326" s="2">
        <v>25000000000323</v>
      </c>
      <c r="C326" s="5" t="s">
        <v>322</v>
      </c>
    </row>
    <row r="327" spans="2:3" x14ac:dyDescent="0.2">
      <c r="B327" s="2">
        <v>25000000000324</v>
      </c>
      <c r="C327" s="5" t="s">
        <v>323</v>
      </c>
    </row>
    <row r="328" spans="2:3" x14ac:dyDescent="0.2">
      <c r="B328" s="2">
        <v>25000000000325</v>
      </c>
      <c r="C328" s="5" t="s">
        <v>324</v>
      </c>
    </row>
    <row r="329" spans="2:3" x14ac:dyDescent="0.2">
      <c r="B329" s="2">
        <v>25000000000326</v>
      </c>
      <c r="C329" s="5" t="s">
        <v>325</v>
      </c>
    </row>
    <row r="330" spans="2:3" x14ac:dyDescent="0.2">
      <c r="B330" s="2">
        <v>25000000000327</v>
      </c>
      <c r="C330" s="5" t="s">
        <v>326</v>
      </c>
    </row>
    <row r="331" spans="2:3" x14ac:dyDescent="0.2">
      <c r="B331" s="2">
        <v>25000000000328</v>
      </c>
      <c r="C331" s="5" t="s">
        <v>327</v>
      </c>
    </row>
    <row r="332" spans="2:3" x14ac:dyDescent="0.2">
      <c r="B332" s="2">
        <v>25000000000329</v>
      </c>
      <c r="C332" s="5" t="s">
        <v>328</v>
      </c>
    </row>
    <row r="333" spans="2:3" x14ac:dyDescent="0.2">
      <c r="B333" s="2">
        <v>25000000000330</v>
      </c>
      <c r="C333" s="5" t="s">
        <v>329</v>
      </c>
    </row>
    <row r="334" spans="2:3" x14ac:dyDescent="0.2">
      <c r="B334" s="2">
        <v>25000000000331</v>
      </c>
      <c r="C334" s="5" t="s">
        <v>330</v>
      </c>
    </row>
    <row r="335" spans="2:3" x14ac:dyDescent="0.2">
      <c r="B335" s="2">
        <v>25000000000332</v>
      </c>
      <c r="C335" s="5" t="s">
        <v>331</v>
      </c>
    </row>
    <row r="336" spans="2:3" x14ac:dyDescent="0.2">
      <c r="B336" s="2">
        <v>25000000000333</v>
      </c>
      <c r="C336" s="5" t="s">
        <v>332</v>
      </c>
    </row>
    <row r="337" spans="2:3" x14ac:dyDescent="0.2">
      <c r="B337" s="2">
        <v>25000000000334</v>
      </c>
      <c r="C337" s="5" t="s">
        <v>333</v>
      </c>
    </row>
    <row r="338" spans="2:3" x14ac:dyDescent="0.2">
      <c r="B338" s="2">
        <v>25000000000335</v>
      </c>
      <c r="C338" s="5" t="s">
        <v>334</v>
      </c>
    </row>
    <row r="339" spans="2:3" x14ac:dyDescent="0.2">
      <c r="B339" s="2">
        <v>25000000000336</v>
      </c>
      <c r="C339" s="5" t="s">
        <v>335</v>
      </c>
    </row>
    <row r="340" spans="2:3" x14ac:dyDescent="0.2">
      <c r="B340" s="2">
        <v>25000000000337</v>
      </c>
      <c r="C340" s="5" t="s">
        <v>336</v>
      </c>
    </row>
    <row r="341" spans="2:3" x14ac:dyDescent="0.2">
      <c r="B341" s="2">
        <v>25000000000338</v>
      </c>
      <c r="C341" s="5" t="s">
        <v>337</v>
      </c>
    </row>
    <row r="342" spans="2:3" x14ac:dyDescent="0.2">
      <c r="B342" s="2">
        <v>25000000000339</v>
      </c>
      <c r="C342" s="5" t="s">
        <v>338</v>
      </c>
    </row>
    <row r="343" spans="2:3" x14ac:dyDescent="0.2">
      <c r="B343" s="2">
        <v>25000000000340</v>
      </c>
      <c r="C343" s="5" t="s">
        <v>339</v>
      </c>
    </row>
    <row r="344" spans="2:3" x14ac:dyDescent="0.2">
      <c r="B344" s="2">
        <v>25000000000341</v>
      </c>
      <c r="C344" s="5" t="s">
        <v>340</v>
      </c>
    </row>
    <row r="345" spans="2:3" x14ac:dyDescent="0.2">
      <c r="B345" s="2">
        <v>25000000000342</v>
      </c>
      <c r="C345" s="5" t="s">
        <v>341</v>
      </c>
    </row>
    <row r="346" spans="2:3" x14ac:dyDescent="0.2">
      <c r="B346" s="2">
        <v>25000000000343</v>
      </c>
      <c r="C346" s="5" t="s">
        <v>342</v>
      </c>
    </row>
    <row r="347" spans="2:3" x14ac:dyDescent="0.2">
      <c r="B347" s="2">
        <v>25000000000344</v>
      </c>
      <c r="C347" s="5" t="s">
        <v>343</v>
      </c>
    </row>
    <row r="348" spans="2:3" x14ac:dyDescent="0.2">
      <c r="B348" s="2">
        <v>25000000000345</v>
      </c>
      <c r="C348" s="5" t="s">
        <v>344</v>
      </c>
    </row>
    <row r="349" spans="2:3" x14ac:dyDescent="0.2">
      <c r="B349" s="2">
        <v>25000000000346</v>
      </c>
      <c r="C349" s="5" t="s">
        <v>345</v>
      </c>
    </row>
    <row r="350" spans="2:3" x14ac:dyDescent="0.2">
      <c r="B350" s="2">
        <v>25000000000347</v>
      </c>
      <c r="C350" s="5" t="s">
        <v>346</v>
      </c>
    </row>
    <row r="351" spans="2:3" x14ac:dyDescent="0.2">
      <c r="B351" s="2">
        <v>25000000000348</v>
      </c>
      <c r="C351" s="5" t="s">
        <v>347</v>
      </c>
    </row>
    <row r="352" spans="2:3" x14ac:dyDescent="0.2">
      <c r="B352" s="2">
        <v>25000000000349</v>
      </c>
      <c r="C352" s="5" t="s">
        <v>348</v>
      </c>
    </row>
    <row r="353" spans="2:3" x14ac:dyDescent="0.2">
      <c r="B353" s="2">
        <v>25000000000350</v>
      </c>
      <c r="C353" s="5" t="s">
        <v>349</v>
      </c>
    </row>
    <row r="354" spans="2:3" x14ac:dyDescent="0.2">
      <c r="B354" s="2">
        <v>25000000000351</v>
      </c>
      <c r="C354" s="5" t="s">
        <v>350</v>
      </c>
    </row>
    <row r="355" spans="2:3" x14ac:dyDescent="0.2">
      <c r="B355" s="2">
        <v>25000000000352</v>
      </c>
      <c r="C355" s="5" t="s">
        <v>351</v>
      </c>
    </row>
    <row r="356" spans="2:3" x14ac:dyDescent="0.2">
      <c r="B356" s="2">
        <v>25000000000353</v>
      </c>
      <c r="C356" s="5" t="s">
        <v>352</v>
      </c>
    </row>
    <row r="357" spans="2:3" x14ac:dyDescent="0.2">
      <c r="B357" s="2">
        <v>25000000000354</v>
      </c>
      <c r="C357" s="5" t="s">
        <v>353</v>
      </c>
    </row>
    <row r="358" spans="2:3" x14ac:dyDescent="0.2">
      <c r="B358" s="2">
        <v>25000000000355</v>
      </c>
      <c r="C358" s="5" t="s">
        <v>354</v>
      </c>
    </row>
    <row r="359" spans="2:3" x14ac:dyDescent="0.2">
      <c r="B359" s="2">
        <v>25000000000356</v>
      </c>
      <c r="C359" s="5" t="s">
        <v>355</v>
      </c>
    </row>
    <row r="360" spans="2:3" x14ac:dyDescent="0.2">
      <c r="B360" s="2">
        <v>25000000000357</v>
      </c>
      <c r="C360" s="5" t="s">
        <v>356</v>
      </c>
    </row>
    <row r="361" spans="2:3" x14ac:dyDescent="0.2">
      <c r="B361" s="2">
        <v>25000000000358</v>
      </c>
      <c r="C361" s="5" t="s">
        <v>357</v>
      </c>
    </row>
    <row r="362" spans="2:3" x14ac:dyDescent="0.2">
      <c r="B362" s="2">
        <v>25000000000359</v>
      </c>
      <c r="C362" s="5" t="s">
        <v>358</v>
      </c>
    </row>
    <row r="363" spans="2:3" x14ac:dyDescent="0.2">
      <c r="B363" s="2">
        <v>25000000000360</v>
      </c>
      <c r="C363" s="5" t="s">
        <v>359</v>
      </c>
    </row>
    <row r="364" spans="2:3" x14ac:dyDescent="0.2">
      <c r="B364" s="2">
        <v>25000000000361</v>
      </c>
      <c r="C364" s="5" t="s">
        <v>360</v>
      </c>
    </row>
    <row r="365" spans="2:3" x14ac:dyDescent="0.2">
      <c r="B365" s="2">
        <v>25000000000362</v>
      </c>
      <c r="C365" s="5" t="s">
        <v>361</v>
      </c>
    </row>
    <row r="366" spans="2:3" x14ac:dyDescent="0.2">
      <c r="B366" s="2">
        <v>25000000000363</v>
      </c>
      <c r="C366" s="5" t="s">
        <v>362</v>
      </c>
    </row>
    <row r="367" spans="2:3" x14ac:dyDescent="0.2">
      <c r="B367" s="2">
        <v>25000000000364</v>
      </c>
      <c r="C367" s="5" t="s">
        <v>363</v>
      </c>
    </row>
    <row r="368" spans="2:3" x14ac:dyDescent="0.2">
      <c r="B368" s="2">
        <v>25000000000365</v>
      </c>
      <c r="C368" s="5" t="s">
        <v>364</v>
      </c>
    </row>
    <row r="369" spans="2:3" x14ac:dyDescent="0.2">
      <c r="B369" s="2">
        <v>25000000000366</v>
      </c>
      <c r="C369" s="5" t="s">
        <v>365</v>
      </c>
    </row>
    <row r="370" spans="2:3" x14ac:dyDescent="0.2">
      <c r="B370" s="2">
        <v>25000000000367</v>
      </c>
      <c r="C370" s="5" t="s">
        <v>366</v>
      </c>
    </row>
    <row r="371" spans="2:3" x14ac:dyDescent="0.2">
      <c r="B371" s="2">
        <v>25000000000368</v>
      </c>
      <c r="C371" s="5" t="s">
        <v>367</v>
      </c>
    </row>
    <row r="372" spans="2:3" x14ac:dyDescent="0.2">
      <c r="B372" s="2">
        <v>25000000000369</v>
      </c>
      <c r="C372" s="5" t="s">
        <v>368</v>
      </c>
    </row>
    <row r="373" spans="2:3" x14ac:dyDescent="0.2">
      <c r="B373" s="2">
        <v>25000000000370</v>
      </c>
      <c r="C373" s="5" t="s">
        <v>369</v>
      </c>
    </row>
    <row r="374" spans="2:3" x14ac:dyDescent="0.2">
      <c r="B374" s="2">
        <v>25000000000371</v>
      </c>
      <c r="C374" s="5" t="s">
        <v>370</v>
      </c>
    </row>
    <row r="375" spans="2:3" x14ac:dyDescent="0.2">
      <c r="B375" s="2">
        <v>25000000000372</v>
      </c>
      <c r="C375" s="5" t="s">
        <v>371</v>
      </c>
    </row>
    <row r="376" spans="2:3" x14ac:dyDescent="0.2">
      <c r="B376" s="2">
        <v>25000000000373</v>
      </c>
      <c r="C376" s="5" t="s">
        <v>372</v>
      </c>
    </row>
    <row r="377" spans="2:3" x14ac:dyDescent="0.2">
      <c r="B377" s="2">
        <v>25000000000374</v>
      </c>
      <c r="C377" s="5" t="s">
        <v>373</v>
      </c>
    </row>
    <row r="378" spans="2:3" x14ac:dyDescent="0.2">
      <c r="B378" s="2">
        <v>25000000000375</v>
      </c>
      <c r="C378" s="5" t="s">
        <v>374</v>
      </c>
    </row>
    <row r="379" spans="2:3" x14ac:dyDescent="0.2">
      <c r="B379" s="2">
        <v>25000000000376</v>
      </c>
      <c r="C379" s="5" t="s">
        <v>375</v>
      </c>
    </row>
    <row r="380" spans="2:3" x14ac:dyDescent="0.2">
      <c r="B380" s="2">
        <v>25000000000377</v>
      </c>
      <c r="C380" s="5" t="s">
        <v>376</v>
      </c>
    </row>
    <row r="381" spans="2:3" x14ac:dyDescent="0.2">
      <c r="B381" s="2">
        <v>25000000000378</v>
      </c>
      <c r="C381" s="5" t="s">
        <v>377</v>
      </c>
    </row>
    <row r="382" spans="2:3" x14ac:dyDescent="0.2">
      <c r="B382" s="2">
        <v>25000000000379</v>
      </c>
      <c r="C382" s="5" t="s">
        <v>378</v>
      </c>
    </row>
    <row r="383" spans="2:3" x14ac:dyDescent="0.2">
      <c r="B383" s="2">
        <v>25000000000380</v>
      </c>
      <c r="C383" s="5" t="s">
        <v>379</v>
      </c>
    </row>
    <row r="384" spans="2:3" x14ac:dyDescent="0.2">
      <c r="B384" s="2">
        <v>25000000000381</v>
      </c>
      <c r="C384" s="5" t="s">
        <v>380</v>
      </c>
    </row>
    <row r="385" spans="2:3" x14ac:dyDescent="0.2">
      <c r="B385" s="2">
        <v>25000000000382</v>
      </c>
      <c r="C385" s="5" t="s">
        <v>381</v>
      </c>
    </row>
    <row r="386" spans="2:3" x14ac:dyDescent="0.2">
      <c r="B386" s="2">
        <v>25000000000383</v>
      </c>
      <c r="C386" s="5" t="s">
        <v>382</v>
      </c>
    </row>
    <row r="387" spans="2:3" x14ac:dyDescent="0.2">
      <c r="B387" s="2">
        <v>25000000000384</v>
      </c>
      <c r="C387" s="5" t="s">
        <v>383</v>
      </c>
    </row>
    <row r="388" spans="2:3" x14ac:dyDescent="0.2">
      <c r="B388" s="2">
        <v>25000000000385</v>
      </c>
      <c r="C388" s="5" t="s">
        <v>384</v>
      </c>
    </row>
    <row r="389" spans="2:3" x14ac:dyDescent="0.2">
      <c r="B389" s="2">
        <v>25000000000386</v>
      </c>
      <c r="C389" s="5" t="s">
        <v>385</v>
      </c>
    </row>
    <row r="390" spans="2:3" x14ac:dyDescent="0.2">
      <c r="B390" s="2">
        <v>25000000000387</v>
      </c>
      <c r="C390" s="5" t="s">
        <v>386</v>
      </c>
    </row>
    <row r="391" spans="2:3" x14ac:dyDescent="0.2">
      <c r="B391" s="2">
        <v>25000000000388</v>
      </c>
      <c r="C391" s="5" t="s">
        <v>387</v>
      </c>
    </row>
    <row r="392" spans="2:3" x14ac:dyDescent="0.2">
      <c r="B392" s="2">
        <v>25000000000389</v>
      </c>
      <c r="C392" s="5" t="s">
        <v>388</v>
      </c>
    </row>
    <row r="393" spans="2:3" x14ac:dyDescent="0.2">
      <c r="B393" s="2">
        <v>25000000000390</v>
      </c>
      <c r="C393" s="5" t="s">
        <v>389</v>
      </c>
    </row>
    <row r="394" spans="2:3" x14ac:dyDescent="0.2">
      <c r="B394" s="2">
        <v>25000000000391</v>
      </c>
      <c r="C394" s="5" t="s">
        <v>390</v>
      </c>
    </row>
    <row r="395" spans="2:3" x14ac:dyDescent="0.2">
      <c r="B395" s="2">
        <v>25000000000392</v>
      </c>
      <c r="C395" s="5" t="s">
        <v>391</v>
      </c>
    </row>
    <row r="396" spans="2:3" x14ac:dyDescent="0.2">
      <c r="B396" s="2">
        <v>25000000000393</v>
      </c>
      <c r="C396" s="5" t="s">
        <v>392</v>
      </c>
    </row>
    <row r="397" spans="2:3" x14ac:dyDescent="0.2">
      <c r="B397" s="2">
        <v>25000000000394</v>
      </c>
      <c r="C397" s="5" t="s">
        <v>393</v>
      </c>
    </row>
    <row r="398" spans="2:3" x14ac:dyDescent="0.2">
      <c r="B398" s="2">
        <v>25000000000395</v>
      </c>
      <c r="C398" s="5" t="s">
        <v>394</v>
      </c>
    </row>
    <row r="399" spans="2:3" x14ac:dyDescent="0.2">
      <c r="B399" s="2">
        <v>25000000000396</v>
      </c>
      <c r="C399" s="5" t="s">
        <v>395</v>
      </c>
    </row>
    <row r="400" spans="2:3" x14ac:dyDescent="0.2">
      <c r="B400" s="2">
        <v>25000000000397</v>
      </c>
      <c r="C400" s="5" t="s">
        <v>396</v>
      </c>
    </row>
    <row r="401" spans="2:3" x14ac:dyDescent="0.2">
      <c r="B401" s="2">
        <v>25000000000398</v>
      </c>
      <c r="C401" s="5" t="s">
        <v>397</v>
      </c>
    </row>
    <row r="402" spans="2:3" x14ac:dyDescent="0.2">
      <c r="B402" s="2">
        <v>25000000000399</v>
      </c>
      <c r="C402" s="5" t="s">
        <v>398</v>
      </c>
    </row>
    <row r="403" spans="2:3" x14ac:dyDescent="0.2">
      <c r="B403" s="2">
        <v>25000000000400</v>
      </c>
      <c r="C403" s="5" t="s">
        <v>399</v>
      </c>
    </row>
    <row r="404" spans="2:3" x14ac:dyDescent="0.2">
      <c r="B404" s="2">
        <v>25000000000401</v>
      </c>
      <c r="C404" s="5" t="s">
        <v>400</v>
      </c>
    </row>
    <row r="405" spans="2:3" x14ac:dyDescent="0.2">
      <c r="B405" s="2">
        <v>25000000000402</v>
      </c>
      <c r="C405" s="5" t="s">
        <v>401</v>
      </c>
    </row>
    <row r="406" spans="2:3" x14ac:dyDescent="0.2">
      <c r="B406" s="2">
        <v>25000000000403</v>
      </c>
      <c r="C406" s="5" t="s">
        <v>402</v>
      </c>
    </row>
    <row r="407" spans="2:3" x14ac:dyDescent="0.2">
      <c r="B407" s="2">
        <v>25000000000404</v>
      </c>
      <c r="C407" s="5" t="s">
        <v>403</v>
      </c>
    </row>
    <row r="408" spans="2:3" x14ac:dyDescent="0.2">
      <c r="B408" s="2">
        <v>25000000000405</v>
      </c>
      <c r="C408" s="5" t="s">
        <v>404</v>
      </c>
    </row>
    <row r="409" spans="2:3" x14ac:dyDescent="0.2">
      <c r="B409" s="2">
        <v>25000000000406</v>
      </c>
      <c r="C409" s="5" t="s">
        <v>405</v>
      </c>
    </row>
    <row r="410" spans="2:3" x14ac:dyDescent="0.2">
      <c r="B410" s="2">
        <v>25000000000407</v>
      </c>
      <c r="C410" s="5" t="s">
        <v>406</v>
      </c>
    </row>
    <row r="411" spans="2:3" x14ac:dyDescent="0.2">
      <c r="B411" s="2">
        <v>25000000000408</v>
      </c>
      <c r="C411" s="5" t="s">
        <v>407</v>
      </c>
    </row>
    <row r="412" spans="2:3" x14ac:dyDescent="0.2">
      <c r="B412" s="2">
        <v>25000000000409</v>
      </c>
      <c r="C412" s="5" t="s">
        <v>408</v>
      </c>
    </row>
    <row r="413" spans="2:3" x14ac:dyDescent="0.2">
      <c r="B413" s="2">
        <v>25000000000410</v>
      </c>
      <c r="C413" s="5" t="s">
        <v>409</v>
      </c>
    </row>
    <row r="414" spans="2:3" x14ac:dyDescent="0.2">
      <c r="B414" s="2">
        <v>25000000000411</v>
      </c>
      <c r="C414" s="5" t="s">
        <v>410</v>
      </c>
    </row>
    <row r="415" spans="2:3" x14ac:dyDescent="0.2">
      <c r="B415" s="2">
        <v>25000000000412</v>
      </c>
      <c r="C415" s="5" t="s">
        <v>411</v>
      </c>
    </row>
    <row r="416" spans="2:3" x14ac:dyDescent="0.2">
      <c r="B416" s="2">
        <v>25000000000413</v>
      </c>
      <c r="C416" s="5" t="s">
        <v>412</v>
      </c>
    </row>
    <row r="417" spans="2:3" x14ac:dyDescent="0.2">
      <c r="B417" s="2">
        <v>25000000000414</v>
      </c>
      <c r="C417" s="5" t="s">
        <v>413</v>
      </c>
    </row>
    <row r="418" spans="2:3" x14ac:dyDescent="0.2">
      <c r="B418" s="2">
        <v>25000000000415</v>
      </c>
      <c r="C418" s="5" t="s">
        <v>414</v>
      </c>
    </row>
    <row r="419" spans="2:3" x14ac:dyDescent="0.2">
      <c r="B419" s="2">
        <v>25000000000416</v>
      </c>
      <c r="C419" s="5" t="s">
        <v>415</v>
      </c>
    </row>
    <row r="420" spans="2:3" x14ac:dyDescent="0.2">
      <c r="B420" s="2">
        <v>25000000000417</v>
      </c>
      <c r="C420" s="5" t="s">
        <v>416</v>
      </c>
    </row>
    <row r="421" spans="2:3" x14ac:dyDescent="0.2">
      <c r="B421" s="2">
        <v>25000000000418</v>
      </c>
      <c r="C421" s="5" t="s">
        <v>417</v>
      </c>
    </row>
    <row r="422" spans="2:3" x14ac:dyDescent="0.2">
      <c r="B422" s="2">
        <v>25000000000419</v>
      </c>
      <c r="C422" s="5" t="s">
        <v>418</v>
      </c>
    </row>
    <row r="423" spans="2:3" x14ac:dyDescent="0.2">
      <c r="B423" s="2">
        <v>25000000000420</v>
      </c>
      <c r="C423" s="5" t="s">
        <v>419</v>
      </c>
    </row>
    <row r="424" spans="2:3" x14ac:dyDescent="0.2">
      <c r="B424" s="2">
        <v>25000000000421</v>
      </c>
      <c r="C424" s="5" t="s">
        <v>420</v>
      </c>
    </row>
    <row r="425" spans="2:3" x14ac:dyDescent="0.2">
      <c r="B425" s="2">
        <v>25000000000422</v>
      </c>
      <c r="C425" s="5" t="s">
        <v>421</v>
      </c>
    </row>
    <row r="426" spans="2:3" x14ac:dyDescent="0.2">
      <c r="B426" s="2">
        <v>25000000000423</v>
      </c>
      <c r="C426" s="5" t="s">
        <v>422</v>
      </c>
    </row>
    <row r="427" spans="2:3" x14ac:dyDescent="0.2">
      <c r="B427" s="2">
        <v>25000000000424</v>
      </c>
      <c r="C427" s="5" t="s">
        <v>423</v>
      </c>
    </row>
    <row r="428" spans="2:3" x14ac:dyDescent="0.2">
      <c r="B428" s="2">
        <v>25000000000425</v>
      </c>
      <c r="C428" s="5" t="s">
        <v>424</v>
      </c>
    </row>
    <row r="429" spans="2:3" x14ac:dyDescent="0.2">
      <c r="B429" s="2">
        <v>25000000000426</v>
      </c>
      <c r="C429" s="5" t="s">
        <v>425</v>
      </c>
    </row>
    <row r="430" spans="2:3" x14ac:dyDescent="0.2">
      <c r="B430" s="2">
        <v>25000000000427</v>
      </c>
      <c r="C430" s="5" t="s">
        <v>426</v>
      </c>
    </row>
    <row r="431" spans="2:3" x14ac:dyDescent="0.2">
      <c r="B431" s="2">
        <v>25000000000428</v>
      </c>
      <c r="C431" s="5" t="s">
        <v>427</v>
      </c>
    </row>
    <row r="432" spans="2:3" x14ac:dyDescent="0.2">
      <c r="B432" s="2">
        <v>25000000000429</v>
      </c>
      <c r="C432" s="5" t="s">
        <v>428</v>
      </c>
    </row>
    <row r="433" spans="2:3" x14ac:dyDescent="0.2">
      <c r="B433" s="2">
        <v>25000000000430</v>
      </c>
      <c r="C433" s="5" t="s">
        <v>429</v>
      </c>
    </row>
    <row r="434" spans="2:3" x14ac:dyDescent="0.2">
      <c r="B434" s="2">
        <v>25000000000431</v>
      </c>
      <c r="C434" s="5" t="s">
        <v>430</v>
      </c>
    </row>
    <row r="435" spans="2:3" x14ac:dyDescent="0.2">
      <c r="B435" s="2">
        <v>25000000000432</v>
      </c>
      <c r="C435" s="5" t="s">
        <v>431</v>
      </c>
    </row>
    <row r="436" spans="2:3" x14ac:dyDescent="0.2">
      <c r="B436" s="2">
        <v>25000000000433</v>
      </c>
      <c r="C436" s="5" t="s">
        <v>432</v>
      </c>
    </row>
    <row r="437" spans="2:3" x14ac:dyDescent="0.2">
      <c r="B437" s="2">
        <v>25000000000434</v>
      </c>
      <c r="C437" s="5" t="s">
        <v>433</v>
      </c>
    </row>
    <row r="438" spans="2:3" x14ac:dyDescent="0.2">
      <c r="B438" s="2">
        <v>25000000000435</v>
      </c>
      <c r="C438" s="5" t="s">
        <v>434</v>
      </c>
    </row>
    <row r="439" spans="2:3" x14ac:dyDescent="0.2">
      <c r="B439" s="2">
        <v>25000000000436</v>
      </c>
      <c r="C439" s="5" t="s">
        <v>435</v>
      </c>
    </row>
    <row r="440" spans="2:3" x14ac:dyDescent="0.2">
      <c r="B440" s="2">
        <v>25000000000437</v>
      </c>
      <c r="C440" s="5" t="s">
        <v>436</v>
      </c>
    </row>
    <row r="441" spans="2:3" x14ac:dyDescent="0.2">
      <c r="B441" s="2">
        <v>25000000000438</v>
      </c>
      <c r="C441" s="5" t="s">
        <v>437</v>
      </c>
    </row>
    <row r="442" spans="2:3" x14ac:dyDescent="0.2">
      <c r="B442" s="2">
        <v>25000000000439</v>
      </c>
      <c r="C442" s="5" t="s">
        <v>438</v>
      </c>
    </row>
    <row r="443" spans="2:3" x14ac:dyDescent="0.2">
      <c r="B443" s="2">
        <v>25000000000440</v>
      </c>
      <c r="C443" s="5" t="s">
        <v>439</v>
      </c>
    </row>
    <row r="444" spans="2:3" x14ac:dyDescent="0.2">
      <c r="B444" s="2">
        <v>25000000000441</v>
      </c>
      <c r="C444" s="5" t="s">
        <v>440</v>
      </c>
    </row>
    <row r="445" spans="2:3" x14ac:dyDescent="0.2">
      <c r="B445" s="2">
        <v>25000000000442</v>
      </c>
      <c r="C445" s="5" t="s">
        <v>441</v>
      </c>
    </row>
    <row r="446" spans="2:3" x14ac:dyDescent="0.2">
      <c r="B446" s="2">
        <v>25000000000443</v>
      </c>
      <c r="C446" s="5" t="s">
        <v>442</v>
      </c>
    </row>
    <row r="447" spans="2:3" x14ac:dyDescent="0.2">
      <c r="B447" s="2">
        <v>25000000000444</v>
      </c>
      <c r="C447" s="5" t="s">
        <v>443</v>
      </c>
    </row>
    <row r="448" spans="2:3" x14ac:dyDescent="0.2">
      <c r="B448" s="2">
        <v>25000000000445</v>
      </c>
      <c r="C448" s="5" t="s">
        <v>444</v>
      </c>
    </row>
    <row r="449" spans="2:3" x14ac:dyDescent="0.2">
      <c r="B449" s="2">
        <v>25000000000446</v>
      </c>
      <c r="C449" s="5" t="s">
        <v>445</v>
      </c>
    </row>
    <row r="450" spans="2:3" x14ac:dyDescent="0.2">
      <c r="B450" s="2">
        <v>25000000000447</v>
      </c>
      <c r="C450" s="5" t="s">
        <v>446</v>
      </c>
    </row>
    <row r="451" spans="2:3" x14ac:dyDescent="0.2">
      <c r="B451" s="2">
        <v>25000000000448</v>
      </c>
      <c r="C451" s="5" t="s">
        <v>447</v>
      </c>
    </row>
    <row r="452" spans="2:3" x14ac:dyDescent="0.2">
      <c r="B452" s="2">
        <v>25000000000449</v>
      </c>
      <c r="C452" s="5" t="s">
        <v>448</v>
      </c>
    </row>
    <row r="453" spans="2:3" x14ac:dyDescent="0.2">
      <c r="B453" s="2">
        <v>25000000000450</v>
      </c>
      <c r="C453" s="5" t="s">
        <v>449</v>
      </c>
    </row>
    <row r="454" spans="2:3" x14ac:dyDescent="0.2">
      <c r="B454" s="2">
        <v>25000000000451</v>
      </c>
      <c r="C454" s="5" t="s">
        <v>450</v>
      </c>
    </row>
    <row r="455" spans="2:3" x14ac:dyDescent="0.2">
      <c r="B455" s="2">
        <v>25000000000452</v>
      </c>
      <c r="C455" s="5" t="s">
        <v>451</v>
      </c>
    </row>
    <row r="456" spans="2:3" x14ac:dyDescent="0.2">
      <c r="B456" s="2">
        <v>25000000000453</v>
      </c>
      <c r="C456" s="5" t="s">
        <v>452</v>
      </c>
    </row>
    <row r="457" spans="2:3" x14ac:dyDescent="0.2">
      <c r="B457" s="2">
        <v>25000000000454</v>
      </c>
      <c r="C457" s="5" t="s">
        <v>453</v>
      </c>
    </row>
    <row r="458" spans="2:3" x14ac:dyDescent="0.2">
      <c r="B458" s="2">
        <v>25000000000455</v>
      </c>
      <c r="C458" s="5" t="s">
        <v>454</v>
      </c>
    </row>
    <row r="459" spans="2:3" x14ac:dyDescent="0.2">
      <c r="B459" s="2">
        <v>25000000000456</v>
      </c>
      <c r="C459" s="5" t="s">
        <v>455</v>
      </c>
    </row>
    <row r="460" spans="2:3" x14ac:dyDescent="0.2">
      <c r="B460" s="2">
        <v>25000000000457</v>
      </c>
      <c r="C460" s="5" t="s">
        <v>456</v>
      </c>
    </row>
    <row r="461" spans="2:3" x14ac:dyDescent="0.2">
      <c r="B461" s="2">
        <v>25000000000458</v>
      </c>
      <c r="C461" s="5" t="s">
        <v>457</v>
      </c>
    </row>
    <row r="462" spans="2:3" x14ac:dyDescent="0.2">
      <c r="B462" s="2">
        <v>25000000000459</v>
      </c>
      <c r="C462" s="5" t="s">
        <v>458</v>
      </c>
    </row>
    <row r="463" spans="2:3" x14ac:dyDescent="0.2">
      <c r="B463" s="2">
        <v>25000000000460</v>
      </c>
      <c r="C463" s="5" t="s">
        <v>459</v>
      </c>
    </row>
    <row r="464" spans="2:3" x14ac:dyDescent="0.2">
      <c r="B464" s="2">
        <v>25000000000461</v>
      </c>
      <c r="C464" s="5" t="s">
        <v>460</v>
      </c>
    </row>
    <row r="465" spans="2:3" x14ac:dyDescent="0.2">
      <c r="B465" s="2">
        <v>25000000000462</v>
      </c>
      <c r="C465" s="5" t="s">
        <v>461</v>
      </c>
    </row>
    <row r="466" spans="2:3" x14ac:dyDescent="0.2">
      <c r="B466" s="2">
        <v>25000000000463</v>
      </c>
      <c r="C466" s="5" t="s">
        <v>462</v>
      </c>
    </row>
    <row r="467" spans="2:3" x14ac:dyDescent="0.2">
      <c r="B467" s="2">
        <v>25000000000464</v>
      </c>
      <c r="C467" s="5" t="s">
        <v>463</v>
      </c>
    </row>
    <row r="468" spans="2:3" x14ac:dyDescent="0.2">
      <c r="B468" s="2">
        <v>25000000000465</v>
      </c>
      <c r="C468" s="5" t="s">
        <v>464</v>
      </c>
    </row>
    <row r="469" spans="2:3" x14ac:dyDescent="0.2">
      <c r="B469" s="2">
        <v>25000000000466</v>
      </c>
      <c r="C469" s="5" t="s">
        <v>465</v>
      </c>
    </row>
    <row r="470" spans="2:3" x14ac:dyDescent="0.2">
      <c r="B470" s="2">
        <v>25000000000467</v>
      </c>
      <c r="C470" s="5" t="s">
        <v>466</v>
      </c>
    </row>
    <row r="471" spans="2:3" x14ac:dyDescent="0.2">
      <c r="B471" s="2">
        <v>25000000000468</v>
      </c>
      <c r="C471" s="5" t="s">
        <v>467</v>
      </c>
    </row>
    <row r="472" spans="2:3" x14ac:dyDescent="0.2">
      <c r="B472" s="2">
        <v>25000000000469</v>
      </c>
      <c r="C472" s="5" t="s">
        <v>468</v>
      </c>
    </row>
    <row r="473" spans="2:3" x14ac:dyDescent="0.2">
      <c r="B473" s="2">
        <v>25000000000470</v>
      </c>
      <c r="C473" s="5" t="s">
        <v>469</v>
      </c>
    </row>
    <row r="474" spans="2:3" x14ac:dyDescent="0.2">
      <c r="B474" s="2">
        <v>25000000000471</v>
      </c>
      <c r="C474" s="5" t="s">
        <v>470</v>
      </c>
    </row>
    <row r="475" spans="2:3" x14ac:dyDescent="0.2">
      <c r="B475" s="2">
        <v>25000000000472</v>
      </c>
      <c r="C475" s="5" t="s">
        <v>471</v>
      </c>
    </row>
    <row r="476" spans="2:3" x14ac:dyDescent="0.2">
      <c r="B476" s="2">
        <v>25000000000473</v>
      </c>
      <c r="C476" s="5" t="s">
        <v>472</v>
      </c>
    </row>
    <row r="477" spans="2:3" x14ac:dyDescent="0.2">
      <c r="B477" s="2">
        <v>25000000000474</v>
      </c>
      <c r="C477" s="5" t="s">
        <v>473</v>
      </c>
    </row>
    <row r="478" spans="2:3" x14ac:dyDescent="0.2">
      <c r="B478" s="2">
        <v>25000000000475</v>
      </c>
      <c r="C478" s="5" t="s">
        <v>474</v>
      </c>
    </row>
    <row r="479" spans="2:3" x14ac:dyDescent="0.2">
      <c r="B479" s="2">
        <v>25000000000476</v>
      </c>
      <c r="C479" s="5" t="s">
        <v>475</v>
      </c>
    </row>
    <row r="480" spans="2:3" x14ac:dyDescent="0.2">
      <c r="B480" s="2">
        <v>25000000000477</v>
      </c>
      <c r="C480" s="5" t="s">
        <v>476</v>
      </c>
    </row>
    <row r="481" spans="2:3" x14ac:dyDescent="0.2">
      <c r="B481" s="2">
        <v>25000000000478</v>
      </c>
      <c r="C481" s="5" t="s">
        <v>477</v>
      </c>
    </row>
    <row r="482" spans="2:3" x14ac:dyDescent="0.2">
      <c r="B482" s="2">
        <v>25000000000479</v>
      </c>
      <c r="C482" s="5" t="s">
        <v>478</v>
      </c>
    </row>
    <row r="483" spans="2:3" x14ac:dyDescent="0.2">
      <c r="B483" s="2">
        <v>25000000000480</v>
      </c>
      <c r="C483" s="5" t="s">
        <v>479</v>
      </c>
    </row>
    <row r="484" spans="2:3" x14ac:dyDescent="0.2">
      <c r="B484" s="2">
        <v>25000000000481</v>
      </c>
      <c r="C484" s="5" t="s">
        <v>480</v>
      </c>
    </row>
    <row r="485" spans="2:3" x14ac:dyDescent="0.2">
      <c r="B485" s="2">
        <v>25000000000482</v>
      </c>
      <c r="C485" s="5" t="s">
        <v>481</v>
      </c>
    </row>
    <row r="486" spans="2:3" x14ac:dyDescent="0.2">
      <c r="B486" s="2">
        <v>25000000000483</v>
      </c>
      <c r="C486" s="5" t="s">
        <v>482</v>
      </c>
    </row>
    <row r="487" spans="2:3" x14ac:dyDescent="0.2">
      <c r="B487" s="2">
        <v>25000000000484</v>
      </c>
      <c r="C487" s="5" t="s">
        <v>483</v>
      </c>
    </row>
    <row r="488" spans="2:3" x14ac:dyDescent="0.2">
      <c r="B488" s="2">
        <v>25000000000485</v>
      </c>
      <c r="C488" s="5" t="s">
        <v>484</v>
      </c>
    </row>
    <row r="489" spans="2:3" x14ac:dyDescent="0.2">
      <c r="B489" s="2">
        <v>25000000000486</v>
      </c>
      <c r="C489" s="5" t="s">
        <v>485</v>
      </c>
    </row>
    <row r="490" spans="2:3" x14ac:dyDescent="0.2">
      <c r="B490" s="2">
        <v>25000000000487</v>
      </c>
      <c r="C490" s="5" t="s">
        <v>486</v>
      </c>
    </row>
    <row r="491" spans="2:3" x14ac:dyDescent="0.2">
      <c r="B491" s="2">
        <v>25000000000488</v>
      </c>
      <c r="C491" s="5" t="s">
        <v>487</v>
      </c>
    </row>
    <row r="492" spans="2:3" x14ac:dyDescent="0.2">
      <c r="B492" s="2">
        <v>25000000000489</v>
      </c>
      <c r="C492" s="5" t="s">
        <v>488</v>
      </c>
    </row>
    <row r="493" spans="2:3" x14ac:dyDescent="0.2">
      <c r="B493" s="2">
        <v>25000000000490</v>
      </c>
      <c r="C493" s="5" t="s">
        <v>489</v>
      </c>
    </row>
    <row r="494" spans="2:3" x14ac:dyDescent="0.2">
      <c r="B494" s="2">
        <v>25000000000491</v>
      </c>
      <c r="C494" s="5" t="s">
        <v>490</v>
      </c>
    </row>
    <row r="495" spans="2:3" x14ac:dyDescent="0.2">
      <c r="B495" s="2">
        <v>25000000000492</v>
      </c>
      <c r="C495" s="5" t="s">
        <v>491</v>
      </c>
    </row>
    <row r="496" spans="2:3" x14ac:dyDescent="0.2">
      <c r="B496" s="2">
        <v>25000000000493</v>
      </c>
      <c r="C496" s="5" t="s">
        <v>492</v>
      </c>
    </row>
    <row r="497" spans="2:3" x14ac:dyDescent="0.2">
      <c r="B497" s="2">
        <v>25000000000494</v>
      </c>
      <c r="C497" s="5" t="s">
        <v>493</v>
      </c>
    </row>
    <row r="498" spans="2:3" x14ac:dyDescent="0.2">
      <c r="B498" s="2">
        <v>25000000000495</v>
      </c>
      <c r="C498" s="5" t="s">
        <v>494</v>
      </c>
    </row>
    <row r="499" spans="2:3" x14ac:dyDescent="0.2">
      <c r="B499" s="2">
        <v>25000000000496</v>
      </c>
      <c r="C499" s="5" t="s">
        <v>495</v>
      </c>
    </row>
    <row r="500" spans="2:3" x14ac:dyDescent="0.2">
      <c r="B500" s="2">
        <v>25000000000497</v>
      </c>
      <c r="C500" s="5" t="s">
        <v>496</v>
      </c>
    </row>
    <row r="501" spans="2:3" x14ac:dyDescent="0.2">
      <c r="B501" s="2">
        <v>25000000000498</v>
      </c>
      <c r="C501" s="5" t="s">
        <v>497</v>
      </c>
    </row>
    <row r="502" spans="2:3" x14ac:dyDescent="0.2">
      <c r="B502" s="2">
        <v>25000000000499</v>
      </c>
      <c r="C502" s="5" t="s">
        <v>498</v>
      </c>
    </row>
    <row r="503" spans="2:3" x14ac:dyDescent="0.2">
      <c r="B503" s="2">
        <v>25000000000500</v>
      </c>
      <c r="C503" s="5" t="s">
        <v>499</v>
      </c>
    </row>
    <row r="504" spans="2:3" x14ac:dyDescent="0.2">
      <c r="B504" s="2">
        <v>25000000000501</v>
      </c>
      <c r="C504" s="5" t="s">
        <v>500</v>
      </c>
    </row>
    <row r="505" spans="2:3" x14ac:dyDescent="0.2">
      <c r="B505" s="2">
        <v>25000000000502</v>
      </c>
      <c r="C505" s="5" t="s">
        <v>501</v>
      </c>
    </row>
    <row r="506" spans="2:3" x14ac:dyDescent="0.2">
      <c r="B506" s="2">
        <v>25000000000503</v>
      </c>
      <c r="C506" s="5" t="s">
        <v>502</v>
      </c>
    </row>
    <row r="507" spans="2:3" x14ac:dyDescent="0.2">
      <c r="B507" s="2">
        <v>25000000000504</v>
      </c>
      <c r="C507" s="5" t="s">
        <v>503</v>
      </c>
    </row>
    <row r="508" spans="2:3" x14ac:dyDescent="0.2">
      <c r="B508" s="2">
        <v>25000000000505</v>
      </c>
      <c r="C508" s="5" t="s">
        <v>504</v>
      </c>
    </row>
    <row r="509" spans="2:3" x14ac:dyDescent="0.2">
      <c r="B509" s="2">
        <v>25000000000506</v>
      </c>
      <c r="C509" s="5" t="s">
        <v>505</v>
      </c>
    </row>
    <row r="510" spans="2:3" x14ac:dyDescent="0.2">
      <c r="B510" s="2">
        <v>25000000000507</v>
      </c>
      <c r="C510" s="5" t="s">
        <v>506</v>
      </c>
    </row>
    <row r="511" spans="2:3" x14ac:dyDescent="0.2">
      <c r="B511" s="2">
        <v>25000000000508</v>
      </c>
      <c r="C511" s="5" t="s">
        <v>507</v>
      </c>
    </row>
    <row r="512" spans="2:3" x14ac:dyDescent="0.2">
      <c r="B512" s="2">
        <v>25000000000509</v>
      </c>
      <c r="C512" s="5" t="s">
        <v>508</v>
      </c>
    </row>
    <row r="513" spans="2:3" x14ac:dyDescent="0.2">
      <c r="B513" s="2">
        <v>25000000000510</v>
      </c>
      <c r="C513" s="5" t="s">
        <v>509</v>
      </c>
    </row>
    <row r="514" spans="2:3" x14ac:dyDescent="0.2">
      <c r="B514" s="2">
        <v>25000000000511</v>
      </c>
      <c r="C514" s="5" t="s">
        <v>510</v>
      </c>
    </row>
    <row r="515" spans="2:3" x14ac:dyDescent="0.2">
      <c r="B515" s="2">
        <v>25000000000512</v>
      </c>
      <c r="C515" s="5" t="s">
        <v>511</v>
      </c>
    </row>
    <row r="516" spans="2:3" x14ac:dyDescent="0.2">
      <c r="B516" s="2">
        <v>25000000000513</v>
      </c>
      <c r="C516" s="5" t="s">
        <v>512</v>
      </c>
    </row>
    <row r="517" spans="2:3" x14ac:dyDescent="0.2">
      <c r="B517" s="2">
        <v>25000000000514</v>
      </c>
      <c r="C517" s="5" t="s">
        <v>513</v>
      </c>
    </row>
    <row r="518" spans="2:3" x14ac:dyDescent="0.2">
      <c r="B518" s="2">
        <v>25000000000515</v>
      </c>
      <c r="C518" s="5" t="s">
        <v>514</v>
      </c>
    </row>
    <row r="519" spans="2:3" x14ac:dyDescent="0.2">
      <c r="B519" s="2">
        <v>25000000000516</v>
      </c>
      <c r="C519" s="5" t="s">
        <v>515</v>
      </c>
    </row>
    <row r="520" spans="2:3" x14ac:dyDescent="0.2">
      <c r="B520" s="2">
        <v>25000000000517</v>
      </c>
      <c r="C520" s="5" t="s">
        <v>516</v>
      </c>
    </row>
    <row r="521" spans="2:3" x14ac:dyDescent="0.2">
      <c r="B521" s="2">
        <v>25000000000518</v>
      </c>
      <c r="C521" s="5" t="s">
        <v>517</v>
      </c>
    </row>
    <row r="522" spans="2:3" x14ac:dyDescent="0.2">
      <c r="B522" s="2">
        <v>25000000000519</v>
      </c>
      <c r="C522" s="5" t="s">
        <v>518</v>
      </c>
    </row>
    <row r="523" spans="2:3" x14ac:dyDescent="0.2">
      <c r="B523" s="2">
        <v>25000000000520</v>
      </c>
      <c r="C523" s="5" t="s">
        <v>519</v>
      </c>
    </row>
    <row r="524" spans="2:3" x14ac:dyDescent="0.2">
      <c r="B524" s="2">
        <v>25000000000521</v>
      </c>
      <c r="C524" s="5" t="s">
        <v>520</v>
      </c>
    </row>
    <row r="525" spans="2:3" x14ac:dyDescent="0.2">
      <c r="B525" s="2">
        <v>25000000000522</v>
      </c>
      <c r="C525" s="5" t="s">
        <v>521</v>
      </c>
    </row>
    <row r="526" spans="2:3" x14ac:dyDescent="0.2">
      <c r="B526" s="2">
        <v>25000000000523</v>
      </c>
      <c r="C526" s="5" t="s">
        <v>522</v>
      </c>
    </row>
    <row r="527" spans="2:3" x14ac:dyDescent="0.2">
      <c r="B527" s="2">
        <v>25000000000524</v>
      </c>
      <c r="C527" s="5" t="s">
        <v>523</v>
      </c>
    </row>
    <row r="528" spans="2:3" x14ac:dyDescent="0.2">
      <c r="B528" s="2">
        <v>25000000000525</v>
      </c>
      <c r="C528" s="5" t="s">
        <v>524</v>
      </c>
    </row>
    <row r="529" spans="2:3" x14ac:dyDescent="0.2">
      <c r="B529" s="2">
        <v>25000000000526</v>
      </c>
      <c r="C529" s="5" t="s">
        <v>525</v>
      </c>
    </row>
    <row r="530" spans="2:3" x14ac:dyDescent="0.2">
      <c r="B530" s="2">
        <v>25000000000527</v>
      </c>
      <c r="C530" s="5" t="s">
        <v>526</v>
      </c>
    </row>
    <row r="531" spans="2:3" x14ac:dyDescent="0.2">
      <c r="B531" s="2">
        <v>25000000000528</v>
      </c>
      <c r="C531" s="5" t="s">
        <v>527</v>
      </c>
    </row>
    <row r="532" spans="2:3" x14ac:dyDescent="0.2">
      <c r="B532" s="2">
        <v>25000000000529</v>
      </c>
      <c r="C532" s="5" t="s">
        <v>528</v>
      </c>
    </row>
    <row r="533" spans="2:3" x14ac:dyDescent="0.2">
      <c r="B533" s="2">
        <v>25000000000530</v>
      </c>
      <c r="C533" s="5" t="s">
        <v>529</v>
      </c>
    </row>
    <row r="534" spans="2:3" x14ac:dyDescent="0.2">
      <c r="B534" s="2">
        <v>25000000000531</v>
      </c>
      <c r="C534" s="5" t="s">
        <v>530</v>
      </c>
    </row>
    <row r="535" spans="2:3" x14ac:dyDescent="0.2">
      <c r="B535" s="2">
        <v>25000000000532</v>
      </c>
      <c r="C535" s="5" t="s">
        <v>531</v>
      </c>
    </row>
    <row r="536" spans="2:3" x14ac:dyDescent="0.2">
      <c r="B536" s="2">
        <v>25000000000533</v>
      </c>
      <c r="C536" s="5" t="s">
        <v>532</v>
      </c>
    </row>
    <row r="537" spans="2:3" x14ac:dyDescent="0.2">
      <c r="B537" s="2">
        <v>25000000000534</v>
      </c>
      <c r="C537" s="5" t="s">
        <v>533</v>
      </c>
    </row>
    <row r="538" spans="2:3" x14ac:dyDescent="0.2">
      <c r="B538" s="2">
        <v>25000000000535</v>
      </c>
      <c r="C538" s="5" t="s">
        <v>534</v>
      </c>
    </row>
    <row r="539" spans="2:3" x14ac:dyDescent="0.2">
      <c r="B539" s="2">
        <v>25000000000536</v>
      </c>
      <c r="C539" s="5" t="s">
        <v>535</v>
      </c>
    </row>
    <row r="540" spans="2:3" x14ac:dyDescent="0.2">
      <c r="B540" s="2">
        <v>25000000000537</v>
      </c>
      <c r="C540" s="5" t="s">
        <v>536</v>
      </c>
    </row>
    <row r="541" spans="2:3" x14ac:dyDescent="0.2">
      <c r="B541" s="2">
        <v>25000000000538</v>
      </c>
      <c r="C541" s="5" t="s">
        <v>537</v>
      </c>
    </row>
    <row r="542" spans="2:3" x14ac:dyDescent="0.2">
      <c r="B542" s="2">
        <v>25000000000539</v>
      </c>
      <c r="C542" s="5" t="s">
        <v>538</v>
      </c>
    </row>
    <row r="543" spans="2:3" x14ac:dyDescent="0.2">
      <c r="B543" s="2">
        <v>25000000000540</v>
      </c>
      <c r="C543" s="5" t="s">
        <v>539</v>
      </c>
    </row>
    <row r="544" spans="2:3" x14ac:dyDescent="0.2">
      <c r="B544" s="2">
        <v>25000000000541</v>
      </c>
      <c r="C544" s="5" t="s">
        <v>540</v>
      </c>
    </row>
    <row r="545" spans="2:3" x14ac:dyDescent="0.2">
      <c r="B545" s="2">
        <v>25000000000542</v>
      </c>
      <c r="C545" s="5" t="s">
        <v>541</v>
      </c>
    </row>
    <row r="546" spans="2:3" x14ac:dyDescent="0.2">
      <c r="B546" s="2">
        <v>25000000000543</v>
      </c>
      <c r="C546" s="5" t="s">
        <v>542</v>
      </c>
    </row>
    <row r="547" spans="2:3" x14ac:dyDescent="0.2">
      <c r="B547" s="2">
        <v>25000000000544</v>
      </c>
      <c r="C547" s="5" t="s">
        <v>543</v>
      </c>
    </row>
    <row r="548" spans="2:3" x14ac:dyDescent="0.2">
      <c r="B548" s="2">
        <v>25000000000545</v>
      </c>
      <c r="C548" s="5" t="s">
        <v>544</v>
      </c>
    </row>
    <row r="549" spans="2:3" x14ac:dyDescent="0.2">
      <c r="B549" s="2">
        <v>25000000000546</v>
      </c>
      <c r="C549" s="5" t="s">
        <v>545</v>
      </c>
    </row>
    <row r="550" spans="2:3" x14ac:dyDescent="0.2">
      <c r="B550" s="2">
        <v>25000000000547</v>
      </c>
      <c r="C550" s="5" t="s">
        <v>546</v>
      </c>
    </row>
    <row r="551" spans="2:3" x14ac:dyDescent="0.2">
      <c r="B551" s="2">
        <v>25000000000548</v>
      </c>
      <c r="C551" s="5" t="s">
        <v>547</v>
      </c>
    </row>
    <row r="552" spans="2:3" x14ac:dyDescent="0.2">
      <c r="B552" s="2">
        <v>25000000000549</v>
      </c>
      <c r="C552" s="5" t="s">
        <v>548</v>
      </c>
    </row>
    <row r="553" spans="2:3" x14ac:dyDescent="0.2">
      <c r="B553" s="2">
        <v>25000000000550</v>
      </c>
      <c r="C553" s="5" t="s">
        <v>549</v>
      </c>
    </row>
    <row r="554" spans="2:3" x14ac:dyDescent="0.2">
      <c r="B554" s="2">
        <v>25000000000551</v>
      </c>
      <c r="C554" s="5" t="s">
        <v>550</v>
      </c>
    </row>
    <row r="555" spans="2:3" x14ac:dyDescent="0.2">
      <c r="B555" s="2">
        <v>25000000000552</v>
      </c>
      <c r="C555" s="5" t="s">
        <v>551</v>
      </c>
    </row>
    <row r="556" spans="2:3" x14ac:dyDescent="0.2">
      <c r="B556" s="2">
        <v>25000000000553</v>
      </c>
      <c r="C556" s="5" t="s">
        <v>552</v>
      </c>
    </row>
    <row r="557" spans="2:3" x14ac:dyDescent="0.2">
      <c r="B557" s="2">
        <v>25000000000554</v>
      </c>
      <c r="C557" s="5" t="s">
        <v>553</v>
      </c>
    </row>
    <row r="558" spans="2:3" x14ac:dyDescent="0.2">
      <c r="B558" s="2">
        <v>25000000000555</v>
      </c>
      <c r="C558" s="5" t="s">
        <v>554</v>
      </c>
    </row>
    <row r="559" spans="2:3" x14ac:dyDescent="0.2">
      <c r="B559" s="2">
        <v>25000000000556</v>
      </c>
      <c r="C559" s="5" t="s">
        <v>555</v>
      </c>
    </row>
    <row r="560" spans="2:3" x14ac:dyDescent="0.2">
      <c r="B560" s="2">
        <v>25000000000557</v>
      </c>
      <c r="C560" s="5" t="s">
        <v>556</v>
      </c>
    </row>
    <row r="561" spans="2:3" x14ac:dyDescent="0.2">
      <c r="B561" s="2">
        <v>25000000000558</v>
      </c>
      <c r="C561" s="5" t="s">
        <v>557</v>
      </c>
    </row>
    <row r="562" spans="2:3" x14ac:dyDescent="0.2">
      <c r="B562" s="2">
        <v>25000000000559</v>
      </c>
      <c r="C562" s="5" t="s">
        <v>558</v>
      </c>
    </row>
    <row r="563" spans="2:3" x14ac:dyDescent="0.2">
      <c r="B563" s="2">
        <v>25000000000560</v>
      </c>
      <c r="C563" s="5" t="s">
        <v>559</v>
      </c>
    </row>
    <row r="564" spans="2:3" x14ac:dyDescent="0.2">
      <c r="B564" s="2">
        <v>25000000000561</v>
      </c>
      <c r="C564" s="5" t="s">
        <v>560</v>
      </c>
    </row>
    <row r="565" spans="2:3" x14ac:dyDescent="0.2">
      <c r="B565" s="2">
        <v>25000000000562</v>
      </c>
      <c r="C565" s="5" t="s">
        <v>561</v>
      </c>
    </row>
    <row r="566" spans="2:3" x14ac:dyDescent="0.2">
      <c r="B566" s="2">
        <v>25000000000563</v>
      </c>
      <c r="C566" s="5" t="s">
        <v>562</v>
      </c>
    </row>
    <row r="567" spans="2:3" x14ac:dyDescent="0.2">
      <c r="B567" s="2">
        <v>25000000000564</v>
      </c>
      <c r="C567" s="5" t="s">
        <v>563</v>
      </c>
    </row>
    <row r="568" spans="2:3" x14ac:dyDescent="0.2">
      <c r="B568" s="2">
        <v>25000000000565</v>
      </c>
      <c r="C568" s="5" t="s">
        <v>564</v>
      </c>
    </row>
    <row r="569" spans="2:3" x14ac:dyDescent="0.2">
      <c r="B569" s="2">
        <v>25000000000566</v>
      </c>
      <c r="C569" s="5" t="s">
        <v>565</v>
      </c>
    </row>
    <row r="570" spans="2:3" x14ac:dyDescent="0.2">
      <c r="B570" s="2">
        <v>25000000000567</v>
      </c>
      <c r="C570" s="5" t="s">
        <v>566</v>
      </c>
    </row>
    <row r="571" spans="2:3" x14ac:dyDescent="0.2">
      <c r="B571" s="2">
        <v>25000000000568</v>
      </c>
      <c r="C571" s="5" t="s">
        <v>567</v>
      </c>
    </row>
    <row r="572" spans="2:3" x14ac:dyDescent="0.2">
      <c r="B572" s="2">
        <v>25000000000569</v>
      </c>
      <c r="C572" s="5" t="s">
        <v>568</v>
      </c>
    </row>
    <row r="573" spans="2:3" x14ac:dyDescent="0.2">
      <c r="B573" s="2">
        <v>25000000000570</v>
      </c>
      <c r="C573" s="5" t="s">
        <v>569</v>
      </c>
    </row>
    <row r="574" spans="2:3" x14ac:dyDescent="0.2">
      <c r="B574" s="2">
        <v>25000000000571</v>
      </c>
      <c r="C574" s="5" t="s">
        <v>570</v>
      </c>
    </row>
    <row r="575" spans="2:3" x14ac:dyDescent="0.2">
      <c r="B575" s="2">
        <v>25000000000572</v>
      </c>
      <c r="C575" s="5" t="s">
        <v>571</v>
      </c>
    </row>
    <row r="576" spans="2:3" x14ac:dyDescent="0.2">
      <c r="B576" s="2">
        <v>25000000000573</v>
      </c>
      <c r="C576" s="5" t="s">
        <v>572</v>
      </c>
    </row>
    <row r="577" spans="2:3" x14ac:dyDescent="0.2">
      <c r="B577" s="2">
        <v>25000000000574</v>
      </c>
      <c r="C577" s="5" t="s">
        <v>573</v>
      </c>
    </row>
    <row r="578" spans="2:3" x14ac:dyDescent="0.2">
      <c r="B578" s="2">
        <v>25000000000575</v>
      </c>
      <c r="C578" s="5" t="s">
        <v>574</v>
      </c>
    </row>
    <row r="579" spans="2:3" x14ac:dyDescent="0.2">
      <c r="B579" s="2">
        <v>25000000000576</v>
      </c>
      <c r="C579" s="5" t="s">
        <v>575</v>
      </c>
    </row>
    <row r="580" spans="2:3" x14ac:dyDescent="0.2">
      <c r="B580" s="2">
        <v>25000000000577</v>
      </c>
      <c r="C580" s="5" t="s">
        <v>576</v>
      </c>
    </row>
    <row r="581" spans="2:3" x14ac:dyDescent="0.2">
      <c r="B581" s="2">
        <v>25000000000578</v>
      </c>
      <c r="C581" s="5" t="s">
        <v>577</v>
      </c>
    </row>
    <row r="582" spans="2:3" x14ac:dyDescent="0.2">
      <c r="B582" s="2">
        <v>25000000000579</v>
      </c>
      <c r="C582" s="5" t="s">
        <v>578</v>
      </c>
    </row>
    <row r="583" spans="2:3" x14ac:dyDescent="0.2">
      <c r="B583" s="2">
        <v>25000000000580</v>
      </c>
      <c r="C583" s="5" t="s">
        <v>579</v>
      </c>
    </row>
    <row r="584" spans="2:3" x14ac:dyDescent="0.2">
      <c r="B584" s="2">
        <v>25000000000581</v>
      </c>
      <c r="C584" s="5" t="s">
        <v>580</v>
      </c>
    </row>
    <row r="585" spans="2:3" x14ac:dyDescent="0.2">
      <c r="B585" s="2">
        <v>25000000000582</v>
      </c>
      <c r="C585" s="5" t="s">
        <v>581</v>
      </c>
    </row>
    <row r="586" spans="2:3" x14ac:dyDescent="0.2">
      <c r="B586" s="2">
        <v>25000000000583</v>
      </c>
      <c r="C586" s="5" t="s">
        <v>582</v>
      </c>
    </row>
    <row r="587" spans="2:3" x14ac:dyDescent="0.2">
      <c r="B587" s="2">
        <v>25000000000584</v>
      </c>
      <c r="C587" s="5" t="s">
        <v>583</v>
      </c>
    </row>
    <row r="588" spans="2:3" x14ac:dyDescent="0.2">
      <c r="B588" s="2">
        <v>25000000000585</v>
      </c>
      <c r="C588" s="5" t="s">
        <v>584</v>
      </c>
    </row>
    <row r="589" spans="2:3" x14ac:dyDescent="0.2">
      <c r="B589" s="2">
        <v>25000000000586</v>
      </c>
      <c r="C589" s="5" t="s">
        <v>585</v>
      </c>
    </row>
    <row r="590" spans="2:3" x14ac:dyDescent="0.2">
      <c r="B590" s="2">
        <v>25000000000587</v>
      </c>
      <c r="C590" s="5" t="s">
        <v>586</v>
      </c>
    </row>
    <row r="591" spans="2:3" x14ac:dyDescent="0.2">
      <c r="B591" s="2">
        <v>25000000000588</v>
      </c>
      <c r="C591" s="5" t="s">
        <v>587</v>
      </c>
    </row>
    <row r="592" spans="2:3" x14ac:dyDescent="0.2">
      <c r="B592" s="2">
        <v>25000000000589</v>
      </c>
      <c r="C592" s="5" t="s">
        <v>588</v>
      </c>
    </row>
    <row r="593" spans="2:3" x14ac:dyDescent="0.2">
      <c r="B593" s="2">
        <v>25000000000590</v>
      </c>
      <c r="C593" s="5" t="s">
        <v>589</v>
      </c>
    </row>
    <row r="594" spans="2:3" x14ac:dyDescent="0.2">
      <c r="B594" s="2">
        <v>25000000000591</v>
      </c>
      <c r="C594" s="5" t="s">
        <v>590</v>
      </c>
    </row>
    <row r="595" spans="2:3" x14ac:dyDescent="0.2">
      <c r="B595" s="2">
        <v>25000000000592</v>
      </c>
      <c r="C595" s="5" t="s">
        <v>591</v>
      </c>
    </row>
    <row r="596" spans="2:3" x14ac:dyDescent="0.2">
      <c r="B596" s="2">
        <v>25000000000593</v>
      </c>
      <c r="C596" s="5" t="s">
        <v>592</v>
      </c>
    </row>
    <row r="597" spans="2:3" x14ac:dyDescent="0.2">
      <c r="B597" s="2">
        <v>25000000000594</v>
      </c>
      <c r="C597" s="5" t="s">
        <v>593</v>
      </c>
    </row>
    <row r="598" spans="2:3" x14ac:dyDescent="0.2">
      <c r="B598" s="2">
        <v>25000000000595</v>
      </c>
      <c r="C598" s="5" t="s">
        <v>594</v>
      </c>
    </row>
    <row r="599" spans="2:3" x14ac:dyDescent="0.2">
      <c r="B599" s="2">
        <v>25000000000596</v>
      </c>
      <c r="C599" s="5" t="s">
        <v>595</v>
      </c>
    </row>
    <row r="600" spans="2:3" x14ac:dyDescent="0.2">
      <c r="B600" s="2">
        <v>25000000000597</v>
      </c>
      <c r="C600" s="5" t="s">
        <v>596</v>
      </c>
    </row>
    <row r="601" spans="2:3" x14ac:dyDescent="0.2">
      <c r="B601" s="2">
        <v>25000000000598</v>
      </c>
      <c r="C601" s="5" t="s">
        <v>597</v>
      </c>
    </row>
    <row r="602" spans="2:3" x14ac:dyDescent="0.2">
      <c r="B602" s="2">
        <v>25000000000599</v>
      </c>
      <c r="C602" s="5" t="s">
        <v>598</v>
      </c>
    </row>
    <row r="603" spans="2:3" x14ac:dyDescent="0.2">
      <c r="B603" s="2">
        <v>25000000000600</v>
      </c>
      <c r="C603" s="5" t="s">
        <v>599</v>
      </c>
    </row>
    <row r="604" spans="2:3" x14ac:dyDescent="0.2">
      <c r="B604" s="2">
        <v>25000000000601</v>
      </c>
      <c r="C604" s="5" t="s">
        <v>600</v>
      </c>
    </row>
    <row r="605" spans="2:3" x14ac:dyDescent="0.2">
      <c r="B605" s="2">
        <v>25000000000602</v>
      </c>
      <c r="C605" s="5" t="s">
        <v>601</v>
      </c>
    </row>
    <row r="606" spans="2:3" x14ac:dyDescent="0.2">
      <c r="B606" s="2">
        <v>25000000000603</v>
      </c>
      <c r="C606" s="5" t="s">
        <v>602</v>
      </c>
    </row>
    <row r="607" spans="2:3" x14ac:dyDescent="0.2">
      <c r="B607" s="2">
        <v>25000000000604</v>
      </c>
      <c r="C607" s="5" t="s">
        <v>603</v>
      </c>
    </row>
    <row r="608" spans="2:3" x14ac:dyDescent="0.2">
      <c r="B608" s="2">
        <v>25000000000605</v>
      </c>
      <c r="C608" s="5" t="s">
        <v>604</v>
      </c>
    </row>
    <row r="609" spans="2:3" x14ac:dyDescent="0.2">
      <c r="B609" s="2">
        <v>25000000000606</v>
      </c>
      <c r="C609" s="5" t="s">
        <v>605</v>
      </c>
    </row>
    <row r="610" spans="2:3" x14ac:dyDescent="0.2">
      <c r="B610" s="2">
        <v>25000000000607</v>
      </c>
      <c r="C610" s="5" t="s">
        <v>606</v>
      </c>
    </row>
    <row r="611" spans="2:3" x14ac:dyDescent="0.2">
      <c r="B611" s="2">
        <v>25000000000608</v>
      </c>
      <c r="C611" s="5" t="s">
        <v>607</v>
      </c>
    </row>
    <row r="612" spans="2:3" x14ac:dyDescent="0.2">
      <c r="B612" s="2">
        <v>25000000000609</v>
      </c>
      <c r="C612" s="5" t="s">
        <v>608</v>
      </c>
    </row>
    <row r="613" spans="2:3" x14ac:dyDescent="0.2">
      <c r="B613" s="2">
        <v>25000000000610</v>
      </c>
      <c r="C613" s="5" t="s">
        <v>609</v>
      </c>
    </row>
    <row r="614" spans="2:3" x14ac:dyDescent="0.2">
      <c r="B614" s="2">
        <v>25000000000611</v>
      </c>
      <c r="C614" s="5" t="s">
        <v>610</v>
      </c>
    </row>
    <row r="615" spans="2:3" x14ac:dyDescent="0.2">
      <c r="B615" s="2">
        <v>25000000000612</v>
      </c>
      <c r="C615" s="5" t="s">
        <v>611</v>
      </c>
    </row>
    <row r="616" spans="2:3" x14ac:dyDescent="0.2">
      <c r="B616" s="2">
        <v>25000000000613</v>
      </c>
      <c r="C616" s="5" t="s">
        <v>612</v>
      </c>
    </row>
    <row r="617" spans="2:3" x14ac:dyDescent="0.2">
      <c r="B617" s="2">
        <v>25000000000614</v>
      </c>
      <c r="C617" s="5" t="s">
        <v>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- HP</vt:lpstr>
      <vt:lpstr>SEED</vt:lpstr>
      <vt:lpstr>DataLookUp</vt:lpstr>
      <vt:lpstr>REF - ContactNumberType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2025-12-31T22:17:54Z</dcterms:modified>
</cp:coreProperties>
</file>