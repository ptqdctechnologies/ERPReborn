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activeTab="1"/>
  </bookViews>
  <sheets>
    <sheet name="RAW - HP" sheetId="2" r:id="rId1"/>
    <sheet name="SEED" sheetId="4" r:id="rId2"/>
    <sheet name="DataLookUp" sheetId="5" r:id="rId3"/>
    <sheet name="REF - ContactNumberType" sheetId="3" r:id="rId4"/>
    <sheet name="Sheet1" sheetId="1" r:id="rId5"/>
  </sheets>
  <externalReferences>
    <externalReference r:id="rId6"/>
    <externalReference r:id="rId7"/>
  </externalReferences>
  <definedNames>
    <definedName name="_xlnm._FilterDatabase" localSheetId="1" hidden="1">SEED!$B$4:$F$756</definedName>
  </definedNames>
  <calcPr calcId="152511"/>
</workbook>
</file>

<file path=xl/calcChain.xml><?xml version="1.0" encoding="utf-8"?>
<calcChain xmlns="http://schemas.openxmlformats.org/spreadsheetml/2006/main">
  <c r="K6" i="4" l="1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J6" i="4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J80" i="4" s="1"/>
  <c r="J81" i="4" s="1"/>
  <c r="J82" i="4" s="1"/>
  <c r="J83" i="4" s="1"/>
  <c r="J84" i="4" s="1"/>
  <c r="J85" i="4" s="1"/>
  <c r="J86" i="4" s="1"/>
  <c r="J87" i="4" s="1"/>
  <c r="J88" i="4" s="1"/>
  <c r="J89" i="4" s="1"/>
  <c r="J90" i="4" s="1"/>
  <c r="J91" i="4" s="1"/>
  <c r="J92" i="4" s="1"/>
  <c r="J93" i="4" s="1"/>
  <c r="J94" i="4" s="1"/>
  <c r="J95" i="4" s="1"/>
  <c r="J96" i="4" s="1"/>
  <c r="J97" i="4" s="1"/>
  <c r="J98" i="4" s="1"/>
  <c r="J99" i="4" s="1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J110" i="4" s="1"/>
  <c r="J111" i="4" s="1"/>
  <c r="J112" i="4" s="1"/>
  <c r="J113" i="4" s="1"/>
  <c r="J114" i="4" s="1"/>
  <c r="J115" i="4" s="1"/>
  <c r="J116" i="4" s="1"/>
  <c r="J117" i="4" s="1"/>
  <c r="J118" i="4" s="1"/>
  <c r="J119" i="4" s="1"/>
  <c r="J120" i="4" s="1"/>
  <c r="J121" i="4" s="1"/>
  <c r="J122" i="4" s="1"/>
  <c r="J123" i="4" s="1"/>
  <c r="J124" i="4" s="1"/>
  <c r="J125" i="4" s="1"/>
  <c r="J126" i="4" s="1"/>
  <c r="J127" i="4" s="1"/>
  <c r="J128" i="4" s="1"/>
  <c r="J129" i="4" s="1"/>
  <c r="J130" i="4" s="1"/>
  <c r="J131" i="4" s="1"/>
  <c r="J132" i="4" s="1"/>
  <c r="J133" i="4" s="1"/>
  <c r="J134" i="4" s="1"/>
  <c r="J135" i="4" s="1"/>
  <c r="J136" i="4" s="1"/>
  <c r="J137" i="4" s="1"/>
  <c r="J138" i="4" s="1"/>
  <c r="J139" i="4" s="1"/>
  <c r="J140" i="4" s="1"/>
  <c r="J141" i="4" s="1"/>
  <c r="J142" i="4" s="1"/>
  <c r="J143" i="4" s="1"/>
  <c r="J144" i="4" s="1"/>
  <c r="J145" i="4" s="1"/>
  <c r="J146" i="4" s="1"/>
  <c r="J147" i="4" s="1"/>
  <c r="J148" i="4" s="1"/>
  <c r="J149" i="4" s="1"/>
  <c r="J150" i="4" s="1"/>
  <c r="J151" i="4" s="1"/>
  <c r="J152" i="4" s="1"/>
  <c r="J153" i="4" s="1"/>
  <c r="J154" i="4" s="1"/>
  <c r="J155" i="4" s="1"/>
  <c r="J156" i="4" s="1"/>
  <c r="J157" i="4" s="1"/>
  <c r="J158" i="4" s="1"/>
  <c r="J159" i="4" s="1"/>
  <c r="J160" i="4" s="1"/>
  <c r="J161" i="4" s="1"/>
  <c r="J162" i="4" s="1"/>
  <c r="J163" i="4" s="1"/>
  <c r="J164" i="4" s="1"/>
  <c r="J165" i="4" s="1"/>
  <c r="J166" i="4" s="1"/>
  <c r="J167" i="4" s="1"/>
  <c r="J168" i="4" s="1"/>
  <c r="J169" i="4" s="1"/>
  <c r="J170" i="4" s="1"/>
  <c r="J171" i="4" s="1"/>
  <c r="J172" i="4" s="1"/>
  <c r="J173" i="4" s="1"/>
  <c r="J174" i="4" s="1"/>
  <c r="J175" i="4" s="1"/>
  <c r="J176" i="4" s="1"/>
  <c r="J177" i="4" s="1"/>
  <c r="J178" i="4" s="1"/>
  <c r="J179" i="4" s="1"/>
  <c r="J180" i="4" s="1"/>
  <c r="J181" i="4" s="1"/>
  <c r="J182" i="4" s="1"/>
  <c r="J183" i="4" s="1"/>
  <c r="J184" i="4" s="1"/>
  <c r="J185" i="4" s="1"/>
  <c r="J186" i="4" s="1"/>
  <c r="J187" i="4" s="1"/>
  <c r="J188" i="4" s="1"/>
  <c r="J189" i="4" s="1"/>
  <c r="J190" i="4" s="1"/>
  <c r="J191" i="4" s="1"/>
  <c r="J192" i="4" s="1"/>
  <c r="J193" i="4" s="1"/>
  <c r="J194" i="4" s="1"/>
  <c r="J195" i="4" s="1"/>
  <c r="J196" i="4" s="1"/>
  <c r="J197" i="4" s="1"/>
  <c r="J198" i="4" s="1"/>
  <c r="J199" i="4" s="1"/>
  <c r="J200" i="4" s="1"/>
  <c r="J201" i="4" s="1"/>
  <c r="J202" i="4" s="1"/>
  <c r="J203" i="4" s="1"/>
  <c r="J204" i="4" s="1"/>
  <c r="J205" i="4" s="1"/>
  <c r="J206" i="4" s="1"/>
  <c r="J207" i="4" s="1"/>
  <c r="J208" i="4" s="1"/>
  <c r="J209" i="4" s="1"/>
  <c r="J210" i="4" s="1"/>
  <c r="J211" i="4" s="1"/>
  <c r="J212" i="4" s="1"/>
  <c r="J213" i="4" s="1"/>
  <c r="J214" i="4" s="1"/>
  <c r="J215" i="4" s="1"/>
  <c r="J216" i="4" s="1"/>
  <c r="J217" i="4" s="1"/>
  <c r="J218" i="4" s="1"/>
  <c r="J219" i="4" s="1"/>
  <c r="J220" i="4" s="1"/>
  <c r="J221" i="4" s="1"/>
  <c r="J222" i="4" s="1"/>
  <c r="J223" i="4" s="1"/>
  <c r="J224" i="4" s="1"/>
  <c r="J225" i="4" s="1"/>
  <c r="J226" i="4" s="1"/>
  <c r="J227" i="4" s="1"/>
  <c r="J228" i="4" s="1"/>
  <c r="J229" i="4" s="1"/>
  <c r="J230" i="4" s="1"/>
  <c r="J231" i="4" s="1"/>
  <c r="J232" i="4" s="1"/>
  <c r="J233" i="4" s="1"/>
  <c r="J234" i="4" s="1"/>
  <c r="J235" i="4" s="1"/>
  <c r="J236" i="4" s="1"/>
  <c r="J237" i="4" s="1"/>
  <c r="J238" i="4" s="1"/>
  <c r="J239" i="4" s="1"/>
  <c r="J240" i="4" s="1"/>
  <c r="J241" i="4" s="1"/>
  <c r="J242" i="4" s="1"/>
  <c r="J243" i="4" s="1"/>
  <c r="J244" i="4" s="1"/>
  <c r="J245" i="4" s="1"/>
  <c r="J246" i="4" s="1"/>
  <c r="J247" i="4" s="1"/>
  <c r="J248" i="4" s="1"/>
  <c r="J249" i="4" s="1"/>
  <c r="J250" i="4" s="1"/>
  <c r="J251" i="4" s="1"/>
  <c r="J252" i="4" s="1"/>
  <c r="J253" i="4" s="1"/>
  <c r="J254" i="4" s="1"/>
  <c r="J255" i="4" s="1"/>
  <c r="J256" i="4" s="1"/>
  <c r="J257" i="4" s="1"/>
  <c r="J258" i="4" s="1"/>
  <c r="J259" i="4" s="1"/>
  <c r="J260" i="4" s="1"/>
  <c r="J261" i="4" s="1"/>
  <c r="J262" i="4" s="1"/>
  <c r="J263" i="4" s="1"/>
  <c r="J264" i="4" s="1"/>
  <c r="J265" i="4" s="1"/>
  <c r="J266" i="4" s="1"/>
  <c r="J267" i="4" s="1"/>
  <c r="J268" i="4" s="1"/>
  <c r="J269" i="4" s="1"/>
  <c r="J270" i="4" s="1"/>
  <c r="J271" i="4" s="1"/>
  <c r="J272" i="4" s="1"/>
  <c r="J273" i="4" s="1"/>
  <c r="J274" i="4" s="1"/>
  <c r="J275" i="4" s="1"/>
  <c r="J276" i="4" s="1"/>
  <c r="J277" i="4" s="1"/>
  <c r="J278" i="4" s="1"/>
  <c r="J279" i="4" s="1"/>
  <c r="J280" i="4" s="1"/>
  <c r="J281" i="4" s="1"/>
  <c r="J282" i="4" s="1"/>
  <c r="J283" i="4" s="1"/>
  <c r="J284" i="4" s="1"/>
  <c r="J285" i="4" s="1"/>
  <c r="J286" i="4" s="1"/>
  <c r="J287" i="4" s="1"/>
  <c r="J288" i="4" s="1"/>
  <c r="J289" i="4" s="1"/>
  <c r="J290" i="4" s="1"/>
  <c r="J291" i="4" s="1"/>
  <c r="J292" i="4" s="1"/>
  <c r="J293" i="4" s="1"/>
  <c r="J294" i="4" s="1"/>
  <c r="J295" i="4" s="1"/>
  <c r="J296" i="4" s="1"/>
  <c r="J297" i="4" s="1"/>
  <c r="J298" i="4" s="1"/>
  <c r="J299" i="4" s="1"/>
  <c r="J300" i="4" s="1"/>
  <c r="J301" i="4" s="1"/>
  <c r="J302" i="4" s="1"/>
  <c r="J303" i="4" s="1"/>
  <c r="J304" i="4" s="1"/>
  <c r="J305" i="4" s="1"/>
  <c r="J306" i="4" s="1"/>
  <c r="J307" i="4" s="1"/>
  <c r="J308" i="4" s="1"/>
  <c r="J309" i="4" s="1"/>
  <c r="J310" i="4" s="1"/>
  <c r="J311" i="4" s="1"/>
  <c r="J312" i="4" s="1"/>
  <c r="J313" i="4" s="1"/>
  <c r="J314" i="4" s="1"/>
  <c r="J315" i="4" s="1"/>
  <c r="J316" i="4" s="1"/>
  <c r="J317" i="4" s="1"/>
  <c r="J318" i="4" s="1"/>
  <c r="J319" i="4" s="1"/>
  <c r="J320" i="4" s="1"/>
  <c r="J321" i="4" s="1"/>
  <c r="J322" i="4" s="1"/>
  <c r="J323" i="4" s="1"/>
  <c r="J324" i="4" s="1"/>
  <c r="J325" i="4" s="1"/>
  <c r="J326" i="4" s="1"/>
  <c r="J327" i="4" s="1"/>
  <c r="J328" i="4" s="1"/>
  <c r="J329" i="4" s="1"/>
  <c r="J330" i="4" s="1"/>
  <c r="J331" i="4" s="1"/>
  <c r="J332" i="4" s="1"/>
  <c r="J333" i="4" s="1"/>
  <c r="J334" i="4" s="1"/>
  <c r="J335" i="4" s="1"/>
  <c r="J336" i="4" s="1"/>
  <c r="J337" i="4" s="1"/>
  <c r="J338" i="4" s="1"/>
  <c r="J339" i="4" s="1"/>
  <c r="J340" i="4" s="1"/>
  <c r="J341" i="4" s="1"/>
  <c r="J342" i="4" s="1"/>
  <c r="J343" i="4" s="1"/>
  <c r="J344" i="4" s="1"/>
  <c r="J345" i="4" s="1"/>
  <c r="J346" i="4" s="1"/>
  <c r="J347" i="4" s="1"/>
  <c r="J348" i="4" s="1"/>
  <c r="J349" i="4" s="1"/>
  <c r="J350" i="4" s="1"/>
  <c r="J351" i="4" s="1"/>
  <c r="J352" i="4" s="1"/>
  <c r="J353" i="4" s="1"/>
  <c r="J354" i="4" s="1"/>
  <c r="J355" i="4" s="1"/>
  <c r="J356" i="4" s="1"/>
  <c r="J357" i="4" s="1"/>
  <c r="J358" i="4" s="1"/>
  <c r="J359" i="4" s="1"/>
  <c r="J360" i="4" s="1"/>
  <c r="J361" i="4" s="1"/>
  <c r="J362" i="4" s="1"/>
  <c r="J363" i="4" s="1"/>
  <c r="J364" i="4" s="1"/>
  <c r="J365" i="4" s="1"/>
  <c r="J366" i="4" s="1"/>
  <c r="J367" i="4" s="1"/>
  <c r="J368" i="4" s="1"/>
  <c r="J369" i="4" s="1"/>
  <c r="J370" i="4" s="1"/>
  <c r="J371" i="4" s="1"/>
  <c r="J372" i="4" s="1"/>
  <c r="J373" i="4" s="1"/>
  <c r="J374" i="4" s="1"/>
  <c r="J375" i="4" s="1"/>
  <c r="J376" i="4" s="1"/>
  <c r="J377" i="4" s="1"/>
  <c r="J378" i="4" s="1"/>
  <c r="J379" i="4" s="1"/>
  <c r="J380" i="4" s="1"/>
  <c r="J381" i="4" s="1"/>
  <c r="J382" i="4" s="1"/>
  <c r="J383" i="4" s="1"/>
  <c r="J384" i="4" s="1"/>
  <c r="J385" i="4" s="1"/>
  <c r="J386" i="4" s="1"/>
  <c r="J387" i="4" s="1"/>
  <c r="J388" i="4" s="1"/>
  <c r="J389" i="4" s="1"/>
  <c r="J390" i="4" s="1"/>
  <c r="J391" i="4" s="1"/>
  <c r="J392" i="4" s="1"/>
  <c r="J393" i="4" s="1"/>
  <c r="J394" i="4" s="1"/>
  <c r="J395" i="4" s="1"/>
  <c r="J396" i="4" s="1"/>
  <c r="J397" i="4" s="1"/>
  <c r="J398" i="4" s="1"/>
  <c r="J399" i="4" s="1"/>
  <c r="J400" i="4" s="1"/>
  <c r="J401" i="4" s="1"/>
  <c r="J402" i="4" s="1"/>
  <c r="J403" i="4" s="1"/>
  <c r="J404" i="4" s="1"/>
  <c r="J405" i="4" s="1"/>
  <c r="J406" i="4" s="1"/>
  <c r="J407" i="4" s="1"/>
  <c r="J408" i="4" s="1"/>
  <c r="J409" i="4" s="1"/>
  <c r="J410" i="4" s="1"/>
  <c r="J411" i="4" s="1"/>
  <c r="J412" i="4" s="1"/>
  <c r="J413" i="4" s="1"/>
  <c r="J414" i="4" s="1"/>
  <c r="J415" i="4" s="1"/>
  <c r="J416" i="4" s="1"/>
  <c r="J417" i="4" s="1"/>
  <c r="J418" i="4" s="1"/>
  <c r="J419" i="4" s="1"/>
  <c r="J420" i="4" s="1"/>
  <c r="J421" i="4" s="1"/>
  <c r="J422" i="4" s="1"/>
  <c r="J423" i="4" s="1"/>
  <c r="J424" i="4" s="1"/>
  <c r="J425" i="4" s="1"/>
  <c r="J426" i="4" s="1"/>
  <c r="J427" i="4" s="1"/>
  <c r="J428" i="4" s="1"/>
  <c r="J429" i="4" s="1"/>
  <c r="J430" i="4" s="1"/>
  <c r="J431" i="4" s="1"/>
  <c r="J432" i="4" s="1"/>
  <c r="J433" i="4" s="1"/>
  <c r="J434" i="4" s="1"/>
  <c r="J435" i="4" s="1"/>
  <c r="J436" i="4" s="1"/>
  <c r="J437" i="4" s="1"/>
  <c r="J438" i="4" s="1"/>
  <c r="J439" i="4" s="1"/>
  <c r="J440" i="4" s="1"/>
  <c r="J441" i="4" s="1"/>
  <c r="J442" i="4" s="1"/>
  <c r="J443" i="4" s="1"/>
  <c r="J444" i="4" s="1"/>
  <c r="J445" i="4" s="1"/>
  <c r="J446" i="4" s="1"/>
  <c r="J447" i="4" s="1"/>
  <c r="J448" i="4" s="1"/>
  <c r="J449" i="4" s="1"/>
  <c r="J450" i="4" s="1"/>
  <c r="J451" i="4" s="1"/>
  <c r="J452" i="4" s="1"/>
  <c r="J453" i="4" s="1"/>
  <c r="J454" i="4" s="1"/>
  <c r="J455" i="4" s="1"/>
  <c r="J456" i="4" s="1"/>
  <c r="J457" i="4" s="1"/>
  <c r="J458" i="4" s="1"/>
  <c r="J459" i="4" s="1"/>
  <c r="J460" i="4" s="1"/>
  <c r="J461" i="4" s="1"/>
  <c r="J462" i="4" s="1"/>
  <c r="J463" i="4" s="1"/>
  <c r="J464" i="4" s="1"/>
  <c r="J465" i="4" s="1"/>
  <c r="J466" i="4" s="1"/>
  <c r="J467" i="4" s="1"/>
  <c r="J468" i="4" s="1"/>
  <c r="J469" i="4" s="1"/>
  <c r="J470" i="4" s="1"/>
  <c r="J471" i="4" s="1"/>
  <c r="J472" i="4" s="1"/>
  <c r="J473" i="4" s="1"/>
  <c r="J474" i="4" s="1"/>
  <c r="J475" i="4" s="1"/>
  <c r="J476" i="4" s="1"/>
  <c r="J477" i="4" s="1"/>
  <c r="J478" i="4" s="1"/>
  <c r="J479" i="4" s="1"/>
  <c r="J480" i="4" s="1"/>
  <c r="J481" i="4" s="1"/>
  <c r="J482" i="4" s="1"/>
  <c r="J483" i="4" s="1"/>
  <c r="J484" i="4" s="1"/>
  <c r="J485" i="4" s="1"/>
  <c r="J486" i="4" s="1"/>
  <c r="J487" i="4" s="1"/>
  <c r="J488" i="4" s="1"/>
  <c r="J489" i="4" s="1"/>
  <c r="J490" i="4" s="1"/>
  <c r="J491" i="4" s="1"/>
  <c r="J492" i="4" s="1"/>
  <c r="J493" i="4" s="1"/>
  <c r="J494" i="4" s="1"/>
  <c r="J495" i="4" s="1"/>
  <c r="J496" i="4" s="1"/>
  <c r="J497" i="4" s="1"/>
  <c r="J498" i="4" s="1"/>
  <c r="J499" i="4" s="1"/>
  <c r="J500" i="4" s="1"/>
  <c r="J501" i="4" s="1"/>
  <c r="J502" i="4" s="1"/>
  <c r="J503" i="4" s="1"/>
  <c r="J504" i="4" s="1"/>
  <c r="J505" i="4" s="1"/>
  <c r="J506" i="4" s="1"/>
  <c r="J507" i="4" s="1"/>
  <c r="J508" i="4" s="1"/>
  <c r="J509" i="4" s="1"/>
  <c r="J510" i="4" s="1"/>
  <c r="J511" i="4" s="1"/>
  <c r="J512" i="4" s="1"/>
  <c r="J513" i="4" s="1"/>
  <c r="J514" i="4" s="1"/>
  <c r="J515" i="4" s="1"/>
  <c r="J516" i="4" s="1"/>
  <c r="J517" i="4" s="1"/>
  <c r="J518" i="4" s="1"/>
  <c r="J519" i="4" s="1"/>
  <c r="J520" i="4" s="1"/>
  <c r="J521" i="4" s="1"/>
  <c r="J522" i="4" s="1"/>
  <c r="J523" i="4" s="1"/>
  <c r="J524" i="4" s="1"/>
  <c r="J525" i="4" s="1"/>
  <c r="J526" i="4" s="1"/>
  <c r="J527" i="4" s="1"/>
  <c r="J528" i="4" s="1"/>
  <c r="J529" i="4" s="1"/>
  <c r="J530" i="4" s="1"/>
  <c r="J531" i="4" s="1"/>
  <c r="J532" i="4" s="1"/>
  <c r="J533" i="4" s="1"/>
  <c r="J534" i="4" s="1"/>
  <c r="J535" i="4" s="1"/>
  <c r="J536" i="4" s="1"/>
  <c r="J537" i="4" s="1"/>
  <c r="J538" i="4" s="1"/>
  <c r="J539" i="4" s="1"/>
  <c r="J540" i="4" s="1"/>
  <c r="J541" i="4" s="1"/>
  <c r="J542" i="4" s="1"/>
  <c r="J543" i="4" s="1"/>
  <c r="J544" i="4" s="1"/>
  <c r="J545" i="4" s="1"/>
  <c r="J546" i="4" s="1"/>
  <c r="J547" i="4" s="1"/>
  <c r="J548" i="4" s="1"/>
  <c r="J549" i="4" s="1"/>
  <c r="J550" i="4" s="1"/>
  <c r="J551" i="4" s="1"/>
  <c r="J552" i="4" s="1"/>
  <c r="J553" i="4" s="1"/>
  <c r="J554" i="4" s="1"/>
  <c r="J555" i="4" s="1"/>
  <c r="J556" i="4" s="1"/>
  <c r="J557" i="4" s="1"/>
  <c r="J558" i="4" s="1"/>
  <c r="J559" i="4" s="1"/>
  <c r="J560" i="4" s="1"/>
  <c r="J561" i="4" s="1"/>
  <c r="J562" i="4" s="1"/>
  <c r="J563" i="4" s="1"/>
  <c r="J564" i="4" s="1"/>
  <c r="J565" i="4" s="1"/>
  <c r="J566" i="4" s="1"/>
  <c r="J567" i="4" s="1"/>
  <c r="J568" i="4" s="1"/>
  <c r="J569" i="4" s="1"/>
  <c r="J570" i="4" s="1"/>
  <c r="J571" i="4" s="1"/>
  <c r="J572" i="4" s="1"/>
  <c r="J573" i="4" s="1"/>
  <c r="J574" i="4" s="1"/>
  <c r="J575" i="4" s="1"/>
  <c r="J576" i="4" s="1"/>
  <c r="J577" i="4" s="1"/>
  <c r="J578" i="4" s="1"/>
  <c r="J579" i="4" s="1"/>
  <c r="J580" i="4" s="1"/>
  <c r="J581" i="4" s="1"/>
  <c r="J582" i="4" s="1"/>
  <c r="J583" i="4" s="1"/>
  <c r="J584" i="4" s="1"/>
  <c r="J585" i="4" s="1"/>
  <c r="J586" i="4" s="1"/>
  <c r="J587" i="4" s="1"/>
  <c r="J588" i="4" s="1"/>
  <c r="J589" i="4" s="1"/>
  <c r="J590" i="4" s="1"/>
  <c r="J591" i="4" s="1"/>
  <c r="J592" i="4" s="1"/>
  <c r="J593" i="4" s="1"/>
  <c r="J594" i="4" s="1"/>
  <c r="J595" i="4" s="1"/>
  <c r="J596" i="4" s="1"/>
  <c r="J597" i="4" s="1"/>
  <c r="J598" i="4" s="1"/>
  <c r="J599" i="4" s="1"/>
  <c r="J600" i="4" s="1"/>
  <c r="J601" i="4" s="1"/>
  <c r="J602" i="4" s="1"/>
  <c r="J603" i="4" s="1"/>
  <c r="J604" i="4" s="1"/>
  <c r="J605" i="4" s="1"/>
  <c r="J606" i="4" s="1"/>
  <c r="J607" i="4" s="1"/>
  <c r="J608" i="4" s="1"/>
  <c r="J609" i="4" s="1"/>
  <c r="J610" i="4" s="1"/>
  <c r="J611" i="4" s="1"/>
  <c r="J612" i="4" s="1"/>
  <c r="J613" i="4" s="1"/>
  <c r="J614" i="4" s="1"/>
  <c r="J615" i="4" s="1"/>
  <c r="J616" i="4" s="1"/>
  <c r="J617" i="4" s="1"/>
  <c r="J618" i="4" s="1"/>
  <c r="J619" i="4" s="1"/>
  <c r="J620" i="4" s="1"/>
  <c r="J621" i="4" s="1"/>
  <c r="J622" i="4" s="1"/>
  <c r="J623" i="4" s="1"/>
  <c r="J624" i="4" s="1"/>
  <c r="J625" i="4" s="1"/>
  <c r="J626" i="4" s="1"/>
  <c r="J627" i="4" s="1"/>
  <c r="J628" i="4" s="1"/>
  <c r="J629" i="4" s="1"/>
  <c r="J630" i="4" s="1"/>
  <c r="J631" i="4" s="1"/>
  <c r="J632" i="4" s="1"/>
  <c r="J633" i="4" s="1"/>
  <c r="J634" i="4" s="1"/>
  <c r="J635" i="4" s="1"/>
  <c r="J636" i="4" s="1"/>
  <c r="J637" i="4" s="1"/>
  <c r="J638" i="4" s="1"/>
  <c r="J639" i="4" s="1"/>
  <c r="J640" i="4" s="1"/>
  <c r="J641" i="4" s="1"/>
  <c r="J642" i="4" s="1"/>
  <c r="J643" i="4" s="1"/>
  <c r="J644" i="4" s="1"/>
  <c r="J645" i="4" s="1"/>
  <c r="J646" i="4" s="1"/>
  <c r="J647" i="4" s="1"/>
  <c r="J648" i="4" s="1"/>
  <c r="J649" i="4" s="1"/>
  <c r="J650" i="4" s="1"/>
  <c r="J651" i="4" s="1"/>
  <c r="J652" i="4" s="1"/>
  <c r="J653" i="4" s="1"/>
  <c r="J654" i="4" s="1"/>
  <c r="J655" i="4" s="1"/>
  <c r="J656" i="4" s="1"/>
  <c r="J657" i="4" s="1"/>
  <c r="J658" i="4" s="1"/>
  <c r="J659" i="4" s="1"/>
  <c r="J660" i="4" s="1"/>
  <c r="J661" i="4" s="1"/>
  <c r="J662" i="4" s="1"/>
  <c r="J663" i="4" s="1"/>
  <c r="J664" i="4" s="1"/>
  <c r="J665" i="4" s="1"/>
  <c r="J666" i="4" s="1"/>
  <c r="J667" i="4" s="1"/>
  <c r="J668" i="4" s="1"/>
  <c r="J669" i="4" s="1"/>
  <c r="J670" i="4" s="1"/>
  <c r="J671" i="4" s="1"/>
  <c r="J672" i="4" s="1"/>
  <c r="J673" i="4" s="1"/>
  <c r="J674" i="4" s="1"/>
  <c r="J675" i="4" s="1"/>
  <c r="J676" i="4" s="1"/>
  <c r="J677" i="4" s="1"/>
  <c r="J678" i="4" s="1"/>
  <c r="J679" i="4" s="1"/>
  <c r="J680" i="4" s="1"/>
  <c r="J681" i="4" s="1"/>
  <c r="J682" i="4" s="1"/>
  <c r="J683" i="4" s="1"/>
  <c r="J684" i="4" s="1"/>
  <c r="J685" i="4" s="1"/>
  <c r="J686" i="4" s="1"/>
  <c r="J687" i="4" s="1"/>
  <c r="J688" i="4" s="1"/>
  <c r="J689" i="4" s="1"/>
  <c r="J690" i="4" s="1"/>
  <c r="J691" i="4" s="1"/>
  <c r="J692" i="4" s="1"/>
  <c r="J693" i="4" s="1"/>
  <c r="J694" i="4" s="1"/>
  <c r="J695" i="4" s="1"/>
  <c r="J696" i="4" s="1"/>
  <c r="J697" i="4" s="1"/>
  <c r="J698" i="4" s="1"/>
  <c r="J699" i="4" s="1"/>
  <c r="J700" i="4" s="1"/>
  <c r="J701" i="4" s="1"/>
  <c r="J702" i="4" s="1"/>
  <c r="J703" i="4" s="1"/>
  <c r="J704" i="4" s="1"/>
  <c r="J705" i="4" s="1"/>
  <c r="J706" i="4" s="1"/>
  <c r="J707" i="4" s="1"/>
  <c r="J708" i="4" s="1"/>
  <c r="J709" i="4" s="1"/>
  <c r="J710" i="4" s="1"/>
  <c r="J711" i="4" s="1"/>
  <c r="J712" i="4" s="1"/>
  <c r="J713" i="4" s="1"/>
  <c r="J714" i="4" s="1"/>
  <c r="J715" i="4" s="1"/>
  <c r="J716" i="4" s="1"/>
  <c r="J717" i="4" s="1"/>
  <c r="J718" i="4" s="1"/>
  <c r="J719" i="4" s="1"/>
  <c r="J720" i="4" s="1"/>
  <c r="J721" i="4" s="1"/>
  <c r="J722" i="4" s="1"/>
  <c r="J723" i="4" s="1"/>
  <c r="J724" i="4" s="1"/>
  <c r="J725" i="4" s="1"/>
  <c r="J726" i="4" s="1"/>
  <c r="J727" i="4" s="1"/>
  <c r="J728" i="4" s="1"/>
  <c r="J729" i="4" s="1"/>
  <c r="J730" i="4" s="1"/>
  <c r="J731" i="4" s="1"/>
  <c r="J732" i="4" s="1"/>
  <c r="J733" i="4" s="1"/>
  <c r="J734" i="4" s="1"/>
  <c r="J735" i="4" s="1"/>
  <c r="J736" i="4" s="1"/>
  <c r="J737" i="4" s="1"/>
  <c r="J738" i="4" s="1"/>
  <c r="J739" i="4" s="1"/>
  <c r="J740" i="4" s="1"/>
  <c r="J741" i="4" s="1"/>
  <c r="J742" i="4" s="1"/>
  <c r="J743" i="4" s="1"/>
  <c r="J744" i="4" s="1"/>
  <c r="J745" i="4" s="1"/>
  <c r="J746" i="4" s="1"/>
  <c r="J747" i="4" s="1"/>
  <c r="J748" i="4" s="1"/>
  <c r="J749" i="4" s="1"/>
  <c r="J750" i="4" s="1"/>
  <c r="J751" i="4" s="1"/>
  <c r="J752" i="4" s="1"/>
  <c r="J753" i="4" s="1"/>
  <c r="J754" i="4" s="1"/>
  <c r="J755" i="4" s="1"/>
  <c r="J756" i="4" s="1"/>
  <c r="B757" i="5"/>
  <c r="C757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198" i="5"/>
  <c r="C198" i="5"/>
  <c r="B199" i="5"/>
  <c r="C199" i="5"/>
  <c r="B202" i="5"/>
  <c r="C202" i="5"/>
  <c r="B205" i="5"/>
  <c r="C205" i="5"/>
  <c r="B214" i="5"/>
  <c r="C214" i="5"/>
  <c r="B224" i="5"/>
  <c r="C224" i="5"/>
  <c r="B225" i="5"/>
  <c r="C225" i="5"/>
  <c r="B228" i="5"/>
  <c r="C228" i="5"/>
  <c r="B229" i="5"/>
  <c r="C229" i="5"/>
  <c r="B230" i="5"/>
  <c r="C230" i="5"/>
  <c r="B231" i="5"/>
  <c r="C231" i="5"/>
  <c r="B232" i="5"/>
  <c r="C232" i="5"/>
  <c r="B233" i="5"/>
  <c r="C233" i="5"/>
  <c r="B234" i="5"/>
  <c r="C234" i="5"/>
  <c r="B240" i="5"/>
  <c r="C240" i="5"/>
  <c r="B248" i="5"/>
  <c r="C248" i="5"/>
  <c r="B249" i="5"/>
  <c r="C249" i="5"/>
  <c r="B250" i="5"/>
  <c r="C250" i="5"/>
  <c r="B251" i="5"/>
  <c r="C251" i="5"/>
  <c r="B255" i="5"/>
  <c r="C255" i="5"/>
  <c r="B256" i="5"/>
  <c r="C256" i="5"/>
  <c r="B257" i="5"/>
  <c r="C257" i="5"/>
  <c r="B258" i="5"/>
  <c r="C258" i="5"/>
  <c r="B261" i="5"/>
  <c r="C261" i="5"/>
  <c r="B264" i="5"/>
  <c r="C264" i="5"/>
  <c r="B267" i="5"/>
  <c r="C267" i="5"/>
  <c r="B268" i="5"/>
  <c r="C268" i="5"/>
  <c r="B271" i="5"/>
  <c r="C271" i="5"/>
  <c r="B276" i="5"/>
  <c r="C276" i="5"/>
  <c r="B277" i="5"/>
  <c r="C277" i="5"/>
  <c r="B278" i="5"/>
  <c r="C278" i="5"/>
  <c r="B279" i="5"/>
  <c r="C279" i="5"/>
  <c r="B282" i="5"/>
  <c r="C282" i="5"/>
  <c r="B283" i="5"/>
  <c r="C283" i="5"/>
  <c r="B288" i="5"/>
  <c r="C288" i="5"/>
  <c r="B289" i="5"/>
  <c r="C289" i="5"/>
  <c r="B306" i="5"/>
  <c r="C306" i="5"/>
  <c r="B307" i="5"/>
  <c r="C307" i="5"/>
  <c r="B308" i="5"/>
  <c r="C308" i="5"/>
  <c r="B309" i="5"/>
  <c r="C309" i="5"/>
  <c r="B310" i="5"/>
  <c r="C310" i="5"/>
  <c r="E516" i="4"/>
  <c r="E515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0" i="4"/>
  <c r="E569" i="4"/>
  <c r="E568" i="4"/>
  <c r="E567" i="4"/>
  <c r="E566" i="4"/>
  <c r="E565" i="4"/>
  <c r="E572" i="4"/>
  <c r="E571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13" i="4" l="1"/>
  <c r="E412" i="4"/>
  <c r="E411" i="4"/>
  <c r="E410" i="4"/>
  <c r="E409" i="4"/>
  <c r="E408" i="4"/>
  <c r="E407" i="4"/>
  <c r="E406" i="4"/>
  <c r="E405" i="4"/>
  <c r="E218" i="4"/>
  <c r="E361" i="4"/>
  <c r="E397" i="4"/>
  <c r="B90" i="5" l="1"/>
  <c r="E386" i="4"/>
  <c r="E387" i="4"/>
  <c r="E388" i="4"/>
  <c r="E389" i="4"/>
  <c r="E390" i="4"/>
  <c r="E391" i="4"/>
  <c r="E392" i="4"/>
  <c r="E393" i="4"/>
  <c r="E394" i="4"/>
  <c r="E395" i="4"/>
  <c r="E396" i="4"/>
  <c r="E398" i="4"/>
  <c r="E399" i="4"/>
  <c r="E400" i="4"/>
  <c r="E401" i="4"/>
  <c r="E402" i="4"/>
  <c r="E403" i="4"/>
  <c r="E404" i="4"/>
  <c r="E385" i="4"/>
  <c r="E384" i="4"/>
  <c r="E383" i="4"/>
  <c r="E382" i="4"/>
  <c r="E381" i="4"/>
  <c r="E380" i="4"/>
  <c r="E376" i="4"/>
  <c r="E377" i="4"/>
  <c r="E378" i="4"/>
  <c r="E379" i="4"/>
  <c r="E375" i="4"/>
  <c r="E374" i="4"/>
  <c r="E373" i="4"/>
  <c r="E372" i="4"/>
  <c r="E371" i="4"/>
  <c r="E370" i="4"/>
  <c r="E368" i="4"/>
  <c r="E369" i="4"/>
  <c r="E367" i="4"/>
  <c r="E366" i="4"/>
  <c r="E365" i="4"/>
  <c r="E364" i="4"/>
  <c r="E363" i="4"/>
  <c r="E362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0" i="4"/>
  <c r="E341" i="4"/>
  <c r="E339" i="4"/>
  <c r="E338" i="4"/>
  <c r="E337" i="4"/>
  <c r="E334" i="4"/>
  <c r="E336" i="4"/>
  <c r="E335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B91" i="5" l="1"/>
  <c r="E213" i="4"/>
  <c r="E239" i="4"/>
  <c r="E242" i="4"/>
  <c r="E244" i="4"/>
  <c r="E317" i="4"/>
  <c r="E316" i="4"/>
  <c r="E295" i="4"/>
  <c r="E273" i="4"/>
  <c r="E301" i="4"/>
  <c r="E285" i="4"/>
  <c r="E313" i="4"/>
  <c r="E270" i="4"/>
  <c r="E222" i="4"/>
  <c r="E315" i="4"/>
  <c r="E211" i="4"/>
  <c r="E207" i="4"/>
  <c r="E216" i="4"/>
  <c r="E219" i="4"/>
  <c r="E220" i="4"/>
  <c r="E227" i="4"/>
  <c r="E236" i="4"/>
  <c r="E247" i="4"/>
  <c r="E297" i="4"/>
  <c r="E287" i="4"/>
  <c r="E253" i="4"/>
  <c r="E254" i="4"/>
  <c r="E260" i="4"/>
  <c r="E263" i="4"/>
  <c r="E266" i="4"/>
  <c r="E303" i="4"/>
  <c r="E201" i="4"/>
  <c r="E209" i="4"/>
  <c r="E292" i="4"/>
  <c r="E275" i="4"/>
  <c r="E281" i="4"/>
  <c r="B92" i="5" l="1"/>
  <c r="E305" i="4"/>
  <c r="E204" i="4"/>
  <c r="E314" i="4"/>
  <c r="E312" i="4"/>
  <c r="E311" i="4"/>
  <c r="E310" i="4"/>
  <c r="E309" i="4"/>
  <c r="E308" i="4"/>
  <c r="E307" i="4"/>
  <c r="E306" i="4"/>
  <c r="E304" i="4"/>
  <c r="E302" i="4"/>
  <c r="E300" i="4"/>
  <c r="E299" i="4"/>
  <c r="E298" i="4"/>
  <c r="E296" i="4"/>
  <c r="E294" i="4"/>
  <c r="E293" i="4"/>
  <c r="E291" i="4"/>
  <c r="E290" i="4"/>
  <c r="E289" i="4"/>
  <c r="E288" i="4"/>
  <c r="E286" i="4"/>
  <c r="E284" i="4"/>
  <c r="E283" i="4"/>
  <c r="E282" i="4"/>
  <c r="E280" i="4"/>
  <c r="E279" i="4"/>
  <c r="E278" i="4"/>
  <c r="E277" i="4"/>
  <c r="E276" i="4"/>
  <c r="E274" i="4"/>
  <c r="E272" i="4"/>
  <c r="E271" i="4"/>
  <c r="E269" i="4"/>
  <c r="E268" i="4"/>
  <c r="E267" i="4"/>
  <c r="E265" i="4"/>
  <c r="E264" i="4"/>
  <c r="E262" i="4"/>
  <c r="E261" i="4"/>
  <c r="E259" i="4"/>
  <c r="E258" i="4"/>
  <c r="E257" i="4"/>
  <c r="E256" i="4"/>
  <c r="E255" i="4"/>
  <c r="E252" i="4"/>
  <c r="E251" i="4"/>
  <c r="E250" i="4"/>
  <c r="E249" i="4"/>
  <c r="E248" i="4"/>
  <c r="E246" i="4"/>
  <c r="E245" i="4"/>
  <c r="E243" i="4"/>
  <c r="E241" i="4"/>
  <c r="E240" i="4"/>
  <c r="E238" i="4"/>
  <c r="E237" i="4"/>
  <c r="E235" i="4"/>
  <c r="E234" i="4"/>
  <c r="E233" i="4"/>
  <c r="E232" i="4"/>
  <c r="E231" i="4"/>
  <c r="E230" i="4"/>
  <c r="E229" i="4"/>
  <c r="E228" i="4"/>
  <c r="E226" i="4"/>
  <c r="E225" i="4"/>
  <c r="E224" i="4"/>
  <c r="E223" i="4"/>
  <c r="E221" i="4"/>
  <c r="E217" i="4"/>
  <c r="E215" i="4"/>
  <c r="E214" i="4"/>
  <c r="E212" i="4"/>
  <c r="E210" i="4"/>
  <c r="E208" i="4"/>
  <c r="E206" i="4"/>
  <c r="E205" i="4"/>
  <c r="E203" i="4"/>
  <c r="E202" i="4"/>
  <c r="E200" i="4"/>
  <c r="E199" i="4"/>
  <c r="E198" i="4"/>
  <c r="E173" i="4"/>
  <c r="E170" i="4"/>
  <c r="E197" i="4"/>
  <c r="E196" i="4"/>
  <c r="E195" i="4"/>
  <c r="K5" i="4"/>
  <c r="K4" i="4"/>
  <c r="J4" i="4"/>
  <c r="B4" i="5" s="1"/>
  <c r="C130" i="4"/>
  <c r="C129" i="4"/>
  <c r="C128" i="4"/>
  <c r="C127" i="4"/>
  <c r="C125" i="4"/>
  <c r="C121" i="4"/>
  <c r="C119" i="4"/>
  <c r="C115" i="4"/>
  <c r="C114" i="4"/>
  <c r="C113" i="4"/>
  <c r="C112" i="4"/>
  <c r="C109" i="4"/>
  <c r="C108" i="4"/>
  <c r="C106" i="4"/>
  <c r="C101" i="4"/>
  <c r="C98" i="4"/>
  <c r="C97" i="4"/>
  <c r="C96" i="4"/>
  <c r="C94" i="4"/>
  <c r="C90" i="4"/>
  <c r="C90" i="5" s="1"/>
  <c r="C84" i="4"/>
  <c r="C84" i="5" s="1"/>
  <c r="C83" i="4"/>
  <c r="C83" i="5" s="1"/>
  <c r="C80" i="4"/>
  <c r="C80" i="5" s="1"/>
  <c r="C79" i="4"/>
  <c r="C79" i="5" s="1"/>
  <c r="C78" i="4"/>
  <c r="C78" i="5" s="1"/>
  <c r="C77" i="4"/>
  <c r="C77" i="5" s="1"/>
  <c r="C73" i="4"/>
  <c r="C73" i="5" s="1"/>
  <c r="C72" i="4"/>
  <c r="C72" i="5" s="1"/>
  <c r="C71" i="4"/>
  <c r="C71" i="5" s="1"/>
  <c r="C68" i="4"/>
  <c r="C68" i="5" s="1"/>
  <c r="C67" i="4"/>
  <c r="C67" i="5" s="1"/>
  <c r="C66" i="4"/>
  <c r="C66" i="5" s="1"/>
  <c r="C63" i="4"/>
  <c r="C63" i="5" s="1"/>
  <c r="C61" i="4"/>
  <c r="C61" i="5" s="1"/>
  <c r="C58" i="4"/>
  <c r="C58" i="5" s="1"/>
  <c r="C53" i="4"/>
  <c r="C53" i="5" s="1"/>
  <c r="C44" i="4"/>
  <c r="C44" i="5" s="1"/>
  <c r="C38" i="4"/>
  <c r="C38" i="5" s="1"/>
  <c r="C37" i="4"/>
  <c r="C37" i="5" s="1"/>
  <c r="C35" i="4"/>
  <c r="C35" i="5" s="1"/>
  <c r="C34" i="4"/>
  <c r="C34" i="5" s="1"/>
  <c r="C33" i="4"/>
  <c r="C33" i="5" s="1"/>
  <c r="C32" i="4"/>
  <c r="C32" i="5" s="1"/>
  <c r="C30" i="4"/>
  <c r="C30" i="5" s="1"/>
  <c r="C29" i="4"/>
  <c r="C29" i="5" s="1"/>
  <c r="C14" i="4"/>
  <c r="C14" i="5" s="1"/>
  <c r="C13" i="4"/>
  <c r="C13" i="5" s="1"/>
  <c r="C12" i="4"/>
  <c r="C12" i="5" s="1"/>
  <c r="C9" i="4"/>
  <c r="C9" i="5" s="1"/>
  <c r="C8" i="4"/>
  <c r="C8" i="5" s="1"/>
  <c r="C7" i="4"/>
  <c r="C7" i="5" s="1"/>
  <c r="C5" i="4"/>
  <c r="C174" i="4"/>
  <c r="C176" i="4"/>
  <c r="C180" i="4"/>
  <c r="E161" i="4"/>
  <c r="E160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2" i="4"/>
  <c r="E163" i="4"/>
  <c r="E164" i="4"/>
  <c r="E165" i="4"/>
  <c r="E166" i="4"/>
  <c r="E167" i="4"/>
  <c r="E168" i="4"/>
  <c r="E169" i="4"/>
  <c r="E171" i="4"/>
  <c r="E172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42" i="4"/>
  <c r="B93" i="5" l="1"/>
  <c r="J5" i="4"/>
  <c r="B94" i="5" l="1"/>
  <c r="C94" i="5" s="1"/>
  <c r="B5" i="5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9" i="4"/>
  <c r="E8" i="4"/>
  <c r="E7" i="4"/>
  <c r="E6" i="4"/>
  <c r="E5" i="4"/>
  <c r="E4" i="4"/>
  <c r="B95" i="5" l="1"/>
  <c r="C5" i="5"/>
  <c r="C116" i="4"/>
  <c r="B96" i="5" l="1"/>
  <c r="C96" i="5" s="1"/>
  <c r="C131" i="4"/>
  <c r="B97" i="5" l="1"/>
  <c r="C97" i="5" s="1"/>
  <c r="C55" i="4"/>
  <c r="C55" i="5" s="1"/>
  <c r="B98" i="5" l="1"/>
  <c r="C98" i="5" s="1"/>
  <c r="C137" i="4"/>
  <c r="B99" i="5" l="1"/>
  <c r="C118" i="4"/>
  <c r="C170" i="4"/>
  <c r="C157" i="4"/>
  <c r="C156" i="4"/>
  <c r="C155" i="4"/>
  <c r="C154" i="4"/>
  <c r="C153" i="4"/>
  <c r="C152" i="4"/>
  <c r="C147" i="4"/>
  <c r="C146" i="4"/>
  <c r="C143" i="4"/>
  <c r="C142" i="4"/>
  <c r="C141" i="4"/>
  <c r="C140" i="4"/>
  <c r="C139" i="4"/>
  <c r="C136" i="4"/>
  <c r="C135" i="4"/>
  <c r="C134" i="4"/>
  <c r="C133" i="4"/>
  <c r="C132" i="4"/>
  <c r="C126" i="4"/>
  <c r="C122" i="4"/>
  <c r="C120" i="4"/>
  <c r="C117" i="4"/>
  <c r="C111" i="4"/>
  <c r="C110" i="4"/>
  <c r="C105" i="4"/>
  <c r="C104" i="4"/>
  <c r="C103" i="4"/>
  <c r="C102" i="4"/>
  <c r="C100" i="4"/>
  <c r="C99" i="4"/>
  <c r="C95" i="4"/>
  <c r="C95" i="5" s="1"/>
  <c r="C93" i="4"/>
  <c r="C93" i="5" s="1"/>
  <c r="C92" i="4"/>
  <c r="C92" i="5" s="1"/>
  <c r="C91" i="4"/>
  <c r="C91" i="5" s="1"/>
  <c r="C89" i="4"/>
  <c r="C89" i="5" s="1"/>
  <c r="C86" i="4"/>
  <c r="C86" i="5" s="1"/>
  <c r="C76" i="4"/>
  <c r="C76" i="5" s="1"/>
  <c r="C74" i="4"/>
  <c r="C74" i="5" s="1"/>
  <c r="C70" i="4"/>
  <c r="C70" i="5" s="1"/>
  <c r="C69" i="4"/>
  <c r="C69" i="5" s="1"/>
  <c r="C65" i="4"/>
  <c r="C65" i="5" s="1"/>
  <c r="C64" i="4"/>
  <c r="C64" i="5" s="1"/>
  <c r="C60" i="4"/>
  <c r="C60" i="5" s="1"/>
  <c r="C59" i="4"/>
  <c r="C59" i="5" s="1"/>
  <c r="C57" i="4"/>
  <c r="C57" i="5" s="1"/>
  <c r="C56" i="4"/>
  <c r="C56" i="5" s="1"/>
  <c r="C54" i="4"/>
  <c r="C54" i="5" s="1"/>
  <c r="C50" i="4"/>
  <c r="C50" i="5" s="1"/>
  <c r="C49" i="4"/>
  <c r="C49" i="5" s="1"/>
  <c r="C48" i="4"/>
  <c r="C48" i="5" s="1"/>
  <c r="C47" i="4"/>
  <c r="C47" i="5" s="1"/>
  <c r="C46" i="4"/>
  <c r="C46" i="5" s="1"/>
  <c r="C45" i="4"/>
  <c r="C45" i="5" s="1"/>
  <c r="C43" i="4"/>
  <c r="C43" i="5" s="1"/>
  <c r="C42" i="4"/>
  <c r="C42" i="5" s="1"/>
  <c r="C41" i="4"/>
  <c r="C41" i="5" s="1"/>
  <c r="C40" i="4"/>
  <c r="C40" i="5" s="1"/>
  <c r="C39" i="4"/>
  <c r="C39" i="5" s="1"/>
  <c r="C36" i="4"/>
  <c r="C36" i="5" s="1"/>
  <c r="C31" i="4"/>
  <c r="C31" i="5" s="1"/>
  <c r="C28" i="4"/>
  <c r="C28" i="5" s="1"/>
  <c r="C27" i="4"/>
  <c r="C27" i="5" s="1"/>
  <c r="C26" i="4"/>
  <c r="C26" i="5" s="1"/>
  <c r="C25" i="4"/>
  <c r="C25" i="5" s="1"/>
  <c r="C24" i="4"/>
  <c r="C24" i="5" s="1"/>
  <c r="C23" i="4"/>
  <c r="C23" i="5" s="1"/>
  <c r="C22" i="4"/>
  <c r="C22" i="5" s="1"/>
  <c r="C21" i="4"/>
  <c r="C21" i="5" s="1"/>
  <c r="C20" i="4"/>
  <c r="C20" i="5" s="1"/>
  <c r="C19" i="4"/>
  <c r="C19" i="5" s="1"/>
  <c r="C18" i="4"/>
  <c r="C18" i="5" s="1"/>
  <c r="C17" i="4"/>
  <c r="C17" i="5" s="1"/>
  <c r="C16" i="4"/>
  <c r="C16" i="5" s="1"/>
  <c r="C15" i="4"/>
  <c r="C15" i="5" s="1"/>
  <c r="C11" i="4"/>
  <c r="C11" i="5" s="1"/>
  <c r="C10" i="4"/>
  <c r="C10" i="5" s="1"/>
  <c r="C6" i="4"/>
  <c r="C6" i="5" s="1"/>
  <c r="C4" i="4"/>
  <c r="C4" i="5" s="1"/>
  <c r="C160" i="4"/>
  <c r="C161" i="4"/>
  <c r="C162" i="4"/>
  <c r="C166" i="4"/>
  <c r="C167" i="4"/>
  <c r="C168" i="4"/>
  <c r="C169" i="4"/>
  <c r="C171" i="4"/>
  <c r="C175" i="4"/>
  <c r="C179" i="4"/>
  <c r="C182" i="4"/>
  <c r="C186" i="4"/>
  <c r="C189" i="4"/>
  <c r="C193" i="4"/>
  <c r="C159" i="4"/>
  <c r="C173" i="4"/>
  <c r="C195" i="4"/>
  <c r="C158" i="4"/>
  <c r="C151" i="4"/>
  <c r="C150" i="4"/>
  <c r="C149" i="4"/>
  <c r="C148" i="4"/>
  <c r="C145" i="4"/>
  <c r="C144" i="4"/>
  <c r="C138" i="4"/>
  <c r="C124" i="4"/>
  <c r="C123" i="4"/>
  <c r="C107" i="4"/>
  <c r="C88" i="4"/>
  <c r="C88" i="5" s="1"/>
  <c r="C87" i="4"/>
  <c r="C87" i="5" s="1"/>
  <c r="C85" i="4"/>
  <c r="C85" i="5" s="1"/>
  <c r="C82" i="4"/>
  <c r="C82" i="5" s="1"/>
  <c r="C81" i="4"/>
  <c r="C81" i="5" s="1"/>
  <c r="C75" i="4"/>
  <c r="C75" i="5" s="1"/>
  <c r="C62" i="4"/>
  <c r="C62" i="5" s="1"/>
  <c r="C52" i="4"/>
  <c r="C52" i="5" s="1"/>
  <c r="C51" i="4"/>
  <c r="C51" i="5" s="1"/>
  <c r="C163" i="4"/>
  <c r="C164" i="4"/>
  <c r="C165" i="4"/>
  <c r="C172" i="4"/>
  <c r="C177" i="4"/>
  <c r="C178" i="4"/>
  <c r="C181" i="4"/>
  <c r="C183" i="4"/>
  <c r="C184" i="4"/>
  <c r="C185" i="4"/>
  <c r="C187" i="4"/>
  <c r="C188" i="4"/>
  <c r="C190" i="4"/>
  <c r="C191" i="4"/>
  <c r="C192" i="4"/>
  <c r="C194" i="4"/>
  <c r="C99" i="5" l="1"/>
  <c r="B100" i="5"/>
  <c r="C100" i="5" s="1"/>
  <c r="B101" i="5" l="1"/>
  <c r="C101" i="5" s="1"/>
  <c r="B102" i="5" l="1"/>
  <c r="C102" i="5" s="1"/>
  <c r="B103" i="5" l="1"/>
  <c r="C103" i="5" s="1"/>
  <c r="B104" i="5" l="1"/>
  <c r="C104" i="5" s="1"/>
  <c r="B105" i="5" l="1"/>
  <c r="C105" i="5" s="1"/>
  <c r="B106" i="5" l="1"/>
  <c r="C106" i="5" s="1"/>
  <c r="B107" i="5" l="1"/>
  <c r="C107" i="5" s="1"/>
  <c r="B108" i="5" l="1"/>
  <c r="C108" i="5" s="1"/>
  <c r="B109" i="5" l="1"/>
  <c r="C109" i="5" s="1"/>
  <c r="B110" i="5" l="1"/>
  <c r="C110" i="5" s="1"/>
  <c r="C197" i="4"/>
  <c r="B111" i="5" l="1"/>
  <c r="C111" i="5" s="1"/>
  <c r="C196" i="4"/>
  <c r="C198" i="4"/>
  <c r="B112" i="5" l="1"/>
  <c r="C112" i="5" s="1"/>
  <c r="C199" i="4"/>
  <c r="B113" i="5" l="1"/>
  <c r="C113" i="5" s="1"/>
  <c r="C201" i="4"/>
  <c r="C200" i="4"/>
  <c r="B114" i="5" l="1"/>
  <c r="C114" i="5" s="1"/>
  <c r="C202" i="4"/>
  <c r="B115" i="5" l="1"/>
  <c r="C115" i="5" s="1"/>
  <c r="C203" i="4"/>
  <c r="C204" i="4"/>
  <c r="B116" i="5" l="1"/>
  <c r="C116" i="5" s="1"/>
  <c r="C205" i="4"/>
  <c r="B117" i="5" l="1"/>
  <c r="C117" i="5" s="1"/>
  <c r="B118" i="5" l="1"/>
  <c r="C118" i="5" s="1"/>
  <c r="B119" i="5" l="1"/>
  <c r="C119" i="5" s="1"/>
  <c r="B120" i="5" l="1"/>
  <c r="C120" i="5" s="1"/>
  <c r="B121" i="5" l="1"/>
  <c r="C121" i="5" s="1"/>
  <c r="B122" i="5" l="1"/>
  <c r="C122" i="5" s="1"/>
  <c r="B123" i="5" l="1"/>
  <c r="C123" i="5" s="1"/>
  <c r="B124" i="5" l="1"/>
  <c r="C124" i="5" s="1"/>
  <c r="B125" i="5" l="1"/>
  <c r="C125" i="5" s="1"/>
  <c r="B126" i="5" l="1"/>
  <c r="C126" i="5" s="1"/>
  <c r="B127" i="5" l="1"/>
  <c r="C127" i="5" s="1"/>
  <c r="B128" i="5" l="1"/>
  <c r="C128" i="5" s="1"/>
  <c r="B129" i="5" l="1"/>
  <c r="C129" i="5" s="1"/>
  <c r="B130" i="5" l="1"/>
  <c r="C130" i="5" s="1"/>
  <c r="B131" i="5" l="1"/>
  <c r="C131" i="5" s="1"/>
  <c r="B132" i="5" l="1"/>
  <c r="C132" i="5" s="1"/>
  <c r="B133" i="5" l="1"/>
  <c r="C133" i="5" s="1"/>
  <c r="B134" i="5" l="1"/>
  <c r="C134" i="5" s="1"/>
  <c r="B135" i="5" l="1"/>
  <c r="C135" i="5" s="1"/>
  <c r="B136" i="5" l="1"/>
  <c r="C136" i="5" s="1"/>
  <c r="B137" i="5" l="1"/>
  <c r="C137" i="5" s="1"/>
  <c r="B138" i="5" l="1"/>
  <c r="C138" i="5" s="1"/>
  <c r="B139" i="5" l="1"/>
  <c r="C139" i="5" s="1"/>
  <c r="B140" i="5" l="1"/>
  <c r="C140" i="5" s="1"/>
  <c r="B141" i="5" l="1"/>
  <c r="C141" i="5" s="1"/>
  <c r="B142" i="5" l="1"/>
  <c r="C142" i="5" s="1"/>
  <c r="B143" i="5" l="1"/>
  <c r="C143" i="5" s="1"/>
  <c r="B144" i="5" l="1"/>
  <c r="C144" i="5" s="1"/>
  <c r="B145" i="5" l="1"/>
  <c r="C145" i="5" s="1"/>
  <c r="B146" i="5" l="1"/>
  <c r="C146" i="5" s="1"/>
  <c r="B147" i="5" l="1"/>
  <c r="C147" i="5" s="1"/>
  <c r="B148" i="5" l="1"/>
  <c r="C148" i="5" s="1"/>
  <c r="B149" i="5" l="1"/>
  <c r="C149" i="5" s="1"/>
  <c r="B150" i="5" l="1"/>
  <c r="C150" i="5" s="1"/>
  <c r="B151" i="5" l="1"/>
  <c r="C151" i="5" s="1"/>
  <c r="B152" i="5" l="1"/>
  <c r="C152" i="5" s="1"/>
  <c r="B153" i="5" l="1"/>
  <c r="C153" i="5" s="1"/>
  <c r="B154" i="5" l="1"/>
  <c r="C154" i="5" s="1"/>
  <c r="B155" i="5" l="1"/>
  <c r="C155" i="5" s="1"/>
  <c r="B156" i="5" l="1"/>
  <c r="C156" i="5" s="1"/>
  <c r="B157" i="5" l="1"/>
  <c r="C157" i="5" s="1"/>
  <c r="B158" i="5" l="1"/>
  <c r="C158" i="5" s="1"/>
  <c r="B159" i="5" l="1"/>
  <c r="C159" i="5" s="1"/>
  <c r="B160" i="5" l="1"/>
  <c r="C160" i="5" s="1"/>
  <c r="B161" i="5" l="1"/>
  <c r="C161" i="5" s="1"/>
  <c r="B162" i="5" l="1"/>
  <c r="C162" i="5" s="1"/>
  <c r="B163" i="5" l="1"/>
  <c r="C163" i="5" s="1"/>
  <c r="B164" i="5" l="1"/>
  <c r="C164" i="5" s="1"/>
  <c r="B165" i="5" l="1"/>
  <c r="C165" i="5" s="1"/>
  <c r="B166" i="5" l="1"/>
  <c r="C166" i="5" s="1"/>
  <c r="B167" i="5" l="1"/>
  <c r="C167" i="5" s="1"/>
  <c r="B168" i="5" l="1"/>
  <c r="C168" i="5" s="1"/>
  <c r="B169" i="5" l="1"/>
  <c r="C169" i="5" s="1"/>
  <c r="B170" i="5" l="1"/>
  <c r="C170" i="5" s="1"/>
  <c r="B171" i="5" l="1"/>
  <c r="C171" i="5" s="1"/>
  <c r="B172" i="5" l="1"/>
  <c r="C172" i="5" s="1"/>
  <c r="B173" i="5" l="1"/>
  <c r="C173" i="5" s="1"/>
  <c r="B174" i="5" l="1"/>
  <c r="C174" i="5" s="1"/>
  <c r="B175" i="5" l="1"/>
  <c r="C175" i="5" s="1"/>
  <c r="B176" i="5" l="1"/>
  <c r="C176" i="5" s="1"/>
  <c r="B177" i="5" l="1"/>
  <c r="C177" i="5" s="1"/>
  <c r="B178" i="5" l="1"/>
  <c r="C178" i="5" s="1"/>
  <c r="B179" i="5" l="1"/>
  <c r="C179" i="5" s="1"/>
  <c r="B180" i="5" l="1"/>
  <c r="C180" i="5" s="1"/>
  <c r="B181" i="5" l="1"/>
  <c r="C181" i="5" s="1"/>
  <c r="B182" i="5" l="1"/>
  <c r="C182" i="5" s="1"/>
  <c r="B183" i="5" l="1"/>
  <c r="C183" i="5" s="1"/>
  <c r="B184" i="5" l="1"/>
  <c r="C184" i="5" s="1"/>
  <c r="B185" i="5" l="1"/>
  <c r="C185" i="5" s="1"/>
  <c r="B186" i="5" l="1"/>
  <c r="C186" i="5" s="1"/>
  <c r="B187" i="5" l="1"/>
  <c r="C187" i="5" s="1"/>
  <c r="B188" i="5" l="1"/>
  <c r="C188" i="5" s="1"/>
  <c r="B189" i="5" l="1"/>
  <c r="C189" i="5" s="1"/>
  <c r="B190" i="5" l="1"/>
  <c r="C190" i="5" s="1"/>
  <c r="B191" i="5" l="1"/>
  <c r="C191" i="5" s="1"/>
  <c r="B192" i="5" l="1"/>
  <c r="C192" i="5" s="1"/>
  <c r="B193" i="5" l="1"/>
  <c r="C193" i="5" s="1"/>
  <c r="B194" i="5" l="1"/>
  <c r="C194" i="5" s="1"/>
  <c r="B195" i="5" l="1"/>
  <c r="C195" i="5" s="1"/>
  <c r="B196" i="5" l="1"/>
  <c r="C196" i="5" s="1"/>
  <c r="B197" i="5" l="1"/>
  <c r="C197" i="5" s="1"/>
  <c r="B200" i="5" l="1"/>
  <c r="C200" i="5" s="1"/>
  <c r="B201" i="5" l="1"/>
  <c r="C201" i="5" s="1"/>
  <c r="B203" i="5" l="1"/>
  <c r="C203" i="5" s="1"/>
  <c r="B204" i="5" l="1"/>
  <c r="C204" i="5" s="1"/>
  <c r="B206" i="5" l="1"/>
  <c r="B207" i="5" l="1"/>
  <c r="B208" i="5" l="1"/>
  <c r="B209" i="5" l="1"/>
  <c r="B210" i="5" l="1"/>
  <c r="B211" i="5" l="1"/>
  <c r="B212" i="5" l="1"/>
  <c r="B213" i="5" l="1"/>
  <c r="B215" i="5" l="1"/>
  <c r="B216" i="5" l="1"/>
  <c r="B217" i="5" l="1"/>
  <c r="B218" i="5" l="1"/>
  <c r="B219" i="5" l="1"/>
  <c r="B220" i="5" l="1"/>
  <c r="B221" i="5" l="1"/>
  <c r="B222" i="5" l="1"/>
  <c r="B223" i="5" l="1"/>
  <c r="B226" i="5" l="1"/>
  <c r="B227" i="5" l="1"/>
  <c r="B235" i="5" l="1"/>
  <c r="B236" i="5" l="1"/>
  <c r="B237" i="5" l="1"/>
  <c r="B238" i="5" l="1"/>
  <c r="B239" i="5" l="1"/>
  <c r="B241" i="5" l="1"/>
  <c r="B242" i="5" l="1"/>
  <c r="B243" i="5" l="1"/>
  <c r="B244" i="5" l="1"/>
  <c r="B245" i="5" l="1"/>
  <c r="B246" i="5" l="1"/>
  <c r="B247" i="5" l="1"/>
  <c r="B252" i="5" l="1"/>
  <c r="B253" i="5" l="1"/>
  <c r="B254" i="5" l="1"/>
  <c r="B259" i="5" l="1"/>
  <c r="B260" i="5" l="1"/>
  <c r="B262" i="5" l="1"/>
  <c r="B263" i="5" l="1"/>
  <c r="B265" i="5" l="1"/>
  <c r="B266" i="5" l="1"/>
  <c r="B269" i="5" l="1"/>
  <c r="B270" i="5" l="1"/>
  <c r="B272" i="5" l="1"/>
  <c r="B273" i="5" l="1"/>
  <c r="B274" i="5" l="1"/>
  <c r="B275" i="5" l="1"/>
  <c r="B280" i="5" l="1"/>
  <c r="B281" i="5" l="1"/>
  <c r="B284" i="5" l="1"/>
  <c r="B285" i="5" l="1"/>
  <c r="B286" i="5" l="1"/>
  <c r="B287" i="5" l="1"/>
  <c r="B290" i="5" l="1"/>
  <c r="B291" i="5" l="1"/>
  <c r="B292" i="5" l="1"/>
  <c r="B293" i="5" l="1"/>
  <c r="B294" i="5" l="1"/>
  <c r="B295" i="5" l="1"/>
  <c r="B296" i="5" l="1"/>
  <c r="B297" i="5" l="1"/>
  <c r="B298" i="5" l="1"/>
  <c r="B299" i="5" l="1"/>
  <c r="B300" i="5" l="1"/>
  <c r="B301" i="5" l="1"/>
  <c r="B302" i="5" l="1"/>
  <c r="B303" i="5" l="1"/>
  <c r="B304" i="5" l="1"/>
  <c r="B305" i="5" l="1"/>
  <c r="B311" i="5" l="1"/>
  <c r="B312" i="5" l="1"/>
  <c r="B313" i="5" l="1"/>
  <c r="B314" i="5" l="1"/>
  <c r="B315" i="5" l="1"/>
  <c r="B316" i="5" l="1"/>
  <c r="B317" i="5" l="1"/>
  <c r="B318" i="5" l="1"/>
  <c r="B319" i="5" l="1"/>
  <c r="B320" i="5" l="1"/>
  <c r="B321" i="5" l="1"/>
  <c r="B322" i="5" l="1"/>
  <c r="B323" i="5" l="1"/>
  <c r="B324" i="5" l="1"/>
  <c r="B325" i="5" l="1"/>
  <c r="B326" i="5" l="1"/>
  <c r="B327" i="5" l="1"/>
  <c r="B328" i="5" l="1"/>
  <c r="B329" i="5" l="1"/>
  <c r="B330" i="5" l="1"/>
  <c r="B331" i="5" l="1"/>
  <c r="B332" i="5" l="1"/>
  <c r="B333" i="5" l="1"/>
  <c r="B334" i="5" l="1"/>
  <c r="B335" i="5" l="1"/>
  <c r="B336" i="5" l="1"/>
  <c r="B337" i="5" l="1"/>
  <c r="B338" i="5" l="1"/>
  <c r="B339" i="5" l="1"/>
  <c r="B340" i="5" l="1"/>
  <c r="B341" i="5" l="1"/>
  <c r="B342" i="5" l="1"/>
  <c r="B343" i="5" l="1"/>
  <c r="B344" i="5" l="1"/>
  <c r="B345" i="5" l="1"/>
  <c r="B346" i="5" l="1"/>
  <c r="B347" i="5" l="1"/>
  <c r="B348" i="5" l="1"/>
  <c r="B349" i="5" l="1"/>
  <c r="B350" i="5" l="1"/>
  <c r="B351" i="5" l="1"/>
  <c r="B352" i="5" l="1"/>
  <c r="B353" i="5" l="1"/>
  <c r="B354" i="5" l="1"/>
  <c r="B355" i="5" l="1"/>
  <c r="B356" i="5" l="1"/>
  <c r="B357" i="5" l="1"/>
  <c r="B358" i="5" l="1"/>
  <c r="B359" i="5" l="1"/>
  <c r="B360" i="5" l="1"/>
  <c r="B361" i="5" l="1"/>
  <c r="B362" i="5" l="1"/>
  <c r="B363" i="5" l="1"/>
  <c r="B364" i="5" l="1"/>
  <c r="B365" i="5" l="1"/>
  <c r="B366" i="5" l="1"/>
  <c r="B367" i="5" l="1"/>
  <c r="B368" i="5" l="1"/>
  <c r="B369" i="5" l="1"/>
  <c r="B370" i="5" l="1"/>
  <c r="B371" i="5" l="1"/>
  <c r="B372" i="5" l="1"/>
  <c r="B373" i="5" l="1"/>
  <c r="B374" i="5" l="1"/>
  <c r="B375" i="5" l="1"/>
  <c r="B376" i="5" l="1"/>
  <c r="B377" i="5" l="1"/>
  <c r="B378" i="5" l="1"/>
  <c r="B379" i="5" l="1"/>
  <c r="B380" i="5" l="1"/>
  <c r="B381" i="5" l="1"/>
  <c r="B382" i="5" l="1"/>
  <c r="B383" i="5" l="1"/>
  <c r="B384" i="5" l="1"/>
  <c r="B385" i="5" l="1"/>
  <c r="B386" i="5" l="1"/>
  <c r="B387" i="5" l="1"/>
  <c r="B388" i="5" l="1"/>
  <c r="B389" i="5" l="1"/>
  <c r="B390" i="5" l="1"/>
  <c r="B391" i="5" l="1"/>
  <c r="B392" i="5" l="1"/>
  <c r="B393" i="5" l="1"/>
  <c r="B394" i="5" l="1"/>
  <c r="B395" i="5" l="1"/>
  <c r="B396" i="5" l="1"/>
  <c r="B397" i="5" l="1"/>
  <c r="B398" i="5" l="1"/>
  <c r="B399" i="5" l="1"/>
  <c r="B400" i="5" l="1"/>
  <c r="B401" i="5" l="1"/>
  <c r="B402" i="5" l="1"/>
  <c r="B403" i="5" l="1"/>
  <c r="B404" i="5" l="1"/>
  <c r="B405" i="5" l="1"/>
  <c r="B406" i="5" l="1"/>
  <c r="B407" i="5" l="1"/>
  <c r="B408" i="5" l="1"/>
  <c r="B409" i="5" l="1"/>
  <c r="B410" i="5" l="1"/>
  <c r="B411" i="5" l="1"/>
  <c r="B412" i="5" l="1"/>
  <c r="B413" i="5" l="1"/>
  <c r="B414" i="5" l="1"/>
  <c r="B415" i="5" l="1"/>
  <c r="B416" i="5" l="1"/>
  <c r="B417" i="5" l="1"/>
  <c r="B418" i="5" l="1"/>
  <c r="B419" i="5" l="1"/>
  <c r="B420" i="5" l="1"/>
  <c r="B421" i="5" l="1"/>
  <c r="B422" i="5" l="1"/>
  <c r="B423" i="5" l="1"/>
  <c r="B424" i="5" l="1"/>
  <c r="B425" i="5" l="1"/>
  <c r="B426" i="5" l="1"/>
  <c r="B427" i="5" l="1"/>
  <c r="B428" i="5" l="1"/>
  <c r="B429" i="5" l="1"/>
  <c r="B430" i="5" l="1"/>
  <c r="B431" i="5" l="1"/>
  <c r="B432" i="5" l="1"/>
  <c r="B433" i="5" l="1"/>
  <c r="B434" i="5" l="1"/>
  <c r="B435" i="5" l="1"/>
  <c r="B436" i="5" l="1"/>
  <c r="B437" i="5" l="1"/>
  <c r="B438" i="5" l="1"/>
  <c r="B439" i="5" l="1"/>
  <c r="B440" i="5" l="1"/>
  <c r="B441" i="5" l="1"/>
  <c r="B442" i="5" l="1"/>
  <c r="B443" i="5" l="1"/>
  <c r="B444" i="5" l="1"/>
  <c r="B445" i="5" l="1"/>
  <c r="B446" i="5" l="1"/>
  <c r="B447" i="5" l="1"/>
  <c r="B448" i="5" l="1"/>
  <c r="B449" i="5" l="1"/>
  <c r="B450" i="5" l="1"/>
  <c r="B451" i="5" l="1"/>
  <c r="B452" i="5" l="1"/>
  <c r="B453" i="5" l="1"/>
  <c r="B454" i="5" l="1"/>
  <c r="B455" i="5" l="1"/>
  <c r="B456" i="5" l="1"/>
  <c r="B457" i="5" l="1"/>
  <c r="B458" i="5" l="1"/>
  <c r="B459" i="5" l="1"/>
  <c r="B460" i="5" l="1"/>
  <c r="B461" i="5" l="1"/>
  <c r="B462" i="5" l="1"/>
  <c r="B463" i="5" l="1"/>
  <c r="B464" i="5" l="1"/>
  <c r="B465" i="5" l="1"/>
  <c r="B466" i="5" l="1"/>
  <c r="B467" i="5" l="1"/>
  <c r="B468" i="5" l="1"/>
  <c r="B469" i="5" l="1"/>
  <c r="B470" i="5" l="1"/>
  <c r="B471" i="5" l="1"/>
  <c r="B472" i="5" l="1"/>
  <c r="B473" i="5" l="1"/>
  <c r="B474" i="5" l="1"/>
  <c r="B475" i="5" l="1"/>
  <c r="B476" i="5" l="1"/>
  <c r="B477" i="5" l="1"/>
  <c r="B478" i="5" l="1"/>
  <c r="B479" i="5" l="1"/>
  <c r="B480" i="5" l="1"/>
  <c r="B481" i="5" l="1"/>
  <c r="B482" i="5" l="1"/>
  <c r="B483" i="5" l="1"/>
  <c r="B484" i="5" l="1"/>
  <c r="B485" i="5" l="1"/>
  <c r="B486" i="5" l="1"/>
  <c r="B487" i="5" l="1"/>
  <c r="B488" i="5" l="1"/>
  <c r="B489" i="5" l="1"/>
  <c r="B490" i="5" l="1"/>
  <c r="B491" i="5" l="1"/>
  <c r="B492" i="5" l="1"/>
  <c r="B493" i="5" l="1"/>
  <c r="B494" i="5" l="1"/>
  <c r="B495" i="5" l="1"/>
  <c r="B496" i="5" l="1"/>
  <c r="B497" i="5" l="1"/>
  <c r="B498" i="5" l="1"/>
  <c r="B499" i="5" l="1"/>
  <c r="B500" i="5" l="1"/>
  <c r="B501" i="5" l="1"/>
  <c r="B502" i="5" l="1"/>
  <c r="B503" i="5" l="1"/>
  <c r="B504" i="5" l="1"/>
  <c r="B505" i="5" l="1"/>
  <c r="B506" i="5" l="1"/>
  <c r="B507" i="5" l="1"/>
  <c r="B508" i="5" l="1"/>
  <c r="B509" i="5" l="1"/>
  <c r="B510" i="5" l="1"/>
  <c r="B511" i="5" l="1"/>
  <c r="B512" i="5" l="1"/>
  <c r="B513" i="5" l="1"/>
  <c r="B514" i="5" l="1"/>
  <c r="B515" i="5" l="1"/>
  <c r="B516" i="5" l="1"/>
  <c r="B517" i="5" l="1"/>
  <c r="B518" i="5" l="1"/>
  <c r="B519" i="5" l="1"/>
  <c r="B520" i="5" l="1"/>
  <c r="B521" i="5" l="1"/>
  <c r="B522" i="5" l="1"/>
  <c r="B523" i="5" l="1"/>
  <c r="B524" i="5" l="1"/>
  <c r="B525" i="5" l="1"/>
  <c r="B526" i="5" l="1"/>
  <c r="B527" i="5" l="1"/>
  <c r="B528" i="5" l="1"/>
  <c r="B529" i="5" l="1"/>
  <c r="B530" i="5" l="1"/>
  <c r="B531" i="5" l="1"/>
  <c r="B532" i="5" l="1"/>
  <c r="B533" i="5" l="1"/>
  <c r="B534" i="5" l="1"/>
  <c r="B535" i="5" l="1"/>
  <c r="B536" i="5" l="1"/>
  <c r="B537" i="5" l="1"/>
  <c r="B538" i="5" l="1"/>
  <c r="B539" i="5" l="1"/>
  <c r="B540" i="5" l="1"/>
  <c r="B541" i="5" l="1"/>
  <c r="B542" i="5" l="1"/>
  <c r="B543" i="5" l="1"/>
  <c r="B544" i="5" l="1"/>
  <c r="B545" i="5" l="1"/>
  <c r="B546" i="5" l="1"/>
  <c r="B547" i="5" l="1"/>
  <c r="B548" i="5" l="1"/>
  <c r="B549" i="5" l="1"/>
  <c r="B550" i="5" l="1"/>
  <c r="B551" i="5" l="1"/>
  <c r="B552" i="5" l="1"/>
  <c r="B553" i="5" l="1"/>
  <c r="B554" i="5" l="1"/>
  <c r="B555" i="5" l="1"/>
  <c r="B556" i="5" l="1"/>
  <c r="B557" i="5" l="1"/>
  <c r="B558" i="5" l="1"/>
  <c r="B559" i="5" l="1"/>
  <c r="B560" i="5" l="1"/>
  <c r="B561" i="5" l="1"/>
  <c r="B562" i="5" l="1"/>
  <c r="B563" i="5" l="1"/>
  <c r="B564" i="5" l="1"/>
  <c r="B565" i="5" l="1"/>
  <c r="B566" i="5" l="1"/>
  <c r="B567" i="5" l="1"/>
  <c r="B568" i="5" l="1"/>
  <c r="B569" i="5" l="1"/>
  <c r="B570" i="5" l="1"/>
  <c r="B571" i="5" l="1"/>
  <c r="B572" i="5" l="1"/>
  <c r="B573" i="5" l="1"/>
  <c r="B574" i="5" l="1"/>
  <c r="B575" i="5" l="1"/>
  <c r="B576" i="5" l="1"/>
  <c r="B577" i="5" l="1"/>
  <c r="B578" i="5" l="1"/>
  <c r="B579" i="5" l="1"/>
  <c r="B580" i="5" l="1"/>
  <c r="B581" i="5" l="1"/>
  <c r="B582" i="5" l="1"/>
  <c r="B583" i="5" l="1"/>
  <c r="B584" i="5" l="1"/>
  <c r="B585" i="5" l="1"/>
  <c r="B586" i="5" l="1"/>
  <c r="B587" i="5" l="1"/>
  <c r="B588" i="5" l="1"/>
  <c r="B589" i="5" l="1"/>
  <c r="B590" i="5" l="1"/>
  <c r="B591" i="5" l="1"/>
  <c r="B592" i="5" l="1"/>
  <c r="B593" i="5" l="1"/>
  <c r="B594" i="5" l="1"/>
  <c r="B595" i="5" l="1"/>
  <c r="B596" i="5" l="1"/>
  <c r="B597" i="5" l="1"/>
  <c r="B598" i="5" l="1"/>
  <c r="B599" i="5" l="1"/>
  <c r="B600" i="5" l="1"/>
  <c r="B601" i="5" l="1"/>
  <c r="B602" i="5" l="1"/>
  <c r="B603" i="5" l="1"/>
  <c r="B604" i="5" l="1"/>
  <c r="B605" i="5" l="1"/>
  <c r="B606" i="5" l="1"/>
  <c r="B607" i="5" l="1"/>
  <c r="B608" i="5" l="1"/>
  <c r="B609" i="5" l="1"/>
  <c r="B610" i="5" l="1"/>
  <c r="B611" i="5" l="1"/>
  <c r="B612" i="5" l="1"/>
  <c r="B613" i="5" l="1"/>
  <c r="B614" i="5" l="1"/>
  <c r="B615" i="5" l="1"/>
  <c r="B616" i="5" l="1"/>
  <c r="B617" i="5" l="1"/>
  <c r="B618" i="5" l="1"/>
  <c r="B619" i="5" l="1"/>
  <c r="B620" i="5" l="1"/>
  <c r="B621" i="5" l="1"/>
  <c r="B622" i="5" l="1"/>
  <c r="B623" i="5" l="1"/>
  <c r="B624" i="5" l="1"/>
  <c r="B625" i="5" l="1"/>
  <c r="B626" i="5" l="1"/>
  <c r="B627" i="5" l="1"/>
  <c r="B628" i="5" l="1"/>
  <c r="B629" i="5" l="1"/>
  <c r="B630" i="5" l="1"/>
  <c r="B631" i="5" l="1"/>
  <c r="B632" i="5" l="1"/>
  <c r="B633" i="5" l="1"/>
  <c r="B634" i="5" l="1"/>
  <c r="B635" i="5" l="1"/>
  <c r="B636" i="5" l="1"/>
  <c r="B637" i="5" l="1"/>
  <c r="B638" i="5" l="1"/>
  <c r="B639" i="5" l="1"/>
  <c r="B640" i="5" l="1"/>
  <c r="B641" i="5" l="1"/>
  <c r="B642" i="5" l="1"/>
  <c r="B643" i="5" l="1"/>
  <c r="B644" i="5" l="1"/>
  <c r="B645" i="5" l="1"/>
  <c r="B646" i="5" l="1"/>
  <c r="B647" i="5" l="1"/>
  <c r="B648" i="5" l="1"/>
  <c r="B649" i="5" l="1"/>
  <c r="B650" i="5" l="1"/>
  <c r="B651" i="5" l="1"/>
  <c r="B652" i="5" l="1"/>
  <c r="B653" i="5" l="1"/>
  <c r="B654" i="5" l="1"/>
  <c r="B655" i="5" l="1"/>
  <c r="B656" i="5" l="1"/>
  <c r="B657" i="5" l="1"/>
  <c r="B658" i="5" l="1"/>
  <c r="B659" i="5" l="1"/>
  <c r="B660" i="5" l="1"/>
  <c r="B661" i="5" l="1"/>
  <c r="C516" i="4" l="1"/>
  <c r="C516" i="5" s="1"/>
  <c r="C514" i="4"/>
  <c r="C514" i="5" s="1"/>
  <c r="C515" i="4"/>
  <c r="C515" i="5" s="1"/>
  <c r="C461" i="4"/>
  <c r="C461" i="5" s="1"/>
  <c r="B662" i="5"/>
  <c r="B663" i="5" l="1"/>
  <c r="C485" i="4"/>
  <c r="C485" i="5" s="1"/>
  <c r="C390" i="4"/>
  <c r="C390" i="5" s="1"/>
  <c r="C218" i="4"/>
  <c r="C218" i="5" s="1"/>
  <c r="C266" i="4"/>
  <c r="C266" i="5" s="1"/>
  <c r="C263" i="4"/>
  <c r="C263" i="5" s="1"/>
  <c r="C260" i="4"/>
  <c r="C260" i="5" s="1"/>
  <c r="C254" i="4"/>
  <c r="C254" i="5" s="1"/>
  <c r="C253" i="4"/>
  <c r="C253" i="5" s="1"/>
  <c r="C287" i="4"/>
  <c r="C287" i="5" s="1"/>
  <c r="C247" i="4"/>
  <c r="C247" i="5" s="1"/>
  <c r="C236" i="4"/>
  <c r="C236" i="5" s="1"/>
  <c r="C227" i="4"/>
  <c r="C227" i="5" s="1"/>
  <c r="C220" i="4"/>
  <c r="C220" i="5" s="1"/>
  <c r="C219" i="4"/>
  <c r="C219" i="5" s="1"/>
  <c r="C216" i="4"/>
  <c r="C216" i="5" s="1"/>
  <c r="C207" i="4"/>
  <c r="C207" i="5" s="1"/>
  <c r="C211" i="4"/>
  <c r="C211" i="5" s="1"/>
  <c r="C222" i="4"/>
  <c r="C222" i="5" s="1"/>
  <c r="C270" i="4"/>
  <c r="C270" i="5" s="1"/>
  <c r="C285" i="4"/>
  <c r="C285" i="5" s="1"/>
  <c r="C273" i="4"/>
  <c r="C273" i="5" s="1"/>
  <c r="C295" i="4"/>
  <c r="C295" i="5" s="1"/>
  <c r="C244" i="4"/>
  <c r="C244" i="5" s="1"/>
  <c r="C242" i="4"/>
  <c r="C242" i="5" s="1"/>
  <c r="C239" i="4"/>
  <c r="C239" i="5" s="1"/>
  <c r="C213" i="4"/>
  <c r="C213" i="5" s="1"/>
  <c r="C297" i="4"/>
  <c r="C297" i="5" s="1"/>
  <c r="C301" i="4"/>
  <c r="C301" i="5" s="1"/>
  <c r="C303" i="4"/>
  <c r="C303" i="5" s="1"/>
  <c r="C316" i="4"/>
  <c r="C316" i="5" s="1"/>
  <c r="C317" i="4"/>
  <c r="C317" i="5" s="1"/>
  <c r="C313" i="4"/>
  <c r="C313" i="5" s="1"/>
  <c r="C315" i="4"/>
  <c r="C315" i="5" s="1"/>
  <c r="C206" i="4"/>
  <c r="C206" i="5" s="1"/>
  <c r="C208" i="4"/>
  <c r="C208" i="5" s="1"/>
  <c r="C210" i="4"/>
  <c r="C210" i="5" s="1"/>
  <c r="C212" i="4"/>
  <c r="C212" i="5" s="1"/>
  <c r="C214" i="4"/>
  <c r="C215" i="4"/>
  <c r="C215" i="5" s="1"/>
  <c r="C217" i="4"/>
  <c r="C217" i="5" s="1"/>
  <c r="C221" i="4"/>
  <c r="C221" i="5" s="1"/>
  <c r="C223" i="4"/>
  <c r="C223" i="5" s="1"/>
  <c r="C224" i="4"/>
  <c r="C225" i="4"/>
  <c r="C226" i="4"/>
  <c r="C226" i="5" s="1"/>
  <c r="C228" i="4"/>
  <c r="C229" i="4"/>
  <c r="C230" i="4"/>
  <c r="C231" i="4"/>
  <c r="C232" i="4"/>
  <c r="C233" i="4"/>
  <c r="C234" i="4"/>
  <c r="C235" i="4"/>
  <c r="C235" i="5" s="1"/>
  <c r="C237" i="4"/>
  <c r="C237" i="5" s="1"/>
  <c r="C238" i="4"/>
  <c r="C238" i="5" s="1"/>
  <c r="C240" i="4"/>
  <c r="C241" i="4"/>
  <c r="C241" i="5" s="1"/>
  <c r="C243" i="4"/>
  <c r="C243" i="5" s="1"/>
  <c r="C245" i="4"/>
  <c r="C245" i="5" s="1"/>
  <c r="C246" i="4"/>
  <c r="C246" i="5" s="1"/>
  <c r="C248" i="4"/>
  <c r="C249" i="4"/>
  <c r="C250" i="4"/>
  <c r="C251" i="4"/>
  <c r="C252" i="4"/>
  <c r="C252" i="5" s="1"/>
  <c r="C255" i="4"/>
  <c r="C256" i="4"/>
  <c r="C257" i="4"/>
  <c r="C258" i="4"/>
  <c r="C259" i="4"/>
  <c r="C259" i="5" s="1"/>
  <c r="C261" i="4"/>
  <c r="C262" i="4"/>
  <c r="C262" i="5" s="1"/>
  <c r="C264" i="4"/>
  <c r="C265" i="4"/>
  <c r="C265" i="5" s="1"/>
  <c r="C267" i="4"/>
  <c r="C268" i="4"/>
  <c r="C269" i="4"/>
  <c r="C269" i="5" s="1"/>
  <c r="C271" i="4"/>
  <c r="C274" i="4"/>
  <c r="C274" i="5" s="1"/>
  <c r="C276" i="4"/>
  <c r="C277" i="4"/>
  <c r="C278" i="4"/>
  <c r="C279" i="4"/>
  <c r="C280" i="4"/>
  <c r="C280" i="5" s="1"/>
  <c r="C282" i="4"/>
  <c r="C283" i="4"/>
  <c r="C284" i="4"/>
  <c r="C284" i="5" s="1"/>
  <c r="C286" i="4"/>
  <c r="C286" i="5" s="1"/>
  <c r="C288" i="4"/>
  <c r="C289" i="4"/>
  <c r="C290" i="4"/>
  <c r="C290" i="5" s="1"/>
  <c r="C291" i="4"/>
  <c r="C291" i="5" s="1"/>
  <c r="C293" i="4"/>
  <c r="C293" i="5" s="1"/>
  <c r="C294" i="4"/>
  <c r="C294" i="5" s="1"/>
  <c r="C296" i="4"/>
  <c r="C296" i="5" s="1"/>
  <c r="C298" i="4"/>
  <c r="C298" i="5" s="1"/>
  <c r="C299" i="4"/>
  <c r="C299" i="5" s="1"/>
  <c r="C300" i="4"/>
  <c r="C300" i="5" s="1"/>
  <c r="C302" i="4"/>
  <c r="C302" i="5" s="1"/>
  <c r="C304" i="4"/>
  <c r="C304" i="5" s="1"/>
  <c r="C306" i="4"/>
  <c r="C307" i="4"/>
  <c r="C308" i="4"/>
  <c r="C309" i="4"/>
  <c r="C310" i="4"/>
  <c r="C311" i="4"/>
  <c r="C311" i="5" s="1"/>
  <c r="C312" i="4"/>
  <c r="C312" i="5" s="1"/>
  <c r="C314" i="4"/>
  <c r="C314" i="5" s="1"/>
  <c r="C305" i="4"/>
  <c r="C305" i="5" s="1"/>
  <c r="C281" i="4"/>
  <c r="C281" i="5" s="1"/>
  <c r="C275" i="4"/>
  <c r="C275" i="5" s="1"/>
  <c r="C272" i="4"/>
  <c r="C272" i="5" s="1"/>
  <c r="C292" i="4"/>
  <c r="C292" i="5" s="1"/>
  <c r="C209" i="4"/>
  <c r="C209" i="5" s="1"/>
  <c r="C318" i="4"/>
  <c r="C318" i="5" s="1"/>
  <c r="C319" i="4"/>
  <c r="C319" i="5" s="1"/>
  <c r="C321" i="4"/>
  <c r="C321" i="5" s="1"/>
  <c r="C322" i="4"/>
  <c r="C322" i="5" s="1"/>
  <c r="C320" i="4"/>
  <c r="C320" i="5" s="1"/>
  <c r="C323" i="4"/>
  <c r="C323" i="5" s="1"/>
  <c r="C325" i="4"/>
  <c r="C325" i="5" s="1"/>
  <c r="C324" i="4"/>
  <c r="C324" i="5" s="1"/>
  <c r="C327" i="4"/>
  <c r="C327" i="5" s="1"/>
  <c r="C326" i="4"/>
  <c r="C326" i="5" s="1"/>
  <c r="C328" i="4"/>
  <c r="C328" i="5" s="1"/>
  <c r="C329" i="4"/>
  <c r="C329" i="5" s="1"/>
  <c r="C330" i="4"/>
  <c r="C330" i="5" s="1"/>
  <c r="C331" i="4"/>
  <c r="C331" i="5" s="1"/>
  <c r="C332" i="4"/>
  <c r="C332" i="5" s="1"/>
  <c r="C333" i="4"/>
  <c r="C333" i="5" s="1"/>
  <c r="C334" i="4"/>
  <c r="C334" i="5" s="1"/>
  <c r="C335" i="4"/>
  <c r="C335" i="5" s="1"/>
  <c r="C336" i="4"/>
  <c r="C336" i="5" s="1"/>
  <c r="C337" i="4"/>
  <c r="C337" i="5" s="1"/>
  <c r="C338" i="4"/>
  <c r="C338" i="5" s="1"/>
  <c r="C339" i="4"/>
  <c r="C339" i="5" s="1"/>
  <c r="C340" i="4"/>
  <c r="C340" i="5" s="1"/>
  <c r="C341" i="4"/>
  <c r="C341" i="5" s="1"/>
  <c r="C342" i="4"/>
  <c r="C342" i="5" s="1"/>
  <c r="C343" i="4"/>
  <c r="C343" i="5" s="1"/>
  <c r="C344" i="4"/>
  <c r="C344" i="5" s="1"/>
  <c r="C345" i="4"/>
  <c r="C345" i="5" s="1"/>
  <c r="C346" i="4"/>
  <c r="C346" i="5" s="1"/>
  <c r="C347" i="4"/>
  <c r="C347" i="5" s="1"/>
  <c r="C348" i="4"/>
  <c r="C348" i="5" s="1"/>
  <c r="C349" i="4"/>
  <c r="C349" i="5" s="1"/>
  <c r="C350" i="4"/>
  <c r="C350" i="5" s="1"/>
  <c r="C351" i="4"/>
  <c r="C351" i="5" s="1"/>
  <c r="C352" i="4"/>
  <c r="C352" i="5" s="1"/>
  <c r="C353" i="4"/>
  <c r="C353" i="5" s="1"/>
  <c r="C354" i="4"/>
  <c r="C354" i="5" s="1"/>
  <c r="C355" i="4"/>
  <c r="C355" i="5" s="1"/>
  <c r="C356" i="4"/>
  <c r="C356" i="5" s="1"/>
  <c r="C357" i="4"/>
  <c r="C357" i="5" s="1"/>
  <c r="C358" i="4"/>
  <c r="C358" i="5" s="1"/>
  <c r="C359" i="4"/>
  <c r="C359" i="5" s="1"/>
  <c r="C360" i="4"/>
  <c r="C360" i="5" s="1"/>
  <c r="C361" i="4"/>
  <c r="C361" i="5" s="1"/>
  <c r="C362" i="4"/>
  <c r="C362" i="5" s="1"/>
  <c r="C363" i="4"/>
  <c r="C363" i="5" s="1"/>
  <c r="C364" i="4"/>
  <c r="C364" i="5" s="1"/>
  <c r="C365" i="4"/>
  <c r="C365" i="5" s="1"/>
  <c r="C366" i="4"/>
  <c r="C366" i="5" s="1"/>
  <c r="C367" i="4"/>
  <c r="C367" i="5" s="1"/>
  <c r="C368" i="4"/>
  <c r="C368" i="5" s="1"/>
  <c r="C369" i="4"/>
  <c r="C369" i="5" s="1"/>
  <c r="C370" i="4"/>
  <c r="C370" i="5" s="1"/>
  <c r="C371" i="4"/>
  <c r="C371" i="5" s="1"/>
  <c r="C372" i="4"/>
  <c r="C372" i="5" s="1"/>
  <c r="C373" i="4"/>
  <c r="C373" i="5" s="1"/>
  <c r="C374" i="4"/>
  <c r="C374" i="5" s="1"/>
  <c r="C375" i="4"/>
  <c r="C375" i="5" s="1"/>
  <c r="C376" i="4"/>
  <c r="C376" i="5" s="1"/>
  <c r="C377" i="4"/>
  <c r="C377" i="5" s="1"/>
  <c r="C378" i="4"/>
  <c r="C378" i="5" s="1"/>
  <c r="C379" i="4"/>
  <c r="C379" i="5" s="1"/>
  <c r="C380" i="4"/>
  <c r="C380" i="5" s="1"/>
  <c r="C381" i="4"/>
  <c r="C381" i="5" s="1"/>
  <c r="C382" i="4"/>
  <c r="C382" i="5" s="1"/>
  <c r="C383" i="4"/>
  <c r="C383" i="5" s="1"/>
  <c r="C384" i="4"/>
  <c r="C384" i="5" s="1"/>
  <c r="C385" i="4"/>
  <c r="C385" i="5" s="1"/>
  <c r="C386" i="4"/>
  <c r="C386" i="5" s="1"/>
  <c r="C387" i="4"/>
  <c r="C387" i="5" s="1"/>
  <c r="C388" i="4"/>
  <c r="C388" i="5" s="1"/>
  <c r="C389" i="4"/>
  <c r="C389" i="5" s="1"/>
  <c r="C391" i="4"/>
  <c r="C391" i="5" s="1"/>
  <c r="C392" i="4"/>
  <c r="C392" i="5" s="1"/>
  <c r="C393" i="4"/>
  <c r="C393" i="5" s="1"/>
  <c r="C394" i="4"/>
  <c r="C394" i="5" s="1"/>
  <c r="C395" i="4"/>
  <c r="C395" i="5" s="1"/>
  <c r="C396" i="4"/>
  <c r="C396" i="5" s="1"/>
  <c r="C397" i="4"/>
  <c r="C397" i="5" s="1"/>
  <c r="C398" i="4"/>
  <c r="C398" i="5" s="1"/>
  <c r="C399" i="4"/>
  <c r="C399" i="5" s="1"/>
  <c r="C400" i="4"/>
  <c r="C400" i="5" s="1"/>
  <c r="C401" i="4"/>
  <c r="C401" i="5" s="1"/>
  <c r="C402" i="4"/>
  <c r="C402" i="5" s="1"/>
  <c r="C403" i="4"/>
  <c r="C403" i="5" s="1"/>
  <c r="C404" i="4"/>
  <c r="C404" i="5" s="1"/>
  <c r="C405" i="4"/>
  <c r="C405" i="5" s="1"/>
  <c r="C406" i="4"/>
  <c r="C406" i="5" s="1"/>
  <c r="C407" i="4"/>
  <c r="C407" i="5" s="1"/>
  <c r="C408" i="4"/>
  <c r="C408" i="5" s="1"/>
  <c r="C409" i="4"/>
  <c r="C409" i="5" s="1"/>
  <c r="C410" i="4"/>
  <c r="C410" i="5" s="1"/>
  <c r="C411" i="4"/>
  <c r="C411" i="5" s="1"/>
  <c r="C412" i="4"/>
  <c r="C412" i="5" s="1"/>
  <c r="C413" i="4"/>
  <c r="C413" i="5" s="1"/>
  <c r="C414" i="4"/>
  <c r="C414" i="5" s="1"/>
  <c r="C415" i="4"/>
  <c r="C415" i="5" s="1"/>
  <c r="C416" i="4"/>
  <c r="C416" i="5" s="1"/>
  <c r="C417" i="4"/>
  <c r="C417" i="5" s="1"/>
  <c r="C418" i="4"/>
  <c r="C418" i="5" s="1"/>
  <c r="C419" i="4"/>
  <c r="C419" i="5" s="1"/>
  <c r="C420" i="4"/>
  <c r="C420" i="5" s="1"/>
  <c r="C421" i="4"/>
  <c r="C421" i="5" s="1"/>
  <c r="C422" i="4"/>
  <c r="C422" i="5" s="1"/>
  <c r="C423" i="4"/>
  <c r="C423" i="5" s="1"/>
  <c r="C424" i="4"/>
  <c r="C424" i="5" s="1"/>
  <c r="C425" i="4"/>
  <c r="C425" i="5" s="1"/>
  <c r="C426" i="4"/>
  <c r="C426" i="5" s="1"/>
  <c r="C427" i="4"/>
  <c r="C427" i="5" s="1"/>
  <c r="C428" i="4"/>
  <c r="C428" i="5" s="1"/>
  <c r="C429" i="4"/>
  <c r="C429" i="5" s="1"/>
  <c r="C430" i="4"/>
  <c r="C430" i="5" s="1"/>
  <c r="C431" i="4"/>
  <c r="C431" i="5" s="1"/>
  <c r="C432" i="4"/>
  <c r="C432" i="5" s="1"/>
  <c r="C433" i="4"/>
  <c r="C433" i="5" s="1"/>
  <c r="C434" i="4"/>
  <c r="C434" i="5" s="1"/>
  <c r="C435" i="4"/>
  <c r="C435" i="5" s="1"/>
  <c r="C436" i="4"/>
  <c r="C436" i="5" s="1"/>
  <c r="C437" i="4"/>
  <c r="C437" i="5" s="1"/>
  <c r="C438" i="4"/>
  <c r="C438" i="5" s="1"/>
  <c r="C439" i="4"/>
  <c r="C439" i="5" s="1"/>
  <c r="C440" i="4"/>
  <c r="C440" i="5" s="1"/>
  <c r="C441" i="4"/>
  <c r="C441" i="5" s="1"/>
  <c r="C442" i="4"/>
  <c r="C442" i="5" s="1"/>
  <c r="C443" i="4"/>
  <c r="C443" i="5" s="1"/>
  <c r="C444" i="4"/>
  <c r="C444" i="5" s="1"/>
  <c r="C445" i="4"/>
  <c r="C445" i="5" s="1"/>
  <c r="C446" i="4"/>
  <c r="C446" i="5" s="1"/>
  <c r="C447" i="4"/>
  <c r="C447" i="5" s="1"/>
  <c r="C448" i="4"/>
  <c r="C448" i="5" s="1"/>
  <c r="C449" i="4"/>
  <c r="C449" i="5" s="1"/>
  <c r="C450" i="4"/>
  <c r="C450" i="5" s="1"/>
  <c r="C451" i="4"/>
  <c r="C451" i="5" s="1"/>
  <c r="C452" i="4"/>
  <c r="C452" i="5" s="1"/>
  <c r="C453" i="4"/>
  <c r="C453" i="5" s="1"/>
  <c r="C454" i="4"/>
  <c r="C454" i="5" s="1"/>
  <c r="C455" i="4"/>
  <c r="C455" i="5" s="1"/>
  <c r="C456" i="4"/>
  <c r="C456" i="5" s="1"/>
  <c r="C457" i="4"/>
  <c r="C457" i="5" s="1"/>
  <c r="C458" i="4"/>
  <c r="C458" i="5" s="1"/>
  <c r="C459" i="4"/>
  <c r="C459" i="5" s="1"/>
  <c r="C460" i="4"/>
  <c r="C460" i="5" s="1"/>
  <c r="C462" i="4"/>
  <c r="C462" i="5" s="1"/>
  <c r="C463" i="4"/>
  <c r="C463" i="5" s="1"/>
  <c r="C464" i="4"/>
  <c r="C464" i="5" s="1"/>
  <c r="C465" i="4"/>
  <c r="C465" i="5" s="1"/>
  <c r="C466" i="4"/>
  <c r="C466" i="5" s="1"/>
  <c r="C467" i="4"/>
  <c r="C467" i="5" s="1"/>
  <c r="C468" i="4"/>
  <c r="C468" i="5" s="1"/>
  <c r="C469" i="4"/>
  <c r="C469" i="5" s="1"/>
  <c r="C470" i="4"/>
  <c r="C470" i="5" s="1"/>
  <c r="C471" i="4"/>
  <c r="C471" i="5" s="1"/>
  <c r="C472" i="4"/>
  <c r="C472" i="5" s="1"/>
  <c r="C473" i="4"/>
  <c r="C473" i="5" s="1"/>
  <c r="C474" i="4"/>
  <c r="C474" i="5" s="1"/>
  <c r="C475" i="4"/>
  <c r="C475" i="5" s="1"/>
  <c r="C476" i="4"/>
  <c r="C476" i="5" s="1"/>
  <c r="C477" i="4"/>
  <c r="C477" i="5" s="1"/>
  <c r="C478" i="4"/>
  <c r="C478" i="5" s="1"/>
  <c r="C479" i="4"/>
  <c r="C479" i="5" s="1"/>
  <c r="C480" i="4"/>
  <c r="C480" i="5" s="1"/>
  <c r="C481" i="4"/>
  <c r="C481" i="5" s="1"/>
  <c r="C482" i="4"/>
  <c r="C482" i="5" s="1"/>
  <c r="C483" i="4"/>
  <c r="C483" i="5" s="1"/>
  <c r="C484" i="4"/>
  <c r="C484" i="5" s="1"/>
  <c r="C486" i="4"/>
  <c r="C486" i="5" s="1"/>
  <c r="C487" i="4"/>
  <c r="C487" i="5" s="1"/>
  <c r="C488" i="4"/>
  <c r="C488" i="5" s="1"/>
  <c r="C489" i="4"/>
  <c r="C489" i="5" s="1"/>
  <c r="C490" i="4"/>
  <c r="C490" i="5" s="1"/>
  <c r="C491" i="4"/>
  <c r="C491" i="5" s="1"/>
  <c r="C492" i="4"/>
  <c r="C492" i="5" s="1"/>
  <c r="C493" i="4"/>
  <c r="C493" i="5" s="1"/>
  <c r="C494" i="4"/>
  <c r="C494" i="5" s="1"/>
  <c r="C495" i="4"/>
  <c r="C495" i="5" s="1"/>
  <c r="C496" i="4"/>
  <c r="C496" i="5" s="1"/>
  <c r="C497" i="4"/>
  <c r="C497" i="5" s="1"/>
  <c r="C498" i="4"/>
  <c r="C498" i="5" s="1"/>
  <c r="C499" i="4"/>
  <c r="C499" i="5" s="1"/>
  <c r="C500" i="4"/>
  <c r="C500" i="5" s="1"/>
  <c r="C501" i="4"/>
  <c r="C501" i="5" s="1"/>
  <c r="C502" i="4"/>
  <c r="C502" i="5" s="1"/>
  <c r="C503" i="4"/>
  <c r="C503" i="5" s="1"/>
  <c r="C504" i="4"/>
  <c r="C504" i="5" s="1"/>
  <c r="C505" i="4"/>
  <c r="C505" i="5" s="1"/>
  <c r="C506" i="4"/>
  <c r="C506" i="5" s="1"/>
  <c r="C507" i="4"/>
  <c r="C507" i="5" s="1"/>
  <c r="C508" i="4"/>
  <c r="C508" i="5" s="1"/>
  <c r="C509" i="4"/>
  <c r="C509" i="5" s="1"/>
  <c r="C510" i="4"/>
  <c r="C510" i="5" s="1"/>
  <c r="C511" i="4"/>
  <c r="C511" i="5" s="1"/>
  <c r="C512" i="4"/>
  <c r="C512" i="5" s="1"/>
  <c r="C513" i="4"/>
  <c r="C513" i="5" s="1"/>
  <c r="C517" i="4"/>
  <c r="C517" i="5" s="1"/>
  <c r="C518" i="4"/>
  <c r="C518" i="5" s="1"/>
  <c r="C519" i="4"/>
  <c r="C519" i="5" s="1"/>
  <c r="C520" i="4"/>
  <c r="C520" i="5" s="1"/>
  <c r="C521" i="4"/>
  <c r="C521" i="5" s="1"/>
  <c r="C522" i="4"/>
  <c r="C522" i="5" s="1"/>
  <c r="C523" i="4"/>
  <c r="C523" i="5" s="1"/>
  <c r="C524" i="4"/>
  <c r="C524" i="5" s="1"/>
  <c r="C525" i="4"/>
  <c r="C525" i="5" s="1"/>
  <c r="C526" i="4"/>
  <c r="C526" i="5" s="1"/>
  <c r="C527" i="4"/>
  <c r="C527" i="5" s="1"/>
  <c r="C528" i="4"/>
  <c r="C528" i="5" s="1"/>
  <c r="C529" i="4"/>
  <c r="C529" i="5" s="1"/>
  <c r="C530" i="4"/>
  <c r="C530" i="5" s="1"/>
  <c r="C531" i="4"/>
  <c r="C531" i="5" s="1"/>
  <c r="C532" i="4"/>
  <c r="C532" i="5" s="1"/>
  <c r="C533" i="4"/>
  <c r="C533" i="5" s="1"/>
  <c r="C534" i="4"/>
  <c r="C534" i="5" s="1"/>
  <c r="C535" i="4"/>
  <c r="C535" i="5" s="1"/>
  <c r="C536" i="4"/>
  <c r="C536" i="5" s="1"/>
  <c r="C537" i="4"/>
  <c r="C537" i="5" s="1"/>
  <c r="C538" i="4"/>
  <c r="C538" i="5" s="1"/>
  <c r="C539" i="4"/>
  <c r="C539" i="5" s="1"/>
  <c r="C540" i="4"/>
  <c r="C540" i="5" s="1"/>
  <c r="C541" i="4"/>
  <c r="C541" i="5" s="1"/>
  <c r="C542" i="4"/>
  <c r="C542" i="5" s="1"/>
  <c r="C543" i="4"/>
  <c r="C543" i="5" s="1"/>
  <c r="C544" i="4"/>
  <c r="C544" i="5" s="1"/>
  <c r="C545" i="4"/>
  <c r="C545" i="5" s="1"/>
  <c r="C546" i="4"/>
  <c r="C546" i="5" s="1"/>
  <c r="C547" i="4"/>
  <c r="C547" i="5" s="1"/>
  <c r="C548" i="4"/>
  <c r="C548" i="5" s="1"/>
  <c r="C549" i="4"/>
  <c r="C549" i="5" s="1"/>
  <c r="C550" i="4"/>
  <c r="C550" i="5" s="1"/>
  <c r="C551" i="4"/>
  <c r="C551" i="5" s="1"/>
  <c r="C552" i="4"/>
  <c r="C552" i="5" s="1"/>
  <c r="C553" i="4"/>
  <c r="C553" i="5" s="1"/>
  <c r="C554" i="4"/>
  <c r="C554" i="5" s="1"/>
  <c r="C555" i="4"/>
  <c r="C555" i="5" s="1"/>
  <c r="C556" i="4"/>
  <c r="C556" i="5" s="1"/>
  <c r="C557" i="4"/>
  <c r="C557" i="5" s="1"/>
  <c r="C558" i="4"/>
  <c r="C558" i="5" s="1"/>
  <c r="C559" i="4"/>
  <c r="C559" i="5" s="1"/>
  <c r="C560" i="4"/>
  <c r="C560" i="5" s="1"/>
  <c r="C561" i="4"/>
  <c r="C561" i="5" s="1"/>
  <c r="C562" i="4"/>
  <c r="C562" i="5" s="1"/>
  <c r="C563" i="4"/>
  <c r="C563" i="5" s="1"/>
  <c r="C564" i="4"/>
  <c r="C564" i="5" s="1"/>
  <c r="C571" i="4"/>
  <c r="C571" i="5" s="1"/>
  <c r="C572" i="4"/>
  <c r="C572" i="5" s="1"/>
  <c r="C565" i="4"/>
  <c r="C565" i="5" s="1"/>
  <c r="C566" i="4"/>
  <c r="C566" i="5" s="1"/>
  <c r="C567" i="4"/>
  <c r="C567" i="5" s="1"/>
  <c r="C568" i="4"/>
  <c r="C568" i="5" s="1"/>
  <c r="C569" i="4"/>
  <c r="C569" i="5" s="1"/>
  <c r="C570" i="4"/>
  <c r="C570" i="5" s="1"/>
  <c r="C573" i="4"/>
  <c r="C573" i="5" s="1"/>
  <c r="C574" i="4"/>
  <c r="C574" i="5" s="1"/>
  <c r="C575" i="4"/>
  <c r="C575" i="5" s="1"/>
  <c r="C576" i="4"/>
  <c r="C576" i="5" s="1"/>
  <c r="C577" i="4"/>
  <c r="C577" i="5" s="1"/>
  <c r="C578" i="4"/>
  <c r="C578" i="5" s="1"/>
  <c r="C579" i="4"/>
  <c r="C579" i="5" s="1"/>
  <c r="C580" i="4"/>
  <c r="C580" i="5" s="1"/>
  <c r="C581" i="4"/>
  <c r="C581" i="5" s="1"/>
  <c r="C582" i="4"/>
  <c r="C582" i="5" s="1"/>
  <c r="C583" i="4"/>
  <c r="C583" i="5" s="1"/>
  <c r="C584" i="4"/>
  <c r="C584" i="5" s="1"/>
  <c r="C585" i="4"/>
  <c r="C585" i="5" s="1"/>
  <c r="C586" i="4"/>
  <c r="C586" i="5" s="1"/>
  <c r="C587" i="4"/>
  <c r="C587" i="5" s="1"/>
  <c r="C588" i="4"/>
  <c r="C588" i="5" s="1"/>
  <c r="C589" i="4"/>
  <c r="C589" i="5" s="1"/>
  <c r="C590" i="4"/>
  <c r="C590" i="5" s="1"/>
  <c r="C591" i="4"/>
  <c r="C591" i="5" s="1"/>
  <c r="C592" i="4"/>
  <c r="C592" i="5" s="1"/>
  <c r="C593" i="4"/>
  <c r="C593" i="5" s="1"/>
  <c r="C594" i="4"/>
  <c r="C594" i="5" s="1"/>
  <c r="C595" i="4"/>
  <c r="C595" i="5" s="1"/>
  <c r="C596" i="4"/>
  <c r="C596" i="5" s="1"/>
  <c r="C597" i="4"/>
  <c r="C597" i="5" s="1"/>
  <c r="C598" i="4"/>
  <c r="C598" i="5" s="1"/>
  <c r="C599" i="4"/>
  <c r="C599" i="5" s="1"/>
  <c r="C600" i="4"/>
  <c r="C600" i="5" s="1"/>
  <c r="C601" i="4"/>
  <c r="C601" i="5" s="1"/>
  <c r="C602" i="4"/>
  <c r="C602" i="5" s="1"/>
  <c r="C603" i="4"/>
  <c r="C603" i="5" s="1"/>
  <c r="C604" i="4"/>
  <c r="C604" i="5" s="1"/>
  <c r="C605" i="4"/>
  <c r="C605" i="5" s="1"/>
  <c r="C606" i="4"/>
  <c r="C606" i="5" s="1"/>
  <c r="C607" i="4"/>
  <c r="C607" i="5" s="1"/>
  <c r="C608" i="4"/>
  <c r="C608" i="5" s="1"/>
  <c r="C609" i="4"/>
  <c r="C609" i="5" s="1"/>
  <c r="C610" i="4"/>
  <c r="C610" i="5" s="1"/>
  <c r="C611" i="4"/>
  <c r="C611" i="5" s="1"/>
  <c r="C612" i="4"/>
  <c r="C612" i="5" s="1"/>
  <c r="C613" i="4"/>
  <c r="C613" i="5" s="1"/>
  <c r="C614" i="4"/>
  <c r="C614" i="5" s="1"/>
  <c r="C615" i="4"/>
  <c r="C615" i="5" s="1"/>
  <c r="C616" i="4"/>
  <c r="C616" i="5" s="1"/>
  <c r="C617" i="4"/>
  <c r="C617" i="5" s="1"/>
  <c r="C618" i="4"/>
  <c r="C618" i="5" s="1"/>
  <c r="C619" i="4"/>
  <c r="C619" i="5" s="1"/>
  <c r="C620" i="4"/>
  <c r="C620" i="5" s="1"/>
  <c r="C621" i="4"/>
  <c r="C621" i="5" s="1"/>
  <c r="C622" i="4"/>
  <c r="C622" i="5" s="1"/>
  <c r="C623" i="4"/>
  <c r="C623" i="5" s="1"/>
  <c r="C624" i="4"/>
  <c r="C624" i="5" s="1"/>
  <c r="C625" i="4"/>
  <c r="C625" i="5" s="1"/>
  <c r="C626" i="4"/>
  <c r="C626" i="5" s="1"/>
  <c r="C627" i="4"/>
  <c r="C627" i="5" s="1"/>
  <c r="C628" i="4"/>
  <c r="C628" i="5" s="1"/>
  <c r="C629" i="4"/>
  <c r="C629" i="5" s="1"/>
  <c r="C630" i="4"/>
  <c r="C630" i="5" s="1"/>
  <c r="C631" i="4"/>
  <c r="C631" i="5" s="1"/>
  <c r="C632" i="4"/>
  <c r="C632" i="5" s="1"/>
  <c r="C633" i="4"/>
  <c r="C633" i="5" s="1"/>
  <c r="C634" i="4"/>
  <c r="C634" i="5" s="1"/>
  <c r="C635" i="4"/>
  <c r="C635" i="5" s="1"/>
  <c r="C636" i="4"/>
  <c r="C636" i="5" s="1"/>
  <c r="C637" i="4"/>
  <c r="C637" i="5" s="1"/>
  <c r="C638" i="4"/>
  <c r="C638" i="5" s="1"/>
  <c r="C639" i="4"/>
  <c r="C639" i="5" s="1"/>
  <c r="C640" i="4"/>
  <c r="C640" i="5" s="1"/>
  <c r="C641" i="4"/>
  <c r="C641" i="5" s="1"/>
  <c r="C642" i="4"/>
  <c r="C642" i="5" s="1"/>
  <c r="C643" i="4"/>
  <c r="C643" i="5" s="1"/>
  <c r="C644" i="4"/>
  <c r="C644" i="5" s="1"/>
  <c r="C645" i="4"/>
  <c r="C645" i="5" s="1"/>
  <c r="C646" i="4"/>
  <c r="C646" i="5" s="1"/>
  <c r="C647" i="4"/>
  <c r="C647" i="5" s="1"/>
  <c r="C648" i="4"/>
  <c r="C648" i="5" s="1"/>
  <c r="C649" i="4"/>
  <c r="C649" i="5" s="1"/>
  <c r="C650" i="4"/>
  <c r="C650" i="5" s="1"/>
  <c r="C651" i="4"/>
  <c r="C651" i="5" s="1"/>
  <c r="C652" i="4"/>
  <c r="C652" i="5" s="1"/>
  <c r="C653" i="4"/>
  <c r="C653" i="5" s="1"/>
  <c r="C654" i="4"/>
  <c r="C654" i="5" s="1"/>
  <c r="C655" i="4"/>
  <c r="C655" i="5" s="1"/>
  <c r="C656" i="4"/>
  <c r="C656" i="5" s="1"/>
  <c r="C657" i="4"/>
  <c r="C657" i="5" s="1"/>
  <c r="C658" i="4"/>
  <c r="C658" i="5" s="1"/>
  <c r="C659" i="4"/>
  <c r="C659" i="5" s="1"/>
  <c r="C660" i="4"/>
  <c r="C660" i="5" s="1"/>
  <c r="C661" i="4"/>
  <c r="C661" i="5" s="1"/>
  <c r="C662" i="4"/>
  <c r="C662" i="5" s="1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663" i="5" l="1"/>
  <c r="B664" i="5"/>
  <c r="C664" i="5" s="1"/>
  <c r="B665" i="5" l="1"/>
  <c r="C665" i="5" s="1"/>
  <c r="B666" i="5" l="1"/>
  <c r="C666" i="5" s="1"/>
  <c r="B667" i="5" l="1"/>
  <c r="C667" i="5" s="1"/>
  <c r="B668" i="5" l="1"/>
  <c r="C668" i="5" s="1"/>
  <c r="B669" i="5" l="1"/>
  <c r="C669" i="5" s="1"/>
  <c r="B670" i="5" l="1"/>
  <c r="C670" i="5" s="1"/>
  <c r="B671" i="5" l="1"/>
  <c r="C671" i="5" s="1"/>
  <c r="B672" i="5" l="1"/>
  <c r="C672" i="5" s="1"/>
  <c r="B673" i="5" l="1"/>
  <c r="C673" i="5" s="1"/>
  <c r="B674" i="5" l="1"/>
  <c r="C674" i="5" s="1"/>
  <c r="B675" i="5" l="1"/>
  <c r="C675" i="5" s="1"/>
  <c r="B676" i="5" l="1"/>
  <c r="C676" i="5" s="1"/>
  <c r="B677" i="5" l="1"/>
  <c r="C677" i="5" s="1"/>
  <c r="B678" i="5" l="1"/>
  <c r="C678" i="5" s="1"/>
  <c r="B679" i="5" l="1"/>
  <c r="C679" i="5" s="1"/>
  <c r="B680" i="5" l="1"/>
  <c r="C680" i="5" s="1"/>
  <c r="B681" i="5" l="1"/>
  <c r="C681" i="5" s="1"/>
  <c r="B682" i="5" l="1"/>
  <c r="C682" i="5" s="1"/>
  <c r="B683" i="5" l="1"/>
  <c r="C683" i="5" s="1"/>
  <c r="B684" i="5" l="1"/>
  <c r="C684" i="5" s="1"/>
  <c r="B685" i="5" l="1"/>
  <c r="C685" i="5" s="1"/>
  <c r="B686" i="5" l="1"/>
  <c r="C686" i="5" s="1"/>
  <c r="B687" i="5" l="1"/>
  <c r="C687" i="5" s="1"/>
  <c r="B688" i="5" l="1"/>
  <c r="C688" i="5" s="1"/>
  <c r="B689" i="5" l="1"/>
  <c r="C689" i="5" s="1"/>
  <c r="B690" i="5" l="1"/>
  <c r="C690" i="5" s="1"/>
  <c r="B691" i="5" l="1"/>
  <c r="C691" i="5" s="1"/>
  <c r="B692" i="5" l="1"/>
  <c r="C692" i="5" s="1"/>
  <c r="B693" i="5" l="1"/>
  <c r="C693" i="5" s="1"/>
  <c r="B694" i="5" l="1"/>
  <c r="C694" i="5" s="1"/>
  <c r="B695" i="5" l="1"/>
  <c r="C695" i="5" s="1"/>
  <c r="B696" i="5" l="1"/>
  <c r="C696" i="5" s="1"/>
  <c r="B697" i="5" l="1"/>
  <c r="C697" i="5" s="1"/>
  <c r="B698" i="5" l="1"/>
  <c r="C698" i="5" s="1"/>
  <c r="B699" i="5" l="1"/>
  <c r="C699" i="5" s="1"/>
  <c r="B700" i="5" l="1"/>
  <c r="C700" i="5" s="1"/>
  <c r="B701" i="5" l="1"/>
  <c r="C701" i="5" s="1"/>
  <c r="B702" i="5" l="1"/>
  <c r="C702" i="5" s="1"/>
  <c r="B703" i="5" l="1"/>
  <c r="C703" i="5" s="1"/>
  <c r="B704" i="5" l="1"/>
  <c r="C704" i="5" s="1"/>
  <c r="B705" i="5" l="1"/>
  <c r="C705" i="5" s="1"/>
  <c r="B706" i="5" l="1"/>
  <c r="C706" i="5" s="1"/>
  <c r="B707" i="5" l="1"/>
  <c r="C707" i="5" s="1"/>
  <c r="B708" i="5" l="1"/>
  <c r="C708" i="5" s="1"/>
  <c r="B709" i="5" l="1"/>
  <c r="C709" i="5" s="1"/>
  <c r="B710" i="5" l="1"/>
  <c r="C710" i="5" s="1"/>
  <c r="B711" i="5" l="1"/>
  <c r="C711" i="5" s="1"/>
  <c r="B712" i="5" l="1"/>
  <c r="C712" i="5" s="1"/>
  <c r="B713" i="5" l="1"/>
  <c r="C713" i="5" s="1"/>
  <c r="B714" i="5" l="1"/>
  <c r="C714" i="5" s="1"/>
  <c r="B715" i="5" l="1"/>
  <c r="C715" i="5" s="1"/>
  <c r="B716" i="5" l="1"/>
  <c r="C716" i="5" s="1"/>
  <c r="B717" i="5" l="1"/>
  <c r="C717" i="5" s="1"/>
  <c r="B718" i="5" l="1"/>
  <c r="C718" i="5" s="1"/>
  <c r="B719" i="5" l="1"/>
  <c r="C719" i="5" s="1"/>
  <c r="B720" i="5" l="1"/>
  <c r="C720" i="5" s="1"/>
  <c r="B721" i="5" l="1"/>
  <c r="C721" i="5" s="1"/>
  <c r="B722" i="5" l="1"/>
  <c r="C722" i="5" s="1"/>
  <c r="B723" i="5" l="1"/>
  <c r="C723" i="5" s="1"/>
  <c r="B724" i="5" l="1"/>
  <c r="C724" i="5" s="1"/>
  <c r="B725" i="5" l="1"/>
  <c r="C725" i="5" s="1"/>
  <c r="B726" i="5" l="1"/>
  <c r="C726" i="5" s="1"/>
  <c r="B727" i="5" l="1"/>
  <c r="C727" i="5" s="1"/>
  <c r="B728" i="5" l="1"/>
  <c r="C728" i="5" s="1"/>
  <c r="B729" i="5" l="1"/>
  <c r="C729" i="5" s="1"/>
  <c r="B730" i="5" l="1"/>
  <c r="C730" i="5" s="1"/>
  <c r="B731" i="5" l="1"/>
  <c r="C731" i="5" s="1"/>
  <c r="B732" i="5" l="1"/>
  <c r="C732" i="5" s="1"/>
  <c r="B733" i="5" l="1"/>
  <c r="C733" i="5" s="1"/>
  <c r="B734" i="5" l="1"/>
  <c r="C734" i="5" s="1"/>
  <c r="B735" i="5" l="1"/>
  <c r="C735" i="5" s="1"/>
  <c r="B736" i="5" l="1"/>
  <c r="C736" i="5" s="1"/>
  <c r="B737" i="5" l="1"/>
  <c r="C737" i="5" s="1"/>
  <c r="B738" i="5" l="1"/>
  <c r="C738" i="5" s="1"/>
  <c r="B739" i="5" l="1"/>
  <c r="C739" i="5" s="1"/>
  <c r="B740" i="5" l="1"/>
  <c r="C740" i="5" s="1"/>
  <c r="B741" i="5" l="1"/>
  <c r="C741" i="5" s="1"/>
  <c r="B742" i="5" l="1"/>
  <c r="C742" i="5" s="1"/>
  <c r="B743" i="5" l="1"/>
  <c r="C743" i="5" s="1"/>
  <c r="B744" i="5" l="1"/>
  <c r="C744" i="5" s="1"/>
  <c r="B745" i="5" l="1"/>
  <c r="C745" i="5" s="1"/>
  <c r="B746" i="5" l="1"/>
  <c r="C746" i="5" s="1"/>
  <c r="B747" i="5" l="1"/>
  <c r="C747" i="5" s="1"/>
  <c r="B748" i="5" l="1"/>
  <c r="C748" i="5" s="1"/>
  <c r="B749" i="5" l="1"/>
  <c r="C749" i="5" s="1"/>
  <c r="B750" i="5" l="1"/>
  <c r="C750" i="5" s="1"/>
  <c r="B751" i="5" l="1"/>
  <c r="C751" i="5" s="1"/>
  <c r="B752" i="5" l="1"/>
  <c r="C752" i="5" s="1"/>
  <c r="B753" i="5" l="1"/>
  <c r="C753" i="5" s="1"/>
  <c r="B754" i="5" l="1"/>
  <c r="C754" i="5" s="1"/>
  <c r="B756" i="5" l="1"/>
  <c r="C756" i="5" s="1"/>
  <c r="B755" i="5"/>
  <c r="C755" i="5" s="1"/>
</calcChain>
</file>

<file path=xl/sharedStrings.xml><?xml version="1.0" encoding="utf-8"?>
<sst xmlns="http://schemas.openxmlformats.org/spreadsheetml/2006/main" count="2417" uniqueCount="1723">
  <si>
    <t>Abdollah Syani Siregar</t>
  </si>
  <si>
    <t>Abdul Karim</t>
  </si>
  <si>
    <t>Abdul Rahman Sitompul</t>
  </si>
  <si>
    <t>Abdul Risan</t>
  </si>
  <si>
    <t>Abdullah Nabil</t>
  </si>
  <si>
    <t>Adhitya Danar</t>
  </si>
  <si>
    <t>Adi Ruswandi</t>
  </si>
  <si>
    <t>Adietya Dharmawan</t>
  </si>
  <si>
    <t>Aditya Yudha Prawira</t>
  </si>
  <si>
    <t>Adli Margie</t>
  </si>
  <si>
    <t>Afrida Eka Putri</t>
  </si>
  <si>
    <t>Agnes Sutedja</t>
  </si>
  <si>
    <t>Agung Hendarto</t>
  </si>
  <si>
    <t>Agus Priyatno Mahmudo</t>
  </si>
  <si>
    <t>Agus Salim</t>
  </si>
  <si>
    <t>Agus Tanto</t>
  </si>
  <si>
    <t>Ahmad Faiz Haems Muda</t>
  </si>
  <si>
    <t>Ahmad Faza</t>
  </si>
  <si>
    <t>Ahmad Syaifulloh</t>
  </si>
  <si>
    <t>Ahmad Zulkarnaen</t>
  </si>
  <si>
    <t>Ajan</t>
  </si>
  <si>
    <t>Al Amin</t>
  </si>
  <si>
    <t>Aldi Mulyadi</t>
  </si>
  <si>
    <t>Alexandri</t>
  </si>
  <si>
    <t>Alfaedi</t>
  </si>
  <si>
    <t>Ali Wahono</t>
  </si>
  <si>
    <t>Alphaliyanri Lasria</t>
  </si>
  <si>
    <t>Ambon Rumalean</t>
  </si>
  <si>
    <t>Amir Sofyan Hadi</t>
  </si>
  <si>
    <t>Anak Agung Netti Ariani</t>
  </si>
  <si>
    <t>Andri Gunawan</t>
  </si>
  <si>
    <t>Andri Herdiansyah</t>
  </si>
  <si>
    <t>Andrie</t>
  </si>
  <si>
    <t>Anggina Tri Yudandi</t>
  </si>
  <si>
    <t>Anggit Ismiyanto</t>
  </si>
  <si>
    <t>Anika Setyowati</t>
  </si>
  <si>
    <t>Anisah</t>
  </si>
  <si>
    <t>Anna Savitrie</t>
  </si>
  <si>
    <t>Annisa Dewi Arumsari</t>
  </si>
  <si>
    <t>Annyes Sri Maristi</t>
  </si>
  <si>
    <t>Antok</t>
  </si>
  <si>
    <t>Anton Iryanto</t>
  </si>
  <si>
    <t>Antony Pakpahan</t>
  </si>
  <si>
    <t>Anugerah Januariansyah</t>
  </si>
  <si>
    <t>Anwar Purnomo</t>
  </si>
  <si>
    <t>Ardhi Swasono</t>
  </si>
  <si>
    <t>Ardi</t>
  </si>
  <si>
    <t>Ardiansyah</t>
  </si>
  <si>
    <t>Ardisam</t>
  </si>
  <si>
    <t>Ardita</t>
  </si>
  <si>
    <t>Ares S. Mauboi</t>
  </si>
  <si>
    <t>Arfah Hanum</t>
  </si>
  <si>
    <t>Arfianti Haryani</t>
  </si>
  <si>
    <t>Ari Priwarsono</t>
  </si>
  <si>
    <t>Ari Yuniasmono</t>
  </si>
  <si>
    <t>Arif Gunawan</t>
  </si>
  <si>
    <t>Arif Prasetyo</t>
  </si>
  <si>
    <t>Arini</t>
  </si>
  <si>
    <t>Ario Setyo Gunawan</t>
  </si>
  <si>
    <t>Ario Yulianto Wibowo</t>
  </si>
  <si>
    <t>Aris Widodo Pamungkas</t>
  </si>
  <si>
    <t>Arjiyanto</t>
  </si>
  <si>
    <t>Arman</t>
  </si>
  <si>
    <t>Aryoko Sudiro</t>
  </si>
  <si>
    <t>Astamyugo</t>
  </si>
  <si>
    <t>Atmo Sastro Dinoto</t>
  </si>
  <si>
    <t>Awaludin</t>
  </si>
  <si>
    <t>Bachtiar</t>
  </si>
  <si>
    <t>Bambang Irawan</t>
  </si>
  <si>
    <t>Bambang Prihatin</t>
  </si>
  <si>
    <t>Bani Mustazeni</t>
  </si>
  <si>
    <t>Bardai</t>
  </si>
  <si>
    <t>Barika</t>
  </si>
  <si>
    <t>Bela Retmalantika</t>
  </si>
  <si>
    <t>Belina Lindarwani</t>
  </si>
  <si>
    <t>Benita Sofia</t>
  </si>
  <si>
    <t>Bherly Novrandy</t>
  </si>
  <si>
    <t>Binsar</t>
  </si>
  <si>
    <t>Bondhan Sosiarta</t>
  </si>
  <si>
    <t>Budi Pranata Sinaga</t>
  </si>
  <si>
    <t>Budi Satrio</t>
  </si>
  <si>
    <t>Budianto</t>
  </si>
  <si>
    <t>Budiman</t>
  </si>
  <si>
    <t>Cahyaning Annisa</t>
  </si>
  <si>
    <t>Cahyaningrum Widiastuti</t>
  </si>
  <si>
    <t>Cecep Maulana</t>
  </si>
  <si>
    <t>Chairul Musaddat</t>
  </si>
  <si>
    <t>Christianto</t>
  </si>
  <si>
    <t>Dadan Hermawan</t>
  </si>
  <si>
    <t>Dadan Suhendar</t>
  </si>
  <si>
    <t>Dadi Anda Zuchradi</t>
  </si>
  <si>
    <t>Darsito</t>
  </si>
  <si>
    <t>Davit Lumban Gaol</t>
  </si>
  <si>
    <t>Deddy Rochman</t>
  </si>
  <si>
    <t>Dedi Kusnadi</t>
  </si>
  <si>
    <t>Dedi Marciano Rizanur</t>
  </si>
  <si>
    <t>Dedi Rianto</t>
  </si>
  <si>
    <t>Dedi Syahputra</t>
  </si>
  <si>
    <t>Deni Setiawan</t>
  </si>
  <si>
    <t>Deny Adi Purnama</t>
  </si>
  <si>
    <t>Desi Herawati</t>
  </si>
  <si>
    <t>Desi Setiowati</t>
  </si>
  <si>
    <t>Dian Firdaus</t>
  </si>
  <si>
    <t>Dian Hariyana</t>
  </si>
  <si>
    <t>Dinnar Budiarti</t>
  </si>
  <si>
    <t>Dionesius Sostenist Duka</t>
  </si>
  <si>
    <t>Diyah Martina</t>
  </si>
  <si>
    <t>Djuang Tampubolon</t>
  </si>
  <si>
    <t>Dodit Widiarto</t>
  </si>
  <si>
    <t>Dony Darmawan</t>
  </si>
  <si>
    <t>Dony Setiawan</t>
  </si>
  <si>
    <t>Dudi Rustandi</t>
  </si>
  <si>
    <t>Dudung</t>
  </si>
  <si>
    <t>Dwi Joko</t>
  </si>
  <si>
    <t>Dwinanto Prabowo</t>
  </si>
  <si>
    <t>Edi Waluyo</t>
  </si>
  <si>
    <t>Edi Siswanto</t>
  </si>
  <si>
    <t>Edi Turnip</t>
  </si>
  <si>
    <t>Edy Putra Waskita</t>
  </si>
  <si>
    <t>Edy Syahputra Situmeang</t>
  </si>
  <si>
    <t>Effendi fendi</t>
  </si>
  <si>
    <t>Efrina Dwililia</t>
  </si>
  <si>
    <t>Eka Bagus Dwi Putra</t>
  </si>
  <si>
    <t>Eka Hamidah</t>
  </si>
  <si>
    <t>Eka Purwanti</t>
  </si>
  <si>
    <t>Eka Kurniawan Hidayatullah</t>
  </si>
  <si>
    <t>Eko Laksono</t>
  </si>
  <si>
    <t>Eko Syambudi</t>
  </si>
  <si>
    <t>Elieser Ferdy P.</t>
  </si>
  <si>
    <t>Elisa</t>
  </si>
  <si>
    <t>Elsa Jayanti</t>
  </si>
  <si>
    <t>Elsa Mardian</t>
  </si>
  <si>
    <t>Emir Paranita Nasution</t>
  </si>
  <si>
    <t>Enceng Hemawan</t>
  </si>
  <si>
    <t>Endang</t>
  </si>
  <si>
    <t>Endang Lestari</t>
  </si>
  <si>
    <t>Endang Sobari</t>
  </si>
  <si>
    <t>Endang Sutrisna</t>
  </si>
  <si>
    <t>Erfananda Rasyid</t>
  </si>
  <si>
    <t>Ernawati</t>
  </si>
  <si>
    <t>Erwin Firmansyah</t>
  </si>
  <si>
    <t>Erwin Said</t>
  </si>
  <si>
    <t>Esa Annahar</t>
  </si>
  <si>
    <t>Faiz Horifal</t>
  </si>
  <si>
    <t>Fani Dwi Astutik</t>
  </si>
  <si>
    <t>Fardi Nauli R</t>
  </si>
  <si>
    <t>Farekh Huzair</t>
  </si>
  <si>
    <t>Farhana</t>
  </si>
  <si>
    <t>Febriyanto Ahdiat</t>
  </si>
  <si>
    <t>Febryan Mahsyar</t>
  </si>
  <si>
    <t>Felpy</t>
  </si>
  <si>
    <t>Feri Priyanto</t>
  </si>
  <si>
    <t>Ferry P Simanjuntak</t>
  </si>
  <si>
    <t>Fikri</t>
  </si>
  <si>
    <t>M. Fikri Caesarandi Hasibuan</t>
  </si>
  <si>
    <t>Firman Akbar</t>
  </si>
  <si>
    <t>Fitriastuti Kurnia</t>
  </si>
  <si>
    <t>Francis Imanuel</t>
  </si>
  <si>
    <t>Frando Judi Siahaan</t>
  </si>
  <si>
    <t>Frederika Intan</t>
  </si>
  <si>
    <t>Fuad Febrian</t>
  </si>
  <si>
    <t>Wiyadianto</t>
  </si>
  <si>
    <t>Galuh Swastika</t>
  </si>
  <si>
    <t>Ganda Yuharis R.</t>
  </si>
  <si>
    <t>Gatot Harsono</t>
  </si>
  <si>
    <t>Gina Septa</t>
  </si>
  <si>
    <t>Grace Kurniawan</t>
  </si>
  <si>
    <t>Gunawan</t>
  </si>
  <si>
    <t>Gustia Rakhmanita</t>
  </si>
  <si>
    <t>Habib Abdullah</t>
  </si>
  <si>
    <t>Hadi Kasmuri</t>
  </si>
  <si>
    <t>Haikal</t>
  </si>
  <si>
    <t>Hanantowiryo Tamtama</t>
  </si>
  <si>
    <t>Handoko</t>
  </si>
  <si>
    <t>Hanif Ashari</t>
  </si>
  <si>
    <t>Hanif Eko Saputro</t>
  </si>
  <si>
    <t>Hardianto</t>
  </si>
  <si>
    <t>Harlen Amudi Purba</t>
  </si>
  <si>
    <t>Harry Isnaeni</t>
  </si>
  <si>
    <t>Hasan Gani</t>
  </si>
  <si>
    <t>Hasrul</t>
  </si>
  <si>
    <t>Hendar Pambudi</t>
  </si>
  <si>
    <t>Hendri Kustian</t>
  </si>
  <si>
    <t>Hendrik</t>
  </si>
  <si>
    <t>Herdi Yulia Rohmana</t>
  </si>
  <si>
    <t>Heri Susanto</t>
  </si>
  <si>
    <t>Herlin Juli Asri</t>
  </si>
  <si>
    <t>Herman Budoyo</t>
  </si>
  <si>
    <t>Herni Yuliati</t>
  </si>
  <si>
    <t>Hernita Dwi</t>
  </si>
  <si>
    <t>Herri Setyawan</t>
  </si>
  <si>
    <t>Heru Sugiri</t>
  </si>
  <si>
    <t>Hervian Bagus Saputra</t>
  </si>
  <si>
    <t>H.R. Marlina S. T. R.</t>
  </si>
  <si>
    <t>Ibrahim Soukani</t>
  </si>
  <si>
    <t>Icha Mailinda Syamsoedin</t>
  </si>
  <si>
    <t>Ichsanudin</t>
  </si>
  <si>
    <t>Ida Tri Wulaningsih</t>
  </si>
  <si>
    <t>Idham</t>
  </si>
  <si>
    <t>Idham Nasution</t>
  </si>
  <si>
    <t>Idian</t>
  </si>
  <si>
    <t>Ikun M. Soedrajat</t>
  </si>
  <si>
    <t>Ilham Arisyandy</t>
  </si>
  <si>
    <t>Ilham Akbar</t>
  </si>
  <si>
    <t>Imam Basuki</t>
  </si>
  <si>
    <t>Imam Mustofa</t>
  </si>
  <si>
    <t>Imam Safiiy</t>
  </si>
  <si>
    <t>Iman Hakiki</t>
  </si>
  <si>
    <t>Imelda Claudia</t>
  </si>
  <si>
    <t>Indawan Haryadi</t>
  </si>
  <si>
    <t>Indra Jaya</t>
  </si>
  <si>
    <t>Indra Muchtar</t>
  </si>
  <si>
    <t>Irvan</t>
  </si>
  <si>
    <t>Irvan Agus Dharma Eka Putra</t>
  </si>
  <si>
    <t>Irwan</t>
  </si>
  <si>
    <t>Isa Anshori</t>
  </si>
  <si>
    <t>Isa Taufiq</t>
  </si>
  <si>
    <t>Iskandarsyah</t>
  </si>
  <si>
    <t>Istanto Istanto</t>
  </si>
  <si>
    <t>Iswahyuni</t>
  </si>
  <si>
    <t>Iva Nurvahayati</t>
  </si>
  <si>
    <t>Iwan Setiawan</t>
  </si>
  <si>
    <t>Iwan Sumantri</t>
  </si>
  <si>
    <t>Iwan Wibawa</t>
  </si>
  <si>
    <t>Iyus Darwin</t>
  </si>
  <si>
    <t>Jaenudin</t>
  </si>
  <si>
    <t>Jaruli Samosir</t>
  </si>
  <si>
    <t>Jaya Ganef</t>
  </si>
  <si>
    <t>Jaya Sitepu</t>
  </si>
  <si>
    <t>Jeefrianda H. P. Sigalingging</t>
  </si>
  <si>
    <t>Jerry Djajasaputra</t>
  </si>
  <si>
    <t>Jimmywal</t>
  </si>
  <si>
    <t>Jodie Satria</t>
  </si>
  <si>
    <t>Johannes Silalahi</t>
  </si>
  <si>
    <t>Joko Wiyono</t>
  </si>
  <si>
    <t>Jondril Hantoni</t>
  </si>
  <si>
    <t>Jonhar Aziz</t>
  </si>
  <si>
    <t>Juan Talitha</t>
  </si>
  <si>
    <t>Juharja Juharja</t>
  </si>
  <si>
    <t>Juminar</t>
  </si>
  <si>
    <t>Jumino</t>
  </si>
  <si>
    <t>Junaedi</t>
  </si>
  <si>
    <t>Junaidi</t>
  </si>
  <si>
    <t>Jusuf Bobby Putra</t>
  </si>
  <si>
    <t>Jusuf Gandi</t>
  </si>
  <si>
    <t>Kahar Triyono</t>
  </si>
  <si>
    <t>Keila</t>
  </si>
  <si>
    <t>Kendra Daniswara</t>
  </si>
  <si>
    <t>Kevin Henokh Tambunan</t>
  </si>
  <si>
    <t>Khafid Fahrurrozi</t>
  </si>
  <si>
    <t>Kholik</t>
  </si>
  <si>
    <t>Kiki Mustikawati</t>
  </si>
  <si>
    <t>Kornelius Sakan</t>
  </si>
  <si>
    <t>Kosasih</t>
  </si>
  <si>
    <t>Krisnawan</t>
  </si>
  <si>
    <t>Kurniadi</t>
  </si>
  <si>
    <t>Kurniawan</t>
  </si>
  <si>
    <t>Laode</t>
  </si>
  <si>
    <t>Leo Nababan</t>
  </si>
  <si>
    <t>Liani Atmaningrum</t>
  </si>
  <si>
    <t>Liaseptriani Liaseptriani</t>
  </si>
  <si>
    <t>Lisma Natalia</t>
  </si>
  <si>
    <t>Listyo Hartanto</t>
  </si>
  <si>
    <t>M. Ari Ardizah Nasution</t>
  </si>
  <si>
    <t>M. Denny  Micrazudin</t>
  </si>
  <si>
    <t>M. Ridho Pramudia</t>
  </si>
  <si>
    <t>M. Rusdi</t>
  </si>
  <si>
    <t>M. Ervan Isyawal Akbar</t>
  </si>
  <si>
    <t>Maharani Tanjungsari</t>
  </si>
  <si>
    <t>Maharani Uthmaniah</t>
  </si>
  <si>
    <t>Manotar Tamba</t>
  </si>
  <si>
    <t>Maradona Manurung</t>
  </si>
  <si>
    <t>Pantas Banjarnahor Marbun</t>
  </si>
  <si>
    <t>Marcella Avia Ramadhinaningrum</t>
  </si>
  <si>
    <t>Marissa Watak</t>
  </si>
  <si>
    <t>Marten Tabun</t>
  </si>
  <si>
    <t>Martimbul Rahman</t>
  </si>
  <si>
    <t>T. Marungkil U. S. Sagala</t>
  </si>
  <si>
    <t>Marzuki</t>
  </si>
  <si>
    <t>Mashuri Mashuri</t>
  </si>
  <si>
    <t>Mat Soleh</t>
  </si>
  <si>
    <t>Mhd Syahputra</t>
  </si>
  <si>
    <t>Mia Puspitasari</t>
  </si>
  <si>
    <t>Midin Ena</t>
  </si>
  <si>
    <t>Miftakhul Muzakky</t>
  </si>
  <si>
    <t>Mista</t>
  </si>
  <si>
    <t>Mochamad Samman</t>
  </si>
  <si>
    <t>Moh. Afif</t>
  </si>
  <si>
    <t>Mohammad Arman Tompo</t>
  </si>
  <si>
    <t>Mohd. Elfan Pratama</t>
  </si>
  <si>
    <t>Monang Simarmata</t>
  </si>
  <si>
    <t>Moritz Thomsen Marbun</t>
  </si>
  <si>
    <t>Muhamad Hamdan Rifai</t>
  </si>
  <si>
    <t>Muhamad Ikhsan</t>
  </si>
  <si>
    <t>Muhamad Nurhamsach</t>
  </si>
  <si>
    <t>Muhammad Ardiansyah</t>
  </si>
  <si>
    <t>Muhammad Khadafy</t>
  </si>
  <si>
    <t>Muhammad Taufan</t>
  </si>
  <si>
    <t>Muklis</t>
  </si>
  <si>
    <t>Mulia Rohanson Harahap</t>
  </si>
  <si>
    <t>Mullan Tresna</t>
  </si>
  <si>
    <t>Mulyadi</t>
  </si>
  <si>
    <t>Mulyono</t>
  </si>
  <si>
    <t>Murdiansyah</t>
  </si>
  <si>
    <t>Mursalim</t>
  </si>
  <si>
    <t>Nancy Meriana Sinaga</t>
  </si>
  <si>
    <t>Nandang Effendi</t>
  </si>
  <si>
    <t>Narno</t>
  </si>
  <si>
    <t>Nasrul Anwar P.</t>
  </si>
  <si>
    <t>Nawal</t>
  </si>
  <si>
    <t>Nawir Lahamutu</t>
  </si>
  <si>
    <t>Nicky Kurnia</t>
  </si>
  <si>
    <t>Noercholis Firmansyah</t>
  </si>
  <si>
    <t>Nopitasari</t>
  </si>
  <si>
    <t>Nora Meilissa</t>
  </si>
  <si>
    <t>Novalia</t>
  </si>
  <si>
    <t>Novan Nugraha</t>
  </si>
  <si>
    <t>Nugraha</t>
  </si>
  <si>
    <t>Nugroho Putranto</t>
  </si>
  <si>
    <t>Nur Indra Sri Melati</t>
  </si>
  <si>
    <t>Nur Kusumowati</t>
  </si>
  <si>
    <t>Nurhidayat</t>
  </si>
  <si>
    <t>Otong Bustori</t>
  </si>
  <si>
    <t>Paino Suprayinto</t>
  </si>
  <si>
    <t>Panca Yudi Baskoro</t>
  </si>
  <si>
    <t>Panji Bima Santri</t>
  </si>
  <si>
    <t>Parulian Napitupulu</t>
  </si>
  <si>
    <t>Paryanto</t>
  </si>
  <si>
    <t>Pikri Hidayat</t>
  </si>
  <si>
    <t>Prayanti Dewi Anggraini</t>
  </si>
  <si>
    <t>Prayati Zai</t>
  </si>
  <si>
    <t>Pristu Andonoto</t>
  </si>
  <si>
    <t>Putra Perdana Tirtomoyo</t>
  </si>
  <si>
    <t>R. Lar Kumalaning Tresno</t>
  </si>
  <si>
    <t>Rachmad</t>
  </si>
  <si>
    <t>Radjiman</t>
  </si>
  <si>
    <t>Rafi Firman Saputra</t>
  </si>
  <si>
    <t>Rahmat Riyadi</t>
  </si>
  <si>
    <t>Rahmat Sirfano</t>
  </si>
  <si>
    <t>Rais Indra Noor</t>
  </si>
  <si>
    <t>Rakman A. Hadi</t>
  </si>
  <si>
    <t>Ramaizon</t>
  </si>
  <si>
    <t>Rangga Darmawan</t>
  </si>
  <si>
    <t>Raoli Nainggolan</t>
  </si>
  <si>
    <t>Rayan Suryadikara</t>
  </si>
  <si>
    <t>Redi Setiadi</t>
  </si>
  <si>
    <t>Redi Subekti</t>
  </si>
  <si>
    <t>Rendy Prananta Purba</t>
  </si>
  <si>
    <t>Reni Septiana</t>
  </si>
  <si>
    <t>Rere Ronggolawe</t>
  </si>
  <si>
    <t>Retnasha Gameswari</t>
  </si>
  <si>
    <t>Rhino Priawan</t>
  </si>
  <si>
    <t>Rian Yushak</t>
  </si>
  <si>
    <t>Riandi</t>
  </si>
  <si>
    <t>Ricky Samuel</t>
  </si>
  <si>
    <t>Ridwan Nurhadi</t>
  </si>
  <si>
    <t>Rifki</t>
  </si>
  <si>
    <t>Rika Ginting</t>
  </si>
  <si>
    <t>Riki Chairul Anwar</t>
  </si>
  <si>
    <t>Riki Evindra</t>
  </si>
  <si>
    <t>Rinaldi Asrin</t>
  </si>
  <si>
    <t>Rio Hakim</t>
  </si>
  <si>
    <t>Rio Martha</t>
  </si>
  <si>
    <t>Risdyanto Risdyanto</t>
  </si>
  <si>
    <t>Rizak Tri Septian</t>
  </si>
  <si>
    <t>Rizki Akbar</t>
  </si>
  <si>
    <t>Rizky Fauzy</t>
  </si>
  <si>
    <t>Rizky Reza Pradipta</t>
  </si>
  <si>
    <t>Rohendi Rohendi</t>
  </si>
  <si>
    <t>Rohmani</t>
  </si>
  <si>
    <t>Rommel Hutapea</t>
  </si>
  <si>
    <t>Roy Aditya</t>
  </si>
  <si>
    <t>Rubah</t>
  </si>
  <si>
    <t>Rudi Junaedi</t>
  </si>
  <si>
    <t>Ruswandi</t>
  </si>
  <si>
    <t>Ryan Bagus Sasminta</t>
  </si>
  <si>
    <t>Saarah Andriani</t>
  </si>
  <si>
    <t>Safira Nurbaiti</t>
  </si>
  <si>
    <t>Saifulloh</t>
  </si>
  <si>
    <t>Saifuloh</t>
  </si>
  <si>
    <t>Sakinah Tantriani Lubis</t>
  </si>
  <si>
    <t>Abdul Samad</t>
  </si>
  <si>
    <t>Samsul Hadi</t>
  </si>
  <si>
    <t>Sandika</t>
  </si>
  <si>
    <t>Sang Toga Sitompul</t>
  </si>
  <si>
    <t>Santi Dewi R. W.</t>
  </si>
  <si>
    <t>Sarah Sibarani</t>
  </si>
  <si>
    <t>Sarif Hidayatul Umah</t>
  </si>
  <si>
    <t>Satria Budi Raharja</t>
  </si>
  <si>
    <t>Saut M. P. L. Tobing</t>
  </si>
  <si>
    <t>Seftiyan Hadi Maulana</t>
  </si>
  <si>
    <t>Sena Andi Satria</t>
  </si>
  <si>
    <t>Setiadi</t>
  </si>
  <si>
    <t>Sherly Tamira</t>
  </si>
  <si>
    <t>Shihab</t>
  </si>
  <si>
    <t>Shobarin Jabar</t>
  </si>
  <si>
    <t>Sholehah</t>
  </si>
  <si>
    <t>Sigit Rudiantono</t>
  </si>
  <si>
    <t>Silvia Putri</t>
  </si>
  <si>
    <t>Simron Ronaldi Nasution</t>
  </si>
  <si>
    <t>Sinta Vera Trikawati</t>
  </si>
  <si>
    <t>Sir Muhammad Zafrulloh Khan</t>
  </si>
  <si>
    <t>Siska Marlina</t>
  </si>
  <si>
    <t>Siswanto</t>
  </si>
  <si>
    <t>Siti Mulyani</t>
  </si>
  <si>
    <t>Sjanti Devi</t>
  </si>
  <si>
    <t>Slamet Budi Setiawan</t>
  </si>
  <si>
    <t>Sofyan Maulana</t>
  </si>
  <si>
    <t>Subagio</t>
  </si>
  <si>
    <t>Suci Mardiana</t>
  </si>
  <si>
    <t>Suci Rachma Sari</t>
  </si>
  <si>
    <t>Sudarlan</t>
  </si>
  <si>
    <t>Sufie Amalia</t>
  </si>
  <si>
    <t>Sugeng Ismanto</t>
  </si>
  <si>
    <t>Sugiarto</t>
  </si>
  <si>
    <t>Sulih</t>
  </si>
  <si>
    <t>Sumadi</t>
  </si>
  <si>
    <t>Sumirat</t>
  </si>
  <si>
    <t>Sunaryati</t>
  </si>
  <si>
    <t>Supriyadi</t>
  </si>
  <si>
    <t>Suriono Suriono</t>
  </si>
  <si>
    <t>Surono</t>
  </si>
  <si>
    <t>Surtoyo Syukri</t>
  </si>
  <si>
    <t>Suryadi</t>
  </si>
  <si>
    <t>Susilawati</t>
  </si>
  <si>
    <t>Sutarno</t>
  </si>
  <si>
    <t>Sutra Riandi</t>
  </si>
  <si>
    <t>Suyanto</t>
  </si>
  <si>
    <t>Swar Jono</t>
  </si>
  <si>
    <t>Syafruddin</t>
  </si>
  <si>
    <t>Syafrudin Machmud</t>
  </si>
  <si>
    <t>Syahrizal</t>
  </si>
  <si>
    <t>Syaiful Idjam</t>
  </si>
  <si>
    <t>Tajuddin Assubki Ismail</t>
  </si>
  <si>
    <t>Taslim</t>
  </si>
  <si>
    <t>Taufik Mulia Pane</t>
  </si>
  <si>
    <t>Tedy Harseno</t>
  </si>
  <si>
    <t>Teguh Joko Pamuji</t>
  </si>
  <si>
    <t>Teguh Pratama Januzir Sukin</t>
  </si>
  <si>
    <t>Teguh Susanto</t>
  </si>
  <si>
    <t>Tenri Sumange</t>
  </si>
  <si>
    <t>Teuku Zulkifli</t>
  </si>
  <si>
    <t>Tiara Kemalasari</t>
  </si>
  <si>
    <t>Tjhang Linawati</t>
  </si>
  <si>
    <t>Totok Kristianto</t>
  </si>
  <si>
    <t>Tri Aji</t>
  </si>
  <si>
    <t>Tri M. Saputra</t>
  </si>
  <si>
    <t>Triani Irma</t>
  </si>
  <si>
    <t>Trisyanto</t>
  </si>
  <si>
    <t>Triwiarti Dibya</t>
  </si>
  <si>
    <t>Triyono</t>
  </si>
  <si>
    <t>Turita Pramuning Marantina</t>
  </si>
  <si>
    <t>Tutus Ary</t>
  </si>
  <si>
    <t>Ubaidillah</t>
  </si>
  <si>
    <t>Ujang Barma</t>
  </si>
  <si>
    <t>Ujang Suryana</t>
  </si>
  <si>
    <t>Ulman Juanda</t>
  </si>
  <si>
    <t>Urbanus Boimau</t>
  </si>
  <si>
    <t>Uswatun Hasamah</t>
  </si>
  <si>
    <t>Uswatun Khasanah</t>
  </si>
  <si>
    <t>Utami Dewi</t>
  </si>
  <si>
    <t>Utanto</t>
  </si>
  <si>
    <t>Veradita Yulanda</t>
  </si>
  <si>
    <t>Vidhy Kartika Putri</t>
  </si>
  <si>
    <t>Vonny Agram</t>
  </si>
  <si>
    <t>Wahyu</t>
  </si>
  <si>
    <t>Wahyu Ramadhani</t>
  </si>
  <si>
    <t>Wahyu Widodo</t>
  </si>
  <si>
    <t>Warsito Edy Saputra</t>
  </si>
  <si>
    <t>Weldi Wimar</t>
  </si>
  <si>
    <t>Wendy Septiyan</t>
  </si>
  <si>
    <t>Willy Indarto</t>
  </si>
  <si>
    <t>Winda Suherman</t>
  </si>
  <si>
    <t>Wisnu Ardian</t>
  </si>
  <si>
    <t>Wisudanto C. Suntoyo</t>
  </si>
  <si>
    <t>Yahya Adyasa Febriansyah</t>
  </si>
  <si>
    <t>Yakup Sunaryo</t>
  </si>
  <si>
    <t>Yanuar Tri Ananda</t>
  </si>
  <si>
    <t>Yasir Liem</t>
  </si>
  <si>
    <t>Yefri Hendrayani</t>
  </si>
  <si>
    <t>Yessi Setiarini</t>
  </si>
  <si>
    <t>Yorid Fae</t>
  </si>
  <si>
    <t>Yosef Hang Wan</t>
  </si>
  <si>
    <t>Yossie Deliana</t>
  </si>
  <si>
    <t>Yudi Rahmadi</t>
  </si>
  <si>
    <t>Yudo Jati Rahmat Satrio</t>
  </si>
  <si>
    <t>Yuliandaru Suryoatmodjo</t>
  </si>
  <si>
    <t>Yulianta</t>
  </si>
  <si>
    <t>Yulianti</t>
  </si>
  <si>
    <t>Yulius</t>
  </si>
  <si>
    <t>Yunni Sazili</t>
  </si>
  <si>
    <t>Yusman</t>
  </si>
  <si>
    <t>Yusri Azhar</t>
  </si>
  <si>
    <t>Zafrizal</t>
  </si>
  <si>
    <t>Zafrizal Rifla (Ucok)</t>
  </si>
  <si>
    <t>Zainuddin</t>
  </si>
  <si>
    <t>Zainudin Anwar</t>
  </si>
  <si>
    <t>Zaire Dite Biscaya</t>
  </si>
  <si>
    <t>Zalfi Yandri</t>
  </si>
  <si>
    <t>Zam Roji</t>
  </si>
  <si>
    <t>Zulfikar K. Siregar</t>
  </si>
  <si>
    <t>Adythia Adikara</t>
  </si>
  <si>
    <t>Agus Sopyan Hadi</t>
  </si>
  <si>
    <t>Azis Purwandana</t>
  </si>
  <si>
    <t>Heryanto</t>
  </si>
  <si>
    <t>Imran</t>
  </si>
  <si>
    <t>Khamim Taryono</t>
  </si>
  <si>
    <t>Rafi Artman Siddiq</t>
  </si>
  <si>
    <t>Riza Emir Subekti</t>
  </si>
  <si>
    <t>Slamet Riadi</t>
  </si>
  <si>
    <t>Wisnu Andra Isdianto</t>
  </si>
  <si>
    <t>Agus Budi Setiawan</t>
  </si>
  <si>
    <t>Ahmad Choerul</t>
  </si>
  <si>
    <t>Achmad Yunadi</t>
  </si>
  <si>
    <t>Asep mulyana</t>
  </si>
  <si>
    <t>Bagus Isdiantara</t>
  </si>
  <si>
    <t>Cahyana</t>
  </si>
  <si>
    <t>Dede Hartanto</t>
  </si>
  <si>
    <t>Denny Achmad Ferlando</t>
  </si>
  <si>
    <t>Dian Setiawan</t>
  </si>
  <si>
    <t>Fabrian Danang Destiyara</t>
  </si>
  <si>
    <t>Ferdian Kriswantoro</t>
  </si>
  <si>
    <t>Fuzi Mafrozi</t>
  </si>
  <si>
    <t>Gilang Setiawan</t>
  </si>
  <si>
    <t>Idris Affandi</t>
  </si>
  <si>
    <t>Indra Wijaya</t>
  </si>
  <si>
    <t>Irma Maulidawati</t>
  </si>
  <si>
    <t>Istikaro Fauziah</t>
  </si>
  <si>
    <t>Muhammad Lukbani</t>
  </si>
  <si>
    <t>Muhammad Sholikhun</t>
  </si>
  <si>
    <t>Muhammad Syarifudin</t>
  </si>
  <si>
    <t>Nadia Rizkiah</t>
  </si>
  <si>
    <t>Nikko Septian</t>
  </si>
  <si>
    <t>Novizan</t>
  </si>
  <si>
    <t>Oqi Suhaqi Yunus</t>
  </si>
  <si>
    <t>Restu Dwi Anjayani</t>
  </si>
  <si>
    <t>Rizal Amri</t>
  </si>
  <si>
    <t>Ronny Anindika Arnold</t>
  </si>
  <si>
    <t>Samta Harahap</t>
  </si>
  <si>
    <t>Vingky Hendriek Yomerlin</t>
  </si>
  <si>
    <t>Wahyu Teluk Naga</t>
  </si>
  <si>
    <t>Wardah Laily Khoiriyah</t>
  </si>
  <si>
    <t>Wawan Kusworo</t>
  </si>
  <si>
    <t>Wulanraniasih</t>
  </si>
  <si>
    <t>Yogi Perbangkara</t>
  </si>
  <si>
    <t>Yusuf Fathurahman</t>
  </si>
  <si>
    <t>Zeinurani</t>
  </si>
  <si>
    <t>Sulaeman</t>
  </si>
  <si>
    <t>Agus Nuryadi</t>
  </si>
  <si>
    <t>Dian Tri Rahmawati</t>
  </si>
  <si>
    <t>Langgeng Eko Dwiantoro</t>
  </si>
  <si>
    <t>Aldi Rizaldi</t>
  </si>
  <si>
    <t>Masimin</t>
  </si>
  <si>
    <t>Santoso Dwi Cahyo</t>
  </si>
  <si>
    <t>Wartono</t>
  </si>
  <si>
    <t>Yusarman</t>
  </si>
  <si>
    <t>Abdul Rachman</t>
  </si>
  <si>
    <t>Aden Bagus</t>
  </si>
  <si>
    <t>Adhe Kurniawan</t>
  </si>
  <si>
    <t>Ahmad Fauzi</t>
  </si>
  <si>
    <t>Ahmad Gunawan</t>
  </si>
  <si>
    <t>Andri Andriyan</t>
  </si>
  <si>
    <t>Budi Sulistianto</t>
  </si>
  <si>
    <t>Eka Budi</t>
  </si>
  <si>
    <t>Haerul Gunawan</t>
  </si>
  <si>
    <t>Irvan Agus</t>
  </si>
  <si>
    <t>Joshika Pradirga</t>
  </si>
  <si>
    <t>Khaidir</t>
  </si>
  <si>
    <t>Latip Muhlanto</t>
  </si>
  <si>
    <t>Leonardo Putra</t>
  </si>
  <si>
    <t>Muhammad Ramadani</t>
  </si>
  <si>
    <t>Musdalipa</t>
  </si>
  <si>
    <t>Nico Melky</t>
  </si>
  <si>
    <t>Rahmata Novanisa</t>
  </si>
  <si>
    <t>Satrio Dhiaputra</t>
  </si>
  <si>
    <t>Sudirman</t>
  </si>
  <si>
    <t>Suparji</t>
  </si>
  <si>
    <t>Taufik Iskandar</t>
  </si>
  <si>
    <t>Tegar Hersaputra</t>
  </si>
  <si>
    <t>Togar Sihombing</t>
  </si>
  <si>
    <t>Wisnu Trenggono Wirayuda</t>
  </si>
  <si>
    <t>Yogo</t>
  </si>
  <si>
    <t>Yustiana Firda</t>
  </si>
  <si>
    <t>Zainal Abidin</t>
  </si>
  <si>
    <t>Budi Sandika</t>
  </si>
  <si>
    <t>Fachri Azhar</t>
  </si>
  <si>
    <t>Firmansyah Awaludin</t>
  </si>
  <si>
    <t>Iman Faisal Abdurahman</t>
  </si>
  <si>
    <t>Muhammad Irfan Alfikri Rayana</t>
  </si>
  <si>
    <t>Syafri Johansah</t>
  </si>
  <si>
    <t>Agus Sobar</t>
  </si>
  <si>
    <t>Ahmad Sandi Asyuri</t>
  </si>
  <si>
    <t>Andi Mapasoro</t>
  </si>
  <si>
    <t>Arie Gustaman</t>
  </si>
  <si>
    <t>Arief Yulianto</t>
  </si>
  <si>
    <t>Burhan</t>
  </si>
  <si>
    <t>Deby Syahputa</t>
  </si>
  <si>
    <t>Ibrahim Arya Yuda</t>
  </si>
  <si>
    <t>Jamil</t>
  </si>
  <si>
    <t>Kiki Prasetyo</t>
  </si>
  <si>
    <t>Mochamad Ulul Azmi Wira Utama</t>
  </si>
  <si>
    <t>Muhammad Bilal Sharony</t>
  </si>
  <si>
    <t>Muhammad Hairul</t>
  </si>
  <si>
    <t>Muhammad Rizal</t>
  </si>
  <si>
    <t>Rahmad Dwifar</t>
  </si>
  <si>
    <t>Reza Sanjaya</t>
  </si>
  <si>
    <t>Ridwan Nur Muttaqin</t>
  </si>
  <si>
    <t xml:space="preserve">Risaldi </t>
  </si>
  <si>
    <t>Risty Alawiyah</t>
  </si>
  <si>
    <t>Rustono</t>
  </si>
  <si>
    <t>Solihin</t>
  </si>
  <si>
    <t>Supriatna</t>
  </si>
  <si>
    <t>Taufik Aminudin</t>
  </si>
  <si>
    <t>Timotius Tabun</t>
  </si>
  <si>
    <t>Elisa Krisnawati</t>
  </si>
  <si>
    <t>Anda Zuchradi Dadi</t>
  </si>
  <si>
    <t>Silvia Febi Putri</t>
  </si>
  <si>
    <t>Haikal Rizky</t>
  </si>
  <si>
    <t>Muhamad Nurhamsach P</t>
  </si>
  <si>
    <t>Efrina Dwi lilia</t>
  </si>
  <si>
    <t>Muhammad Nugroho Putranto</t>
  </si>
  <si>
    <t>Dudung Syafrudin</t>
  </si>
  <si>
    <t>Saarah Andriani Retnoasih</t>
  </si>
  <si>
    <t>Muhamad Hamdan Rifa'i</t>
  </si>
  <si>
    <t>Jodie Satria Effendi</t>
  </si>
  <si>
    <t>Rachmad Sirfano</t>
  </si>
  <si>
    <t>Raka Maulana Ibrahim</t>
  </si>
  <si>
    <t>Lucky Daniansyah</t>
  </si>
  <si>
    <t>Bahyu Sanciko</t>
  </si>
  <si>
    <t>Yusman W</t>
  </si>
  <si>
    <t>Vidhy Putri Kartika</t>
  </si>
  <si>
    <t>Rohendi</t>
  </si>
  <si>
    <t>Sherly Tamira Happy</t>
  </si>
  <si>
    <t>Hernita Dwi Cahyani Putri</t>
  </si>
  <si>
    <t>Eko Kurniawan</t>
  </si>
  <si>
    <t>Dony Setiyawan</t>
  </si>
  <si>
    <t>M Ari Ardizah Nasution</t>
  </si>
  <si>
    <t>Zaire Biscaya Dite</t>
  </si>
  <si>
    <t>Fuzi Mafhrozi</t>
  </si>
  <si>
    <t>Azis Purwadana</t>
  </si>
  <si>
    <t>H.T Assubki Ismail</t>
  </si>
  <si>
    <t>Kurnia Fitriastuti</t>
  </si>
  <si>
    <t>Ilham</t>
  </si>
  <si>
    <t>Dedi Rohman</t>
  </si>
  <si>
    <t>Abd Samad</t>
  </si>
  <si>
    <t>Yustiana Firda Apriani</t>
  </si>
  <si>
    <t>Ridha Nauval S</t>
  </si>
  <si>
    <t>Joshika Pradirga Utama</t>
  </si>
  <si>
    <t>Isa Taufik</t>
  </si>
  <si>
    <t>Abdul Rachman Nur Hanafi</t>
  </si>
  <si>
    <t>Satrio Dhiaputra Prayudi</t>
  </si>
  <si>
    <t>+62 878-7792-3708</t>
  </si>
  <si>
    <t>+62 812-9397-4227</t>
  </si>
  <si>
    <t>+62 856-9401-0438</t>
  </si>
  <si>
    <t>+62 838-7009-0020</t>
  </si>
  <si>
    <t>+62 857-2162-3338</t>
  </si>
  <si>
    <t>+62 813-8428-4951</t>
  </si>
  <si>
    <t>+62 838-7375-2989</t>
  </si>
  <si>
    <t>+62 822-6092-0555</t>
  </si>
  <si>
    <t>+62 822-5131-3575</t>
  </si>
  <si>
    <t>+62 812-4519-2298</t>
  </si>
  <si>
    <t>+62 813-1422-8295</t>
  </si>
  <si>
    <t>+62 857-2881-8103</t>
  </si>
  <si>
    <t>+62 812-2491-0322</t>
  </si>
  <si>
    <t>+62 818-0691-9844</t>
  </si>
  <si>
    <t>+62 857-6021-1355</t>
  </si>
  <si>
    <t>+62 812-8884-4266</t>
  </si>
  <si>
    <t>+62 856-7124-030</t>
  </si>
  <si>
    <t>+62 821-1395-1375</t>
  </si>
  <si>
    <t>+62 852-9500-0042</t>
  </si>
  <si>
    <t>+62 812-1021-3789</t>
  </si>
  <si>
    <t>+62 813-7695-3133</t>
  </si>
  <si>
    <t>+62 811-644-913</t>
  </si>
  <si>
    <t>+62 813-1920-7116</t>
  </si>
  <si>
    <t>+62 811-9568-886</t>
  </si>
  <si>
    <t>+62 8128-2230-665</t>
  </si>
  <si>
    <t>+62 812-8744-1774</t>
  </si>
  <si>
    <t>+62 857-7048-1711</t>
  </si>
  <si>
    <t>+62 813-1690-6639</t>
  </si>
  <si>
    <t>+62 857-1519-9050</t>
  </si>
  <si>
    <t>+62 859-4561-9900</t>
  </si>
  <si>
    <t>+62 812-9902-0267</t>
  </si>
  <si>
    <t>+62 856-4156-8410</t>
  </si>
  <si>
    <t>+62 813-6291-9395</t>
  </si>
  <si>
    <t>+62 813-6193-0878</t>
  </si>
  <si>
    <t>+62 812-9102-5349</t>
  </si>
  <si>
    <t>+62 813-1818-7318</t>
  </si>
  <si>
    <t>+62 877-8419-0978</t>
  </si>
  <si>
    <t>+62 8574-1188-449</t>
  </si>
  <si>
    <t>+62 813-1846-0405</t>
  </si>
  <si>
    <t>+62 812-9586-6677</t>
  </si>
  <si>
    <t>+62 821-2144-4989</t>
  </si>
  <si>
    <t>+62 838-0664-3866</t>
  </si>
  <si>
    <t>+62 856-9438-7250</t>
  </si>
  <si>
    <t>+62 813-8432-9270</t>
  </si>
  <si>
    <t>+62 812-9912-9011</t>
  </si>
  <si>
    <t>+62 821-7308-7816</t>
  </si>
  <si>
    <t>+62 813-1886-3471</t>
  </si>
  <si>
    <t>+62 857-7326-1575</t>
  </si>
  <si>
    <t>+62 812-9699-123</t>
  </si>
  <si>
    <t>+62 895-3368-96672</t>
  </si>
  <si>
    <t>+62 812-2119-3402</t>
  </si>
  <si>
    <t>+62 877-8038-9758</t>
  </si>
  <si>
    <t>+62 821-1399-1950</t>
  </si>
  <si>
    <t>+62 813-8643-5585</t>
  </si>
  <si>
    <t>+62 813-8600-7788</t>
  </si>
  <si>
    <t>+62 813-1016-7838</t>
  </si>
  <si>
    <t>+62 813-9855-7959</t>
  </si>
  <si>
    <t>+62 853-7140-4163</t>
  </si>
  <si>
    <t>+62 812-6807-4074</t>
  </si>
  <si>
    <t>+62 857-7598-7323</t>
  </si>
  <si>
    <t>+62 822-5538-5557</t>
  </si>
  <si>
    <t>+62 812-9949-5209</t>
  </si>
  <si>
    <t>+62 812-9849-4325</t>
  </si>
  <si>
    <t>+62 812-8954-4005</t>
  </si>
  <si>
    <t>+62 821-3029-5392</t>
  </si>
  <si>
    <t>+62 813-3218-1409</t>
  </si>
  <si>
    <t>+62 813-8425-5855</t>
  </si>
  <si>
    <t>+62 821-1410-00545</t>
  </si>
  <si>
    <t>+62 851-6275-1360</t>
  </si>
  <si>
    <t>+62 856-7500-887</t>
  </si>
  <si>
    <t>+62 859-5982-2621</t>
  </si>
  <si>
    <t>+62 831-1250-5824</t>
  </si>
  <si>
    <t>+62 898-0269-288</t>
  </si>
  <si>
    <t>+62 811-1193-9034</t>
  </si>
  <si>
    <t>+62 877-4832-9110</t>
  </si>
  <si>
    <t>+62 812-8084-0848</t>
  </si>
  <si>
    <t>+62 823-3546-1142</t>
  </si>
  <si>
    <t>+62 857-4382-5555</t>
  </si>
  <si>
    <t>+62 812-1015-216</t>
  </si>
  <si>
    <t>+62 813-7544-0999</t>
  </si>
  <si>
    <t>+62 812-1320-5160</t>
  </si>
  <si>
    <t>+62 813-68061116</t>
  </si>
  <si>
    <t>+62 838-2329-6661</t>
  </si>
  <si>
    <t>Budi Rahardja</t>
  </si>
  <si>
    <t>Anna S Haryadi</t>
  </si>
  <si>
    <t>+62 817-4941-066</t>
  </si>
  <si>
    <t>+62 815-1420-0068</t>
  </si>
  <si>
    <t>Santoso Suwandi</t>
  </si>
  <si>
    <t>Priyadi</t>
  </si>
  <si>
    <t>Yusuf Iskandarsyah</t>
  </si>
  <si>
    <t>Habib Abdullah Wahab Muharram</t>
  </si>
  <si>
    <t>Andi Fathullah</t>
  </si>
  <si>
    <t>Muhayar</t>
  </si>
  <si>
    <t>Dwi Kristianto</t>
  </si>
  <si>
    <t>Jusuf Gandi Lumban Tobing</t>
  </si>
  <si>
    <t>Herman</t>
  </si>
  <si>
    <t>M Ridho Pramudia</t>
  </si>
  <si>
    <t>Binsar Hutabarat</t>
  </si>
  <si>
    <t>Jeefrianda HP. Sigalingging</t>
  </si>
  <si>
    <t>Mulyani bin H Junaidi</t>
  </si>
  <si>
    <t>Yeskiel Boki</t>
  </si>
  <si>
    <t>Dwi Joko Setio Tjaroko</t>
  </si>
  <si>
    <t>Taufiq Aminudin</t>
  </si>
  <si>
    <t>+62 896-9470-0522</t>
  </si>
  <si>
    <t>+62 857-7788-4428</t>
  </si>
  <si>
    <t>+62 812-1361-2811</t>
  </si>
  <si>
    <t>+62 895-1078-0429</t>
  </si>
  <si>
    <t>+62 813-1713-1650</t>
  </si>
  <si>
    <t>+62 813-6191-3004</t>
  </si>
  <si>
    <t>+62 813-1942-6812</t>
  </si>
  <si>
    <t>+62 821-6221-3821</t>
  </si>
  <si>
    <t>+62 823-6942-8777</t>
  </si>
  <si>
    <t>+62 856-0933-4286</t>
  </si>
  <si>
    <t>+62 878-8167-4480</t>
  </si>
  <si>
    <t>+62 811-133-616</t>
  </si>
  <si>
    <t>+62 895-0210-7482</t>
  </si>
  <si>
    <t>+62 813-8426-4004</t>
  </si>
  <si>
    <t>+62 856-7861-993</t>
  </si>
  <si>
    <t>+62 813-1095-1811</t>
  </si>
  <si>
    <t>+62 815-7300-5652</t>
  </si>
  <si>
    <t>+62 812-8098-7170</t>
  </si>
  <si>
    <t>+62 813-9623-7010</t>
  </si>
  <si>
    <t>+62 853-5998-3177</t>
  </si>
  <si>
    <t>+62 813-9722-3311</t>
  </si>
  <si>
    <t>+62 852-6129-3614</t>
  </si>
  <si>
    <t>+62 821-1481-1419</t>
  </si>
  <si>
    <t>+62 812-1387-3885</t>
  </si>
  <si>
    <t>+62 812-8588-1212</t>
  </si>
  <si>
    <t>+62 896-3212-8775</t>
  </si>
  <si>
    <t>+62 813-3820-0412</t>
  </si>
  <si>
    <t>Luthfiyyah</t>
  </si>
  <si>
    <t>Reza Novembrie</t>
  </si>
  <si>
    <t>Muhammad Diki Abdul Rahman</t>
  </si>
  <si>
    <t>Deni Setiady</t>
  </si>
  <si>
    <t>Sindy Setyaningrum</t>
  </si>
  <si>
    <t>+62 822-1915-8804</t>
  </si>
  <si>
    <t>+62 822-9981-4132</t>
  </si>
  <si>
    <t>+62 858-8167-5581</t>
  </si>
  <si>
    <t>+62 812-2528-5555</t>
  </si>
  <si>
    <t>Endang Sutrisno</t>
  </si>
  <si>
    <t>Icha Mailinda</t>
  </si>
  <si>
    <t>M Fikri Caesarandi Hasibuan</t>
  </si>
  <si>
    <t>Marthen Tabun</t>
  </si>
  <si>
    <t>T Marungkil U.S. Sagala</t>
  </si>
  <si>
    <t>Teguh Pratama Januzir</t>
  </si>
  <si>
    <t>Turita Pramuning M</t>
  </si>
  <si>
    <t>Zulfikar K Siregar IR</t>
  </si>
  <si>
    <t>+62 813-89851877</t>
  </si>
  <si>
    <t>+62 877-88980659</t>
  </si>
  <si>
    <t>+62 813-1789-7764</t>
  </si>
  <si>
    <t>+62 857-8278-6571</t>
  </si>
  <si>
    <t>+62 822-2570-8799</t>
  </si>
  <si>
    <t>+62 812-8235-6976</t>
  </si>
  <si>
    <t>+62 812-3694-9841</t>
  </si>
  <si>
    <t>+62 812-9831-1976</t>
  </si>
  <si>
    <t>+62 812-3386-8624</t>
  </si>
  <si>
    <t>+62 857-1960-7726</t>
  </si>
  <si>
    <t>+62 812-1875-9198</t>
  </si>
  <si>
    <t>+62 819-9994-5447</t>
  </si>
  <si>
    <t>+62 812-9294-620</t>
  </si>
  <si>
    <t>+62 878-8222-1308</t>
  </si>
  <si>
    <t>+62 878-8401-4359</t>
  </si>
  <si>
    <t>+62 897-7449-206</t>
  </si>
  <si>
    <t>+62 813-1132-2014</t>
  </si>
  <si>
    <t>+62 812-8002-0551</t>
  </si>
  <si>
    <t>+62 811-9728-227</t>
  </si>
  <si>
    <t>+62 812-6293-9221</t>
  </si>
  <si>
    <t>+62 852-8080-5771</t>
  </si>
  <si>
    <t>+62 812-8580-2247</t>
  </si>
  <si>
    <t>+62 812-2897-5977</t>
  </si>
  <si>
    <t>+62 815-8884-838</t>
  </si>
  <si>
    <t>+62 812-4152-1262</t>
  </si>
  <si>
    <t>+62 815-1394-8537</t>
  </si>
  <si>
    <t>+62 813-1894-0491</t>
  </si>
  <si>
    <t>+62 856-9296-5294</t>
  </si>
  <si>
    <t>+62 878-6983-2081</t>
  </si>
  <si>
    <t>+62 896-2474-6190</t>
  </si>
  <si>
    <t>+62 813-1420-5669</t>
  </si>
  <si>
    <t>+62 813-7307-5210</t>
  </si>
  <si>
    <t>+62 823-1055-5988</t>
  </si>
  <si>
    <t>+62 822-4343-9555</t>
  </si>
  <si>
    <t>+62 856-9369-4287</t>
  </si>
  <si>
    <t>+62 896-6615-1134</t>
  </si>
  <si>
    <t>+62 812-8934-9170</t>
  </si>
  <si>
    <t>+62 859-2070-7074</t>
  </si>
  <si>
    <t>+62 896-3011-7006</t>
  </si>
  <si>
    <t>+62 852-9624-8470</t>
  </si>
  <si>
    <t>+62 812-1080-840</t>
  </si>
  <si>
    <t>+62 811-1975-696</t>
  </si>
  <si>
    <t>+62 812-8425-4284</t>
  </si>
  <si>
    <t>+62 813-1458-9939</t>
  </si>
  <si>
    <t>+62 811-1137-275</t>
  </si>
  <si>
    <t>Ares S. Mauboy</t>
  </si>
  <si>
    <t>Adi</t>
  </si>
  <si>
    <t>+62 812-8326-4959</t>
  </si>
  <si>
    <t>+62 857-7006-7607</t>
  </si>
  <si>
    <t>+62 877-8435-5937</t>
  </si>
  <si>
    <t>+62 8121-8555-661</t>
  </si>
  <si>
    <t>+62 822-7398-5841</t>
  </si>
  <si>
    <t>+62 812-9465-7916</t>
  </si>
  <si>
    <t>+62 822-1385-9070</t>
  </si>
  <si>
    <t>+62 856-8100-752</t>
  </si>
  <si>
    <t>+62 838-0600-4470</t>
  </si>
  <si>
    <t>+62 831-4318-2038</t>
  </si>
  <si>
    <t>+62 819-3279-8900</t>
  </si>
  <si>
    <t>+62 896-3029-4828</t>
  </si>
  <si>
    <t>+62 858-1112-8435</t>
  </si>
  <si>
    <t>+62 896-4421-9358</t>
  </si>
  <si>
    <t>+62 857-1407-2656</t>
  </si>
  <si>
    <t>+62 812-9625-7489</t>
  </si>
  <si>
    <t>+62 812-8268-4357</t>
  </si>
  <si>
    <t>+62 821-4815-2759</t>
  </si>
  <si>
    <t>+62 812-8967-5850</t>
  </si>
  <si>
    <t>+62 822-8865-3239</t>
  </si>
  <si>
    <t>+62 813-3068-3991</t>
  </si>
  <si>
    <t>+62 856-0210-0410</t>
  </si>
  <si>
    <t>+62 896-8226-1128</t>
  </si>
  <si>
    <t>+62 812-9592-4499</t>
  </si>
  <si>
    <t>+62 812-2420-8139</t>
  </si>
  <si>
    <t>+62 818-2166-74</t>
  </si>
  <si>
    <t>Others</t>
  </si>
  <si>
    <t>Mobile Phone</t>
  </si>
  <si>
    <t>Home Phone</t>
  </si>
  <si>
    <t>Office Phone</t>
  </si>
  <si>
    <t>Faximile</t>
  </si>
  <si>
    <t>Pager</t>
  </si>
  <si>
    <t>Sys_PID</t>
  </si>
  <si>
    <t>Name</t>
  </si>
  <si>
    <t>ContactNumberType
_RefID</t>
  </si>
  <si>
    <t>Contact Number</t>
  </si>
  <si>
    <t>Holder Name</t>
  </si>
  <si>
    <t>Contact Number Extension</t>
  </si>
  <si>
    <t>DefaultEntity
_RefID</t>
  </si>
  <si>
    <t>Contact Number Type Name</t>
  </si>
  <si>
    <t>+62 857-4118-8449</t>
  </si>
  <si>
    <t>+62 812-8223-0665</t>
  </si>
  <si>
    <t>+62 895-3368-9667-2</t>
  </si>
  <si>
    <t>Anna S. Haryadi</t>
  </si>
  <si>
    <t>+62 821-1410-0054-5</t>
  </si>
  <si>
    <t>Teguh Pratama Januzir S</t>
  </si>
  <si>
    <t>+62 821-1480-0364</t>
  </si>
  <si>
    <t>Default Entity
Name</t>
  </si>
  <si>
    <t>SQL Syntax</t>
  </si>
  <si>
    <t>SYS_PID
Prediction</t>
  </si>
  <si>
    <t>+62 821-6677-0677</t>
  </si>
  <si>
    <t>PT QDC Technologies</t>
  </si>
  <si>
    <t>+62 8129-0034-845</t>
  </si>
  <si>
    <t>-</t>
  </si>
  <si>
    <t>+62 813-7833-4428</t>
  </si>
  <si>
    <t>+62 812-5641-5655</t>
  </si>
  <si>
    <t>+62 822-2026-666</t>
  </si>
  <si>
    <t>+62 852-1832-5540</t>
  </si>
  <si>
    <t>+62 812-1934-5800</t>
  </si>
  <si>
    <t>+62 811-5230-808</t>
  </si>
  <si>
    <t>+62 821-1979-9987</t>
  </si>
  <si>
    <t>+62 811-1909-4011</t>
  </si>
  <si>
    <t>+62 857-7922-5532</t>
  </si>
  <si>
    <t>+62 812-1149-2770</t>
  </si>
  <si>
    <t>+62 821-1478-0437</t>
  </si>
  <si>
    <t>+62 858-8881-3384</t>
  </si>
  <si>
    <t>+62 813-4535-4141</t>
  </si>
  <si>
    <t>+62 813-7337-8718</t>
  </si>
  <si>
    <t>+62 813-1177-7617</t>
  </si>
  <si>
    <t>+62 878-7085-9703</t>
  </si>
  <si>
    <t>+62 852-8108-4519</t>
  </si>
  <si>
    <t>+62 858-4523-2634</t>
  </si>
  <si>
    <t>+62 852-2525-1202</t>
  </si>
  <si>
    <t>+62 812-2345-756</t>
  </si>
  <si>
    <t>+62 821-1470-9818</t>
  </si>
  <si>
    <t>+62 811-977-381</t>
  </si>
  <si>
    <t>+62 811-1350-4001</t>
  </si>
  <si>
    <t>+62 877-8011-7878</t>
  </si>
  <si>
    <t>+62 859-3927-6314</t>
  </si>
  <si>
    <t>+62 856-2515-327</t>
  </si>
  <si>
    <t>+62 822-5880-3066</t>
  </si>
  <si>
    <t>+62 812-7566-0605</t>
  </si>
  <si>
    <t>+62 823-9137-2798</t>
  </si>
  <si>
    <t>+62 812-6639-9939</t>
  </si>
  <si>
    <t>+62 813-6507-1396</t>
  </si>
  <si>
    <t>+62 813-3837-6453</t>
  </si>
  <si>
    <t>+62 813-8698-7295</t>
  </si>
  <si>
    <t>+62 813-2200-7288</t>
  </si>
  <si>
    <t>+62 821-7172-5995</t>
  </si>
  <si>
    <t>+62 813-7288-2518</t>
  </si>
  <si>
    <t>+62 852-3319-1162</t>
  </si>
  <si>
    <t>Fransisca</t>
  </si>
  <si>
    <t>Alodia</t>
  </si>
  <si>
    <t>Leonardo Sampetoding</t>
  </si>
  <si>
    <t>Sugito</t>
  </si>
  <si>
    <t>Atikah Harahap / Ikhwan</t>
  </si>
  <si>
    <t>Maxcell Online Service</t>
  </si>
  <si>
    <t>DnD Survey Bandung</t>
  </si>
  <si>
    <t>Fairuz</t>
  </si>
  <si>
    <t>Nur Excellog</t>
  </si>
  <si>
    <t>Edi Nuryanto</t>
  </si>
  <si>
    <t>Priyo Handoko</t>
  </si>
  <si>
    <t>Wartim</t>
  </si>
  <si>
    <t>Rahmat Rasyid</t>
  </si>
  <si>
    <t>Hairul Amirudin</t>
  </si>
  <si>
    <t>Sigit</t>
  </si>
  <si>
    <t>Ninum</t>
  </si>
  <si>
    <t>Karyadi</t>
  </si>
  <si>
    <t>Musdalifah</t>
  </si>
  <si>
    <t>Annisa</t>
  </si>
  <si>
    <t>Rosid</t>
  </si>
  <si>
    <t>Heri</t>
  </si>
  <si>
    <t>Kian Fung</t>
  </si>
  <si>
    <t>Ishak</t>
  </si>
  <si>
    <t>Ira</t>
  </si>
  <si>
    <t>Eswin Gozali</t>
  </si>
  <si>
    <t>Evi Sinaga</t>
  </si>
  <si>
    <t>Juana/Erwin</t>
  </si>
  <si>
    <t>Shira</t>
  </si>
  <si>
    <t>Admin</t>
  </si>
  <si>
    <t>PT. Agape Biomedi Investa</t>
  </si>
  <si>
    <t>Syaeful Basar</t>
  </si>
  <si>
    <t>Reza Saputra</t>
  </si>
  <si>
    <t>Bp Hafiz</t>
  </si>
  <si>
    <t>Yehezkiel Yosafat</t>
  </si>
  <si>
    <t>Ihsan</t>
  </si>
  <si>
    <t>Teddy</t>
  </si>
  <si>
    <t>Resky</t>
  </si>
  <si>
    <t>Fery</t>
  </si>
  <si>
    <t>Eva</t>
  </si>
  <si>
    <t>Intan / Dila</t>
  </si>
  <si>
    <t>Pemuda</t>
  </si>
  <si>
    <t>Sigit Koencoro</t>
  </si>
  <si>
    <t>Deni</t>
  </si>
  <si>
    <t>Budi Lim</t>
  </si>
  <si>
    <t>Zulkifli Z</t>
  </si>
  <si>
    <t>Agus Sunarto</t>
  </si>
  <si>
    <t>Inggrid</t>
  </si>
  <si>
    <t>Mona</t>
  </si>
  <si>
    <t>Solehan</t>
  </si>
  <si>
    <t>Indro</t>
  </si>
  <si>
    <t>Fajar</t>
  </si>
  <si>
    <t>Dewi</t>
  </si>
  <si>
    <t>Heri Pradana</t>
  </si>
  <si>
    <t>Lia Rifky</t>
  </si>
  <si>
    <t>Devi</t>
  </si>
  <si>
    <t>Ricky</t>
  </si>
  <si>
    <t>Yopi</t>
  </si>
  <si>
    <t>PT. Gerindo Tehnik</t>
  </si>
  <si>
    <t>Jefry</t>
  </si>
  <si>
    <t>Susan</t>
  </si>
  <si>
    <t>Fauzan</t>
  </si>
  <si>
    <t>Rangga</t>
  </si>
  <si>
    <t>Fendi</t>
  </si>
  <si>
    <t>Yuni / Lufi</t>
  </si>
  <si>
    <t>Eddy</t>
  </si>
  <si>
    <t>Reza</t>
  </si>
  <si>
    <t>Handy Thomas</t>
  </si>
  <si>
    <t>Yuliarno</t>
  </si>
  <si>
    <t>Dede Suhendra</t>
  </si>
  <si>
    <t>Risda</t>
  </si>
  <si>
    <t>Galih</t>
  </si>
  <si>
    <t>Kawan Kita</t>
  </si>
  <si>
    <t>Aini</t>
  </si>
  <si>
    <t>Dini</t>
  </si>
  <si>
    <t>Lukman</t>
  </si>
  <si>
    <t>Cici</t>
  </si>
  <si>
    <t>Rikah</t>
  </si>
  <si>
    <t>Boy</t>
  </si>
  <si>
    <t>Eny</t>
  </si>
  <si>
    <t>Andrianna</t>
  </si>
  <si>
    <t>Arie Tri</t>
  </si>
  <si>
    <t>Vivi</t>
  </si>
  <si>
    <t>Hendyono Sasongko</t>
  </si>
  <si>
    <t>Teddy Kurniawan</t>
  </si>
  <si>
    <t>Rizky</t>
  </si>
  <si>
    <t>Dewi Kusuma</t>
  </si>
  <si>
    <t>Ibu Diah</t>
  </si>
  <si>
    <t>Agus Fatoni</t>
  </si>
  <si>
    <t>Nurhaeni</t>
  </si>
  <si>
    <t>Diah</t>
  </si>
  <si>
    <t>Theo</t>
  </si>
  <si>
    <t>Dyan Parardyo</t>
  </si>
  <si>
    <t>Iwan Mulyono</t>
  </si>
  <si>
    <t>Agus Priyanto</t>
  </si>
  <si>
    <t>Sifa</t>
  </si>
  <si>
    <t>Markom</t>
  </si>
  <si>
    <t>Adie</t>
  </si>
  <si>
    <t>Reza Demiral</t>
  </si>
  <si>
    <t>Ariawan Jatikusumo</t>
  </si>
  <si>
    <t>Honorius</t>
  </si>
  <si>
    <t>Yatno</t>
  </si>
  <si>
    <t>Chayadi Subrata</t>
  </si>
  <si>
    <t>Nugroho Wisnu</t>
  </si>
  <si>
    <t>Budi</t>
  </si>
  <si>
    <t>Insan Kurniawan</t>
  </si>
  <si>
    <t>Dian</t>
  </si>
  <si>
    <t>Agung Bagus Yulianto</t>
  </si>
  <si>
    <t>Masyudi</t>
  </si>
  <si>
    <t>Shela</t>
  </si>
  <si>
    <t>Dedi</t>
  </si>
  <si>
    <t>Mahdan</t>
  </si>
  <si>
    <t>Ahmad</t>
  </si>
  <si>
    <t>Mala</t>
  </si>
  <si>
    <t>Vikri</t>
  </si>
  <si>
    <t>Ketut Suada</t>
  </si>
  <si>
    <t>Robert</t>
  </si>
  <si>
    <t>Engel</t>
  </si>
  <si>
    <t>Edy Surya Tarigan</t>
  </si>
  <si>
    <t>Reki</t>
  </si>
  <si>
    <t>Lina</t>
  </si>
  <si>
    <t>Herry</t>
  </si>
  <si>
    <t>Titi suprapti</t>
  </si>
  <si>
    <t>Wahyu R BRI PLN Pusat</t>
  </si>
  <si>
    <t>Ruwanto</t>
  </si>
  <si>
    <t>Robby</t>
  </si>
  <si>
    <t>Widyanto</t>
  </si>
  <si>
    <t>Albert Pranata Wijaya</t>
  </si>
  <si>
    <t>Asep</t>
  </si>
  <si>
    <t>Ahmad Hafi Badali</t>
  </si>
  <si>
    <t>Martinus Angga</t>
  </si>
  <si>
    <t>Anggun</t>
  </si>
  <si>
    <t>Maldini</t>
  </si>
  <si>
    <t>Jenly Bentley Rokot</t>
  </si>
  <si>
    <t>Nyoto Dedi Hartono</t>
  </si>
  <si>
    <t>Abdurrahman</t>
  </si>
  <si>
    <t>Go Sun Chen</t>
  </si>
  <si>
    <t>Sabinah Budiman</t>
  </si>
  <si>
    <t>Ariyati</t>
  </si>
  <si>
    <t>Olivia</t>
  </si>
  <si>
    <t>Yohannes Padidi</t>
  </si>
  <si>
    <t>Michael Manalu, ST</t>
  </si>
  <si>
    <t>Surya Pitono</t>
  </si>
  <si>
    <t>Suwandi</t>
  </si>
  <si>
    <t>Rozak</t>
  </si>
  <si>
    <t>Djohan Halim</t>
  </si>
  <si>
    <t>Muhammad Amin</t>
  </si>
  <si>
    <t>Ismail</t>
  </si>
  <si>
    <t>Apriati Isna Mulia</t>
  </si>
  <si>
    <t>Afrizal</t>
  </si>
  <si>
    <t>Yayang</t>
  </si>
  <si>
    <t>Bayu</t>
  </si>
  <si>
    <t>Rizal</t>
  </si>
  <si>
    <t>Siaubie</t>
  </si>
  <si>
    <t>Syafir Ottong</t>
  </si>
  <si>
    <t>Silvia Wijaya</t>
  </si>
  <si>
    <t>Rahman</t>
  </si>
  <si>
    <t>Roy Lieswan</t>
  </si>
  <si>
    <t>Suryanto</t>
  </si>
  <si>
    <t>Suroto</t>
  </si>
  <si>
    <t>Mindar Gorat</t>
  </si>
  <si>
    <t>Ridwanudin</t>
  </si>
  <si>
    <t>Glodok Diesel</t>
  </si>
  <si>
    <t>Abd Karim</t>
  </si>
  <si>
    <t>Adi Sutrisno</t>
  </si>
  <si>
    <t>Ahmad Sholeh</t>
  </si>
  <si>
    <t>Ajay</t>
  </si>
  <si>
    <t>Dani</t>
  </si>
  <si>
    <t>Alimuddin</t>
  </si>
  <si>
    <t>Ari Setiawan</t>
  </si>
  <si>
    <t>Baharuddin</t>
  </si>
  <si>
    <t>Burhanudin</t>
  </si>
  <si>
    <t>Effendi</t>
  </si>
  <si>
    <t>Dwi Trisno Utomo</t>
  </si>
  <si>
    <t>Erizal</t>
  </si>
  <si>
    <t>Harno</t>
  </si>
  <si>
    <t>Haswanuddin</t>
  </si>
  <si>
    <t>Heryanto Tanjong</t>
  </si>
  <si>
    <t>Jaelani W</t>
  </si>
  <si>
    <t>Jusrial</t>
  </si>
  <si>
    <t>Kasiyono</t>
  </si>
  <si>
    <t>Lulus Pastiono</t>
  </si>
  <si>
    <t>Moh Agus Muslimin</t>
  </si>
  <si>
    <t>Muh Amir Pasang</t>
  </si>
  <si>
    <t>Muntaji</t>
  </si>
  <si>
    <t>Nanda</t>
  </si>
  <si>
    <t>Nardi Bin Suwirto</t>
  </si>
  <si>
    <t>Pirmansyah</t>
  </si>
  <si>
    <t>Pristianda Erwin Pauzi</t>
  </si>
  <si>
    <t>Priyo</t>
  </si>
  <si>
    <t>Ricardo</t>
  </si>
  <si>
    <t>Ryan</t>
  </si>
  <si>
    <t>Sattria</t>
  </si>
  <si>
    <t>Solikhin</t>
  </si>
  <si>
    <t>Suhendri</t>
  </si>
  <si>
    <t>Sunardi</t>
  </si>
  <si>
    <t>Suprianto</t>
  </si>
  <si>
    <t>Susanto</t>
  </si>
  <si>
    <t>Sutikno</t>
  </si>
  <si>
    <t>Sutoyo Bin Durajak</t>
  </si>
  <si>
    <t>Suwarjono</t>
  </si>
  <si>
    <t>Suyoto</t>
  </si>
  <si>
    <t>Yudhi</t>
  </si>
  <si>
    <t>Usman</t>
  </si>
  <si>
    <t>Yeyet</t>
  </si>
  <si>
    <t>Yosefa Trisna Aroma Furi</t>
  </si>
  <si>
    <t>Ade</t>
  </si>
  <si>
    <t>Aef</t>
  </si>
  <si>
    <t>Agung Pranata</t>
  </si>
  <si>
    <t>Ridho - Staff Ahmad Hamid</t>
  </si>
  <si>
    <t>Ahmad Suhadi</t>
  </si>
  <si>
    <t>Ali Mufti</t>
  </si>
  <si>
    <t>Ali</t>
  </si>
  <si>
    <t>Iwan Ridwan Taufiq</t>
  </si>
  <si>
    <t>Arsyad</t>
  </si>
  <si>
    <t>Lusi Andriani</t>
  </si>
  <si>
    <t>Dahrul</t>
  </si>
  <si>
    <t>Yunsar</t>
  </si>
  <si>
    <t>Bustami</t>
  </si>
  <si>
    <t>Rezza</t>
  </si>
  <si>
    <t>Darmawan Dwi Sanjaya</t>
  </si>
  <si>
    <t>Devit Kustianto</t>
  </si>
  <si>
    <t>Didik Haryadi</t>
  </si>
  <si>
    <t>Didin</t>
  </si>
  <si>
    <t>Dodi</t>
  </si>
  <si>
    <t>Dwi Hariyanto</t>
  </si>
  <si>
    <t>Eda Hartini</t>
  </si>
  <si>
    <t>Erie</t>
  </si>
  <si>
    <t>Etty Irawaty</t>
  </si>
  <si>
    <t>Arifin</t>
  </si>
  <si>
    <t>H. Juhriyanto</t>
  </si>
  <si>
    <t>Haerudin</t>
  </si>
  <si>
    <t>Hajaratul Aswad</t>
  </si>
  <si>
    <t>Hajrawati</t>
  </si>
  <si>
    <t>Hanafi</t>
  </si>
  <si>
    <t>Harun</t>
  </si>
  <si>
    <t>Hasnida</t>
  </si>
  <si>
    <t>Ignatius Hadi</t>
  </si>
  <si>
    <t>Herdi</t>
  </si>
  <si>
    <t>Holid gilpani</t>
  </si>
  <si>
    <t>Ikhwan</t>
  </si>
  <si>
    <t>Purba</t>
  </si>
  <si>
    <t>Irma</t>
  </si>
  <si>
    <t>Istanto alias Wito</t>
  </si>
  <si>
    <t>Kamil</t>
  </si>
  <si>
    <t>Fangiwati Chandra</t>
  </si>
  <si>
    <t>Novriesco Aichiro</t>
  </si>
  <si>
    <t>Marhaeni</t>
  </si>
  <si>
    <t>Mudji</t>
  </si>
  <si>
    <t>Mukhlas</t>
  </si>
  <si>
    <t>Musdawaty</t>
  </si>
  <si>
    <t>Mustakim</t>
  </si>
  <si>
    <t>Mastari</t>
  </si>
  <si>
    <t>Narkum</t>
  </si>
  <si>
    <t>Neny Suissa Sitorus</t>
  </si>
  <si>
    <t>Oscar</t>
  </si>
  <si>
    <t>Pardi</t>
  </si>
  <si>
    <t>Customer Service</t>
  </si>
  <si>
    <t>Poli Lab MCU</t>
  </si>
  <si>
    <t>Rudi Hardianto</t>
  </si>
  <si>
    <t>Mr. Hong Jin</t>
  </si>
  <si>
    <t>Suci Nurul Utami Putri</t>
  </si>
  <si>
    <t>Suparno</t>
  </si>
  <si>
    <t>Surnadi</t>
  </si>
  <si>
    <t>Syahrian</t>
  </si>
  <si>
    <t>Tjoe Tjhoen Song</t>
  </si>
  <si>
    <t>+62 811-412-9780</t>
  </si>
  <si>
    <t>+62 813-5600-0488</t>
  </si>
  <si>
    <t>+62 812-9900-0537</t>
  </si>
  <si>
    <t>+62 811-2110-0020</t>
  </si>
  <si>
    <t>+62 811-877-1506</t>
  </si>
  <si>
    <t>+62 821-3799-9898</t>
  </si>
  <si>
    <t>+62 821-1616-7001</t>
  </si>
  <si>
    <t>+62 821-2990-0025</t>
  </si>
  <si>
    <t>+62 813-4970-3982</t>
  </si>
  <si>
    <t>+62 813-4924-6427</t>
  </si>
  <si>
    <t>+62 838-9116-5959</t>
  </si>
  <si>
    <t>+62 822-5401-6520</t>
  </si>
  <si>
    <t>+62 852-1586-6584</t>
  </si>
  <si>
    <t>+62 812-5640-4650</t>
  </si>
  <si>
    <t>+62 852-1771-8198</t>
  </si>
  <si>
    <t>+62 821-8773-9295</t>
  </si>
  <si>
    <t>+62 813-4190-5779</t>
  </si>
  <si>
    <t>+62 812-9570-9029</t>
  </si>
  <si>
    <t>+62 812-2263-1116</t>
  </si>
  <si>
    <t>+62 811-9650-3201</t>
  </si>
  <si>
    <t>+62 822-9988-8008</t>
  </si>
  <si>
    <t>+62 812-8995-6068</t>
  </si>
  <si>
    <t>+62 812-8772-5891</t>
  </si>
  <si>
    <t>+62 812-5738-2550</t>
  </si>
  <si>
    <t>+62 812-8000-0630</t>
  </si>
  <si>
    <t>+62 821-1954-1973</t>
  </si>
  <si>
    <t>+62 815-2858-8393</t>
  </si>
  <si>
    <t>+62 896-6572-9507</t>
  </si>
  <si>
    <t>+62 812-7080-6138</t>
  </si>
  <si>
    <t>+62 812-9655-7850</t>
  </si>
  <si>
    <t>+62 821-1335-0950</t>
  </si>
  <si>
    <t>+62 812-1666-7883</t>
  </si>
  <si>
    <t>+62 812-5433-771</t>
  </si>
  <si>
    <t>+62 811-941-041</t>
  </si>
  <si>
    <t>Yani</t>
  </si>
  <si>
    <t>+62 818-411-633</t>
  </si>
  <si>
    <t>+62 813-1563-1589</t>
  </si>
  <si>
    <t>+62 816-1190-727</t>
  </si>
  <si>
    <t>+62 852-3066-6608</t>
  </si>
  <si>
    <t>+62 821-3360-0500</t>
  </si>
  <si>
    <t>+62 811-193-696</t>
  </si>
  <si>
    <t>+62 812-1394-4868</t>
  </si>
  <si>
    <t>+62 877-7770-7997</t>
  </si>
  <si>
    <t>+62 812-8800-4099</t>
  </si>
  <si>
    <t>+62 819-1000-8660</t>
  </si>
  <si>
    <t>+62 812-1378-9796</t>
  </si>
  <si>
    <t>+62 852-4928-6029</t>
  </si>
  <si>
    <t>+62 812-2925-5561</t>
  </si>
  <si>
    <t>+62 812-5443-2465</t>
  </si>
  <si>
    <t>+62 852-5183-8177</t>
  </si>
  <si>
    <t>+62 813-7496-6558</t>
  </si>
  <si>
    <t>+62 852-2750-4400</t>
  </si>
  <si>
    <t>+62 821-5878-7635</t>
  </si>
  <si>
    <t>+62 811-9897-820</t>
  </si>
  <si>
    <t>+62 812-6865-2373</t>
  </si>
  <si>
    <t>+62 851-2619-9395</t>
  </si>
  <si>
    <t>+62 859-7597-3027</t>
  </si>
  <si>
    <t>+62 813-1067-7754</t>
  </si>
  <si>
    <t>+62 821-2308-9655</t>
  </si>
  <si>
    <t>+62 852-5516-0961</t>
  </si>
  <si>
    <t>+62 821-4999-9290</t>
  </si>
  <si>
    <t>+62 812-5116-2446</t>
  </si>
  <si>
    <t>+62 838-7314-3615</t>
  </si>
  <si>
    <t>+62 812-9122-8186</t>
  </si>
  <si>
    <t>+62 852-6065-7666</t>
  </si>
  <si>
    <t>+62 813-1413-0158</t>
  </si>
  <si>
    <t>+62 852-7711-5058</t>
  </si>
  <si>
    <t>+62 859-6634-4195</t>
  </si>
  <si>
    <t>+62 812-6878-8809</t>
  </si>
  <si>
    <t>+62 822-4970-0074</t>
  </si>
  <si>
    <t>+62 853-5989-1916</t>
  </si>
  <si>
    <t>+62 812-9828-0909</t>
  </si>
  <si>
    <t>+62 813-8053-6580</t>
  </si>
  <si>
    <t>+62 812-7717-8717</t>
  </si>
  <si>
    <t>+62 822-5274-8523</t>
  </si>
  <si>
    <t>+62 853-5033-4280</t>
  </si>
  <si>
    <t>+62 822-9285-2219</t>
  </si>
  <si>
    <t>+62 852-8889-7838</t>
  </si>
  <si>
    <t>+62 817-115-233</t>
  </si>
  <si>
    <t>+62 898-8054-747</t>
  </si>
  <si>
    <t>+62 823-8223-5945</t>
  </si>
  <si>
    <t>+62 815-6729-483</t>
  </si>
  <si>
    <t>+62 853-1290-4492</t>
  </si>
  <si>
    <t>+62 821-2523-7484</t>
  </si>
  <si>
    <t>+62 821-5324-1982</t>
  </si>
  <si>
    <t>+62 877-7154-7377</t>
  </si>
  <si>
    <t>+62 812-8544-1428</t>
  </si>
  <si>
    <t>+62 811-753-790</t>
  </si>
  <si>
    <t>+62 822-6846-3939</t>
  </si>
  <si>
    <t>+62 812-1037-4952</t>
  </si>
  <si>
    <t>+62 852-7119-6661</t>
  </si>
  <si>
    <t>+62 813-1620-2066</t>
  </si>
  <si>
    <t>+62 881-1508-382</t>
  </si>
  <si>
    <t>+62 813-9948-2959</t>
  </si>
  <si>
    <t>+62 853-7552-2377</t>
  </si>
  <si>
    <t>+62 853-4111-1177</t>
  </si>
  <si>
    <t>+62 853-4146-4279</t>
  </si>
  <si>
    <t>+62 813-6530-7579</t>
  </si>
  <si>
    <t>+62 812-7683-597</t>
  </si>
  <si>
    <t>+62 822-1739-9469</t>
  </si>
  <si>
    <t>+62 812-5730-0560</t>
  </si>
  <si>
    <t>+62 858-2209-6026</t>
  </si>
  <si>
    <t>+62 821-3305-5222</t>
  </si>
  <si>
    <t>+62 821-5464-1078</t>
  </si>
  <si>
    <t>+62 853-7777-5752</t>
  </si>
  <si>
    <t>+62 812-2352-0000</t>
  </si>
  <si>
    <t>+62 (0292) 421-004</t>
  </si>
  <si>
    <t>+62 (0778) 480-4597</t>
  </si>
  <si>
    <t>+62 (0405) 232-1042</t>
  </si>
  <si>
    <t>+62 821-5862-1819</t>
  </si>
  <si>
    <t>+62 859-7473-1474</t>
  </si>
  <si>
    <t>+62 812-1560-8000</t>
  </si>
  <si>
    <t>+62 852-1741-3909</t>
  </si>
  <si>
    <t>+62 812-4585-0679</t>
  </si>
  <si>
    <t>+62 853-4800-2680</t>
  </si>
  <si>
    <t>+62 853-9915-2090</t>
  </si>
  <si>
    <t>+62 (0292) 421-397</t>
  </si>
  <si>
    <t>+62 813-4034-5555</t>
  </si>
  <si>
    <t>+62 823-5121-5392</t>
  </si>
  <si>
    <t>+62 812-4261-8199</t>
  </si>
  <si>
    <t>+62 822-4968-4303</t>
  </si>
  <si>
    <t>+86 (133) 974-998-64</t>
  </si>
  <si>
    <t>+62 852-8088-8411</t>
  </si>
  <si>
    <t>+62 821-9186-2038</t>
  </si>
  <si>
    <t>+62 823-6336-6104</t>
  </si>
  <si>
    <t>+62 822-5967-9591</t>
  </si>
  <si>
    <t>+62 812-8287-4422</t>
  </si>
  <si>
    <t>+62 878-7136-0918</t>
  </si>
  <si>
    <t>+62 819-0505-4148</t>
  </si>
  <si>
    <t>+62 852-5524-1523</t>
  </si>
  <si>
    <t>+62 877-5447-5373</t>
  </si>
  <si>
    <t xml:space="preserve">+62 813-1490-4159 </t>
  </si>
  <si>
    <t>+62 812-2157-2668</t>
  </si>
  <si>
    <t>+62 (021) 319-348-25</t>
  </si>
  <si>
    <t>+62 815-2899-5211</t>
  </si>
  <si>
    <t>+62 (021) 319-371-48</t>
  </si>
  <si>
    <t>+62 813-8827-2713</t>
  </si>
  <si>
    <t>+62 (021) 888-650-32</t>
  </si>
  <si>
    <t xml:space="preserve">+62 812-3037-1112 </t>
  </si>
  <si>
    <t>+62 813-8182-8537</t>
  </si>
  <si>
    <t>+62 813-7142-8400</t>
  </si>
  <si>
    <t>+62 813-1187-3910</t>
  </si>
  <si>
    <t>+62 822-8555-7077</t>
  </si>
  <si>
    <t>+62 813-1471-2177</t>
  </si>
  <si>
    <t>+62 853-1312-5585</t>
  </si>
  <si>
    <t>+62 852-1211-9241</t>
  </si>
  <si>
    <t>+62 813-8806-3146</t>
  </si>
  <si>
    <t>+62 895-3248-4184-1</t>
  </si>
  <si>
    <t>Teguh Ari wibowo</t>
  </si>
  <si>
    <t>+62 823-1707-4886</t>
  </si>
  <si>
    <t>+62 822-940606686</t>
  </si>
  <si>
    <t>+62 812-9395-0080</t>
  </si>
  <si>
    <t>+62 878-6531-3633</t>
  </si>
  <si>
    <t>+62 812-9443-5775</t>
  </si>
  <si>
    <t>+62 819-3144-8554</t>
  </si>
  <si>
    <t>+62 813-5027-6481</t>
  </si>
  <si>
    <t>+62 882-9468-4138</t>
  </si>
  <si>
    <t>+62 812-6652-3419</t>
  </si>
  <si>
    <t>+62 821-3870-3832</t>
  </si>
  <si>
    <t>+62 813-1788-3839</t>
  </si>
  <si>
    <t>+62 823-2381-6333</t>
  </si>
  <si>
    <t>+62 813-6555-9618</t>
  </si>
  <si>
    <t>+62 821-4242-4216</t>
  </si>
  <si>
    <t>+62 853-1796-2234</t>
  </si>
  <si>
    <t>+62 852-4277-1124</t>
  </si>
  <si>
    <t>+62 853-3857-3116</t>
  </si>
  <si>
    <t>+62 812-2702-6200</t>
  </si>
  <si>
    <t>+62 882-0153-86047</t>
  </si>
  <si>
    <t>+62 858-9432-7516</t>
  </si>
  <si>
    <t>+62 878-2002-0484</t>
  </si>
  <si>
    <t>+62 857-594-47668</t>
  </si>
  <si>
    <t>+62 813-1961-4973</t>
  </si>
  <si>
    <t>+62 821-4100-0545</t>
  </si>
  <si>
    <t>+62 852-4985-9628</t>
  </si>
  <si>
    <t>+62 821-5719-23000</t>
  </si>
  <si>
    <t>+62 877-7893-0682</t>
  </si>
  <si>
    <t>Balduin Situmorang</t>
  </si>
  <si>
    <t>Budi Prihatin</t>
  </si>
  <si>
    <t>Galih Ramadhan</t>
  </si>
  <si>
    <t>Iwan Risnawan</t>
  </si>
  <si>
    <t>M. Nasir</t>
  </si>
  <si>
    <t>Maikel</t>
  </si>
  <si>
    <t>Muchribian Novianto</t>
  </si>
  <si>
    <t>Zepridani M. K.</t>
  </si>
  <si>
    <t>+62 (021) 624-2341</t>
  </si>
  <si>
    <t>+62 811-158-1199</t>
  </si>
  <si>
    <t>+62 878-8569-0291</t>
  </si>
  <si>
    <t>+62 821-9075-1388</t>
  </si>
  <si>
    <t>+62 823-8992-2255</t>
  </si>
  <si>
    <t>+62 823-4745-3535</t>
  </si>
  <si>
    <t>+62 821-9075-1789</t>
  </si>
  <si>
    <t>+62 852-4180-8527</t>
  </si>
  <si>
    <t>+62 812-6868-360</t>
  </si>
  <si>
    <t>+62 812-8408-041</t>
  </si>
  <si>
    <t>+62 (021) 780-6415</t>
  </si>
  <si>
    <t>+62 813-7274-7194</t>
  </si>
  <si>
    <t>+62 852-1859-5053</t>
  </si>
  <si>
    <t>+62 823-8611-8522</t>
  </si>
  <si>
    <t>+62 821-1303-2738</t>
  </si>
  <si>
    <t>+62 823-4944-4545</t>
  </si>
  <si>
    <t xml:space="preserve">+62 (021) 612-1293 </t>
  </si>
  <si>
    <t xml:space="preserve">+62 (021) 612-1292       </t>
  </si>
  <si>
    <t>+62 856-4375-6205</t>
  </si>
  <si>
    <t>+62 (021) 316-0282</t>
  </si>
  <si>
    <t>+62 819-1301-2150</t>
  </si>
  <si>
    <t>+62 (021) 622-010-83</t>
  </si>
  <si>
    <t>+62 851-0035-1415</t>
  </si>
  <si>
    <t>+62 878-8508-0973</t>
  </si>
  <si>
    <t>+62 878-2404-5968</t>
  </si>
  <si>
    <t>+62 821-5932-9476</t>
  </si>
  <si>
    <t>+62 821-6558-8600</t>
  </si>
  <si>
    <t>+62 821-2121-5018</t>
  </si>
  <si>
    <t>+62 878-3940-8562</t>
  </si>
  <si>
    <t>+62 852-2229-4833</t>
  </si>
  <si>
    <t>+62 856-5493-1726</t>
  </si>
  <si>
    <t>+62 852-4231-6821</t>
  </si>
  <si>
    <t>Salsa</t>
  </si>
  <si>
    <t>+62 813-4914-0290</t>
  </si>
  <si>
    <t>+62 (0401) 312-2812</t>
  </si>
  <si>
    <t>+62 812-1899-6521</t>
  </si>
  <si>
    <t>+62 (021) 725-5924</t>
  </si>
  <si>
    <t>+62 (021) 725-5968</t>
  </si>
  <si>
    <t>+62 821-2435-5468</t>
  </si>
  <si>
    <t>+62 812-841-5148</t>
  </si>
  <si>
    <t>+62 812-507-4883</t>
  </si>
  <si>
    <t>+62 (021) 798-2034</t>
  </si>
  <si>
    <t>+62 (021) 790-0034</t>
  </si>
  <si>
    <t>+62 (021) 527-9325</t>
  </si>
  <si>
    <t>+62 (021) 527-9324</t>
  </si>
  <si>
    <t>+62 (021) 527-9318</t>
  </si>
  <si>
    <t>+62 (021) 527-9319</t>
  </si>
  <si>
    <t>+62 (021) 527-9320</t>
  </si>
  <si>
    <t>+62 (021) 527-9321</t>
  </si>
  <si>
    <t>+62 (021) 527-9322</t>
  </si>
  <si>
    <t>+62 (021) 527-9323</t>
  </si>
  <si>
    <t>+62 812-2505-5287</t>
  </si>
  <si>
    <t>+62 (021) 797-1153</t>
  </si>
  <si>
    <t>+62 (021) 797-1190</t>
  </si>
  <si>
    <t>PLN (Persero) Pusat Sertifikasi</t>
  </si>
  <si>
    <t>+62 (021) 460-1733</t>
  </si>
  <si>
    <t>+62 (021) 461-0588</t>
  </si>
  <si>
    <t>+62 818-735-222</t>
  </si>
  <si>
    <t xml:space="preserve">+62 811-895-789     </t>
  </si>
  <si>
    <t>+62 (0761) 440-00</t>
  </si>
  <si>
    <t>+62 (0761) 441-55</t>
  </si>
  <si>
    <t>+62 (021) 823-0525</t>
  </si>
  <si>
    <t>+62 (021) 823-0526</t>
  </si>
  <si>
    <t>+62 (021) 790-0088</t>
  </si>
  <si>
    <t>+62 853-5993-6053</t>
  </si>
  <si>
    <t>+62 815-8655-8899</t>
  </si>
  <si>
    <t>+62 (021) 668-4848</t>
  </si>
  <si>
    <t>+62 813-1526-3086</t>
  </si>
  <si>
    <t>+62 (021) 255-467-00</t>
  </si>
  <si>
    <t>+62 856-9714-7754</t>
  </si>
  <si>
    <t>+62 (031) 749-1125</t>
  </si>
  <si>
    <t>+62 (031) 748-2568</t>
  </si>
  <si>
    <t>+62 (021) 585-5064</t>
  </si>
  <si>
    <t>+62 (021) 585-4077</t>
  </si>
  <si>
    <t>+62 (021) 587-4532</t>
  </si>
  <si>
    <t>+62 811-9210-031</t>
  </si>
  <si>
    <t>+62 (021) 290-535-95</t>
  </si>
  <si>
    <t>+62 (021) 897-489</t>
  </si>
  <si>
    <t>M. Alu Mukti</t>
  </si>
  <si>
    <t>+62 817-721-213</t>
  </si>
  <si>
    <t>+62 812-1225-2501</t>
  </si>
  <si>
    <t>+62 853-7777-022</t>
  </si>
  <si>
    <t>+62 822-5336-0516</t>
  </si>
  <si>
    <t>+62 813-5277-8784</t>
  </si>
  <si>
    <t>+62 857-8741-2872</t>
  </si>
  <si>
    <t>+62 (021) 245-552-44</t>
  </si>
  <si>
    <t>+62 (021) 245-551-00</t>
  </si>
  <si>
    <t>Martinus Lase</t>
  </si>
  <si>
    <t>+62 821-2351-0899</t>
  </si>
  <si>
    <t>+62 812-8496-2128</t>
  </si>
  <si>
    <t>+62 (021) 750-4406</t>
  </si>
  <si>
    <t>+62 811-333-799</t>
  </si>
  <si>
    <t>+62 812-1381-9639</t>
  </si>
  <si>
    <t>Chodrin Butarbutar</t>
  </si>
  <si>
    <t>Andri / Novi Indri</t>
  </si>
  <si>
    <t>+62 812-6804-676</t>
  </si>
  <si>
    <t>+62 812-7773-2510</t>
  </si>
  <si>
    <t>+62 811-3115-1888</t>
  </si>
  <si>
    <t xml:space="preserve">+62 813-3267-6091 </t>
  </si>
  <si>
    <t>+62 (021) 222-350-00</t>
  </si>
  <si>
    <t>+62 822-8707-4561</t>
  </si>
  <si>
    <t>+62 (031) 749-7330</t>
  </si>
  <si>
    <t>+62 811-1167-898</t>
  </si>
  <si>
    <t>+62 (021) 228-531-37</t>
  </si>
  <si>
    <t>+62 (021) 228-531-39</t>
  </si>
  <si>
    <t>+62 812-8899-1180</t>
  </si>
  <si>
    <t>+62 (021) 555-0861</t>
  </si>
  <si>
    <t>+62 822-1097-1880</t>
  </si>
  <si>
    <t>+62 815-1937-6974</t>
  </si>
  <si>
    <t>+62 811-5701-102</t>
  </si>
  <si>
    <t>Admin Ottoban Warung Buncit</t>
  </si>
  <si>
    <t>+62 811-8755-330</t>
  </si>
  <si>
    <t>+62 812-8059-9598</t>
  </si>
  <si>
    <t>+62 (021) 228-616-89</t>
  </si>
  <si>
    <t>+62 858-8867-5152</t>
  </si>
  <si>
    <t>+62 813-2907-5563</t>
  </si>
  <si>
    <t>+62 812-8400-2688</t>
  </si>
  <si>
    <t xml:space="preserve">+62 (021) 641-3888 </t>
  </si>
  <si>
    <t>+62 852-8376-8373</t>
  </si>
  <si>
    <t>+62 (021) 298-661-60</t>
  </si>
  <si>
    <t>+62 (021) 531-589-01</t>
  </si>
  <si>
    <t>+62 (021) 531-589-02</t>
  </si>
  <si>
    <t>+62 (021) 756-724-45</t>
  </si>
  <si>
    <t>+62 857-7008-9850</t>
  </si>
  <si>
    <t>+62 817-890-354</t>
  </si>
  <si>
    <t>+62 (021) 290-309-69</t>
  </si>
  <si>
    <t>+62 (021) 589-025-10</t>
  </si>
  <si>
    <t>+62 812-8403-0286</t>
  </si>
  <si>
    <t>+62 (021) 589-001-89</t>
  </si>
  <si>
    <t>+62 897-412-3298</t>
  </si>
  <si>
    <t>+62 (021) 285-362-44</t>
  </si>
  <si>
    <t>+62 (021) 276-598</t>
  </si>
  <si>
    <t>+62 (021) 543-987-46</t>
  </si>
  <si>
    <t>+62 819-0867-2652</t>
  </si>
  <si>
    <t>+62 (021) 622-007-10</t>
  </si>
  <si>
    <t>+62 811-8883-592</t>
  </si>
  <si>
    <t>+62 (031) 333-710-00</t>
  </si>
  <si>
    <t>+62 (021) 228-741-07</t>
  </si>
  <si>
    <t>+62 882-1210-0952</t>
  </si>
  <si>
    <t>+62 (021) 599-841-80</t>
  </si>
  <si>
    <t>+62 812-9820-2296</t>
  </si>
  <si>
    <t>+62 (021) 883-937-46</t>
  </si>
  <si>
    <t>PT Mandiri Maha Daya</t>
  </si>
  <si>
    <t>Anandita (Koordinator)</t>
  </si>
  <si>
    <t xml:space="preserve">+62 812-2801-8107 </t>
  </si>
  <si>
    <t xml:space="preserve">+62 (024) 356-676-9 </t>
  </si>
  <si>
    <t>+62 811-9111-296</t>
  </si>
  <si>
    <t>+62 (021) 895-100-31</t>
  </si>
  <si>
    <t xml:space="preserve">+62 (021) 759-174-70 </t>
  </si>
  <si>
    <t>+62 (021) 759-175-37</t>
  </si>
  <si>
    <t xml:space="preserve">+62 (021) 759-175-38 </t>
  </si>
  <si>
    <t>+62 (021) 311-180-67</t>
  </si>
  <si>
    <t>+62 811-522-345</t>
  </si>
  <si>
    <t>+62 822-5499-1429</t>
  </si>
  <si>
    <t>+62 812-8009-0998</t>
  </si>
  <si>
    <t>+62 852-3557-5758</t>
  </si>
  <si>
    <t>+62 (021) 530-4023</t>
  </si>
  <si>
    <t>+62 823-2999-6669</t>
  </si>
  <si>
    <t>+62 (021) 827-410-10</t>
  </si>
  <si>
    <t>+62 (021) 290-214-45</t>
  </si>
  <si>
    <t>+62 812-1940-6158</t>
  </si>
  <si>
    <t>+62 (021) 837-822-16</t>
  </si>
  <si>
    <t>+62 (021) 837-822-13</t>
  </si>
  <si>
    <t>+62 (021) 837-822-14</t>
  </si>
  <si>
    <t>+62 (021) 837-822-15</t>
  </si>
  <si>
    <t>Zaenudin Hasan</t>
  </si>
  <si>
    <t>+62 813-8287-5435</t>
  </si>
  <si>
    <t>Imam</t>
  </si>
  <si>
    <t>+62 822-722-2</t>
  </si>
  <si>
    <t>+62 812-8107-1111</t>
  </si>
  <si>
    <t>+62 812-4990-0056</t>
  </si>
  <si>
    <t>+62 811-8889-065</t>
  </si>
  <si>
    <t>+62 (021) 294-837-95</t>
  </si>
  <si>
    <t>+62 811-9780-844</t>
  </si>
  <si>
    <t>+62 (021) 543-812-68</t>
  </si>
  <si>
    <t>+62 (021) 543-812-70</t>
  </si>
  <si>
    <t>+62 813-5021-6066</t>
  </si>
  <si>
    <t>Edy</t>
  </si>
  <si>
    <t>+62 852-7181-5421</t>
  </si>
  <si>
    <t>+62 (021) 859-8664</t>
  </si>
  <si>
    <t>+62 (021) 859-186-69</t>
  </si>
  <si>
    <t>Martin</t>
  </si>
  <si>
    <t>Fitri</t>
  </si>
  <si>
    <t>+62 816-1113-595</t>
  </si>
  <si>
    <t>+62 (021) 601-0146</t>
  </si>
  <si>
    <t>+62 (021) 647-019-99</t>
  </si>
  <si>
    <t>+62 (021) 647-159-99</t>
  </si>
  <si>
    <t>Jehaan</t>
  </si>
  <si>
    <t>+62 (021) 780-7990</t>
  </si>
  <si>
    <t>+62 (021) 460-1088</t>
  </si>
  <si>
    <t>+62 (024) 358-4600</t>
  </si>
  <si>
    <t>+62 (021) 638-651-99</t>
  </si>
  <si>
    <t>+62 (021) 638-651-52</t>
  </si>
  <si>
    <t>Sahat</t>
  </si>
  <si>
    <t>+62 (021) 654-4515</t>
  </si>
  <si>
    <t>+62 (021) 654-4811</t>
  </si>
  <si>
    <t>+62 (021) 550-0986</t>
  </si>
  <si>
    <t>+62 (021) 550-0677</t>
  </si>
  <si>
    <t>Mia</t>
  </si>
  <si>
    <t>Dohar Lumbanraja</t>
  </si>
  <si>
    <t>+62 (021) 843-050-43</t>
  </si>
  <si>
    <t>+62 (021) 843-050-46</t>
  </si>
  <si>
    <t>+62 (021) 594-2281</t>
  </si>
  <si>
    <t>+62 (021) 823-2323</t>
  </si>
  <si>
    <t>+62 (021) 823-1767</t>
  </si>
  <si>
    <t>+62 (021) 397-302-03</t>
  </si>
  <si>
    <t>+62 (021) 623-071-96</t>
  </si>
  <si>
    <t>+62 (021) 6292368</t>
  </si>
  <si>
    <t>+62 (021) 430-0932</t>
  </si>
  <si>
    <t>+62 (021) 571-2644</t>
  </si>
  <si>
    <t>+62 (021) 458-540-29</t>
  </si>
  <si>
    <t>+62 (021) 471-3864</t>
  </si>
  <si>
    <t>+62 (021) 470-1610</t>
  </si>
  <si>
    <t>Ferdinan Wahab</t>
  </si>
  <si>
    <t>Indra P. Anggiawan</t>
  </si>
  <si>
    <t>+62 (021) 719-8000</t>
  </si>
  <si>
    <t>+62 811-188-1313</t>
  </si>
  <si>
    <t>+62 (021) 548-0669</t>
  </si>
  <si>
    <t xml:space="preserve">+62 (021) 579-035-35 </t>
  </si>
  <si>
    <t>+62 811-860-0123</t>
  </si>
  <si>
    <t>+62 (021) 466-194-70</t>
  </si>
  <si>
    <t>+62 (021) 899-766-88</t>
  </si>
  <si>
    <t>+62 813-1480-0075</t>
  </si>
  <si>
    <t>+62 (053) 223-788</t>
  </si>
  <si>
    <t>+62 (021) 439-312-92</t>
  </si>
  <si>
    <t>+62 (053) 224-793</t>
  </si>
  <si>
    <t>+62 (024) 766-342-17</t>
  </si>
  <si>
    <t>+62 811-4099-189</t>
  </si>
  <si>
    <t>+62 (021) 223-016-73</t>
  </si>
  <si>
    <t>+62 (021) 315-8970</t>
  </si>
  <si>
    <t>+62 (0401) 319-2000</t>
  </si>
  <si>
    <t>+62 (024) 692-1223</t>
  </si>
  <si>
    <t>+62 (024) 692-2402</t>
  </si>
  <si>
    <t>+62 (021) 782-1769</t>
  </si>
  <si>
    <t>+62 (021) 791-912-34</t>
  </si>
  <si>
    <t>+62 (021) 791-933-33</t>
  </si>
  <si>
    <t>+62 (021) 579-303-04</t>
  </si>
  <si>
    <t>+62 (021) 579-303-11</t>
  </si>
  <si>
    <t>+62 (021) 910-111</t>
  </si>
  <si>
    <t>+62 (021) 914-980</t>
  </si>
  <si>
    <t>+62 (021) 345-005</t>
  </si>
  <si>
    <t>+62 (021) 383-119</t>
  </si>
  <si>
    <t>+62 (021) 468-236-36</t>
  </si>
  <si>
    <t>+62 (021) 468-236-46</t>
  </si>
  <si>
    <t>+62 (021) 456-789</t>
  </si>
  <si>
    <t>+62 (021) 456-790</t>
  </si>
  <si>
    <t>+62 (021) 837-095</t>
  </si>
  <si>
    <t>+62 (021) 300-130-01</t>
  </si>
  <si>
    <t>+62 (021) 300-130-02</t>
  </si>
  <si>
    <t>+62 (021) 837-800-00</t>
  </si>
  <si>
    <t>+62 (021) 837-800-01</t>
  </si>
  <si>
    <t>+62 (021) 398-332-22</t>
  </si>
  <si>
    <t>+62 (021) 398-331-50</t>
  </si>
  <si>
    <t>+62 (021) 398-332-30</t>
  </si>
  <si>
    <t>+62 (021) 569-504-12</t>
  </si>
  <si>
    <t>+62 (021) 569-504-13</t>
  </si>
  <si>
    <t>+62 (021) 235-855-00</t>
  </si>
  <si>
    <t>+62 (021) 235-864-46</t>
  </si>
  <si>
    <t>+62 (021) 398-389-29</t>
  </si>
  <si>
    <t>+62 (021) 398-389-30</t>
  </si>
  <si>
    <t>+62 (021) 293-370-00</t>
  </si>
  <si>
    <t>+62 (021) 293-360-00</t>
  </si>
  <si>
    <t>+62 (021) 837-088-77</t>
  </si>
  <si>
    <t>+62 (021) 837-804-87</t>
  </si>
  <si>
    <t>+62 (021) 827-667-731</t>
  </si>
  <si>
    <t>+62 (021) 212-427-77</t>
  </si>
  <si>
    <t>+62 (021) 508-703-70</t>
  </si>
  <si>
    <t>+62 (021) 505-098-88</t>
  </si>
  <si>
    <t>+62 (021) 291-899-99</t>
  </si>
  <si>
    <t>+62 (021) 458-509-33</t>
  </si>
  <si>
    <t>+62 (021) 458-509-32</t>
  </si>
  <si>
    <t>+62 (021) 228-229-80</t>
  </si>
  <si>
    <t>+62 (021) 228-220-81</t>
  </si>
  <si>
    <t>+62 856-786-1993</t>
  </si>
  <si>
    <t>+62 877-8898-0659</t>
  </si>
  <si>
    <t>+62 813-8985-1877</t>
  </si>
  <si>
    <t>+62 897-744-9206</t>
  </si>
  <si>
    <t>+62 811-972-8227</t>
  </si>
  <si>
    <t>+62 818-216-674</t>
  </si>
  <si>
    <t>+62 812-108-0840</t>
  </si>
  <si>
    <t>+62 816-880-840</t>
  </si>
  <si>
    <t>+62 811-197-5696</t>
  </si>
  <si>
    <t>+62 812-633-8284</t>
  </si>
  <si>
    <t>+62 811-113-7275</t>
  </si>
  <si>
    <t>+62 856-810-0752</t>
  </si>
  <si>
    <t>+62 (021) 521-2552</t>
  </si>
  <si>
    <t>+62 (021) 521-2900</t>
  </si>
  <si>
    <t>+62 (021) 230-2345</t>
  </si>
  <si>
    <t>+62 (021) 230-3171</t>
  </si>
  <si>
    <t>+62 (031) 843-7777</t>
  </si>
  <si>
    <t>+62 (031) 841-1377</t>
  </si>
  <si>
    <t>+62 (022) 520-1501</t>
  </si>
  <si>
    <t>+62 (024) 844-6145</t>
  </si>
  <si>
    <t>+62 (024) 845-7070</t>
  </si>
  <si>
    <t>+62 (021) 750-1915</t>
  </si>
  <si>
    <t>+62 (021) 766-0986</t>
  </si>
  <si>
    <t>+62 (021) 557-7775</t>
  </si>
  <si>
    <t>+62 (0370) 638-884</t>
  </si>
  <si>
    <t>+62 (0370) 627-631</t>
  </si>
  <si>
    <t>+62 (029) 547-900-02</t>
  </si>
  <si>
    <t>+62 (029) 555-167-67</t>
  </si>
  <si>
    <t>+62 (021) 633-3538</t>
  </si>
  <si>
    <t>+62 (0761) 670-4882</t>
  </si>
  <si>
    <t>+62 (0761) 670-4881</t>
  </si>
  <si>
    <t>+62 (0561) 762-579</t>
  </si>
  <si>
    <t>+62 (0561) 762-580</t>
  </si>
  <si>
    <t>+62 (021) 840-3883</t>
  </si>
  <si>
    <t>+62 (021) 840-3936</t>
  </si>
  <si>
    <t>+62 (0295) 479-0011</t>
  </si>
  <si>
    <t xml:space="preserve">+62 (0295) 479-0002 </t>
  </si>
  <si>
    <t>Rocki</t>
  </si>
  <si>
    <t>Raminto</t>
  </si>
  <si>
    <t>+62 (031) 352-0189</t>
  </si>
  <si>
    <t>Djohan Arfian</t>
  </si>
  <si>
    <t>Kofi Wang / Ryan Iskan</t>
  </si>
  <si>
    <t>Acai dan Rais</t>
  </si>
  <si>
    <t>Handi</t>
  </si>
  <si>
    <t>+62 (021) 750-4416</t>
  </si>
  <si>
    <t>+62 (021) 750-4415</t>
  </si>
  <si>
    <t>Setia Kusuma</t>
  </si>
  <si>
    <t>BPJS Kesehatan</t>
  </si>
  <si>
    <t>Slivia Veronika</t>
  </si>
  <si>
    <t>H. Rizal</t>
  </si>
  <si>
    <t xml:space="preserve">+62 (022) 520-2444 </t>
  </si>
  <si>
    <t>+62 (021) 765-3723</t>
  </si>
  <si>
    <t>+62 (021) 765-8806</t>
  </si>
  <si>
    <t>+62 (021) 692-1209</t>
  </si>
  <si>
    <t>+62 (021) 692-2402</t>
  </si>
  <si>
    <t>+62 (021) 851-5550</t>
  </si>
  <si>
    <t>+62 (021) 851-5510</t>
  </si>
  <si>
    <t>+62 (021) 529-2248</t>
  </si>
  <si>
    <t>+62 (021) 569-584-62</t>
  </si>
  <si>
    <t>+62 (0536) 323-3311</t>
  </si>
  <si>
    <t>+62 (021) 572-3041</t>
  </si>
  <si>
    <t>+62 (021) 572-4191</t>
  </si>
  <si>
    <t>+62 (053) 227-4840</t>
  </si>
  <si>
    <t>+62 (021) 430-2388</t>
  </si>
  <si>
    <t>+62 (021) 794-6321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</si>
</sst>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1"/>
      <name val="Calibri"/>
      <family val="2"/>
    </font>
    <font>
      <sz val="10"/>
      <color theme="1"/>
      <name val="Arial"/>
      <family val="2"/>
    </font>
    <font>
      <b/>
      <sz val="10"/>
      <color theme="1"/>
      <name val="Arial Narrow"/>
      <family val="2"/>
    </font>
    <font>
      <b/>
      <sz val="10"/>
      <color theme="0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i/>
      <sz val="10"/>
      <color theme="3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8">
    <xf numFmtId="0" fontId="0" fillId="0" borderId="0"/>
    <xf numFmtId="0" fontId="3" fillId="0" borderId="0"/>
    <xf numFmtId="43" fontId="4" fillId="0" borderId="0" applyFont="0" applyFill="0" applyBorder="0" applyAlignment="0" applyProtection="0"/>
    <xf numFmtId="0" fontId="5" fillId="0" borderId="0"/>
    <xf numFmtId="0" fontId="3" fillId="0" borderId="0"/>
    <xf numFmtId="0" fontId="4" fillId="0" borderId="0"/>
    <xf numFmtId="0" fontId="1" fillId="0" borderId="0"/>
    <xf numFmtId="0" fontId="6" fillId="0" borderId="0"/>
  </cellStyleXfs>
  <cellXfs count="45">
    <xf numFmtId="0" fontId="0" fillId="0" borderId="0" xfId="0"/>
    <xf numFmtId="1" fontId="2" fillId="0" borderId="0" xfId="0" applyNumberFormat="1" applyFont="1"/>
    <xf numFmtId="1" fontId="2" fillId="0" borderId="0" xfId="0" applyNumberFormat="1" applyFont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0" borderId="0" xfId="0" applyFont="1"/>
    <xf numFmtId="49" fontId="0" fillId="0" borderId="0" xfId="0" applyNumberFormat="1"/>
    <xf numFmtId="49" fontId="0" fillId="0" borderId="0" xfId="0" quotePrefix="1" applyNumberFormat="1"/>
    <xf numFmtId="1" fontId="2" fillId="0" borderId="2" xfId="0" applyNumberFormat="1" applyFont="1" applyBorder="1"/>
    <xf numFmtId="0" fontId="2" fillId="0" borderId="2" xfId="0" applyFont="1" applyBorder="1"/>
    <xf numFmtId="1" fontId="2" fillId="0" borderId="3" xfId="0" applyNumberFormat="1" applyFont="1" applyBorder="1"/>
    <xf numFmtId="0" fontId="2" fillId="0" borderId="3" xfId="0" applyFont="1" applyBorder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2" fillId="5" borderId="6" xfId="0" applyFont="1" applyFill="1" applyBorder="1"/>
    <xf numFmtId="0" fontId="2" fillId="5" borderId="7" xfId="0" applyFont="1" applyFill="1" applyBorder="1"/>
    <xf numFmtId="0" fontId="7" fillId="3" borderId="1" xfId="0" applyFont="1" applyFill="1" applyBorder="1" applyAlignment="1">
      <alignment horizontal="center" vertical="center" wrapText="1"/>
    </xf>
    <xf numFmtId="0" fontId="2" fillId="5" borderId="8" xfId="0" applyFont="1" applyFill="1" applyBorder="1"/>
    <xf numFmtId="1" fontId="7" fillId="3" borderId="4" xfId="0" applyNumberFormat="1" applyFont="1" applyFill="1" applyBorder="1" applyAlignment="1">
      <alignment horizontal="center" vertical="center" wrapText="1"/>
    </xf>
    <xf numFmtId="1" fontId="2" fillId="5" borderId="6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" fontId="2" fillId="0" borderId="2" xfId="0" applyNumberFormat="1" applyFont="1" applyBorder="1" applyAlignment="1">
      <alignment horizontal="center"/>
    </xf>
    <xf numFmtId="49" fontId="2" fillId="0" borderId="0" xfId="0" applyNumberFormat="1" applyFont="1"/>
    <xf numFmtId="49" fontId="7" fillId="3" borderId="1" xfId="0" applyNumberFormat="1" applyFont="1" applyFill="1" applyBorder="1" applyAlignment="1">
      <alignment horizontal="center" vertical="center" wrapText="1"/>
    </xf>
    <xf numFmtId="49" fontId="2" fillId="5" borderId="8" xfId="0" applyNumberFormat="1" applyFont="1" applyFill="1" applyBorder="1"/>
    <xf numFmtId="49" fontId="2" fillId="0" borderId="2" xfId="0" applyNumberFormat="1" applyFont="1" applyBorder="1"/>
    <xf numFmtId="1" fontId="2" fillId="0" borderId="3" xfId="0" applyNumberFormat="1" applyFont="1" applyBorder="1" applyAlignment="1">
      <alignment horizontal="center"/>
    </xf>
    <xf numFmtId="49" fontId="2" fillId="0" borderId="3" xfId="0" applyNumberFormat="1" applyFont="1" applyBorder="1"/>
    <xf numFmtId="1" fontId="7" fillId="3" borderId="1" xfId="0" applyNumberFormat="1" applyFont="1" applyFill="1" applyBorder="1" applyAlignment="1">
      <alignment horizontal="center" vertical="center" wrapText="1"/>
    </xf>
    <xf numFmtId="1" fontId="8" fillId="4" borderId="9" xfId="0" applyNumberFormat="1" applyFont="1" applyFill="1" applyBorder="1" applyAlignment="1">
      <alignment horizontal="center" vertical="center" wrapText="1"/>
    </xf>
    <xf numFmtId="1" fontId="8" fillId="4" borderId="10" xfId="0" applyNumberFormat="1" applyFont="1" applyFill="1" applyBorder="1" applyAlignment="1">
      <alignment horizontal="center" vertical="center" wrapText="1"/>
    </xf>
    <xf numFmtId="1" fontId="9" fillId="7" borderId="12" xfId="0" applyNumberFormat="1" applyFont="1" applyFill="1" applyBorder="1" applyAlignment="1"/>
    <xf numFmtId="1" fontId="10" fillId="6" borderId="2" xfId="0" applyNumberFormat="1" applyFont="1" applyFill="1" applyBorder="1" applyAlignment="1">
      <alignment horizontal="center"/>
    </xf>
    <xf numFmtId="0" fontId="11" fillId="0" borderId="2" xfId="0" applyFont="1" applyBorder="1"/>
    <xf numFmtId="0" fontId="2" fillId="0" borderId="0" xfId="0" applyFont="1" applyAlignment="1">
      <alignment horizontal="center"/>
    </xf>
    <xf numFmtId="1" fontId="9" fillId="7" borderId="11" xfId="0" applyNumberFormat="1" applyFont="1" applyFill="1" applyBorder="1" applyAlignment="1">
      <alignment horizontal="center"/>
    </xf>
    <xf numFmtId="0" fontId="2" fillId="2" borderId="13" xfId="0" applyFont="1" applyFill="1" applyBorder="1"/>
    <xf numFmtId="1" fontId="2" fillId="5" borderId="8" xfId="0" applyNumberFormat="1" applyFont="1" applyFill="1" applyBorder="1"/>
    <xf numFmtId="0" fontId="2" fillId="2" borderId="3" xfId="0" applyFont="1" applyFill="1" applyBorder="1"/>
    <xf numFmtId="1" fontId="2" fillId="6" borderId="2" xfId="0" applyNumberFormat="1" applyFont="1" applyFill="1" applyBorder="1" applyAlignment="1">
      <alignment horizontal="center"/>
    </xf>
    <xf numFmtId="0" fontId="2" fillId="8" borderId="0" xfId="0" applyFont="1" applyFill="1"/>
    <xf numFmtId="1" fontId="7" fillId="3" borderId="13" xfId="0" applyNumberFormat="1" applyFont="1" applyFill="1" applyBorder="1" applyAlignment="1">
      <alignment horizontal="center" vertical="center" wrapText="1"/>
    </xf>
    <xf numFmtId="1" fontId="2" fillId="5" borderId="14" xfId="0" applyNumberFormat="1" applyFont="1" applyFill="1" applyBorder="1" applyAlignment="1">
      <alignment horizontal="center"/>
    </xf>
    <xf numFmtId="1" fontId="2" fillId="0" borderId="13" xfId="0" applyNumberFormat="1" applyFont="1" applyBorder="1" applyAlignment="1">
      <alignment horizontal="center"/>
    </xf>
  </cellXfs>
  <cellStyles count="8">
    <cellStyle name="Comma 3" xfId="2"/>
    <cellStyle name="Normal" xfId="0" builtinId="0"/>
    <cellStyle name="Normal 2" xfId="3"/>
    <cellStyle name="Normal 2 2" xfId="4"/>
    <cellStyle name="Normal 2 3" xfId="5"/>
    <cellStyle name="Normal 2 4 2" xfId="6"/>
    <cellStyle name="Normal 3" xfId="1"/>
    <cellStyle name="Normal 3 2" xfId="7"/>
  </cellStyles>
  <dxfs count="2">
    <dxf>
      <fill>
        <patternFill>
          <bgColor rgb="FFFF0000"/>
        </patternFill>
      </fill>
    </dxf>
    <dxf>
      <fill>
        <patternFill>
          <bgColor theme="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ster.TblPers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aster%20-%20Instit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"/>
      <sheetName val="MAIN"/>
      <sheetName val="DataLookUp"/>
      <sheetName val="Pindahan dari DB ERP Live"/>
      <sheetName val="Sheet1"/>
    </sheetNames>
    <sheetDataSet>
      <sheetData sheetId="0"/>
      <sheetData sheetId="1"/>
      <sheetData sheetId="2">
        <row r="4">
          <cell r="B4">
            <v>25000000000001</v>
          </cell>
          <cell r="C4" t="str">
            <v>Abdollah Syani Siregar</v>
          </cell>
        </row>
        <row r="5">
          <cell r="B5">
            <v>25000000000002</v>
          </cell>
          <cell r="C5" t="str">
            <v>Abdul Karim</v>
          </cell>
        </row>
        <row r="6">
          <cell r="B6">
            <v>25000000000003</v>
          </cell>
          <cell r="C6" t="str">
            <v>Abdul Rahman Sitompul</v>
          </cell>
        </row>
        <row r="7">
          <cell r="B7">
            <v>25000000000004</v>
          </cell>
          <cell r="C7" t="str">
            <v>Abdul Risan</v>
          </cell>
        </row>
        <row r="8">
          <cell r="B8">
            <v>25000000000005</v>
          </cell>
          <cell r="C8" t="str">
            <v>Abdullah Nabil</v>
          </cell>
        </row>
        <row r="9">
          <cell r="B9">
            <v>25000000000006</v>
          </cell>
          <cell r="C9" t="str">
            <v>Adhitya Danar</v>
          </cell>
        </row>
        <row r="10">
          <cell r="B10">
            <v>25000000000007</v>
          </cell>
          <cell r="C10" t="str">
            <v>Adi Ruswandi</v>
          </cell>
        </row>
        <row r="11">
          <cell r="B11">
            <v>25000000000008</v>
          </cell>
          <cell r="C11" t="str">
            <v>Adietya Dharmawan</v>
          </cell>
        </row>
        <row r="12">
          <cell r="B12">
            <v>25000000000009</v>
          </cell>
          <cell r="C12" t="str">
            <v>Aditya Yudha Prawira</v>
          </cell>
        </row>
        <row r="13">
          <cell r="B13">
            <v>25000000000010</v>
          </cell>
          <cell r="C13" t="str">
            <v>Adli Margie</v>
          </cell>
        </row>
        <row r="14">
          <cell r="B14">
            <v>25000000000011</v>
          </cell>
          <cell r="C14" t="str">
            <v>Afrida Eka Putri</v>
          </cell>
        </row>
        <row r="15">
          <cell r="B15">
            <v>25000000000012</v>
          </cell>
          <cell r="C15" t="str">
            <v>Agnes Sutedja</v>
          </cell>
        </row>
        <row r="16">
          <cell r="B16">
            <v>25000000000013</v>
          </cell>
          <cell r="C16" t="str">
            <v>Agung Hendarto</v>
          </cell>
        </row>
        <row r="17">
          <cell r="B17">
            <v>25000000000014</v>
          </cell>
          <cell r="C17" t="str">
            <v>Agus Priyatno Mahmudo</v>
          </cell>
        </row>
        <row r="18">
          <cell r="B18">
            <v>25000000000015</v>
          </cell>
          <cell r="C18" t="str">
            <v>Agus Salim</v>
          </cell>
        </row>
        <row r="19">
          <cell r="B19">
            <v>25000000000016</v>
          </cell>
          <cell r="C19" t="str">
            <v>Agus Tanto</v>
          </cell>
        </row>
        <row r="20">
          <cell r="B20">
            <v>25000000000017</v>
          </cell>
          <cell r="C20" t="str">
            <v>Ahmad Faiz Haems Muda</v>
          </cell>
        </row>
        <row r="21">
          <cell r="B21">
            <v>25000000000018</v>
          </cell>
          <cell r="C21" t="str">
            <v>Ahmad Faza</v>
          </cell>
        </row>
        <row r="22">
          <cell r="B22">
            <v>25000000000019</v>
          </cell>
          <cell r="C22" t="str">
            <v>Ahmad Syaifulloh</v>
          </cell>
        </row>
        <row r="23">
          <cell r="B23">
            <v>25000000000020</v>
          </cell>
          <cell r="C23" t="str">
            <v>Ahmad Zulkarnaen</v>
          </cell>
        </row>
        <row r="24">
          <cell r="B24">
            <v>25000000000021</v>
          </cell>
          <cell r="C24" t="str">
            <v>Ajan</v>
          </cell>
        </row>
        <row r="25">
          <cell r="B25">
            <v>25000000000022</v>
          </cell>
          <cell r="C25" t="str">
            <v>Al Amin</v>
          </cell>
        </row>
        <row r="26">
          <cell r="B26">
            <v>25000000000023</v>
          </cell>
          <cell r="C26" t="str">
            <v>Aldi Mulyadi</v>
          </cell>
        </row>
        <row r="27">
          <cell r="B27">
            <v>25000000000024</v>
          </cell>
          <cell r="C27" t="str">
            <v>Alexandri</v>
          </cell>
        </row>
        <row r="28">
          <cell r="B28">
            <v>25000000000025</v>
          </cell>
          <cell r="C28" t="str">
            <v>Alfaedi</v>
          </cell>
        </row>
        <row r="29">
          <cell r="B29">
            <v>25000000000026</v>
          </cell>
          <cell r="C29" t="str">
            <v>Ali Wahono</v>
          </cell>
        </row>
        <row r="30">
          <cell r="B30">
            <v>25000000000027</v>
          </cell>
          <cell r="C30" t="str">
            <v>Alphaliyanri Lasria</v>
          </cell>
        </row>
        <row r="31">
          <cell r="B31">
            <v>25000000000028</v>
          </cell>
          <cell r="C31" t="str">
            <v>Ambon Rumalean</v>
          </cell>
        </row>
        <row r="32">
          <cell r="B32">
            <v>25000000000029</v>
          </cell>
          <cell r="C32" t="str">
            <v>Amir Sofyan Hadi</v>
          </cell>
        </row>
        <row r="33">
          <cell r="B33">
            <v>25000000000030</v>
          </cell>
          <cell r="C33" t="str">
            <v>Anak Agung Netti Ariani</v>
          </cell>
        </row>
        <row r="34">
          <cell r="B34">
            <v>25000000000031</v>
          </cell>
          <cell r="C34" t="str">
            <v>Andri Gunawan</v>
          </cell>
        </row>
        <row r="35">
          <cell r="B35">
            <v>25000000000032</v>
          </cell>
          <cell r="C35" t="str">
            <v>Andri Herdiansyah</v>
          </cell>
        </row>
        <row r="36">
          <cell r="B36">
            <v>25000000000033</v>
          </cell>
          <cell r="C36" t="str">
            <v>Andrie</v>
          </cell>
        </row>
        <row r="37">
          <cell r="B37">
            <v>25000000000034</v>
          </cell>
          <cell r="C37" t="str">
            <v>Anggina Tri Yudandi</v>
          </cell>
        </row>
        <row r="38">
          <cell r="B38">
            <v>25000000000035</v>
          </cell>
          <cell r="C38" t="str">
            <v>Anggit Ismiyanto</v>
          </cell>
        </row>
        <row r="39">
          <cell r="B39">
            <v>25000000000036</v>
          </cell>
          <cell r="C39" t="str">
            <v>Anika Setyowati</v>
          </cell>
        </row>
        <row r="40">
          <cell r="B40">
            <v>25000000000037</v>
          </cell>
          <cell r="C40" t="str">
            <v>Anisah</v>
          </cell>
        </row>
        <row r="41">
          <cell r="B41">
            <v>25000000000038</v>
          </cell>
          <cell r="C41" t="str">
            <v>Anna Savitrie</v>
          </cell>
        </row>
        <row r="42">
          <cell r="B42">
            <v>25000000000039</v>
          </cell>
          <cell r="C42" t="str">
            <v>Annisa Dewi Arumsari</v>
          </cell>
        </row>
        <row r="43">
          <cell r="B43">
            <v>25000000000040</v>
          </cell>
          <cell r="C43" t="str">
            <v>Annyes Sri Maristi</v>
          </cell>
        </row>
        <row r="44">
          <cell r="B44">
            <v>25000000000041</v>
          </cell>
          <cell r="C44" t="str">
            <v>Antok</v>
          </cell>
        </row>
        <row r="45">
          <cell r="B45">
            <v>25000000000042</v>
          </cell>
          <cell r="C45" t="str">
            <v>Anton Iryanto</v>
          </cell>
        </row>
        <row r="46">
          <cell r="B46">
            <v>25000000000043</v>
          </cell>
          <cell r="C46" t="str">
            <v>Antony Pakpahan</v>
          </cell>
        </row>
        <row r="47">
          <cell r="B47">
            <v>25000000000044</v>
          </cell>
          <cell r="C47" t="str">
            <v>Anugerah Januariansyah</v>
          </cell>
        </row>
        <row r="48">
          <cell r="B48">
            <v>25000000000045</v>
          </cell>
          <cell r="C48" t="str">
            <v>Anwar Purnomo</v>
          </cell>
        </row>
        <row r="49">
          <cell r="B49">
            <v>25000000000046</v>
          </cell>
          <cell r="C49" t="str">
            <v>Ardhi Swasono</v>
          </cell>
        </row>
        <row r="50">
          <cell r="B50">
            <v>25000000000047</v>
          </cell>
          <cell r="C50" t="str">
            <v>Ardi</v>
          </cell>
        </row>
        <row r="51">
          <cell r="B51">
            <v>25000000000048</v>
          </cell>
          <cell r="C51" t="str">
            <v>Ardiansyah</v>
          </cell>
        </row>
        <row r="52">
          <cell r="B52">
            <v>25000000000049</v>
          </cell>
          <cell r="C52" t="str">
            <v>Ardisam</v>
          </cell>
        </row>
        <row r="53">
          <cell r="B53">
            <v>25000000000050</v>
          </cell>
          <cell r="C53" t="str">
            <v>Ardita</v>
          </cell>
        </row>
        <row r="54">
          <cell r="B54">
            <v>25000000000051</v>
          </cell>
          <cell r="C54" t="str">
            <v>Ares S. Mauboi</v>
          </cell>
        </row>
        <row r="55">
          <cell r="B55">
            <v>25000000000052</v>
          </cell>
          <cell r="C55" t="str">
            <v>Arfah Hanum</v>
          </cell>
        </row>
        <row r="56">
          <cell r="B56">
            <v>25000000000053</v>
          </cell>
          <cell r="C56" t="str">
            <v>Arfianti Haryani</v>
          </cell>
        </row>
        <row r="57">
          <cell r="B57">
            <v>25000000000054</v>
          </cell>
          <cell r="C57" t="str">
            <v>Ari Priwarsono</v>
          </cell>
        </row>
        <row r="58">
          <cell r="B58">
            <v>25000000000055</v>
          </cell>
          <cell r="C58" t="str">
            <v>Ari Yuniasmono</v>
          </cell>
        </row>
        <row r="59">
          <cell r="B59">
            <v>25000000000056</v>
          </cell>
          <cell r="C59" t="str">
            <v>Arif Gunawan</v>
          </cell>
        </row>
        <row r="60">
          <cell r="B60">
            <v>25000000000057</v>
          </cell>
          <cell r="C60" t="str">
            <v>Arif Prasetyo</v>
          </cell>
        </row>
        <row r="61">
          <cell r="B61">
            <v>25000000000058</v>
          </cell>
          <cell r="C61" t="str">
            <v>Arini</v>
          </cell>
        </row>
        <row r="62">
          <cell r="B62">
            <v>25000000000059</v>
          </cell>
          <cell r="C62" t="str">
            <v>Ario Setyo Gunawan</v>
          </cell>
        </row>
        <row r="63">
          <cell r="B63">
            <v>25000000000060</v>
          </cell>
          <cell r="C63" t="str">
            <v>Ario Yulianto Wibowo</v>
          </cell>
        </row>
        <row r="64">
          <cell r="B64">
            <v>25000000000061</v>
          </cell>
          <cell r="C64" t="str">
            <v>Aris Widodo Pamungkas</v>
          </cell>
        </row>
        <row r="65">
          <cell r="B65">
            <v>25000000000062</v>
          </cell>
          <cell r="C65" t="str">
            <v>Arjiyanto</v>
          </cell>
        </row>
        <row r="66">
          <cell r="B66">
            <v>25000000000063</v>
          </cell>
          <cell r="C66" t="str">
            <v>Arman</v>
          </cell>
        </row>
        <row r="67">
          <cell r="B67">
            <v>25000000000064</v>
          </cell>
          <cell r="C67" t="str">
            <v>Aryoko Sudiro</v>
          </cell>
        </row>
        <row r="68">
          <cell r="B68">
            <v>25000000000065</v>
          </cell>
          <cell r="C68" t="str">
            <v>Astamyugo</v>
          </cell>
        </row>
        <row r="69">
          <cell r="B69">
            <v>25000000000066</v>
          </cell>
          <cell r="C69" t="str">
            <v>Atmo Sastro Dinoto</v>
          </cell>
        </row>
        <row r="70">
          <cell r="B70">
            <v>25000000000067</v>
          </cell>
          <cell r="C70" t="str">
            <v>Awaludin</v>
          </cell>
        </row>
        <row r="71">
          <cell r="B71">
            <v>25000000000068</v>
          </cell>
          <cell r="C71" t="str">
            <v>Bachtiar</v>
          </cell>
        </row>
        <row r="72">
          <cell r="B72">
            <v>25000000000069</v>
          </cell>
          <cell r="C72" t="str">
            <v>Bambang Irawan</v>
          </cell>
        </row>
        <row r="73">
          <cell r="B73">
            <v>25000000000070</v>
          </cell>
          <cell r="C73" t="str">
            <v>Bambang Prihatin</v>
          </cell>
        </row>
        <row r="74">
          <cell r="B74">
            <v>25000000000071</v>
          </cell>
          <cell r="C74" t="str">
            <v>Bani Mustazeni</v>
          </cell>
        </row>
        <row r="75">
          <cell r="B75">
            <v>25000000000072</v>
          </cell>
          <cell r="C75" t="str">
            <v>Bardai</v>
          </cell>
        </row>
        <row r="76">
          <cell r="B76">
            <v>25000000000073</v>
          </cell>
          <cell r="C76" t="str">
            <v>Barika</v>
          </cell>
        </row>
        <row r="77">
          <cell r="B77">
            <v>25000000000074</v>
          </cell>
          <cell r="C77" t="str">
            <v>Bela Retmalantika</v>
          </cell>
        </row>
        <row r="78">
          <cell r="B78">
            <v>25000000000075</v>
          </cell>
          <cell r="C78" t="str">
            <v>Belina Lindarwani</v>
          </cell>
        </row>
        <row r="79">
          <cell r="B79">
            <v>25000000000076</v>
          </cell>
          <cell r="C79" t="str">
            <v>Benita Sofia</v>
          </cell>
        </row>
        <row r="80">
          <cell r="B80">
            <v>25000000000077</v>
          </cell>
          <cell r="C80" t="str">
            <v>Bherly Novrandy</v>
          </cell>
        </row>
        <row r="81">
          <cell r="B81">
            <v>25000000000078</v>
          </cell>
          <cell r="C81" t="str">
            <v>Binsar</v>
          </cell>
        </row>
        <row r="82">
          <cell r="B82">
            <v>25000000000079</v>
          </cell>
          <cell r="C82" t="str">
            <v>Bondhan Sosiarta</v>
          </cell>
        </row>
        <row r="83">
          <cell r="B83">
            <v>25000000000080</v>
          </cell>
          <cell r="C83" t="str">
            <v>Budi Pranata Sinaga</v>
          </cell>
        </row>
        <row r="84">
          <cell r="B84">
            <v>25000000000081</v>
          </cell>
          <cell r="C84" t="str">
            <v>Budi Satrio</v>
          </cell>
        </row>
        <row r="85">
          <cell r="B85">
            <v>25000000000082</v>
          </cell>
          <cell r="C85" t="str">
            <v>Budianto</v>
          </cell>
        </row>
        <row r="86">
          <cell r="B86">
            <v>25000000000083</v>
          </cell>
          <cell r="C86" t="str">
            <v>Budiman</v>
          </cell>
        </row>
        <row r="87">
          <cell r="B87">
            <v>25000000000084</v>
          </cell>
          <cell r="C87" t="str">
            <v>Cahyaning Annisa</v>
          </cell>
        </row>
        <row r="88">
          <cell r="B88">
            <v>25000000000085</v>
          </cell>
          <cell r="C88" t="str">
            <v>Cahyaningrum Widiastuti</v>
          </cell>
        </row>
        <row r="89">
          <cell r="B89">
            <v>25000000000086</v>
          </cell>
          <cell r="C89" t="str">
            <v>Cecep Maulana</v>
          </cell>
        </row>
        <row r="90">
          <cell r="B90">
            <v>25000000000087</v>
          </cell>
          <cell r="C90" t="str">
            <v>Chairul Musaddat</v>
          </cell>
        </row>
        <row r="91">
          <cell r="B91">
            <v>25000000000088</v>
          </cell>
          <cell r="C91" t="str">
            <v>Christianto</v>
          </cell>
        </row>
        <row r="92">
          <cell r="B92">
            <v>25000000000089</v>
          </cell>
          <cell r="C92" t="str">
            <v>Dadan Hermawan</v>
          </cell>
        </row>
        <row r="93">
          <cell r="B93">
            <v>25000000000090</v>
          </cell>
          <cell r="C93" t="str">
            <v>Dadan Suhendar</v>
          </cell>
        </row>
        <row r="94">
          <cell r="B94">
            <v>25000000000091</v>
          </cell>
          <cell r="C94" t="str">
            <v>Dadi Anda Zuchradi</v>
          </cell>
        </row>
        <row r="95">
          <cell r="B95">
            <v>25000000000092</v>
          </cell>
          <cell r="C95" t="str">
            <v>Darsito</v>
          </cell>
        </row>
        <row r="96">
          <cell r="B96">
            <v>25000000000093</v>
          </cell>
          <cell r="C96" t="str">
            <v>Davit Lumban Gaol</v>
          </cell>
        </row>
        <row r="97">
          <cell r="B97">
            <v>25000000000094</v>
          </cell>
          <cell r="C97" t="str">
            <v>Deddy Rochman</v>
          </cell>
        </row>
        <row r="98">
          <cell r="B98">
            <v>25000000000095</v>
          </cell>
          <cell r="C98" t="str">
            <v>Dedi Kusnadi</v>
          </cell>
        </row>
        <row r="99">
          <cell r="B99">
            <v>25000000000096</v>
          </cell>
          <cell r="C99" t="str">
            <v>Dedi Marciano Rizanur</v>
          </cell>
        </row>
        <row r="100">
          <cell r="B100">
            <v>25000000000097</v>
          </cell>
          <cell r="C100" t="str">
            <v>Dedi Rianto</v>
          </cell>
        </row>
        <row r="101">
          <cell r="B101">
            <v>25000000000098</v>
          </cell>
          <cell r="C101" t="str">
            <v>Dedi Syahputra</v>
          </cell>
        </row>
        <row r="102">
          <cell r="B102">
            <v>25000000000099</v>
          </cell>
          <cell r="C102" t="str">
            <v>Deni Setiawan</v>
          </cell>
        </row>
        <row r="103">
          <cell r="B103">
            <v>25000000000100</v>
          </cell>
          <cell r="C103" t="str">
            <v>Deny Adi Purnama</v>
          </cell>
        </row>
        <row r="104">
          <cell r="B104">
            <v>25000000000101</v>
          </cell>
          <cell r="C104" t="str">
            <v>Desi Herawati</v>
          </cell>
        </row>
        <row r="105">
          <cell r="B105">
            <v>25000000000102</v>
          </cell>
          <cell r="C105" t="str">
            <v>Desi Setiowati</v>
          </cell>
        </row>
        <row r="106">
          <cell r="B106">
            <v>25000000000103</v>
          </cell>
          <cell r="C106" t="str">
            <v>Dian Firdaus</v>
          </cell>
        </row>
        <row r="107">
          <cell r="B107">
            <v>25000000000104</v>
          </cell>
          <cell r="C107" t="str">
            <v>Dian Hariyana</v>
          </cell>
        </row>
        <row r="108">
          <cell r="B108">
            <v>25000000000105</v>
          </cell>
          <cell r="C108" t="str">
            <v>Dinnar Budiarti</v>
          </cell>
        </row>
        <row r="109">
          <cell r="B109">
            <v>25000000000106</v>
          </cell>
          <cell r="C109" t="str">
            <v>Dionesius Sostenist Duka</v>
          </cell>
        </row>
        <row r="110">
          <cell r="B110">
            <v>25000000000107</v>
          </cell>
          <cell r="C110" t="str">
            <v>Diyah Martina</v>
          </cell>
        </row>
        <row r="111">
          <cell r="B111">
            <v>25000000000108</v>
          </cell>
          <cell r="C111" t="str">
            <v>Djuang Tampubolon</v>
          </cell>
        </row>
        <row r="112">
          <cell r="B112">
            <v>25000000000109</v>
          </cell>
          <cell r="C112" t="str">
            <v>Dodit Widiarto</v>
          </cell>
        </row>
        <row r="113">
          <cell r="B113">
            <v>25000000000110</v>
          </cell>
          <cell r="C113" t="str">
            <v>Dony Darmawan</v>
          </cell>
        </row>
        <row r="114">
          <cell r="B114">
            <v>25000000000111</v>
          </cell>
          <cell r="C114" t="str">
            <v>Dony Setiawan</v>
          </cell>
        </row>
        <row r="115">
          <cell r="B115">
            <v>25000000000112</v>
          </cell>
          <cell r="C115" t="str">
            <v>Dudi Rustandi</v>
          </cell>
        </row>
        <row r="116">
          <cell r="B116">
            <v>25000000000113</v>
          </cell>
          <cell r="C116" t="str">
            <v>Dudung</v>
          </cell>
        </row>
        <row r="117">
          <cell r="B117">
            <v>25000000000114</v>
          </cell>
          <cell r="C117" t="str">
            <v>Dwi Joko Setio Tjaroko</v>
          </cell>
        </row>
        <row r="118">
          <cell r="B118">
            <v>25000000000115</v>
          </cell>
          <cell r="C118" t="str">
            <v>Dwinanto Prabowo</v>
          </cell>
        </row>
        <row r="119">
          <cell r="B119">
            <v>25000000000116</v>
          </cell>
          <cell r="C119" t="str">
            <v>Edi Waluyo</v>
          </cell>
        </row>
        <row r="120">
          <cell r="B120">
            <v>25000000000117</v>
          </cell>
          <cell r="C120" t="str">
            <v>Edi Siswanto</v>
          </cell>
        </row>
        <row r="121">
          <cell r="B121">
            <v>25000000000118</v>
          </cell>
          <cell r="C121" t="str">
            <v>Edi Turnip</v>
          </cell>
        </row>
        <row r="122">
          <cell r="B122">
            <v>25000000000119</v>
          </cell>
          <cell r="C122" t="str">
            <v>Edy Putra Waskita</v>
          </cell>
        </row>
        <row r="123">
          <cell r="B123">
            <v>25000000000120</v>
          </cell>
          <cell r="C123" t="str">
            <v>Edy Syahputra Situmeang</v>
          </cell>
        </row>
        <row r="124">
          <cell r="B124">
            <v>25000000000121</v>
          </cell>
          <cell r="C124" t="str">
            <v>Effendi fendi</v>
          </cell>
        </row>
        <row r="125">
          <cell r="B125">
            <v>25000000000122</v>
          </cell>
          <cell r="C125" t="str">
            <v>Efrina Dwililia</v>
          </cell>
        </row>
        <row r="126">
          <cell r="B126">
            <v>25000000000123</v>
          </cell>
          <cell r="C126" t="str">
            <v>Eka Bagus Dwi Putra</v>
          </cell>
        </row>
        <row r="127">
          <cell r="B127">
            <v>25000000000124</v>
          </cell>
          <cell r="C127" t="str">
            <v>Eka Hamidah</v>
          </cell>
        </row>
        <row r="128">
          <cell r="B128">
            <v>25000000000125</v>
          </cell>
          <cell r="C128" t="str">
            <v>Eka Purwanti</v>
          </cell>
        </row>
        <row r="129">
          <cell r="B129">
            <v>25000000000126</v>
          </cell>
          <cell r="C129" t="str">
            <v>Eka Kurniawan Hidayatullah</v>
          </cell>
        </row>
        <row r="130">
          <cell r="B130">
            <v>25000000000127</v>
          </cell>
          <cell r="C130" t="str">
            <v>Eko Laksono</v>
          </cell>
        </row>
        <row r="131">
          <cell r="B131">
            <v>25000000000128</v>
          </cell>
          <cell r="C131" t="str">
            <v>Eko Syambudi</v>
          </cell>
        </row>
        <row r="132">
          <cell r="B132">
            <v>25000000000129</v>
          </cell>
          <cell r="C132" t="str">
            <v>Elieser Ferdy P.</v>
          </cell>
        </row>
        <row r="133">
          <cell r="B133">
            <v>25000000000130</v>
          </cell>
          <cell r="C133" t="str">
            <v>Elisa</v>
          </cell>
        </row>
        <row r="134">
          <cell r="B134">
            <v>25000000000131</v>
          </cell>
          <cell r="C134" t="str">
            <v>Elsa Jayanti</v>
          </cell>
        </row>
        <row r="135">
          <cell r="B135">
            <v>25000000000132</v>
          </cell>
          <cell r="C135" t="str">
            <v>Elsa Mardian</v>
          </cell>
        </row>
        <row r="136">
          <cell r="B136">
            <v>25000000000133</v>
          </cell>
          <cell r="C136" t="str">
            <v>Emir Paranita Nasution</v>
          </cell>
        </row>
        <row r="137">
          <cell r="B137">
            <v>25000000000134</v>
          </cell>
          <cell r="C137" t="str">
            <v>Enceng Hemawan</v>
          </cell>
        </row>
        <row r="138">
          <cell r="B138">
            <v>25000000000135</v>
          </cell>
          <cell r="C138" t="str">
            <v>Endang</v>
          </cell>
        </row>
        <row r="139">
          <cell r="B139">
            <v>25000000000136</v>
          </cell>
          <cell r="C139" t="str">
            <v>Endang Lestari</v>
          </cell>
        </row>
        <row r="140">
          <cell r="B140">
            <v>25000000000137</v>
          </cell>
          <cell r="C140" t="str">
            <v>Endang Sobari</v>
          </cell>
        </row>
        <row r="141">
          <cell r="B141">
            <v>25000000000138</v>
          </cell>
          <cell r="C141" t="str">
            <v>Endang Sutrisna</v>
          </cell>
        </row>
        <row r="142">
          <cell r="B142">
            <v>25000000000139</v>
          </cell>
          <cell r="C142" t="str">
            <v>Erfananda Rasyid</v>
          </cell>
        </row>
        <row r="143">
          <cell r="B143">
            <v>25000000000140</v>
          </cell>
          <cell r="C143" t="str">
            <v>Ernawati</v>
          </cell>
        </row>
        <row r="144">
          <cell r="B144">
            <v>25000000000141</v>
          </cell>
          <cell r="C144" t="str">
            <v>Erwin Firmansyah</v>
          </cell>
        </row>
        <row r="145">
          <cell r="B145">
            <v>25000000000142</v>
          </cell>
          <cell r="C145" t="str">
            <v>Erwin Said</v>
          </cell>
        </row>
        <row r="146">
          <cell r="B146">
            <v>25000000000143</v>
          </cell>
          <cell r="C146" t="str">
            <v>Esa Annahar</v>
          </cell>
        </row>
        <row r="147">
          <cell r="B147">
            <v>25000000000144</v>
          </cell>
          <cell r="C147" t="str">
            <v>Faiz Horifal</v>
          </cell>
        </row>
        <row r="148">
          <cell r="B148">
            <v>25000000000145</v>
          </cell>
          <cell r="C148" t="str">
            <v>Fani Dwi Astutik</v>
          </cell>
        </row>
        <row r="149">
          <cell r="B149">
            <v>25000000000146</v>
          </cell>
          <cell r="C149" t="str">
            <v>Fardi Nauli R</v>
          </cell>
        </row>
        <row r="150">
          <cell r="B150">
            <v>25000000000147</v>
          </cell>
          <cell r="C150" t="str">
            <v>Farekh Huzair</v>
          </cell>
        </row>
        <row r="151">
          <cell r="B151">
            <v>25000000000148</v>
          </cell>
          <cell r="C151" t="str">
            <v>Farhana</v>
          </cell>
        </row>
        <row r="152">
          <cell r="B152">
            <v>25000000000149</v>
          </cell>
          <cell r="C152" t="str">
            <v>Febriyanto Ahdiat</v>
          </cell>
        </row>
        <row r="153">
          <cell r="B153">
            <v>25000000000150</v>
          </cell>
          <cell r="C153" t="str">
            <v>Febryan Mahsyar</v>
          </cell>
        </row>
        <row r="154">
          <cell r="B154">
            <v>25000000000151</v>
          </cell>
          <cell r="C154" t="str">
            <v>Felpy</v>
          </cell>
        </row>
        <row r="155">
          <cell r="B155">
            <v>25000000000152</v>
          </cell>
          <cell r="C155" t="str">
            <v>Feri Priyanto</v>
          </cell>
        </row>
        <row r="156">
          <cell r="B156">
            <v>25000000000153</v>
          </cell>
          <cell r="C156" t="str">
            <v>Ferry P Simanjuntak</v>
          </cell>
        </row>
        <row r="157">
          <cell r="B157">
            <v>25000000000154</v>
          </cell>
          <cell r="C157" t="str">
            <v>Fikri</v>
          </cell>
        </row>
        <row r="158">
          <cell r="B158">
            <v>25000000000155</v>
          </cell>
          <cell r="C158" t="str">
            <v>M. Fikri Caesarandi Hasibuan</v>
          </cell>
        </row>
        <row r="159">
          <cell r="B159">
            <v>25000000000156</v>
          </cell>
          <cell r="C159" t="str">
            <v>Firman Akbar</v>
          </cell>
        </row>
        <row r="160">
          <cell r="B160">
            <v>25000000000157</v>
          </cell>
          <cell r="C160" t="str">
            <v>Fitriastuti Kurnia</v>
          </cell>
        </row>
        <row r="161">
          <cell r="B161">
            <v>25000000000158</v>
          </cell>
          <cell r="C161" t="str">
            <v>Francis Imanuel</v>
          </cell>
        </row>
        <row r="162">
          <cell r="B162">
            <v>25000000000159</v>
          </cell>
          <cell r="C162" t="str">
            <v>Frando Judi Siahaan</v>
          </cell>
        </row>
        <row r="163">
          <cell r="B163">
            <v>25000000000160</v>
          </cell>
          <cell r="C163" t="str">
            <v>Frederika Intan</v>
          </cell>
        </row>
        <row r="164">
          <cell r="B164">
            <v>25000000000161</v>
          </cell>
          <cell r="C164" t="str">
            <v>Fuad Febrian</v>
          </cell>
        </row>
        <row r="165">
          <cell r="B165">
            <v>25000000000162</v>
          </cell>
          <cell r="C165" t="str">
            <v>Wiyadianto</v>
          </cell>
        </row>
        <row r="166">
          <cell r="B166">
            <v>25000000000163</v>
          </cell>
          <cell r="C166" t="str">
            <v>Galuh Swastika</v>
          </cell>
        </row>
        <row r="167">
          <cell r="B167">
            <v>25000000000164</v>
          </cell>
          <cell r="C167" t="str">
            <v>Ganda Yuharis R.</v>
          </cell>
        </row>
        <row r="168">
          <cell r="B168">
            <v>25000000000165</v>
          </cell>
          <cell r="C168" t="str">
            <v>Gatot Harsono</v>
          </cell>
        </row>
        <row r="169">
          <cell r="B169">
            <v>25000000000166</v>
          </cell>
          <cell r="C169" t="str">
            <v>Gina Septa</v>
          </cell>
        </row>
        <row r="170">
          <cell r="B170">
            <v>25000000000167</v>
          </cell>
          <cell r="C170" t="str">
            <v>Grace Kurniawan</v>
          </cell>
        </row>
        <row r="171">
          <cell r="B171">
            <v>25000000000168</v>
          </cell>
          <cell r="C171" t="str">
            <v>Gunawan</v>
          </cell>
        </row>
        <row r="172">
          <cell r="B172">
            <v>25000000000169</v>
          </cell>
          <cell r="C172" t="str">
            <v>Gustia Rakhmanita</v>
          </cell>
        </row>
        <row r="173">
          <cell r="B173">
            <v>25000000000170</v>
          </cell>
          <cell r="C173" t="str">
            <v>Habib Abdullah</v>
          </cell>
        </row>
        <row r="174">
          <cell r="B174">
            <v>25000000000171</v>
          </cell>
          <cell r="C174" t="str">
            <v>Hadi Kasmuri</v>
          </cell>
        </row>
        <row r="175">
          <cell r="B175">
            <v>25000000000172</v>
          </cell>
          <cell r="C175" t="str">
            <v>Haikal</v>
          </cell>
        </row>
        <row r="176">
          <cell r="B176">
            <v>25000000000173</v>
          </cell>
          <cell r="C176" t="str">
            <v>Hanantowiryo Tamtama</v>
          </cell>
        </row>
        <row r="177">
          <cell r="B177">
            <v>25000000000174</v>
          </cell>
          <cell r="C177" t="str">
            <v>Handoko</v>
          </cell>
        </row>
        <row r="178">
          <cell r="B178">
            <v>25000000000175</v>
          </cell>
          <cell r="C178" t="str">
            <v>Hanif Ashari</v>
          </cell>
        </row>
        <row r="179">
          <cell r="B179">
            <v>25000000000176</v>
          </cell>
          <cell r="C179" t="str">
            <v>Hanif Eko Saputro</v>
          </cell>
        </row>
        <row r="180">
          <cell r="B180">
            <v>25000000000177</v>
          </cell>
          <cell r="C180" t="str">
            <v>Hardianto</v>
          </cell>
        </row>
        <row r="181">
          <cell r="B181">
            <v>25000000000178</v>
          </cell>
          <cell r="C181" t="str">
            <v>Harlen Amudi Purba</v>
          </cell>
        </row>
        <row r="182">
          <cell r="B182">
            <v>25000000000179</v>
          </cell>
          <cell r="C182" t="str">
            <v>Harry Isnaeni</v>
          </cell>
        </row>
        <row r="183">
          <cell r="B183">
            <v>25000000000180</v>
          </cell>
          <cell r="C183" t="str">
            <v>Hasan Gani</v>
          </cell>
        </row>
        <row r="184">
          <cell r="B184">
            <v>25000000000181</v>
          </cell>
          <cell r="C184" t="str">
            <v>Hasrul</v>
          </cell>
        </row>
        <row r="185">
          <cell r="B185">
            <v>25000000000182</v>
          </cell>
          <cell r="C185" t="str">
            <v>Hendar Pambudi</v>
          </cell>
        </row>
        <row r="186">
          <cell r="B186">
            <v>25000000000183</v>
          </cell>
          <cell r="C186" t="str">
            <v>Hendri Kustian</v>
          </cell>
        </row>
        <row r="187">
          <cell r="B187">
            <v>25000000000184</v>
          </cell>
          <cell r="C187" t="str">
            <v>Hendrik</v>
          </cell>
        </row>
        <row r="188">
          <cell r="B188">
            <v>25000000000185</v>
          </cell>
          <cell r="C188" t="str">
            <v>Herdi Yulia Rohmana</v>
          </cell>
        </row>
        <row r="189">
          <cell r="B189">
            <v>25000000000186</v>
          </cell>
          <cell r="C189" t="str">
            <v>Heri Susanto</v>
          </cell>
        </row>
        <row r="190">
          <cell r="B190">
            <v>25000000000187</v>
          </cell>
          <cell r="C190" t="str">
            <v>Herlin Juli Asri</v>
          </cell>
        </row>
        <row r="191">
          <cell r="B191">
            <v>25000000000188</v>
          </cell>
          <cell r="C191" t="str">
            <v>Herman Budoyo</v>
          </cell>
        </row>
        <row r="192">
          <cell r="B192">
            <v>25000000000189</v>
          </cell>
          <cell r="C192" t="str">
            <v>Herni Yuliati</v>
          </cell>
        </row>
        <row r="193">
          <cell r="B193">
            <v>25000000000190</v>
          </cell>
          <cell r="C193" t="str">
            <v>Hernita Dwi</v>
          </cell>
        </row>
        <row r="194">
          <cell r="B194">
            <v>25000000000191</v>
          </cell>
          <cell r="C194" t="str">
            <v>Herri Setyawan</v>
          </cell>
        </row>
        <row r="195">
          <cell r="B195">
            <v>25000000000192</v>
          </cell>
          <cell r="C195" t="str">
            <v>Heru Sugiri</v>
          </cell>
        </row>
        <row r="196">
          <cell r="B196">
            <v>25000000000193</v>
          </cell>
          <cell r="C196" t="str">
            <v>Hervian Bagus Saputra</v>
          </cell>
        </row>
        <row r="197">
          <cell r="B197">
            <v>25000000000194</v>
          </cell>
          <cell r="C197" t="str">
            <v>H.R. Marlina S. T. R.</v>
          </cell>
        </row>
        <row r="198">
          <cell r="B198">
            <v>25000000000195</v>
          </cell>
          <cell r="C198" t="str">
            <v>Ibrahim Soukani</v>
          </cell>
        </row>
        <row r="199">
          <cell r="B199">
            <v>25000000000196</v>
          </cell>
          <cell r="C199" t="str">
            <v>Icha Mailinda Syamsoedin</v>
          </cell>
        </row>
        <row r="200">
          <cell r="B200">
            <v>25000000000197</v>
          </cell>
          <cell r="C200" t="str">
            <v>Ichsanudin</v>
          </cell>
        </row>
        <row r="201">
          <cell r="B201">
            <v>25000000000198</v>
          </cell>
          <cell r="C201" t="str">
            <v>Ida Tri Wulaningsih</v>
          </cell>
        </row>
        <row r="202">
          <cell r="B202">
            <v>25000000000199</v>
          </cell>
          <cell r="C202" t="str">
            <v>Idham</v>
          </cell>
        </row>
        <row r="203">
          <cell r="B203">
            <v>25000000000200</v>
          </cell>
          <cell r="C203" t="str">
            <v>Idham Nasution</v>
          </cell>
        </row>
        <row r="204">
          <cell r="B204">
            <v>25000000000201</v>
          </cell>
          <cell r="C204" t="str">
            <v>Idian</v>
          </cell>
        </row>
        <row r="205">
          <cell r="B205">
            <v>25000000000202</v>
          </cell>
          <cell r="C205" t="str">
            <v>Ikun M. Soedrajat</v>
          </cell>
        </row>
        <row r="206">
          <cell r="B206">
            <v>25000000000203</v>
          </cell>
          <cell r="C206" t="str">
            <v>Ilham Arisyandy</v>
          </cell>
        </row>
        <row r="207">
          <cell r="B207">
            <v>25000000000204</v>
          </cell>
          <cell r="C207" t="str">
            <v>Ilham Akbar</v>
          </cell>
        </row>
        <row r="208">
          <cell r="B208">
            <v>25000000000205</v>
          </cell>
          <cell r="C208" t="str">
            <v>Imam Basuki</v>
          </cell>
        </row>
        <row r="209">
          <cell r="B209">
            <v>25000000000206</v>
          </cell>
          <cell r="C209" t="str">
            <v>Imam Mustofa</v>
          </cell>
        </row>
        <row r="210">
          <cell r="B210">
            <v>25000000000207</v>
          </cell>
          <cell r="C210" t="str">
            <v>Imam Safiiy</v>
          </cell>
        </row>
        <row r="211">
          <cell r="B211">
            <v>25000000000208</v>
          </cell>
          <cell r="C211" t="str">
            <v>Iman Hakiki</v>
          </cell>
        </row>
        <row r="212">
          <cell r="B212">
            <v>25000000000209</v>
          </cell>
          <cell r="C212" t="str">
            <v>Imelda Claudia</v>
          </cell>
        </row>
        <row r="213">
          <cell r="B213">
            <v>25000000000210</v>
          </cell>
          <cell r="C213" t="str">
            <v>Indawan Haryadi</v>
          </cell>
        </row>
        <row r="214">
          <cell r="B214">
            <v>25000000000211</v>
          </cell>
          <cell r="C214" t="str">
            <v>Indra Jaya</v>
          </cell>
        </row>
        <row r="215">
          <cell r="B215">
            <v>25000000000212</v>
          </cell>
          <cell r="C215" t="str">
            <v>Indra Muchtar</v>
          </cell>
        </row>
        <row r="216">
          <cell r="B216">
            <v>25000000000213</v>
          </cell>
          <cell r="C216" t="str">
            <v>Irvan</v>
          </cell>
        </row>
        <row r="217">
          <cell r="B217">
            <v>25000000000214</v>
          </cell>
          <cell r="C217" t="str">
            <v>Irvan Agus Dharma Eka Putra</v>
          </cell>
        </row>
        <row r="218">
          <cell r="B218">
            <v>25000000000215</v>
          </cell>
          <cell r="C218" t="str">
            <v>Irwan</v>
          </cell>
        </row>
        <row r="219">
          <cell r="B219">
            <v>25000000000216</v>
          </cell>
          <cell r="C219" t="str">
            <v>Isa Anshori</v>
          </cell>
        </row>
        <row r="220">
          <cell r="B220">
            <v>25000000000217</v>
          </cell>
          <cell r="C220" t="str">
            <v>Isa Taufiq</v>
          </cell>
        </row>
        <row r="221">
          <cell r="B221">
            <v>25000000000218</v>
          </cell>
          <cell r="C221" t="str">
            <v>Iskandarsyah</v>
          </cell>
        </row>
        <row r="222">
          <cell r="B222">
            <v>25000000000219</v>
          </cell>
          <cell r="C222" t="str">
            <v>Istanto Istanto</v>
          </cell>
        </row>
        <row r="223">
          <cell r="B223">
            <v>25000000000220</v>
          </cell>
          <cell r="C223" t="str">
            <v>Iswahyuni</v>
          </cell>
        </row>
        <row r="224">
          <cell r="B224">
            <v>25000000000221</v>
          </cell>
          <cell r="C224" t="str">
            <v>Iva Nurvahayati</v>
          </cell>
        </row>
        <row r="225">
          <cell r="B225">
            <v>25000000000222</v>
          </cell>
          <cell r="C225" t="str">
            <v>Iwan Setiawan</v>
          </cell>
        </row>
        <row r="226">
          <cell r="B226">
            <v>25000000000223</v>
          </cell>
          <cell r="C226" t="str">
            <v>Iwan Sumantri</v>
          </cell>
        </row>
        <row r="227">
          <cell r="B227">
            <v>25000000000224</v>
          </cell>
          <cell r="C227" t="str">
            <v>Iwan Wibawa</v>
          </cell>
        </row>
        <row r="228">
          <cell r="B228">
            <v>25000000000225</v>
          </cell>
          <cell r="C228" t="str">
            <v>Iyus Darwin</v>
          </cell>
        </row>
        <row r="229">
          <cell r="B229">
            <v>25000000000226</v>
          </cell>
          <cell r="C229" t="str">
            <v>Jaenudin</v>
          </cell>
        </row>
        <row r="230">
          <cell r="B230">
            <v>25000000000227</v>
          </cell>
          <cell r="C230" t="str">
            <v>Jaruli Samosir</v>
          </cell>
        </row>
        <row r="231">
          <cell r="B231">
            <v>25000000000228</v>
          </cell>
          <cell r="C231" t="str">
            <v>Jaya Ganef</v>
          </cell>
        </row>
        <row r="232">
          <cell r="B232">
            <v>25000000000229</v>
          </cell>
          <cell r="C232" t="str">
            <v>Jaya Sitepu</v>
          </cell>
        </row>
        <row r="233">
          <cell r="B233">
            <v>25000000000230</v>
          </cell>
          <cell r="C233" t="str">
            <v>Jeefrianda H. P. Sigalingging</v>
          </cell>
        </row>
        <row r="234">
          <cell r="B234">
            <v>25000000000231</v>
          </cell>
          <cell r="C234" t="str">
            <v>Jerry Djajasaputra</v>
          </cell>
        </row>
        <row r="235">
          <cell r="B235">
            <v>25000000000232</v>
          </cell>
          <cell r="C235" t="str">
            <v>Jimmywal</v>
          </cell>
        </row>
        <row r="236">
          <cell r="B236">
            <v>25000000000233</v>
          </cell>
          <cell r="C236" t="str">
            <v>Jodie Satria</v>
          </cell>
        </row>
        <row r="237">
          <cell r="B237">
            <v>25000000000234</v>
          </cell>
          <cell r="C237" t="str">
            <v>Johannes Silalahi</v>
          </cell>
        </row>
        <row r="238">
          <cell r="B238">
            <v>25000000000235</v>
          </cell>
          <cell r="C238" t="str">
            <v>Joko Wiyono</v>
          </cell>
        </row>
        <row r="239">
          <cell r="B239">
            <v>25000000000236</v>
          </cell>
          <cell r="C239" t="str">
            <v>Jondril Hantoni</v>
          </cell>
        </row>
        <row r="240">
          <cell r="B240">
            <v>25000000000237</v>
          </cell>
          <cell r="C240" t="str">
            <v>Jonhar Aziz</v>
          </cell>
        </row>
        <row r="241">
          <cell r="B241">
            <v>25000000000238</v>
          </cell>
          <cell r="C241" t="str">
            <v>Juan Talitha</v>
          </cell>
        </row>
        <row r="242">
          <cell r="B242">
            <v>25000000000239</v>
          </cell>
          <cell r="C242" t="str">
            <v>Juharja Juharja</v>
          </cell>
        </row>
        <row r="243">
          <cell r="B243">
            <v>25000000000240</v>
          </cell>
          <cell r="C243" t="str">
            <v>Juminar</v>
          </cell>
        </row>
        <row r="244">
          <cell r="B244">
            <v>25000000000241</v>
          </cell>
          <cell r="C244" t="str">
            <v>Jumino</v>
          </cell>
        </row>
        <row r="245">
          <cell r="B245">
            <v>25000000000242</v>
          </cell>
          <cell r="C245" t="str">
            <v>Junaedi</v>
          </cell>
        </row>
        <row r="246">
          <cell r="B246">
            <v>25000000000243</v>
          </cell>
          <cell r="C246" t="str">
            <v>Junaidi</v>
          </cell>
        </row>
        <row r="247">
          <cell r="B247">
            <v>25000000000244</v>
          </cell>
          <cell r="C247" t="str">
            <v>Jusuf Bobby Putra</v>
          </cell>
        </row>
        <row r="248">
          <cell r="B248">
            <v>25000000000245</v>
          </cell>
          <cell r="C248" t="str">
            <v>Jusuf Gandi</v>
          </cell>
        </row>
        <row r="249">
          <cell r="B249">
            <v>25000000000246</v>
          </cell>
          <cell r="C249" t="str">
            <v>Kahar Triyono</v>
          </cell>
        </row>
        <row r="250">
          <cell r="B250">
            <v>25000000000247</v>
          </cell>
          <cell r="C250" t="str">
            <v>Keila</v>
          </cell>
        </row>
        <row r="251">
          <cell r="B251">
            <v>25000000000248</v>
          </cell>
          <cell r="C251" t="str">
            <v>Kendra Daniswara</v>
          </cell>
        </row>
        <row r="252">
          <cell r="B252">
            <v>25000000000249</v>
          </cell>
          <cell r="C252" t="str">
            <v>Kevin Henokh Tambunan</v>
          </cell>
        </row>
        <row r="253">
          <cell r="B253">
            <v>25000000000250</v>
          </cell>
          <cell r="C253" t="str">
            <v>Khafid Fahrurrozi</v>
          </cell>
        </row>
        <row r="254">
          <cell r="B254">
            <v>25000000000251</v>
          </cell>
          <cell r="C254" t="str">
            <v>Kholik</v>
          </cell>
        </row>
        <row r="255">
          <cell r="B255">
            <v>25000000000252</v>
          </cell>
          <cell r="C255" t="str">
            <v>Kiki Mustikawati</v>
          </cell>
        </row>
        <row r="256">
          <cell r="B256">
            <v>25000000000253</v>
          </cell>
          <cell r="C256" t="str">
            <v>Kornelius Sakan</v>
          </cell>
        </row>
        <row r="257">
          <cell r="B257">
            <v>25000000000254</v>
          </cell>
          <cell r="C257" t="str">
            <v>Kosasih</v>
          </cell>
        </row>
        <row r="258">
          <cell r="B258">
            <v>25000000000255</v>
          </cell>
          <cell r="C258" t="str">
            <v>Krisnawan</v>
          </cell>
        </row>
        <row r="259">
          <cell r="B259">
            <v>25000000000256</v>
          </cell>
          <cell r="C259" t="str">
            <v>Kurniadi</v>
          </cell>
        </row>
        <row r="260">
          <cell r="B260">
            <v>25000000000257</v>
          </cell>
          <cell r="C260" t="str">
            <v>Kurniawan</v>
          </cell>
        </row>
        <row r="261">
          <cell r="B261">
            <v>25000000000258</v>
          </cell>
          <cell r="C261" t="str">
            <v>Laode</v>
          </cell>
        </row>
        <row r="262">
          <cell r="B262">
            <v>25000000000259</v>
          </cell>
          <cell r="C262" t="str">
            <v>Leo Nababan</v>
          </cell>
        </row>
        <row r="263">
          <cell r="B263">
            <v>25000000000260</v>
          </cell>
          <cell r="C263" t="str">
            <v>Liani Atmaningrum</v>
          </cell>
        </row>
        <row r="264">
          <cell r="B264">
            <v>25000000000261</v>
          </cell>
          <cell r="C264" t="str">
            <v>Liaseptriani Liaseptriani</v>
          </cell>
        </row>
        <row r="265">
          <cell r="B265">
            <v>25000000000262</v>
          </cell>
          <cell r="C265" t="str">
            <v>Lisma Natalia</v>
          </cell>
        </row>
        <row r="266">
          <cell r="B266">
            <v>25000000000263</v>
          </cell>
          <cell r="C266" t="str">
            <v>Listyo Hartanto</v>
          </cell>
        </row>
        <row r="267">
          <cell r="B267">
            <v>25000000000264</v>
          </cell>
          <cell r="C267" t="str">
            <v>M. Ari Ardizah Nasution</v>
          </cell>
        </row>
        <row r="268">
          <cell r="B268">
            <v>25000000000265</v>
          </cell>
          <cell r="C268" t="str">
            <v>M. Denny  Micrazudin</v>
          </cell>
        </row>
        <row r="269">
          <cell r="B269">
            <v>25000000000266</v>
          </cell>
          <cell r="C269" t="str">
            <v>M. Ridho Pramudia</v>
          </cell>
        </row>
        <row r="270">
          <cell r="B270">
            <v>25000000000267</v>
          </cell>
          <cell r="C270" t="str">
            <v>M. Rusdi</v>
          </cell>
        </row>
        <row r="271">
          <cell r="B271">
            <v>25000000000268</v>
          </cell>
          <cell r="C271" t="str">
            <v>M. Ervan Isyawal Akbar</v>
          </cell>
        </row>
        <row r="272">
          <cell r="B272">
            <v>25000000000269</v>
          </cell>
          <cell r="C272" t="str">
            <v>Maharani Tanjungsari</v>
          </cell>
        </row>
        <row r="273">
          <cell r="B273">
            <v>25000000000270</v>
          </cell>
          <cell r="C273" t="str">
            <v>Maharani Uthmaniah</v>
          </cell>
        </row>
        <row r="274">
          <cell r="B274">
            <v>25000000000271</v>
          </cell>
          <cell r="C274" t="str">
            <v>Manotar Tamba</v>
          </cell>
        </row>
        <row r="275">
          <cell r="B275">
            <v>25000000000272</v>
          </cell>
          <cell r="C275" t="str">
            <v>Maradona Manurung</v>
          </cell>
        </row>
        <row r="276">
          <cell r="B276">
            <v>25000000000273</v>
          </cell>
          <cell r="C276" t="str">
            <v>Pantas Banjarnahor Marbun</v>
          </cell>
        </row>
        <row r="277">
          <cell r="B277">
            <v>25000000000274</v>
          </cell>
          <cell r="C277" t="str">
            <v>Marcella Avia Ramadhinaningrum</v>
          </cell>
        </row>
        <row r="278">
          <cell r="B278">
            <v>25000000000275</v>
          </cell>
          <cell r="C278" t="str">
            <v>Marissa Watak</v>
          </cell>
        </row>
        <row r="279">
          <cell r="B279">
            <v>25000000000276</v>
          </cell>
          <cell r="C279" t="str">
            <v>Marten Tabun</v>
          </cell>
        </row>
        <row r="280">
          <cell r="B280">
            <v>25000000000277</v>
          </cell>
          <cell r="C280" t="str">
            <v>Martimbul Rahman</v>
          </cell>
        </row>
        <row r="281">
          <cell r="B281">
            <v>25000000000278</v>
          </cell>
          <cell r="C281" t="str">
            <v>T. Marungkil U. S. Sagala</v>
          </cell>
        </row>
        <row r="282">
          <cell r="B282">
            <v>25000000000279</v>
          </cell>
          <cell r="C282" t="str">
            <v>Marzuki</v>
          </cell>
        </row>
        <row r="283">
          <cell r="B283">
            <v>25000000000280</v>
          </cell>
          <cell r="C283" t="str">
            <v>Mashuri Mashuri</v>
          </cell>
        </row>
        <row r="284">
          <cell r="B284">
            <v>25000000000281</v>
          </cell>
          <cell r="C284" t="str">
            <v>Mat Soleh</v>
          </cell>
        </row>
        <row r="285">
          <cell r="B285">
            <v>25000000000282</v>
          </cell>
          <cell r="C285" t="str">
            <v>Mhd Syahputra</v>
          </cell>
        </row>
        <row r="286">
          <cell r="B286">
            <v>25000000000283</v>
          </cell>
          <cell r="C286" t="str">
            <v>Mia Puspitasari</v>
          </cell>
        </row>
        <row r="287">
          <cell r="B287">
            <v>25000000000284</v>
          </cell>
          <cell r="C287" t="str">
            <v>Midin Ena</v>
          </cell>
        </row>
        <row r="288">
          <cell r="B288">
            <v>25000000000285</v>
          </cell>
          <cell r="C288" t="str">
            <v>Miftakhul Muzakky</v>
          </cell>
        </row>
        <row r="289">
          <cell r="B289">
            <v>25000000000286</v>
          </cell>
          <cell r="C289" t="str">
            <v>Mista</v>
          </cell>
        </row>
        <row r="290">
          <cell r="B290">
            <v>25000000000287</v>
          </cell>
          <cell r="C290" t="str">
            <v>Mochamad Samman</v>
          </cell>
        </row>
        <row r="291">
          <cell r="B291">
            <v>25000000000288</v>
          </cell>
          <cell r="C291" t="str">
            <v>Moh. Afif</v>
          </cell>
        </row>
        <row r="292">
          <cell r="B292">
            <v>25000000000289</v>
          </cell>
          <cell r="C292" t="str">
            <v>Mohammad Arman Tompo</v>
          </cell>
        </row>
        <row r="293">
          <cell r="B293">
            <v>25000000000290</v>
          </cell>
          <cell r="C293" t="str">
            <v>Mohd. Elfan Pratama</v>
          </cell>
        </row>
        <row r="294">
          <cell r="B294">
            <v>25000000000291</v>
          </cell>
          <cell r="C294" t="str">
            <v>Monang Simarmata</v>
          </cell>
        </row>
        <row r="295">
          <cell r="B295">
            <v>25000000000292</v>
          </cell>
          <cell r="C295" t="str">
            <v>Moritz Thomsen Marbun</v>
          </cell>
        </row>
        <row r="296">
          <cell r="B296">
            <v>25000000000293</v>
          </cell>
          <cell r="C296" t="str">
            <v>Muhamad Hamdan Rifai</v>
          </cell>
        </row>
        <row r="297">
          <cell r="B297">
            <v>25000000000294</v>
          </cell>
          <cell r="C297" t="str">
            <v>Muhamad Ikhsan</v>
          </cell>
        </row>
        <row r="298">
          <cell r="B298">
            <v>25000000000295</v>
          </cell>
          <cell r="C298" t="str">
            <v>Muhamad Nurhamsach</v>
          </cell>
        </row>
        <row r="299">
          <cell r="B299">
            <v>25000000000296</v>
          </cell>
          <cell r="C299" t="str">
            <v>Muhammad Ardiansyah</v>
          </cell>
        </row>
        <row r="300">
          <cell r="B300">
            <v>25000000000297</v>
          </cell>
          <cell r="C300" t="str">
            <v>Muhammad Khadafy</v>
          </cell>
        </row>
        <row r="301">
          <cell r="B301">
            <v>25000000000298</v>
          </cell>
          <cell r="C301" t="str">
            <v>Muhammad Taufan</v>
          </cell>
        </row>
        <row r="302">
          <cell r="B302">
            <v>25000000000299</v>
          </cell>
          <cell r="C302" t="str">
            <v>Muklis</v>
          </cell>
        </row>
        <row r="303">
          <cell r="B303">
            <v>25000000000300</v>
          </cell>
          <cell r="C303" t="str">
            <v>Mulia Rohanson Harahap</v>
          </cell>
        </row>
        <row r="304">
          <cell r="B304">
            <v>25000000000301</v>
          </cell>
          <cell r="C304" t="str">
            <v>Mullan Tresna</v>
          </cell>
        </row>
        <row r="305">
          <cell r="B305">
            <v>25000000000302</v>
          </cell>
          <cell r="C305" t="str">
            <v>Mulyadi</v>
          </cell>
        </row>
        <row r="306">
          <cell r="B306">
            <v>25000000000303</v>
          </cell>
          <cell r="C306" t="str">
            <v>Mulyono</v>
          </cell>
        </row>
        <row r="307">
          <cell r="B307">
            <v>25000000000304</v>
          </cell>
          <cell r="C307" t="str">
            <v>Murdiansyah</v>
          </cell>
        </row>
        <row r="308">
          <cell r="B308">
            <v>25000000000305</v>
          </cell>
          <cell r="C308" t="str">
            <v>Mursalim</v>
          </cell>
        </row>
        <row r="309">
          <cell r="B309">
            <v>25000000000306</v>
          </cell>
          <cell r="C309" t="str">
            <v>Nancy Meriana Sinaga</v>
          </cell>
        </row>
        <row r="310">
          <cell r="B310">
            <v>25000000000307</v>
          </cell>
          <cell r="C310" t="str">
            <v>Nandang Effendi</v>
          </cell>
        </row>
        <row r="311">
          <cell r="B311">
            <v>25000000000308</v>
          </cell>
          <cell r="C311" t="str">
            <v>Narno</v>
          </cell>
        </row>
        <row r="312">
          <cell r="B312">
            <v>25000000000309</v>
          </cell>
          <cell r="C312" t="str">
            <v>Nasrul Anwar P.</v>
          </cell>
        </row>
        <row r="313">
          <cell r="B313">
            <v>25000000000310</v>
          </cell>
          <cell r="C313" t="str">
            <v>Nawal</v>
          </cell>
        </row>
        <row r="314">
          <cell r="B314">
            <v>25000000000311</v>
          </cell>
          <cell r="C314" t="str">
            <v>Nawir Lahamutu</v>
          </cell>
        </row>
        <row r="315">
          <cell r="B315">
            <v>25000000000312</v>
          </cell>
          <cell r="C315" t="str">
            <v>Nicky Kurnia</v>
          </cell>
        </row>
        <row r="316">
          <cell r="B316">
            <v>25000000000313</v>
          </cell>
          <cell r="C316" t="str">
            <v>Noercholis Firmansyah</v>
          </cell>
        </row>
        <row r="317">
          <cell r="B317">
            <v>25000000000314</v>
          </cell>
          <cell r="C317" t="str">
            <v>Nopitasari</v>
          </cell>
        </row>
        <row r="318">
          <cell r="B318">
            <v>25000000000315</v>
          </cell>
          <cell r="C318" t="str">
            <v>Nora Meilissa</v>
          </cell>
        </row>
        <row r="319">
          <cell r="B319">
            <v>25000000000316</v>
          </cell>
          <cell r="C319" t="str">
            <v>Novalia</v>
          </cell>
        </row>
        <row r="320">
          <cell r="B320">
            <v>25000000000317</v>
          </cell>
          <cell r="C320" t="str">
            <v>Novan Nugraha</v>
          </cell>
        </row>
        <row r="321">
          <cell r="B321">
            <v>25000000000318</v>
          </cell>
          <cell r="C321" t="str">
            <v>Nugraha</v>
          </cell>
        </row>
        <row r="322">
          <cell r="B322">
            <v>25000000000319</v>
          </cell>
          <cell r="C322" t="str">
            <v>Nugroho Putranto</v>
          </cell>
        </row>
        <row r="323">
          <cell r="B323">
            <v>25000000000320</v>
          </cell>
          <cell r="C323" t="str">
            <v>Nur Indra Sri Melati</v>
          </cell>
        </row>
        <row r="324">
          <cell r="B324">
            <v>25000000000321</v>
          </cell>
          <cell r="C324" t="str">
            <v>Nur Kusumowati</v>
          </cell>
        </row>
        <row r="325">
          <cell r="B325">
            <v>25000000000322</v>
          </cell>
          <cell r="C325" t="str">
            <v>Nurhidayat</v>
          </cell>
        </row>
        <row r="326">
          <cell r="B326">
            <v>25000000000323</v>
          </cell>
          <cell r="C326" t="str">
            <v>Otong Bustori</v>
          </cell>
        </row>
        <row r="327">
          <cell r="B327">
            <v>25000000000324</v>
          </cell>
          <cell r="C327" t="str">
            <v>Paino Suprayinto</v>
          </cell>
        </row>
        <row r="328">
          <cell r="B328">
            <v>25000000000325</v>
          </cell>
          <cell r="C328" t="str">
            <v>Panca Yudi Baskoro</v>
          </cell>
        </row>
        <row r="329">
          <cell r="B329">
            <v>25000000000326</v>
          </cell>
          <cell r="C329" t="str">
            <v>Panji Bima Santri</v>
          </cell>
        </row>
        <row r="330">
          <cell r="B330">
            <v>25000000000327</v>
          </cell>
          <cell r="C330" t="str">
            <v>Parulian Napitupulu</v>
          </cell>
        </row>
        <row r="331">
          <cell r="B331">
            <v>25000000000328</v>
          </cell>
          <cell r="C331" t="str">
            <v>Paryanto</v>
          </cell>
        </row>
        <row r="332">
          <cell r="B332">
            <v>25000000000329</v>
          </cell>
          <cell r="C332" t="str">
            <v>Pikri Hidayat</v>
          </cell>
        </row>
        <row r="333">
          <cell r="B333">
            <v>25000000000330</v>
          </cell>
          <cell r="C333" t="str">
            <v>Prayanti Dewi Anggraini</v>
          </cell>
        </row>
        <row r="334">
          <cell r="B334">
            <v>25000000000331</v>
          </cell>
          <cell r="C334" t="str">
            <v>Prayati Zai</v>
          </cell>
        </row>
        <row r="335">
          <cell r="B335">
            <v>25000000000332</v>
          </cell>
          <cell r="C335" t="str">
            <v>Pristu Andonoto</v>
          </cell>
        </row>
        <row r="336">
          <cell r="B336">
            <v>25000000000333</v>
          </cell>
          <cell r="C336" t="str">
            <v>Putra Perdana Tirtomoyo</v>
          </cell>
        </row>
        <row r="337">
          <cell r="B337">
            <v>25000000000334</v>
          </cell>
          <cell r="C337" t="str">
            <v>R. Lar Kumalaning Tresno</v>
          </cell>
        </row>
        <row r="338">
          <cell r="B338">
            <v>25000000000335</v>
          </cell>
          <cell r="C338" t="str">
            <v>Rachmad</v>
          </cell>
        </row>
        <row r="339">
          <cell r="B339">
            <v>25000000000336</v>
          </cell>
          <cell r="C339" t="str">
            <v>Radjiman</v>
          </cell>
        </row>
        <row r="340">
          <cell r="B340">
            <v>25000000000337</v>
          </cell>
          <cell r="C340" t="str">
            <v>Rafi Firman Saputra</v>
          </cell>
        </row>
        <row r="341">
          <cell r="B341">
            <v>25000000000338</v>
          </cell>
          <cell r="C341" t="str">
            <v>Rahmat Riyadi</v>
          </cell>
        </row>
        <row r="342">
          <cell r="B342">
            <v>25000000000339</v>
          </cell>
          <cell r="C342" t="str">
            <v>Rahmat Sirfano</v>
          </cell>
        </row>
        <row r="343">
          <cell r="B343">
            <v>25000000000340</v>
          </cell>
          <cell r="C343" t="str">
            <v>Rais Indra Noor</v>
          </cell>
        </row>
        <row r="344">
          <cell r="B344">
            <v>25000000000341</v>
          </cell>
          <cell r="C344" t="str">
            <v>Rakman A. Hadi</v>
          </cell>
        </row>
        <row r="345">
          <cell r="B345">
            <v>25000000000342</v>
          </cell>
          <cell r="C345" t="str">
            <v>Ramaizon</v>
          </cell>
        </row>
        <row r="346">
          <cell r="B346">
            <v>25000000000343</v>
          </cell>
          <cell r="C346" t="str">
            <v>Rangga Darmawan</v>
          </cell>
        </row>
        <row r="347">
          <cell r="B347">
            <v>25000000000344</v>
          </cell>
          <cell r="C347" t="str">
            <v>Raoli Nainggolan</v>
          </cell>
        </row>
        <row r="348">
          <cell r="B348">
            <v>25000000000345</v>
          </cell>
          <cell r="C348" t="str">
            <v>Rayan Suryadikara</v>
          </cell>
        </row>
        <row r="349">
          <cell r="B349">
            <v>25000000000346</v>
          </cell>
          <cell r="C349" t="str">
            <v>Redi Setiadi</v>
          </cell>
        </row>
        <row r="350">
          <cell r="B350">
            <v>25000000000347</v>
          </cell>
          <cell r="C350" t="str">
            <v>Redi Subekti</v>
          </cell>
        </row>
        <row r="351">
          <cell r="B351">
            <v>25000000000348</v>
          </cell>
          <cell r="C351" t="str">
            <v>Rendy Prananta Purba</v>
          </cell>
        </row>
        <row r="352">
          <cell r="B352">
            <v>25000000000349</v>
          </cell>
          <cell r="C352" t="str">
            <v>Reni Septiana</v>
          </cell>
        </row>
        <row r="353">
          <cell r="B353">
            <v>25000000000350</v>
          </cell>
          <cell r="C353" t="str">
            <v>Rere Ronggolawe</v>
          </cell>
        </row>
        <row r="354">
          <cell r="B354">
            <v>25000000000351</v>
          </cell>
          <cell r="C354" t="str">
            <v>Retnasha Gameswari</v>
          </cell>
        </row>
        <row r="355">
          <cell r="B355">
            <v>25000000000352</v>
          </cell>
          <cell r="C355" t="str">
            <v>Rhino Priawan</v>
          </cell>
        </row>
        <row r="356">
          <cell r="B356">
            <v>25000000000353</v>
          </cell>
          <cell r="C356" t="str">
            <v>Rian Yushak</v>
          </cell>
        </row>
        <row r="357">
          <cell r="B357">
            <v>25000000000354</v>
          </cell>
          <cell r="C357" t="str">
            <v>Riandi</v>
          </cell>
        </row>
        <row r="358">
          <cell r="B358">
            <v>25000000000355</v>
          </cell>
          <cell r="C358" t="str">
            <v>Ricky Samuel</v>
          </cell>
        </row>
        <row r="359">
          <cell r="B359">
            <v>25000000000356</v>
          </cell>
          <cell r="C359" t="str">
            <v>Ridwan Nurhadi</v>
          </cell>
        </row>
        <row r="360">
          <cell r="B360">
            <v>25000000000357</v>
          </cell>
          <cell r="C360" t="str">
            <v>Rifki</v>
          </cell>
        </row>
        <row r="361">
          <cell r="B361">
            <v>25000000000358</v>
          </cell>
          <cell r="C361" t="str">
            <v>Rika Ginting</v>
          </cell>
        </row>
        <row r="362">
          <cell r="B362">
            <v>25000000000359</v>
          </cell>
          <cell r="C362" t="str">
            <v>Riki Chairul Anwar</v>
          </cell>
        </row>
        <row r="363">
          <cell r="B363">
            <v>25000000000360</v>
          </cell>
          <cell r="C363" t="str">
            <v>Riki Evindra</v>
          </cell>
        </row>
        <row r="364">
          <cell r="B364">
            <v>25000000000361</v>
          </cell>
          <cell r="C364" t="str">
            <v>Rinaldi Asrin</v>
          </cell>
        </row>
        <row r="365">
          <cell r="B365">
            <v>25000000000362</v>
          </cell>
          <cell r="C365" t="str">
            <v>Rio Hakim</v>
          </cell>
        </row>
        <row r="366">
          <cell r="B366">
            <v>25000000000363</v>
          </cell>
          <cell r="C366" t="str">
            <v>Rio Martha</v>
          </cell>
        </row>
        <row r="367">
          <cell r="B367">
            <v>25000000000364</v>
          </cell>
          <cell r="C367" t="str">
            <v>Risdyanto Risdyanto</v>
          </cell>
        </row>
        <row r="368">
          <cell r="B368">
            <v>25000000000365</v>
          </cell>
          <cell r="C368" t="str">
            <v>Rizak Tri Septian</v>
          </cell>
        </row>
        <row r="369">
          <cell r="B369">
            <v>25000000000366</v>
          </cell>
          <cell r="C369" t="str">
            <v>Rizki Akbar</v>
          </cell>
        </row>
        <row r="370">
          <cell r="B370">
            <v>25000000000367</v>
          </cell>
          <cell r="C370" t="str">
            <v>Rizky Fauzy</v>
          </cell>
        </row>
        <row r="371">
          <cell r="B371">
            <v>25000000000368</v>
          </cell>
          <cell r="C371" t="str">
            <v>Rizky Reza Pradipta</v>
          </cell>
        </row>
        <row r="372">
          <cell r="B372">
            <v>25000000000369</v>
          </cell>
          <cell r="C372" t="str">
            <v>Rohendi Rohendi</v>
          </cell>
        </row>
        <row r="373">
          <cell r="B373">
            <v>25000000000370</v>
          </cell>
          <cell r="C373" t="str">
            <v>Rohmani</v>
          </cell>
        </row>
        <row r="374">
          <cell r="B374">
            <v>25000000000371</v>
          </cell>
          <cell r="C374" t="str">
            <v>Rommel Hutapea</v>
          </cell>
        </row>
        <row r="375">
          <cell r="B375">
            <v>25000000000372</v>
          </cell>
          <cell r="C375" t="str">
            <v>Roy Aditya</v>
          </cell>
        </row>
        <row r="376">
          <cell r="B376">
            <v>25000000000373</v>
          </cell>
          <cell r="C376" t="str">
            <v>Rubah</v>
          </cell>
        </row>
        <row r="377">
          <cell r="B377">
            <v>25000000000374</v>
          </cell>
          <cell r="C377" t="str">
            <v>Rudi Junaedi</v>
          </cell>
        </row>
        <row r="378">
          <cell r="B378">
            <v>25000000000375</v>
          </cell>
          <cell r="C378" t="str">
            <v>Ruswandi</v>
          </cell>
        </row>
        <row r="379">
          <cell r="B379">
            <v>25000000000376</v>
          </cell>
          <cell r="C379" t="str">
            <v>Ryan Bagus Sasminta</v>
          </cell>
        </row>
        <row r="380">
          <cell r="B380">
            <v>25000000000377</v>
          </cell>
          <cell r="C380" t="str">
            <v>Saarah Andriani</v>
          </cell>
        </row>
        <row r="381">
          <cell r="B381">
            <v>25000000000378</v>
          </cell>
          <cell r="C381" t="str">
            <v>Safira Nurbaiti</v>
          </cell>
        </row>
        <row r="382">
          <cell r="B382">
            <v>25000000000379</v>
          </cell>
          <cell r="C382" t="str">
            <v>Saifulloh</v>
          </cell>
        </row>
        <row r="383">
          <cell r="B383">
            <v>25000000000380</v>
          </cell>
          <cell r="C383" t="str">
            <v>Saifuloh</v>
          </cell>
        </row>
        <row r="384">
          <cell r="B384">
            <v>25000000000381</v>
          </cell>
          <cell r="C384" t="str">
            <v>Sakinah Tantriani Lubis</v>
          </cell>
        </row>
        <row r="385">
          <cell r="B385">
            <v>25000000000382</v>
          </cell>
          <cell r="C385" t="str">
            <v>Abdul Samad</v>
          </cell>
        </row>
        <row r="386">
          <cell r="B386">
            <v>25000000000383</v>
          </cell>
          <cell r="C386" t="str">
            <v>Samsul Hadi</v>
          </cell>
        </row>
        <row r="387">
          <cell r="B387">
            <v>25000000000384</v>
          </cell>
          <cell r="C387" t="str">
            <v>Sandika</v>
          </cell>
        </row>
        <row r="388">
          <cell r="B388">
            <v>25000000000385</v>
          </cell>
          <cell r="C388" t="str">
            <v>Sang Toga Sitompul</v>
          </cell>
        </row>
        <row r="389">
          <cell r="B389">
            <v>25000000000386</v>
          </cell>
          <cell r="C389" t="str">
            <v>Santi Dewi R. W.</v>
          </cell>
        </row>
        <row r="390">
          <cell r="B390">
            <v>25000000000387</v>
          </cell>
          <cell r="C390" t="str">
            <v>Sarah Sibarani</v>
          </cell>
        </row>
        <row r="391">
          <cell r="B391">
            <v>25000000000388</v>
          </cell>
          <cell r="C391" t="str">
            <v>Sarif Hidayatul Umah</v>
          </cell>
        </row>
        <row r="392">
          <cell r="B392">
            <v>25000000000389</v>
          </cell>
          <cell r="C392" t="str">
            <v>Satria Budi Raharja</v>
          </cell>
        </row>
        <row r="393">
          <cell r="B393">
            <v>25000000000390</v>
          </cell>
          <cell r="C393" t="str">
            <v>Saut M. P. L. Tobing</v>
          </cell>
        </row>
        <row r="394">
          <cell r="B394">
            <v>25000000000391</v>
          </cell>
          <cell r="C394" t="str">
            <v>Seftiyan Hadi Maulana</v>
          </cell>
        </row>
        <row r="395">
          <cell r="B395">
            <v>25000000000392</v>
          </cell>
          <cell r="C395" t="str">
            <v>Sena Andi Satria</v>
          </cell>
        </row>
        <row r="396">
          <cell r="B396">
            <v>25000000000393</v>
          </cell>
          <cell r="C396" t="str">
            <v>Setiadi</v>
          </cell>
        </row>
        <row r="397">
          <cell r="B397">
            <v>25000000000394</v>
          </cell>
          <cell r="C397" t="str">
            <v>Sherly Tamira</v>
          </cell>
        </row>
        <row r="398">
          <cell r="B398">
            <v>25000000000395</v>
          </cell>
          <cell r="C398" t="str">
            <v>Shihab</v>
          </cell>
        </row>
        <row r="399">
          <cell r="B399">
            <v>25000000000396</v>
          </cell>
          <cell r="C399" t="str">
            <v>Shobarin Jabar</v>
          </cell>
        </row>
        <row r="400">
          <cell r="B400">
            <v>25000000000397</v>
          </cell>
          <cell r="C400" t="str">
            <v>Sholehah</v>
          </cell>
        </row>
        <row r="401">
          <cell r="B401">
            <v>25000000000398</v>
          </cell>
          <cell r="C401" t="str">
            <v>Sigit Rudiantono</v>
          </cell>
        </row>
        <row r="402">
          <cell r="B402">
            <v>25000000000399</v>
          </cell>
          <cell r="C402" t="str">
            <v>Silvia Putri</v>
          </cell>
        </row>
        <row r="403">
          <cell r="B403">
            <v>25000000000400</v>
          </cell>
          <cell r="C403" t="str">
            <v>Simron Ronaldi Nasution</v>
          </cell>
        </row>
        <row r="404">
          <cell r="B404">
            <v>25000000000401</v>
          </cell>
          <cell r="C404" t="str">
            <v>Sinta Vera Trikawati</v>
          </cell>
        </row>
        <row r="405">
          <cell r="B405">
            <v>25000000000402</v>
          </cell>
          <cell r="C405" t="str">
            <v>Sir Muhammad Zafrulloh Khan</v>
          </cell>
        </row>
        <row r="406">
          <cell r="B406">
            <v>25000000000403</v>
          </cell>
          <cell r="C406" t="str">
            <v>Siska Marlina</v>
          </cell>
        </row>
        <row r="407">
          <cell r="B407">
            <v>25000000000404</v>
          </cell>
          <cell r="C407" t="str">
            <v>Siswanto</v>
          </cell>
        </row>
        <row r="408">
          <cell r="B408">
            <v>25000000000405</v>
          </cell>
          <cell r="C408" t="str">
            <v>Siti Mulyani</v>
          </cell>
        </row>
        <row r="409">
          <cell r="B409">
            <v>25000000000406</v>
          </cell>
          <cell r="C409" t="str">
            <v>Sjanti Devi</v>
          </cell>
        </row>
        <row r="410">
          <cell r="B410">
            <v>25000000000407</v>
          </cell>
          <cell r="C410" t="str">
            <v>Slamet Budi Setiawan</v>
          </cell>
        </row>
        <row r="411">
          <cell r="B411">
            <v>25000000000408</v>
          </cell>
          <cell r="C411" t="str">
            <v>Sofyan Maulana</v>
          </cell>
        </row>
        <row r="412">
          <cell r="B412">
            <v>25000000000409</v>
          </cell>
          <cell r="C412" t="str">
            <v>Subagio</v>
          </cell>
        </row>
        <row r="413">
          <cell r="B413">
            <v>25000000000410</v>
          </cell>
          <cell r="C413" t="str">
            <v>Suci Mardiana</v>
          </cell>
        </row>
        <row r="414">
          <cell r="B414">
            <v>25000000000411</v>
          </cell>
          <cell r="C414" t="str">
            <v>Suci Rachma Sari</v>
          </cell>
        </row>
        <row r="415">
          <cell r="B415">
            <v>25000000000412</v>
          </cell>
          <cell r="C415" t="str">
            <v>Sudarlan</v>
          </cell>
        </row>
        <row r="416">
          <cell r="B416">
            <v>25000000000413</v>
          </cell>
          <cell r="C416" t="str">
            <v>Sufie Amalia</v>
          </cell>
        </row>
        <row r="417">
          <cell r="B417">
            <v>25000000000414</v>
          </cell>
          <cell r="C417" t="str">
            <v>Sugeng Ismanto</v>
          </cell>
        </row>
        <row r="418">
          <cell r="B418">
            <v>25000000000415</v>
          </cell>
          <cell r="C418" t="str">
            <v>Sugiarto</v>
          </cell>
        </row>
        <row r="419">
          <cell r="B419">
            <v>25000000000416</v>
          </cell>
          <cell r="C419" t="str">
            <v>Sulih</v>
          </cell>
        </row>
        <row r="420">
          <cell r="B420">
            <v>25000000000417</v>
          </cell>
          <cell r="C420" t="str">
            <v>Sumadi</v>
          </cell>
        </row>
        <row r="421">
          <cell r="B421">
            <v>25000000000418</v>
          </cell>
          <cell r="C421" t="str">
            <v>Sumirat</v>
          </cell>
        </row>
        <row r="422">
          <cell r="B422">
            <v>25000000000419</v>
          </cell>
          <cell r="C422" t="str">
            <v>Sunaryati</v>
          </cell>
        </row>
        <row r="423">
          <cell r="B423">
            <v>25000000000420</v>
          </cell>
          <cell r="C423" t="str">
            <v>Supriyadi</v>
          </cell>
        </row>
        <row r="424">
          <cell r="B424">
            <v>25000000000421</v>
          </cell>
          <cell r="C424" t="str">
            <v>Suriono Suriono</v>
          </cell>
        </row>
        <row r="425">
          <cell r="B425">
            <v>25000000000422</v>
          </cell>
          <cell r="C425" t="str">
            <v>Surono</v>
          </cell>
        </row>
        <row r="426">
          <cell r="B426">
            <v>25000000000423</v>
          </cell>
          <cell r="C426" t="str">
            <v>Surtoyo Syukri</v>
          </cell>
        </row>
        <row r="427">
          <cell r="B427">
            <v>25000000000424</v>
          </cell>
          <cell r="C427" t="str">
            <v>Suryadi</v>
          </cell>
        </row>
        <row r="428">
          <cell r="B428">
            <v>25000000000425</v>
          </cell>
          <cell r="C428" t="str">
            <v>Susilawati</v>
          </cell>
        </row>
        <row r="429">
          <cell r="B429">
            <v>25000000000426</v>
          </cell>
          <cell r="C429" t="str">
            <v>Sutarno</v>
          </cell>
        </row>
        <row r="430">
          <cell r="B430">
            <v>25000000000427</v>
          </cell>
          <cell r="C430" t="str">
            <v>Sutra Riandi</v>
          </cell>
        </row>
        <row r="431">
          <cell r="B431">
            <v>25000000000428</v>
          </cell>
          <cell r="C431" t="str">
            <v>Suyanto</v>
          </cell>
        </row>
        <row r="432">
          <cell r="B432">
            <v>25000000000429</v>
          </cell>
          <cell r="C432" t="str">
            <v>Swar Jono</v>
          </cell>
        </row>
        <row r="433">
          <cell r="B433">
            <v>25000000000430</v>
          </cell>
          <cell r="C433" t="str">
            <v>Syafruddin</v>
          </cell>
        </row>
        <row r="434">
          <cell r="B434">
            <v>25000000000431</v>
          </cell>
          <cell r="C434" t="str">
            <v>Syafrudin Machmud</v>
          </cell>
        </row>
        <row r="435">
          <cell r="B435">
            <v>25000000000432</v>
          </cell>
          <cell r="C435" t="str">
            <v>Syahrizal</v>
          </cell>
        </row>
        <row r="436">
          <cell r="B436">
            <v>25000000000433</v>
          </cell>
          <cell r="C436" t="str">
            <v>Syaiful Idjam</v>
          </cell>
        </row>
        <row r="437">
          <cell r="B437">
            <v>25000000000434</v>
          </cell>
          <cell r="C437" t="str">
            <v>Tajuddin Assubki Ismail</v>
          </cell>
        </row>
        <row r="438">
          <cell r="B438">
            <v>25000000000435</v>
          </cell>
          <cell r="C438" t="str">
            <v>Taslim</v>
          </cell>
        </row>
        <row r="439">
          <cell r="B439">
            <v>25000000000436</v>
          </cell>
          <cell r="C439" t="str">
            <v>Taufik Mulia Pane</v>
          </cell>
        </row>
        <row r="440">
          <cell r="B440">
            <v>25000000000437</v>
          </cell>
          <cell r="C440" t="str">
            <v>Tedy Harseno</v>
          </cell>
        </row>
        <row r="441">
          <cell r="B441">
            <v>25000000000438</v>
          </cell>
          <cell r="C441" t="str">
            <v>Teguh Joko Pamuji</v>
          </cell>
        </row>
        <row r="442">
          <cell r="B442">
            <v>25000000000439</v>
          </cell>
          <cell r="C442" t="str">
            <v>Teguh Pratama Januzir Sukin</v>
          </cell>
        </row>
        <row r="443">
          <cell r="B443">
            <v>25000000000440</v>
          </cell>
          <cell r="C443" t="str">
            <v>Teguh Susanto</v>
          </cell>
        </row>
        <row r="444">
          <cell r="B444">
            <v>25000000000441</v>
          </cell>
          <cell r="C444" t="str">
            <v>Tenri Sumange</v>
          </cell>
        </row>
        <row r="445">
          <cell r="B445">
            <v>25000000000442</v>
          </cell>
          <cell r="C445" t="str">
            <v>Teuku Zulkifli</v>
          </cell>
        </row>
        <row r="446">
          <cell r="B446">
            <v>25000000000443</v>
          </cell>
          <cell r="C446" t="str">
            <v>Tiara Kemalasari</v>
          </cell>
        </row>
        <row r="447">
          <cell r="B447">
            <v>25000000000444</v>
          </cell>
          <cell r="C447" t="str">
            <v>Tjhang Linawati</v>
          </cell>
        </row>
        <row r="448">
          <cell r="B448">
            <v>25000000000445</v>
          </cell>
          <cell r="C448" t="str">
            <v>Totok Kristianto</v>
          </cell>
        </row>
        <row r="449">
          <cell r="B449">
            <v>25000000000446</v>
          </cell>
          <cell r="C449" t="str">
            <v>Tri Aji</v>
          </cell>
        </row>
        <row r="450">
          <cell r="B450">
            <v>25000000000447</v>
          </cell>
          <cell r="C450" t="str">
            <v>Tri M. Saputra</v>
          </cell>
        </row>
        <row r="451">
          <cell r="B451">
            <v>25000000000448</v>
          </cell>
          <cell r="C451" t="str">
            <v>Triani Irma</v>
          </cell>
        </row>
        <row r="452">
          <cell r="B452">
            <v>25000000000449</v>
          </cell>
          <cell r="C452" t="str">
            <v>Trisyanto</v>
          </cell>
        </row>
        <row r="453">
          <cell r="B453">
            <v>25000000000450</v>
          </cell>
          <cell r="C453" t="str">
            <v>Triwiarti Dibya</v>
          </cell>
        </row>
        <row r="454">
          <cell r="B454">
            <v>25000000000451</v>
          </cell>
          <cell r="C454" t="str">
            <v>Triyono</v>
          </cell>
        </row>
        <row r="455">
          <cell r="B455">
            <v>25000000000452</v>
          </cell>
          <cell r="C455" t="str">
            <v>Turita Pramuning Marantina</v>
          </cell>
        </row>
        <row r="456">
          <cell r="B456">
            <v>25000000000453</v>
          </cell>
          <cell r="C456" t="str">
            <v>Tutus Ary</v>
          </cell>
        </row>
        <row r="457">
          <cell r="B457">
            <v>25000000000454</v>
          </cell>
          <cell r="C457" t="str">
            <v>Ubaidillah</v>
          </cell>
        </row>
        <row r="458">
          <cell r="B458">
            <v>25000000000455</v>
          </cell>
          <cell r="C458" t="str">
            <v>Ujang Barma</v>
          </cell>
        </row>
        <row r="459">
          <cell r="B459">
            <v>25000000000456</v>
          </cell>
          <cell r="C459" t="str">
            <v>Ujang Suryana</v>
          </cell>
        </row>
        <row r="460">
          <cell r="B460">
            <v>25000000000457</v>
          </cell>
          <cell r="C460" t="str">
            <v>Ulman Juanda</v>
          </cell>
        </row>
        <row r="461">
          <cell r="B461">
            <v>25000000000458</v>
          </cell>
          <cell r="C461" t="str">
            <v>Urbanus Boimau</v>
          </cell>
        </row>
        <row r="462">
          <cell r="B462">
            <v>25000000000459</v>
          </cell>
          <cell r="C462" t="str">
            <v>Uswatun Hasamah</v>
          </cell>
        </row>
        <row r="463">
          <cell r="B463">
            <v>25000000000460</v>
          </cell>
          <cell r="C463" t="str">
            <v>Uswatun Khasanah</v>
          </cell>
        </row>
        <row r="464">
          <cell r="B464">
            <v>25000000000461</v>
          </cell>
          <cell r="C464" t="str">
            <v>Utami Dewi</v>
          </cell>
        </row>
        <row r="465">
          <cell r="B465">
            <v>25000000000462</v>
          </cell>
          <cell r="C465" t="str">
            <v>Utanto</v>
          </cell>
        </row>
        <row r="466">
          <cell r="B466">
            <v>25000000000463</v>
          </cell>
          <cell r="C466" t="str">
            <v>Veradita Yulanda</v>
          </cell>
        </row>
        <row r="467">
          <cell r="B467">
            <v>25000000000464</v>
          </cell>
          <cell r="C467" t="str">
            <v>Vidhy Kartika Putri</v>
          </cell>
        </row>
        <row r="468">
          <cell r="B468">
            <v>25000000000465</v>
          </cell>
          <cell r="C468" t="str">
            <v>Vonny Agram</v>
          </cell>
        </row>
        <row r="469">
          <cell r="B469">
            <v>25000000000466</v>
          </cell>
          <cell r="C469" t="str">
            <v>Wahyu</v>
          </cell>
        </row>
        <row r="470">
          <cell r="B470">
            <v>25000000000467</v>
          </cell>
          <cell r="C470" t="str">
            <v>Wahyu Ramadhani</v>
          </cell>
        </row>
        <row r="471">
          <cell r="B471">
            <v>25000000000468</v>
          </cell>
          <cell r="C471" t="str">
            <v>Wahyu Widodo</v>
          </cell>
        </row>
        <row r="472">
          <cell r="B472">
            <v>25000000000469</v>
          </cell>
          <cell r="C472" t="str">
            <v>Warsito Edy Saputra</v>
          </cell>
        </row>
        <row r="473">
          <cell r="B473">
            <v>25000000000470</v>
          </cell>
          <cell r="C473" t="str">
            <v>Weldi Wimar</v>
          </cell>
        </row>
        <row r="474">
          <cell r="B474">
            <v>25000000000471</v>
          </cell>
          <cell r="C474" t="str">
            <v>Wendy Septiyan</v>
          </cell>
        </row>
        <row r="475">
          <cell r="B475">
            <v>25000000000472</v>
          </cell>
          <cell r="C475" t="str">
            <v>Willy Indarto</v>
          </cell>
        </row>
        <row r="476">
          <cell r="B476">
            <v>25000000000473</v>
          </cell>
          <cell r="C476" t="str">
            <v>Winda Suherman</v>
          </cell>
        </row>
        <row r="477">
          <cell r="B477">
            <v>25000000000474</v>
          </cell>
          <cell r="C477" t="str">
            <v>Wisnu Ardian</v>
          </cell>
        </row>
        <row r="478">
          <cell r="B478">
            <v>25000000000475</v>
          </cell>
          <cell r="C478" t="str">
            <v>Wisudanto C. Suntoyo</v>
          </cell>
        </row>
        <row r="479">
          <cell r="B479">
            <v>25000000000476</v>
          </cell>
          <cell r="C479" t="str">
            <v>Yahya Adyasa Febriansyah</v>
          </cell>
        </row>
        <row r="480">
          <cell r="B480">
            <v>25000000000477</v>
          </cell>
          <cell r="C480" t="str">
            <v>Yakup Sunaryo</v>
          </cell>
        </row>
        <row r="481">
          <cell r="B481">
            <v>25000000000478</v>
          </cell>
          <cell r="C481" t="str">
            <v>Yanuar Tri Ananda</v>
          </cell>
        </row>
        <row r="482">
          <cell r="B482">
            <v>25000000000479</v>
          </cell>
          <cell r="C482" t="str">
            <v>Yasir Liem</v>
          </cell>
        </row>
        <row r="483">
          <cell r="B483">
            <v>25000000000480</v>
          </cell>
          <cell r="C483" t="str">
            <v>Yefri Hendrayani</v>
          </cell>
        </row>
        <row r="484">
          <cell r="B484">
            <v>25000000000481</v>
          </cell>
          <cell r="C484" t="str">
            <v>Yessi Setiarini</v>
          </cell>
        </row>
        <row r="485">
          <cell r="B485">
            <v>25000000000482</v>
          </cell>
          <cell r="C485" t="str">
            <v>Yorid Fae</v>
          </cell>
        </row>
        <row r="486">
          <cell r="B486">
            <v>25000000000483</v>
          </cell>
          <cell r="C486" t="str">
            <v>Yosef Hang Wan</v>
          </cell>
        </row>
        <row r="487">
          <cell r="B487">
            <v>25000000000484</v>
          </cell>
          <cell r="C487" t="str">
            <v>Yossie Deliana</v>
          </cell>
        </row>
        <row r="488">
          <cell r="B488">
            <v>25000000000485</v>
          </cell>
          <cell r="C488" t="str">
            <v>Yudi Rahmadi</v>
          </cell>
        </row>
        <row r="489">
          <cell r="B489">
            <v>25000000000486</v>
          </cell>
          <cell r="C489" t="str">
            <v>Yudo Jati Rahmat Satrio</v>
          </cell>
        </row>
        <row r="490">
          <cell r="B490">
            <v>25000000000487</v>
          </cell>
          <cell r="C490" t="str">
            <v>Yuliandaru Suryoatmodjo</v>
          </cell>
        </row>
        <row r="491">
          <cell r="B491">
            <v>25000000000488</v>
          </cell>
          <cell r="C491" t="str">
            <v>Yulianta</v>
          </cell>
        </row>
        <row r="492">
          <cell r="B492">
            <v>25000000000489</v>
          </cell>
          <cell r="C492" t="str">
            <v>Yulianti</v>
          </cell>
        </row>
        <row r="493">
          <cell r="B493">
            <v>25000000000490</v>
          </cell>
          <cell r="C493" t="str">
            <v>Yulius</v>
          </cell>
        </row>
        <row r="494">
          <cell r="B494">
            <v>25000000000491</v>
          </cell>
          <cell r="C494" t="str">
            <v>Yunni Sazili</v>
          </cell>
        </row>
        <row r="495">
          <cell r="B495">
            <v>25000000000492</v>
          </cell>
          <cell r="C495" t="str">
            <v>Yusman</v>
          </cell>
        </row>
        <row r="496">
          <cell r="B496">
            <v>25000000000493</v>
          </cell>
          <cell r="C496" t="str">
            <v>Yusri Azhar</v>
          </cell>
        </row>
        <row r="497">
          <cell r="B497">
            <v>25000000000494</v>
          </cell>
          <cell r="C497" t="str">
            <v>Zafrizal</v>
          </cell>
        </row>
        <row r="498">
          <cell r="B498">
            <v>25000000000495</v>
          </cell>
          <cell r="C498" t="str">
            <v>Zafrizal Rifla (Ucok)</v>
          </cell>
        </row>
        <row r="499">
          <cell r="B499">
            <v>25000000000496</v>
          </cell>
          <cell r="C499" t="str">
            <v>Zainuddin</v>
          </cell>
        </row>
        <row r="500">
          <cell r="B500">
            <v>25000000000497</v>
          </cell>
          <cell r="C500" t="str">
            <v>Zainudin Anwar</v>
          </cell>
        </row>
        <row r="501">
          <cell r="B501">
            <v>25000000000498</v>
          </cell>
          <cell r="C501" t="str">
            <v>Zaire Dite Biscaya</v>
          </cell>
        </row>
        <row r="502">
          <cell r="B502">
            <v>25000000000499</v>
          </cell>
          <cell r="C502" t="str">
            <v>Zalfi Yandri</v>
          </cell>
        </row>
        <row r="503">
          <cell r="B503">
            <v>25000000000500</v>
          </cell>
          <cell r="C503" t="str">
            <v>Zam Roji</v>
          </cell>
        </row>
        <row r="504">
          <cell r="B504">
            <v>25000000000501</v>
          </cell>
          <cell r="C504" t="str">
            <v>Zulfikar K. Siregar</v>
          </cell>
        </row>
        <row r="505">
          <cell r="B505">
            <v>25000000000502</v>
          </cell>
          <cell r="C505" t="str">
            <v>Adythia Adikara</v>
          </cell>
        </row>
        <row r="506">
          <cell r="B506">
            <v>25000000000503</v>
          </cell>
          <cell r="C506" t="str">
            <v>Agus Sopyan Hadi</v>
          </cell>
        </row>
        <row r="507">
          <cell r="B507">
            <v>25000000000504</v>
          </cell>
          <cell r="C507" t="str">
            <v>Azis Purwandana</v>
          </cell>
        </row>
        <row r="508">
          <cell r="B508">
            <v>25000000000505</v>
          </cell>
          <cell r="C508" t="str">
            <v>Heryanto</v>
          </cell>
        </row>
        <row r="509">
          <cell r="B509">
            <v>25000000000506</v>
          </cell>
          <cell r="C509" t="str">
            <v>Imran</v>
          </cell>
        </row>
        <row r="510">
          <cell r="B510">
            <v>25000000000507</v>
          </cell>
          <cell r="C510" t="str">
            <v>Khamim Taryono</v>
          </cell>
        </row>
        <row r="511">
          <cell r="B511">
            <v>25000000000508</v>
          </cell>
          <cell r="C511" t="str">
            <v>Rafi Artman Siddiq</v>
          </cell>
        </row>
        <row r="512">
          <cell r="B512">
            <v>25000000000509</v>
          </cell>
          <cell r="C512" t="str">
            <v>Riza Emir Subekti</v>
          </cell>
        </row>
        <row r="513">
          <cell r="B513">
            <v>25000000000510</v>
          </cell>
          <cell r="C513" t="str">
            <v>Slamet Riadi</v>
          </cell>
        </row>
        <row r="514">
          <cell r="B514">
            <v>25000000000511</v>
          </cell>
          <cell r="C514" t="str">
            <v>Wisnu Andra Isdianto</v>
          </cell>
        </row>
        <row r="515">
          <cell r="B515">
            <v>25000000000512</v>
          </cell>
          <cell r="C515" t="str">
            <v>Agus Budi Setiawan</v>
          </cell>
        </row>
        <row r="516">
          <cell r="B516">
            <v>25000000000513</v>
          </cell>
          <cell r="C516" t="str">
            <v>Ahmad Choerul</v>
          </cell>
        </row>
        <row r="517">
          <cell r="B517">
            <v>25000000000514</v>
          </cell>
          <cell r="C517" t="str">
            <v>Achmad Yunadi</v>
          </cell>
        </row>
        <row r="518">
          <cell r="B518">
            <v>25000000000515</v>
          </cell>
          <cell r="C518" t="str">
            <v>Asep mulyana</v>
          </cell>
        </row>
        <row r="519">
          <cell r="B519">
            <v>25000000000516</v>
          </cell>
          <cell r="C519" t="str">
            <v>Bagus Isdiantara</v>
          </cell>
        </row>
        <row r="520">
          <cell r="B520">
            <v>25000000000517</v>
          </cell>
          <cell r="C520" t="str">
            <v>Cahyana</v>
          </cell>
        </row>
        <row r="521">
          <cell r="B521">
            <v>25000000000518</v>
          </cell>
          <cell r="C521" t="str">
            <v>Dede Hartanto</v>
          </cell>
        </row>
        <row r="522">
          <cell r="B522">
            <v>25000000000519</v>
          </cell>
          <cell r="C522" t="str">
            <v>Denny Achmad Ferlando</v>
          </cell>
        </row>
        <row r="523">
          <cell r="B523">
            <v>25000000000520</v>
          </cell>
          <cell r="C523" t="str">
            <v>Dian Setiawan</v>
          </cell>
        </row>
        <row r="524">
          <cell r="B524">
            <v>25000000000521</v>
          </cell>
          <cell r="C524" t="str">
            <v>Fabrian Danang Destiyara</v>
          </cell>
        </row>
        <row r="525">
          <cell r="B525">
            <v>25000000000522</v>
          </cell>
          <cell r="C525" t="str">
            <v>Ferdian Kriswantoro</v>
          </cell>
        </row>
        <row r="526">
          <cell r="B526">
            <v>25000000000523</v>
          </cell>
          <cell r="C526" t="str">
            <v>Fuzi Mafrozi</v>
          </cell>
        </row>
        <row r="527">
          <cell r="B527">
            <v>25000000000524</v>
          </cell>
          <cell r="C527" t="str">
            <v>Gilang Setiawan</v>
          </cell>
        </row>
        <row r="528">
          <cell r="B528">
            <v>25000000000525</v>
          </cell>
          <cell r="C528" t="str">
            <v>Idris Affandi</v>
          </cell>
        </row>
        <row r="529">
          <cell r="B529">
            <v>25000000000526</v>
          </cell>
          <cell r="C529" t="str">
            <v>Indra Wijaya</v>
          </cell>
        </row>
        <row r="530">
          <cell r="B530">
            <v>25000000000527</v>
          </cell>
          <cell r="C530" t="str">
            <v>Irma Maulidawati</v>
          </cell>
        </row>
        <row r="531">
          <cell r="B531">
            <v>25000000000528</v>
          </cell>
          <cell r="C531" t="str">
            <v>Istikaro Fauziah</v>
          </cell>
        </row>
        <row r="532">
          <cell r="B532">
            <v>25000000000529</v>
          </cell>
          <cell r="C532" t="str">
            <v>Muhammad Lukbani</v>
          </cell>
        </row>
        <row r="533">
          <cell r="B533">
            <v>25000000000530</v>
          </cell>
          <cell r="C533" t="str">
            <v>Muhammad Sholikhun</v>
          </cell>
        </row>
        <row r="534">
          <cell r="B534">
            <v>25000000000531</v>
          </cell>
          <cell r="C534" t="str">
            <v>Muhammad Syarifudin</v>
          </cell>
        </row>
        <row r="535">
          <cell r="B535">
            <v>25000000000532</v>
          </cell>
          <cell r="C535" t="str">
            <v>Nadia Rizkiah</v>
          </cell>
        </row>
        <row r="536">
          <cell r="B536">
            <v>25000000000533</v>
          </cell>
          <cell r="C536" t="str">
            <v>Nikko Septian</v>
          </cell>
        </row>
        <row r="537">
          <cell r="B537">
            <v>25000000000534</v>
          </cell>
          <cell r="C537" t="str">
            <v>Novizan</v>
          </cell>
        </row>
        <row r="538">
          <cell r="B538">
            <v>25000000000535</v>
          </cell>
          <cell r="C538" t="str">
            <v>Oqi Suhaqi Yunus</v>
          </cell>
        </row>
        <row r="539">
          <cell r="B539">
            <v>25000000000536</v>
          </cell>
          <cell r="C539" t="str">
            <v>Restu Dwi Anjayani</v>
          </cell>
        </row>
        <row r="540">
          <cell r="B540">
            <v>25000000000537</v>
          </cell>
          <cell r="C540" t="str">
            <v>Rizal Amri</v>
          </cell>
        </row>
        <row r="541">
          <cell r="B541">
            <v>25000000000538</v>
          </cell>
          <cell r="C541" t="str">
            <v>Ronny Anindika Arnold</v>
          </cell>
        </row>
        <row r="542">
          <cell r="B542">
            <v>25000000000539</v>
          </cell>
          <cell r="C542" t="str">
            <v>Samta Harahap</v>
          </cell>
        </row>
        <row r="543">
          <cell r="B543">
            <v>25000000000540</v>
          </cell>
          <cell r="C543" t="str">
            <v>Vingky Hendriek Yomerlin</v>
          </cell>
        </row>
        <row r="544">
          <cell r="B544">
            <v>25000000000541</v>
          </cell>
          <cell r="C544" t="str">
            <v>Wahyu Teluk Naga</v>
          </cell>
        </row>
        <row r="545">
          <cell r="B545">
            <v>25000000000542</v>
          </cell>
          <cell r="C545" t="str">
            <v>Wardah Laily Khoiriyah</v>
          </cell>
        </row>
        <row r="546">
          <cell r="B546">
            <v>25000000000543</v>
          </cell>
          <cell r="C546" t="str">
            <v>Wawan Kusworo</v>
          </cell>
        </row>
        <row r="547">
          <cell r="B547">
            <v>25000000000544</v>
          </cell>
          <cell r="C547" t="str">
            <v>Wulanraniasih</v>
          </cell>
        </row>
        <row r="548">
          <cell r="B548">
            <v>25000000000545</v>
          </cell>
          <cell r="C548" t="str">
            <v>Yogi Perbangkara</v>
          </cell>
        </row>
        <row r="549">
          <cell r="B549">
            <v>25000000000546</v>
          </cell>
          <cell r="C549" t="str">
            <v>Yusuf Fathurahman</v>
          </cell>
        </row>
        <row r="550">
          <cell r="B550">
            <v>25000000000547</v>
          </cell>
          <cell r="C550" t="str">
            <v>Zeinurani</v>
          </cell>
        </row>
        <row r="551">
          <cell r="B551">
            <v>25000000000548</v>
          </cell>
          <cell r="C551" t="str">
            <v>Sulaeman</v>
          </cell>
        </row>
        <row r="552">
          <cell r="B552">
            <v>25000000000549</v>
          </cell>
          <cell r="C552" t="str">
            <v>Agus Nuryadi</v>
          </cell>
        </row>
        <row r="553">
          <cell r="B553">
            <v>25000000000550</v>
          </cell>
          <cell r="C553" t="str">
            <v>Dian Tri Rahmawati</v>
          </cell>
        </row>
        <row r="554">
          <cell r="B554">
            <v>25000000000551</v>
          </cell>
          <cell r="C554" t="str">
            <v>Langgeng Eko Dwiantoro</v>
          </cell>
        </row>
        <row r="555">
          <cell r="B555">
            <v>25000000000552</v>
          </cell>
          <cell r="C555" t="str">
            <v>Aldi Rizaldi</v>
          </cell>
        </row>
        <row r="556">
          <cell r="B556">
            <v>25000000000553</v>
          </cell>
          <cell r="C556" t="str">
            <v>Masimin</v>
          </cell>
        </row>
        <row r="557">
          <cell r="B557">
            <v>25000000000554</v>
          </cell>
          <cell r="C557" t="str">
            <v>Santoso Dwi Cahyo</v>
          </cell>
        </row>
        <row r="558">
          <cell r="B558">
            <v>25000000000555</v>
          </cell>
          <cell r="C558" t="str">
            <v>Wartono</v>
          </cell>
        </row>
        <row r="559">
          <cell r="B559">
            <v>25000000000556</v>
          </cell>
          <cell r="C559" t="str">
            <v>Yusarman</v>
          </cell>
        </row>
        <row r="560">
          <cell r="B560">
            <v>25000000000557</v>
          </cell>
          <cell r="C560" t="str">
            <v>Abdul Rachman</v>
          </cell>
        </row>
        <row r="561">
          <cell r="B561">
            <v>25000000000558</v>
          </cell>
          <cell r="C561" t="str">
            <v>Aden Bagus</v>
          </cell>
        </row>
        <row r="562">
          <cell r="B562">
            <v>25000000000559</v>
          </cell>
          <cell r="C562" t="str">
            <v>Adhe Kurniawan</v>
          </cell>
        </row>
        <row r="563">
          <cell r="B563">
            <v>25000000000560</v>
          </cell>
          <cell r="C563" t="str">
            <v>Ahmad Fauzi</v>
          </cell>
        </row>
        <row r="564">
          <cell r="B564">
            <v>25000000000561</v>
          </cell>
          <cell r="C564" t="str">
            <v>Ahmad Gunawan</v>
          </cell>
        </row>
        <row r="565">
          <cell r="B565">
            <v>25000000000562</v>
          </cell>
          <cell r="C565" t="str">
            <v>Andri Andriyan</v>
          </cell>
        </row>
        <row r="566">
          <cell r="B566">
            <v>25000000000563</v>
          </cell>
          <cell r="C566" t="str">
            <v>Budi Sulistianto</v>
          </cell>
        </row>
        <row r="567">
          <cell r="B567">
            <v>25000000000564</v>
          </cell>
          <cell r="C567" t="str">
            <v>Eka Budi</v>
          </cell>
        </row>
        <row r="568">
          <cell r="B568">
            <v>25000000000565</v>
          </cell>
          <cell r="C568" t="str">
            <v>Haerul Gunawan</v>
          </cell>
        </row>
        <row r="569">
          <cell r="B569">
            <v>25000000000566</v>
          </cell>
          <cell r="C569" t="str">
            <v>Irvan Agus</v>
          </cell>
        </row>
        <row r="570">
          <cell r="B570">
            <v>25000000000567</v>
          </cell>
          <cell r="C570" t="str">
            <v>Joshika Pradirga</v>
          </cell>
        </row>
        <row r="571">
          <cell r="B571">
            <v>25000000000568</v>
          </cell>
          <cell r="C571" t="str">
            <v>Khaidir</v>
          </cell>
        </row>
        <row r="572">
          <cell r="B572">
            <v>25000000000569</v>
          </cell>
          <cell r="C572" t="str">
            <v>Latip Muhlanto</v>
          </cell>
        </row>
        <row r="573">
          <cell r="B573">
            <v>25000000000570</v>
          </cell>
          <cell r="C573" t="str">
            <v>Leonardo Putra</v>
          </cell>
        </row>
        <row r="574">
          <cell r="B574">
            <v>25000000000571</v>
          </cell>
          <cell r="C574" t="str">
            <v>Muhammad Ramadani</v>
          </cell>
        </row>
        <row r="575">
          <cell r="B575">
            <v>25000000000572</v>
          </cell>
          <cell r="C575" t="str">
            <v>Musdalipa</v>
          </cell>
        </row>
        <row r="576">
          <cell r="B576">
            <v>25000000000573</v>
          </cell>
          <cell r="C576" t="str">
            <v>Nico Melky</v>
          </cell>
        </row>
        <row r="577">
          <cell r="B577">
            <v>25000000000574</v>
          </cell>
          <cell r="C577" t="str">
            <v>Rahmata Novanisa</v>
          </cell>
        </row>
        <row r="578">
          <cell r="B578">
            <v>25000000000575</v>
          </cell>
          <cell r="C578" t="str">
            <v>Satrio Dhiaputra</v>
          </cell>
        </row>
        <row r="579">
          <cell r="B579">
            <v>25000000000576</v>
          </cell>
          <cell r="C579" t="str">
            <v>Sudirman</v>
          </cell>
        </row>
        <row r="580">
          <cell r="B580">
            <v>25000000000577</v>
          </cell>
          <cell r="C580" t="str">
            <v>Suparji</v>
          </cell>
        </row>
        <row r="581">
          <cell r="B581">
            <v>25000000000578</v>
          </cell>
          <cell r="C581" t="str">
            <v>Taufik Iskandar</v>
          </cell>
        </row>
        <row r="582">
          <cell r="B582">
            <v>25000000000579</v>
          </cell>
          <cell r="C582" t="str">
            <v>Tegar Hersaputra</v>
          </cell>
        </row>
        <row r="583">
          <cell r="B583">
            <v>25000000000580</v>
          </cell>
          <cell r="C583" t="str">
            <v>Togar Sihombing</v>
          </cell>
        </row>
        <row r="584">
          <cell r="B584">
            <v>25000000000581</v>
          </cell>
          <cell r="C584" t="str">
            <v>Wisnu Trenggono Wirayuda</v>
          </cell>
        </row>
        <row r="585">
          <cell r="B585">
            <v>25000000000582</v>
          </cell>
          <cell r="C585" t="str">
            <v>Yogo</v>
          </cell>
        </row>
        <row r="586">
          <cell r="B586">
            <v>25000000000583</v>
          </cell>
          <cell r="C586" t="str">
            <v>Yustiana Firda</v>
          </cell>
        </row>
        <row r="587">
          <cell r="B587">
            <v>25000000000584</v>
          </cell>
          <cell r="C587" t="str">
            <v>Zainal Abidin</v>
          </cell>
        </row>
        <row r="588">
          <cell r="B588">
            <v>25000000000585</v>
          </cell>
          <cell r="C588" t="str">
            <v>Budi Sandika</v>
          </cell>
        </row>
        <row r="589">
          <cell r="B589">
            <v>25000000000586</v>
          </cell>
          <cell r="C589" t="str">
            <v>Fachri Azhar</v>
          </cell>
        </row>
        <row r="590">
          <cell r="B590">
            <v>25000000000587</v>
          </cell>
          <cell r="C590" t="str">
            <v>Firmansyah Awaludin</v>
          </cell>
        </row>
        <row r="591">
          <cell r="B591">
            <v>25000000000588</v>
          </cell>
          <cell r="C591" t="str">
            <v>Iman Faisal Abdurahman</v>
          </cell>
        </row>
        <row r="592">
          <cell r="B592">
            <v>25000000000589</v>
          </cell>
          <cell r="C592" t="str">
            <v>Muhammad Irfan Alfikri Rayana</v>
          </cell>
        </row>
        <row r="593">
          <cell r="B593">
            <v>25000000000590</v>
          </cell>
          <cell r="C593" t="str">
            <v>Syafri Johansah</v>
          </cell>
        </row>
        <row r="594">
          <cell r="B594">
            <v>25000000000591</v>
          </cell>
          <cell r="C594" t="str">
            <v>Agus Sobar</v>
          </cell>
        </row>
        <row r="595">
          <cell r="B595">
            <v>25000000000592</v>
          </cell>
          <cell r="C595" t="str">
            <v>Ahmad Sandi Asyuri</v>
          </cell>
        </row>
        <row r="596">
          <cell r="B596">
            <v>25000000000593</v>
          </cell>
          <cell r="C596" t="str">
            <v>Andi Mapasoro</v>
          </cell>
        </row>
        <row r="597">
          <cell r="B597">
            <v>25000000000594</v>
          </cell>
          <cell r="C597" t="str">
            <v>Arie Gustaman</v>
          </cell>
        </row>
        <row r="598">
          <cell r="B598">
            <v>25000000000595</v>
          </cell>
          <cell r="C598" t="str">
            <v>Arief Yulianto</v>
          </cell>
        </row>
        <row r="599">
          <cell r="B599">
            <v>25000000000596</v>
          </cell>
          <cell r="C599" t="str">
            <v>Burhan</v>
          </cell>
        </row>
        <row r="600">
          <cell r="B600">
            <v>25000000000597</v>
          </cell>
          <cell r="C600" t="str">
            <v>Deby Syahputa</v>
          </cell>
        </row>
        <row r="601">
          <cell r="B601">
            <v>25000000000598</v>
          </cell>
          <cell r="C601" t="str">
            <v>Ibrahim Arya Yuda</v>
          </cell>
        </row>
        <row r="602">
          <cell r="B602">
            <v>25000000000599</v>
          </cell>
          <cell r="C602" t="str">
            <v>Jamil</v>
          </cell>
        </row>
        <row r="603">
          <cell r="B603">
            <v>25000000000600</v>
          </cell>
          <cell r="C603" t="str">
            <v>Kiki Prasetyo</v>
          </cell>
        </row>
        <row r="604">
          <cell r="B604">
            <v>25000000000601</v>
          </cell>
          <cell r="C604" t="str">
            <v>Mochamad Ulul Azmi Wira Utama</v>
          </cell>
        </row>
        <row r="605">
          <cell r="B605">
            <v>25000000000602</v>
          </cell>
          <cell r="C605" t="str">
            <v>Muhammad Bilal Sharony</v>
          </cell>
        </row>
        <row r="606">
          <cell r="B606">
            <v>25000000000603</v>
          </cell>
          <cell r="C606" t="str">
            <v>Muhammad Hairul</v>
          </cell>
        </row>
        <row r="607">
          <cell r="B607">
            <v>25000000000604</v>
          </cell>
          <cell r="C607" t="str">
            <v>Muhammad Rizal</v>
          </cell>
        </row>
        <row r="608">
          <cell r="B608">
            <v>25000000000605</v>
          </cell>
          <cell r="C608" t="str">
            <v>Rahmad Dwifar</v>
          </cell>
        </row>
        <row r="609">
          <cell r="B609">
            <v>25000000000606</v>
          </cell>
          <cell r="C609" t="str">
            <v>Reza Sanjaya</v>
          </cell>
        </row>
        <row r="610">
          <cell r="B610">
            <v>25000000000607</v>
          </cell>
          <cell r="C610" t="str">
            <v>Ridwan Nur Muttaqin</v>
          </cell>
        </row>
        <row r="611">
          <cell r="B611">
            <v>25000000000608</v>
          </cell>
          <cell r="C611" t="str">
            <v xml:space="preserve">Risaldi </v>
          </cell>
        </row>
        <row r="612">
          <cell r="B612">
            <v>25000000000609</v>
          </cell>
          <cell r="C612" t="str">
            <v>Risty Alawiyah</v>
          </cell>
        </row>
        <row r="613">
          <cell r="B613">
            <v>25000000000610</v>
          </cell>
          <cell r="C613" t="str">
            <v>Rustono</v>
          </cell>
        </row>
        <row r="614">
          <cell r="B614">
            <v>25000000000611</v>
          </cell>
          <cell r="C614" t="str">
            <v>Solihin</v>
          </cell>
        </row>
        <row r="615">
          <cell r="B615">
            <v>25000000000612</v>
          </cell>
          <cell r="C615" t="str">
            <v>Supriatna</v>
          </cell>
        </row>
        <row r="616">
          <cell r="B616">
            <v>25000000000613</v>
          </cell>
          <cell r="C616" t="str">
            <v>Taufik Aminudin</v>
          </cell>
        </row>
        <row r="617">
          <cell r="B617">
            <v>25000000000614</v>
          </cell>
          <cell r="C617" t="str">
            <v>Timotius Tabun</v>
          </cell>
        </row>
        <row r="618">
          <cell r="B618">
            <v>25000000000615</v>
          </cell>
          <cell r="C618" t="str">
            <v>Adi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 - InstitutionType"/>
      <sheetName val="SEED - Institution"/>
      <sheetName val="DataLookUp - Institution"/>
      <sheetName val="SEED - InstitutionBranch"/>
      <sheetName val="DataLookUp - InstitutionBranch"/>
      <sheetName val="SEED - Customer"/>
      <sheetName val="DataLookUp - Customer"/>
      <sheetName val="SEED - Supplier"/>
      <sheetName val="DataLookUp - Supplier"/>
      <sheetName val="RAW EDITED 3 Years"/>
      <sheetName val="Transform Contact Email"/>
      <sheetName val="Transform Contact"/>
      <sheetName val="Telp Fax Merge"/>
      <sheetName val="EMail Merge"/>
      <sheetName val="SQL - Customer"/>
      <sheetName val="Sheet1"/>
      <sheetName val="RAW - Customer"/>
      <sheetName val="SQL - Supplier"/>
      <sheetName val="RAW - Supplier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B4">
            <v>124000000000001</v>
          </cell>
          <cell r="C4" t="str">
            <v>PT. QDC Technologies</v>
          </cell>
        </row>
        <row r="5">
          <cell r="B5">
            <v>124000000000002</v>
          </cell>
          <cell r="C5" t="str">
            <v>PT. Infra Media Dinamika</v>
          </cell>
        </row>
        <row r="6">
          <cell r="B6">
            <v>124000000000003</v>
          </cell>
          <cell r="C6" t="str">
            <v>PT. Daya Hidro Dinamika</v>
          </cell>
        </row>
        <row r="7">
          <cell r="B7">
            <v>124000000000004</v>
          </cell>
          <cell r="C7" t="str">
            <v>PT. Energi Mekar Lestari</v>
          </cell>
        </row>
        <row r="8">
          <cell r="B8">
            <v>124000000000005</v>
          </cell>
          <cell r="C8" t="str">
            <v>PT. KHA</v>
          </cell>
        </row>
        <row r="9">
          <cell r="B9">
            <v>124000000000006</v>
          </cell>
          <cell r="C9" t="str">
            <v>PT. Abhitama Citra Abadi</v>
          </cell>
        </row>
        <row r="10">
          <cell r="B10">
            <v>124000000000007</v>
          </cell>
          <cell r="C10" t="str">
            <v>PT. Abiyasa Tunggal</v>
          </cell>
        </row>
        <row r="11">
          <cell r="B11">
            <v>124000000000008</v>
          </cell>
          <cell r="C11" t="str">
            <v>PT. Aplika Nusa Lintas Arta</v>
          </cell>
        </row>
        <row r="12">
          <cell r="B12">
            <v>124000000000009</v>
          </cell>
          <cell r="C12" t="str">
            <v>PT. Bakrie Telecom, Tbk</v>
          </cell>
        </row>
        <row r="13">
          <cell r="B13">
            <v>124000000000010</v>
          </cell>
          <cell r="C13" t="str">
            <v>PT. Bukaka Teknik Utama, Tbk</v>
          </cell>
        </row>
        <row r="14">
          <cell r="B14">
            <v>124000000000011</v>
          </cell>
          <cell r="C14" t="str">
            <v>PT. Citra Panji Manunggal</v>
          </cell>
        </row>
        <row r="15">
          <cell r="B15">
            <v>124000000000012</v>
          </cell>
          <cell r="C15" t="str">
            <v>PT. Dayamitra Telekomunikasi</v>
          </cell>
        </row>
        <row r="16">
          <cell r="B16">
            <v>124000000000013</v>
          </cell>
          <cell r="C16" t="str">
            <v>Departemen Dalam Negeri</v>
          </cell>
        </row>
        <row r="17">
          <cell r="B17">
            <v>124000000000014</v>
          </cell>
          <cell r="C17" t="str">
            <v>PT. Duta Hita Jaya</v>
          </cell>
        </row>
        <row r="18">
          <cell r="B18">
            <v>124000000000015</v>
          </cell>
          <cell r="C18" t="str">
            <v>PT. Duta Pertiwi, Tbk</v>
          </cell>
        </row>
        <row r="19">
          <cell r="B19">
            <v>124000000000016</v>
          </cell>
          <cell r="C19" t="str">
            <v>PT. Duta Realtindo Perkasa</v>
          </cell>
        </row>
        <row r="20">
          <cell r="B20">
            <v>124000000000017</v>
          </cell>
          <cell r="C20" t="str">
            <v>PT. Energi Mekar Lestari</v>
          </cell>
        </row>
        <row r="21">
          <cell r="B21">
            <v>124000000000018</v>
          </cell>
          <cell r="C21" t="str">
            <v>PT. Ericsson Indonesia</v>
          </cell>
        </row>
        <row r="22">
          <cell r="B22">
            <v>124000000000019</v>
          </cell>
          <cell r="C22" t="str">
            <v>PT. Esa Mitra Teknologi</v>
          </cell>
        </row>
        <row r="23">
          <cell r="B23">
            <v>124000000000020</v>
          </cell>
          <cell r="C23" t="str">
            <v>PT. First Media, Tbk</v>
          </cell>
        </row>
        <row r="24">
          <cell r="B24">
            <v>124000000000021</v>
          </cell>
          <cell r="C24" t="str">
            <v xml:space="preserve">Flexi </v>
          </cell>
        </row>
        <row r="25">
          <cell r="B25">
            <v>124000000000022</v>
          </cell>
          <cell r="C25" t="str">
            <v>Flexi Mitrayasa</v>
          </cell>
        </row>
        <row r="26">
          <cell r="B26">
            <v>124000000000023</v>
          </cell>
          <cell r="C26" t="str">
            <v>PT. Huawei Tech Investment</v>
          </cell>
        </row>
        <row r="27">
          <cell r="B27">
            <v>124000000000024</v>
          </cell>
          <cell r="C27" t="str">
            <v>PT. Hutchinson 3 Indonesia</v>
          </cell>
        </row>
        <row r="28">
          <cell r="B28">
            <v>124000000000025</v>
          </cell>
          <cell r="C28" t="str">
            <v>PT. Indoprima Seluler</v>
          </cell>
        </row>
        <row r="29">
          <cell r="B29">
            <v>124000000000026</v>
          </cell>
          <cell r="C29" t="str">
            <v>PT. Indosat, Tbk [a.k.a : Indosat]</v>
          </cell>
        </row>
        <row r="30">
          <cell r="B30">
            <v>124000000000027</v>
          </cell>
          <cell r="C30" t="str">
            <v>PT. Industri Telekomunikasi Indonesia (Persero) [a.k.a : INTI]</v>
          </cell>
        </row>
        <row r="31">
          <cell r="B31">
            <v>124000000000028</v>
          </cell>
          <cell r="C31" t="str">
            <v>PT. Infrastruktur Bisnis Sejahtera</v>
          </cell>
        </row>
        <row r="32">
          <cell r="B32">
            <v>124000000000029</v>
          </cell>
          <cell r="C32" t="str">
            <v>PT. Intershop Prima Center</v>
          </cell>
        </row>
        <row r="33">
          <cell r="B33">
            <v>124000000000030</v>
          </cell>
          <cell r="C33" t="str">
            <v>PT. Inti Bangun Sejahtera, Tbk</v>
          </cell>
        </row>
        <row r="34">
          <cell r="B34">
            <v>124000000000031</v>
          </cell>
          <cell r="C34" t="str">
            <v>PT. Karya Mitra Nugraha</v>
          </cell>
        </row>
        <row r="35">
          <cell r="B35">
            <v>124000000000032</v>
          </cell>
          <cell r="C35" t="str">
            <v>PT. Lektrika Karyatama</v>
          </cell>
        </row>
        <row r="36">
          <cell r="B36">
            <v>124000000000033</v>
          </cell>
          <cell r="C36" t="str">
            <v>PT. Link Net</v>
          </cell>
        </row>
        <row r="37">
          <cell r="B37">
            <v>124000000000034</v>
          </cell>
          <cell r="C37" t="str">
            <v>PT. Lintas Teknologi Indonesia</v>
          </cell>
        </row>
        <row r="38">
          <cell r="B38">
            <v>124000000000035</v>
          </cell>
          <cell r="C38" t="str">
            <v>PT. Mega Eltra</v>
          </cell>
        </row>
        <row r="39">
          <cell r="B39">
            <v>124000000000036</v>
          </cell>
          <cell r="C39" t="str">
            <v>PT. Megatel Jaya Swastikarya</v>
          </cell>
        </row>
        <row r="40">
          <cell r="B40">
            <v>124000000000037</v>
          </cell>
          <cell r="C40" t="str">
            <v>PT. Nokia Indonesia</v>
          </cell>
        </row>
        <row r="41">
          <cell r="B41">
            <v>124000000000038</v>
          </cell>
          <cell r="C41" t="str">
            <v>PT. Nokia Siemens Network Indonesia</v>
          </cell>
        </row>
        <row r="42">
          <cell r="B42">
            <v>124000000000039</v>
          </cell>
          <cell r="C42" t="str">
            <v>PT. Pertamina Geothermal Energy</v>
          </cell>
        </row>
        <row r="43">
          <cell r="B43">
            <v>124000000000040</v>
          </cell>
          <cell r="C43" t="str">
            <v>PT. Pelayanan Listrik Nasional (Persero) - Kantor Pusat</v>
          </cell>
        </row>
        <row r="44">
          <cell r="B44">
            <v>124000000000041</v>
          </cell>
          <cell r="C44" t="str">
            <v>PT. Pelayanan Listrik Nasional (Persero) - Batam</v>
          </cell>
        </row>
        <row r="45">
          <cell r="B45">
            <v>124000000000042</v>
          </cell>
          <cell r="C45" t="str">
            <v>PT. Pelayanan Listrik Nasional (Persero) - P3B Jawa Bali APP Cawang</v>
          </cell>
        </row>
        <row r="46">
          <cell r="B46">
            <v>124000000000043</v>
          </cell>
          <cell r="C46" t="str">
            <v>PT. Pelayanan Listrik Nasional (Persero) - Unit Induk Pembangunan V</v>
          </cell>
        </row>
        <row r="47">
          <cell r="B47">
            <v>124000000000044</v>
          </cell>
          <cell r="C47" t="str">
            <v>PT. Pelayanan Listrik Nasional (Persero) - Unit Induk Pembangunan Nusa Tenggara</v>
          </cell>
        </row>
        <row r="48">
          <cell r="B48">
            <v>124000000000045</v>
          </cell>
          <cell r="C48" t="str">
            <v>PT. Pelayanan Listrik Nasional (Persero) - Unit Induk Pembangunan XIII</v>
          </cell>
        </row>
        <row r="49">
          <cell r="B49">
            <v>124000000000046</v>
          </cell>
          <cell r="C49" t="str">
            <v>PT. Pelayanan Listrik Nasional (Persero) - P2B Jawa Bali APB Jawa Tengah &amp; DIY</v>
          </cell>
        </row>
        <row r="50">
          <cell r="B50">
            <v>124000000000047</v>
          </cell>
          <cell r="C50" t="str">
            <v>PT. Pelayanan Listrik Nasional (Persero) - Unit Induk Pembangunan II</v>
          </cell>
        </row>
        <row r="51">
          <cell r="B51">
            <v>124000000000048</v>
          </cell>
          <cell r="C51" t="str">
            <v>PT. Pelayanan Listrik Nasional (Persero) - Unit Induk Pembangunan Interkoneksi Sumatera Jawa</v>
          </cell>
        </row>
        <row r="52">
          <cell r="B52">
            <v>124000000000049</v>
          </cell>
          <cell r="C52" t="str">
            <v>PT. Pelayanan Listrik Nasional (Persero) - Unit Induk Pembangunan X</v>
          </cell>
        </row>
        <row r="53">
          <cell r="B53">
            <v>124000000000050</v>
          </cell>
          <cell r="C53" t="str">
            <v xml:space="preserve">PT. Pelayanan Listrik Nasional (Persero) - Unit Induk Pembangunan JBT II </v>
          </cell>
        </row>
        <row r="54">
          <cell r="B54">
            <v>124000000000051</v>
          </cell>
          <cell r="C54" t="str">
            <v>PT. Protelindo [a.k.a : PLN]</v>
          </cell>
        </row>
        <row r="55">
          <cell r="B55">
            <v>124000000000052</v>
          </cell>
          <cell r="C55" t="str">
            <v>PT. Ramayana Lestari Sentosa, Tbk [a.k.a : Ramayana Departement Store]</v>
          </cell>
        </row>
        <row r="56">
          <cell r="B56">
            <v>124000000000053</v>
          </cell>
          <cell r="C56" t="str">
            <v>PT. Rekadaya Elektrika</v>
          </cell>
        </row>
        <row r="57">
          <cell r="B57">
            <v>124000000000054</v>
          </cell>
          <cell r="C57" t="str">
            <v>CV. Sejahtera Mandiri</v>
          </cell>
        </row>
        <row r="58">
          <cell r="B58">
            <v>124000000000055</v>
          </cell>
          <cell r="C58" t="str">
            <v>PT. Sigindo Kemas</v>
          </cell>
        </row>
        <row r="59">
          <cell r="B59">
            <v>124000000000056</v>
          </cell>
          <cell r="C59" t="str">
            <v>PT. Smart Telecom</v>
          </cell>
        </row>
        <row r="60">
          <cell r="B60">
            <v>124000000000057</v>
          </cell>
          <cell r="C60" t="str">
            <v>PT. Telekomunikasi Indonesia (Persero), Tbk [a.k.a : Telkom] - Bandung</v>
          </cell>
        </row>
        <row r="61">
          <cell r="B61">
            <v>124000000000058</v>
          </cell>
          <cell r="C61" t="str">
            <v>PT. Telekomunikasi Selular, Tbk [a.k.a : Telkomsel] - Jakarta</v>
          </cell>
        </row>
        <row r="62">
          <cell r="B62">
            <v>124000000000059</v>
          </cell>
          <cell r="C62" t="str">
            <v>PT. Telkom Akses</v>
          </cell>
        </row>
        <row r="63">
          <cell r="B63">
            <v>124000000000060</v>
          </cell>
          <cell r="C63" t="str">
            <v>PT. Tosan Permai Lestari</v>
          </cell>
        </row>
        <row r="64">
          <cell r="B64">
            <v>124000000000061</v>
          </cell>
          <cell r="C64" t="str">
            <v>PT. Tower Capital Indonesia</v>
          </cell>
        </row>
        <row r="65">
          <cell r="B65">
            <v>124000000000062</v>
          </cell>
          <cell r="C65" t="str">
            <v>PT. Waskita Karya (Persero), Tbk</v>
          </cell>
        </row>
        <row r="66">
          <cell r="B66">
            <v>124000000000063</v>
          </cell>
          <cell r="C66" t="str">
            <v>PT. Widodo Karya Sejahtera</v>
          </cell>
        </row>
        <row r="67">
          <cell r="B67">
            <v>124000000000064</v>
          </cell>
          <cell r="C67" t="str">
            <v>PT. XL Axiata, Tbk [a.k.a : XL]</v>
          </cell>
        </row>
        <row r="68">
          <cell r="B68">
            <v>124000000000065</v>
          </cell>
          <cell r="C68" t="str">
            <v>PT. XL Mitrayasa</v>
          </cell>
        </row>
        <row r="69">
          <cell r="B69">
            <v>124000000000066</v>
          </cell>
          <cell r="C69" t="str">
            <v>PT. ZTE Indonesia</v>
          </cell>
        </row>
        <row r="70">
          <cell r="B70">
            <v>124000000000067</v>
          </cell>
          <cell r="C70" t="str">
            <v>PT. Sansaine Exindo</v>
          </cell>
        </row>
        <row r="71">
          <cell r="B71">
            <v>124000000000068</v>
          </cell>
          <cell r="C71" t="str">
            <v>Indo Jaya Scaffolding</v>
          </cell>
        </row>
        <row r="72">
          <cell r="B72">
            <v>124000000000069</v>
          </cell>
          <cell r="C72" t="str">
            <v>PT. Pembangunan Perumahan (Persero), Tbk [a.k.a : PP]</v>
          </cell>
        </row>
        <row r="73">
          <cell r="B73">
            <v>124000000000070</v>
          </cell>
          <cell r="C73" t="str">
            <v>Linus Nusa Express</v>
          </cell>
        </row>
        <row r="74">
          <cell r="B74">
            <v>124000000000071</v>
          </cell>
          <cell r="C74" t="str">
            <v>PT. Penjaminan Jamkrindo Syariah</v>
          </cell>
        </row>
        <row r="75">
          <cell r="B75">
            <v>124000000000072</v>
          </cell>
          <cell r="C75" t="str">
            <v>PT. Larsen And Tourbo</v>
          </cell>
        </row>
        <row r="76">
          <cell r="B76">
            <v>124000000000073</v>
          </cell>
          <cell r="C76" t="str">
            <v>PT. Pelayanan Listrik Nasional (Persero) - Unit Induk Pembangunan Kalimantan Bagian Barat</v>
          </cell>
        </row>
        <row r="77">
          <cell r="B77">
            <v>124000000000074</v>
          </cell>
          <cell r="C77" t="str">
            <v>PT. Pelayanan Listrik Nasional (Persero) - Unit Induk Pembangunan Sumatera Bagian Tengah</v>
          </cell>
        </row>
        <row r="78">
          <cell r="B78">
            <v>124000000000075</v>
          </cell>
          <cell r="C78" t="str">
            <v xml:space="preserve">PT. Asuransi Sinar Mas </v>
          </cell>
        </row>
        <row r="79">
          <cell r="B79">
            <v>124000000000076</v>
          </cell>
          <cell r="C79" t="str">
            <v>Agung Jaya</v>
          </cell>
        </row>
        <row r="80">
          <cell r="B80">
            <v>124000000000077</v>
          </cell>
          <cell r="C80" t="str">
            <v>Aji Perkasa</v>
          </cell>
        </row>
        <row r="81">
          <cell r="B81">
            <v>124000000000078</v>
          </cell>
          <cell r="C81" t="str">
            <v>Aledro Duta Jaya</v>
          </cell>
        </row>
        <row r="82">
          <cell r="B82">
            <v>124000000000079</v>
          </cell>
          <cell r="C82" t="str">
            <v>Alpine Cool Utama</v>
          </cell>
        </row>
        <row r="83">
          <cell r="B83">
            <v>124000000000080</v>
          </cell>
          <cell r="C83" t="str">
            <v>Alumagada Jaya Mandiri</v>
          </cell>
        </row>
        <row r="84">
          <cell r="B84">
            <v>124000000000081</v>
          </cell>
          <cell r="C84" t="str">
            <v>PT. Karawang Dinamika Lestari</v>
          </cell>
        </row>
        <row r="85">
          <cell r="B85">
            <v>124000000000082</v>
          </cell>
          <cell r="C85" t="str">
            <v>KSO WST-QDC</v>
          </cell>
        </row>
        <row r="86">
          <cell r="B86">
            <v>124000000000083</v>
          </cell>
          <cell r="C86" t="str">
            <v>PT. Adhi Commuter Properti</v>
          </cell>
        </row>
        <row r="87">
          <cell r="B87">
            <v>124000000000084</v>
          </cell>
          <cell r="C87" t="str">
            <v xml:space="preserve">PT. Pelayanan Listrik Nasional (Persero) - Penyaluran dan Pusat Pengaturan </v>
          </cell>
        </row>
        <row r="88">
          <cell r="B88">
            <v>124000000000085</v>
          </cell>
          <cell r="C88" t="str">
            <v>CV. Alfa Link Mandiri</v>
          </cell>
        </row>
        <row r="89">
          <cell r="B89">
            <v>124000000000086</v>
          </cell>
          <cell r="C89" t="str">
            <v>CV. Alodia Makmur Abadi</v>
          </cell>
        </row>
        <row r="90">
          <cell r="B90">
            <v>124000000000087</v>
          </cell>
          <cell r="C90" t="str">
            <v>CV. Anugerah Karya Magantha</v>
          </cell>
        </row>
        <row r="91">
          <cell r="B91">
            <v>124000000000088</v>
          </cell>
          <cell r="C91" t="str">
            <v>CV. Artha Jaya Mulya</v>
          </cell>
        </row>
        <row r="92">
          <cell r="B92">
            <v>124000000000089</v>
          </cell>
          <cell r="C92" t="str">
            <v>CV. Borneo Geotec Engginering</v>
          </cell>
        </row>
        <row r="93">
          <cell r="B93">
            <v>124000000000090</v>
          </cell>
          <cell r="C93" t="str">
            <v>CV. Cipta Aneka Sarana</v>
          </cell>
        </row>
        <row r="94">
          <cell r="B94">
            <v>124000000000091</v>
          </cell>
          <cell r="C94" t="str">
            <v xml:space="preserve">CV. Didi Dan Darwis Survey </v>
          </cell>
        </row>
        <row r="95">
          <cell r="B95">
            <v>124000000000092</v>
          </cell>
          <cell r="C95" t="str">
            <v>CV. Dinargeo Survey</v>
          </cell>
        </row>
        <row r="96">
          <cell r="B96">
            <v>124000000000093</v>
          </cell>
          <cell r="C96" t="str">
            <v>CV. Direct Linus Logistik</v>
          </cell>
        </row>
        <row r="97">
          <cell r="B97">
            <v>124000000000094</v>
          </cell>
          <cell r="C97" t="str">
            <v>CV. Edi Jaya Bangunan</v>
          </cell>
        </row>
        <row r="98">
          <cell r="B98">
            <v>124000000000095</v>
          </cell>
          <cell r="C98" t="str">
            <v>CV. Elang Sega</v>
          </cell>
        </row>
        <row r="99">
          <cell r="B99">
            <v>124000000000096</v>
          </cell>
          <cell r="C99" t="str">
            <v>CV. Gallazka Teknik</v>
          </cell>
        </row>
        <row r="100">
          <cell r="B100">
            <v>124000000000097</v>
          </cell>
          <cell r="C100" t="str">
            <v>CV. Ghania Mandiri</v>
          </cell>
        </row>
        <row r="101">
          <cell r="B101">
            <v>124000000000098</v>
          </cell>
          <cell r="C101" t="str">
            <v>CV. Istana Gemilang Mandiri</v>
          </cell>
        </row>
        <row r="102">
          <cell r="B102">
            <v>124000000000099</v>
          </cell>
          <cell r="C102" t="str">
            <v>CV. Jember Elektrindo Gemilang</v>
          </cell>
        </row>
        <row r="103">
          <cell r="B103">
            <v>124000000000100</v>
          </cell>
          <cell r="C103" t="str">
            <v>CV. Karya Baru</v>
          </cell>
        </row>
        <row r="104">
          <cell r="B104">
            <v>124000000000101</v>
          </cell>
          <cell r="C104" t="str">
            <v>CV. Kawan Inti Jaya</v>
          </cell>
        </row>
        <row r="105">
          <cell r="B105">
            <v>124000000000102</v>
          </cell>
          <cell r="C105" t="str">
            <v>CV. Laba Mandiri Lapaopao</v>
          </cell>
        </row>
        <row r="106">
          <cell r="B106">
            <v>124000000000103</v>
          </cell>
          <cell r="C106" t="str">
            <v>CV. Mitra Bengawan Trans</v>
          </cell>
        </row>
        <row r="107">
          <cell r="B107">
            <v>124000000000104</v>
          </cell>
          <cell r="C107" t="str">
            <v>CV. Mulia Jaya Steel</v>
          </cell>
        </row>
        <row r="108">
          <cell r="B108">
            <v>124000000000105</v>
          </cell>
          <cell r="C108" t="str">
            <v>CV. Muzima</v>
          </cell>
        </row>
        <row r="109">
          <cell r="B109">
            <v>124000000000106</v>
          </cell>
          <cell r="C109" t="str">
            <v>CV. Punokawan</v>
          </cell>
        </row>
        <row r="110">
          <cell r="B110">
            <v>124000000000107</v>
          </cell>
          <cell r="C110" t="str">
            <v>CV. Putra Bintang Api</v>
          </cell>
        </row>
        <row r="111">
          <cell r="B111">
            <v>124000000000108</v>
          </cell>
          <cell r="C111" t="str">
            <v>CV. Sangiang Teknik Perkasa</v>
          </cell>
        </row>
        <row r="112">
          <cell r="B112">
            <v>124000000000109</v>
          </cell>
          <cell r="C112" t="str">
            <v>CV. Siliwangi jaya</v>
          </cell>
        </row>
        <row r="113">
          <cell r="B113">
            <v>124000000000110</v>
          </cell>
          <cell r="C113" t="str">
            <v>CV. Sukses Indo Pratama</v>
          </cell>
        </row>
        <row r="114">
          <cell r="B114">
            <v>124000000000111</v>
          </cell>
          <cell r="C114" t="str">
            <v>CV. Sumber Rezeki</v>
          </cell>
        </row>
        <row r="115">
          <cell r="B115">
            <v>124000000000112</v>
          </cell>
          <cell r="C115" t="str">
            <v>CV. Sumber Sarana Karya</v>
          </cell>
        </row>
        <row r="116">
          <cell r="B116">
            <v>124000000000113</v>
          </cell>
          <cell r="C116" t="str">
            <v>CV. Surya Pandawa Nusa</v>
          </cell>
        </row>
        <row r="117">
          <cell r="B117">
            <v>124000000000114</v>
          </cell>
          <cell r="C117" t="str">
            <v>PT. Abadi Rajawali Semesta</v>
          </cell>
        </row>
        <row r="118">
          <cell r="B118">
            <v>124000000000115</v>
          </cell>
          <cell r="C118" t="str">
            <v>PT. Adibrata Graha</v>
          </cell>
        </row>
        <row r="119">
          <cell r="B119">
            <v>124000000000116</v>
          </cell>
          <cell r="C119" t="str">
            <v>PT. Aegisindo Mitra Sejati</v>
          </cell>
        </row>
        <row r="120">
          <cell r="B120">
            <v>124000000000117</v>
          </cell>
          <cell r="C120" t="str">
            <v>PT. Agape Biomedi Investama</v>
          </cell>
        </row>
        <row r="121">
          <cell r="B121">
            <v>124000000000118</v>
          </cell>
          <cell r="C121" t="str">
            <v>PT. Ali Sejahtera</v>
          </cell>
        </row>
        <row r="122">
          <cell r="B122">
            <v>124000000000119</v>
          </cell>
          <cell r="C122" t="str">
            <v>PT. Andalan Dinamika Konstrukindo</v>
          </cell>
        </row>
        <row r="123">
          <cell r="B123">
            <v>124000000000120</v>
          </cell>
          <cell r="C123" t="str">
            <v>PT. Aneza Persada Abadi</v>
          </cell>
        </row>
        <row r="124">
          <cell r="B124">
            <v>124000000000121</v>
          </cell>
          <cell r="C124" t="str">
            <v>PT. Asiatronic Indo Makmur</v>
          </cell>
        </row>
        <row r="125">
          <cell r="B125">
            <v>124000000000122</v>
          </cell>
          <cell r="C125" t="str">
            <v>PT. Asuransi Asei Indonesia</v>
          </cell>
        </row>
        <row r="126">
          <cell r="B126">
            <v>124000000000123</v>
          </cell>
          <cell r="C126" t="str">
            <v>PT. Asuransi Multi Artha Guna</v>
          </cell>
        </row>
        <row r="127">
          <cell r="B127">
            <v>124000000000124</v>
          </cell>
          <cell r="C127" t="str">
            <v>PT. Asuransi Perisai Listrik Nasional</v>
          </cell>
        </row>
        <row r="128">
          <cell r="B128">
            <v>124000000000125</v>
          </cell>
          <cell r="C128" t="str">
            <v>PT. Bangun Rancang Indonesia Kita</v>
          </cell>
        </row>
        <row r="129">
          <cell r="B129">
            <v>124000000000126</v>
          </cell>
          <cell r="C129" t="str">
            <v>PT. Beringin Floratama Megah</v>
          </cell>
        </row>
        <row r="130">
          <cell r="B130">
            <v>124000000000127</v>
          </cell>
          <cell r="C130" t="str">
            <v>PT. Berkah Tirta Wahana</v>
          </cell>
        </row>
        <row r="131">
          <cell r="B131">
            <v>124000000000128</v>
          </cell>
          <cell r="C131" t="str">
            <v>PT. Berkat Sahabat Sejati</v>
          </cell>
        </row>
        <row r="132">
          <cell r="B132">
            <v>124000000000129</v>
          </cell>
          <cell r="C132" t="str">
            <v>PT. Best Energy System</v>
          </cell>
        </row>
        <row r="133">
          <cell r="B133">
            <v>124000000000130</v>
          </cell>
          <cell r="C133" t="str">
            <v>PT. Beton Perkasa Wijaksana</v>
          </cell>
        </row>
        <row r="134">
          <cell r="B134">
            <v>124000000000131</v>
          </cell>
          <cell r="C134" t="str">
            <v>PT. Bhirawa Metal Mandiri</v>
          </cell>
        </row>
        <row r="135">
          <cell r="B135">
            <v>124000000000132</v>
          </cell>
          <cell r="C135" t="str">
            <v>PT. Bigi Multi Internasional</v>
          </cell>
        </row>
        <row r="136">
          <cell r="B136">
            <v>124000000000133</v>
          </cell>
          <cell r="C136" t="str">
            <v xml:space="preserve">PT. Bintang Indah Persada </v>
          </cell>
        </row>
        <row r="137">
          <cell r="B137">
            <v>124000000000134</v>
          </cell>
          <cell r="C137" t="str">
            <v>PT. Bintang Virgo Utama</v>
          </cell>
        </row>
        <row r="138">
          <cell r="B138">
            <v>124000000000135</v>
          </cell>
          <cell r="C138" t="str">
            <v>PT. Biro Klasifikasi Indonesia</v>
          </cell>
        </row>
        <row r="139">
          <cell r="B139">
            <v>124000000000136</v>
          </cell>
          <cell r="C139" t="str">
            <v>PT. Blue Power International</v>
          </cell>
        </row>
        <row r="140">
          <cell r="B140">
            <v>124000000000137</v>
          </cell>
          <cell r="C140" t="str">
            <v>PT. Bosowa Asuransi</v>
          </cell>
        </row>
        <row r="141">
          <cell r="B141">
            <v>124000000000138</v>
          </cell>
          <cell r="C141" t="str">
            <v>PT. Buana Tirta Semesta</v>
          </cell>
        </row>
        <row r="142">
          <cell r="B142">
            <v>124000000000139</v>
          </cell>
          <cell r="C142" t="str">
            <v>PT. Cahaya Mentari Cemerlang</v>
          </cell>
        </row>
        <row r="143">
          <cell r="B143">
            <v>124000000000140</v>
          </cell>
          <cell r="C143" t="str">
            <v>PT. Cakrawala Persada Internasional</v>
          </cell>
        </row>
        <row r="144">
          <cell r="B144">
            <v>124000000000141</v>
          </cell>
          <cell r="C144" t="str">
            <v xml:space="preserve">PT. Caroline Trans Mandiri </v>
          </cell>
        </row>
        <row r="145">
          <cell r="B145">
            <v>124000000000142</v>
          </cell>
          <cell r="C145" t="str">
            <v xml:space="preserve">PT. Cita Baja </v>
          </cell>
        </row>
        <row r="146">
          <cell r="B146">
            <v>124000000000143</v>
          </cell>
          <cell r="C146" t="str">
            <v>PT. Citra Banjar Abadi</v>
          </cell>
        </row>
        <row r="147">
          <cell r="B147">
            <v>124000000000144</v>
          </cell>
          <cell r="C147" t="str">
            <v xml:space="preserve">PT. Datascrip </v>
          </cell>
        </row>
        <row r="148">
          <cell r="B148">
            <v>124000000000145</v>
          </cell>
          <cell r="C148" t="str">
            <v xml:space="preserve">PT. Denko Wahana Sakti </v>
          </cell>
        </row>
        <row r="149">
          <cell r="B149">
            <v>124000000000146</v>
          </cell>
          <cell r="C149" t="str">
            <v>PT. Detech Profesional Indonesia</v>
          </cell>
        </row>
        <row r="150">
          <cell r="B150">
            <v>124000000000147</v>
          </cell>
          <cell r="C150" t="str">
            <v>PT. Dharma Lautan Utama</v>
          </cell>
        </row>
        <row r="151">
          <cell r="B151">
            <v>124000000000148</v>
          </cell>
          <cell r="C151" t="str">
            <v>PT. Dinar Energi Utama</v>
          </cell>
        </row>
        <row r="152">
          <cell r="B152">
            <v>124000000000149</v>
          </cell>
          <cell r="C152" t="str">
            <v>PT. Dirgatz Indonesia</v>
          </cell>
        </row>
        <row r="153">
          <cell r="B153">
            <v>124000000000150</v>
          </cell>
          <cell r="C153" t="str">
            <v>PT. Duta Realtindo Perkasa</v>
          </cell>
        </row>
        <row r="154">
          <cell r="B154">
            <v>124000000000151</v>
          </cell>
          <cell r="C154" t="str">
            <v>PT. Dwimitra Sejahtera Bersama</v>
          </cell>
        </row>
        <row r="155">
          <cell r="B155">
            <v>124000000000152</v>
          </cell>
          <cell r="C155" t="str">
            <v>PT. Elbion Karya Solusi</v>
          </cell>
        </row>
        <row r="156">
          <cell r="B156">
            <v>124000000000153</v>
          </cell>
          <cell r="C156" t="str">
            <v xml:space="preserve">PT. Fortindo Maju Bersama </v>
          </cell>
        </row>
        <row r="157">
          <cell r="B157">
            <v>124000000000154</v>
          </cell>
          <cell r="C157" t="str">
            <v>PT. Gateway Container Line Indonesia</v>
          </cell>
        </row>
        <row r="158">
          <cell r="B158">
            <v>124000000000155</v>
          </cell>
          <cell r="C158" t="str">
            <v>PT. Geo Cipta Bangun</v>
          </cell>
        </row>
        <row r="159">
          <cell r="B159">
            <v>124000000000156</v>
          </cell>
          <cell r="C159" t="str">
            <v>PT. Geo Metri Indonesia</v>
          </cell>
        </row>
        <row r="160">
          <cell r="B160">
            <v>124000000000157</v>
          </cell>
          <cell r="C160" t="str">
            <v>PT. Geotechnical Systemindo</v>
          </cell>
        </row>
        <row r="161">
          <cell r="B161">
            <v>124000000000158</v>
          </cell>
          <cell r="C161" t="str">
            <v>PT. Gerindo Tehnik</v>
          </cell>
        </row>
        <row r="162">
          <cell r="B162">
            <v>124000000000159</v>
          </cell>
          <cell r="C162" t="str">
            <v>PT. Giapindo King Stone</v>
          </cell>
        </row>
        <row r="163">
          <cell r="B163">
            <v>124000000000160</v>
          </cell>
          <cell r="C163" t="str">
            <v>PT. Givro Multi Teknik Perkasa</v>
          </cell>
        </row>
        <row r="164">
          <cell r="B164">
            <v>124000000000161</v>
          </cell>
          <cell r="C164" t="str">
            <v>PT. Globalindo Energi Perkasa</v>
          </cell>
        </row>
        <row r="165">
          <cell r="B165">
            <v>124000000000162</v>
          </cell>
          <cell r="C165" t="str">
            <v>PT. Harapan Mitra Pengusaha Nusantara</v>
          </cell>
        </row>
        <row r="166">
          <cell r="B166">
            <v>124000000000163</v>
          </cell>
          <cell r="C166" t="str">
            <v>PT. Hartelindo Telco Utama</v>
          </cell>
        </row>
        <row r="167">
          <cell r="B167">
            <v>124000000000164</v>
          </cell>
          <cell r="C167" t="str">
            <v>PT. Hesindo Karya Pratama</v>
          </cell>
        </row>
        <row r="168">
          <cell r="B168">
            <v>124000000000165</v>
          </cell>
          <cell r="C168" t="str">
            <v>PT. Hijrah Insan Karima</v>
          </cell>
        </row>
        <row r="169">
          <cell r="B169">
            <v>124000000000166</v>
          </cell>
          <cell r="C169" t="str">
            <v>PT. Hitachi Sakti Energy Indonesia</v>
          </cell>
        </row>
        <row r="170">
          <cell r="B170">
            <v>124000000000167</v>
          </cell>
          <cell r="C170" t="str">
            <v>PT. Indah Logistik Cargo</v>
          </cell>
        </row>
        <row r="171">
          <cell r="B171">
            <v>124000000000168</v>
          </cell>
          <cell r="C171" t="str">
            <v xml:space="preserve">PT. Infra Media Dinamika </v>
          </cell>
        </row>
        <row r="172">
          <cell r="B172">
            <v>124000000000169</v>
          </cell>
          <cell r="C172" t="str">
            <v>PT. Infracoo Pengadaan Indonesia</v>
          </cell>
        </row>
        <row r="173">
          <cell r="B173">
            <v>124000000000170</v>
          </cell>
          <cell r="C173" t="str">
            <v>PT. Inti Teknologi Indonesia Utama</v>
          </cell>
        </row>
        <row r="174">
          <cell r="B174">
            <v>124000000000171</v>
          </cell>
          <cell r="C174" t="str">
            <v>PT. Iradat Aman Globalindo</v>
          </cell>
        </row>
        <row r="175">
          <cell r="B175">
            <v>124000000000172</v>
          </cell>
          <cell r="C175" t="str">
            <v>PT. Jaring Permata Samudra</v>
          </cell>
        </row>
        <row r="176">
          <cell r="B176">
            <v>124000000000173</v>
          </cell>
          <cell r="C176" t="str">
            <v>PT. Jaring Telekomunikasi Indonesia</v>
          </cell>
        </row>
        <row r="177">
          <cell r="B177">
            <v>124000000000174</v>
          </cell>
          <cell r="C177" t="str">
            <v>PT. Jaya Beton Indonesia</v>
          </cell>
        </row>
        <row r="178">
          <cell r="B178">
            <v>124000000000175</v>
          </cell>
          <cell r="C178" t="str">
            <v>PT. Jogatama Mandauputra</v>
          </cell>
        </row>
        <row r="179">
          <cell r="B179">
            <v>124000000000176</v>
          </cell>
          <cell r="C179" t="str">
            <v>PT. Joko Mas Pancang</v>
          </cell>
        </row>
        <row r="180">
          <cell r="B180">
            <v>124000000000177</v>
          </cell>
          <cell r="C180" t="str">
            <v>PT. Kalimantan Beton Perkasa</v>
          </cell>
        </row>
        <row r="181">
          <cell r="B181">
            <v>124000000000178</v>
          </cell>
          <cell r="C181" t="str">
            <v>PT. Kalimantan Prakarsa Mandiri</v>
          </cell>
        </row>
        <row r="182">
          <cell r="B182">
            <v>124000000000179</v>
          </cell>
          <cell r="C182" t="str">
            <v>PT. Karya Mega Sarana</v>
          </cell>
        </row>
        <row r="183">
          <cell r="B183">
            <v>124000000000180</v>
          </cell>
          <cell r="C183" t="str">
            <v>PT. Kawan Kita Anugerah Makmur</v>
          </cell>
        </row>
        <row r="184">
          <cell r="B184">
            <v>124000000000181</v>
          </cell>
          <cell r="C184" t="str">
            <v xml:space="preserve">PT. Kesuma  </v>
          </cell>
        </row>
        <row r="185">
          <cell r="B185">
            <v>124000000000182</v>
          </cell>
          <cell r="C185" t="str">
            <v>PT. Kirana Purnama</v>
          </cell>
        </row>
        <row r="186">
          <cell r="B186">
            <v>124000000000183</v>
          </cell>
          <cell r="C186" t="str">
            <v>PT. Macika Indo Sarana Transport</v>
          </cell>
        </row>
        <row r="187">
          <cell r="B187">
            <v>124000000000184</v>
          </cell>
          <cell r="C187" t="str">
            <v>PT. Magna Beton Indonesia</v>
          </cell>
        </row>
        <row r="188">
          <cell r="B188">
            <v>124000000000185</v>
          </cell>
          <cell r="C188" t="str">
            <v>PT. Mandiri Maha Daya</v>
          </cell>
        </row>
        <row r="189">
          <cell r="B189">
            <v>124000000000186</v>
          </cell>
          <cell r="C189" t="str">
            <v>PT. Markoen Engineering Indonesia</v>
          </cell>
        </row>
        <row r="190">
          <cell r="B190">
            <v>124000000000187</v>
          </cell>
          <cell r="C190" t="str">
            <v>PT. Mediantara General Sistemindo</v>
          </cell>
        </row>
        <row r="191">
          <cell r="B191">
            <v>124000000000188</v>
          </cell>
          <cell r="C191" t="str">
            <v>PT. Mega Perkakas Abadi</v>
          </cell>
        </row>
        <row r="192">
          <cell r="B192">
            <v>124000000000189</v>
          </cell>
          <cell r="C192" t="str">
            <v xml:space="preserve">PT. Meratus Line </v>
          </cell>
        </row>
        <row r="193">
          <cell r="B193">
            <v>124000000000190</v>
          </cell>
          <cell r="C193" t="str">
            <v>PT. Mitra Abadi Hanafindo</v>
          </cell>
        </row>
        <row r="194">
          <cell r="B194">
            <v>124000000000191</v>
          </cell>
          <cell r="C194" t="str">
            <v>PT. Mitra Putra Profitamas</v>
          </cell>
        </row>
        <row r="195">
          <cell r="B195">
            <v>124000000000192</v>
          </cell>
          <cell r="C195" t="str">
            <v>PT. Mixindo Abadi Karya</v>
          </cell>
        </row>
        <row r="196">
          <cell r="B196">
            <v>124000000000193</v>
          </cell>
          <cell r="C196" t="str">
            <v xml:space="preserve">PT. Mollindo Cipta Mandiri </v>
          </cell>
        </row>
        <row r="197">
          <cell r="B197">
            <v>124000000000194</v>
          </cell>
          <cell r="C197" t="str">
            <v>PT. Multi Guna Trans Energi</v>
          </cell>
        </row>
        <row r="198">
          <cell r="B198">
            <v>124000000000195</v>
          </cell>
          <cell r="C198" t="str">
            <v>PT. Multi Kencana Niagatama</v>
          </cell>
        </row>
        <row r="199">
          <cell r="B199">
            <v>124000000000196</v>
          </cell>
          <cell r="C199" t="str">
            <v>PT. Mutiara Timur Truss</v>
          </cell>
        </row>
        <row r="200">
          <cell r="B200">
            <v>124000000000197</v>
          </cell>
          <cell r="C200" t="str">
            <v>PT. Nariza Teknik Inspeksi</v>
          </cell>
        </row>
        <row r="201">
          <cell r="B201">
            <v>124000000000198</v>
          </cell>
          <cell r="C201" t="str">
            <v>PT. Netcom Technology</v>
          </cell>
        </row>
        <row r="202">
          <cell r="B202">
            <v>124000000000199</v>
          </cell>
          <cell r="C202" t="str">
            <v>PT. NR Electric Jakarta</v>
          </cell>
        </row>
        <row r="203">
          <cell r="B203">
            <v>124000000000200</v>
          </cell>
          <cell r="C203" t="str">
            <v>PT. Nuansa Dharma Cipta</v>
          </cell>
        </row>
        <row r="204">
          <cell r="B204">
            <v>124000000000201</v>
          </cell>
          <cell r="C204" t="str">
            <v>PT. Orion Teknik Solusindo</v>
          </cell>
        </row>
        <row r="205">
          <cell r="B205">
            <v>124000000000202</v>
          </cell>
          <cell r="C205" t="str">
            <v>PT. Orix Indonesia Finance</v>
          </cell>
        </row>
        <row r="206">
          <cell r="B206">
            <v>124000000000203</v>
          </cell>
          <cell r="C206" t="str">
            <v>PT. Pacific Prestress Indonesia</v>
          </cell>
        </row>
        <row r="207">
          <cell r="B207">
            <v>124000000000204</v>
          </cell>
          <cell r="C207" t="str">
            <v>PT. Panah Perdana Logisindo</v>
          </cell>
        </row>
        <row r="208">
          <cell r="B208">
            <v>124000000000205</v>
          </cell>
          <cell r="C208" t="str">
            <v>PT. Panca Infosoft Pionir Indonesia</v>
          </cell>
        </row>
        <row r="209">
          <cell r="B209">
            <v>124000000000206</v>
          </cell>
          <cell r="C209" t="str">
            <v>PT. Panca Logam Sukses Mandiri</v>
          </cell>
        </row>
        <row r="210">
          <cell r="B210">
            <v>124000000000207</v>
          </cell>
          <cell r="C210" t="str">
            <v>PT. Panca Utama Selaras</v>
          </cell>
        </row>
        <row r="211">
          <cell r="B211">
            <v>124000000000208</v>
          </cell>
          <cell r="C211" t="str">
            <v xml:space="preserve">PT. Panghegar Mitra Utama   </v>
          </cell>
        </row>
        <row r="212">
          <cell r="B212">
            <v>124000000000209</v>
          </cell>
          <cell r="C212" t="str">
            <v>PT. Pas Jaya Mandiri</v>
          </cell>
        </row>
        <row r="213">
          <cell r="B213">
            <v>124000000000210</v>
          </cell>
          <cell r="C213" t="str">
            <v>PT. Pelangi Teknik Indonesia</v>
          </cell>
        </row>
        <row r="214">
          <cell r="B214">
            <v>124000000000211</v>
          </cell>
          <cell r="C214" t="str">
            <v>PT. Perusahaan Bongkar Muatadi Purusa</v>
          </cell>
        </row>
        <row r="215">
          <cell r="B215">
            <v>124000000000212</v>
          </cell>
          <cell r="C215" t="str">
            <v>PT. Petromas Kencana (Ottoban Indonesia)</v>
          </cell>
        </row>
        <row r="216">
          <cell r="B216">
            <v>124000000000213</v>
          </cell>
          <cell r="C216" t="str">
            <v>PT. Ponti Suri Group</v>
          </cell>
        </row>
        <row r="217">
          <cell r="B217">
            <v>124000000000214</v>
          </cell>
          <cell r="C217" t="str">
            <v>PT. Powerindo Prima Perkasa</v>
          </cell>
        </row>
        <row r="218">
          <cell r="B218">
            <v>124000000000215</v>
          </cell>
          <cell r="C218" t="str">
            <v>PT. Pratama Prima Bajatama</v>
          </cell>
        </row>
        <row r="219">
          <cell r="B219">
            <v>124000000000216</v>
          </cell>
          <cell r="C219" t="str">
            <v>PT. PRI Indonesia</v>
          </cell>
        </row>
        <row r="220">
          <cell r="B220">
            <v>124000000000217</v>
          </cell>
          <cell r="C220" t="str">
            <v>PT. Prima Indah Lestari</v>
          </cell>
        </row>
        <row r="221">
          <cell r="B221">
            <v>124000000000218</v>
          </cell>
          <cell r="C221" t="str">
            <v xml:space="preserve">PT. Prima Mitra Elektrindo </v>
          </cell>
        </row>
        <row r="222">
          <cell r="B222">
            <v>124000000000219</v>
          </cell>
          <cell r="C222" t="str">
            <v>PT. Primatech Jaya Abadi</v>
          </cell>
        </row>
        <row r="223">
          <cell r="B223">
            <v>124000000000220</v>
          </cell>
          <cell r="C223" t="str">
            <v>PT. Putra Langgeng Anugerah</v>
          </cell>
        </row>
        <row r="224">
          <cell r="B224">
            <v>124000000000221</v>
          </cell>
          <cell r="C224" t="str">
            <v>PT. Putraguna Jayamulia</v>
          </cell>
        </row>
        <row r="225">
          <cell r="B225">
            <v>124000000000222</v>
          </cell>
          <cell r="C225" t="str">
            <v>PT. Putratel Andalan Sukses</v>
          </cell>
        </row>
        <row r="226">
          <cell r="B226">
            <v>124000000000223</v>
          </cell>
          <cell r="C226" t="str">
            <v xml:space="preserve">PT. Radian Sarana Elektrika   </v>
          </cell>
        </row>
        <row r="227">
          <cell r="B227">
            <v>124000000000224</v>
          </cell>
          <cell r="C227" t="str">
            <v>PT. Raj Prima</v>
          </cell>
        </row>
        <row r="228">
          <cell r="B228">
            <v>124000000000225</v>
          </cell>
          <cell r="C228" t="str">
            <v>PT. Rangka Raya</v>
          </cell>
        </row>
        <row r="229">
          <cell r="B229">
            <v>124000000000226</v>
          </cell>
          <cell r="C229" t="str">
            <v>PT. Riau Crane Perkasa</v>
          </cell>
        </row>
        <row r="230">
          <cell r="B230">
            <v>124000000000227</v>
          </cell>
          <cell r="C230" t="str">
            <v>PT. Royal Madani Persada</v>
          </cell>
        </row>
        <row r="231">
          <cell r="B231">
            <v>124000000000228</v>
          </cell>
          <cell r="C231" t="str">
            <v>PT. Salaeurih Muda Perkasa</v>
          </cell>
        </row>
        <row r="232">
          <cell r="B232">
            <v>124000000000229</v>
          </cell>
          <cell r="C232" t="str">
            <v>PT. Salam Pacific Indonesia Lines</v>
          </cell>
        </row>
        <row r="233">
          <cell r="B233">
            <v>124000000000230</v>
          </cell>
          <cell r="C233" t="str">
            <v>PT. Schneider Indonesia</v>
          </cell>
        </row>
        <row r="234">
          <cell r="B234">
            <v>124000000000231</v>
          </cell>
          <cell r="C234" t="str">
            <v>PT. Sentosa Prima Mandiri</v>
          </cell>
        </row>
        <row r="235">
          <cell r="B235">
            <v>124000000000232</v>
          </cell>
          <cell r="C235" t="str">
            <v xml:space="preserve">PT. Siemens Indonesia </v>
          </cell>
        </row>
        <row r="236">
          <cell r="B236">
            <v>124000000000233</v>
          </cell>
          <cell r="C236" t="str">
            <v>PT. Siemon Damai Jaya Abadi</v>
          </cell>
        </row>
        <row r="237">
          <cell r="B237">
            <v>124000000000234</v>
          </cell>
          <cell r="C237" t="str">
            <v>PT. Silica Central Asia</v>
          </cell>
        </row>
        <row r="238">
          <cell r="B238">
            <v>124000000000235</v>
          </cell>
          <cell r="C238" t="str">
            <v>PT. Simetrik Integrasi</v>
          </cell>
        </row>
        <row r="239">
          <cell r="B239">
            <v>124000000000236</v>
          </cell>
          <cell r="C239" t="str">
            <v>PT. Sinar Laut Mandiri</v>
          </cell>
        </row>
        <row r="240">
          <cell r="B240">
            <v>124000000000237</v>
          </cell>
          <cell r="C240" t="str">
            <v>PT. Sinergi Garuda Nusantara</v>
          </cell>
        </row>
        <row r="241">
          <cell r="B241">
            <v>124000000000238</v>
          </cell>
          <cell r="C241" t="str">
            <v>PT. Sinergi Karsa Utama</v>
          </cell>
        </row>
        <row r="242">
          <cell r="B242">
            <v>124000000000239</v>
          </cell>
          <cell r="C242" t="str">
            <v>PT. Sintra Sinarindo Elektrik</v>
          </cell>
        </row>
        <row r="243">
          <cell r="B243">
            <v>124000000000240</v>
          </cell>
          <cell r="C243" t="str">
            <v>PT. Siscom Technologies</v>
          </cell>
        </row>
        <row r="244">
          <cell r="B244">
            <v>124000000000241</v>
          </cell>
          <cell r="C244" t="str">
            <v>PT. Subur Buana Raya</v>
          </cell>
        </row>
        <row r="245">
          <cell r="B245">
            <v>124000000000242</v>
          </cell>
          <cell r="C245" t="str">
            <v xml:space="preserve">PT. Sukses Perkasa Forestama </v>
          </cell>
        </row>
        <row r="246">
          <cell r="B246">
            <v>124000000000243</v>
          </cell>
          <cell r="C246" t="str">
            <v xml:space="preserve">PT. Suryamas Elsindo Primatama </v>
          </cell>
        </row>
        <row r="247">
          <cell r="B247">
            <v>124000000000244</v>
          </cell>
          <cell r="C247" t="str">
            <v>PT. Temas Tbk</v>
          </cell>
        </row>
        <row r="248">
          <cell r="B248">
            <v>124000000000245</v>
          </cell>
          <cell r="C248" t="str">
            <v>PT. Tirtakencana Tatawarna</v>
          </cell>
        </row>
        <row r="249">
          <cell r="B249">
            <v>124000000000246</v>
          </cell>
          <cell r="C249" t="str">
            <v>PT. Tri Artha Manunggal</v>
          </cell>
        </row>
        <row r="250">
          <cell r="B250">
            <v>124000000000247</v>
          </cell>
          <cell r="C250" t="str">
            <v>PT. Tri Karya Teslatama</v>
          </cell>
        </row>
        <row r="251">
          <cell r="B251">
            <v>124000000000248</v>
          </cell>
          <cell r="C251" t="str">
            <v>PT. Tribaja Karya Sejahtera</v>
          </cell>
        </row>
        <row r="252">
          <cell r="B252">
            <v>124000000000249</v>
          </cell>
          <cell r="C252" t="str">
            <v>PT. Triotama Toya Energi</v>
          </cell>
        </row>
        <row r="253">
          <cell r="B253">
            <v>124000000000250</v>
          </cell>
          <cell r="C253" t="str">
            <v xml:space="preserve">PT. Twink Indonesia </v>
          </cell>
        </row>
        <row r="254">
          <cell r="B254">
            <v>124000000000251</v>
          </cell>
          <cell r="C254" t="str">
            <v xml:space="preserve">PT. Vector Info Technologies </v>
          </cell>
        </row>
        <row r="255">
          <cell r="B255">
            <v>124000000000252</v>
          </cell>
          <cell r="C255" t="str">
            <v>PT. Vins Teknik Internusa</v>
          </cell>
        </row>
        <row r="256">
          <cell r="B256">
            <v>124000000000253</v>
          </cell>
          <cell r="C256" t="str">
            <v xml:space="preserve">PT. Voksel Electric Tbk </v>
          </cell>
        </row>
        <row r="257">
          <cell r="B257">
            <v>124000000000254</v>
          </cell>
          <cell r="C257" t="str">
            <v>PT. Widya Prima Utama</v>
          </cell>
        </row>
        <row r="258">
          <cell r="B258">
            <v>124000000000255</v>
          </cell>
          <cell r="C258" t="str">
            <v xml:space="preserve">PT. Yanmarindo Perkasa </v>
          </cell>
        </row>
        <row r="259">
          <cell r="B259">
            <v>124000000000256</v>
          </cell>
          <cell r="C259" t="str">
            <v>PT. Yudha Berkat Layana</v>
          </cell>
        </row>
        <row r="260">
          <cell r="B260">
            <v>124000000000257</v>
          </cell>
          <cell r="C260" t="str">
            <v xml:space="preserve">PT. ZTT Cable Indonesia     </v>
          </cell>
        </row>
        <row r="261">
          <cell r="B261">
            <v>124000000000258</v>
          </cell>
          <cell r="C261" t="str">
            <v>PT. KMI Wire and Cable, Tbk [a.k.a : Kabel Metal Indonesia]</v>
          </cell>
        </row>
        <row r="262">
          <cell r="B262">
            <v>124000000000259</v>
          </cell>
          <cell r="C262" t="str">
            <v>PT. Kokoh Inti Arebama, Tbk</v>
          </cell>
        </row>
        <row r="263">
          <cell r="B263">
            <v>124000000000260</v>
          </cell>
          <cell r="C263" t="str">
            <v>BPJS Ketenagakerjaan</v>
          </cell>
        </row>
        <row r="264">
          <cell r="B264">
            <v>124000000000261</v>
          </cell>
          <cell r="C264" t="str">
            <v>BPJS Kesehatan</v>
          </cell>
        </row>
        <row r="265">
          <cell r="B265">
            <v>124000000000262</v>
          </cell>
          <cell r="C265" t="str">
            <v>PT. Bank Rakyat Indonesia (Persero), Tbk</v>
          </cell>
        </row>
        <row r="266">
          <cell r="B266">
            <v>124000000000263</v>
          </cell>
          <cell r="C266" t="str">
            <v xml:space="preserve">Koperasi Mekar - Jakarta Selatan </v>
          </cell>
        </row>
        <row r="267">
          <cell r="B267">
            <v>124000000000264</v>
          </cell>
          <cell r="C267" t="str">
            <v>PT. Pelayanan Listrik Nasional (Persero) - Pusat Sertifikasi</v>
          </cell>
        </row>
        <row r="268">
          <cell r="B268">
            <v>124000000000265</v>
          </cell>
          <cell r="C268" t="str">
            <v>UD. Athar Marzuki Plywood</v>
          </cell>
        </row>
        <row r="269">
          <cell r="B269">
            <v>124000000000266</v>
          </cell>
          <cell r="C269" t="str">
            <v>UD. Gajah Mungkur</v>
          </cell>
        </row>
        <row r="270">
          <cell r="B270">
            <v>124000000000267</v>
          </cell>
          <cell r="C270" t="str">
            <v>UD. Kalam Hidup kendari</v>
          </cell>
        </row>
        <row r="271">
          <cell r="B271">
            <v>124000000000268</v>
          </cell>
          <cell r="C271" t="str">
            <v>UD. Mandiri Jaya</v>
          </cell>
        </row>
        <row r="272">
          <cell r="B272">
            <v>124000000000269</v>
          </cell>
          <cell r="C272" t="str">
            <v>UD. Subur</v>
          </cell>
        </row>
        <row r="273">
          <cell r="B273">
            <v>124000000000270</v>
          </cell>
          <cell r="C273" t="str">
            <v>UD. Thufail</v>
          </cell>
        </row>
        <row r="274">
          <cell r="B274">
            <v>124000000000271</v>
          </cell>
          <cell r="C274" t="str">
            <v>TB. Asep Saprudin</v>
          </cell>
        </row>
        <row r="275">
          <cell r="B275">
            <v>124000000000272</v>
          </cell>
          <cell r="C275" t="str">
            <v>TB. Berkah Sentosa</v>
          </cell>
        </row>
        <row r="276">
          <cell r="B276">
            <v>124000000000273</v>
          </cell>
          <cell r="C276" t="str">
            <v>TB. Berkat Orang Tua</v>
          </cell>
        </row>
        <row r="277">
          <cell r="B277">
            <v>124000000000274</v>
          </cell>
          <cell r="C277" t="str">
            <v>TB. Cipta Bangun</v>
          </cell>
        </row>
        <row r="278">
          <cell r="B278">
            <v>124000000000275</v>
          </cell>
          <cell r="C278" t="str">
            <v>TB. Karta Jaya</v>
          </cell>
        </row>
        <row r="279">
          <cell r="B279">
            <v>124000000000276</v>
          </cell>
          <cell r="C279" t="str">
            <v>TB. Roma Bangunan</v>
          </cell>
        </row>
        <row r="280">
          <cell r="B280">
            <v>124000000000277</v>
          </cell>
          <cell r="C280" t="str">
            <v>TB. Sumber Jaya Bangunan</v>
          </cell>
        </row>
        <row r="281">
          <cell r="B281">
            <v>124000000000278</v>
          </cell>
          <cell r="C281" t="str">
            <v>Toko Agen Kaca Kita Yakin</v>
          </cell>
        </row>
        <row r="282">
          <cell r="B282">
            <v>124000000000279</v>
          </cell>
          <cell r="C282" t="str">
            <v>Toko Akbar Seng</v>
          </cell>
        </row>
        <row r="283">
          <cell r="B283">
            <v>124000000000280</v>
          </cell>
          <cell r="C283" t="str">
            <v>Toko Berkah</v>
          </cell>
        </row>
        <row r="284">
          <cell r="B284">
            <v>124000000000281</v>
          </cell>
          <cell r="C284" t="str">
            <v>Toko Buana Tunggal</v>
          </cell>
        </row>
        <row r="285">
          <cell r="B285">
            <v>124000000000282</v>
          </cell>
          <cell r="C285" t="str">
            <v>Toko Dunia Elektronik</v>
          </cell>
        </row>
        <row r="286">
          <cell r="B286">
            <v>124000000000283</v>
          </cell>
          <cell r="C286" t="str">
            <v>Toko Fajar Timur Motor</v>
          </cell>
        </row>
        <row r="287">
          <cell r="B287">
            <v>124000000000284</v>
          </cell>
          <cell r="C287" t="str">
            <v xml:space="preserve">Toko Global Teknik     </v>
          </cell>
        </row>
        <row r="288">
          <cell r="B288">
            <v>124000000000285</v>
          </cell>
          <cell r="C288" t="str">
            <v>Toko Glodok Teknik Diesel</v>
          </cell>
        </row>
        <row r="289">
          <cell r="B289">
            <v>124000000000286</v>
          </cell>
          <cell r="C289" t="str">
            <v>Toko GLX - Ariyati</v>
          </cell>
        </row>
        <row r="290">
          <cell r="B290">
            <v>124000000000287</v>
          </cell>
          <cell r="C290" t="str">
            <v>Toko Inpaco</v>
          </cell>
        </row>
        <row r="291">
          <cell r="B291">
            <v>124000000000288</v>
          </cell>
          <cell r="C291" t="str">
            <v xml:space="preserve">Toko Intan Bangunan </v>
          </cell>
        </row>
        <row r="292">
          <cell r="B292">
            <v>124000000000289</v>
          </cell>
          <cell r="C292" t="str">
            <v>Toko Intan Motor</v>
          </cell>
        </row>
        <row r="293">
          <cell r="B293">
            <v>124000000000290</v>
          </cell>
          <cell r="C293" t="str">
            <v>Toko Jalajah Karya Teknik</v>
          </cell>
        </row>
        <row r="294">
          <cell r="B294">
            <v>124000000000291</v>
          </cell>
          <cell r="C294" t="str">
            <v>Toko JualWaterStop.NET</v>
          </cell>
        </row>
        <row r="295">
          <cell r="B295">
            <v>124000000000292</v>
          </cell>
          <cell r="C295" t="str">
            <v>Toko Marpoyan Teknik Diesel</v>
          </cell>
        </row>
        <row r="296">
          <cell r="B296">
            <v>124000000000293</v>
          </cell>
          <cell r="C296" t="str">
            <v>Toko Mega Diesel</v>
          </cell>
        </row>
        <row r="297">
          <cell r="B297">
            <v>124000000000294</v>
          </cell>
          <cell r="C297" t="str">
            <v xml:space="preserve">Toko Mega Jaya </v>
          </cell>
        </row>
        <row r="298">
          <cell r="B298">
            <v>124000000000295</v>
          </cell>
          <cell r="C298" t="str">
            <v>Toko Meubel Dani</v>
          </cell>
        </row>
        <row r="299">
          <cell r="B299">
            <v>124000000000296</v>
          </cell>
          <cell r="C299" t="str">
            <v>Toko Murah Rezeki</v>
          </cell>
        </row>
        <row r="300">
          <cell r="B300">
            <v>124000000000297</v>
          </cell>
          <cell r="C300" t="str">
            <v>Toko Ocu Intan</v>
          </cell>
        </row>
        <row r="301">
          <cell r="B301">
            <v>124000000000298</v>
          </cell>
          <cell r="C301" t="str">
            <v>Toko Pasar Minggu Tehnik</v>
          </cell>
        </row>
        <row r="302">
          <cell r="B302">
            <v>124000000000299</v>
          </cell>
          <cell r="C302" t="str">
            <v>Toko Restia</v>
          </cell>
        </row>
        <row r="303">
          <cell r="B303">
            <v>124000000000300</v>
          </cell>
          <cell r="C303" t="str">
            <v>Toko S Three Sane Security System</v>
          </cell>
        </row>
        <row r="304">
          <cell r="B304">
            <v>124000000000301</v>
          </cell>
          <cell r="C304" t="str">
            <v>Toko Sarana Jaya Abadi</v>
          </cell>
        </row>
        <row r="305">
          <cell r="B305">
            <v>124000000000302</v>
          </cell>
          <cell r="C305" t="str">
            <v>Toko Sekawan Jaya Safety</v>
          </cell>
        </row>
        <row r="306">
          <cell r="B306">
            <v>124000000000303</v>
          </cell>
          <cell r="C306" t="str">
            <v>Toko Sentral Elektronik</v>
          </cell>
        </row>
        <row r="307">
          <cell r="B307">
            <v>124000000000304</v>
          </cell>
          <cell r="C307" t="str">
            <v>Toko Sinar Baja qq Syafir Ottong</v>
          </cell>
        </row>
        <row r="308">
          <cell r="B308">
            <v>124000000000305</v>
          </cell>
          <cell r="C308" t="str">
            <v xml:space="preserve">Toko Sinar Baut </v>
          </cell>
        </row>
        <row r="309">
          <cell r="B309">
            <v>124000000000306</v>
          </cell>
          <cell r="C309" t="str">
            <v>Toko Sinar Listrik</v>
          </cell>
        </row>
        <row r="310">
          <cell r="B310">
            <v>124000000000307</v>
          </cell>
          <cell r="C310" t="str">
            <v>Toko SKCR</v>
          </cell>
        </row>
        <row r="311">
          <cell r="B311">
            <v>124000000000308</v>
          </cell>
          <cell r="C311" t="str">
            <v>Toko Sumber Makmur</v>
          </cell>
        </row>
        <row r="312">
          <cell r="B312">
            <v>124000000000309</v>
          </cell>
          <cell r="C312" t="str">
            <v>Toko Sumber Terang</v>
          </cell>
        </row>
        <row r="313">
          <cell r="B313">
            <v>124000000000310</v>
          </cell>
          <cell r="C313" t="str">
            <v>Toko Suroto Motor</v>
          </cell>
        </row>
        <row r="314">
          <cell r="B314">
            <v>124000000000311</v>
          </cell>
          <cell r="C314" t="str">
            <v>Toko Surya Electrical</v>
          </cell>
        </row>
        <row r="315">
          <cell r="B315">
            <v>124000000000312</v>
          </cell>
          <cell r="C315" t="str">
            <v>Toko Top Listrik</v>
          </cell>
        </row>
        <row r="316">
          <cell r="B316">
            <v>124000000000313</v>
          </cell>
          <cell r="C316" t="str">
            <v>Toko Top Swalayan</v>
          </cell>
        </row>
        <row r="317">
          <cell r="B317">
            <v>124000000000314</v>
          </cell>
          <cell r="C317" t="str">
            <v>Toko Usaha Teknik Bersama</v>
          </cell>
        </row>
        <row r="318">
          <cell r="B318">
            <v>124000000000315</v>
          </cell>
          <cell r="C318" t="str">
            <v>Toko Online Tokopedia - Aji jaya tehnik</v>
          </cell>
        </row>
        <row r="319">
          <cell r="B319">
            <v>124000000000316</v>
          </cell>
          <cell r="C319" t="str">
            <v>Toko Online Tokopedia - Aksesmandiri</v>
          </cell>
        </row>
        <row r="320">
          <cell r="B320">
            <v>124000000000317</v>
          </cell>
          <cell r="C320" t="str">
            <v>Toko Online Tokopedia - aprofficialjkt</v>
          </cell>
        </row>
        <row r="321">
          <cell r="B321">
            <v>124000000000318</v>
          </cell>
          <cell r="C321" t="str">
            <v>Toko Online Tokopedia - Aurorae World</v>
          </cell>
        </row>
        <row r="322">
          <cell r="B322">
            <v>124000000000319</v>
          </cell>
          <cell r="C322" t="str">
            <v>Toko Online Tokopedia - Automa-88</v>
          </cell>
        </row>
        <row r="323">
          <cell r="B323">
            <v>124000000000320</v>
          </cell>
          <cell r="C323" t="str">
            <v>Toko Online Tokopedia - Baja Besi Perkasa</v>
          </cell>
        </row>
        <row r="324">
          <cell r="B324">
            <v>124000000000321</v>
          </cell>
          <cell r="C324" t="str">
            <v>Toko Online Tokopedia - BB Wing</v>
          </cell>
        </row>
        <row r="325">
          <cell r="B325">
            <v>124000000000322</v>
          </cell>
          <cell r="C325" t="str">
            <v>Toko Online Tokopedia - Best Electric 168</v>
          </cell>
        </row>
        <row r="326">
          <cell r="B326">
            <v>124000000000323</v>
          </cell>
          <cell r="C326" t="str">
            <v>Toko Online Tokopedia - Bina Electric</v>
          </cell>
        </row>
        <row r="327">
          <cell r="B327">
            <v>124000000000324</v>
          </cell>
          <cell r="C327" t="str">
            <v>Toko Online Tokopedia - Bintang-Electric</v>
          </cell>
        </row>
        <row r="328">
          <cell r="B328">
            <v>124000000000325</v>
          </cell>
          <cell r="C328" t="str">
            <v>Toko Online Tokopedia - BJ Telecom</v>
          </cell>
        </row>
        <row r="329">
          <cell r="B329">
            <v>124000000000326</v>
          </cell>
          <cell r="C329" t="str">
            <v>Toko Online Tokopedia - Budget Technology</v>
          </cell>
        </row>
        <row r="330">
          <cell r="B330">
            <v>124000000000327</v>
          </cell>
          <cell r="C330" t="str">
            <v>Toko Online Tokopedia - Cahaya Mitra Electrical</v>
          </cell>
        </row>
        <row r="331">
          <cell r="B331">
            <v>124000000000328</v>
          </cell>
          <cell r="C331" t="str">
            <v>Toko Online Tokopedia - Central Electrindo</v>
          </cell>
        </row>
        <row r="332">
          <cell r="B332">
            <v>124000000000329</v>
          </cell>
          <cell r="C332" t="str">
            <v>Toko Online Tokopedia - Damarstore01</v>
          </cell>
        </row>
        <row r="333">
          <cell r="B333">
            <v>124000000000330</v>
          </cell>
          <cell r="C333" t="str">
            <v>Toko Online Tokopedia - Dewa Listrik</v>
          </cell>
        </row>
        <row r="334">
          <cell r="B334">
            <v>124000000000331</v>
          </cell>
          <cell r="C334" t="str">
            <v>Toko Online Tokopedia - Distributor Kabel</v>
          </cell>
        </row>
        <row r="335">
          <cell r="B335">
            <v>124000000000332</v>
          </cell>
          <cell r="C335" t="str">
            <v>Toko Online Tokopedia - Doctor Electrical</v>
          </cell>
        </row>
        <row r="336">
          <cell r="B336">
            <v>124000000000333</v>
          </cell>
          <cell r="C336" t="str">
            <v xml:space="preserve">Toko Online Tokopedia - Dunia Ban Indonesia </v>
          </cell>
        </row>
        <row r="337">
          <cell r="B337">
            <v>124000000000334</v>
          </cell>
          <cell r="C337" t="str">
            <v>Toko Online Tokopedia - Eddy variasi motor</v>
          </cell>
        </row>
        <row r="338">
          <cell r="B338">
            <v>124000000000335</v>
          </cell>
          <cell r="C338" t="str">
            <v>Toko Online Tokopedia - Fixprint Plus</v>
          </cell>
        </row>
        <row r="339">
          <cell r="B339">
            <v>124000000000336</v>
          </cell>
          <cell r="C339" t="str">
            <v>Toko Online Tokopedia - Glodok Diesel</v>
          </cell>
        </row>
        <row r="340">
          <cell r="B340">
            <v>124000000000337</v>
          </cell>
          <cell r="C340" t="str">
            <v>Toko Online Tokopedia - GSC-CHEMTECH</v>
          </cell>
        </row>
        <row r="341">
          <cell r="B341">
            <v>124000000000338</v>
          </cell>
          <cell r="C341" t="str">
            <v>Toko Online Tokopedia - Gudang Listrik</v>
          </cell>
        </row>
        <row r="342">
          <cell r="B342">
            <v>124000000000339</v>
          </cell>
          <cell r="C342" t="str">
            <v>Toko Online Tokopedia - Gudang Power Tools</v>
          </cell>
        </row>
        <row r="343">
          <cell r="B343">
            <v>124000000000340</v>
          </cell>
          <cell r="C343" t="str">
            <v>Toko Online Tokopedia - Indah Jaya Tools</v>
          </cell>
        </row>
        <row r="344">
          <cell r="B344">
            <v>124000000000341</v>
          </cell>
          <cell r="C344" t="str">
            <v>Toko Online Tokopedia - Indo_Security</v>
          </cell>
        </row>
        <row r="345">
          <cell r="B345">
            <v>124000000000342</v>
          </cell>
          <cell r="C345" t="str">
            <v>Toko Online Tokopedia - Indotara Persada</v>
          </cell>
        </row>
        <row r="346">
          <cell r="B346">
            <v>124000000000343</v>
          </cell>
          <cell r="C346" t="str">
            <v>Toko Online Tokopedia - Iterno Listrik</v>
          </cell>
        </row>
        <row r="347">
          <cell r="B347">
            <v>124000000000344</v>
          </cell>
          <cell r="C347" t="str">
            <v>Toko Online Tokopedia - Jakarta.Gudang.Indonesia</v>
          </cell>
        </row>
        <row r="348">
          <cell r="B348">
            <v>124000000000345</v>
          </cell>
          <cell r="C348" t="str">
            <v>Toko Online Tokopedia - Kembar Makmur Abadi</v>
          </cell>
        </row>
        <row r="349">
          <cell r="B349">
            <v>124000000000346</v>
          </cell>
          <cell r="C349" t="str">
            <v>Toko Online Tokopedia - Kevin Electrical</v>
          </cell>
        </row>
        <row r="350">
          <cell r="B350">
            <v>124000000000347</v>
          </cell>
          <cell r="C350" t="str">
            <v>Toko Online Tokopedia - lapakcablegland</v>
          </cell>
        </row>
        <row r="351">
          <cell r="B351">
            <v>124000000000348</v>
          </cell>
          <cell r="C351" t="str">
            <v>Toko Online Tokopedia - LED Lighting Store</v>
          </cell>
        </row>
        <row r="352">
          <cell r="B352">
            <v>124000000000349</v>
          </cell>
          <cell r="C352" t="str">
            <v>Toko Online Tokopedia - Lima Kencana Utama</v>
          </cell>
        </row>
        <row r="353">
          <cell r="B353">
            <v>124000000000350</v>
          </cell>
          <cell r="C353" t="str">
            <v>Toko Online Tokopedia - Macro Panel Elektrik</v>
          </cell>
        </row>
        <row r="354">
          <cell r="B354">
            <v>124000000000351</v>
          </cell>
          <cell r="C354" t="str">
            <v>Toko Online Tokopedia - Megalistrik2</v>
          </cell>
        </row>
        <row r="355">
          <cell r="B355">
            <v>124000000000352</v>
          </cell>
          <cell r="C355" t="str">
            <v>Toko Online Tokopedia - MM Teknindo</v>
          </cell>
        </row>
        <row r="356">
          <cell r="B356">
            <v>124000000000353</v>
          </cell>
          <cell r="C356" t="str">
            <v>Toko Online Tokopedia - MMJ Tools</v>
          </cell>
        </row>
        <row r="357">
          <cell r="B357">
            <v>124000000000354</v>
          </cell>
          <cell r="C357" t="str">
            <v>Toko Online Tokopedia - Morning Star 1</v>
          </cell>
        </row>
        <row r="358">
          <cell r="B358">
            <v>124000000000355</v>
          </cell>
          <cell r="C358" t="str">
            <v>Toko Online Tokopedia - Multifungsi Online</v>
          </cell>
        </row>
        <row r="359">
          <cell r="B359">
            <v>124000000000356</v>
          </cell>
          <cell r="C359" t="str">
            <v>Toko Online Tokopedia - Niaga Abadi Kenari</v>
          </cell>
        </row>
        <row r="360">
          <cell r="B360">
            <v>124000000000357</v>
          </cell>
          <cell r="C360" t="str">
            <v xml:space="preserve">Toko Online Tokopedia - NVIDIA GeForce </v>
          </cell>
        </row>
        <row r="361">
          <cell r="B361">
            <v>124000000000358</v>
          </cell>
          <cell r="C361" t="str">
            <v>Toko Online Tokopedia - panelmas electric</v>
          </cell>
        </row>
        <row r="362">
          <cell r="B362">
            <v>124000000000359</v>
          </cell>
          <cell r="C362" t="str">
            <v>Toko Online Tokopedia - Protech Computer</v>
          </cell>
        </row>
        <row r="363">
          <cell r="B363">
            <v>124000000000360</v>
          </cell>
          <cell r="C363" t="str">
            <v>Toko Online Tokopedia - Puma Elektrik Niaga</v>
          </cell>
        </row>
        <row r="364">
          <cell r="B364">
            <v>124000000000361</v>
          </cell>
          <cell r="C364" t="str">
            <v>Toko Online Tokopedia - Raspberry Pi Distributor</v>
          </cell>
        </row>
        <row r="365">
          <cell r="B365">
            <v>124000000000362</v>
          </cell>
          <cell r="C365" t="str">
            <v>Toko Online Tokopedia - RFelektrik</v>
          </cell>
        </row>
        <row r="366">
          <cell r="B366">
            <v>124000000000363</v>
          </cell>
          <cell r="C366" t="str">
            <v>Toko Online Tokopedia - Riv ID</v>
          </cell>
        </row>
        <row r="367">
          <cell r="B367">
            <v>124000000000364</v>
          </cell>
          <cell r="C367" t="str">
            <v>Toko Online Tokopedia - Rizqiana Berkah</v>
          </cell>
        </row>
        <row r="368">
          <cell r="B368">
            <v>124000000000365</v>
          </cell>
          <cell r="C368" t="str">
            <v>Toko Online Tokopedia - Sarana Elektrik</v>
          </cell>
        </row>
        <row r="369">
          <cell r="B369">
            <v>124000000000366</v>
          </cell>
          <cell r="C369" t="str">
            <v>Toko Online Tokopedia - Sochi Smart Shop</v>
          </cell>
        </row>
        <row r="370">
          <cell r="B370">
            <v>124000000000367</v>
          </cell>
          <cell r="C370" t="str">
            <v>Toko Online Tokopedia - Solusi Material Bangunan Pondok Pinang</v>
          </cell>
        </row>
        <row r="371">
          <cell r="B371">
            <v>124000000000368</v>
          </cell>
          <cell r="C371" t="str">
            <v>Toko Online Tokopedia - Sumber Lighting Jaya</v>
          </cell>
        </row>
        <row r="372">
          <cell r="B372">
            <v>124000000000369</v>
          </cell>
          <cell r="C372" t="str">
            <v>Toko Online Tokopedia - Sumber Listrik Abadi</v>
          </cell>
        </row>
        <row r="373">
          <cell r="B373">
            <v>124000000000370</v>
          </cell>
          <cell r="C373" t="str">
            <v>Toko Online Tokopedia - Syafiqah Adv</v>
          </cell>
        </row>
        <row r="374">
          <cell r="B374">
            <v>124000000000371</v>
          </cell>
          <cell r="C374" t="str">
            <v>Toko Online Tokopedia - Tanelec</v>
          </cell>
        </row>
        <row r="375">
          <cell r="B375">
            <v>124000000000372</v>
          </cell>
          <cell r="C375" t="str">
            <v>Toko Online Tokopedia - Teknik Supplier.</v>
          </cell>
        </row>
        <row r="376">
          <cell r="B376">
            <v>124000000000373</v>
          </cell>
          <cell r="C376" t="str">
            <v>Toko Online Tokopedia - Toko Laris82</v>
          </cell>
        </row>
        <row r="377">
          <cell r="B377">
            <v>124000000000374</v>
          </cell>
          <cell r="C377" t="str">
            <v>Toko Online Tokopedia - Toko Listrik 68</v>
          </cell>
        </row>
        <row r="378">
          <cell r="B378">
            <v>124000000000375</v>
          </cell>
          <cell r="C378" t="str">
            <v>Toko Online Tokopedia - Tristar Teknik</v>
          </cell>
        </row>
        <row r="379">
          <cell r="B379">
            <v>124000000000376</v>
          </cell>
          <cell r="C379" t="str">
            <v>Toko Online Tokopedia - Uno Living Furniture</v>
          </cell>
        </row>
        <row r="380">
          <cell r="B380">
            <v>124000000000377</v>
          </cell>
          <cell r="C380" t="str">
            <v>Toko Online Tokopedia - US_Electronic</v>
          </cell>
        </row>
        <row r="381">
          <cell r="B381">
            <v>124000000000378</v>
          </cell>
          <cell r="C381" t="str">
            <v>Toko Online Tokopedia - VINS TEKNIK</v>
          </cell>
        </row>
        <row r="382">
          <cell r="B382">
            <v>124000000000379</v>
          </cell>
          <cell r="C382" t="str">
            <v>Toko Online Tokopedia - vsdpedia</v>
          </cell>
        </row>
        <row r="383">
          <cell r="B383">
            <v>124000000000380</v>
          </cell>
          <cell r="C383" t="str">
            <v>Mandor Abd Karim</v>
          </cell>
        </row>
        <row r="384">
          <cell r="B384">
            <v>124000000000381</v>
          </cell>
          <cell r="C384" t="str">
            <v>Mandor Ade Gunawan</v>
          </cell>
        </row>
        <row r="385">
          <cell r="B385">
            <v>124000000000382</v>
          </cell>
          <cell r="C385" t="str">
            <v>Mandor Adi Sutrisno</v>
          </cell>
        </row>
        <row r="386">
          <cell r="B386">
            <v>124000000000383</v>
          </cell>
          <cell r="C386" t="str">
            <v>Mandor Afrizal</v>
          </cell>
        </row>
        <row r="387">
          <cell r="B387">
            <v>124000000000384</v>
          </cell>
          <cell r="C387" t="str">
            <v>Mandor Ahmad Sholeh</v>
          </cell>
        </row>
        <row r="388">
          <cell r="B388">
            <v>124000000000385</v>
          </cell>
          <cell r="C388" t="str">
            <v>Mandor Ahmad Syamsudin</v>
          </cell>
        </row>
        <row r="389">
          <cell r="B389">
            <v>124000000000386</v>
          </cell>
          <cell r="C389" t="str">
            <v>Mandor Ajay</v>
          </cell>
        </row>
        <row r="390">
          <cell r="B390">
            <v>124000000000387</v>
          </cell>
          <cell r="C390" t="str">
            <v>Mandor Alfian Dani</v>
          </cell>
        </row>
        <row r="391">
          <cell r="B391">
            <v>124000000000388</v>
          </cell>
          <cell r="C391" t="str">
            <v>Mandor Alimuddin</v>
          </cell>
        </row>
        <row r="392">
          <cell r="B392">
            <v>124000000000389</v>
          </cell>
          <cell r="C392" t="str">
            <v>Mandor Ari Setiawan</v>
          </cell>
        </row>
        <row r="393">
          <cell r="B393">
            <v>124000000000390</v>
          </cell>
          <cell r="C393" t="str">
            <v>Mandor Baharuddin</v>
          </cell>
        </row>
        <row r="394">
          <cell r="B394">
            <v>124000000000391</v>
          </cell>
          <cell r="C394" t="str">
            <v>Mandor Balduin Situmorang</v>
          </cell>
        </row>
        <row r="395">
          <cell r="B395">
            <v>124000000000392</v>
          </cell>
          <cell r="C395" t="str">
            <v>Mandor Budi Prihatin</v>
          </cell>
        </row>
        <row r="396">
          <cell r="B396">
            <v>124000000000393</v>
          </cell>
          <cell r="C396" t="str">
            <v>Mandor Burhanudin</v>
          </cell>
        </row>
        <row r="397">
          <cell r="B397">
            <v>124000000000394</v>
          </cell>
          <cell r="C397" t="str">
            <v>Mandor Dian Effendi</v>
          </cell>
        </row>
        <row r="398">
          <cell r="B398">
            <v>124000000000395</v>
          </cell>
          <cell r="C398" t="str">
            <v>Mandor Dwi Trisno Utomo</v>
          </cell>
        </row>
        <row r="399">
          <cell r="B399">
            <v>124000000000396</v>
          </cell>
          <cell r="C399" t="str">
            <v>Mandor Erizal</v>
          </cell>
        </row>
        <row r="400">
          <cell r="B400">
            <v>124000000000397</v>
          </cell>
          <cell r="C400" t="str">
            <v>Mandor Galih Ramadhan</v>
          </cell>
        </row>
        <row r="401">
          <cell r="B401">
            <v>124000000000398</v>
          </cell>
          <cell r="C401" t="str">
            <v>Mandor Haerul Gunawan</v>
          </cell>
        </row>
        <row r="402">
          <cell r="B402">
            <v>124000000000399</v>
          </cell>
          <cell r="C402" t="str">
            <v>Mandor Harno</v>
          </cell>
        </row>
        <row r="403">
          <cell r="B403">
            <v>124000000000400</v>
          </cell>
          <cell r="C403" t="str">
            <v>Mandor Haswanuddin</v>
          </cell>
        </row>
        <row r="404">
          <cell r="B404">
            <v>124000000000401</v>
          </cell>
          <cell r="C404" t="str">
            <v>Mandor Heryanto Tanjong</v>
          </cell>
        </row>
        <row r="405">
          <cell r="B405">
            <v>124000000000402</v>
          </cell>
          <cell r="C405" t="str">
            <v>Mandor Iwan Risnawan</v>
          </cell>
        </row>
        <row r="406">
          <cell r="B406">
            <v>124000000000403</v>
          </cell>
          <cell r="C406" t="str">
            <v>Mandor Jaelani W</v>
          </cell>
        </row>
        <row r="407">
          <cell r="B407">
            <v>124000000000404</v>
          </cell>
          <cell r="C407" t="str">
            <v>Mandor Jusrial</v>
          </cell>
        </row>
        <row r="408">
          <cell r="B408">
            <v>124000000000405</v>
          </cell>
          <cell r="C408" t="str">
            <v>Mandor Kasiyono</v>
          </cell>
        </row>
        <row r="409">
          <cell r="B409">
            <v>124000000000406</v>
          </cell>
          <cell r="C409" t="str">
            <v>Mandor Lulus Pastiono</v>
          </cell>
        </row>
        <row r="410">
          <cell r="B410">
            <v>124000000000407</v>
          </cell>
          <cell r="C410" t="str">
            <v>Mandor M. Nasir</v>
          </cell>
        </row>
        <row r="411">
          <cell r="B411">
            <v>124000000000408</v>
          </cell>
          <cell r="C411" t="str">
            <v>Mandor Maikel</v>
          </cell>
        </row>
        <row r="412">
          <cell r="B412">
            <v>124000000000409</v>
          </cell>
          <cell r="C412" t="str">
            <v>Mandor Moh Agus Muslimin</v>
          </cell>
        </row>
        <row r="413">
          <cell r="B413">
            <v>124000000000410</v>
          </cell>
          <cell r="C413" t="str">
            <v>Mandor Muchribian Novianto</v>
          </cell>
        </row>
        <row r="414">
          <cell r="B414">
            <v>124000000000411</v>
          </cell>
          <cell r="C414" t="str">
            <v>Mandor Muh Amir Pasang</v>
          </cell>
        </row>
        <row r="415">
          <cell r="B415">
            <v>124000000000412</v>
          </cell>
          <cell r="C415" t="str">
            <v>Mandor Muntaji</v>
          </cell>
        </row>
        <row r="416">
          <cell r="B416">
            <v>124000000000413</v>
          </cell>
          <cell r="C416" t="str">
            <v>Mandor Nanda Arista</v>
          </cell>
        </row>
        <row r="417">
          <cell r="B417">
            <v>124000000000414</v>
          </cell>
          <cell r="C417" t="str">
            <v>Mandor Nardi Bin Suwirto</v>
          </cell>
        </row>
        <row r="418">
          <cell r="B418">
            <v>124000000000415</v>
          </cell>
          <cell r="C418" t="str">
            <v>Mandor Pirmansyah</v>
          </cell>
        </row>
        <row r="419">
          <cell r="B419">
            <v>124000000000416</v>
          </cell>
          <cell r="C419" t="str">
            <v>Mandor Pristianda Erwin Pauzi</v>
          </cell>
        </row>
        <row r="420">
          <cell r="B420">
            <v>124000000000417</v>
          </cell>
          <cell r="C420" t="str">
            <v>Mandor Priyo Handoko</v>
          </cell>
        </row>
        <row r="421">
          <cell r="B421">
            <v>124000000000418</v>
          </cell>
          <cell r="C421" t="str">
            <v>Mandor Ricardo Manurung</v>
          </cell>
        </row>
        <row r="422">
          <cell r="B422">
            <v>124000000000419</v>
          </cell>
          <cell r="C422" t="str">
            <v>Mandor Ryan Prasetyo</v>
          </cell>
        </row>
        <row r="423">
          <cell r="B423">
            <v>124000000000420</v>
          </cell>
          <cell r="C423" t="str">
            <v>Mandor Sattria</v>
          </cell>
        </row>
        <row r="424">
          <cell r="B424">
            <v>124000000000421</v>
          </cell>
          <cell r="C424" t="str">
            <v>Mandor Solikhin</v>
          </cell>
        </row>
        <row r="425">
          <cell r="B425">
            <v>124000000000422</v>
          </cell>
          <cell r="C425" t="str">
            <v>Mandor Suhendri</v>
          </cell>
        </row>
        <row r="426">
          <cell r="B426">
            <v>124000000000423</v>
          </cell>
          <cell r="C426" t="str">
            <v>Mandor Sunanda</v>
          </cell>
        </row>
        <row r="427">
          <cell r="B427">
            <v>124000000000424</v>
          </cell>
          <cell r="C427" t="str">
            <v xml:space="preserve">Mandor Sunardi </v>
          </cell>
        </row>
        <row r="428">
          <cell r="B428">
            <v>124000000000425</v>
          </cell>
          <cell r="C428" t="str">
            <v>Mandor Suprianto</v>
          </cell>
        </row>
        <row r="429">
          <cell r="B429">
            <v>124000000000426</v>
          </cell>
          <cell r="C429" t="str">
            <v>Mandor Susanto</v>
          </cell>
        </row>
        <row r="430">
          <cell r="B430">
            <v>124000000000427</v>
          </cell>
          <cell r="C430" t="str">
            <v>Mandor Sutikno</v>
          </cell>
        </row>
        <row r="431">
          <cell r="B431">
            <v>124000000000428</v>
          </cell>
          <cell r="C431" t="str">
            <v>Mandor Sutoyo Bin Durajak</v>
          </cell>
        </row>
        <row r="432">
          <cell r="B432">
            <v>124000000000429</v>
          </cell>
          <cell r="C432" t="str">
            <v>Mandor Suwarjono</v>
          </cell>
        </row>
        <row r="433">
          <cell r="B433">
            <v>124000000000430</v>
          </cell>
          <cell r="C433" t="str">
            <v>Mandor Suyoto</v>
          </cell>
        </row>
        <row r="434">
          <cell r="B434">
            <v>124000000000431</v>
          </cell>
          <cell r="C434" t="str">
            <v xml:space="preserve">Mandor Tajudin  </v>
          </cell>
        </row>
        <row r="435">
          <cell r="B435">
            <v>124000000000432</v>
          </cell>
          <cell r="C435" t="str">
            <v>Mandor Teguh Ari Wibowo</v>
          </cell>
        </row>
        <row r="436">
          <cell r="B436">
            <v>124000000000433</v>
          </cell>
          <cell r="C436" t="str">
            <v>Mandor Tengku Wahyudi</v>
          </cell>
        </row>
        <row r="437">
          <cell r="B437">
            <v>124000000000434</v>
          </cell>
          <cell r="C437" t="str">
            <v>Mandor Usman</v>
          </cell>
        </row>
        <row r="438">
          <cell r="B438">
            <v>124000000000435</v>
          </cell>
          <cell r="C438" t="str">
            <v>Mandor Yeyet Abdulrahman</v>
          </cell>
        </row>
        <row r="439">
          <cell r="B439">
            <v>124000000000436</v>
          </cell>
          <cell r="C439" t="str">
            <v>Mandor Yosefa Trisna Aroma Furi</v>
          </cell>
        </row>
        <row r="440">
          <cell r="B440">
            <v>124000000000437</v>
          </cell>
          <cell r="C440" t="str">
            <v>Mandor Zepridani M K</v>
          </cell>
        </row>
        <row r="441">
          <cell r="B441">
            <v>124000000000438</v>
          </cell>
          <cell r="C441" t="str">
            <v>Ade Saputra</v>
          </cell>
        </row>
        <row r="442">
          <cell r="B442">
            <v>124000000000439</v>
          </cell>
          <cell r="C442" t="str">
            <v>Aef Sugihartono</v>
          </cell>
        </row>
        <row r="443">
          <cell r="B443">
            <v>124000000000440</v>
          </cell>
          <cell r="C443" t="str">
            <v>Agung Pranata</v>
          </cell>
        </row>
        <row r="444">
          <cell r="B444">
            <v>124000000000441</v>
          </cell>
          <cell r="C444" t="str">
            <v>Ahmad Hamidi</v>
          </cell>
        </row>
        <row r="445">
          <cell r="B445">
            <v>124000000000442</v>
          </cell>
          <cell r="C445" t="str">
            <v>Ahmad Suhadi</v>
          </cell>
        </row>
        <row r="446">
          <cell r="B446">
            <v>124000000000443</v>
          </cell>
          <cell r="C446" t="str">
            <v>Ali Mufti Wardhani</v>
          </cell>
        </row>
        <row r="447">
          <cell r="B447">
            <v>124000000000444</v>
          </cell>
          <cell r="C447" t="str">
            <v>Ali Sopandi</v>
          </cell>
        </row>
        <row r="448">
          <cell r="B448">
            <v>124000000000445</v>
          </cell>
          <cell r="C448" t="str">
            <v>Ardhis Collection</v>
          </cell>
        </row>
        <row r="449">
          <cell r="B449">
            <v>124000000000446</v>
          </cell>
          <cell r="C449" t="str">
            <v>Arsyad</v>
          </cell>
        </row>
        <row r="450">
          <cell r="B450">
            <v>124000000000447</v>
          </cell>
          <cell r="C450" t="str">
            <v xml:space="preserve">Asuransi Ramayana </v>
          </cell>
        </row>
        <row r="451">
          <cell r="B451">
            <v>124000000000448</v>
          </cell>
          <cell r="C451" t="str">
            <v>Barokah Bengkel Las</v>
          </cell>
        </row>
        <row r="452">
          <cell r="B452">
            <v>124000000000449</v>
          </cell>
          <cell r="C452" t="str">
            <v>Batik Air Cargo</v>
          </cell>
        </row>
        <row r="453">
          <cell r="B453">
            <v>124000000000450</v>
          </cell>
          <cell r="C453" t="str">
            <v>Bengkel Mobil dan Las Heri</v>
          </cell>
        </row>
        <row r="454">
          <cell r="B454">
            <v>124000000000451</v>
          </cell>
          <cell r="C454" t="str">
            <v>Bunyamin Majid</v>
          </cell>
        </row>
        <row r="455">
          <cell r="B455">
            <v>124000000000452</v>
          </cell>
          <cell r="C455" t="str">
            <v>Bustami</v>
          </cell>
        </row>
        <row r="456">
          <cell r="B456">
            <v>124000000000453</v>
          </cell>
          <cell r="C456" t="str">
            <v>Cargo Nusantara Express</v>
          </cell>
        </row>
        <row r="457">
          <cell r="B457">
            <v>124000000000454</v>
          </cell>
          <cell r="C457" t="str">
            <v>Damarra Rezza</v>
          </cell>
        </row>
        <row r="458">
          <cell r="B458">
            <v>124000000000455</v>
          </cell>
          <cell r="C458" t="str">
            <v>Darmawan Dwi Sanjaya</v>
          </cell>
        </row>
        <row r="459">
          <cell r="B459">
            <v>124000000000456</v>
          </cell>
          <cell r="C459" t="str">
            <v>Devit Kustianto</v>
          </cell>
        </row>
        <row r="460">
          <cell r="B460">
            <v>124000000000457</v>
          </cell>
          <cell r="C460" t="str">
            <v>Didik Haryadi</v>
          </cell>
        </row>
        <row r="461">
          <cell r="B461">
            <v>124000000000458</v>
          </cell>
          <cell r="C461" t="str">
            <v>Didin</v>
          </cell>
        </row>
        <row r="462">
          <cell r="B462">
            <v>124000000000459</v>
          </cell>
          <cell r="C462" t="str">
            <v>Djumsadi</v>
          </cell>
        </row>
        <row r="463">
          <cell r="B463">
            <v>124000000000460</v>
          </cell>
          <cell r="C463" t="str">
            <v xml:space="preserve">Dodi Tri Prasetyo         </v>
          </cell>
        </row>
        <row r="464">
          <cell r="B464">
            <v>124000000000461</v>
          </cell>
          <cell r="C464" t="str">
            <v>Dwi Hariyanto</v>
          </cell>
        </row>
        <row r="465">
          <cell r="B465">
            <v>124000000000462</v>
          </cell>
          <cell r="C465" t="str">
            <v>Eda Hartini</v>
          </cell>
        </row>
        <row r="466">
          <cell r="B466">
            <v>124000000000463</v>
          </cell>
          <cell r="C466" t="str">
            <v>Efo Akmal</v>
          </cell>
        </row>
        <row r="467">
          <cell r="B467">
            <v>124000000000464</v>
          </cell>
          <cell r="C467" t="str">
            <v>Erie Herliana</v>
          </cell>
        </row>
        <row r="468">
          <cell r="B468">
            <v>124000000000465</v>
          </cell>
          <cell r="C468" t="str">
            <v>Etty Irawaty</v>
          </cell>
        </row>
        <row r="469">
          <cell r="B469">
            <v>124000000000466</v>
          </cell>
          <cell r="C469" t="str">
            <v>Finus Arifin</v>
          </cell>
        </row>
        <row r="470">
          <cell r="B470">
            <v>124000000000467</v>
          </cell>
          <cell r="C470" t="str">
            <v>H. Juhriyanto</v>
          </cell>
        </row>
        <row r="471">
          <cell r="B471">
            <v>124000000000468</v>
          </cell>
          <cell r="C471" t="str">
            <v>Haerudin</v>
          </cell>
        </row>
        <row r="472">
          <cell r="B472">
            <v>124000000000469</v>
          </cell>
          <cell r="C472" t="str">
            <v>Hajaratul Aswad</v>
          </cell>
        </row>
        <row r="473">
          <cell r="B473">
            <v>124000000000470</v>
          </cell>
          <cell r="C473" t="str">
            <v>Hajrawati</v>
          </cell>
        </row>
        <row r="474">
          <cell r="B474">
            <v>124000000000471</v>
          </cell>
          <cell r="C474" t="str">
            <v>Hanafi Surya</v>
          </cell>
        </row>
        <row r="475">
          <cell r="B475">
            <v>124000000000472</v>
          </cell>
          <cell r="C475" t="str">
            <v>Harun Nur Rasyid</v>
          </cell>
        </row>
        <row r="476">
          <cell r="B476">
            <v>124000000000473</v>
          </cell>
          <cell r="C476" t="str">
            <v>Hasnida</v>
          </cell>
        </row>
        <row r="477">
          <cell r="B477">
            <v>124000000000474</v>
          </cell>
          <cell r="C477" t="str">
            <v>Hendri Rahmat - Kepala Lab. Univ. Lancang Kuning</v>
          </cell>
        </row>
        <row r="478">
          <cell r="B478">
            <v>124000000000475</v>
          </cell>
          <cell r="C478" t="str">
            <v>Herdi Riawan</v>
          </cell>
        </row>
        <row r="479">
          <cell r="B479">
            <v>124000000000476</v>
          </cell>
          <cell r="C479" t="str">
            <v>Holid Gilpani</v>
          </cell>
        </row>
        <row r="480">
          <cell r="B480">
            <v>124000000000477</v>
          </cell>
          <cell r="C480" t="str">
            <v>Hunan Lingte Technology Co., Ltd</v>
          </cell>
        </row>
        <row r="481">
          <cell r="B481">
            <v>124000000000478</v>
          </cell>
          <cell r="C481" t="str">
            <v>Ikhwan Nauli Lubis</v>
          </cell>
        </row>
        <row r="482">
          <cell r="B482">
            <v>124000000000479</v>
          </cell>
          <cell r="C482" t="str">
            <v>Irhamsyah Purba</v>
          </cell>
        </row>
        <row r="483">
          <cell r="B483">
            <v>124000000000480</v>
          </cell>
          <cell r="C483" t="str">
            <v>Irma</v>
          </cell>
        </row>
        <row r="484">
          <cell r="B484">
            <v>124000000000481</v>
          </cell>
          <cell r="C484" t="str">
            <v>Istanto</v>
          </cell>
        </row>
        <row r="485">
          <cell r="B485">
            <v>124000000000482</v>
          </cell>
          <cell r="C485" t="str">
            <v>Kamil</v>
          </cell>
        </row>
        <row r="486">
          <cell r="B486">
            <v>124000000000483</v>
          </cell>
          <cell r="C486" t="str">
            <v>Klinik Pratama Simpang Lima Husada</v>
          </cell>
        </row>
        <row r="487">
          <cell r="B487">
            <v>124000000000484</v>
          </cell>
          <cell r="C487" t="str">
            <v>KSO.Sucofindo-Surveyor Indonesia</v>
          </cell>
        </row>
        <row r="488">
          <cell r="B488">
            <v>124000000000485</v>
          </cell>
          <cell r="C488" t="str">
            <v>Laboratorium Unit Pengelola Penilaian Kesesuaian Bahan dan Barang Teknik</v>
          </cell>
        </row>
        <row r="489">
          <cell r="B489">
            <v>124000000000486</v>
          </cell>
          <cell r="C489" t="str">
            <v>Marhaeni</v>
          </cell>
        </row>
        <row r="490">
          <cell r="B490">
            <v>124000000000487</v>
          </cell>
          <cell r="C490" t="str">
            <v>Mudji Irmawan Arkani</v>
          </cell>
        </row>
        <row r="491">
          <cell r="B491">
            <v>124000000000488</v>
          </cell>
          <cell r="C491" t="str">
            <v>Mukhlas. A</v>
          </cell>
        </row>
        <row r="492">
          <cell r="B492">
            <v>124000000000489</v>
          </cell>
          <cell r="C492" t="str">
            <v>Musdawaty</v>
          </cell>
        </row>
        <row r="493">
          <cell r="B493">
            <v>124000000000490</v>
          </cell>
          <cell r="C493" t="str">
            <v xml:space="preserve">Mustakim </v>
          </cell>
        </row>
        <row r="494">
          <cell r="B494">
            <v>124000000000491</v>
          </cell>
          <cell r="C494" t="str">
            <v>Mustari</v>
          </cell>
        </row>
        <row r="495">
          <cell r="B495">
            <v>124000000000492</v>
          </cell>
          <cell r="C495" t="str">
            <v>Narkum</v>
          </cell>
        </row>
        <row r="496">
          <cell r="B496">
            <v>124000000000493</v>
          </cell>
          <cell r="C496" t="str">
            <v>Neny Suissa Sitorus</v>
          </cell>
        </row>
        <row r="497">
          <cell r="B497">
            <v>124000000000494</v>
          </cell>
          <cell r="C497" t="str">
            <v>Oscar</v>
          </cell>
        </row>
        <row r="498">
          <cell r="B498">
            <v>124000000000495</v>
          </cell>
          <cell r="C498" t="str">
            <v>Pardi</v>
          </cell>
        </row>
        <row r="499">
          <cell r="B499">
            <v>124000000000496</v>
          </cell>
          <cell r="C499" t="str">
            <v>Raminto</v>
          </cell>
        </row>
        <row r="500">
          <cell r="B500">
            <v>124000000000497</v>
          </cell>
          <cell r="C500" t="str">
            <v>Rocki Sitepu</v>
          </cell>
        </row>
        <row r="501">
          <cell r="B501">
            <v>124000000000498</v>
          </cell>
          <cell r="C501" t="str">
            <v>RS Benyamin Guluh</v>
          </cell>
        </row>
        <row r="502">
          <cell r="B502">
            <v>124000000000499</v>
          </cell>
          <cell r="C502" t="str">
            <v xml:space="preserve">RS Keluarga Husada </v>
          </cell>
        </row>
        <row r="503">
          <cell r="B503">
            <v>124000000000500</v>
          </cell>
          <cell r="C503" t="str">
            <v>RSUD Dr. R. Soedjati</v>
          </cell>
        </row>
        <row r="504">
          <cell r="B504">
            <v>124000000000501</v>
          </cell>
          <cell r="C504" t="str">
            <v>Rudi Hardianto</v>
          </cell>
        </row>
        <row r="505">
          <cell r="B505">
            <v>124000000000502</v>
          </cell>
          <cell r="C505" t="str">
            <v>Siemens Energy Global GmbH &amp; Co. KG - SE GT S TSE AR Departement</v>
          </cell>
        </row>
        <row r="506">
          <cell r="B506">
            <v>124000000000503</v>
          </cell>
          <cell r="C506" t="str">
            <v>Suci Nurul Utami Putri</v>
          </cell>
        </row>
        <row r="507">
          <cell r="B507">
            <v>124000000000504</v>
          </cell>
          <cell r="C507" t="str">
            <v>Suparno</v>
          </cell>
        </row>
        <row r="508">
          <cell r="B508">
            <v>124000000000505</v>
          </cell>
          <cell r="C508" t="str">
            <v xml:space="preserve">Surnadi </v>
          </cell>
        </row>
        <row r="509">
          <cell r="B509">
            <v>124000000000506</v>
          </cell>
          <cell r="C509" t="str">
            <v>Suroto</v>
          </cell>
        </row>
        <row r="510">
          <cell r="B510">
            <v>124000000000507</v>
          </cell>
          <cell r="C510" t="str">
            <v>Syafir Ottong</v>
          </cell>
        </row>
        <row r="511">
          <cell r="B511">
            <v>124000000000508</v>
          </cell>
          <cell r="C511" t="str">
            <v>Syahrian</v>
          </cell>
        </row>
        <row r="512">
          <cell r="B512">
            <v>124000000000509</v>
          </cell>
          <cell r="C512" t="str">
            <v>Tjoe Tjhoen Song</v>
          </cell>
        </row>
        <row r="513">
          <cell r="B513">
            <v>124000000000510</v>
          </cell>
          <cell r="C513" t="str">
            <v>Wilda Trans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1"/>
  <sheetViews>
    <sheetView topLeftCell="A257" workbookViewId="0">
      <selection activeCell="C276" sqref="C276"/>
    </sheetView>
  </sheetViews>
  <sheetFormatPr defaultRowHeight="15" x14ac:dyDescent="0.25"/>
  <cols>
    <col min="2" max="2" width="11" bestFit="1" customWidth="1"/>
    <col min="3" max="3" width="31.42578125" bestFit="1" customWidth="1"/>
    <col min="4" max="4" width="18.140625" style="6" bestFit="1" customWidth="1"/>
    <col min="5" max="5" width="17" bestFit="1" customWidth="1"/>
  </cols>
  <sheetData>
    <row r="2" spans="2:3" x14ac:dyDescent="0.25">
      <c r="B2">
        <v>250117820</v>
      </c>
      <c r="C2" t="s">
        <v>492</v>
      </c>
    </row>
    <row r="3" spans="2:3" x14ac:dyDescent="0.25">
      <c r="B3">
        <v>140612611</v>
      </c>
      <c r="C3" t="s">
        <v>305</v>
      </c>
    </row>
    <row r="4" spans="2:3" x14ac:dyDescent="0.25">
      <c r="B4">
        <v>210807401</v>
      </c>
      <c r="C4" t="s">
        <v>162</v>
      </c>
    </row>
    <row r="5" spans="2:3" x14ac:dyDescent="0.25">
      <c r="B5">
        <v>310717841</v>
      </c>
      <c r="C5" t="s">
        <v>269</v>
      </c>
    </row>
    <row r="6" spans="2:3" x14ac:dyDescent="0.25">
      <c r="B6">
        <v>50913684</v>
      </c>
      <c r="C6" t="s">
        <v>614</v>
      </c>
    </row>
    <row r="7" spans="2:3" x14ac:dyDescent="0.25">
      <c r="B7">
        <v>261016808</v>
      </c>
      <c r="C7" t="s">
        <v>267</v>
      </c>
    </row>
    <row r="8" spans="2:3" x14ac:dyDescent="0.25">
      <c r="B8">
        <v>161213705</v>
      </c>
      <c r="C8" t="s">
        <v>86</v>
      </c>
    </row>
    <row r="9" spans="2:3" x14ac:dyDescent="0.25">
      <c r="B9">
        <v>140410529</v>
      </c>
      <c r="C9" t="s">
        <v>615</v>
      </c>
    </row>
    <row r="10" spans="2:3" x14ac:dyDescent="0.25">
      <c r="B10">
        <v>10703025</v>
      </c>
      <c r="C10" t="s">
        <v>209</v>
      </c>
    </row>
    <row r="11" spans="2:3" x14ac:dyDescent="0.25">
      <c r="B11">
        <v>130217822</v>
      </c>
      <c r="C11" t="s">
        <v>282</v>
      </c>
    </row>
    <row r="12" spans="2:3" x14ac:dyDescent="0.25">
      <c r="B12">
        <v>10314719</v>
      </c>
      <c r="C12" t="s">
        <v>330</v>
      </c>
    </row>
    <row r="13" spans="2:3" x14ac:dyDescent="0.25">
      <c r="B13">
        <v>211117851</v>
      </c>
      <c r="C13" t="s">
        <v>616</v>
      </c>
    </row>
    <row r="14" spans="2:3" x14ac:dyDescent="0.25">
      <c r="B14">
        <v>50418864</v>
      </c>
      <c r="C14" t="s">
        <v>289</v>
      </c>
    </row>
    <row r="15" spans="2:3" x14ac:dyDescent="0.25">
      <c r="B15">
        <v>280817844</v>
      </c>
      <c r="C15" t="s">
        <v>462</v>
      </c>
    </row>
    <row r="16" spans="2:3" x14ac:dyDescent="0.25">
      <c r="B16">
        <v>91204114</v>
      </c>
      <c r="C16" t="s">
        <v>108</v>
      </c>
    </row>
    <row r="17" spans="2:3" x14ac:dyDescent="0.25">
      <c r="B17">
        <v>10217828</v>
      </c>
      <c r="C17" t="s">
        <v>617</v>
      </c>
    </row>
    <row r="18" spans="2:3" x14ac:dyDescent="0.25">
      <c r="B18">
        <v>230817842</v>
      </c>
      <c r="C18" t="s">
        <v>391</v>
      </c>
    </row>
    <row r="19" spans="2:3" x14ac:dyDescent="0.25">
      <c r="B19">
        <v>250817843</v>
      </c>
      <c r="C19" t="s">
        <v>618</v>
      </c>
    </row>
    <row r="20" spans="2:3" x14ac:dyDescent="0.25">
      <c r="B20">
        <v>140518869</v>
      </c>
      <c r="C20" t="s">
        <v>437</v>
      </c>
    </row>
    <row r="21" spans="2:3" x14ac:dyDescent="0.25">
      <c r="B21">
        <v>90407339</v>
      </c>
      <c r="C21" t="s">
        <v>619</v>
      </c>
    </row>
    <row r="22" spans="2:3" x14ac:dyDescent="0.25">
      <c r="B22">
        <v>101016801</v>
      </c>
      <c r="C22" t="s">
        <v>111</v>
      </c>
    </row>
    <row r="23" spans="2:3" x14ac:dyDescent="0.25">
      <c r="B23">
        <v>90810548</v>
      </c>
      <c r="C23" t="s">
        <v>620</v>
      </c>
    </row>
    <row r="24" spans="2:3" x14ac:dyDescent="0.25">
      <c r="B24">
        <v>200417834</v>
      </c>
      <c r="C24" t="s">
        <v>331</v>
      </c>
    </row>
    <row r="25" spans="2:3" x14ac:dyDescent="0.25">
      <c r="B25">
        <v>210803045</v>
      </c>
      <c r="C25" t="s">
        <v>241</v>
      </c>
    </row>
    <row r="26" spans="2:3" x14ac:dyDescent="0.25">
      <c r="B26">
        <v>151112629</v>
      </c>
      <c r="C26" t="s">
        <v>339</v>
      </c>
    </row>
    <row r="27" spans="2:3" x14ac:dyDescent="0.25">
      <c r="B27">
        <v>210916800</v>
      </c>
      <c r="C27" t="s">
        <v>380</v>
      </c>
    </row>
    <row r="28" spans="2:3" x14ac:dyDescent="0.25">
      <c r="B28">
        <v>181110556</v>
      </c>
      <c r="C28" t="s">
        <v>416</v>
      </c>
    </row>
    <row r="29" spans="2:3" x14ac:dyDescent="0.25">
      <c r="B29">
        <v>160603001</v>
      </c>
      <c r="C29" t="s">
        <v>6</v>
      </c>
    </row>
    <row r="30" spans="2:3" x14ac:dyDescent="0.25">
      <c r="B30">
        <v>271016809</v>
      </c>
      <c r="C30" t="s">
        <v>138</v>
      </c>
    </row>
    <row r="31" spans="2:3" x14ac:dyDescent="0.25">
      <c r="B31">
        <v>110418866</v>
      </c>
      <c r="C31" t="s">
        <v>621</v>
      </c>
    </row>
    <row r="32" spans="2:3" x14ac:dyDescent="0.25">
      <c r="B32">
        <v>61217853</v>
      </c>
      <c r="C32" t="s">
        <v>25</v>
      </c>
    </row>
    <row r="33" spans="2:3" x14ac:dyDescent="0.25">
      <c r="B33">
        <v>190318862</v>
      </c>
      <c r="C33" t="s">
        <v>622</v>
      </c>
    </row>
    <row r="34" spans="2:3" x14ac:dyDescent="0.25">
      <c r="B34">
        <v>101218895</v>
      </c>
      <c r="C34" t="s">
        <v>243</v>
      </c>
    </row>
    <row r="35" spans="2:3" x14ac:dyDescent="0.25">
      <c r="B35">
        <v>121118889</v>
      </c>
      <c r="C35" t="s">
        <v>295</v>
      </c>
    </row>
    <row r="36" spans="2:3" x14ac:dyDescent="0.25">
      <c r="B36">
        <v>311012625</v>
      </c>
      <c r="C36" t="s">
        <v>405</v>
      </c>
    </row>
    <row r="37" spans="2:3" x14ac:dyDescent="0.25">
      <c r="B37">
        <v>20516793</v>
      </c>
      <c r="C37" t="s">
        <v>62</v>
      </c>
    </row>
    <row r="38" spans="2:3" x14ac:dyDescent="0.25">
      <c r="B38">
        <v>180917845</v>
      </c>
      <c r="C38" t="s">
        <v>248</v>
      </c>
    </row>
    <row r="39" spans="2:3" x14ac:dyDescent="0.25">
      <c r="B39">
        <v>20418863</v>
      </c>
      <c r="C39" t="s">
        <v>36</v>
      </c>
    </row>
    <row r="40" spans="2:3" x14ac:dyDescent="0.25">
      <c r="B40">
        <v>120318861</v>
      </c>
      <c r="C40" t="s">
        <v>146</v>
      </c>
    </row>
    <row r="41" spans="2:3" x14ac:dyDescent="0.25">
      <c r="B41">
        <v>280319902</v>
      </c>
      <c r="C41" t="s">
        <v>131</v>
      </c>
    </row>
    <row r="42" spans="2:3" x14ac:dyDescent="0.25">
      <c r="B42">
        <v>11117850</v>
      </c>
      <c r="C42" t="s">
        <v>359</v>
      </c>
    </row>
    <row r="43" spans="2:3" x14ac:dyDescent="0.25">
      <c r="B43">
        <v>230119899</v>
      </c>
      <c r="C43" t="s">
        <v>65</v>
      </c>
    </row>
    <row r="44" spans="2:3" x14ac:dyDescent="0.25">
      <c r="B44">
        <v>71116810</v>
      </c>
      <c r="C44" t="s">
        <v>623</v>
      </c>
    </row>
    <row r="45" spans="2:3" x14ac:dyDescent="0.25">
      <c r="B45">
        <v>160217824</v>
      </c>
      <c r="C45" t="s">
        <v>344</v>
      </c>
    </row>
    <row r="46" spans="2:3" x14ac:dyDescent="0.25">
      <c r="B46">
        <v>200519910</v>
      </c>
      <c r="C46" t="s">
        <v>39</v>
      </c>
    </row>
    <row r="47" spans="2:3" x14ac:dyDescent="0.25">
      <c r="B47">
        <v>250618876</v>
      </c>
      <c r="C47" t="s">
        <v>624</v>
      </c>
    </row>
    <row r="48" spans="2:3" x14ac:dyDescent="0.25">
      <c r="B48">
        <v>31115789</v>
      </c>
      <c r="C48" t="s">
        <v>303</v>
      </c>
    </row>
    <row r="49" spans="2:4" x14ac:dyDescent="0.25">
      <c r="B49">
        <v>200212602</v>
      </c>
      <c r="C49" t="s">
        <v>317</v>
      </c>
    </row>
    <row r="50" spans="2:4" x14ac:dyDescent="0.25">
      <c r="B50">
        <v>270917846</v>
      </c>
      <c r="C50" t="s">
        <v>410</v>
      </c>
    </row>
    <row r="51" spans="2:4" x14ac:dyDescent="0.25">
      <c r="B51">
        <v>30915783</v>
      </c>
      <c r="C51" t="s">
        <v>625</v>
      </c>
    </row>
    <row r="52" spans="2:4" x14ac:dyDescent="0.25">
      <c r="B52">
        <v>11216815</v>
      </c>
      <c r="C52" t="s">
        <v>271</v>
      </c>
    </row>
    <row r="53" spans="2:4" x14ac:dyDescent="0.25">
      <c r="B53">
        <v>150419906</v>
      </c>
      <c r="C53" t="s">
        <v>626</v>
      </c>
    </row>
    <row r="54" spans="2:4" x14ac:dyDescent="0.25">
      <c r="B54">
        <v>120419904</v>
      </c>
      <c r="C54" t="s">
        <v>202</v>
      </c>
    </row>
    <row r="55" spans="2:4" x14ac:dyDescent="0.25">
      <c r="B55">
        <v>10318860</v>
      </c>
      <c r="C55" t="s">
        <v>498</v>
      </c>
    </row>
    <row r="56" spans="2:4" x14ac:dyDescent="0.25">
      <c r="B56">
        <v>210618875</v>
      </c>
      <c r="C56" t="s">
        <v>225</v>
      </c>
    </row>
    <row r="57" spans="2:4" x14ac:dyDescent="0.25">
      <c r="B57">
        <v>150419905</v>
      </c>
      <c r="C57" t="s">
        <v>249</v>
      </c>
      <c r="D57" s="6" t="s">
        <v>651</v>
      </c>
    </row>
    <row r="58" spans="2:4" x14ac:dyDescent="0.25">
      <c r="B58">
        <v>11018884</v>
      </c>
      <c r="C58" t="s">
        <v>627</v>
      </c>
      <c r="D58" s="6" t="s">
        <v>652</v>
      </c>
    </row>
    <row r="59" spans="2:4" x14ac:dyDescent="0.25">
      <c r="B59">
        <v>100918881</v>
      </c>
      <c r="C59" t="s">
        <v>352</v>
      </c>
      <c r="D59" s="6" t="s">
        <v>653</v>
      </c>
    </row>
    <row r="60" spans="2:4" x14ac:dyDescent="0.25">
      <c r="B60">
        <v>20519907</v>
      </c>
      <c r="C60" t="s">
        <v>628</v>
      </c>
      <c r="D60" s="6" t="s">
        <v>867</v>
      </c>
    </row>
    <row r="61" spans="2:4" x14ac:dyDescent="0.25">
      <c r="B61">
        <v>111103059</v>
      </c>
      <c r="C61" t="s">
        <v>629</v>
      </c>
      <c r="D61" s="6" t="s">
        <v>654</v>
      </c>
    </row>
    <row r="62" spans="2:4" x14ac:dyDescent="0.25">
      <c r="B62">
        <v>81012521</v>
      </c>
      <c r="C62" t="s">
        <v>46</v>
      </c>
      <c r="D62" s="6" t="s">
        <v>868</v>
      </c>
    </row>
    <row r="63" spans="2:4" x14ac:dyDescent="0.25">
      <c r="B63">
        <v>251016807</v>
      </c>
      <c r="C63" t="s">
        <v>2</v>
      </c>
    </row>
    <row r="64" spans="2:4" x14ac:dyDescent="0.25">
      <c r="B64">
        <v>120417831</v>
      </c>
      <c r="C64" t="s">
        <v>140</v>
      </c>
      <c r="D64" s="6" t="s">
        <v>655</v>
      </c>
    </row>
    <row r="65" spans="2:4" x14ac:dyDescent="0.25">
      <c r="B65">
        <v>290118856</v>
      </c>
      <c r="C65" t="s">
        <v>327</v>
      </c>
      <c r="D65" s="6" t="s">
        <v>656</v>
      </c>
    </row>
    <row r="66" spans="2:4" x14ac:dyDescent="0.25">
      <c r="B66">
        <v>111018884</v>
      </c>
      <c r="C66" t="s">
        <v>630</v>
      </c>
      <c r="D66" s="6" t="s">
        <v>657</v>
      </c>
    </row>
    <row r="67" spans="2:4" x14ac:dyDescent="0.25">
      <c r="B67">
        <v>10317827</v>
      </c>
      <c r="C67" t="s">
        <v>631</v>
      </c>
      <c r="D67" s="6" t="s">
        <v>658</v>
      </c>
    </row>
    <row r="68" spans="2:4" x14ac:dyDescent="0.25">
      <c r="B68">
        <v>71217854</v>
      </c>
      <c r="C68" t="s">
        <v>34</v>
      </c>
      <c r="D68" s="6" t="s">
        <v>659</v>
      </c>
    </row>
    <row r="69" spans="2:4" x14ac:dyDescent="0.25">
      <c r="B69">
        <v>100613675</v>
      </c>
      <c r="C69" t="s">
        <v>155</v>
      </c>
      <c r="D69" s="6" t="s">
        <v>660</v>
      </c>
    </row>
    <row r="70" spans="2:4" x14ac:dyDescent="0.25">
      <c r="B70">
        <v>231219923</v>
      </c>
      <c r="C70" t="s">
        <v>160</v>
      </c>
      <c r="D70" s="6" t="s">
        <v>661</v>
      </c>
    </row>
    <row r="71" spans="2:4" x14ac:dyDescent="0.25">
      <c r="B71">
        <v>90819916</v>
      </c>
      <c r="C71" t="s">
        <v>415</v>
      </c>
      <c r="D71" s="6" t="s">
        <v>662</v>
      </c>
    </row>
    <row r="72" spans="2:4" x14ac:dyDescent="0.25">
      <c r="B72">
        <v>140518870</v>
      </c>
      <c r="C72" t="s">
        <v>191</v>
      </c>
      <c r="D72" s="6" t="s">
        <v>663</v>
      </c>
    </row>
    <row r="73" spans="2:4" x14ac:dyDescent="0.25">
      <c r="B73">
        <v>221007407</v>
      </c>
      <c r="C73" t="s">
        <v>360</v>
      </c>
      <c r="D73" s="6" t="s">
        <v>664</v>
      </c>
    </row>
    <row r="74" spans="2:4" x14ac:dyDescent="0.25">
      <c r="B74">
        <v>100220928</v>
      </c>
      <c r="C74" t="s">
        <v>336</v>
      </c>
      <c r="D74" s="6" t="s">
        <v>665</v>
      </c>
    </row>
    <row r="75" spans="2:4" x14ac:dyDescent="0.25">
      <c r="B75">
        <v>160718878</v>
      </c>
      <c r="C75" t="s">
        <v>332</v>
      </c>
      <c r="D75" s="6" t="s">
        <v>666</v>
      </c>
    </row>
    <row r="76" spans="2:4" x14ac:dyDescent="0.25">
      <c r="B76">
        <v>100918882</v>
      </c>
      <c r="C76" t="s">
        <v>364</v>
      </c>
      <c r="D76" s="6" t="s">
        <v>667</v>
      </c>
    </row>
    <row r="77" spans="2:4" x14ac:dyDescent="0.25">
      <c r="B77">
        <v>110119897</v>
      </c>
      <c r="C77" t="s">
        <v>499</v>
      </c>
      <c r="D77" s="6" t="s">
        <v>668</v>
      </c>
    </row>
    <row r="78" spans="2:4" x14ac:dyDescent="0.25">
      <c r="B78">
        <v>131219922</v>
      </c>
      <c r="C78" t="s">
        <v>347</v>
      </c>
      <c r="D78" s="6" t="s">
        <v>669</v>
      </c>
    </row>
    <row r="79" spans="2:4" x14ac:dyDescent="0.25">
      <c r="B79">
        <v>221007408</v>
      </c>
      <c r="C79" t="s">
        <v>322</v>
      </c>
      <c r="D79" s="6" t="s">
        <v>670</v>
      </c>
    </row>
    <row r="80" spans="2:4" x14ac:dyDescent="0.25">
      <c r="B80">
        <v>290118859</v>
      </c>
      <c r="C80" t="s">
        <v>298</v>
      </c>
      <c r="D80" s="6" t="s">
        <v>671</v>
      </c>
    </row>
    <row r="81" spans="2:5" x14ac:dyDescent="0.25">
      <c r="B81">
        <v>50617837</v>
      </c>
      <c r="C81" t="s">
        <v>424</v>
      </c>
      <c r="D81" s="6" t="s">
        <v>672</v>
      </c>
    </row>
    <row r="82" spans="2:5" x14ac:dyDescent="0.25">
      <c r="B82">
        <v>31218894</v>
      </c>
      <c r="C82" t="s">
        <v>186</v>
      </c>
      <c r="D82" s="6" t="s">
        <v>673</v>
      </c>
    </row>
    <row r="83" spans="2:5" x14ac:dyDescent="0.25">
      <c r="B83">
        <v>271120940</v>
      </c>
      <c r="C83" t="s">
        <v>632</v>
      </c>
      <c r="D83" s="6" t="s">
        <v>674</v>
      </c>
      <c r="E83" t="s">
        <v>675</v>
      </c>
    </row>
    <row r="84" spans="2:5" x14ac:dyDescent="0.25">
      <c r="B84">
        <v>111218896</v>
      </c>
      <c r="C84" t="s">
        <v>296</v>
      </c>
      <c r="D84" s="6" t="s">
        <v>676</v>
      </c>
    </row>
    <row r="85" spans="2:5" x14ac:dyDescent="0.25">
      <c r="B85">
        <v>251119920</v>
      </c>
      <c r="C85" t="s">
        <v>633</v>
      </c>
      <c r="D85" s="6" t="s">
        <v>677</v>
      </c>
    </row>
    <row r="86" spans="2:5" x14ac:dyDescent="0.25">
      <c r="B86">
        <v>271217855</v>
      </c>
      <c r="C86" t="s">
        <v>28</v>
      </c>
      <c r="D86" s="6" t="s">
        <v>678</v>
      </c>
    </row>
    <row r="87" spans="2:5" x14ac:dyDescent="0.25">
      <c r="B87">
        <v>140319901</v>
      </c>
      <c r="C87" t="s">
        <v>70</v>
      </c>
      <c r="D87" s="6" t="s">
        <v>679</v>
      </c>
    </row>
    <row r="88" spans="2:5" x14ac:dyDescent="0.25">
      <c r="B88">
        <v>120220929</v>
      </c>
      <c r="C88" t="s">
        <v>634</v>
      </c>
      <c r="D88" s="6" t="s">
        <v>680</v>
      </c>
    </row>
    <row r="89" spans="2:5" x14ac:dyDescent="0.25">
      <c r="B89">
        <v>140518871</v>
      </c>
      <c r="C89" t="s">
        <v>144</v>
      </c>
      <c r="D89" s="6" t="s">
        <v>681</v>
      </c>
    </row>
    <row r="90" spans="2:5" x14ac:dyDescent="0.25">
      <c r="B90">
        <v>10719913</v>
      </c>
      <c r="C90" t="s">
        <v>635</v>
      </c>
      <c r="D90" s="6" t="s">
        <v>682</v>
      </c>
    </row>
    <row r="91" spans="2:5" x14ac:dyDescent="0.25">
      <c r="B91">
        <v>90315759</v>
      </c>
      <c r="C91" t="s">
        <v>636</v>
      </c>
      <c r="D91" s="6" t="s">
        <v>683</v>
      </c>
    </row>
    <row r="92" spans="2:5" x14ac:dyDescent="0.25">
      <c r="B92">
        <v>110621951</v>
      </c>
      <c r="C92" t="s">
        <v>276</v>
      </c>
      <c r="D92" s="6" t="s">
        <v>684</v>
      </c>
    </row>
    <row r="93" spans="2:5" x14ac:dyDescent="0.25">
      <c r="B93">
        <v>140708474</v>
      </c>
      <c r="C93" t="s">
        <v>637</v>
      </c>
      <c r="D93" s="6" t="s">
        <v>685</v>
      </c>
    </row>
    <row r="94" spans="2:5" x14ac:dyDescent="0.25">
      <c r="B94">
        <v>31005165</v>
      </c>
      <c r="C94" t="s">
        <v>204</v>
      </c>
      <c r="D94" s="6" t="s">
        <v>686</v>
      </c>
    </row>
    <row r="95" spans="2:5" x14ac:dyDescent="0.25">
      <c r="B95">
        <v>150721949</v>
      </c>
      <c r="C95" t="s">
        <v>510</v>
      </c>
      <c r="D95" s="6" t="s">
        <v>687</v>
      </c>
    </row>
    <row r="96" spans="2:5" x14ac:dyDescent="0.25">
      <c r="B96">
        <v>291121956</v>
      </c>
      <c r="C96" t="s">
        <v>533</v>
      </c>
    </row>
    <row r="97" spans="2:4" x14ac:dyDescent="0.25">
      <c r="B97">
        <v>130921953</v>
      </c>
      <c r="C97" t="s">
        <v>507</v>
      </c>
      <c r="D97" s="6" t="s">
        <v>688</v>
      </c>
    </row>
    <row r="98" spans="2:4" x14ac:dyDescent="0.25">
      <c r="B98">
        <v>20518867</v>
      </c>
      <c r="C98" t="s">
        <v>99</v>
      </c>
      <c r="D98" s="6" t="s">
        <v>689</v>
      </c>
    </row>
    <row r="99" spans="2:4" x14ac:dyDescent="0.25">
      <c r="B99">
        <v>140518872</v>
      </c>
      <c r="C99" t="s">
        <v>313</v>
      </c>
      <c r="D99" s="6" t="s">
        <v>690</v>
      </c>
    </row>
    <row r="100" spans="2:4" x14ac:dyDescent="0.25">
      <c r="B100">
        <v>171121955</v>
      </c>
      <c r="C100" t="s">
        <v>511</v>
      </c>
      <c r="D100" s="6" t="s">
        <v>691</v>
      </c>
    </row>
    <row r="101" spans="2:4" x14ac:dyDescent="0.25">
      <c r="B101">
        <v>161120938</v>
      </c>
      <c r="C101" t="s">
        <v>470</v>
      </c>
      <c r="D101" s="6" t="s">
        <v>692</v>
      </c>
    </row>
    <row r="102" spans="2:4" x14ac:dyDescent="0.25">
      <c r="B102">
        <v>301017849</v>
      </c>
      <c r="C102" t="s">
        <v>333</v>
      </c>
      <c r="D102" s="6" t="s">
        <v>693</v>
      </c>
    </row>
    <row r="103" spans="2:4" x14ac:dyDescent="0.25">
      <c r="B103">
        <v>260606236</v>
      </c>
      <c r="C103" t="s">
        <v>182</v>
      </c>
      <c r="D103" s="6" t="s">
        <v>694</v>
      </c>
    </row>
    <row r="104" spans="2:4" x14ac:dyDescent="0.25">
      <c r="B104">
        <v>171016802</v>
      </c>
      <c r="C104" t="s">
        <v>387</v>
      </c>
      <c r="D104" s="6" t="s">
        <v>695</v>
      </c>
    </row>
    <row r="105" spans="2:4" x14ac:dyDescent="0.25">
      <c r="B105">
        <v>30221945</v>
      </c>
      <c r="C105" t="s">
        <v>377</v>
      </c>
    </row>
    <row r="106" spans="2:4" x14ac:dyDescent="0.25">
      <c r="B106">
        <v>131221957</v>
      </c>
      <c r="C106" t="s">
        <v>539</v>
      </c>
      <c r="D106" s="6" t="s">
        <v>696</v>
      </c>
    </row>
    <row r="107" spans="2:4" x14ac:dyDescent="0.25">
      <c r="B107">
        <v>10803042</v>
      </c>
      <c r="C107" t="s">
        <v>552</v>
      </c>
      <c r="D107" s="6" t="s">
        <v>697</v>
      </c>
    </row>
    <row r="108" spans="2:4" x14ac:dyDescent="0.25">
      <c r="B108">
        <v>80321946</v>
      </c>
      <c r="C108" t="s">
        <v>7</v>
      </c>
      <c r="D108" s="6" t="s">
        <v>698</v>
      </c>
    </row>
    <row r="109" spans="2:4" x14ac:dyDescent="0.25">
      <c r="B109">
        <v>200105119</v>
      </c>
      <c r="C109" t="s">
        <v>425</v>
      </c>
      <c r="D109" s="6" t="s">
        <v>699</v>
      </c>
    </row>
    <row r="110" spans="2:4" x14ac:dyDescent="0.25">
      <c r="B110">
        <v>40722964</v>
      </c>
      <c r="C110" t="s">
        <v>638</v>
      </c>
      <c r="D110" s="6" t="s">
        <v>700</v>
      </c>
    </row>
    <row r="111" spans="2:4" x14ac:dyDescent="0.25">
      <c r="B111">
        <v>20120919</v>
      </c>
      <c r="C111" t="s">
        <v>384</v>
      </c>
      <c r="D111" s="6" t="s">
        <v>701</v>
      </c>
    </row>
    <row r="112" spans="2:4" x14ac:dyDescent="0.25">
      <c r="B112">
        <v>170522963</v>
      </c>
      <c r="C112" t="s">
        <v>518</v>
      </c>
      <c r="D112" s="6" t="s">
        <v>702</v>
      </c>
    </row>
    <row r="113" spans="2:4" x14ac:dyDescent="0.25">
      <c r="B113">
        <v>241219924</v>
      </c>
      <c r="C113" t="s">
        <v>639</v>
      </c>
      <c r="D113" s="6" t="s">
        <v>703</v>
      </c>
    </row>
    <row r="114" spans="2:4" x14ac:dyDescent="0.25">
      <c r="B114">
        <v>161220941</v>
      </c>
      <c r="C114" t="s">
        <v>380</v>
      </c>
    </row>
    <row r="115" spans="2:4" x14ac:dyDescent="0.25">
      <c r="B115">
        <v>70518868</v>
      </c>
      <c r="C115" t="s">
        <v>324</v>
      </c>
      <c r="D115" s="6" t="s">
        <v>704</v>
      </c>
    </row>
    <row r="116" spans="2:4" x14ac:dyDescent="0.25">
      <c r="B116">
        <v>280618877</v>
      </c>
      <c r="C116" t="s">
        <v>473</v>
      </c>
      <c r="D116" s="6" t="s">
        <v>705</v>
      </c>
    </row>
    <row r="117" spans="2:4" x14ac:dyDescent="0.25">
      <c r="B117">
        <v>70703034</v>
      </c>
      <c r="C117" t="s">
        <v>640</v>
      </c>
      <c r="D117" s="6" t="s">
        <v>706</v>
      </c>
    </row>
    <row r="118" spans="2:4" x14ac:dyDescent="0.25">
      <c r="B118">
        <v>211222971</v>
      </c>
      <c r="C118" t="s">
        <v>536</v>
      </c>
      <c r="D118" s="6" t="s">
        <v>869</v>
      </c>
    </row>
    <row r="119" spans="2:4" x14ac:dyDescent="0.25">
      <c r="B119">
        <v>70305123</v>
      </c>
      <c r="C119" t="s">
        <v>641</v>
      </c>
      <c r="D119" s="6" t="s">
        <v>707</v>
      </c>
    </row>
    <row r="120" spans="2:4" x14ac:dyDescent="0.25">
      <c r="B120">
        <v>181114748</v>
      </c>
      <c r="C120" t="s">
        <v>158</v>
      </c>
      <c r="D120" s="6" t="s">
        <v>708</v>
      </c>
    </row>
    <row r="121" spans="2:4" x14ac:dyDescent="0.25">
      <c r="B121">
        <v>260115754</v>
      </c>
      <c r="C121" t="s">
        <v>329</v>
      </c>
      <c r="D121" s="6" t="s">
        <v>709</v>
      </c>
    </row>
    <row r="122" spans="2:4" x14ac:dyDescent="0.25">
      <c r="B122">
        <v>130223978</v>
      </c>
      <c r="C122" t="s">
        <v>14</v>
      </c>
      <c r="D122" s="6" t="s">
        <v>710</v>
      </c>
    </row>
    <row r="123" spans="2:4" x14ac:dyDescent="0.25">
      <c r="B123">
        <v>170217825</v>
      </c>
      <c r="C123" t="s">
        <v>642</v>
      </c>
      <c r="D123" s="6" t="s">
        <v>711</v>
      </c>
    </row>
    <row r="124" spans="2:4" x14ac:dyDescent="0.25">
      <c r="B124">
        <v>100419903</v>
      </c>
      <c r="C124" t="s">
        <v>38</v>
      </c>
      <c r="D124" s="6" t="s">
        <v>712</v>
      </c>
    </row>
    <row r="125" spans="2:4" x14ac:dyDescent="0.25">
      <c r="C125" t="s">
        <v>513</v>
      </c>
      <c r="D125" s="6" t="s">
        <v>713</v>
      </c>
    </row>
    <row r="126" spans="2:4" x14ac:dyDescent="0.25">
      <c r="B126">
        <v>50123975</v>
      </c>
      <c r="C126" t="s">
        <v>99</v>
      </c>
      <c r="D126" s="6" t="s">
        <v>689</v>
      </c>
    </row>
    <row r="127" spans="2:4" x14ac:dyDescent="0.25">
      <c r="B127">
        <v>40219900</v>
      </c>
      <c r="C127" t="s">
        <v>466</v>
      </c>
      <c r="D127" s="6" t="s">
        <v>714</v>
      </c>
    </row>
    <row r="128" spans="2:4" x14ac:dyDescent="0.25">
      <c r="B128">
        <v>171215791</v>
      </c>
      <c r="C128" t="s">
        <v>643</v>
      </c>
      <c r="D128" s="6" t="s">
        <v>715</v>
      </c>
    </row>
    <row r="129" spans="2:4" x14ac:dyDescent="0.25">
      <c r="B129">
        <v>311022972</v>
      </c>
      <c r="C129" t="s">
        <v>548</v>
      </c>
    </row>
    <row r="130" spans="2:4" x14ac:dyDescent="0.25">
      <c r="B130">
        <v>210904088</v>
      </c>
      <c r="C130" t="s">
        <v>644</v>
      </c>
      <c r="D130" s="6" t="s">
        <v>716</v>
      </c>
    </row>
    <row r="131" spans="2:4" x14ac:dyDescent="0.25">
      <c r="B131">
        <v>150506222</v>
      </c>
      <c r="C131" t="s">
        <v>18</v>
      </c>
      <c r="D131" s="6" t="s">
        <v>717</v>
      </c>
    </row>
    <row r="132" spans="2:4" x14ac:dyDescent="0.25">
      <c r="B132">
        <v>191022968</v>
      </c>
      <c r="C132" t="s">
        <v>521</v>
      </c>
      <c r="D132" s="6" t="s">
        <v>718</v>
      </c>
    </row>
    <row r="133" spans="2:4" x14ac:dyDescent="0.25">
      <c r="B133">
        <v>180822966</v>
      </c>
      <c r="C133" t="s">
        <v>543</v>
      </c>
      <c r="D133" s="6" t="s">
        <v>719</v>
      </c>
    </row>
    <row r="134" spans="2:4" x14ac:dyDescent="0.25">
      <c r="B134">
        <v>120923980</v>
      </c>
      <c r="C134" t="s">
        <v>645</v>
      </c>
    </row>
    <row r="135" spans="2:4" x14ac:dyDescent="0.25">
      <c r="B135">
        <v>140421948</v>
      </c>
      <c r="C135" t="s">
        <v>412</v>
      </c>
      <c r="D135" s="6" t="s">
        <v>720</v>
      </c>
    </row>
    <row r="136" spans="2:4" x14ac:dyDescent="0.25">
      <c r="B136">
        <v>61123983</v>
      </c>
      <c r="C136" t="s">
        <v>646</v>
      </c>
      <c r="D136" s="6" t="s">
        <v>721</v>
      </c>
    </row>
    <row r="137" spans="2:4" x14ac:dyDescent="0.25">
      <c r="B137">
        <v>141020935</v>
      </c>
      <c r="C137" t="s">
        <v>22</v>
      </c>
      <c r="D137" s="6" t="s">
        <v>722</v>
      </c>
    </row>
    <row r="138" spans="2:4" x14ac:dyDescent="0.25">
      <c r="B138">
        <v>100724990</v>
      </c>
      <c r="C138" t="s">
        <v>647</v>
      </c>
    </row>
    <row r="139" spans="2:4" x14ac:dyDescent="0.25">
      <c r="B139">
        <v>150805153</v>
      </c>
      <c r="C139" t="s">
        <v>648</v>
      </c>
      <c r="D139" s="6" t="s">
        <v>723</v>
      </c>
    </row>
    <row r="140" spans="2:4" x14ac:dyDescent="0.25">
      <c r="B140">
        <v>11123982</v>
      </c>
      <c r="C140" t="s">
        <v>649</v>
      </c>
      <c r="D140" s="6" t="s">
        <v>724</v>
      </c>
    </row>
    <row r="141" spans="2:4" x14ac:dyDescent="0.25">
      <c r="B141">
        <v>10224986</v>
      </c>
      <c r="C141" t="s">
        <v>570</v>
      </c>
      <c r="D141" s="6" t="s">
        <v>725</v>
      </c>
    </row>
    <row r="142" spans="2:4" x14ac:dyDescent="0.25">
      <c r="B142">
        <v>271222973</v>
      </c>
      <c r="C142" t="s">
        <v>546</v>
      </c>
      <c r="D142" s="6" t="s">
        <v>726</v>
      </c>
    </row>
    <row r="143" spans="2:4" x14ac:dyDescent="0.25">
      <c r="B143">
        <v>180324988</v>
      </c>
      <c r="C143" t="s">
        <v>650</v>
      </c>
      <c r="D143" s="6" t="s">
        <v>727</v>
      </c>
    </row>
    <row r="144" spans="2:4" x14ac:dyDescent="0.25">
      <c r="B144">
        <v>310821007</v>
      </c>
      <c r="C144" t="s">
        <v>43</v>
      </c>
      <c r="D144" s="6" t="s">
        <v>728</v>
      </c>
    </row>
    <row r="145" spans="2:4" x14ac:dyDescent="0.25">
      <c r="B145">
        <v>2804251006</v>
      </c>
      <c r="C145" t="s">
        <v>599</v>
      </c>
      <c r="D145" s="6" t="s">
        <v>729</v>
      </c>
    </row>
    <row r="146" spans="2:4" x14ac:dyDescent="0.25">
      <c r="B146">
        <v>160603011</v>
      </c>
      <c r="C146" t="s">
        <v>272</v>
      </c>
      <c r="D146" s="6" t="s">
        <v>730</v>
      </c>
    </row>
    <row r="147" spans="2:4" x14ac:dyDescent="0.25">
      <c r="B147">
        <v>91224995</v>
      </c>
      <c r="C147" t="s">
        <v>586</v>
      </c>
      <c r="D147" s="6" t="s">
        <v>731</v>
      </c>
    </row>
    <row r="148" spans="2:4" x14ac:dyDescent="0.25">
      <c r="B148">
        <v>2702251001</v>
      </c>
      <c r="C148" t="s">
        <v>588</v>
      </c>
      <c r="D148" s="6" t="s">
        <v>732</v>
      </c>
    </row>
    <row r="149" spans="2:4" x14ac:dyDescent="0.25">
      <c r="B149">
        <v>261219925</v>
      </c>
      <c r="C149" t="s">
        <v>427</v>
      </c>
      <c r="D149" s="6" t="s">
        <v>733</v>
      </c>
    </row>
    <row r="150" spans="2:4" x14ac:dyDescent="0.25">
      <c r="B150">
        <v>11003051</v>
      </c>
      <c r="C150" t="s">
        <v>180</v>
      </c>
    </row>
    <row r="151" spans="2:4" x14ac:dyDescent="0.25">
      <c r="B151">
        <v>61017848</v>
      </c>
      <c r="C151" t="s">
        <v>734</v>
      </c>
    </row>
    <row r="152" spans="2:4" x14ac:dyDescent="0.25">
      <c r="B152">
        <v>90707388</v>
      </c>
      <c r="C152" t="s">
        <v>236</v>
      </c>
    </row>
    <row r="153" spans="2:4" x14ac:dyDescent="0.25">
      <c r="B153">
        <v>141112633</v>
      </c>
      <c r="C153" t="s">
        <v>735</v>
      </c>
      <c r="D153" s="6" t="s">
        <v>736</v>
      </c>
    </row>
    <row r="154" spans="2:4" x14ac:dyDescent="0.25">
      <c r="B154">
        <v>81220942</v>
      </c>
      <c r="C154" t="s">
        <v>435</v>
      </c>
    </row>
    <row r="155" spans="2:4" x14ac:dyDescent="0.25">
      <c r="B155">
        <v>10813678</v>
      </c>
      <c r="C155" t="s">
        <v>251</v>
      </c>
      <c r="D155" s="6" t="s">
        <v>737</v>
      </c>
    </row>
    <row r="156" spans="2:4" x14ac:dyDescent="0.25">
      <c r="B156">
        <v>11216814</v>
      </c>
      <c r="C156" t="s">
        <v>58</v>
      </c>
    </row>
    <row r="157" spans="2:4" x14ac:dyDescent="0.25">
      <c r="B157">
        <v>10218857</v>
      </c>
      <c r="C157" t="s">
        <v>738</v>
      </c>
    </row>
    <row r="158" spans="2:4" x14ac:dyDescent="0.25">
      <c r="B158">
        <v>160313012</v>
      </c>
      <c r="C158" t="s">
        <v>739</v>
      </c>
    </row>
    <row r="159" spans="2:4" x14ac:dyDescent="0.25">
      <c r="B159">
        <v>40418865</v>
      </c>
      <c r="C159" t="s">
        <v>740</v>
      </c>
    </row>
    <row r="160" spans="2:4" x14ac:dyDescent="0.25">
      <c r="B160">
        <v>210518873</v>
      </c>
      <c r="C160" t="s">
        <v>307</v>
      </c>
    </row>
    <row r="161" spans="2:4" x14ac:dyDescent="0.25">
      <c r="B161">
        <v>310718879</v>
      </c>
      <c r="C161" t="s">
        <v>61</v>
      </c>
    </row>
    <row r="162" spans="2:4" x14ac:dyDescent="0.25">
      <c r="B162">
        <v>280217829</v>
      </c>
      <c r="C162" t="s">
        <v>741</v>
      </c>
    </row>
    <row r="163" spans="2:4" x14ac:dyDescent="0.25">
      <c r="B163">
        <v>210617840</v>
      </c>
      <c r="C163" t="s">
        <v>742</v>
      </c>
    </row>
    <row r="164" spans="2:4" x14ac:dyDescent="0.25">
      <c r="B164">
        <v>241018887</v>
      </c>
      <c r="C164" t="s">
        <v>743</v>
      </c>
    </row>
    <row r="165" spans="2:4" x14ac:dyDescent="0.25">
      <c r="B165">
        <v>170119898</v>
      </c>
      <c r="C165" t="s">
        <v>455</v>
      </c>
    </row>
    <row r="166" spans="2:4" x14ac:dyDescent="0.25">
      <c r="B166">
        <v>150719914</v>
      </c>
      <c r="C166" t="s">
        <v>59</v>
      </c>
    </row>
    <row r="167" spans="2:4" x14ac:dyDescent="0.25">
      <c r="B167">
        <v>20519908</v>
      </c>
      <c r="C167" t="s">
        <v>234</v>
      </c>
      <c r="D167" s="6" t="s">
        <v>754</v>
      </c>
    </row>
    <row r="168" spans="2:4" x14ac:dyDescent="0.25">
      <c r="B168">
        <v>21219921</v>
      </c>
      <c r="C168" t="s">
        <v>286</v>
      </c>
      <c r="D168" s="6" t="s">
        <v>755</v>
      </c>
    </row>
    <row r="169" spans="2:4" x14ac:dyDescent="0.25">
      <c r="B169">
        <v>231015787</v>
      </c>
      <c r="C169" t="s">
        <v>1</v>
      </c>
      <c r="D169" s="6" t="s">
        <v>756</v>
      </c>
    </row>
    <row r="170" spans="2:4" x14ac:dyDescent="0.25">
      <c r="B170">
        <v>60519909</v>
      </c>
      <c r="C170" t="s">
        <v>342</v>
      </c>
      <c r="D170" s="6" t="s">
        <v>757</v>
      </c>
    </row>
    <row r="171" spans="2:4" x14ac:dyDescent="0.25">
      <c r="B171">
        <v>71019917</v>
      </c>
      <c r="C171" t="s">
        <v>744</v>
      </c>
      <c r="D171" s="6" t="s">
        <v>758</v>
      </c>
    </row>
    <row r="172" spans="2:4" x14ac:dyDescent="0.25">
      <c r="B172">
        <v>220517836</v>
      </c>
      <c r="C172" t="s">
        <v>745</v>
      </c>
      <c r="D172" s="6" t="s">
        <v>759</v>
      </c>
    </row>
    <row r="173" spans="2:4" x14ac:dyDescent="0.25">
      <c r="B173">
        <v>60420930</v>
      </c>
      <c r="C173" t="s">
        <v>746</v>
      </c>
      <c r="D173" s="6" t="s">
        <v>760</v>
      </c>
    </row>
    <row r="174" spans="2:4" x14ac:dyDescent="0.25">
      <c r="B174">
        <v>121118891</v>
      </c>
      <c r="C174" t="s">
        <v>281</v>
      </c>
      <c r="D174" s="6" t="s">
        <v>761</v>
      </c>
    </row>
    <row r="175" spans="2:4" x14ac:dyDescent="0.25">
      <c r="B175">
        <v>181018886</v>
      </c>
      <c r="C175" t="s">
        <v>299</v>
      </c>
    </row>
    <row r="176" spans="2:4" x14ac:dyDescent="0.25">
      <c r="B176">
        <v>290317835</v>
      </c>
      <c r="C176" t="s">
        <v>177</v>
      </c>
      <c r="D176" s="6" t="s">
        <v>762</v>
      </c>
    </row>
    <row r="177" spans="2:4" x14ac:dyDescent="0.25">
      <c r="B177">
        <v>71118888</v>
      </c>
      <c r="C177" t="s">
        <v>747</v>
      </c>
      <c r="D177" s="6" t="s">
        <v>763</v>
      </c>
    </row>
    <row r="178" spans="2:4" x14ac:dyDescent="0.25">
      <c r="B178">
        <v>300120926</v>
      </c>
      <c r="C178" t="s">
        <v>124</v>
      </c>
      <c r="D178" s="6" t="s">
        <v>764</v>
      </c>
    </row>
    <row r="179" spans="2:4" x14ac:dyDescent="0.25">
      <c r="B179">
        <v>30220927</v>
      </c>
      <c r="C179" t="s">
        <v>254</v>
      </c>
      <c r="D179" s="6" t="s">
        <v>765</v>
      </c>
    </row>
    <row r="180" spans="2:4" x14ac:dyDescent="0.25">
      <c r="B180">
        <v>181120939</v>
      </c>
      <c r="C180" t="s">
        <v>149</v>
      </c>
      <c r="D180" s="6" t="s">
        <v>766</v>
      </c>
    </row>
    <row r="181" spans="2:4" x14ac:dyDescent="0.25">
      <c r="B181">
        <v>280621950</v>
      </c>
      <c r="C181" t="s">
        <v>506</v>
      </c>
      <c r="D181" s="6" t="s">
        <v>767</v>
      </c>
    </row>
    <row r="182" spans="2:4" x14ac:dyDescent="0.25">
      <c r="B182">
        <v>121118890</v>
      </c>
      <c r="C182" t="s">
        <v>100</v>
      </c>
      <c r="D182" s="6" t="s">
        <v>768</v>
      </c>
    </row>
    <row r="183" spans="2:4" x14ac:dyDescent="0.25">
      <c r="B183">
        <v>110121943</v>
      </c>
      <c r="C183" t="s">
        <v>551</v>
      </c>
      <c r="D183" s="6" t="s">
        <v>769</v>
      </c>
    </row>
    <row r="184" spans="2:4" x14ac:dyDescent="0.25">
      <c r="B184">
        <v>91120937</v>
      </c>
      <c r="C184" t="s">
        <v>741</v>
      </c>
      <c r="D184" s="6" t="s">
        <v>770</v>
      </c>
    </row>
    <row r="185" spans="2:4" x14ac:dyDescent="0.25">
      <c r="B185">
        <v>140420931</v>
      </c>
      <c r="C185" t="s">
        <v>3</v>
      </c>
      <c r="D185" s="6" t="s">
        <v>771</v>
      </c>
    </row>
    <row r="186" spans="2:4" x14ac:dyDescent="0.25">
      <c r="B186">
        <v>21120936</v>
      </c>
      <c r="C186" t="s">
        <v>370</v>
      </c>
      <c r="D186" s="6" t="s">
        <v>772</v>
      </c>
    </row>
    <row r="187" spans="2:4" x14ac:dyDescent="0.25">
      <c r="B187">
        <v>70617838</v>
      </c>
      <c r="C187" t="s">
        <v>119</v>
      </c>
      <c r="D187" s="6" t="s">
        <v>773</v>
      </c>
    </row>
    <row r="188" spans="2:4" x14ac:dyDescent="0.25">
      <c r="B188">
        <v>160313010</v>
      </c>
      <c r="C188" t="s">
        <v>748</v>
      </c>
      <c r="D188" s="6" t="s">
        <v>774</v>
      </c>
    </row>
    <row r="189" spans="2:4" x14ac:dyDescent="0.25">
      <c r="B189">
        <v>261118893</v>
      </c>
      <c r="C189" t="s">
        <v>749</v>
      </c>
      <c r="D189" s="6" t="s">
        <v>775</v>
      </c>
    </row>
    <row r="190" spans="2:4" x14ac:dyDescent="0.25">
      <c r="B190">
        <v>10413651</v>
      </c>
      <c r="C190" t="s">
        <v>750</v>
      </c>
      <c r="D190" s="6" t="s">
        <v>776</v>
      </c>
    </row>
    <row r="191" spans="2:4" x14ac:dyDescent="0.25">
      <c r="B191">
        <v>240620933</v>
      </c>
      <c r="C191" t="s">
        <v>751</v>
      </c>
      <c r="D191" s="6" t="s">
        <v>777</v>
      </c>
    </row>
    <row r="192" spans="2:4" x14ac:dyDescent="0.25">
      <c r="B192">
        <v>171016803</v>
      </c>
      <c r="C192" t="s">
        <v>752</v>
      </c>
      <c r="D192" s="6" t="s">
        <v>778</v>
      </c>
    </row>
    <row r="193" spans="2:4" x14ac:dyDescent="0.25">
      <c r="B193">
        <v>220221946</v>
      </c>
      <c r="C193" t="s">
        <v>213</v>
      </c>
      <c r="D193" s="6" t="s">
        <v>779</v>
      </c>
    </row>
    <row r="194" spans="2:4" x14ac:dyDescent="0.25">
      <c r="B194">
        <v>240225998</v>
      </c>
      <c r="C194" t="s">
        <v>753</v>
      </c>
      <c r="D194" s="6" t="s">
        <v>780</v>
      </c>
    </row>
    <row r="195" spans="2:4" x14ac:dyDescent="0.25">
      <c r="B195">
        <v>11018004</v>
      </c>
      <c r="C195" t="s">
        <v>781</v>
      </c>
    </row>
    <row r="196" spans="2:4" x14ac:dyDescent="0.25">
      <c r="B196">
        <v>280119005</v>
      </c>
      <c r="C196" t="s">
        <v>782</v>
      </c>
    </row>
    <row r="197" spans="2:4" x14ac:dyDescent="0.25">
      <c r="B197">
        <v>250220009</v>
      </c>
      <c r="C197" t="s">
        <v>783</v>
      </c>
      <c r="D197" s="6" t="s">
        <v>786</v>
      </c>
    </row>
    <row r="198" spans="2:4" x14ac:dyDescent="0.25">
      <c r="B198">
        <v>10818003</v>
      </c>
      <c r="C198" t="s">
        <v>784</v>
      </c>
    </row>
    <row r="199" spans="2:4" x14ac:dyDescent="0.25">
      <c r="B199">
        <v>10419008</v>
      </c>
      <c r="C199" t="s">
        <v>143</v>
      </c>
      <c r="D199" s="6" t="s">
        <v>787</v>
      </c>
    </row>
    <row r="200" spans="2:4" x14ac:dyDescent="0.25">
      <c r="B200">
        <v>130319006</v>
      </c>
      <c r="C200" t="s">
        <v>785</v>
      </c>
      <c r="D200" s="6" t="s">
        <v>788</v>
      </c>
    </row>
    <row r="201" spans="2:4" x14ac:dyDescent="0.25">
      <c r="B201">
        <v>10818001</v>
      </c>
      <c r="C201" t="s">
        <v>200</v>
      </c>
      <c r="D201" s="6" t="s">
        <v>789</v>
      </c>
    </row>
    <row r="202" spans="2:4" x14ac:dyDescent="0.25">
      <c r="B202">
        <v>403251002</v>
      </c>
      <c r="C202" t="s">
        <v>592</v>
      </c>
      <c r="D202" s="6" t="s">
        <v>798</v>
      </c>
    </row>
    <row r="203" spans="2:4" x14ac:dyDescent="0.25">
      <c r="B203">
        <v>181124994</v>
      </c>
      <c r="C203" t="s">
        <v>591</v>
      </c>
      <c r="D203" s="6" t="s">
        <v>799</v>
      </c>
    </row>
    <row r="204" spans="2:4" x14ac:dyDescent="0.25">
      <c r="B204">
        <v>10703020</v>
      </c>
      <c r="C204" t="s">
        <v>11</v>
      </c>
      <c r="D204" s="6" t="s">
        <v>800</v>
      </c>
    </row>
    <row r="205" spans="2:4" x14ac:dyDescent="0.25">
      <c r="B205">
        <v>191022969</v>
      </c>
      <c r="C205" t="s">
        <v>512</v>
      </c>
      <c r="D205" s="6" t="s">
        <v>801</v>
      </c>
    </row>
    <row r="206" spans="2:4" x14ac:dyDescent="0.25">
      <c r="B206">
        <v>100920934</v>
      </c>
      <c r="C206" t="s">
        <v>74</v>
      </c>
      <c r="D206" s="6" t="s">
        <v>802</v>
      </c>
    </row>
    <row r="207" spans="2:4" x14ac:dyDescent="0.25">
      <c r="B207">
        <v>60515769</v>
      </c>
      <c r="C207" t="s">
        <v>81</v>
      </c>
      <c r="D207" s="6" t="s">
        <v>803</v>
      </c>
    </row>
    <row r="208" spans="2:4" x14ac:dyDescent="0.25">
      <c r="B208">
        <v>31212631</v>
      </c>
      <c r="C208" t="s">
        <v>91</v>
      </c>
      <c r="D208" s="6" t="s">
        <v>804</v>
      </c>
    </row>
    <row r="209" spans="2:4" x14ac:dyDescent="0.25">
      <c r="B209">
        <v>10605133</v>
      </c>
      <c r="C209" t="s">
        <v>105</v>
      </c>
      <c r="D209" s="6" t="s">
        <v>805</v>
      </c>
    </row>
    <row r="210" spans="2:4" x14ac:dyDescent="0.25">
      <c r="B210">
        <v>40803040</v>
      </c>
      <c r="C210" t="s">
        <v>115</v>
      </c>
      <c r="D210" s="6" t="s">
        <v>806</v>
      </c>
    </row>
    <row r="211" spans="2:4" x14ac:dyDescent="0.25">
      <c r="B211">
        <v>200420932</v>
      </c>
      <c r="C211" t="s">
        <v>122</v>
      </c>
      <c r="D211" s="6" t="s">
        <v>807</v>
      </c>
    </row>
    <row r="212" spans="2:4" x14ac:dyDescent="0.25">
      <c r="B212">
        <v>120324987</v>
      </c>
      <c r="C212" t="s">
        <v>125</v>
      </c>
      <c r="D212" s="6" t="s">
        <v>808</v>
      </c>
    </row>
    <row r="213" spans="2:4" x14ac:dyDescent="0.25">
      <c r="B213">
        <v>60121944</v>
      </c>
      <c r="C213" t="s">
        <v>124</v>
      </c>
      <c r="D213" s="6" t="s">
        <v>764</v>
      </c>
    </row>
    <row r="214" spans="2:4" x14ac:dyDescent="0.25">
      <c r="B214">
        <v>10806250</v>
      </c>
      <c r="C214" t="s">
        <v>790</v>
      </c>
      <c r="D214" s="6" t="s">
        <v>809</v>
      </c>
    </row>
    <row r="215" spans="2:4" x14ac:dyDescent="0.25">
      <c r="B215">
        <v>70806256</v>
      </c>
      <c r="C215" t="s">
        <v>167</v>
      </c>
      <c r="D215" s="6" t="s">
        <v>810</v>
      </c>
    </row>
    <row r="216" spans="2:4" x14ac:dyDescent="0.25">
      <c r="B216">
        <v>191015786</v>
      </c>
      <c r="C216" t="s">
        <v>791</v>
      </c>
      <c r="D216" s="6" t="s">
        <v>811</v>
      </c>
    </row>
    <row r="217" spans="2:4" x14ac:dyDescent="0.25">
      <c r="B217">
        <v>40822965</v>
      </c>
      <c r="C217" t="s">
        <v>526</v>
      </c>
      <c r="D217" s="6" t="s">
        <v>812</v>
      </c>
    </row>
    <row r="218" spans="2:4" x14ac:dyDescent="0.25">
      <c r="B218">
        <v>170322960</v>
      </c>
      <c r="C218" t="s">
        <v>527</v>
      </c>
      <c r="D218" s="6" t="s">
        <v>813</v>
      </c>
    </row>
    <row r="219" spans="2:4" x14ac:dyDescent="0.25">
      <c r="B219">
        <v>40515767</v>
      </c>
      <c r="C219" t="s">
        <v>231</v>
      </c>
      <c r="D219" s="6" t="s">
        <v>814</v>
      </c>
    </row>
    <row r="220" spans="2:4" x14ac:dyDescent="0.25">
      <c r="B220">
        <v>190803044</v>
      </c>
      <c r="C220" t="s">
        <v>252</v>
      </c>
      <c r="D220" s="6" t="s">
        <v>815</v>
      </c>
    </row>
    <row r="221" spans="2:4" x14ac:dyDescent="0.25">
      <c r="B221">
        <v>170918883</v>
      </c>
      <c r="C221" t="s">
        <v>261</v>
      </c>
      <c r="D221" s="6" t="s">
        <v>816</v>
      </c>
    </row>
    <row r="222" spans="2:4" x14ac:dyDescent="0.25">
      <c r="B222">
        <v>160916799</v>
      </c>
      <c r="C222" t="s">
        <v>792</v>
      </c>
      <c r="D222" s="6" t="s">
        <v>817</v>
      </c>
    </row>
    <row r="223" spans="2:4" x14ac:dyDescent="0.25">
      <c r="B223">
        <v>10513665</v>
      </c>
      <c r="C223" t="s">
        <v>793</v>
      </c>
      <c r="D223" s="6" t="s">
        <v>818</v>
      </c>
    </row>
    <row r="224" spans="2:4" x14ac:dyDescent="0.25">
      <c r="B224">
        <v>1206251007</v>
      </c>
      <c r="C224" t="s">
        <v>600</v>
      </c>
      <c r="D224" s="6" t="s">
        <v>819</v>
      </c>
    </row>
    <row r="225" spans="2:4" x14ac:dyDescent="0.25">
      <c r="B225">
        <v>230125998</v>
      </c>
      <c r="C225" t="s">
        <v>603</v>
      </c>
      <c r="D225" s="6" t="s">
        <v>820</v>
      </c>
    </row>
    <row r="226" spans="2:4" x14ac:dyDescent="0.25">
      <c r="B226">
        <v>30105116</v>
      </c>
      <c r="C226" t="s">
        <v>300</v>
      </c>
      <c r="D226" s="6" t="s">
        <v>821</v>
      </c>
    </row>
    <row r="227" spans="2:4" x14ac:dyDescent="0.25">
      <c r="B227">
        <v>61106279</v>
      </c>
      <c r="C227" t="s">
        <v>306</v>
      </c>
      <c r="D227" s="6" t="s">
        <v>822</v>
      </c>
    </row>
    <row r="228" spans="2:4" x14ac:dyDescent="0.25">
      <c r="B228">
        <v>230924993</v>
      </c>
      <c r="C228" t="s">
        <v>573</v>
      </c>
      <c r="D228" s="6" t="s">
        <v>866</v>
      </c>
    </row>
    <row r="229" spans="2:4" x14ac:dyDescent="0.25">
      <c r="B229">
        <v>2011251012</v>
      </c>
      <c r="C229" t="s">
        <v>604</v>
      </c>
      <c r="D229" s="7" t="s">
        <v>864</v>
      </c>
    </row>
    <row r="230" spans="2:4" x14ac:dyDescent="0.25">
      <c r="B230">
        <v>51023981</v>
      </c>
      <c r="C230" t="s">
        <v>535</v>
      </c>
      <c r="D230" s="6" t="s">
        <v>823</v>
      </c>
    </row>
    <row r="231" spans="2:4" x14ac:dyDescent="0.25">
      <c r="B231">
        <v>603251003</v>
      </c>
      <c r="C231" t="s">
        <v>606</v>
      </c>
      <c r="D231" s="6" t="s">
        <v>865</v>
      </c>
    </row>
    <row r="232" spans="2:4" x14ac:dyDescent="0.25">
      <c r="B232">
        <v>2703251004</v>
      </c>
      <c r="C232" t="s">
        <v>608</v>
      </c>
    </row>
    <row r="233" spans="2:4" x14ac:dyDescent="0.25">
      <c r="B233">
        <v>221110557</v>
      </c>
      <c r="C233" t="s">
        <v>351</v>
      </c>
      <c r="D233" s="6" t="s">
        <v>824</v>
      </c>
    </row>
    <row r="234" spans="2:4" x14ac:dyDescent="0.25">
      <c r="B234">
        <v>141118892</v>
      </c>
      <c r="C234" t="s">
        <v>390</v>
      </c>
      <c r="D234" s="6" t="s">
        <v>825</v>
      </c>
    </row>
    <row r="235" spans="2:4" x14ac:dyDescent="0.25">
      <c r="B235">
        <v>130906272</v>
      </c>
      <c r="C235" t="s">
        <v>392</v>
      </c>
      <c r="D235" s="6" t="s">
        <v>826</v>
      </c>
    </row>
    <row r="236" spans="2:4" x14ac:dyDescent="0.25">
      <c r="B236">
        <v>240518874</v>
      </c>
      <c r="C236" t="s">
        <v>396</v>
      </c>
      <c r="D236" s="6" t="s">
        <v>827</v>
      </c>
    </row>
    <row r="237" spans="2:4" x14ac:dyDescent="0.25">
      <c r="B237">
        <v>10507354</v>
      </c>
      <c r="C237" t="s">
        <v>411</v>
      </c>
      <c r="D237" s="6" t="s">
        <v>828</v>
      </c>
    </row>
    <row r="238" spans="2:4" x14ac:dyDescent="0.25">
      <c r="B238">
        <v>10210516</v>
      </c>
      <c r="C238" t="s">
        <v>794</v>
      </c>
      <c r="D238" s="6" t="s">
        <v>829</v>
      </c>
    </row>
    <row r="239" spans="2:4" x14ac:dyDescent="0.25">
      <c r="B239">
        <v>280324989</v>
      </c>
      <c r="C239" t="s">
        <v>578</v>
      </c>
      <c r="D239" s="6" t="s">
        <v>830</v>
      </c>
    </row>
    <row r="240" spans="2:4" x14ac:dyDescent="0.25">
      <c r="B240">
        <v>30717839</v>
      </c>
      <c r="C240" t="s">
        <v>795</v>
      </c>
      <c r="D240" s="6" t="s">
        <v>870</v>
      </c>
    </row>
    <row r="241" spans="2:4" x14ac:dyDescent="0.25">
      <c r="B241">
        <v>90818879</v>
      </c>
      <c r="C241" t="s">
        <v>796</v>
      </c>
      <c r="D241" s="6" t="s">
        <v>831</v>
      </c>
    </row>
    <row r="242" spans="2:4" x14ac:dyDescent="0.25">
      <c r="B242">
        <v>240122958</v>
      </c>
      <c r="C242" t="s">
        <v>541</v>
      </c>
      <c r="D242" s="6" t="s">
        <v>832</v>
      </c>
    </row>
    <row r="243" spans="2:4" x14ac:dyDescent="0.25">
      <c r="B243">
        <v>150724991</v>
      </c>
      <c r="C243" t="s">
        <v>580</v>
      </c>
      <c r="D243" s="6" t="s">
        <v>833</v>
      </c>
    </row>
    <row r="244" spans="2:4" x14ac:dyDescent="0.25">
      <c r="B244">
        <v>260123977</v>
      </c>
      <c r="C244" t="s">
        <v>544</v>
      </c>
      <c r="D244" s="6" t="s">
        <v>834</v>
      </c>
    </row>
    <row r="245" spans="2:4" x14ac:dyDescent="0.25">
      <c r="B245">
        <v>160714734</v>
      </c>
      <c r="C245" t="s">
        <v>486</v>
      </c>
      <c r="D245" s="6" t="s">
        <v>835</v>
      </c>
    </row>
    <row r="246" spans="2:4" x14ac:dyDescent="0.25">
      <c r="B246">
        <v>90819915</v>
      </c>
      <c r="C246" t="s">
        <v>496</v>
      </c>
      <c r="D246" s="6" t="s">
        <v>836</v>
      </c>
    </row>
    <row r="247" spans="2:4" x14ac:dyDescent="0.25">
      <c r="B247">
        <v>3107251008</v>
      </c>
      <c r="C247" t="s">
        <v>797</v>
      </c>
      <c r="D247" s="6" t="s">
        <v>837</v>
      </c>
    </row>
    <row r="248" spans="2:4" x14ac:dyDescent="0.25">
      <c r="B248">
        <v>160603000</v>
      </c>
      <c r="C248" t="s">
        <v>346</v>
      </c>
      <c r="D248" s="6" t="s">
        <v>838</v>
      </c>
    </row>
    <row r="249" spans="2:4" x14ac:dyDescent="0.25">
      <c r="B249">
        <v>10218858</v>
      </c>
      <c r="C249" t="s">
        <v>166</v>
      </c>
      <c r="D249" s="6" t="s">
        <v>839</v>
      </c>
    </row>
    <row r="250" spans="2:4" x14ac:dyDescent="0.25">
      <c r="B250">
        <v>10224985</v>
      </c>
      <c r="C250" t="s">
        <v>558</v>
      </c>
      <c r="D250" s="6" t="s">
        <v>840</v>
      </c>
    </row>
    <row r="251" spans="2:4" x14ac:dyDescent="0.25">
      <c r="B251">
        <v>280314716</v>
      </c>
      <c r="C251" t="s">
        <v>16</v>
      </c>
      <c r="D251" s="6" t="s">
        <v>841</v>
      </c>
    </row>
    <row r="252" spans="2:4" x14ac:dyDescent="0.25">
      <c r="B252">
        <v>260716795</v>
      </c>
      <c r="C252" t="s">
        <v>508</v>
      </c>
      <c r="D252" s="6" t="s">
        <v>842</v>
      </c>
    </row>
    <row r="253" spans="2:4" x14ac:dyDescent="0.25">
      <c r="B253">
        <v>160313008</v>
      </c>
      <c r="C253" t="s">
        <v>843</v>
      </c>
      <c r="D253" s="6" t="s">
        <v>845</v>
      </c>
    </row>
    <row r="254" spans="2:4" x14ac:dyDescent="0.25">
      <c r="B254">
        <v>120124984</v>
      </c>
      <c r="C254" t="s">
        <v>594</v>
      </c>
      <c r="D254" s="6" t="s">
        <v>846</v>
      </c>
    </row>
    <row r="255" spans="2:4" x14ac:dyDescent="0.25">
      <c r="B255">
        <v>10413650</v>
      </c>
      <c r="C255" t="s">
        <v>595</v>
      </c>
      <c r="D255" s="6" t="s">
        <v>847</v>
      </c>
    </row>
    <row r="256" spans="2:4" x14ac:dyDescent="0.25">
      <c r="B256">
        <v>90821952</v>
      </c>
      <c r="C256" t="s">
        <v>516</v>
      </c>
      <c r="D256" s="6" t="s">
        <v>848</v>
      </c>
    </row>
    <row r="257" spans="2:5" x14ac:dyDescent="0.25">
      <c r="B257">
        <v>170417832</v>
      </c>
      <c r="C257" t="s">
        <v>92</v>
      </c>
      <c r="D257" s="6" t="s">
        <v>849</v>
      </c>
    </row>
    <row r="258" spans="2:5" x14ac:dyDescent="0.25">
      <c r="B258">
        <v>31022970</v>
      </c>
      <c r="C258" t="s">
        <v>549</v>
      </c>
      <c r="D258" s="6" t="s">
        <v>850</v>
      </c>
    </row>
    <row r="259" spans="2:5" x14ac:dyDescent="0.25">
      <c r="B259">
        <v>701251000</v>
      </c>
      <c r="C259" t="s">
        <v>119</v>
      </c>
      <c r="D259" s="6" t="s">
        <v>773</v>
      </c>
    </row>
    <row r="260" spans="2:5" x14ac:dyDescent="0.25">
      <c r="B260">
        <v>110523979</v>
      </c>
      <c r="C260" t="s">
        <v>520</v>
      </c>
      <c r="D260" s="6" t="s">
        <v>851</v>
      </c>
    </row>
    <row r="261" spans="2:5" x14ac:dyDescent="0.25">
      <c r="B261">
        <v>30225999</v>
      </c>
      <c r="C261" t="s">
        <v>587</v>
      </c>
      <c r="D261" s="6" t="s">
        <v>852</v>
      </c>
    </row>
    <row r="262" spans="2:5" x14ac:dyDescent="0.25">
      <c r="B262">
        <v>50422961</v>
      </c>
      <c r="C262" t="s">
        <v>550</v>
      </c>
      <c r="D262" s="6" t="s">
        <v>853</v>
      </c>
      <c r="E262" t="s">
        <v>854</v>
      </c>
    </row>
    <row r="263" spans="2:5" x14ac:dyDescent="0.25">
      <c r="B263">
        <v>160921954</v>
      </c>
      <c r="C263" t="s">
        <v>371</v>
      </c>
      <c r="D263" s="6" t="s">
        <v>855</v>
      </c>
    </row>
    <row r="264" spans="2:5" x14ac:dyDescent="0.25">
      <c r="B264">
        <v>10413649</v>
      </c>
      <c r="C264" t="s">
        <v>609</v>
      </c>
      <c r="D264" s="6" t="s">
        <v>856</v>
      </c>
    </row>
    <row r="265" spans="2:5" x14ac:dyDescent="0.25">
      <c r="B265">
        <v>20916798</v>
      </c>
      <c r="C265" t="s">
        <v>610</v>
      </c>
      <c r="D265" s="6" t="s">
        <v>857</v>
      </c>
    </row>
    <row r="266" spans="2:5" x14ac:dyDescent="0.25">
      <c r="B266">
        <v>80822967</v>
      </c>
      <c r="C266" t="s">
        <v>414</v>
      </c>
      <c r="D266" s="6" t="s">
        <v>858</v>
      </c>
    </row>
    <row r="267" spans="2:5" x14ac:dyDescent="0.25">
      <c r="B267">
        <v>20123976</v>
      </c>
      <c r="C267" t="s">
        <v>547</v>
      </c>
      <c r="D267" s="6" t="s">
        <v>859</v>
      </c>
    </row>
    <row r="268" spans="2:5" x14ac:dyDescent="0.25">
      <c r="B268">
        <v>10413653</v>
      </c>
      <c r="C268" t="s">
        <v>611</v>
      </c>
      <c r="D268" s="6" t="s">
        <v>860</v>
      </c>
    </row>
    <row r="269" spans="2:5" x14ac:dyDescent="0.25">
      <c r="B269">
        <v>300913696</v>
      </c>
      <c r="C269" t="s">
        <v>613</v>
      </c>
      <c r="D269" s="6" t="s">
        <v>861</v>
      </c>
    </row>
    <row r="270" spans="2:5" x14ac:dyDescent="0.25">
      <c r="B270">
        <v>10906267</v>
      </c>
      <c r="C270" t="s">
        <v>457</v>
      </c>
      <c r="D270" s="6" t="s">
        <v>862</v>
      </c>
    </row>
    <row r="271" spans="2:5" x14ac:dyDescent="0.25">
      <c r="B271">
        <v>209251009</v>
      </c>
      <c r="C271" t="s">
        <v>844</v>
      </c>
      <c r="D271" s="6" t="s">
        <v>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757"/>
  <sheetViews>
    <sheetView tabSelected="1" zoomScaleNormal="100" workbookViewId="0">
      <pane xSplit="4" ySplit="3" topLeftCell="E10" activePane="bottomRight" state="frozen"/>
      <selection pane="topRight" activeCell="C1" sqref="C1"/>
      <selection pane="bottomLeft" activeCell="A4" sqref="A4"/>
      <selection pane="bottomRight" activeCell="K4" sqref="K4:K756"/>
    </sheetView>
  </sheetViews>
  <sheetFormatPr defaultRowHeight="12.75" x14ac:dyDescent="0.2"/>
  <cols>
    <col min="1" max="1" width="2.85546875" style="5" customWidth="1"/>
    <col min="2" max="2" width="14.85546875" style="2" bestFit="1" customWidth="1"/>
    <col min="3" max="3" width="47.140625" style="5" customWidth="1"/>
    <col min="4" max="4" width="18" style="2" bestFit="1" customWidth="1"/>
    <col min="5" max="5" width="14.85546875" style="5" customWidth="1"/>
    <col min="6" max="6" width="18" style="23" bestFit="1" customWidth="1"/>
    <col min="7" max="7" width="16" style="5" customWidth="1"/>
    <col min="8" max="8" width="26.28515625" style="5" bestFit="1" customWidth="1"/>
    <col min="9" max="9" width="2.85546875" style="5" customWidth="1"/>
    <col min="10" max="10" width="17.28515625" style="35" bestFit="1" customWidth="1"/>
    <col min="11" max="16384" width="9.140625" style="5"/>
  </cols>
  <sheetData>
    <row r="1" spans="2:11" ht="15" customHeight="1" thickBot="1" x14ac:dyDescent="0.25"/>
    <row r="2" spans="2:11" ht="25.5" x14ac:dyDescent="0.2">
      <c r="B2" s="18" t="s">
        <v>883</v>
      </c>
      <c r="C2" s="29" t="s">
        <v>892</v>
      </c>
      <c r="D2" s="42" t="s">
        <v>879</v>
      </c>
      <c r="E2" s="16" t="s">
        <v>884</v>
      </c>
      <c r="F2" s="24" t="s">
        <v>880</v>
      </c>
      <c r="G2" s="16" t="s">
        <v>882</v>
      </c>
      <c r="H2" s="13" t="s">
        <v>881</v>
      </c>
      <c r="J2" s="30" t="s">
        <v>894</v>
      </c>
      <c r="K2" s="31" t="s">
        <v>893</v>
      </c>
    </row>
    <row r="3" spans="2:11" ht="13.5" thickBot="1" x14ac:dyDescent="0.25">
      <c r="B3" s="19"/>
      <c r="C3" s="38"/>
      <c r="D3" s="43"/>
      <c r="E3" s="17"/>
      <c r="F3" s="25"/>
      <c r="G3" s="17"/>
      <c r="H3" s="15"/>
      <c r="J3" s="36">
        <v>286000000000000</v>
      </c>
      <c r="K3" s="32"/>
    </row>
    <row r="4" spans="2:11" x14ac:dyDescent="0.2">
      <c r="B4" s="20">
        <v>25000000000250</v>
      </c>
      <c r="C4" s="3" t="str">
        <f>IF(EXACT($B4, ""), "", IF((($B4 - MOD($B4, 1000000000000))/1000000000000)=25, CONCATENATE("Person - ", VLOOKUP($B4, [1]DataLookUp!$B$4:$C$2000, 2, FALSE)), IF((($B4 - MOD($B4, 1000000000000))/1000000000000)=124, CONCATENATE("Institution - ", VLOOKUP($B4, '[2]DataLookUp - InstitutionBranch'!$B$4:$C$2000, 2, FALSE)), "")))</f>
        <v>Person - Khafid Fahrurrozi</v>
      </c>
      <c r="D4" s="44">
        <v>223000000000002</v>
      </c>
      <c r="E4" s="37" t="str">
        <f>IF(EXACT($D4, ""), "", VLOOKUP($D4, 'REF - ContactNumberType'!$B$4:$C$10, 2, FALSE))</f>
        <v>Mobile Phone</v>
      </c>
      <c r="F4" s="26" t="s">
        <v>651</v>
      </c>
      <c r="G4" s="21"/>
      <c r="H4" s="21" t="s">
        <v>249</v>
      </c>
      <c r="J4" s="33">
        <f xml:space="preserve"> J3 + IF(EXACT(K4, ""), 0, 1)</f>
        <v>286000000000001</v>
      </c>
      <c r="K4" s="34" t="str">
        <f>IF(EXACT(F4, ""), "", CONCATENATE("PERFORM ""SchData-OLTP-Master"".""Func_TblContactNumber_SET""(varSystemLoginSession::bigint, null::bigint, null::varchar, null::timestamptz, null::timestamptz, null::varchar, varInstitutionBranchID::bigint, varBaseCurrencyID::bigint, ", IF(EXACT($D4, ""), "NULL", ""&amp;$D4&amp;""), "::bigint, ", IF(EXACT($F4, ""), "NULL", "'"&amp;$F4&amp;"'"), "::varchar, ", IF(EXACT($G4, ""), "NULL", "'"&amp;$G4&amp;"'"), "::varchar, ", IF(EXACT($H4, ""), "NULL", "'"&amp;$H4&amp;"'"), "::varchar, ", IF(EXACT($B4, ""), "NULL", "'"&amp;$B4&amp;"'"), "::bigint);"))</f>
        <v>PERFORM "SchData-OLTP-Master"."Func_TblContactNumber_SET"(varSystemLoginSession::bigint, null::bigint, null::varchar, null::timestamptz, null::timestamptz, null::varchar, varInstitutionBranchID::bigint, varBaseCurrencyID::bigint, 223000000000002::bigint, '+62 878-7792-3708'::varchar, NULL::varchar, 'Khafid Fahrurrozi'::varchar, '25000000000250'::bigint);</v>
      </c>
    </row>
    <row r="5" spans="2:11" x14ac:dyDescent="0.2">
      <c r="B5" s="22"/>
      <c r="C5" s="4" t="str">
        <f>IF(EXACT($B5, ""), "", IF((($B5 - MOD($B5, 1000000000000))/1000000000000)=25, CONCATENATE("Person - ", VLOOKUP($B5, [1]DataLookUp!$B$4:$C$2000, 2, FALSE)), IF((($B5 - MOD($B5, 1000000000000))/1000000000000)=124, CONCATENATE("Institution - ", VLOOKUP($B5, '[2]DataLookUp - InstitutionBranch'!$B$4:$C$2000, 2, FALSE)), "")))</f>
        <v/>
      </c>
      <c r="D5" s="22">
        <v>223000000000002</v>
      </c>
      <c r="E5" s="4" t="str">
        <f>IF(EXACT($D5, ""), "", VLOOKUP($D5, 'REF - ContactNumberType'!$B$4:$C$10, 2, FALSE))</f>
        <v>Mobile Phone</v>
      </c>
      <c r="F5" s="26" t="s">
        <v>652</v>
      </c>
      <c r="G5" s="9"/>
      <c r="H5" s="9" t="s">
        <v>627</v>
      </c>
      <c r="J5" s="33">
        <f t="shared" ref="J5:J67" si="0" xml:space="preserve"> J4 + IF(EXACT(K5, ""), 0, 1)</f>
        <v>286000000000002</v>
      </c>
      <c r="K5" s="34" t="str">
        <f>IF(EXACT(F5, ""), "", CONCATENATE("PERFORM ""SchData-OLTP-Master"".""Func_TblContactNumber_SET""(varSystemLoginSession::bigint, null::bigint, null::varchar, null::timestamptz, null::timestamptz, null::varchar, varInstitutionBranchID::bigint, varBaseCurrencyID::bigint, ", IF(EXACT($D5, ""), "NULL", ""&amp;$D5&amp;""), "::bigint, ", IF(EXACT($F5, ""), "NULL", "'"&amp;$F5&amp;"'"), "::varchar, ", IF(EXACT($G5, ""), "NULL", "'"&amp;$G5&amp;"'"), "::varchar, ", IF(EXACT($H5, ""), "NULL", "'"&amp;$H5&amp;"'"), "::varchar, ", IF(EXACT($B5, ""), "NULL", "'"&amp;$B5&amp;"'"), "::bigint);"))</f>
        <v>PERFORM "SchData-OLTP-Master"."Func_TblContactNumber_SET"(varSystemLoginSession::bigint, null::bigint, null::varchar, null::timestamptz, null::timestamptz, null::varchar, varInstitutionBranchID::bigint, varBaseCurrencyID::bigint, 223000000000002::bigint, '+62 812-9397-4227'::varchar, NULL::varchar, 'Lucky Daniansyah'::varchar, NULL::bigint);</v>
      </c>
    </row>
    <row r="6" spans="2:11" x14ac:dyDescent="0.2">
      <c r="B6" s="22">
        <v>25000000000353</v>
      </c>
      <c r="C6" s="4" t="str">
        <f>IF(EXACT($B6, ""), "", IF((($B6 - MOD($B6, 1000000000000))/1000000000000)=25, CONCATENATE("Person - ", VLOOKUP($B6, [1]DataLookUp!$B$4:$C$2000, 2, FALSE)), IF((($B6 - MOD($B6, 1000000000000))/1000000000000)=124, CONCATENATE("Institution - ", VLOOKUP($B6, '[2]DataLookUp - InstitutionBranch'!$B$4:$C$2000, 2, FALSE)), "")))</f>
        <v>Person - Rian Yushak</v>
      </c>
      <c r="D6" s="22">
        <v>223000000000002</v>
      </c>
      <c r="E6" s="4" t="str">
        <f>IF(EXACT($D6, ""), "", VLOOKUP($D6, 'REF - ContactNumberType'!$B$4:$C$10, 2, FALSE))</f>
        <v>Mobile Phone</v>
      </c>
      <c r="F6" s="26" t="s">
        <v>653</v>
      </c>
      <c r="G6" s="9"/>
      <c r="H6" s="9" t="s">
        <v>352</v>
      </c>
      <c r="J6" s="33">
        <f t="shared" ref="J6:J69" si="1" xml:space="preserve"> J5 + IF(EXACT(K6, ""), 0, 1)</f>
        <v>286000000000003</v>
      </c>
      <c r="K6" s="34" t="str">
        <f t="shared" ref="K6:K69" si="2">IF(EXACT(F6, ""), "", CONCATENATE("PERFORM ""SchData-OLTP-Master"".""Func_TblContactNumber_SET""(varSystemLoginSession::bigint, null::bigint, null::varchar, null::timestamptz, null::timestamptz, null::varchar, varInstitutionBranchID::bigint, varBaseCurrencyID::bigint, ", IF(EXACT($D6, ""), "NULL", ""&amp;$D6&amp;""), "::bigint, ", IF(EXACT($F6, ""), "NULL", "'"&amp;$F6&amp;"'"), "::varchar, ", IF(EXACT($G6, ""), "NULL", "'"&amp;$G6&amp;"'"), "::varchar, ", IF(EXACT($H6, ""), "NULL", "'"&amp;$H6&amp;"'"), "::varchar, ", IF(EXACT($B6, ""), "NULL", "'"&amp;$B6&amp;"'"), "::bigint);"))</f>
        <v>PERFORM "SchData-OLTP-Master"."Func_TblContactNumber_SET"(varSystemLoginSession::bigint, null::bigint, null::varchar, null::timestamptz, null::timestamptz, null::varchar, varInstitutionBranchID::bigint, varBaseCurrencyID::bigint, 223000000000002::bigint, '+62 856-9401-0438'::varchar, NULL::varchar, 'Rian Yushak'::varchar, '25000000000353'::bigint);</v>
      </c>
    </row>
    <row r="7" spans="2:11" x14ac:dyDescent="0.2">
      <c r="B7" s="22"/>
      <c r="C7" s="4" t="str">
        <f>IF(EXACT($B7, ""), "", IF((($B7 - MOD($B7, 1000000000000))/1000000000000)=25, CONCATENATE("Person - ", VLOOKUP($B7, [1]DataLookUp!$B$4:$C$2000, 2, FALSE)), IF((($B7 - MOD($B7, 1000000000000))/1000000000000)=124, CONCATENATE("Institution - ", VLOOKUP($B7, '[2]DataLookUp - InstitutionBranch'!$B$4:$C$2000, 2, FALSE)), "")))</f>
        <v/>
      </c>
      <c r="D7" s="22">
        <v>223000000000002</v>
      </c>
      <c r="E7" s="4" t="str">
        <f>IF(EXACT($D7, ""), "", VLOOKUP($D7, 'REF - ContactNumberType'!$B$4:$C$10, 2, FALSE))</f>
        <v>Mobile Phone</v>
      </c>
      <c r="F7" s="26" t="s">
        <v>867</v>
      </c>
      <c r="G7" s="9"/>
      <c r="H7" s="9" t="s">
        <v>628</v>
      </c>
      <c r="J7" s="33">
        <f t="shared" si="0"/>
        <v>286000000000004</v>
      </c>
      <c r="K7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'+62 896-8226-1128'::varchar, NULL::varchar, 'Bahyu Sanciko'::varchar, NULL::bigint);</v>
      </c>
    </row>
    <row r="8" spans="2:11" x14ac:dyDescent="0.2">
      <c r="B8" s="22"/>
      <c r="C8" s="4" t="str">
        <f>IF(EXACT($B8, ""), "", IF((($B8 - MOD($B8, 1000000000000))/1000000000000)=25, CONCATENATE("Person - ", VLOOKUP($B8, [1]DataLookUp!$B$4:$C$2000, 2, FALSE)), IF((($B8 - MOD($B8, 1000000000000))/1000000000000)=124, CONCATENATE("Institution - ", VLOOKUP($B8, '[2]DataLookUp - InstitutionBranch'!$B$4:$C$2000, 2, FALSE)), "")))</f>
        <v/>
      </c>
      <c r="D8" s="22">
        <v>223000000000002</v>
      </c>
      <c r="E8" s="4" t="str">
        <f>IF(EXACT($D8, ""), "", VLOOKUP($D8, 'REF - ContactNumberType'!$B$4:$C$10, 2, FALSE))</f>
        <v>Mobile Phone</v>
      </c>
      <c r="F8" s="26" t="s">
        <v>654</v>
      </c>
      <c r="G8" s="9"/>
      <c r="H8" s="9" t="s">
        <v>629</v>
      </c>
      <c r="J8" s="33">
        <f t="shared" si="1"/>
        <v>286000000000005</v>
      </c>
      <c r="K8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'+62 838-7009-0020'::varchar, NULL::varchar, 'Yusman W'::varchar, NULL::bigint);</v>
      </c>
    </row>
    <row r="9" spans="2:11" x14ac:dyDescent="0.2">
      <c r="B9" s="22">
        <v>25000000000047</v>
      </c>
      <c r="C9" s="4" t="str">
        <f>IF(EXACT($B9, ""), "", IF((($B9 - MOD($B9, 1000000000000))/1000000000000)=25, CONCATENATE("Person - ", VLOOKUP($B9, [1]DataLookUp!$B$4:$C$2000, 2, FALSE)), IF((($B9 - MOD($B9, 1000000000000))/1000000000000)=124, CONCATENATE("Institution - ", VLOOKUP($B9, '[2]DataLookUp - InstitutionBranch'!$B$4:$C$2000, 2, FALSE)), "")))</f>
        <v>Person - Ardi</v>
      </c>
      <c r="D9" s="22">
        <v>223000000000002</v>
      </c>
      <c r="E9" s="4" t="str">
        <f>IF(EXACT($D9, ""), "", VLOOKUP($D9, 'REF - ContactNumberType'!$B$4:$C$10, 2, FALSE))</f>
        <v>Mobile Phone</v>
      </c>
      <c r="F9" s="26" t="s">
        <v>868</v>
      </c>
      <c r="G9" s="9"/>
      <c r="H9" s="9" t="s">
        <v>46</v>
      </c>
      <c r="J9" s="33">
        <f t="shared" si="0"/>
        <v>286000000000006</v>
      </c>
      <c r="K9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'+62 812-9592-4499'::varchar, NULL::varchar, 'Ardi'::varchar, '25000000000047'::bigint);</v>
      </c>
    </row>
    <row r="10" spans="2:11" x14ac:dyDescent="0.2">
      <c r="B10" s="22">
        <v>25000000000141</v>
      </c>
      <c r="C10" s="4" t="str">
        <f>IF(EXACT($B10, ""), "", IF((($B10 - MOD($B10, 1000000000000))/1000000000000)=25, CONCATENATE("Person - ", VLOOKUP($B10, [1]DataLookUp!$B$4:$C$2000, 2, FALSE)), IF((($B10 - MOD($B10, 1000000000000))/1000000000000)=124, CONCATENATE("Institution - ", VLOOKUP($B10, '[2]DataLookUp - InstitutionBranch'!$B$4:$C$2000, 2, FALSE)), "")))</f>
        <v>Person - Erwin Firmansyah</v>
      </c>
      <c r="D10" s="22">
        <v>223000000000002</v>
      </c>
      <c r="E10" s="4" t="str">
        <f>IF(EXACT($D10, ""), "", VLOOKUP($D10, 'REF - ContactNumberType'!$B$4:$C$10, 2, FALSE))</f>
        <v>Mobile Phone</v>
      </c>
      <c r="F10" s="26" t="s">
        <v>655</v>
      </c>
      <c r="G10" s="9"/>
      <c r="H10" s="9" t="s">
        <v>140</v>
      </c>
      <c r="J10" s="33">
        <f t="shared" si="1"/>
        <v>286000000000007</v>
      </c>
      <c r="K10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'+62 857-2162-3338'::varchar, NULL::varchar, 'Erwin Firmansyah'::varchar, '25000000000141'::bigint);</v>
      </c>
    </row>
    <row r="11" spans="2:11" x14ac:dyDescent="0.2">
      <c r="B11" s="22">
        <v>25000000000328</v>
      </c>
      <c r="C11" s="4" t="str">
        <f>IF(EXACT($B11, ""), "", IF((($B11 - MOD($B11, 1000000000000))/1000000000000)=25, CONCATENATE("Person - ", VLOOKUP($B11, [1]DataLookUp!$B$4:$C$2000, 2, FALSE)), IF((($B11 - MOD($B11, 1000000000000))/1000000000000)=124, CONCATENATE("Institution - ", VLOOKUP($B11, '[2]DataLookUp - InstitutionBranch'!$B$4:$C$2000, 2, FALSE)), "")))</f>
        <v>Person - Paryanto</v>
      </c>
      <c r="D11" s="22">
        <v>223000000000002</v>
      </c>
      <c r="E11" s="4" t="str">
        <f>IF(EXACT($D11, ""), "", VLOOKUP($D11, 'REF - ContactNumberType'!$B$4:$C$10, 2, FALSE))</f>
        <v>Mobile Phone</v>
      </c>
      <c r="F11" s="26" t="s">
        <v>656</v>
      </c>
      <c r="G11" s="9"/>
      <c r="H11" s="9" t="s">
        <v>327</v>
      </c>
      <c r="J11" s="33">
        <f t="shared" si="0"/>
        <v>286000000000008</v>
      </c>
      <c r="K11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'+62 813-8428-4951'::varchar, NULL::varchar, 'Paryanto'::varchar, '25000000000328'::bigint);</v>
      </c>
    </row>
    <row r="12" spans="2:11" x14ac:dyDescent="0.2">
      <c r="B12" s="22"/>
      <c r="C12" s="4" t="str">
        <f>IF(EXACT($B12, ""), "", IF((($B12 - MOD($B12, 1000000000000))/1000000000000)=25, CONCATENATE("Person - ", VLOOKUP($B12, [1]DataLookUp!$B$4:$C$2000, 2, FALSE)), IF((($B12 - MOD($B12, 1000000000000))/1000000000000)=124, CONCATENATE("Institution - ", VLOOKUP($B12, '[2]DataLookUp - InstitutionBranch'!$B$4:$C$2000, 2, FALSE)), "")))</f>
        <v/>
      </c>
      <c r="D12" s="22">
        <v>223000000000002</v>
      </c>
      <c r="E12" s="4" t="str">
        <f>IF(EXACT($D12, ""), "", VLOOKUP($D12, 'REF - ContactNumberType'!$B$4:$C$10, 2, FALSE))</f>
        <v>Mobile Phone</v>
      </c>
      <c r="F12" s="26" t="s">
        <v>657</v>
      </c>
      <c r="G12" s="9"/>
      <c r="H12" s="9" t="s">
        <v>630</v>
      </c>
      <c r="J12" s="33">
        <f t="shared" si="1"/>
        <v>286000000000009</v>
      </c>
      <c r="K12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'+62 838-7375-2989'::varchar, NULL::varchar, 'Vidhy Putri Kartika'::varchar, NULL::bigint);</v>
      </c>
    </row>
    <row r="13" spans="2:11" x14ac:dyDescent="0.2">
      <c r="B13" s="22"/>
      <c r="C13" s="4" t="str">
        <f>IF(EXACT($B13, ""), "", IF((($B13 - MOD($B13, 1000000000000))/1000000000000)=25, CONCATENATE("Person - ", VLOOKUP($B13, [1]DataLookUp!$B$4:$C$2000, 2, FALSE)), IF((($B13 - MOD($B13, 1000000000000))/1000000000000)=124, CONCATENATE("Institution - ", VLOOKUP($B13, '[2]DataLookUp - InstitutionBranch'!$B$4:$C$2000, 2, FALSE)), "")))</f>
        <v/>
      </c>
      <c r="D13" s="22">
        <v>223000000000002</v>
      </c>
      <c r="E13" s="4" t="str">
        <f>IF(EXACT($D13, ""), "", VLOOKUP($D13, 'REF - ContactNumberType'!$B$4:$C$10, 2, FALSE))</f>
        <v>Mobile Phone</v>
      </c>
      <c r="F13" s="26" t="s">
        <v>658</v>
      </c>
      <c r="G13" s="9"/>
      <c r="H13" s="9" t="s">
        <v>631</v>
      </c>
      <c r="J13" s="33">
        <f t="shared" si="0"/>
        <v>286000000000010</v>
      </c>
      <c r="K13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'+62 822-6092-0555'::varchar, NULL::varchar, 'Rohendi'::varchar, NULL::bigint);</v>
      </c>
    </row>
    <row r="14" spans="2:11" x14ac:dyDescent="0.2">
      <c r="B14" s="22">
        <v>25000000000035</v>
      </c>
      <c r="C14" s="4" t="str">
        <f>IF(EXACT($B14, ""), "", IF((($B14 - MOD($B14, 1000000000000))/1000000000000)=25, CONCATENATE("Person - ", VLOOKUP($B14, [1]DataLookUp!$B$4:$C$2000, 2, FALSE)), IF((($B14 - MOD($B14, 1000000000000))/1000000000000)=124, CONCATENATE("Institution - ", VLOOKUP($B14, '[2]DataLookUp - InstitutionBranch'!$B$4:$C$2000, 2, FALSE)), "")))</f>
        <v>Person - Anggit Ismiyanto</v>
      </c>
      <c r="D14" s="22">
        <v>223000000000002</v>
      </c>
      <c r="E14" s="4" t="str">
        <f>IF(EXACT($D14, ""), "", VLOOKUP($D14, 'REF - ContactNumberType'!$B$4:$C$10, 2, FALSE))</f>
        <v>Mobile Phone</v>
      </c>
      <c r="F14" s="26" t="s">
        <v>659</v>
      </c>
      <c r="G14" s="9"/>
      <c r="H14" s="9" t="s">
        <v>34</v>
      </c>
      <c r="J14" s="33">
        <f t="shared" si="1"/>
        <v>286000000000011</v>
      </c>
      <c r="K14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'+62 822-5131-3575'::varchar, NULL::varchar, 'Anggit Ismiyanto'::varchar, '25000000000035'::bigint);</v>
      </c>
    </row>
    <row r="15" spans="2:11" x14ac:dyDescent="0.2">
      <c r="B15" s="22">
        <v>25000000000156</v>
      </c>
      <c r="C15" s="4" t="str">
        <f>IF(EXACT($B15, ""), "", IF((($B15 - MOD($B15, 1000000000000))/1000000000000)=25, CONCATENATE("Person - ", VLOOKUP($B15, [1]DataLookUp!$B$4:$C$2000, 2, FALSE)), IF((($B15 - MOD($B15, 1000000000000))/1000000000000)=124, CONCATENATE("Institution - ", VLOOKUP($B15, '[2]DataLookUp - InstitutionBranch'!$B$4:$C$2000, 2, FALSE)), "")))</f>
        <v>Person - Firman Akbar</v>
      </c>
      <c r="D15" s="22">
        <v>223000000000002</v>
      </c>
      <c r="E15" s="4" t="str">
        <f>IF(EXACT($D15, ""), "", VLOOKUP($D15, 'REF - ContactNumberType'!$B$4:$C$10, 2, FALSE))</f>
        <v>Mobile Phone</v>
      </c>
      <c r="F15" s="26" t="s">
        <v>660</v>
      </c>
      <c r="G15" s="9"/>
      <c r="H15" s="9" t="s">
        <v>155</v>
      </c>
      <c r="J15" s="33">
        <f t="shared" si="0"/>
        <v>286000000000012</v>
      </c>
      <c r="K15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'+62 812-4519-2298'::varchar, NULL::varchar, 'Firman Akbar'::varchar, '25000000000156'::bigint);</v>
      </c>
    </row>
    <row r="16" spans="2:11" x14ac:dyDescent="0.2">
      <c r="B16" s="22">
        <v>25000000000161</v>
      </c>
      <c r="C16" s="4" t="str">
        <f>IF(EXACT($B16, ""), "", IF((($B16 - MOD($B16, 1000000000000))/1000000000000)=25, CONCATENATE("Person - ", VLOOKUP($B16, [1]DataLookUp!$B$4:$C$2000, 2, FALSE)), IF((($B16 - MOD($B16, 1000000000000))/1000000000000)=124, CONCATENATE("Institution - ", VLOOKUP($B16, '[2]DataLookUp - InstitutionBranch'!$B$4:$C$2000, 2, FALSE)), "")))</f>
        <v>Person - Fuad Febrian</v>
      </c>
      <c r="D16" s="22">
        <v>223000000000002</v>
      </c>
      <c r="E16" s="4" t="str">
        <f>IF(EXACT($D16, ""), "", VLOOKUP($D16, 'REF - ContactNumberType'!$B$4:$C$10, 2, FALSE))</f>
        <v>Mobile Phone</v>
      </c>
      <c r="F16" s="26" t="s">
        <v>661</v>
      </c>
      <c r="G16" s="9"/>
      <c r="H16" s="9" t="s">
        <v>160</v>
      </c>
      <c r="J16" s="33">
        <f t="shared" si="1"/>
        <v>286000000000013</v>
      </c>
      <c r="K16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'+62 813-1422-8295'::varchar, NULL::varchar, 'Fuad Febrian'::varchar, '25000000000161'::bigint);</v>
      </c>
    </row>
    <row r="17" spans="2:11" x14ac:dyDescent="0.2">
      <c r="B17" s="22">
        <v>25000000000416</v>
      </c>
      <c r="C17" s="4" t="str">
        <f>IF(EXACT($B17, ""), "", IF((($B17 - MOD($B17, 1000000000000))/1000000000000)=25, CONCATENATE("Person - ", VLOOKUP($B17, [1]DataLookUp!$B$4:$C$2000, 2, FALSE)), IF((($B17 - MOD($B17, 1000000000000))/1000000000000)=124, CONCATENATE("Institution - ", VLOOKUP($B17, '[2]DataLookUp - InstitutionBranch'!$B$4:$C$2000, 2, FALSE)), "")))</f>
        <v>Person - Sulih</v>
      </c>
      <c r="D17" s="22">
        <v>223000000000002</v>
      </c>
      <c r="E17" s="4" t="str">
        <f>IF(EXACT($D17, ""), "", VLOOKUP($D17, 'REF - ContactNumberType'!$B$4:$C$10, 2, FALSE))</f>
        <v>Mobile Phone</v>
      </c>
      <c r="F17" s="26" t="s">
        <v>662</v>
      </c>
      <c r="G17" s="9"/>
      <c r="H17" s="9" t="s">
        <v>415</v>
      </c>
      <c r="J17" s="33">
        <f t="shared" si="0"/>
        <v>286000000000014</v>
      </c>
      <c r="K17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'+62 857-2881-8103'::varchar, NULL::varchar, 'Sulih'::varchar, '25000000000416'::bigint);</v>
      </c>
    </row>
    <row r="18" spans="2:11" x14ac:dyDescent="0.2">
      <c r="B18" s="22">
        <v>25000000000192</v>
      </c>
      <c r="C18" s="4" t="str">
        <f>IF(EXACT($B18, ""), "", IF((($B18 - MOD($B18, 1000000000000))/1000000000000)=25, CONCATENATE("Person - ", VLOOKUP($B18, [1]DataLookUp!$B$4:$C$2000, 2, FALSE)), IF((($B18 - MOD($B18, 1000000000000))/1000000000000)=124, CONCATENATE("Institution - ", VLOOKUP($B18, '[2]DataLookUp - InstitutionBranch'!$B$4:$C$2000, 2, FALSE)), "")))</f>
        <v>Person - Heru Sugiri</v>
      </c>
      <c r="D18" s="22">
        <v>223000000000002</v>
      </c>
      <c r="E18" s="4" t="str">
        <f>IF(EXACT($D18, ""), "", VLOOKUP($D18, 'REF - ContactNumberType'!$B$4:$C$10, 2, FALSE))</f>
        <v>Mobile Phone</v>
      </c>
      <c r="F18" s="26" t="s">
        <v>663</v>
      </c>
      <c r="G18" s="9"/>
      <c r="H18" s="9" t="s">
        <v>191</v>
      </c>
      <c r="J18" s="33">
        <f t="shared" si="1"/>
        <v>286000000000015</v>
      </c>
      <c r="K18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'+62 812-2491-0322'::varchar, NULL::varchar, 'Heru Sugiri'::varchar, '25000000000192'::bigint);</v>
      </c>
    </row>
    <row r="19" spans="2:11" x14ac:dyDescent="0.2">
      <c r="B19" s="22">
        <v>25000000000361</v>
      </c>
      <c r="C19" s="4" t="str">
        <f>IF(EXACT($B19, ""), "", IF((($B19 - MOD($B19, 1000000000000))/1000000000000)=25, CONCATENATE("Person - ", VLOOKUP($B19, [1]DataLookUp!$B$4:$C$2000, 2, FALSE)), IF((($B19 - MOD($B19, 1000000000000))/1000000000000)=124, CONCATENATE("Institution - ", VLOOKUP($B19, '[2]DataLookUp - InstitutionBranch'!$B$4:$C$2000, 2, FALSE)), "")))</f>
        <v>Person - Rinaldi Asrin</v>
      </c>
      <c r="D19" s="22">
        <v>223000000000002</v>
      </c>
      <c r="E19" s="4" t="str">
        <f>IF(EXACT($D19, ""), "", VLOOKUP($D19, 'REF - ContactNumberType'!$B$4:$C$10, 2, FALSE))</f>
        <v>Mobile Phone</v>
      </c>
      <c r="F19" s="26" t="s">
        <v>664</v>
      </c>
      <c r="G19" s="9"/>
      <c r="H19" s="9" t="s">
        <v>360</v>
      </c>
      <c r="J19" s="33">
        <f t="shared" si="0"/>
        <v>286000000000016</v>
      </c>
      <c r="K19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'+62 818-0691-9844'::varchar, NULL::varchar, 'Rinaldi Asrin'::varchar, '25000000000361'::bigint);</v>
      </c>
    </row>
    <row r="20" spans="2:11" x14ac:dyDescent="0.2">
      <c r="B20" s="22">
        <v>25000000000337</v>
      </c>
      <c r="C20" s="4" t="str">
        <f>IF(EXACT($B20, ""), "", IF((($B20 - MOD($B20, 1000000000000))/1000000000000)=25, CONCATENATE("Person - ", VLOOKUP($B20, [1]DataLookUp!$B$4:$C$2000, 2, FALSE)), IF((($B20 - MOD($B20, 1000000000000))/1000000000000)=124, CONCATENATE("Institution - ", VLOOKUP($B20, '[2]DataLookUp - InstitutionBranch'!$B$4:$C$2000, 2, FALSE)), "")))</f>
        <v>Person - Rafi Firman Saputra</v>
      </c>
      <c r="D20" s="22">
        <v>223000000000002</v>
      </c>
      <c r="E20" s="4" t="str">
        <f>IF(EXACT($D20, ""), "", VLOOKUP($D20, 'REF - ContactNumberType'!$B$4:$C$10, 2, FALSE))</f>
        <v>Mobile Phone</v>
      </c>
      <c r="F20" s="26" t="s">
        <v>665</v>
      </c>
      <c r="G20" s="9"/>
      <c r="H20" s="9" t="s">
        <v>336</v>
      </c>
      <c r="J20" s="33">
        <f t="shared" si="1"/>
        <v>286000000000017</v>
      </c>
      <c r="K20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'+62 857-6021-1355'::varchar, NULL::varchar, 'Rafi Firman Saputra'::varchar, '25000000000337'::bigint);</v>
      </c>
    </row>
    <row r="21" spans="2:11" x14ac:dyDescent="0.2">
      <c r="B21" s="22">
        <v>25000000000333</v>
      </c>
      <c r="C21" s="4" t="str">
        <f>IF(EXACT($B21, ""), "", IF((($B21 - MOD($B21, 1000000000000))/1000000000000)=25, CONCATENATE("Person - ", VLOOKUP($B21, [1]DataLookUp!$B$4:$C$2000, 2, FALSE)), IF((($B21 - MOD($B21, 1000000000000))/1000000000000)=124, CONCATENATE("Institution - ", VLOOKUP($B21, '[2]DataLookUp - InstitutionBranch'!$B$4:$C$2000, 2, FALSE)), "")))</f>
        <v>Person - Putra Perdana Tirtomoyo</v>
      </c>
      <c r="D21" s="22">
        <v>223000000000002</v>
      </c>
      <c r="E21" s="4" t="str">
        <f>IF(EXACT($D21, ""), "", VLOOKUP($D21, 'REF - ContactNumberType'!$B$4:$C$10, 2, FALSE))</f>
        <v>Mobile Phone</v>
      </c>
      <c r="F21" s="26" t="s">
        <v>666</v>
      </c>
      <c r="G21" s="9"/>
      <c r="H21" s="9" t="s">
        <v>332</v>
      </c>
      <c r="J21" s="33">
        <f t="shared" si="0"/>
        <v>286000000000018</v>
      </c>
      <c r="K21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'+62 812-8884-4266'::varchar, NULL::varchar, 'Putra Perdana Tirtomoyo'::varchar, '25000000000333'::bigint);</v>
      </c>
    </row>
    <row r="22" spans="2:11" x14ac:dyDescent="0.2">
      <c r="B22" s="22">
        <v>25000000000365</v>
      </c>
      <c r="C22" s="4" t="str">
        <f>IF(EXACT($B22, ""), "", IF((($B22 - MOD($B22, 1000000000000))/1000000000000)=25, CONCATENATE("Person - ", VLOOKUP($B22, [1]DataLookUp!$B$4:$C$2000, 2, FALSE)), IF((($B22 - MOD($B22, 1000000000000))/1000000000000)=124, CONCATENATE("Institution - ", VLOOKUP($B22, '[2]DataLookUp - InstitutionBranch'!$B$4:$C$2000, 2, FALSE)), "")))</f>
        <v>Person - Rizak Tri Septian</v>
      </c>
      <c r="D22" s="22">
        <v>223000000000002</v>
      </c>
      <c r="E22" s="4" t="str">
        <f>IF(EXACT($D22, ""), "", VLOOKUP($D22, 'REF - ContactNumberType'!$B$4:$C$10, 2, FALSE))</f>
        <v>Mobile Phone</v>
      </c>
      <c r="F22" s="26" t="s">
        <v>667</v>
      </c>
      <c r="G22" s="9"/>
      <c r="H22" s="9" t="s">
        <v>364</v>
      </c>
      <c r="J22" s="33">
        <f t="shared" si="1"/>
        <v>286000000000019</v>
      </c>
      <c r="K22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'+62 856-7124-030'::varchar, NULL::varchar, 'Rizak Tri Septian'::varchar, '25000000000365'::bigint);</v>
      </c>
    </row>
    <row r="23" spans="2:11" x14ac:dyDescent="0.2">
      <c r="B23" s="22">
        <v>25000000000500</v>
      </c>
      <c r="C23" s="4" t="str">
        <f>IF(EXACT($B23, ""), "", IF((($B23 - MOD($B23, 1000000000000))/1000000000000)=25, CONCATENATE("Person - ", VLOOKUP($B23, [1]DataLookUp!$B$4:$C$2000, 2, FALSE)), IF((($B23 - MOD($B23, 1000000000000))/1000000000000)=124, CONCATENATE("Institution - ", VLOOKUP($B23, '[2]DataLookUp - InstitutionBranch'!$B$4:$C$2000, 2, FALSE)), "")))</f>
        <v>Person - Zam Roji</v>
      </c>
      <c r="D23" s="22">
        <v>223000000000002</v>
      </c>
      <c r="E23" s="4" t="str">
        <f>IF(EXACT($D23, ""), "", VLOOKUP($D23, 'REF - ContactNumberType'!$B$4:$C$10, 2, FALSE))</f>
        <v>Mobile Phone</v>
      </c>
      <c r="F23" s="26" t="s">
        <v>668</v>
      </c>
      <c r="G23" s="9"/>
      <c r="H23" s="9" t="s">
        <v>499</v>
      </c>
      <c r="J23" s="33">
        <f t="shared" si="0"/>
        <v>286000000000020</v>
      </c>
      <c r="K23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'+62 821-1395-1375'::varchar, NULL::varchar, 'Zam Roji'::varchar, '25000000000500'::bigint);</v>
      </c>
    </row>
    <row r="24" spans="2:11" x14ac:dyDescent="0.2">
      <c r="B24" s="22">
        <v>25000000000348</v>
      </c>
      <c r="C24" s="4" t="str">
        <f>IF(EXACT($B24, ""), "", IF((($B24 - MOD($B24, 1000000000000))/1000000000000)=25, CONCATENATE("Person - ", VLOOKUP($B24, [1]DataLookUp!$B$4:$C$2000, 2, FALSE)), IF((($B24 - MOD($B24, 1000000000000))/1000000000000)=124, CONCATENATE("Institution - ", VLOOKUP($B24, '[2]DataLookUp - InstitutionBranch'!$B$4:$C$2000, 2, FALSE)), "")))</f>
        <v>Person - Rendy Prananta Purba</v>
      </c>
      <c r="D24" s="22">
        <v>223000000000002</v>
      </c>
      <c r="E24" s="4" t="str">
        <f>IF(EXACT($D24, ""), "", VLOOKUP($D24, 'REF - ContactNumberType'!$B$4:$C$10, 2, FALSE))</f>
        <v>Mobile Phone</v>
      </c>
      <c r="F24" s="26" t="s">
        <v>669</v>
      </c>
      <c r="G24" s="9"/>
      <c r="H24" s="9" t="s">
        <v>347</v>
      </c>
      <c r="J24" s="33">
        <f t="shared" si="1"/>
        <v>286000000000021</v>
      </c>
      <c r="K24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'+62 852-9500-0042'::varchar, NULL::varchar, 'Rendy Prananta Purba'::varchar, '25000000000348'::bigint);</v>
      </c>
    </row>
    <row r="25" spans="2:11" x14ac:dyDescent="0.2">
      <c r="B25" s="22">
        <v>25000000000323</v>
      </c>
      <c r="C25" s="4" t="str">
        <f>IF(EXACT($B25, ""), "", IF((($B25 - MOD($B25, 1000000000000))/1000000000000)=25, CONCATENATE("Person - ", VLOOKUP($B25, [1]DataLookUp!$B$4:$C$2000, 2, FALSE)), IF((($B25 - MOD($B25, 1000000000000))/1000000000000)=124, CONCATENATE("Institution - ", VLOOKUP($B25, '[2]DataLookUp - InstitutionBranch'!$B$4:$C$2000, 2, FALSE)), "")))</f>
        <v>Person - Otong Bustori</v>
      </c>
      <c r="D25" s="22">
        <v>223000000000002</v>
      </c>
      <c r="E25" s="4" t="str">
        <f>IF(EXACT($D25, ""), "", VLOOKUP($D25, 'REF - ContactNumberType'!$B$4:$C$10, 2, FALSE))</f>
        <v>Mobile Phone</v>
      </c>
      <c r="F25" s="26" t="s">
        <v>670</v>
      </c>
      <c r="G25" s="9"/>
      <c r="H25" s="9" t="s">
        <v>322</v>
      </c>
      <c r="J25" s="33">
        <f t="shared" si="0"/>
        <v>286000000000022</v>
      </c>
      <c r="K25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'+62 812-1021-3789'::varchar, NULL::varchar, 'Otong Bustori'::varchar, '25000000000323'::bigint);</v>
      </c>
    </row>
    <row r="26" spans="2:11" x14ac:dyDescent="0.2">
      <c r="B26" s="22">
        <v>25000000000299</v>
      </c>
      <c r="C26" s="4" t="str">
        <f>IF(EXACT($B26, ""), "", IF((($B26 - MOD($B26, 1000000000000))/1000000000000)=25, CONCATENATE("Person - ", VLOOKUP($B26, [1]DataLookUp!$B$4:$C$2000, 2, FALSE)), IF((($B26 - MOD($B26, 1000000000000))/1000000000000)=124, CONCATENATE("Institution - ", VLOOKUP($B26, '[2]DataLookUp - InstitutionBranch'!$B$4:$C$2000, 2, FALSE)), "")))</f>
        <v>Person - Muklis</v>
      </c>
      <c r="D26" s="22">
        <v>223000000000002</v>
      </c>
      <c r="E26" s="4" t="str">
        <f>IF(EXACT($D26, ""), "", VLOOKUP($D26, 'REF - ContactNumberType'!$B$4:$C$10, 2, FALSE))</f>
        <v>Mobile Phone</v>
      </c>
      <c r="F26" s="26" t="s">
        <v>671</v>
      </c>
      <c r="G26" s="9"/>
      <c r="H26" s="9" t="s">
        <v>298</v>
      </c>
      <c r="J26" s="33">
        <f t="shared" si="1"/>
        <v>286000000000023</v>
      </c>
      <c r="K26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'+62 813-7695-3133'::varchar, NULL::varchar, 'Muklis'::varchar, '25000000000299'::bigint);</v>
      </c>
    </row>
    <row r="27" spans="2:11" x14ac:dyDescent="0.2">
      <c r="B27" s="22">
        <v>25000000000425</v>
      </c>
      <c r="C27" s="4" t="str">
        <f>IF(EXACT($B27, ""), "", IF((($B27 - MOD($B27, 1000000000000))/1000000000000)=25, CONCATENATE("Person - ", VLOOKUP($B27, [1]DataLookUp!$B$4:$C$2000, 2, FALSE)), IF((($B27 - MOD($B27, 1000000000000))/1000000000000)=124, CONCATENATE("Institution - ", VLOOKUP($B27, '[2]DataLookUp - InstitutionBranch'!$B$4:$C$2000, 2, FALSE)), "")))</f>
        <v>Person - Susilawati</v>
      </c>
      <c r="D27" s="22">
        <v>223000000000002</v>
      </c>
      <c r="E27" s="4" t="str">
        <f>IF(EXACT($D27, ""), "", VLOOKUP($D27, 'REF - ContactNumberType'!$B$4:$C$10, 2, FALSE))</f>
        <v>Mobile Phone</v>
      </c>
      <c r="F27" s="26" t="s">
        <v>672</v>
      </c>
      <c r="G27" s="9"/>
      <c r="H27" s="9" t="s">
        <v>424</v>
      </c>
      <c r="J27" s="33">
        <f t="shared" si="0"/>
        <v>286000000000024</v>
      </c>
      <c r="K27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'+62 811-644-913'::varchar, NULL::varchar, 'Susilawati'::varchar, '25000000000425'::bigint);</v>
      </c>
    </row>
    <row r="28" spans="2:11" x14ac:dyDescent="0.2">
      <c r="B28" s="22">
        <v>25000000000187</v>
      </c>
      <c r="C28" s="4" t="str">
        <f>IF(EXACT($B28, ""), "", IF((($B28 - MOD($B28, 1000000000000))/1000000000000)=25, CONCATENATE("Person - ", VLOOKUP($B28, [1]DataLookUp!$B$4:$C$2000, 2, FALSE)), IF((($B28 - MOD($B28, 1000000000000))/1000000000000)=124, CONCATENATE("Institution - ", VLOOKUP($B28, '[2]DataLookUp - InstitutionBranch'!$B$4:$C$2000, 2, FALSE)), "")))</f>
        <v>Person - Herlin Juli Asri</v>
      </c>
      <c r="D28" s="22">
        <v>223000000000002</v>
      </c>
      <c r="E28" s="4" t="str">
        <f>IF(EXACT($D28, ""), "", VLOOKUP($D28, 'REF - ContactNumberType'!$B$4:$C$10, 2, FALSE))</f>
        <v>Mobile Phone</v>
      </c>
      <c r="F28" s="26" t="s">
        <v>673</v>
      </c>
      <c r="G28" s="9"/>
      <c r="H28" s="9" t="s">
        <v>186</v>
      </c>
      <c r="J28" s="33">
        <f t="shared" si="1"/>
        <v>286000000000025</v>
      </c>
      <c r="K28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'+62 813-1920-7116'::varchar, NULL::varchar, 'Herlin Juli Asri'::varchar, '25000000000187'::bigint);</v>
      </c>
    </row>
    <row r="29" spans="2:11" x14ac:dyDescent="0.2">
      <c r="B29" s="22"/>
      <c r="C29" s="4" t="str">
        <f>IF(EXACT($B29, ""), "", IF((($B29 - MOD($B29, 1000000000000))/1000000000000)=25, CONCATENATE("Person - ", VLOOKUP($B29, [1]DataLookUp!$B$4:$C$2000, 2, FALSE)), IF((($B29 - MOD($B29, 1000000000000))/1000000000000)=124, CONCATENATE("Institution - ", VLOOKUP($B29, '[2]DataLookUp - InstitutionBranch'!$B$4:$C$2000, 2, FALSE)), "")))</f>
        <v/>
      </c>
      <c r="D29" s="22">
        <v>223000000000002</v>
      </c>
      <c r="E29" s="4" t="str">
        <f>IF(EXACT($D29, ""), "", VLOOKUP($D29, 'REF - ContactNumberType'!$B$4:$C$10, 2, FALSE))</f>
        <v>Mobile Phone</v>
      </c>
      <c r="F29" s="26" t="s">
        <v>674</v>
      </c>
      <c r="G29" s="9"/>
      <c r="H29" s="9" t="s">
        <v>632</v>
      </c>
      <c r="J29" s="33">
        <f t="shared" si="0"/>
        <v>286000000000026</v>
      </c>
      <c r="K29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'+62 811-9568-886'::varchar, NULL::varchar, 'Sherly Tamira Happy'::varchar, NULL::bigint);</v>
      </c>
    </row>
    <row r="30" spans="2:11" x14ac:dyDescent="0.2">
      <c r="B30" s="22"/>
      <c r="C30" s="4" t="str">
        <f>IF(EXACT($B30, ""), "", IF((($B30 - MOD($B30, 1000000000000))/1000000000000)=25, CONCATENATE("Person - ", VLOOKUP($B30, [1]DataLookUp!$B$4:$C$2000, 2, FALSE)), IF((($B30 - MOD($B30, 1000000000000))/1000000000000)=124, CONCATENATE("Institution - ", VLOOKUP($B30, '[2]DataLookUp - InstitutionBranch'!$B$4:$C$2000, 2, FALSE)), "")))</f>
        <v/>
      </c>
      <c r="D30" s="22">
        <v>223000000000002</v>
      </c>
      <c r="E30" s="4" t="str">
        <f>IF(EXACT($D30, ""), "", VLOOKUP($D30, 'REF - ContactNumberType'!$B$4:$C$10, 2, FALSE))</f>
        <v>Mobile Phone</v>
      </c>
      <c r="F30" s="26" t="s">
        <v>886</v>
      </c>
      <c r="G30" s="9"/>
      <c r="H30" s="9" t="s">
        <v>632</v>
      </c>
      <c r="J30" s="33">
        <f t="shared" si="1"/>
        <v>286000000000027</v>
      </c>
      <c r="K30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'+62 812-8223-0665'::varchar, NULL::varchar, 'Sherly Tamira Happy'::varchar, NULL::bigint);</v>
      </c>
    </row>
    <row r="31" spans="2:11" x14ac:dyDescent="0.2">
      <c r="B31" s="22">
        <v>25000000000297</v>
      </c>
      <c r="C31" s="4" t="str">
        <f>IF(EXACT($B31, ""), "", IF((($B31 - MOD($B31, 1000000000000))/1000000000000)=25, CONCATENATE("Person - ", VLOOKUP($B31, [1]DataLookUp!$B$4:$C$2000, 2, FALSE)), IF((($B31 - MOD($B31, 1000000000000))/1000000000000)=124, CONCATENATE("Institution - ", VLOOKUP($B31, '[2]DataLookUp - InstitutionBranch'!$B$4:$C$2000, 2, FALSE)), "")))</f>
        <v>Person - Muhammad Khadafy</v>
      </c>
      <c r="D31" s="22">
        <v>223000000000002</v>
      </c>
      <c r="E31" s="4" t="str">
        <f>IF(EXACT($D31, ""), "", VLOOKUP($D31, 'REF - ContactNumberType'!$B$4:$C$10, 2, FALSE))</f>
        <v>Mobile Phone</v>
      </c>
      <c r="F31" s="26" t="s">
        <v>676</v>
      </c>
      <c r="G31" s="9"/>
      <c r="H31" s="9" t="s">
        <v>296</v>
      </c>
      <c r="J31" s="33">
        <f t="shared" si="0"/>
        <v>286000000000028</v>
      </c>
      <c r="K31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'+62 812-8744-1774'::varchar, NULL::varchar, 'Muhammad Khadafy'::varchar, '25000000000297'::bigint);</v>
      </c>
    </row>
    <row r="32" spans="2:11" x14ac:dyDescent="0.2">
      <c r="B32" s="22"/>
      <c r="C32" s="4" t="str">
        <f>IF(EXACT($B32, ""), "", IF((($B32 - MOD($B32, 1000000000000))/1000000000000)=25, CONCATENATE("Person - ", VLOOKUP($B32, [1]DataLookUp!$B$4:$C$2000, 2, FALSE)), IF((($B32 - MOD($B32, 1000000000000))/1000000000000)=124, CONCATENATE("Institution - ", VLOOKUP($B32, '[2]DataLookUp - InstitutionBranch'!$B$4:$C$2000, 2, FALSE)), "")))</f>
        <v/>
      </c>
      <c r="D32" s="22">
        <v>223000000000002</v>
      </c>
      <c r="E32" s="4" t="str">
        <f>IF(EXACT($D32, ""), "", VLOOKUP($D32, 'REF - ContactNumberType'!$B$4:$C$10, 2, FALSE))</f>
        <v>Mobile Phone</v>
      </c>
      <c r="F32" s="26" t="s">
        <v>677</v>
      </c>
      <c r="G32" s="9"/>
      <c r="H32" s="9" t="s">
        <v>633</v>
      </c>
      <c r="J32" s="33">
        <f t="shared" si="1"/>
        <v>286000000000029</v>
      </c>
      <c r="K32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'+62 857-7048-1711'::varchar, NULL::varchar, 'Hernita Dwi Cahyani Putri'::varchar, NULL::bigint);</v>
      </c>
    </row>
    <row r="33" spans="2:11" x14ac:dyDescent="0.2">
      <c r="B33" s="22">
        <v>25000000000029</v>
      </c>
      <c r="C33" s="4" t="str">
        <f>IF(EXACT($B33, ""), "", IF((($B33 - MOD($B33, 1000000000000))/1000000000000)=25, CONCATENATE("Person - ", VLOOKUP($B33, [1]DataLookUp!$B$4:$C$2000, 2, FALSE)), IF((($B33 - MOD($B33, 1000000000000))/1000000000000)=124, CONCATENATE("Institution - ", VLOOKUP($B33, '[2]DataLookUp - InstitutionBranch'!$B$4:$C$2000, 2, FALSE)), "")))</f>
        <v>Person - Amir Sofyan Hadi</v>
      </c>
      <c r="D33" s="22">
        <v>223000000000002</v>
      </c>
      <c r="E33" s="4" t="str">
        <f>IF(EXACT($D33, ""), "", VLOOKUP($D33, 'REF - ContactNumberType'!$B$4:$C$10, 2, FALSE))</f>
        <v>Mobile Phone</v>
      </c>
      <c r="F33" s="26" t="s">
        <v>678</v>
      </c>
      <c r="G33" s="9"/>
      <c r="H33" s="9" t="s">
        <v>28</v>
      </c>
      <c r="J33" s="33">
        <f t="shared" si="0"/>
        <v>286000000000030</v>
      </c>
      <c r="K33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'+62 813-1690-6639'::varchar, NULL::varchar, 'Amir Sofyan Hadi'::varchar, '25000000000029'::bigint);</v>
      </c>
    </row>
    <row r="34" spans="2:11" x14ac:dyDescent="0.2">
      <c r="B34" s="22">
        <v>25000000000071</v>
      </c>
      <c r="C34" s="4" t="str">
        <f>IF(EXACT($B34, ""), "", IF((($B34 - MOD($B34, 1000000000000))/1000000000000)=25, CONCATENATE("Person - ", VLOOKUP($B34, [1]DataLookUp!$B$4:$C$2000, 2, FALSE)), IF((($B34 - MOD($B34, 1000000000000))/1000000000000)=124, CONCATENATE("Institution - ", VLOOKUP($B34, '[2]DataLookUp - InstitutionBranch'!$B$4:$C$2000, 2, FALSE)), "")))</f>
        <v>Person - Bani Mustazeni</v>
      </c>
      <c r="D34" s="22">
        <v>223000000000002</v>
      </c>
      <c r="E34" s="4" t="str">
        <f>IF(EXACT($D34, ""), "", VLOOKUP($D34, 'REF - ContactNumberType'!$B$4:$C$10, 2, FALSE))</f>
        <v>Mobile Phone</v>
      </c>
      <c r="F34" s="26" t="s">
        <v>679</v>
      </c>
      <c r="G34" s="9"/>
      <c r="H34" s="9" t="s">
        <v>70</v>
      </c>
      <c r="J34" s="33">
        <f t="shared" si="1"/>
        <v>286000000000031</v>
      </c>
      <c r="K34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'+62 857-1519-9050'::varchar, NULL::varchar, 'Bani Mustazeni'::varchar, '25000000000071'::bigint);</v>
      </c>
    </row>
    <row r="35" spans="2:11" x14ac:dyDescent="0.2">
      <c r="B35" s="22"/>
      <c r="C35" s="4" t="str">
        <f>IF(EXACT($B35, ""), "", IF((($B35 - MOD($B35, 1000000000000))/1000000000000)=25, CONCATENATE("Person - ", VLOOKUP($B35, [1]DataLookUp!$B$4:$C$2000, 2, FALSE)), IF((($B35 - MOD($B35, 1000000000000))/1000000000000)=124, CONCATENATE("Institution - ", VLOOKUP($B35, '[2]DataLookUp - InstitutionBranch'!$B$4:$C$2000, 2, FALSE)), "")))</f>
        <v/>
      </c>
      <c r="D35" s="22">
        <v>223000000000002</v>
      </c>
      <c r="E35" s="4" t="str">
        <f>IF(EXACT($D35, ""), "", VLOOKUP($D35, 'REF - ContactNumberType'!$B$4:$C$10, 2, FALSE))</f>
        <v>Mobile Phone</v>
      </c>
      <c r="F35" s="26" t="s">
        <v>680</v>
      </c>
      <c r="G35" s="9"/>
      <c r="H35" s="9" t="s">
        <v>634</v>
      </c>
      <c r="J35" s="33">
        <f t="shared" si="0"/>
        <v>286000000000032</v>
      </c>
      <c r="K35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'+62 859-4561-9900'::varchar, NULL::varchar, 'Eko Kurniawan'::varchar, NULL::bigint);</v>
      </c>
    </row>
    <row r="36" spans="2:11" x14ac:dyDescent="0.2">
      <c r="B36" s="22">
        <v>25000000000145</v>
      </c>
      <c r="C36" s="4" t="str">
        <f>IF(EXACT($B36, ""), "", IF((($B36 - MOD($B36, 1000000000000))/1000000000000)=25, CONCATENATE("Person - ", VLOOKUP($B36, [1]DataLookUp!$B$4:$C$2000, 2, FALSE)), IF((($B36 - MOD($B36, 1000000000000))/1000000000000)=124, CONCATENATE("Institution - ", VLOOKUP($B36, '[2]DataLookUp - InstitutionBranch'!$B$4:$C$2000, 2, FALSE)), "")))</f>
        <v>Person - Fani Dwi Astutik</v>
      </c>
      <c r="D36" s="22">
        <v>223000000000002</v>
      </c>
      <c r="E36" s="4" t="str">
        <f>IF(EXACT($D36, ""), "", VLOOKUP($D36, 'REF - ContactNumberType'!$B$4:$C$10, 2, FALSE))</f>
        <v>Mobile Phone</v>
      </c>
      <c r="F36" s="26" t="s">
        <v>681</v>
      </c>
      <c r="G36" s="9"/>
      <c r="H36" s="9" t="s">
        <v>144</v>
      </c>
      <c r="J36" s="33">
        <f t="shared" si="1"/>
        <v>286000000000033</v>
      </c>
      <c r="K36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'+62 812-9902-0267'::varchar, NULL::varchar, 'Fani Dwi Astutik'::varchar, '25000000000145'::bigint);</v>
      </c>
    </row>
    <row r="37" spans="2:11" x14ac:dyDescent="0.2">
      <c r="B37" s="22"/>
      <c r="C37" s="4" t="str">
        <f>IF(EXACT($B37, ""), "", IF((($B37 - MOD($B37, 1000000000000))/1000000000000)=25, CONCATENATE("Person - ", VLOOKUP($B37, [1]DataLookUp!$B$4:$C$2000, 2, FALSE)), IF((($B37 - MOD($B37, 1000000000000))/1000000000000)=124, CONCATENATE("Institution - ", VLOOKUP($B37, '[2]DataLookUp - InstitutionBranch'!$B$4:$C$2000, 2, FALSE)), "")))</f>
        <v/>
      </c>
      <c r="D37" s="22">
        <v>223000000000002</v>
      </c>
      <c r="E37" s="4" t="str">
        <f>IF(EXACT($D37, ""), "", VLOOKUP($D37, 'REF - ContactNumberType'!$B$4:$C$10, 2, FALSE))</f>
        <v>Mobile Phone</v>
      </c>
      <c r="F37" s="26" t="s">
        <v>682</v>
      </c>
      <c r="G37" s="9"/>
      <c r="H37" s="9" t="s">
        <v>635</v>
      </c>
      <c r="J37" s="33">
        <f t="shared" si="0"/>
        <v>286000000000034</v>
      </c>
      <c r="K37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'+62 856-4156-8410'::varchar, NULL::varchar, 'Dony Setiyawan'::varchar, NULL::bigint);</v>
      </c>
    </row>
    <row r="38" spans="2:11" x14ac:dyDescent="0.2">
      <c r="B38" s="22"/>
      <c r="C38" s="4" t="str">
        <f>IF(EXACT($B38, ""), "", IF((($B38 - MOD($B38, 1000000000000))/1000000000000)=25, CONCATENATE("Person - ", VLOOKUP($B38, [1]DataLookUp!$B$4:$C$2000, 2, FALSE)), IF((($B38 - MOD($B38, 1000000000000))/1000000000000)=124, CONCATENATE("Institution - ", VLOOKUP($B38, '[2]DataLookUp - InstitutionBranch'!$B$4:$C$2000, 2, FALSE)), "")))</f>
        <v/>
      </c>
      <c r="D38" s="22">
        <v>223000000000002</v>
      </c>
      <c r="E38" s="4" t="str">
        <f>IF(EXACT($D38, ""), "", VLOOKUP($D38, 'REF - ContactNumberType'!$B$4:$C$10, 2, FALSE))</f>
        <v>Mobile Phone</v>
      </c>
      <c r="F38" s="26" t="s">
        <v>683</v>
      </c>
      <c r="G38" s="9"/>
      <c r="H38" s="9" t="s">
        <v>636</v>
      </c>
      <c r="J38" s="33">
        <f t="shared" si="1"/>
        <v>286000000000035</v>
      </c>
      <c r="K38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'+62 813-6291-9395'::varchar, NULL::varchar, 'M Ari Ardizah Nasution'::varchar, NULL::bigint);</v>
      </c>
    </row>
    <row r="39" spans="2:11" x14ac:dyDescent="0.2">
      <c r="B39" s="22">
        <v>25000000000277</v>
      </c>
      <c r="C39" s="4" t="str">
        <f>IF(EXACT($B39, ""), "", IF((($B39 - MOD($B39, 1000000000000))/1000000000000)=25, CONCATENATE("Person - ", VLOOKUP($B39, [1]DataLookUp!$B$4:$C$2000, 2, FALSE)), IF((($B39 - MOD($B39, 1000000000000))/1000000000000)=124, CONCATENATE("Institution - ", VLOOKUP($B39, '[2]DataLookUp - InstitutionBranch'!$B$4:$C$2000, 2, FALSE)), "")))</f>
        <v>Person - Martimbul Rahman</v>
      </c>
      <c r="D39" s="22">
        <v>223000000000002</v>
      </c>
      <c r="E39" s="4" t="str">
        <f>IF(EXACT($D39, ""), "", VLOOKUP($D39, 'REF - ContactNumberType'!$B$4:$C$10, 2, FALSE))</f>
        <v>Mobile Phone</v>
      </c>
      <c r="F39" s="26" t="s">
        <v>684</v>
      </c>
      <c r="G39" s="9"/>
      <c r="H39" s="9" t="s">
        <v>276</v>
      </c>
      <c r="J39" s="33">
        <f t="shared" si="0"/>
        <v>286000000000036</v>
      </c>
      <c r="K39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'+62 813-6193-0878'::varchar, NULL::varchar, 'Martimbul Rahman'::varchar, '25000000000277'::bigint);</v>
      </c>
    </row>
    <row r="40" spans="2:11" x14ac:dyDescent="0.2">
      <c r="B40" s="22">
        <v>25000000000498</v>
      </c>
      <c r="C40" s="4" t="str">
        <f>IF(EXACT($B40, ""), "", IF((($B40 - MOD($B40, 1000000000000))/1000000000000)=25, CONCATENATE("Person - ", VLOOKUP($B40, [1]DataLookUp!$B$4:$C$2000, 2, FALSE)), IF((($B40 - MOD($B40, 1000000000000))/1000000000000)=124, CONCATENATE("Institution - ", VLOOKUP($B40, '[2]DataLookUp - InstitutionBranch'!$B$4:$C$2000, 2, FALSE)), "")))</f>
        <v>Person - Zaire Dite Biscaya</v>
      </c>
      <c r="D40" s="22">
        <v>223000000000002</v>
      </c>
      <c r="E40" s="4" t="str">
        <f>IF(EXACT($D40, ""), "", VLOOKUP($D40, 'REF - ContactNumberType'!$B$4:$C$10, 2, FALSE))</f>
        <v>Mobile Phone</v>
      </c>
      <c r="F40" s="26" t="s">
        <v>685</v>
      </c>
      <c r="G40" s="9"/>
      <c r="H40" s="9" t="s">
        <v>637</v>
      </c>
      <c r="J40" s="33">
        <f t="shared" si="1"/>
        <v>286000000000037</v>
      </c>
      <c r="K40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'+62 812-9102-5349'::varchar, NULL::varchar, 'Zaire Biscaya Dite'::varchar, '25000000000498'::bigint);</v>
      </c>
    </row>
    <row r="41" spans="2:11" x14ac:dyDescent="0.2">
      <c r="B41" s="22">
        <v>25000000000205</v>
      </c>
      <c r="C41" s="4" t="str">
        <f>IF(EXACT($B41, ""), "", IF((($B41 - MOD($B41, 1000000000000))/1000000000000)=25, CONCATENATE("Person - ", VLOOKUP($B41, [1]DataLookUp!$B$4:$C$2000, 2, FALSE)), IF((($B41 - MOD($B41, 1000000000000))/1000000000000)=124, CONCATENATE("Institution - ", VLOOKUP($B41, '[2]DataLookUp - InstitutionBranch'!$B$4:$C$2000, 2, FALSE)), "")))</f>
        <v>Person - Imam Basuki</v>
      </c>
      <c r="D41" s="22">
        <v>223000000000002</v>
      </c>
      <c r="E41" s="4" t="str">
        <f>IF(EXACT($D41, ""), "", VLOOKUP($D41, 'REF - ContactNumberType'!$B$4:$C$10, 2, FALSE))</f>
        <v>Mobile Phone</v>
      </c>
      <c r="F41" s="26" t="s">
        <v>686</v>
      </c>
      <c r="G41" s="9"/>
      <c r="H41" s="9" t="s">
        <v>204</v>
      </c>
      <c r="J41" s="33">
        <f t="shared" si="0"/>
        <v>286000000000038</v>
      </c>
      <c r="K41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'+62 813-1818-7318'::varchar, NULL::varchar, 'Imam Basuki'::varchar, '25000000000205'::bigint);</v>
      </c>
    </row>
    <row r="42" spans="2:11" x14ac:dyDescent="0.2">
      <c r="B42" s="22">
        <v>25000000000511</v>
      </c>
      <c r="C42" s="4" t="str">
        <f>IF(EXACT($B42, ""), "", IF((($B42 - MOD($B42, 1000000000000))/1000000000000)=25, CONCATENATE("Person - ", VLOOKUP($B42, [1]DataLookUp!$B$4:$C$2000, 2, FALSE)), IF((($B42 - MOD($B42, 1000000000000))/1000000000000)=124, CONCATENATE("Institution - ", VLOOKUP($B42, '[2]DataLookUp - InstitutionBranch'!$B$4:$C$2000, 2, FALSE)), "")))</f>
        <v>Person - Wisnu Andra Isdianto</v>
      </c>
      <c r="D42" s="22">
        <v>223000000000002</v>
      </c>
      <c r="E42" s="4" t="str">
        <f>IF(EXACT($D42, ""), "", VLOOKUP($D42, 'REF - ContactNumberType'!$B$4:$C$10, 2, FALSE))</f>
        <v>Mobile Phone</v>
      </c>
      <c r="F42" s="26" t="s">
        <v>687</v>
      </c>
      <c r="G42" s="9"/>
      <c r="H42" s="9" t="s">
        <v>510</v>
      </c>
      <c r="J42" s="33">
        <f t="shared" si="1"/>
        <v>286000000000039</v>
      </c>
      <c r="K42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'+62 877-8419-0978'::varchar, NULL::varchar, 'Wisnu Andra Isdianto'::varchar, '25000000000511'::bigint);</v>
      </c>
    </row>
    <row r="43" spans="2:11" x14ac:dyDescent="0.2">
      <c r="B43" s="22">
        <v>25000000000508</v>
      </c>
      <c r="C43" s="4" t="str">
        <f>IF(EXACT($B43, ""), "", IF((($B43 - MOD($B43, 1000000000000))/1000000000000)=25, CONCATENATE("Person - ", VLOOKUP($B43, [1]DataLookUp!$B$4:$C$2000, 2, FALSE)), IF((($B43 - MOD($B43, 1000000000000))/1000000000000)=124, CONCATENATE("Institution - ", VLOOKUP($B43, '[2]DataLookUp - InstitutionBranch'!$B$4:$C$2000, 2, FALSE)), "")))</f>
        <v>Person - Rafi Artman Siddiq</v>
      </c>
      <c r="D43" s="22">
        <v>223000000000002</v>
      </c>
      <c r="E43" s="4" t="str">
        <f>IF(EXACT($D43, ""), "", VLOOKUP($D43, 'REF - ContactNumberType'!$B$4:$C$10, 2, FALSE))</f>
        <v>Mobile Phone</v>
      </c>
      <c r="F43" s="26" t="s">
        <v>885</v>
      </c>
      <c r="G43" s="9"/>
      <c r="H43" s="9" t="s">
        <v>507</v>
      </c>
      <c r="J43" s="33">
        <f t="shared" si="0"/>
        <v>286000000000040</v>
      </c>
      <c r="K43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'+62 857-4118-8449'::varchar, NULL::varchar, 'Rafi Artman Siddiq'::varchar, '25000000000508'::bigint);</v>
      </c>
    </row>
    <row r="44" spans="2:11" x14ac:dyDescent="0.2">
      <c r="B44" s="22">
        <v>25000000000100</v>
      </c>
      <c r="C44" s="4" t="str">
        <f>IF(EXACT($B44, ""), "", IF((($B44 - MOD($B44, 1000000000000))/1000000000000)=25, CONCATENATE("Person - ", VLOOKUP($B44, [1]DataLookUp!$B$4:$C$2000, 2, FALSE)), IF((($B44 - MOD($B44, 1000000000000))/1000000000000)=124, CONCATENATE("Institution - ", VLOOKUP($B44, '[2]DataLookUp - InstitutionBranch'!$B$4:$C$2000, 2, FALSE)), "")))</f>
        <v>Person - Deny Adi Purnama</v>
      </c>
      <c r="D44" s="22">
        <v>223000000000002</v>
      </c>
      <c r="E44" s="4" t="str">
        <f>IF(EXACT($D44, ""), "", VLOOKUP($D44, 'REF - ContactNumberType'!$B$4:$C$10, 2, FALSE))</f>
        <v>Mobile Phone</v>
      </c>
      <c r="F44" s="26" t="s">
        <v>689</v>
      </c>
      <c r="G44" s="9"/>
      <c r="H44" s="9" t="s">
        <v>99</v>
      </c>
      <c r="J44" s="33">
        <f t="shared" si="1"/>
        <v>286000000000041</v>
      </c>
      <c r="K44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'+62 813-1846-0405'::varchar, NULL::varchar, 'Deny Adi Purnama'::varchar, '25000000000100'::bigint);</v>
      </c>
    </row>
    <row r="45" spans="2:11" x14ac:dyDescent="0.2">
      <c r="B45" s="22">
        <v>25000000000314</v>
      </c>
      <c r="C45" s="4" t="str">
        <f>IF(EXACT($B45, ""), "", IF((($B45 - MOD($B45, 1000000000000))/1000000000000)=25, CONCATENATE("Person - ", VLOOKUP($B45, [1]DataLookUp!$B$4:$C$2000, 2, FALSE)), IF((($B45 - MOD($B45, 1000000000000))/1000000000000)=124, CONCATENATE("Institution - ", VLOOKUP($B45, '[2]DataLookUp - InstitutionBranch'!$B$4:$C$2000, 2, FALSE)), "")))</f>
        <v>Person - Nopitasari</v>
      </c>
      <c r="D45" s="22">
        <v>223000000000002</v>
      </c>
      <c r="E45" s="4" t="str">
        <f>IF(EXACT($D45, ""), "", VLOOKUP($D45, 'REF - ContactNumberType'!$B$4:$C$10, 2, FALSE))</f>
        <v>Mobile Phone</v>
      </c>
      <c r="F45" s="26" t="s">
        <v>690</v>
      </c>
      <c r="G45" s="9"/>
      <c r="H45" s="9" t="s">
        <v>313</v>
      </c>
      <c r="J45" s="33">
        <f t="shared" si="0"/>
        <v>286000000000042</v>
      </c>
      <c r="K45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'+62 812-9586-6677'::varchar, NULL::varchar, 'Nopitasari'::varchar, '25000000000314'::bigint);</v>
      </c>
    </row>
    <row r="46" spans="2:11" x14ac:dyDescent="0.2">
      <c r="B46" s="22">
        <v>25000000000512</v>
      </c>
      <c r="C46" s="4" t="str">
        <f>IF(EXACT($B46, ""), "", IF((($B46 - MOD($B46, 1000000000000))/1000000000000)=25, CONCATENATE("Person - ", VLOOKUP($B46, [1]DataLookUp!$B$4:$C$2000, 2, FALSE)), IF((($B46 - MOD($B46, 1000000000000))/1000000000000)=124, CONCATENATE("Institution - ", VLOOKUP($B46, '[2]DataLookUp - InstitutionBranch'!$B$4:$C$2000, 2, FALSE)), "")))</f>
        <v>Person - Agus Budi Setiawan</v>
      </c>
      <c r="D46" s="22">
        <v>223000000000002</v>
      </c>
      <c r="E46" s="4" t="str">
        <f>IF(EXACT($D46, ""), "", VLOOKUP($D46, 'REF - ContactNumberType'!$B$4:$C$10, 2, FALSE))</f>
        <v>Mobile Phone</v>
      </c>
      <c r="F46" s="26" t="s">
        <v>691</v>
      </c>
      <c r="G46" s="9"/>
      <c r="H46" s="9" t="s">
        <v>511</v>
      </c>
      <c r="J46" s="33">
        <f t="shared" si="1"/>
        <v>286000000000043</v>
      </c>
      <c r="K46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'+62 821-2144-4989'::varchar, NULL::varchar, 'Agus Budi Setiawan'::varchar, '25000000000512'::bigint);</v>
      </c>
    </row>
    <row r="47" spans="2:11" x14ac:dyDescent="0.2">
      <c r="B47" s="22">
        <v>25000000000471</v>
      </c>
      <c r="C47" s="4" t="str">
        <f>IF(EXACT($B47, ""), "", IF((($B47 - MOD($B47, 1000000000000))/1000000000000)=25, CONCATENATE("Person - ", VLOOKUP($B47, [1]DataLookUp!$B$4:$C$2000, 2, FALSE)), IF((($B47 - MOD($B47, 1000000000000))/1000000000000)=124, CONCATENATE("Institution - ", VLOOKUP($B47, '[2]DataLookUp - InstitutionBranch'!$B$4:$C$2000, 2, FALSE)), "")))</f>
        <v>Person - Wendy Septiyan</v>
      </c>
      <c r="D47" s="22">
        <v>223000000000002</v>
      </c>
      <c r="E47" s="4" t="str">
        <f>IF(EXACT($D47, ""), "", VLOOKUP($D47, 'REF - ContactNumberType'!$B$4:$C$10, 2, FALSE))</f>
        <v>Mobile Phone</v>
      </c>
      <c r="F47" s="26" t="s">
        <v>692</v>
      </c>
      <c r="G47" s="9"/>
      <c r="H47" s="9" t="s">
        <v>470</v>
      </c>
      <c r="J47" s="33">
        <f t="shared" si="0"/>
        <v>286000000000044</v>
      </c>
      <c r="K47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'+62 838-0664-3866'::varchar, NULL::varchar, 'Wendy Septiyan'::varchar, '25000000000471'::bigint);</v>
      </c>
    </row>
    <row r="48" spans="2:11" x14ac:dyDescent="0.2">
      <c r="B48" s="22">
        <v>25000000000334</v>
      </c>
      <c r="C48" s="4" t="str">
        <f>IF(EXACT($B48, ""), "", IF((($B48 - MOD($B48, 1000000000000))/1000000000000)=25, CONCATENATE("Person - ", VLOOKUP($B48, [1]DataLookUp!$B$4:$C$2000, 2, FALSE)), IF((($B48 - MOD($B48, 1000000000000))/1000000000000)=124, CONCATENATE("Institution - ", VLOOKUP($B48, '[2]DataLookUp - InstitutionBranch'!$B$4:$C$2000, 2, FALSE)), "")))</f>
        <v>Person - R. Lar Kumalaning Tresno</v>
      </c>
      <c r="D48" s="22">
        <v>223000000000002</v>
      </c>
      <c r="E48" s="4" t="str">
        <f>IF(EXACT($D48, ""), "", VLOOKUP($D48, 'REF - ContactNumberType'!$B$4:$C$10, 2, FALSE))</f>
        <v>Mobile Phone</v>
      </c>
      <c r="F48" s="26" t="s">
        <v>693</v>
      </c>
      <c r="G48" s="9"/>
      <c r="H48" s="9" t="s">
        <v>333</v>
      </c>
      <c r="J48" s="33">
        <f t="shared" si="1"/>
        <v>286000000000045</v>
      </c>
      <c r="K48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'+62 856-9438-7250'::varchar, NULL::varchar, 'R. Lar Kumalaning Tresno'::varchar, '25000000000334'::bigint);</v>
      </c>
    </row>
    <row r="49" spans="2:11" x14ac:dyDescent="0.2">
      <c r="B49" s="22">
        <v>25000000000183</v>
      </c>
      <c r="C49" s="4" t="str">
        <f>IF(EXACT($B49, ""), "", IF((($B49 - MOD($B49, 1000000000000))/1000000000000)=25, CONCATENATE("Person - ", VLOOKUP($B49, [1]DataLookUp!$B$4:$C$2000, 2, FALSE)), IF((($B49 - MOD($B49, 1000000000000))/1000000000000)=124, CONCATENATE("Institution - ", VLOOKUP($B49, '[2]DataLookUp - InstitutionBranch'!$B$4:$C$2000, 2, FALSE)), "")))</f>
        <v>Person - Hendri Kustian</v>
      </c>
      <c r="D49" s="22">
        <v>223000000000002</v>
      </c>
      <c r="E49" s="4" t="str">
        <f>IF(EXACT($D49, ""), "", VLOOKUP($D49, 'REF - ContactNumberType'!$B$4:$C$10, 2, FALSE))</f>
        <v>Mobile Phone</v>
      </c>
      <c r="F49" s="26" t="s">
        <v>694</v>
      </c>
      <c r="G49" s="9"/>
      <c r="H49" s="9" t="s">
        <v>182</v>
      </c>
      <c r="J49" s="33">
        <f t="shared" si="0"/>
        <v>286000000000046</v>
      </c>
      <c r="K49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'+62 813-8432-9270'::varchar, NULL::varchar, 'Hendri Kustian'::varchar, '25000000000183'::bigint);</v>
      </c>
    </row>
    <row r="50" spans="2:11" x14ac:dyDescent="0.2">
      <c r="B50" s="22">
        <v>25000000000388</v>
      </c>
      <c r="C50" s="4" t="str">
        <f>IF(EXACT($B50, ""), "", IF((($B50 - MOD($B50, 1000000000000))/1000000000000)=25, CONCATENATE("Person - ", VLOOKUP($B50, [1]DataLookUp!$B$4:$C$2000, 2, FALSE)), IF((($B50 - MOD($B50, 1000000000000))/1000000000000)=124, CONCATENATE("Institution - ", VLOOKUP($B50, '[2]DataLookUp - InstitutionBranch'!$B$4:$C$2000, 2, FALSE)), "")))</f>
        <v>Person - Sarif Hidayatul Umah</v>
      </c>
      <c r="D50" s="22">
        <v>223000000000002</v>
      </c>
      <c r="E50" s="4" t="str">
        <f>IF(EXACT($D50, ""), "", VLOOKUP($D50, 'REF - ContactNumberType'!$B$4:$C$10, 2, FALSE))</f>
        <v>Mobile Phone</v>
      </c>
      <c r="F50" s="26" t="s">
        <v>695</v>
      </c>
      <c r="G50" s="9"/>
      <c r="H50" s="9" t="s">
        <v>387</v>
      </c>
      <c r="J50" s="33">
        <f t="shared" si="1"/>
        <v>286000000000047</v>
      </c>
      <c r="K50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'+62 812-9912-9011'::varchar, NULL::varchar, 'Sarif Hidayatul Umah'::varchar, '25000000000388'::bigint);</v>
      </c>
    </row>
    <row r="51" spans="2:11" x14ac:dyDescent="0.2">
      <c r="B51" s="22">
        <v>25000000000540</v>
      </c>
      <c r="C51" s="4" t="str">
        <f>IF(EXACT($B51, ""), "", IF((($B51 - MOD($B51, 1000000000000))/1000000000000)=25, CONCATENATE("Person - ", VLOOKUP($B51, [1]DataLookUp!$B$4:$C$2000, 2, FALSE)), IF((($B51 - MOD($B51, 1000000000000))/1000000000000)=124, CONCATENATE("Institution - ", VLOOKUP($B51, '[2]DataLookUp - InstitutionBranch'!$B$4:$C$2000, 2, FALSE)), "")))</f>
        <v>Person - Vingky Hendriek Yomerlin</v>
      </c>
      <c r="D51" s="22">
        <v>223000000000002</v>
      </c>
      <c r="E51" s="4" t="str">
        <f>IF(EXACT($D51, ""), "", VLOOKUP($D51, 'REF - ContactNumberType'!$B$4:$C$10, 2, FALSE))</f>
        <v>Mobile Phone</v>
      </c>
      <c r="F51" s="26" t="s">
        <v>696</v>
      </c>
      <c r="G51" s="9"/>
      <c r="H51" s="9" t="s">
        <v>539</v>
      </c>
      <c r="J51" s="33">
        <f t="shared" si="0"/>
        <v>286000000000048</v>
      </c>
      <c r="K51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'+62 821-7308-7816'::varchar, NULL::varchar, 'Vingky Hendriek Yomerlin'::varchar, '25000000000540'::bigint);</v>
      </c>
    </row>
    <row r="52" spans="2:11" x14ac:dyDescent="0.2">
      <c r="B52" s="22">
        <v>25000000000553</v>
      </c>
      <c r="C52" s="4" t="str">
        <f>IF(EXACT($B52, ""), "", IF((($B52 - MOD($B52, 1000000000000))/1000000000000)=25, CONCATENATE("Person - ", VLOOKUP($B52, [1]DataLookUp!$B$4:$C$2000, 2, FALSE)), IF((($B52 - MOD($B52, 1000000000000))/1000000000000)=124, CONCATENATE("Institution - ", VLOOKUP($B52, '[2]DataLookUp - InstitutionBranch'!$B$4:$C$2000, 2, FALSE)), "")))</f>
        <v>Person - Masimin</v>
      </c>
      <c r="D52" s="22">
        <v>223000000000002</v>
      </c>
      <c r="E52" s="4" t="str">
        <f>IF(EXACT($D52, ""), "", VLOOKUP($D52, 'REF - ContactNumberType'!$B$4:$C$10, 2, FALSE))</f>
        <v>Mobile Phone</v>
      </c>
      <c r="F52" s="26" t="s">
        <v>697</v>
      </c>
      <c r="G52" s="9"/>
      <c r="H52" s="9" t="s">
        <v>552</v>
      </c>
      <c r="J52" s="33">
        <f t="shared" si="1"/>
        <v>286000000000049</v>
      </c>
      <c r="K52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'+62 813-1886-3471'::varchar, NULL::varchar, 'Masimin'::varchar, '25000000000553'::bigint);</v>
      </c>
    </row>
    <row r="53" spans="2:11" x14ac:dyDescent="0.2">
      <c r="B53" s="22">
        <v>25000000000008</v>
      </c>
      <c r="C53" s="4" t="str">
        <f>IF(EXACT($B53, ""), "", IF((($B53 - MOD($B53, 1000000000000))/1000000000000)=25, CONCATENATE("Person - ", VLOOKUP($B53, [1]DataLookUp!$B$4:$C$2000, 2, FALSE)), IF((($B53 - MOD($B53, 1000000000000))/1000000000000)=124, CONCATENATE("Institution - ", VLOOKUP($B53, '[2]DataLookUp - InstitutionBranch'!$B$4:$C$2000, 2, FALSE)), "")))</f>
        <v>Person - Adietya Dharmawan</v>
      </c>
      <c r="D53" s="22">
        <v>223000000000002</v>
      </c>
      <c r="E53" s="4" t="str">
        <f>IF(EXACT($D53, ""), "", VLOOKUP($D53, 'REF - ContactNumberType'!$B$4:$C$10, 2, FALSE))</f>
        <v>Mobile Phone</v>
      </c>
      <c r="F53" s="26" t="s">
        <v>698</v>
      </c>
      <c r="G53" s="9"/>
      <c r="H53" s="9" t="s">
        <v>7</v>
      </c>
      <c r="J53" s="33">
        <f t="shared" si="0"/>
        <v>286000000000050</v>
      </c>
      <c r="K53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'+62 857-7326-1575'::varchar, NULL::varchar, 'Adietya Dharmawan'::varchar, '25000000000008'::bigint);</v>
      </c>
    </row>
    <row r="54" spans="2:11" x14ac:dyDescent="0.2">
      <c r="B54" s="22">
        <v>25000000000426</v>
      </c>
      <c r="C54" s="4" t="str">
        <f>IF(EXACT($B54, ""), "", IF((($B54 - MOD($B54, 1000000000000))/1000000000000)=25, CONCATENATE("Person - ", VLOOKUP($B54, [1]DataLookUp!$B$4:$C$2000, 2, FALSE)), IF((($B54 - MOD($B54, 1000000000000))/1000000000000)=124, CONCATENATE("Institution - ", VLOOKUP($B54, '[2]DataLookUp - InstitutionBranch'!$B$4:$C$2000, 2, FALSE)), "")))</f>
        <v>Person - Sutarno</v>
      </c>
      <c r="D54" s="22">
        <v>223000000000002</v>
      </c>
      <c r="E54" s="4" t="str">
        <f>IF(EXACT($D54, ""), "", VLOOKUP($D54, 'REF - ContactNumberType'!$B$4:$C$10, 2, FALSE))</f>
        <v>Mobile Phone</v>
      </c>
      <c r="F54" s="26" t="s">
        <v>699</v>
      </c>
      <c r="G54" s="9"/>
      <c r="H54" s="9" t="s">
        <v>425</v>
      </c>
      <c r="J54" s="33">
        <f t="shared" si="1"/>
        <v>286000000000051</v>
      </c>
      <c r="K54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'+62 812-9699-123'::varchar, NULL::varchar, 'Sutarno'::varchar, '25000000000426'::bigint);</v>
      </c>
    </row>
    <row r="55" spans="2:11" x14ac:dyDescent="0.2">
      <c r="B55" s="22">
        <v>25000000000523</v>
      </c>
      <c r="C55" s="4" t="str">
        <f>IF(EXACT($B55, ""), "", IF((($B55 - MOD($B55, 1000000000000))/1000000000000)=25, CONCATENATE("Person - ", VLOOKUP($B55, [1]DataLookUp!$B$4:$C$2000, 2, FALSE)), IF((($B55 - MOD($B55, 1000000000000))/1000000000000)=124, CONCATENATE("Institution - ", VLOOKUP($B55, '[2]DataLookUp - InstitutionBranch'!$B$4:$C$2000, 2, FALSE)), "")))</f>
        <v>Person - Fuzi Mafrozi</v>
      </c>
      <c r="D55" s="22">
        <v>223000000000002</v>
      </c>
      <c r="E55" s="4" t="str">
        <f>IF(EXACT($D55, ""), "", VLOOKUP($D55, 'REF - ContactNumberType'!$B$4:$C$10, 2, FALSE))</f>
        <v>Mobile Phone</v>
      </c>
      <c r="F55" s="26" t="s">
        <v>887</v>
      </c>
      <c r="G55" s="9"/>
      <c r="H55" s="9" t="s">
        <v>638</v>
      </c>
      <c r="J55" s="33">
        <f t="shared" si="0"/>
        <v>286000000000052</v>
      </c>
      <c r="K55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'+62 895-3368-9667-2'::varchar, NULL::varchar, 'Fuzi Mafhrozi'::varchar, '25000000000523'::bigint);</v>
      </c>
    </row>
    <row r="56" spans="2:11" x14ac:dyDescent="0.2">
      <c r="B56" s="22">
        <v>25000000000385</v>
      </c>
      <c r="C56" s="4" t="str">
        <f>IF(EXACT($B56, ""), "", IF((($B56 - MOD($B56, 1000000000000))/1000000000000)=25, CONCATENATE("Person - ", VLOOKUP($B56, [1]DataLookUp!$B$4:$C$2000, 2, FALSE)), IF((($B56 - MOD($B56, 1000000000000))/1000000000000)=124, CONCATENATE("Institution - ", VLOOKUP($B56, '[2]DataLookUp - InstitutionBranch'!$B$4:$C$2000, 2, FALSE)), "")))</f>
        <v>Person - Sang Toga Sitompul</v>
      </c>
      <c r="D56" s="22">
        <v>223000000000002</v>
      </c>
      <c r="E56" s="4" t="str">
        <f>IF(EXACT($D56, ""), "", VLOOKUP($D56, 'REF - ContactNumberType'!$B$4:$C$10, 2, FALSE))</f>
        <v>Mobile Phone</v>
      </c>
      <c r="F56" s="26" t="s">
        <v>701</v>
      </c>
      <c r="G56" s="9"/>
      <c r="H56" s="9" t="s">
        <v>384</v>
      </c>
      <c r="J56" s="33">
        <f t="shared" si="1"/>
        <v>286000000000053</v>
      </c>
      <c r="K56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'+62 812-2119-3402'::varchar, NULL::varchar, 'Sang Toga Sitompul'::varchar, '25000000000385'::bigint);</v>
      </c>
    </row>
    <row r="57" spans="2:11" x14ac:dyDescent="0.2">
      <c r="B57" s="22">
        <v>25000000000519</v>
      </c>
      <c r="C57" s="4" t="str">
        <f>IF(EXACT($B57, ""), "", IF((($B57 - MOD($B57, 1000000000000))/1000000000000)=25, CONCATENATE("Person - ", VLOOKUP($B57, [1]DataLookUp!$B$4:$C$2000, 2, FALSE)), IF((($B57 - MOD($B57, 1000000000000))/1000000000000)=124, CONCATENATE("Institution - ", VLOOKUP($B57, '[2]DataLookUp - InstitutionBranch'!$B$4:$C$2000, 2, FALSE)), "")))</f>
        <v>Person - Denny Achmad Ferlando</v>
      </c>
      <c r="D57" s="22">
        <v>223000000000002</v>
      </c>
      <c r="E57" s="4" t="str">
        <f>IF(EXACT($D57, ""), "", VLOOKUP($D57, 'REF - ContactNumberType'!$B$4:$C$10, 2, FALSE))</f>
        <v>Mobile Phone</v>
      </c>
      <c r="F57" s="26" t="s">
        <v>702</v>
      </c>
      <c r="G57" s="9"/>
      <c r="H57" s="9" t="s">
        <v>518</v>
      </c>
      <c r="J57" s="33">
        <f t="shared" si="0"/>
        <v>286000000000054</v>
      </c>
      <c r="K57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'+62 877-8038-9758'::varchar, NULL::varchar, 'Denny Achmad Ferlando'::varchar, '25000000000519'::bigint);</v>
      </c>
    </row>
    <row r="58" spans="2:11" x14ac:dyDescent="0.2">
      <c r="B58" s="22"/>
      <c r="C58" s="4" t="str">
        <f>IF(EXACT($B58, ""), "", IF((($B58 - MOD($B58, 1000000000000))/1000000000000)=25, CONCATENATE("Person - ", VLOOKUP($B58, [1]DataLookUp!$B$4:$C$2000, 2, FALSE)), IF((($B58 - MOD($B58, 1000000000000))/1000000000000)=124, CONCATENATE("Institution - ", VLOOKUP($B58, '[2]DataLookUp - InstitutionBranch'!$B$4:$C$2000, 2, FALSE)), "")))</f>
        <v/>
      </c>
      <c r="D58" s="22">
        <v>223000000000002</v>
      </c>
      <c r="E58" s="4" t="str">
        <f>IF(EXACT($D58, ""), "", VLOOKUP($D58, 'REF - ContactNumberType'!$B$4:$C$10, 2, FALSE))</f>
        <v>Mobile Phone</v>
      </c>
      <c r="F58" s="26" t="s">
        <v>703</v>
      </c>
      <c r="G58" s="9"/>
      <c r="H58" s="9" t="s">
        <v>639</v>
      </c>
      <c r="J58" s="33">
        <f t="shared" si="1"/>
        <v>286000000000055</v>
      </c>
      <c r="K58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'+62 821-1399-1950'::varchar, NULL::varchar, 'Azis Purwadana'::varchar, NULL::bigint);</v>
      </c>
    </row>
    <row r="59" spans="2:11" x14ac:dyDescent="0.2">
      <c r="B59" s="22">
        <v>25000000000325</v>
      </c>
      <c r="C59" s="4" t="str">
        <f>IF(EXACT($B59, ""), "", IF((($B59 - MOD($B59, 1000000000000))/1000000000000)=25, CONCATENATE("Person - ", VLOOKUP($B59, [1]DataLookUp!$B$4:$C$2000, 2, FALSE)), IF((($B59 - MOD($B59, 1000000000000))/1000000000000)=124, CONCATENATE("Institution - ", VLOOKUP($B59, '[2]DataLookUp - InstitutionBranch'!$B$4:$C$2000, 2, FALSE)), "")))</f>
        <v>Person - Panca Yudi Baskoro</v>
      </c>
      <c r="D59" s="22">
        <v>223000000000002</v>
      </c>
      <c r="E59" s="4" t="str">
        <f>IF(EXACT($D59, ""), "", VLOOKUP($D59, 'REF - ContactNumberType'!$B$4:$C$10, 2, FALSE))</f>
        <v>Mobile Phone</v>
      </c>
      <c r="F59" s="26" t="s">
        <v>704</v>
      </c>
      <c r="G59" s="9"/>
      <c r="H59" s="9" t="s">
        <v>324</v>
      </c>
      <c r="J59" s="33">
        <f t="shared" si="0"/>
        <v>286000000000056</v>
      </c>
      <c r="K59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'+62 813-8643-5585'::varchar, NULL::varchar, 'Panca Yudi Baskoro'::varchar, '25000000000325'::bigint);</v>
      </c>
    </row>
    <row r="60" spans="2:11" x14ac:dyDescent="0.2">
      <c r="B60" s="22">
        <v>25000000000474</v>
      </c>
      <c r="C60" s="4" t="str">
        <f>IF(EXACT($B60, ""), "", IF((($B60 - MOD($B60, 1000000000000))/1000000000000)=25, CONCATENATE("Person - ", VLOOKUP($B60, [1]DataLookUp!$B$4:$C$2000, 2, FALSE)), IF((($B60 - MOD($B60, 1000000000000))/1000000000000)=124, CONCATENATE("Institution - ", VLOOKUP($B60, '[2]DataLookUp - InstitutionBranch'!$B$4:$C$2000, 2, FALSE)), "")))</f>
        <v>Person - Wisnu Ardian</v>
      </c>
      <c r="D60" s="22">
        <v>223000000000002</v>
      </c>
      <c r="E60" s="4" t="str">
        <f>IF(EXACT($D60, ""), "", VLOOKUP($D60, 'REF - ContactNumberType'!$B$4:$C$10, 2, FALSE))</f>
        <v>Mobile Phone</v>
      </c>
      <c r="F60" s="26" t="s">
        <v>705</v>
      </c>
      <c r="G60" s="9"/>
      <c r="H60" s="9" t="s">
        <v>473</v>
      </c>
      <c r="J60" s="33">
        <f t="shared" si="1"/>
        <v>286000000000057</v>
      </c>
      <c r="K60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'+62 813-8600-7788'::varchar, NULL::varchar, 'Wisnu Ardian'::varchar, '25000000000474'::bigint);</v>
      </c>
    </row>
    <row r="61" spans="2:11" x14ac:dyDescent="0.2">
      <c r="B61" s="22"/>
      <c r="C61" s="4" t="str">
        <f>IF(EXACT($B61, ""), "", IF((($B61 - MOD($B61, 1000000000000))/1000000000000)=25, CONCATENATE("Person - ", VLOOKUP($B61, [1]DataLookUp!$B$4:$C$2000, 2, FALSE)), IF((($B61 - MOD($B61, 1000000000000))/1000000000000)=124, CONCATENATE("Institution - ", VLOOKUP($B61, '[2]DataLookUp - InstitutionBranch'!$B$4:$C$2000, 2, FALSE)), "")))</f>
        <v/>
      </c>
      <c r="D61" s="22">
        <v>223000000000002</v>
      </c>
      <c r="E61" s="4" t="str">
        <f>IF(EXACT($D61, ""), "", VLOOKUP($D61, 'REF - ContactNumberType'!$B$4:$C$10, 2, FALSE))</f>
        <v>Mobile Phone</v>
      </c>
      <c r="F61" s="26" t="s">
        <v>706</v>
      </c>
      <c r="G61" s="9"/>
      <c r="H61" s="9" t="s">
        <v>640</v>
      </c>
      <c r="J61" s="33">
        <f t="shared" si="0"/>
        <v>286000000000058</v>
      </c>
      <c r="K61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'+62 813-1016-7838'::varchar, NULL::varchar, 'H.T Assubki Ismail'::varchar, NULL::bigint);</v>
      </c>
    </row>
    <row r="62" spans="2:11" x14ac:dyDescent="0.2">
      <c r="B62" s="22">
        <v>25000000000537</v>
      </c>
      <c r="C62" s="4" t="str">
        <f>IF(EXACT($B62, ""), "", IF((($B62 - MOD($B62, 1000000000000))/1000000000000)=25, CONCATENATE("Person - ", VLOOKUP($B62, [1]DataLookUp!$B$4:$C$2000, 2, FALSE)), IF((($B62 - MOD($B62, 1000000000000))/1000000000000)=124, CONCATENATE("Institution - ", VLOOKUP($B62, '[2]DataLookUp - InstitutionBranch'!$B$4:$C$2000, 2, FALSE)), "")))</f>
        <v>Person - Rizal Amri</v>
      </c>
      <c r="D62" s="22">
        <v>223000000000002</v>
      </c>
      <c r="E62" s="4" t="str">
        <f>IF(EXACT($D62, ""), "", VLOOKUP($D62, 'REF - ContactNumberType'!$B$4:$C$10, 2, FALSE))</f>
        <v>Mobile Phone</v>
      </c>
      <c r="F62" s="26" t="s">
        <v>869</v>
      </c>
      <c r="G62" s="9"/>
      <c r="H62" s="9" t="s">
        <v>536</v>
      </c>
      <c r="J62" s="33">
        <f t="shared" si="1"/>
        <v>286000000000059</v>
      </c>
      <c r="K62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'+62 812-2420-8139'::varchar, NULL::varchar, 'Rizal Amri'::varchar, '25000000000537'::bigint);</v>
      </c>
    </row>
    <row r="63" spans="2:11" x14ac:dyDescent="0.2">
      <c r="B63" s="22"/>
      <c r="C63" s="4" t="str">
        <f>IF(EXACT($B63, ""), "", IF((($B63 - MOD($B63, 1000000000000))/1000000000000)=25, CONCATENATE("Person - ", VLOOKUP($B63, [1]DataLookUp!$B$4:$C$2000, 2, FALSE)), IF((($B63 - MOD($B63, 1000000000000))/1000000000000)=124, CONCATENATE("Institution - ", VLOOKUP($B63, '[2]DataLookUp - InstitutionBranch'!$B$4:$C$2000, 2, FALSE)), "")))</f>
        <v/>
      </c>
      <c r="D63" s="22">
        <v>223000000000002</v>
      </c>
      <c r="E63" s="4" t="str">
        <f>IF(EXACT($D63, ""), "", VLOOKUP($D63, 'REF - ContactNumberType'!$B$4:$C$10, 2, FALSE))</f>
        <v>Mobile Phone</v>
      </c>
      <c r="F63" s="26" t="s">
        <v>707</v>
      </c>
      <c r="G63" s="9"/>
      <c r="H63" s="9" t="s">
        <v>641</v>
      </c>
      <c r="J63" s="33">
        <f t="shared" si="0"/>
        <v>286000000000060</v>
      </c>
      <c r="K63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'+62 813-9855-7959'::varchar, NULL::varchar, 'Kurnia Fitriastuti'::varchar, NULL::bigint);</v>
      </c>
    </row>
    <row r="64" spans="2:11" x14ac:dyDescent="0.2">
      <c r="B64" s="22">
        <v>25000000000159</v>
      </c>
      <c r="C64" s="4" t="str">
        <f>IF(EXACT($B64, ""), "", IF((($B64 - MOD($B64, 1000000000000))/1000000000000)=25, CONCATENATE("Person - ", VLOOKUP($B64, [1]DataLookUp!$B$4:$C$2000, 2, FALSE)), IF((($B64 - MOD($B64, 1000000000000))/1000000000000)=124, CONCATENATE("Institution - ", VLOOKUP($B64, '[2]DataLookUp - InstitutionBranch'!$B$4:$C$2000, 2, FALSE)), "")))</f>
        <v>Person - Frando Judi Siahaan</v>
      </c>
      <c r="D64" s="22">
        <v>223000000000002</v>
      </c>
      <c r="E64" s="4" t="str">
        <f>IF(EXACT($D64, ""), "", VLOOKUP($D64, 'REF - ContactNumberType'!$B$4:$C$10, 2, FALSE))</f>
        <v>Mobile Phone</v>
      </c>
      <c r="F64" s="26" t="s">
        <v>708</v>
      </c>
      <c r="G64" s="9"/>
      <c r="H64" s="9" t="s">
        <v>158</v>
      </c>
      <c r="J64" s="33">
        <f t="shared" si="1"/>
        <v>286000000000061</v>
      </c>
      <c r="K64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'+62 853-7140-4163'::varchar, NULL::varchar, 'Frando Judi Siahaan'::varchar, '25000000000159'::bigint);</v>
      </c>
    </row>
    <row r="65" spans="2:11" x14ac:dyDescent="0.2">
      <c r="B65" s="22">
        <v>25000000000330</v>
      </c>
      <c r="C65" s="4" t="str">
        <f>IF(EXACT($B65, ""), "", IF((($B65 - MOD($B65, 1000000000000))/1000000000000)=25, CONCATENATE("Person - ", VLOOKUP($B65, [1]DataLookUp!$B$4:$C$2000, 2, FALSE)), IF((($B65 - MOD($B65, 1000000000000))/1000000000000)=124, CONCATENATE("Institution - ", VLOOKUP($B65, '[2]DataLookUp - InstitutionBranch'!$B$4:$C$2000, 2, FALSE)), "")))</f>
        <v>Person - Prayanti Dewi Anggraini</v>
      </c>
      <c r="D65" s="22">
        <v>223000000000002</v>
      </c>
      <c r="E65" s="4" t="str">
        <f>IF(EXACT($D65, ""), "", VLOOKUP($D65, 'REF - ContactNumberType'!$B$4:$C$10, 2, FALSE))</f>
        <v>Mobile Phone</v>
      </c>
      <c r="F65" s="26" t="s">
        <v>709</v>
      </c>
      <c r="G65" s="9"/>
      <c r="H65" s="9" t="s">
        <v>329</v>
      </c>
      <c r="J65" s="33">
        <f t="shared" si="0"/>
        <v>286000000000062</v>
      </c>
      <c r="K65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'+62 812-6807-4074'::varchar, NULL::varchar, 'Prayanti Dewi Anggraini'::varchar, '25000000000330'::bigint);</v>
      </c>
    </row>
    <row r="66" spans="2:11" x14ac:dyDescent="0.2">
      <c r="B66" s="22">
        <v>25000000000015</v>
      </c>
      <c r="C66" s="4" t="str">
        <f>IF(EXACT($B66, ""), "", IF((($B66 - MOD($B66, 1000000000000))/1000000000000)=25, CONCATENATE("Person - ", VLOOKUP($B66, [1]DataLookUp!$B$4:$C$2000, 2, FALSE)), IF((($B66 - MOD($B66, 1000000000000))/1000000000000)=124, CONCATENATE("Institution - ", VLOOKUP($B66, '[2]DataLookUp - InstitutionBranch'!$B$4:$C$2000, 2, FALSE)), "")))</f>
        <v>Person - Agus Salim</v>
      </c>
      <c r="D66" s="22">
        <v>223000000000002</v>
      </c>
      <c r="E66" s="4" t="str">
        <f>IF(EXACT($D66, ""), "", VLOOKUP($D66, 'REF - ContactNumberType'!$B$4:$C$10, 2, FALSE))</f>
        <v>Mobile Phone</v>
      </c>
      <c r="F66" s="26" t="s">
        <v>710</v>
      </c>
      <c r="G66" s="9"/>
      <c r="H66" s="9" t="s">
        <v>14</v>
      </c>
      <c r="J66" s="33">
        <f t="shared" si="1"/>
        <v>286000000000063</v>
      </c>
      <c r="K66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'+62 857-7598-7323'::varchar, NULL::varchar, 'Agus Salim'::varchar, '25000000000015'::bigint);</v>
      </c>
    </row>
    <row r="67" spans="2:11" x14ac:dyDescent="0.2">
      <c r="B67" s="22"/>
      <c r="C67" s="4" t="str">
        <f>IF(EXACT($B67, ""), "", IF((($B67 - MOD($B67, 1000000000000))/1000000000000)=25, CONCATENATE("Person - ", VLOOKUP($B67, [1]DataLookUp!$B$4:$C$2000, 2, FALSE)), IF((($B67 - MOD($B67, 1000000000000))/1000000000000)=124, CONCATENATE("Institution - ", VLOOKUP($B67, '[2]DataLookUp - InstitutionBranch'!$B$4:$C$2000, 2, FALSE)), "")))</f>
        <v/>
      </c>
      <c r="D67" s="22">
        <v>223000000000002</v>
      </c>
      <c r="E67" s="4" t="str">
        <f>IF(EXACT($D67, ""), "", VLOOKUP($D67, 'REF - ContactNumberType'!$B$4:$C$10, 2, FALSE))</f>
        <v>Mobile Phone</v>
      </c>
      <c r="F67" s="26" t="s">
        <v>711</v>
      </c>
      <c r="G67" s="9"/>
      <c r="H67" s="9" t="s">
        <v>642</v>
      </c>
      <c r="J67" s="33">
        <f t="shared" si="0"/>
        <v>286000000000064</v>
      </c>
      <c r="K67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'+62 822-5538-5557'::varchar, NULL::varchar, 'Ilham'::varchar, NULL::bigint);</v>
      </c>
    </row>
    <row r="68" spans="2:11" x14ac:dyDescent="0.2">
      <c r="B68" s="22">
        <v>25000000000039</v>
      </c>
      <c r="C68" s="4" t="str">
        <f>IF(EXACT($B68, ""), "", IF((($B68 - MOD($B68, 1000000000000))/1000000000000)=25, CONCATENATE("Person - ", VLOOKUP($B68, [1]DataLookUp!$B$4:$C$2000, 2, FALSE)), IF((($B68 - MOD($B68, 1000000000000))/1000000000000)=124, CONCATENATE("Institution - ", VLOOKUP($B68, '[2]DataLookUp - InstitutionBranch'!$B$4:$C$2000, 2, FALSE)), "")))</f>
        <v>Person - Annisa Dewi Arumsari</v>
      </c>
      <c r="D68" s="22">
        <v>223000000000002</v>
      </c>
      <c r="E68" s="4" t="str">
        <f>IF(EXACT($D68, ""), "", VLOOKUP($D68, 'REF - ContactNumberType'!$B$4:$C$10, 2, FALSE))</f>
        <v>Mobile Phone</v>
      </c>
      <c r="F68" s="26" t="s">
        <v>712</v>
      </c>
      <c r="G68" s="9"/>
      <c r="H68" s="9" t="s">
        <v>38</v>
      </c>
      <c r="J68" s="33">
        <f t="shared" si="1"/>
        <v>286000000000065</v>
      </c>
      <c r="K68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'+62 812-9949-5209'::varchar, NULL::varchar, 'Annisa Dewi Arumsari'::varchar, '25000000000039'::bigint);</v>
      </c>
    </row>
    <row r="69" spans="2:11" x14ac:dyDescent="0.2">
      <c r="B69" s="22">
        <v>25000000000514</v>
      </c>
      <c r="C69" s="4" t="str">
        <f>IF(EXACT($B69, ""), "", IF((($B69 - MOD($B69, 1000000000000))/1000000000000)=25, CONCATENATE("Person - ", VLOOKUP($B69, [1]DataLookUp!$B$4:$C$2000, 2, FALSE)), IF((($B69 - MOD($B69, 1000000000000))/1000000000000)=124, CONCATENATE("Institution - ", VLOOKUP($B69, '[2]DataLookUp - InstitutionBranch'!$B$4:$C$2000, 2, FALSE)), "")))</f>
        <v>Person - Achmad Yunadi</v>
      </c>
      <c r="D69" s="22">
        <v>223000000000002</v>
      </c>
      <c r="E69" s="4" t="str">
        <f>IF(EXACT($D69, ""), "", VLOOKUP($D69, 'REF - ContactNumberType'!$B$4:$C$10, 2, FALSE))</f>
        <v>Mobile Phone</v>
      </c>
      <c r="F69" s="26" t="s">
        <v>713</v>
      </c>
      <c r="G69" s="9"/>
      <c r="H69" s="9" t="s">
        <v>513</v>
      </c>
      <c r="J69" s="33">
        <f t="shared" si="1"/>
        <v>286000000000066</v>
      </c>
      <c r="K69" s="34" t="str">
        <f t="shared" si="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'+62 812-9849-4325'::varchar, NULL::varchar, 'Achmad Yunadi'::varchar, '25000000000514'::bigint);</v>
      </c>
    </row>
    <row r="70" spans="2:11" x14ac:dyDescent="0.2">
      <c r="B70" s="22">
        <v>25000000000467</v>
      </c>
      <c r="C70" s="4" t="str">
        <f>IF(EXACT($B70, ""), "", IF((($B70 - MOD($B70, 1000000000000))/1000000000000)=25, CONCATENATE("Person - ", VLOOKUP($B70, [1]DataLookUp!$B$4:$C$2000, 2, FALSE)), IF((($B70 - MOD($B70, 1000000000000))/1000000000000)=124, CONCATENATE("Institution - ", VLOOKUP($B70, '[2]DataLookUp - InstitutionBranch'!$B$4:$C$2000, 2, FALSE)), "")))</f>
        <v>Person - Wahyu Ramadhani</v>
      </c>
      <c r="D70" s="22">
        <v>223000000000002</v>
      </c>
      <c r="E70" s="4" t="str">
        <f>IF(EXACT($D70, ""), "", VLOOKUP($D70, 'REF - ContactNumberType'!$B$4:$C$10, 2, FALSE))</f>
        <v>Mobile Phone</v>
      </c>
      <c r="F70" s="26" t="s">
        <v>714</v>
      </c>
      <c r="G70" s="9"/>
      <c r="H70" s="9" t="s">
        <v>466</v>
      </c>
      <c r="J70" s="33">
        <f t="shared" ref="J70:J133" si="3" xml:space="preserve"> J69 + IF(EXACT(K70, ""), 0, 1)</f>
        <v>286000000000067</v>
      </c>
      <c r="K70" s="34" t="str">
        <f t="shared" ref="K70:K133" si="4">IF(EXACT(F70, ""), "", CONCATENATE("PERFORM ""SchData-OLTP-Master"".""Func_TblContactNumber_SET""(varSystemLoginSession::bigint, null::bigint, null::varchar, null::timestamptz, null::timestamptz, null::varchar, varInstitutionBranchID::bigint, varBaseCurrencyID::bigint, ", IF(EXACT($D70, ""), "NULL", ""&amp;$D70&amp;""), "::bigint, ", IF(EXACT($F70, ""), "NULL", "'"&amp;$F70&amp;"'"), "::varchar, ", IF(EXACT($G70, ""), "NULL", "'"&amp;$G70&amp;"'"), "::varchar, ", IF(EXACT($H70, ""), "NULL", "'"&amp;$H70&amp;"'"), "::varchar, ", IF(EXACT($B70, ""), "NULL", "'"&amp;$B70&amp;"'"), "::bigint);"))</f>
        <v>PERFORM "SchData-OLTP-Master"."Func_TblContactNumber_SET"(varSystemLoginSession::bigint, null::bigint, null::varchar, null::timestamptz, null::timestamptz, null::varchar, varInstitutionBranchID::bigint, varBaseCurrencyID::bigint, 223000000000002::bigint, '+62 812-8954-4005'::varchar, NULL::varchar, 'Wahyu Ramadhani'::varchar, '25000000000467'::bigint);</v>
      </c>
    </row>
    <row r="71" spans="2:11" x14ac:dyDescent="0.2">
      <c r="B71" s="22"/>
      <c r="C71" s="4" t="str">
        <f>IF(EXACT($B71, ""), "", IF((($B71 - MOD($B71, 1000000000000))/1000000000000)=25, CONCATENATE("Person - ", VLOOKUP($B71, [1]DataLookUp!$B$4:$C$2000, 2, FALSE)), IF((($B71 - MOD($B71, 1000000000000))/1000000000000)=124, CONCATENATE("Institution - ", VLOOKUP($B71, '[2]DataLookUp - InstitutionBranch'!$B$4:$C$2000, 2, FALSE)), "")))</f>
        <v/>
      </c>
      <c r="D71" s="22">
        <v>223000000000002</v>
      </c>
      <c r="E71" s="4" t="str">
        <f>IF(EXACT($D71, ""), "", VLOOKUP($D71, 'REF - ContactNumberType'!$B$4:$C$10, 2, FALSE))</f>
        <v>Mobile Phone</v>
      </c>
      <c r="F71" s="26" t="s">
        <v>715</v>
      </c>
      <c r="G71" s="9"/>
      <c r="H71" s="9" t="s">
        <v>643</v>
      </c>
      <c r="J71" s="33">
        <f t="shared" si="3"/>
        <v>286000000000068</v>
      </c>
      <c r="K71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'+62 821-3029-5392'::varchar, NULL::varchar, 'Dedi Rohman'::varchar, NULL::bigint);</v>
      </c>
    </row>
    <row r="72" spans="2:11" x14ac:dyDescent="0.2">
      <c r="B72" s="22"/>
      <c r="C72" s="4" t="str">
        <f>IF(EXACT($B72, ""), "", IF((($B72 - MOD($B72, 1000000000000))/1000000000000)=25, CONCATENATE("Person - ", VLOOKUP($B72, [1]DataLookUp!$B$4:$C$2000, 2, FALSE)), IF((($B72 - MOD($B72, 1000000000000))/1000000000000)=124, CONCATENATE("Institution - ", VLOOKUP($B72, '[2]DataLookUp - InstitutionBranch'!$B$4:$C$2000, 2, FALSE)), "")))</f>
        <v/>
      </c>
      <c r="D72" s="22">
        <v>223000000000002</v>
      </c>
      <c r="E72" s="4" t="str">
        <f>IF(EXACT($D72, ""), "", VLOOKUP($D72, 'REF - ContactNumberType'!$B$4:$C$10, 2, FALSE))</f>
        <v>Mobile Phone</v>
      </c>
      <c r="F72" s="26" t="s">
        <v>716</v>
      </c>
      <c r="G72" s="9"/>
      <c r="H72" s="9" t="s">
        <v>644</v>
      </c>
      <c r="J72" s="33">
        <f t="shared" si="3"/>
        <v>286000000000069</v>
      </c>
      <c r="K72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'+62 813-3218-1409'::varchar, NULL::varchar, 'Abd Samad'::varchar, NULL::bigint);</v>
      </c>
    </row>
    <row r="73" spans="2:11" x14ac:dyDescent="0.2">
      <c r="B73" s="22">
        <v>25000000000019</v>
      </c>
      <c r="C73" s="4" t="str">
        <f>IF(EXACT($B73, ""), "", IF((($B73 - MOD($B73, 1000000000000))/1000000000000)=25, CONCATENATE("Person - ", VLOOKUP($B73, [1]DataLookUp!$B$4:$C$2000, 2, FALSE)), IF((($B73 - MOD($B73, 1000000000000))/1000000000000)=124, CONCATENATE("Institution - ", VLOOKUP($B73, '[2]DataLookUp - InstitutionBranch'!$B$4:$C$2000, 2, FALSE)), "")))</f>
        <v>Person - Ahmad Syaifulloh</v>
      </c>
      <c r="D73" s="22">
        <v>223000000000002</v>
      </c>
      <c r="E73" s="4" t="str">
        <f>IF(EXACT($D73, ""), "", VLOOKUP($D73, 'REF - ContactNumberType'!$B$4:$C$10, 2, FALSE))</f>
        <v>Mobile Phone</v>
      </c>
      <c r="F73" s="26" t="s">
        <v>717</v>
      </c>
      <c r="G73" s="9"/>
      <c r="H73" s="9" t="s">
        <v>18</v>
      </c>
      <c r="J73" s="33">
        <f t="shared" si="3"/>
        <v>286000000000070</v>
      </c>
      <c r="K73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'+62 813-8425-5855'::varchar, NULL::varchar, 'Ahmad Syaifulloh'::varchar, '25000000000019'::bigint);</v>
      </c>
    </row>
    <row r="74" spans="2:11" x14ac:dyDescent="0.2">
      <c r="B74" s="22">
        <v>25000000000522</v>
      </c>
      <c r="C74" s="4" t="str">
        <f>IF(EXACT($B74, ""), "", IF((($B74 - MOD($B74, 1000000000000))/1000000000000)=25, CONCATENATE("Person - ", VLOOKUP($B74, [1]DataLookUp!$B$4:$C$2000, 2, FALSE)), IF((($B74 - MOD($B74, 1000000000000))/1000000000000)=124, CONCATENATE("Institution - ", VLOOKUP($B74, '[2]DataLookUp - InstitutionBranch'!$B$4:$C$2000, 2, FALSE)), "")))</f>
        <v>Person - Ferdian Kriswantoro</v>
      </c>
      <c r="D74" s="22">
        <v>223000000000002</v>
      </c>
      <c r="E74" s="4" t="str">
        <f>IF(EXACT($D74, ""), "", VLOOKUP($D74, 'REF - ContactNumberType'!$B$4:$C$10, 2, FALSE))</f>
        <v>Mobile Phone</v>
      </c>
      <c r="F74" s="26" t="s">
        <v>889</v>
      </c>
      <c r="G74" s="9"/>
      <c r="H74" s="9" t="s">
        <v>521</v>
      </c>
      <c r="J74" s="33">
        <f t="shared" si="3"/>
        <v>286000000000071</v>
      </c>
      <c r="K74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'+62 821-1410-0054-5'::varchar, NULL::varchar, 'Ferdian Kriswantoro'::varchar, '25000000000522'::bigint);</v>
      </c>
    </row>
    <row r="75" spans="2:11" x14ac:dyDescent="0.2">
      <c r="B75" s="22">
        <v>25000000000544</v>
      </c>
      <c r="C75" s="4" t="str">
        <f>IF(EXACT($B75, ""), "", IF((($B75 - MOD($B75, 1000000000000))/1000000000000)=25, CONCATENATE("Person - ", VLOOKUP($B75, [1]DataLookUp!$B$4:$C$2000, 2, FALSE)), IF((($B75 - MOD($B75, 1000000000000))/1000000000000)=124, CONCATENATE("Institution - ", VLOOKUP($B75, '[2]DataLookUp - InstitutionBranch'!$B$4:$C$2000, 2, FALSE)), "")))</f>
        <v>Person - Wulanraniasih</v>
      </c>
      <c r="D75" s="22">
        <v>223000000000002</v>
      </c>
      <c r="E75" s="4" t="str">
        <f>IF(EXACT($D75, ""), "", VLOOKUP($D75, 'REF - ContactNumberType'!$B$4:$C$10, 2, FALSE))</f>
        <v>Mobile Phone</v>
      </c>
      <c r="F75" s="26" t="s">
        <v>719</v>
      </c>
      <c r="G75" s="9"/>
      <c r="H75" s="9" t="s">
        <v>543</v>
      </c>
      <c r="J75" s="33">
        <f t="shared" si="3"/>
        <v>286000000000072</v>
      </c>
      <c r="K75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'+62 851-6275-1360'::varchar, NULL::varchar, 'Wulanraniasih'::varchar, '25000000000544'::bigint);</v>
      </c>
    </row>
    <row r="76" spans="2:11" x14ac:dyDescent="0.2">
      <c r="B76" s="22">
        <v>25000000000413</v>
      </c>
      <c r="C76" s="4" t="str">
        <f>IF(EXACT($B76, ""), "", IF((($B76 - MOD($B76, 1000000000000))/1000000000000)=25, CONCATENATE("Person - ", VLOOKUP($B76, [1]DataLookUp!$B$4:$C$2000, 2, FALSE)), IF((($B76 - MOD($B76, 1000000000000))/1000000000000)=124, CONCATENATE("Institution - ", VLOOKUP($B76, '[2]DataLookUp - InstitutionBranch'!$B$4:$C$2000, 2, FALSE)), "")))</f>
        <v>Person - Sufie Amalia</v>
      </c>
      <c r="D76" s="22">
        <v>223000000000002</v>
      </c>
      <c r="E76" s="4" t="str">
        <f>IF(EXACT($D76, ""), "", VLOOKUP($D76, 'REF - ContactNumberType'!$B$4:$C$10, 2, FALSE))</f>
        <v>Mobile Phone</v>
      </c>
      <c r="F76" s="26" t="s">
        <v>720</v>
      </c>
      <c r="G76" s="9"/>
      <c r="H76" s="9" t="s">
        <v>412</v>
      </c>
      <c r="J76" s="33">
        <f t="shared" si="3"/>
        <v>286000000000073</v>
      </c>
      <c r="K76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'+62 856-7500-887'::varchar, NULL::varchar, 'Sufie Amalia'::varchar, '25000000000413'::bigint);</v>
      </c>
    </row>
    <row r="77" spans="2:11" x14ac:dyDescent="0.2">
      <c r="B77" s="22"/>
      <c r="C77" s="4" t="str">
        <f>IF(EXACT($B77, ""), "", IF((($B77 - MOD($B77, 1000000000000))/1000000000000)=25, CONCATENATE("Person - ", VLOOKUP($B77, [1]DataLookUp!$B$4:$C$2000, 2, FALSE)), IF((($B77 - MOD($B77, 1000000000000))/1000000000000)=124, CONCATENATE("Institution - ", VLOOKUP($B77, '[2]DataLookUp - InstitutionBranch'!$B$4:$C$2000, 2, FALSE)), "")))</f>
        <v/>
      </c>
      <c r="D77" s="22">
        <v>223000000000002</v>
      </c>
      <c r="E77" s="4" t="str">
        <f>IF(EXACT($D77, ""), "", VLOOKUP($D77, 'REF - ContactNumberType'!$B$4:$C$10, 2, FALSE))</f>
        <v>Mobile Phone</v>
      </c>
      <c r="F77" s="26" t="s">
        <v>721</v>
      </c>
      <c r="G77" s="9"/>
      <c r="H77" s="9" t="s">
        <v>646</v>
      </c>
      <c r="J77" s="33">
        <f t="shared" si="3"/>
        <v>286000000000074</v>
      </c>
      <c r="K77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'+62 859-5982-2621'::varchar, NULL::varchar, 'Ridha Nauval S'::varchar, NULL::bigint);</v>
      </c>
    </row>
    <row r="78" spans="2:11" x14ac:dyDescent="0.2">
      <c r="B78" s="22">
        <v>25000000000023</v>
      </c>
      <c r="C78" s="4" t="str">
        <f>IF(EXACT($B78, ""), "", IF((($B78 - MOD($B78, 1000000000000))/1000000000000)=25, CONCATENATE("Person - ", VLOOKUP($B78, [1]DataLookUp!$B$4:$C$2000, 2, FALSE)), IF((($B78 - MOD($B78, 1000000000000))/1000000000000)=124, CONCATENATE("Institution - ", VLOOKUP($B78, '[2]DataLookUp - InstitutionBranch'!$B$4:$C$2000, 2, FALSE)), "")))</f>
        <v>Person - Aldi Mulyadi</v>
      </c>
      <c r="D78" s="22">
        <v>223000000000002</v>
      </c>
      <c r="E78" s="4" t="str">
        <f>IF(EXACT($D78, ""), "", VLOOKUP($D78, 'REF - ContactNumberType'!$B$4:$C$10, 2, FALSE))</f>
        <v>Mobile Phone</v>
      </c>
      <c r="F78" s="26" t="s">
        <v>722</v>
      </c>
      <c r="G78" s="9"/>
      <c r="H78" s="9" t="s">
        <v>22</v>
      </c>
      <c r="J78" s="33">
        <f t="shared" si="3"/>
        <v>286000000000075</v>
      </c>
      <c r="K78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'+62 831-1250-5824'::varchar, NULL::varchar, 'Aldi Mulyadi'::varchar, '25000000000023'::bigint);</v>
      </c>
    </row>
    <row r="79" spans="2:11" x14ac:dyDescent="0.2">
      <c r="B79" s="22"/>
      <c r="C79" s="4" t="str">
        <f>IF(EXACT($B79, ""), "", IF((($B79 - MOD($B79, 1000000000000))/1000000000000)=25, CONCATENATE("Person - ", VLOOKUP($B79, [1]DataLookUp!$B$4:$C$2000, 2, FALSE)), IF((($B79 - MOD($B79, 1000000000000))/1000000000000)=124, CONCATENATE("Institution - ", VLOOKUP($B79, '[2]DataLookUp - InstitutionBranch'!$B$4:$C$2000, 2, FALSE)), "")))</f>
        <v/>
      </c>
      <c r="D79" s="22">
        <v>223000000000002</v>
      </c>
      <c r="E79" s="4" t="str">
        <f>IF(EXACT($D79, ""), "", VLOOKUP($D79, 'REF - ContactNumberType'!$B$4:$C$10, 2, FALSE))</f>
        <v>Mobile Phone</v>
      </c>
      <c r="F79" s="26" t="s">
        <v>723</v>
      </c>
      <c r="G79" s="9"/>
      <c r="H79" s="9" t="s">
        <v>648</v>
      </c>
      <c r="J79" s="33">
        <f t="shared" si="3"/>
        <v>286000000000076</v>
      </c>
      <c r="K79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'+62 898-0269-288'::varchar, NULL::varchar, 'Isa Taufik'::varchar, NULL::bigint);</v>
      </c>
    </row>
    <row r="80" spans="2:11" x14ac:dyDescent="0.2">
      <c r="B80" s="22"/>
      <c r="C80" s="4" t="str">
        <f>IF(EXACT($B80, ""), "", IF((($B80 - MOD($B80, 1000000000000))/1000000000000)=25, CONCATENATE("Person - ", VLOOKUP($B80, [1]DataLookUp!$B$4:$C$2000, 2, FALSE)), IF((($B80 - MOD($B80, 1000000000000))/1000000000000)=124, CONCATENATE("Institution - ", VLOOKUP($B80, '[2]DataLookUp - InstitutionBranch'!$B$4:$C$2000, 2, FALSE)), "")))</f>
        <v/>
      </c>
      <c r="D80" s="22">
        <v>223000000000002</v>
      </c>
      <c r="E80" s="4" t="str">
        <f>IF(EXACT($D80, ""), "", VLOOKUP($D80, 'REF - ContactNumberType'!$B$4:$C$10, 2, FALSE))</f>
        <v>Mobile Phone</v>
      </c>
      <c r="F80" s="26" t="s">
        <v>724</v>
      </c>
      <c r="G80" s="9"/>
      <c r="H80" s="9" t="s">
        <v>649</v>
      </c>
      <c r="J80" s="33">
        <f t="shared" si="3"/>
        <v>286000000000077</v>
      </c>
      <c r="K80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'+62 811-1193-9034'::varchar, NULL::varchar, 'Abdul Rachman Nur Hanafi'::varchar, NULL::bigint);</v>
      </c>
    </row>
    <row r="81" spans="2:11" x14ac:dyDescent="0.2">
      <c r="B81" s="22">
        <v>25000000000571</v>
      </c>
      <c r="C81" s="4" t="str">
        <f>IF(EXACT($B81, ""), "", IF((($B81 - MOD($B81, 1000000000000))/1000000000000)=25, CONCATENATE("Person - ", VLOOKUP($B81, [1]DataLookUp!$B$4:$C$2000, 2, FALSE)), IF((($B81 - MOD($B81, 1000000000000))/1000000000000)=124, CONCATENATE("Institution - ", VLOOKUP($B81, '[2]DataLookUp - InstitutionBranch'!$B$4:$C$2000, 2, FALSE)), "")))</f>
        <v>Person - Muhammad Ramadani</v>
      </c>
      <c r="D81" s="22">
        <v>223000000000002</v>
      </c>
      <c r="E81" s="4" t="str">
        <f>IF(EXACT($D81, ""), "", VLOOKUP($D81, 'REF - ContactNumberType'!$B$4:$C$10, 2, FALSE))</f>
        <v>Mobile Phone</v>
      </c>
      <c r="F81" s="26" t="s">
        <v>725</v>
      </c>
      <c r="G81" s="9"/>
      <c r="H81" s="9" t="s">
        <v>570</v>
      </c>
      <c r="J81" s="33">
        <f t="shared" si="3"/>
        <v>286000000000078</v>
      </c>
      <c r="K81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'+62 877-4832-9110'::varchar, NULL::varchar, 'Muhammad Ramadani'::varchar, '25000000000571'::bigint);</v>
      </c>
    </row>
    <row r="82" spans="2:11" x14ac:dyDescent="0.2">
      <c r="B82" s="22">
        <v>25000000000547</v>
      </c>
      <c r="C82" s="4" t="str">
        <f>IF(EXACT($B82, ""), "", IF((($B82 - MOD($B82, 1000000000000))/1000000000000)=25, CONCATENATE("Person - ", VLOOKUP($B82, [1]DataLookUp!$B$4:$C$2000, 2, FALSE)), IF((($B82 - MOD($B82, 1000000000000))/1000000000000)=124, CONCATENATE("Institution - ", VLOOKUP($B82, '[2]DataLookUp - InstitutionBranch'!$B$4:$C$2000, 2, FALSE)), "")))</f>
        <v>Person - Zeinurani</v>
      </c>
      <c r="D82" s="22">
        <v>223000000000002</v>
      </c>
      <c r="E82" s="4" t="str">
        <f>IF(EXACT($D82, ""), "", VLOOKUP($D82, 'REF - ContactNumberType'!$B$4:$C$10, 2, FALSE))</f>
        <v>Mobile Phone</v>
      </c>
      <c r="F82" s="26" t="s">
        <v>726</v>
      </c>
      <c r="G82" s="9"/>
      <c r="H82" s="9" t="s">
        <v>546</v>
      </c>
      <c r="J82" s="33">
        <f t="shared" si="3"/>
        <v>286000000000079</v>
      </c>
      <c r="K82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'+62 812-8084-0848'::varchar, NULL::varchar, 'Zeinurani'::varchar, '25000000000547'::bigint);</v>
      </c>
    </row>
    <row r="83" spans="2:11" x14ac:dyDescent="0.2">
      <c r="B83" s="22"/>
      <c r="C83" s="4" t="str">
        <f>IF(EXACT($B83, ""), "", IF((($B83 - MOD($B83, 1000000000000))/1000000000000)=25, CONCATENATE("Person - ", VLOOKUP($B83, [1]DataLookUp!$B$4:$C$2000, 2, FALSE)), IF((($B83 - MOD($B83, 1000000000000))/1000000000000)=124, CONCATENATE("Institution - ", VLOOKUP($B83, '[2]DataLookUp - InstitutionBranch'!$B$4:$C$2000, 2, FALSE)), "")))</f>
        <v/>
      </c>
      <c r="D83" s="22">
        <v>223000000000002</v>
      </c>
      <c r="E83" s="4" t="str">
        <f>IF(EXACT($D83, ""), "", VLOOKUP($D83, 'REF - ContactNumberType'!$B$4:$C$10, 2, FALSE))</f>
        <v>Mobile Phone</v>
      </c>
      <c r="F83" s="26" t="s">
        <v>727</v>
      </c>
      <c r="G83" s="9"/>
      <c r="H83" s="9" t="s">
        <v>650</v>
      </c>
      <c r="J83" s="33">
        <f t="shared" si="3"/>
        <v>286000000000080</v>
      </c>
      <c r="K83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'+62 823-3546-1142'::varchar, NULL::varchar, 'Satrio Dhiaputra Prayudi'::varchar, NULL::bigint);</v>
      </c>
    </row>
    <row r="84" spans="2:11" x14ac:dyDescent="0.2">
      <c r="B84" s="22">
        <v>25000000000044</v>
      </c>
      <c r="C84" s="4" t="str">
        <f>IF(EXACT($B84, ""), "", IF((($B84 - MOD($B84, 1000000000000))/1000000000000)=25, CONCATENATE("Person - ", VLOOKUP($B84, [1]DataLookUp!$B$4:$C$2000, 2, FALSE)), IF((($B84 - MOD($B84, 1000000000000))/1000000000000)=124, CONCATENATE("Institution - ", VLOOKUP($B84, '[2]DataLookUp - InstitutionBranch'!$B$4:$C$2000, 2, FALSE)), "")))</f>
        <v>Person - Anugerah Januariansyah</v>
      </c>
      <c r="D84" s="22">
        <v>223000000000002</v>
      </c>
      <c r="E84" s="4" t="str">
        <f>IF(EXACT($D84, ""), "", VLOOKUP($D84, 'REF - ContactNumberType'!$B$4:$C$10, 2, FALSE))</f>
        <v>Mobile Phone</v>
      </c>
      <c r="F84" s="26" t="s">
        <v>728</v>
      </c>
      <c r="G84" s="9"/>
      <c r="H84" s="9" t="s">
        <v>43</v>
      </c>
      <c r="J84" s="33">
        <f t="shared" si="3"/>
        <v>286000000000081</v>
      </c>
      <c r="K84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'+62 857-4382-5555'::varchar, NULL::varchar, 'Anugerah Januariansyah'::varchar, '25000000000044'::bigint);</v>
      </c>
    </row>
    <row r="85" spans="2:11" x14ac:dyDescent="0.2">
      <c r="B85" s="22">
        <v>25000000000600</v>
      </c>
      <c r="C85" s="4" t="str">
        <f>IF(EXACT($B85, ""), "", IF((($B85 - MOD($B85, 1000000000000))/1000000000000)=25, CONCATENATE("Person - ", VLOOKUP($B85, [1]DataLookUp!$B$4:$C$2000, 2, FALSE)), IF((($B85 - MOD($B85, 1000000000000))/1000000000000)=124, CONCATENATE("Institution - ", VLOOKUP($B85, '[2]DataLookUp - InstitutionBranch'!$B$4:$C$2000, 2, FALSE)), "")))</f>
        <v>Person - Kiki Prasetyo</v>
      </c>
      <c r="D85" s="22">
        <v>223000000000002</v>
      </c>
      <c r="E85" s="4" t="str">
        <f>IF(EXACT($D85, ""), "", VLOOKUP($D85, 'REF - ContactNumberType'!$B$4:$C$10, 2, FALSE))</f>
        <v>Mobile Phone</v>
      </c>
      <c r="F85" s="26" t="s">
        <v>729</v>
      </c>
      <c r="G85" s="9"/>
      <c r="H85" s="9" t="s">
        <v>599</v>
      </c>
      <c r="J85" s="33">
        <f t="shared" si="3"/>
        <v>286000000000082</v>
      </c>
      <c r="K85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'+62 812-1015-216'::varchar, NULL::varchar, 'Kiki Prasetyo'::varchar, '25000000000600'::bigint);</v>
      </c>
    </row>
    <row r="86" spans="2:11" x14ac:dyDescent="0.2">
      <c r="B86" s="22">
        <v>25000000000273</v>
      </c>
      <c r="C86" s="4" t="str">
        <f>IF(EXACT($B86, ""), "", IF((($B86 - MOD($B86, 1000000000000))/1000000000000)=25, CONCATENATE("Person - ", VLOOKUP($B86, [1]DataLookUp!$B$4:$C$2000, 2, FALSE)), IF((($B86 - MOD($B86, 1000000000000))/1000000000000)=124, CONCATENATE("Institution - ", VLOOKUP($B86, '[2]DataLookUp - InstitutionBranch'!$B$4:$C$2000, 2, FALSE)), "")))</f>
        <v>Person - Pantas Banjarnahor Marbun</v>
      </c>
      <c r="D86" s="22">
        <v>223000000000002</v>
      </c>
      <c r="E86" s="4" t="str">
        <f>IF(EXACT($D86, ""), "", VLOOKUP($D86, 'REF - ContactNumberType'!$B$4:$C$10, 2, FALSE))</f>
        <v>Mobile Phone</v>
      </c>
      <c r="F86" s="26" t="s">
        <v>730</v>
      </c>
      <c r="G86" s="9"/>
      <c r="H86" s="9" t="s">
        <v>272</v>
      </c>
      <c r="J86" s="33">
        <f t="shared" si="3"/>
        <v>286000000000083</v>
      </c>
      <c r="K86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'+62 813-7544-0999'::varchar, NULL::varchar, 'Pantas Banjarnahor Marbun'::varchar, '25000000000273'::bigint);</v>
      </c>
    </row>
    <row r="87" spans="2:11" x14ac:dyDescent="0.2">
      <c r="B87" s="22">
        <v>25000000000587</v>
      </c>
      <c r="C87" s="4" t="str">
        <f>IF(EXACT($B87, ""), "", IF((($B87 - MOD($B87, 1000000000000))/1000000000000)=25, CONCATENATE("Person - ", VLOOKUP($B87, [1]DataLookUp!$B$4:$C$2000, 2, FALSE)), IF((($B87 - MOD($B87, 1000000000000))/1000000000000)=124, CONCATENATE("Institution - ", VLOOKUP($B87, '[2]DataLookUp - InstitutionBranch'!$B$4:$C$2000, 2, FALSE)), "")))</f>
        <v>Person - Firmansyah Awaludin</v>
      </c>
      <c r="D87" s="22">
        <v>223000000000002</v>
      </c>
      <c r="E87" s="4" t="str">
        <f>IF(EXACT($D87, ""), "", VLOOKUP($D87, 'REF - ContactNumberType'!$B$4:$C$10, 2, FALSE))</f>
        <v>Mobile Phone</v>
      </c>
      <c r="F87" s="26" t="s">
        <v>731</v>
      </c>
      <c r="G87" s="9"/>
      <c r="H87" s="9" t="s">
        <v>586</v>
      </c>
      <c r="J87" s="33">
        <f t="shared" si="3"/>
        <v>286000000000084</v>
      </c>
      <c r="K87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'+62 812-1320-5160'::varchar, NULL::varchar, 'Firmansyah Awaludin'::varchar, '25000000000587'::bigint);</v>
      </c>
    </row>
    <row r="88" spans="2:11" x14ac:dyDescent="0.2">
      <c r="B88" s="22">
        <v>25000000000589</v>
      </c>
      <c r="C88" s="4" t="str">
        <f>IF(EXACT($B88, ""), "", IF((($B88 - MOD($B88, 1000000000000))/1000000000000)=25, CONCATENATE("Person - ", VLOOKUP($B88, [1]DataLookUp!$B$4:$C$2000, 2, FALSE)), IF((($B88 - MOD($B88, 1000000000000))/1000000000000)=124, CONCATENATE("Institution - ", VLOOKUP($B88, '[2]DataLookUp - InstitutionBranch'!$B$4:$C$2000, 2, FALSE)), "")))</f>
        <v>Person - Muhammad Irfan Alfikri Rayana</v>
      </c>
      <c r="D88" s="22">
        <v>223000000000002</v>
      </c>
      <c r="E88" s="4" t="str">
        <f>IF(EXACT($D88, ""), "", VLOOKUP($D88, 'REF - ContactNumberType'!$B$4:$C$10, 2, FALSE))</f>
        <v>Mobile Phone</v>
      </c>
      <c r="F88" s="26" t="s">
        <v>732</v>
      </c>
      <c r="G88" s="9"/>
      <c r="H88" s="9" t="s">
        <v>588</v>
      </c>
      <c r="J88" s="33">
        <f t="shared" si="3"/>
        <v>286000000000085</v>
      </c>
      <c r="K88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'+62 813-68061116'::varchar, NULL::varchar, 'Muhammad Irfan Alfikri Rayana'::varchar, '25000000000589'::bigint);</v>
      </c>
    </row>
    <row r="89" spans="2:11" x14ac:dyDescent="0.2">
      <c r="B89" s="22">
        <v>25000000000428</v>
      </c>
      <c r="C89" s="4" t="str">
        <f>IF(EXACT($B89, ""), "", IF((($B89 - MOD($B89, 1000000000000))/1000000000000)=25, CONCATENATE("Person - ", VLOOKUP($B89, [1]DataLookUp!$B$4:$C$2000, 2, FALSE)), IF((($B89 - MOD($B89, 1000000000000))/1000000000000)=124, CONCATENATE("Institution - ", VLOOKUP($B89, '[2]DataLookUp - InstitutionBranch'!$B$4:$C$2000, 2, FALSE)), "")))</f>
        <v>Person - Suyanto</v>
      </c>
      <c r="D89" s="22">
        <v>223000000000002</v>
      </c>
      <c r="E89" s="4" t="str">
        <f>IF(EXACT($D89, ""), "", VLOOKUP($D89, 'REF - ContactNumberType'!$B$4:$C$10, 2, FALSE))</f>
        <v>Mobile Phone</v>
      </c>
      <c r="F89" s="26" t="s">
        <v>733</v>
      </c>
      <c r="G89" s="9"/>
      <c r="H89" s="9" t="s">
        <v>427</v>
      </c>
      <c r="J89" s="33">
        <f t="shared" si="3"/>
        <v>286000000000086</v>
      </c>
      <c r="K89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'+62 838-2329-6661'::varchar, NULL::varchar, 'Suyanto'::varchar, '25000000000428'::bigint);</v>
      </c>
    </row>
    <row r="90" spans="2:11" x14ac:dyDescent="0.2">
      <c r="B90" s="22"/>
      <c r="C90" s="4" t="str">
        <f>IF(EXACT($B90, ""), "", IF((($B90 - MOD($B90, 1000000000000))/1000000000000)=25, CONCATENATE("Person - ", VLOOKUP($B90, [1]DataLookUp!$B$4:$C$2000, 2, FALSE)), IF((($B90 - MOD($B90, 1000000000000))/1000000000000)=124, CONCATENATE("Institution - ", VLOOKUP($B90, '[2]DataLookUp - InstitutionBranch'!$B$4:$C$2000, 2, FALSE)), "")))</f>
        <v/>
      </c>
      <c r="D90" s="22">
        <v>223000000000002</v>
      </c>
      <c r="E90" s="4" t="str">
        <f>IF(EXACT($D90, ""), "", VLOOKUP($D90, 'REF - ContactNumberType'!$B$4:$C$10, 2, FALSE))</f>
        <v>Mobile Phone</v>
      </c>
      <c r="F90" s="26" t="s">
        <v>736</v>
      </c>
      <c r="G90" s="9"/>
      <c r="H90" s="9" t="s">
        <v>888</v>
      </c>
      <c r="J90" s="33">
        <f t="shared" si="3"/>
        <v>286000000000087</v>
      </c>
      <c r="K90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'+62 817-4941-066'::varchar, NULL::varchar, 'Anna S. Haryadi'::varchar, NULL::bigint);</v>
      </c>
    </row>
    <row r="91" spans="2:11" x14ac:dyDescent="0.2">
      <c r="B91" s="22">
        <v>25000000000252</v>
      </c>
      <c r="C91" s="4" t="str">
        <f>IF(EXACT($B91, ""), "", IF((($B91 - MOD($B91, 1000000000000))/1000000000000)=25, CONCATENATE("Person - ", VLOOKUP($B91, [1]DataLookUp!$B$4:$C$2000, 2, FALSE)), IF((($B91 - MOD($B91, 1000000000000))/1000000000000)=124, CONCATENATE("Institution - ", VLOOKUP($B91, '[2]DataLookUp - InstitutionBranch'!$B$4:$C$2000, 2, FALSE)), "")))</f>
        <v>Person - Kiki Mustikawati</v>
      </c>
      <c r="D91" s="22">
        <v>223000000000002</v>
      </c>
      <c r="E91" s="4" t="str">
        <f>IF(EXACT($D91, ""), "", VLOOKUP($D91, 'REF - ContactNumberType'!$B$4:$C$10, 2, FALSE))</f>
        <v>Mobile Phone</v>
      </c>
      <c r="F91" s="26" t="s">
        <v>737</v>
      </c>
      <c r="G91" s="9"/>
      <c r="H91" s="9" t="s">
        <v>251</v>
      </c>
      <c r="J91" s="33">
        <f t="shared" si="3"/>
        <v>286000000000088</v>
      </c>
      <c r="K91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'+62 815-1420-0068'::varchar, NULL::varchar, 'Kiki Mustikawati'::varchar, '25000000000252'::bigint);</v>
      </c>
    </row>
    <row r="92" spans="2:11" x14ac:dyDescent="0.2">
      <c r="B92" s="22">
        <v>25000000000235</v>
      </c>
      <c r="C92" s="4" t="str">
        <f>IF(EXACT($B92, ""), "", IF((($B92 - MOD($B92, 1000000000000))/1000000000000)=25, CONCATENATE("Person - ", VLOOKUP($B92, [1]DataLookUp!$B$4:$C$2000, 2, FALSE)), IF((($B92 - MOD($B92, 1000000000000))/1000000000000)=124, CONCATENATE("Institution - ", VLOOKUP($B92, '[2]DataLookUp - InstitutionBranch'!$B$4:$C$2000, 2, FALSE)), "")))</f>
        <v>Person - Joko Wiyono</v>
      </c>
      <c r="D92" s="22">
        <v>223000000000002</v>
      </c>
      <c r="E92" s="4" t="str">
        <f>IF(EXACT($D92, ""), "", VLOOKUP($D92, 'REF - ContactNumberType'!$B$4:$C$10, 2, FALSE))</f>
        <v>Mobile Phone</v>
      </c>
      <c r="F92" s="26" t="s">
        <v>754</v>
      </c>
      <c r="G92" s="9"/>
      <c r="H92" s="9" t="s">
        <v>234</v>
      </c>
      <c r="J92" s="33">
        <f t="shared" si="3"/>
        <v>286000000000089</v>
      </c>
      <c r="K92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'+62 896-9470-0522'::varchar, NULL::varchar, 'Joko Wiyono'::varchar, '25000000000235'::bigint);</v>
      </c>
    </row>
    <row r="93" spans="2:11" x14ac:dyDescent="0.2">
      <c r="B93" s="22">
        <v>25000000000287</v>
      </c>
      <c r="C93" s="4" t="str">
        <f>IF(EXACT($B93, ""), "", IF((($B93 - MOD($B93, 1000000000000))/1000000000000)=25, CONCATENATE("Person - ", VLOOKUP($B93, [1]DataLookUp!$B$4:$C$2000, 2, FALSE)), IF((($B93 - MOD($B93, 1000000000000))/1000000000000)=124, CONCATENATE("Institution - ", VLOOKUP($B93, '[2]DataLookUp - InstitutionBranch'!$B$4:$C$2000, 2, FALSE)), "")))</f>
        <v>Person - Mochamad Samman</v>
      </c>
      <c r="D93" s="22">
        <v>223000000000002</v>
      </c>
      <c r="E93" s="4" t="str">
        <f>IF(EXACT($D93, ""), "", VLOOKUP($D93, 'REF - ContactNumberType'!$B$4:$C$10, 2, FALSE))</f>
        <v>Mobile Phone</v>
      </c>
      <c r="F93" s="26" t="s">
        <v>755</v>
      </c>
      <c r="G93" s="9"/>
      <c r="H93" s="9" t="s">
        <v>286</v>
      </c>
      <c r="J93" s="33">
        <f t="shared" si="3"/>
        <v>286000000000090</v>
      </c>
      <c r="K93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'+62 857-7788-4428'::varchar, NULL::varchar, 'Mochamad Samman'::varchar, '25000000000287'::bigint);</v>
      </c>
    </row>
    <row r="94" spans="2:11" x14ac:dyDescent="0.2">
      <c r="B94" s="22">
        <v>25000000000002</v>
      </c>
      <c r="C94" s="4" t="str">
        <f>IF(EXACT($B94, ""), "", IF((($B94 - MOD($B94, 1000000000000))/1000000000000)=25, CONCATENATE("Person - ", VLOOKUP($B94, [1]DataLookUp!$B$4:$C$2000, 2, FALSE)), IF((($B94 - MOD($B94, 1000000000000))/1000000000000)=124, CONCATENATE("Institution - ", VLOOKUP($B94, '[2]DataLookUp - InstitutionBranch'!$B$4:$C$2000, 2, FALSE)), "")))</f>
        <v>Person - Abdul Karim</v>
      </c>
      <c r="D94" s="22">
        <v>223000000000002</v>
      </c>
      <c r="E94" s="4" t="str">
        <f>IF(EXACT($D94, ""), "", VLOOKUP($D94, 'REF - ContactNumberType'!$B$4:$C$10, 2, FALSE))</f>
        <v>Mobile Phone</v>
      </c>
      <c r="F94" s="26" t="s">
        <v>756</v>
      </c>
      <c r="G94" s="9"/>
      <c r="H94" s="9" t="s">
        <v>1</v>
      </c>
      <c r="J94" s="33">
        <f t="shared" si="3"/>
        <v>286000000000091</v>
      </c>
      <c r="K94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'+62 812-1361-2811'::varchar, NULL::varchar, 'Abdul Karim'::varchar, '25000000000002'::bigint);</v>
      </c>
    </row>
    <row r="95" spans="2:11" x14ac:dyDescent="0.2">
      <c r="B95" s="22">
        <v>25000000000343</v>
      </c>
      <c r="C95" s="4" t="str">
        <f>IF(EXACT($B95, ""), "", IF((($B95 - MOD($B95, 1000000000000))/1000000000000)=25, CONCATENATE("Person - ", VLOOKUP($B95, [1]DataLookUp!$B$4:$C$2000, 2, FALSE)), IF((($B95 - MOD($B95, 1000000000000))/1000000000000)=124, CONCATENATE("Institution - ", VLOOKUP($B95, '[2]DataLookUp - InstitutionBranch'!$B$4:$C$2000, 2, FALSE)), "")))</f>
        <v>Person - Rangga Darmawan</v>
      </c>
      <c r="D95" s="22">
        <v>223000000000002</v>
      </c>
      <c r="E95" s="4" t="str">
        <f>IF(EXACT($D95, ""), "", VLOOKUP($D95, 'REF - ContactNumberType'!$B$4:$C$10, 2, FALSE))</f>
        <v>Mobile Phone</v>
      </c>
      <c r="F95" s="26" t="s">
        <v>757</v>
      </c>
      <c r="G95" s="9"/>
      <c r="H95" s="9" t="s">
        <v>342</v>
      </c>
      <c r="J95" s="33">
        <f t="shared" si="3"/>
        <v>286000000000092</v>
      </c>
      <c r="K95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'+62 895-1078-0429'::varchar, NULL::varchar, 'Rangga Darmawan'::varchar, '25000000000343'::bigint);</v>
      </c>
    </row>
    <row r="96" spans="2:11" x14ac:dyDescent="0.2">
      <c r="B96" s="22"/>
      <c r="C96" s="4" t="str">
        <f>IF(EXACT($B96, ""), "", IF((($B96 - MOD($B96, 1000000000000))/1000000000000)=25, CONCATENATE("Person - ", VLOOKUP($B96, [1]DataLookUp!$B$4:$C$2000, 2, FALSE)), IF((($B96 - MOD($B96, 1000000000000))/1000000000000)=124, CONCATENATE("Institution - ", VLOOKUP($B96, '[2]DataLookUp - InstitutionBranch'!$B$4:$C$2000, 2, FALSE)), "")))</f>
        <v/>
      </c>
      <c r="D96" s="22">
        <v>223000000000002</v>
      </c>
      <c r="E96" s="4" t="str">
        <f>IF(EXACT($D96, ""), "", VLOOKUP($D96, 'REF - ContactNumberType'!$B$4:$C$10, 2, FALSE))</f>
        <v>Mobile Phone</v>
      </c>
      <c r="F96" s="26" t="s">
        <v>758</v>
      </c>
      <c r="G96" s="9"/>
      <c r="H96" s="9" t="s">
        <v>744</v>
      </c>
      <c r="J96" s="33">
        <f t="shared" si="3"/>
        <v>286000000000093</v>
      </c>
      <c r="K96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'+62 813-1713-1650'::varchar, NULL::varchar, 'Dwi Kristianto'::varchar, NULL::bigint);</v>
      </c>
    </row>
    <row r="97" spans="2:11" x14ac:dyDescent="0.2">
      <c r="B97" s="22"/>
      <c r="C97" s="4" t="str">
        <f>IF(EXACT($B97, ""), "", IF((($B97 - MOD($B97, 1000000000000))/1000000000000)=25, CONCATENATE("Person - ", VLOOKUP($B97, [1]DataLookUp!$B$4:$C$2000, 2, FALSE)), IF((($B97 - MOD($B97, 1000000000000))/1000000000000)=124, CONCATENATE("Institution - ", VLOOKUP($B97, '[2]DataLookUp - InstitutionBranch'!$B$4:$C$2000, 2, FALSE)), "")))</f>
        <v/>
      </c>
      <c r="D97" s="22">
        <v>223000000000002</v>
      </c>
      <c r="E97" s="4" t="str">
        <f>IF(EXACT($D97, ""), "", VLOOKUP($D97, 'REF - ContactNumberType'!$B$4:$C$10, 2, FALSE))</f>
        <v>Mobile Phone</v>
      </c>
      <c r="F97" s="26" t="s">
        <v>759</v>
      </c>
      <c r="G97" s="9"/>
      <c r="H97" s="9" t="s">
        <v>745</v>
      </c>
      <c r="J97" s="33">
        <f t="shared" si="3"/>
        <v>286000000000094</v>
      </c>
      <c r="K97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'+62 813-6191-3004'::varchar, NULL::varchar, 'Jusuf Gandi Lumban Tobing'::varchar, NULL::bigint);</v>
      </c>
    </row>
    <row r="98" spans="2:11" x14ac:dyDescent="0.2">
      <c r="B98" s="22"/>
      <c r="C98" s="4" t="str">
        <f>IF(EXACT($B98, ""), "", IF((($B98 - MOD($B98, 1000000000000))/1000000000000)=25, CONCATENATE("Person - ", VLOOKUP($B98, [1]DataLookUp!$B$4:$C$2000, 2, FALSE)), IF((($B98 - MOD($B98, 1000000000000))/1000000000000)=124, CONCATENATE("Institution - ", VLOOKUP($B98, '[2]DataLookUp - InstitutionBranch'!$B$4:$C$2000, 2, FALSE)), "")))</f>
        <v/>
      </c>
      <c r="D98" s="22">
        <v>223000000000002</v>
      </c>
      <c r="E98" s="4" t="str">
        <f>IF(EXACT($D98, ""), "", VLOOKUP($D98, 'REF - ContactNumberType'!$B$4:$C$10, 2, FALSE))</f>
        <v>Mobile Phone</v>
      </c>
      <c r="F98" s="26" t="s">
        <v>760</v>
      </c>
      <c r="G98" s="9"/>
      <c r="H98" s="9" t="s">
        <v>746</v>
      </c>
      <c r="J98" s="33">
        <f t="shared" si="3"/>
        <v>286000000000095</v>
      </c>
      <c r="K98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'+62 813-1942-6812'::varchar, NULL::varchar, 'Herman'::varchar, NULL::bigint);</v>
      </c>
    </row>
    <row r="99" spans="2:11" x14ac:dyDescent="0.2">
      <c r="B99" s="22">
        <v>25000000000282</v>
      </c>
      <c r="C99" s="4" t="str">
        <f>IF(EXACT($B99, ""), "", IF((($B99 - MOD($B99, 1000000000000))/1000000000000)=25, CONCATENATE("Person - ", VLOOKUP($B99, [1]DataLookUp!$B$4:$C$2000, 2, FALSE)), IF((($B99 - MOD($B99, 1000000000000))/1000000000000)=124, CONCATENATE("Institution - ", VLOOKUP($B99, '[2]DataLookUp - InstitutionBranch'!$B$4:$C$2000, 2, FALSE)), "")))</f>
        <v>Person - Mhd Syahputra</v>
      </c>
      <c r="D99" s="22">
        <v>223000000000002</v>
      </c>
      <c r="E99" s="4" t="str">
        <f>IF(EXACT($D99, ""), "", VLOOKUP($D99, 'REF - ContactNumberType'!$B$4:$C$10, 2, FALSE))</f>
        <v>Mobile Phone</v>
      </c>
      <c r="F99" s="26" t="s">
        <v>761</v>
      </c>
      <c r="G99" s="9"/>
      <c r="H99" s="9" t="s">
        <v>281</v>
      </c>
      <c r="J99" s="33">
        <f t="shared" si="3"/>
        <v>286000000000096</v>
      </c>
      <c r="K99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'+62 821-6221-3821'::varchar, NULL::varchar, 'Mhd Syahputra'::varchar, '25000000000282'::bigint);</v>
      </c>
    </row>
    <row r="100" spans="2:11" x14ac:dyDescent="0.2">
      <c r="B100" s="22">
        <v>25000000000178</v>
      </c>
      <c r="C100" s="4" t="str">
        <f>IF(EXACT($B100, ""), "", IF((($B100 - MOD($B100, 1000000000000))/1000000000000)=25, CONCATENATE("Person - ", VLOOKUP($B100, [1]DataLookUp!$B$4:$C$2000, 2, FALSE)), IF((($B100 - MOD($B100, 1000000000000))/1000000000000)=124, CONCATENATE("Institution - ", VLOOKUP($B100, '[2]DataLookUp - InstitutionBranch'!$B$4:$C$2000, 2, FALSE)), "")))</f>
        <v>Person - Harlen Amudi Purba</v>
      </c>
      <c r="D100" s="22">
        <v>223000000000002</v>
      </c>
      <c r="E100" s="4" t="str">
        <f>IF(EXACT($D100, ""), "", VLOOKUP($D100, 'REF - ContactNumberType'!$B$4:$C$10, 2, FALSE))</f>
        <v>Mobile Phone</v>
      </c>
      <c r="F100" s="26" t="s">
        <v>762</v>
      </c>
      <c r="G100" s="9"/>
      <c r="H100" s="9" t="s">
        <v>177</v>
      </c>
      <c r="J100" s="33">
        <f t="shared" si="3"/>
        <v>286000000000097</v>
      </c>
      <c r="K100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'+62 823-6942-8777'::varchar, NULL::varchar, 'Harlen Amudi Purba'::varchar, '25000000000178'::bigint);</v>
      </c>
    </row>
    <row r="101" spans="2:11" x14ac:dyDescent="0.2">
      <c r="B101" s="22"/>
      <c r="C101" s="4" t="str">
        <f>IF(EXACT($B101, ""), "", IF((($B101 - MOD($B101, 1000000000000))/1000000000000)=25, CONCATENATE("Person - ", VLOOKUP($B101, [1]DataLookUp!$B$4:$C$2000, 2, FALSE)), IF((($B101 - MOD($B101, 1000000000000))/1000000000000)=124, CONCATENATE("Institution - ", VLOOKUP($B101, '[2]DataLookUp - InstitutionBranch'!$B$4:$C$2000, 2, FALSE)), "")))</f>
        <v/>
      </c>
      <c r="D101" s="22">
        <v>223000000000002</v>
      </c>
      <c r="E101" s="4" t="str">
        <f>IF(EXACT($D101, ""), "", VLOOKUP($D101, 'REF - ContactNumberType'!$B$4:$C$10, 2, FALSE))</f>
        <v>Mobile Phone</v>
      </c>
      <c r="F101" s="26" t="s">
        <v>763</v>
      </c>
      <c r="G101" s="9"/>
      <c r="H101" s="9" t="s">
        <v>747</v>
      </c>
      <c r="J101" s="33">
        <f t="shared" si="3"/>
        <v>286000000000098</v>
      </c>
      <c r="K101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'+62 856-0933-4286'::varchar, NULL::varchar, 'M Ridho Pramudia'::varchar, NULL::bigint);</v>
      </c>
    </row>
    <row r="102" spans="2:11" x14ac:dyDescent="0.2">
      <c r="B102" s="22">
        <v>25000000000125</v>
      </c>
      <c r="C102" s="4" t="str">
        <f>IF(EXACT($B102, ""), "", IF((($B102 - MOD($B102, 1000000000000))/1000000000000)=25, CONCATENATE("Person - ", VLOOKUP($B102, [1]DataLookUp!$B$4:$C$2000, 2, FALSE)), IF((($B102 - MOD($B102, 1000000000000))/1000000000000)=124, CONCATENATE("Institution - ", VLOOKUP($B102, '[2]DataLookUp - InstitutionBranch'!$B$4:$C$2000, 2, FALSE)), "")))</f>
        <v>Person - Eka Purwanti</v>
      </c>
      <c r="D102" s="22">
        <v>223000000000002</v>
      </c>
      <c r="E102" s="4" t="str">
        <f>IF(EXACT($D102, ""), "", VLOOKUP($D102, 'REF - ContactNumberType'!$B$4:$C$10, 2, FALSE))</f>
        <v>Mobile Phone</v>
      </c>
      <c r="F102" s="26" t="s">
        <v>764</v>
      </c>
      <c r="G102" s="9"/>
      <c r="H102" s="9" t="s">
        <v>124</v>
      </c>
      <c r="J102" s="33">
        <f t="shared" si="3"/>
        <v>286000000000099</v>
      </c>
      <c r="K102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'+62 878-8167-4480'::varchar, NULL::varchar, 'Eka Purwanti'::varchar, '25000000000125'::bigint);</v>
      </c>
    </row>
    <row r="103" spans="2:11" x14ac:dyDescent="0.2">
      <c r="B103" s="22">
        <v>25000000000255</v>
      </c>
      <c r="C103" s="4" t="str">
        <f>IF(EXACT($B103, ""), "", IF((($B103 - MOD($B103, 1000000000000))/1000000000000)=25, CONCATENATE("Person - ", VLOOKUP($B103, [1]DataLookUp!$B$4:$C$2000, 2, FALSE)), IF((($B103 - MOD($B103, 1000000000000))/1000000000000)=124, CONCATENATE("Institution - ", VLOOKUP($B103, '[2]DataLookUp - InstitutionBranch'!$B$4:$C$2000, 2, FALSE)), "")))</f>
        <v>Person - Krisnawan</v>
      </c>
      <c r="D103" s="22">
        <v>223000000000002</v>
      </c>
      <c r="E103" s="4" t="str">
        <f>IF(EXACT($D103, ""), "", VLOOKUP($D103, 'REF - ContactNumberType'!$B$4:$C$10, 2, FALSE))</f>
        <v>Mobile Phone</v>
      </c>
      <c r="F103" s="26" t="s">
        <v>765</v>
      </c>
      <c r="G103" s="9"/>
      <c r="H103" s="9" t="s">
        <v>254</v>
      </c>
      <c r="J103" s="33">
        <f t="shared" si="3"/>
        <v>286000000000100</v>
      </c>
      <c r="K103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'+62 811-133-616'::varchar, NULL::varchar, 'Krisnawan'::varchar, '25000000000255'::bigint);</v>
      </c>
    </row>
    <row r="104" spans="2:11" x14ac:dyDescent="0.2">
      <c r="B104" s="22">
        <v>25000000000150</v>
      </c>
      <c r="C104" s="4" t="str">
        <f>IF(EXACT($B104, ""), "", IF((($B104 - MOD($B104, 1000000000000))/1000000000000)=25, CONCATENATE("Person - ", VLOOKUP($B104, [1]DataLookUp!$B$4:$C$2000, 2, FALSE)), IF((($B104 - MOD($B104, 1000000000000))/1000000000000)=124, CONCATENATE("Institution - ", VLOOKUP($B104, '[2]DataLookUp - InstitutionBranch'!$B$4:$C$2000, 2, FALSE)), "")))</f>
        <v>Person - Febryan Mahsyar</v>
      </c>
      <c r="D104" s="22">
        <v>223000000000002</v>
      </c>
      <c r="E104" s="4" t="str">
        <f>IF(EXACT($D104, ""), "", VLOOKUP($D104, 'REF - ContactNumberType'!$B$4:$C$10, 2, FALSE))</f>
        <v>Mobile Phone</v>
      </c>
      <c r="F104" s="26" t="s">
        <v>766</v>
      </c>
      <c r="G104" s="9"/>
      <c r="H104" s="9" t="s">
        <v>149</v>
      </c>
      <c r="J104" s="33">
        <f t="shared" si="3"/>
        <v>286000000000101</v>
      </c>
      <c r="K104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'+62 895-0210-7482'::varchar, NULL::varchar, 'Febryan Mahsyar'::varchar, '25000000000150'::bigint);</v>
      </c>
    </row>
    <row r="105" spans="2:11" x14ac:dyDescent="0.2">
      <c r="B105" s="22">
        <v>25000000000507</v>
      </c>
      <c r="C105" s="4" t="str">
        <f>IF(EXACT($B105, ""), "", IF((($B105 - MOD($B105, 1000000000000))/1000000000000)=25, CONCATENATE("Person - ", VLOOKUP($B105, [1]DataLookUp!$B$4:$C$2000, 2, FALSE)), IF((($B105 - MOD($B105, 1000000000000))/1000000000000)=124, CONCATENATE("Institution - ", VLOOKUP($B105, '[2]DataLookUp - InstitutionBranch'!$B$4:$C$2000, 2, FALSE)), "")))</f>
        <v>Person - Khamim Taryono</v>
      </c>
      <c r="D105" s="22">
        <v>223000000000002</v>
      </c>
      <c r="E105" s="4" t="str">
        <f>IF(EXACT($D105, ""), "", VLOOKUP($D105, 'REF - ContactNumberType'!$B$4:$C$10, 2, FALSE))</f>
        <v>Mobile Phone</v>
      </c>
      <c r="F105" s="26" t="s">
        <v>767</v>
      </c>
      <c r="G105" s="9"/>
      <c r="H105" s="9" t="s">
        <v>506</v>
      </c>
      <c r="J105" s="33">
        <f t="shared" si="3"/>
        <v>286000000000102</v>
      </c>
      <c r="K105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'+62 813-8426-4004'::varchar, NULL::varchar, 'Khamim Taryono'::varchar, '25000000000507'::bigint);</v>
      </c>
    </row>
    <row r="106" spans="2:11" x14ac:dyDescent="0.2">
      <c r="B106" s="22">
        <v>25000000000101</v>
      </c>
      <c r="C106" s="4" t="str">
        <f>IF(EXACT($B106, ""), "", IF((($B106 - MOD($B106, 1000000000000))/1000000000000)=25, CONCATENATE("Person - ", VLOOKUP($B106, [1]DataLookUp!$B$4:$C$2000, 2, FALSE)), IF((($B106 - MOD($B106, 1000000000000))/1000000000000)=124, CONCATENATE("Institution - ", VLOOKUP($B106, '[2]DataLookUp - InstitutionBranch'!$B$4:$C$2000, 2, FALSE)), "")))</f>
        <v>Person - Desi Herawati</v>
      </c>
      <c r="D106" s="22">
        <v>223000000000002</v>
      </c>
      <c r="E106" s="4" t="str">
        <f>IF(EXACT($D106, ""), "", VLOOKUP($D106, 'REF - ContactNumberType'!$B$4:$C$10, 2, FALSE))</f>
        <v>Mobile Phone</v>
      </c>
      <c r="F106" s="26" t="s">
        <v>1658</v>
      </c>
      <c r="G106" s="9"/>
      <c r="H106" s="9" t="s">
        <v>100</v>
      </c>
      <c r="J106" s="33">
        <f t="shared" si="3"/>
        <v>286000000000103</v>
      </c>
      <c r="K106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'+62 856-786-1993'::varchar, NULL::varchar, 'Desi Herawati'::varchar, '25000000000101'::bigint);</v>
      </c>
    </row>
    <row r="107" spans="2:11" x14ac:dyDescent="0.2">
      <c r="B107" s="22">
        <v>25000000000552</v>
      </c>
      <c r="C107" s="4" t="str">
        <f>IF(EXACT($B107, ""), "", IF((($B107 - MOD($B107, 1000000000000))/1000000000000)=25, CONCATENATE("Person - ", VLOOKUP($B107, [1]DataLookUp!$B$4:$C$2000, 2, FALSE)), IF((($B107 - MOD($B107, 1000000000000))/1000000000000)=124, CONCATENATE("Institution - ", VLOOKUP($B107, '[2]DataLookUp - InstitutionBranch'!$B$4:$C$2000, 2, FALSE)), "")))</f>
        <v>Person - Aldi Rizaldi</v>
      </c>
      <c r="D107" s="22">
        <v>223000000000002</v>
      </c>
      <c r="E107" s="4" t="str">
        <f>IF(EXACT($D107, ""), "", VLOOKUP($D107, 'REF - ContactNumberType'!$B$4:$C$10, 2, FALSE))</f>
        <v>Mobile Phone</v>
      </c>
      <c r="F107" s="26" t="s">
        <v>769</v>
      </c>
      <c r="G107" s="9"/>
      <c r="H107" s="9" t="s">
        <v>551</v>
      </c>
      <c r="J107" s="33">
        <f t="shared" si="3"/>
        <v>286000000000104</v>
      </c>
      <c r="K107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'+62 813-1095-1811'::varchar, NULL::varchar, 'Aldi Rizaldi'::varchar, '25000000000552'::bigint);</v>
      </c>
    </row>
    <row r="108" spans="2:11" x14ac:dyDescent="0.2">
      <c r="B108" s="22"/>
      <c r="C108" s="4" t="str">
        <f>IF(EXACT($B108, ""), "", IF((($B108 - MOD($B108, 1000000000000))/1000000000000)=25, CONCATENATE("Person - ", VLOOKUP($B108, [1]DataLookUp!$B$4:$C$2000, 2, FALSE)), IF((($B108 - MOD($B108, 1000000000000))/1000000000000)=124, CONCATENATE("Institution - ", VLOOKUP($B108, '[2]DataLookUp - InstitutionBranch'!$B$4:$C$2000, 2, FALSE)), "")))</f>
        <v/>
      </c>
      <c r="D108" s="22">
        <v>223000000000002</v>
      </c>
      <c r="E108" s="4" t="str">
        <f>IF(EXACT($D108, ""), "", VLOOKUP($D108, 'REF - ContactNumberType'!$B$4:$C$10, 2, FALSE))</f>
        <v>Mobile Phone</v>
      </c>
      <c r="F108" s="26" t="s">
        <v>770</v>
      </c>
      <c r="G108" s="9"/>
      <c r="H108" s="9" t="s">
        <v>741</v>
      </c>
      <c r="J108" s="33">
        <f t="shared" si="3"/>
        <v>286000000000105</v>
      </c>
      <c r="K108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'+62 815-7300-5652'::varchar, NULL::varchar, 'Habib Abdullah Wahab Muharram'::varchar, NULL::bigint);</v>
      </c>
    </row>
    <row r="109" spans="2:11" x14ac:dyDescent="0.2">
      <c r="B109" s="22">
        <v>25000000000004</v>
      </c>
      <c r="C109" s="4" t="str">
        <f>IF(EXACT($B109, ""), "", IF((($B109 - MOD($B109, 1000000000000))/1000000000000)=25, CONCATENATE("Person - ", VLOOKUP($B109, [1]DataLookUp!$B$4:$C$2000, 2, FALSE)), IF((($B109 - MOD($B109, 1000000000000))/1000000000000)=124, CONCATENATE("Institution - ", VLOOKUP($B109, '[2]DataLookUp - InstitutionBranch'!$B$4:$C$2000, 2, FALSE)), "")))</f>
        <v>Person - Abdul Risan</v>
      </c>
      <c r="D109" s="22">
        <v>223000000000002</v>
      </c>
      <c r="E109" s="4" t="str">
        <f>IF(EXACT($D109, ""), "", VLOOKUP($D109, 'REF - ContactNumberType'!$B$4:$C$10, 2, FALSE))</f>
        <v>Mobile Phone</v>
      </c>
      <c r="F109" s="26" t="s">
        <v>771</v>
      </c>
      <c r="G109" s="9"/>
      <c r="H109" s="9" t="s">
        <v>3</v>
      </c>
      <c r="J109" s="33">
        <f t="shared" si="3"/>
        <v>286000000000106</v>
      </c>
      <c r="K109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'+62 812-8098-7170'::varchar, NULL::varchar, 'Abdul Risan'::varchar, '25000000000004'::bigint);</v>
      </c>
    </row>
    <row r="110" spans="2:11" x14ac:dyDescent="0.2">
      <c r="B110" s="22">
        <v>25000000000371</v>
      </c>
      <c r="C110" s="4" t="str">
        <f>IF(EXACT($B110, ""), "", IF((($B110 - MOD($B110, 1000000000000))/1000000000000)=25, CONCATENATE("Person - ", VLOOKUP($B110, [1]DataLookUp!$B$4:$C$2000, 2, FALSE)), IF((($B110 - MOD($B110, 1000000000000))/1000000000000)=124, CONCATENATE("Institution - ", VLOOKUP($B110, '[2]DataLookUp - InstitutionBranch'!$B$4:$C$2000, 2, FALSE)), "")))</f>
        <v>Person - Rommel Hutapea</v>
      </c>
      <c r="D110" s="22">
        <v>223000000000002</v>
      </c>
      <c r="E110" s="4" t="str">
        <f>IF(EXACT($D110, ""), "", VLOOKUP($D110, 'REF - ContactNumberType'!$B$4:$C$10, 2, FALSE))</f>
        <v>Mobile Phone</v>
      </c>
      <c r="F110" s="26" t="s">
        <v>772</v>
      </c>
      <c r="G110" s="9"/>
      <c r="H110" s="9" t="s">
        <v>370</v>
      </c>
      <c r="J110" s="33">
        <f t="shared" si="3"/>
        <v>286000000000107</v>
      </c>
      <c r="K110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'+62 813-9623-7010'::varchar, NULL::varchar, 'Rommel Hutapea'::varchar, '25000000000371'::bigint);</v>
      </c>
    </row>
    <row r="111" spans="2:11" x14ac:dyDescent="0.2">
      <c r="B111" s="22">
        <v>25000000000120</v>
      </c>
      <c r="C111" s="4" t="str">
        <f>IF(EXACT($B111, ""), "", IF((($B111 - MOD($B111, 1000000000000))/1000000000000)=25, CONCATENATE("Person - ", VLOOKUP($B111, [1]DataLookUp!$B$4:$C$2000, 2, FALSE)), IF((($B111 - MOD($B111, 1000000000000))/1000000000000)=124, CONCATENATE("Institution - ", VLOOKUP($B111, '[2]DataLookUp - InstitutionBranch'!$B$4:$C$2000, 2, FALSE)), "")))</f>
        <v>Person - Edy Syahputra Situmeang</v>
      </c>
      <c r="D111" s="22">
        <v>223000000000002</v>
      </c>
      <c r="E111" s="4" t="str">
        <f>IF(EXACT($D111, ""), "", VLOOKUP($D111, 'REF - ContactNumberType'!$B$4:$C$10, 2, FALSE))</f>
        <v>Mobile Phone</v>
      </c>
      <c r="F111" s="26" t="s">
        <v>773</v>
      </c>
      <c r="G111" s="9"/>
      <c r="H111" s="9" t="s">
        <v>119</v>
      </c>
      <c r="J111" s="33">
        <f t="shared" si="3"/>
        <v>286000000000108</v>
      </c>
      <c r="K111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'+62 853-5998-3177'::varchar, NULL::varchar, 'Edy Syahputra Situmeang'::varchar, '25000000000120'::bigint);</v>
      </c>
    </row>
    <row r="112" spans="2:11" x14ac:dyDescent="0.2">
      <c r="B112" s="22"/>
      <c r="C112" s="4" t="str">
        <f>IF(EXACT($B112, ""), "", IF((($B112 - MOD($B112, 1000000000000))/1000000000000)=25, CONCATENATE("Person - ", VLOOKUP($B112, [1]DataLookUp!$B$4:$C$2000, 2, FALSE)), IF((($B112 - MOD($B112, 1000000000000))/1000000000000)=124, CONCATENATE("Institution - ", VLOOKUP($B112, '[2]DataLookUp - InstitutionBranch'!$B$4:$C$2000, 2, FALSE)), "")))</f>
        <v/>
      </c>
      <c r="D112" s="22">
        <v>223000000000002</v>
      </c>
      <c r="E112" s="4" t="str">
        <f>IF(EXACT($D112, ""), "", VLOOKUP($D112, 'REF - ContactNumberType'!$B$4:$C$10, 2, FALSE))</f>
        <v>Mobile Phone</v>
      </c>
      <c r="F112" s="26" t="s">
        <v>774</v>
      </c>
      <c r="G112" s="9"/>
      <c r="H112" s="9" t="s">
        <v>748</v>
      </c>
      <c r="J112" s="33">
        <f t="shared" si="3"/>
        <v>286000000000109</v>
      </c>
      <c r="K112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'+62 813-9722-3311'::varchar, NULL::varchar, 'Binsar Hutabarat'::varchar, NULL::bigint);</v>
      </c>
    </row>
    <row r="113" spans="2:11" x14ac:dyDescent="0.2">
      <c r="B113" s="22"/>
      <c r="C113" s="4" t="str">
        <f>IF(EXACT($B113, ""), "", IF((($B113 - MOD($B113, 1000000000000))/1000000000000)=25, CONCATENATE("Person - ", VLOOKUP($B113, [1]DataLookUp!$B$4:$C$2000, 2, FALSE)), IF((($B113 - MOD($B113, 1000000000000))/1000000000000)=124, CONCATENATE("Institution - ", VLOOKUP($B113, '[2]DataLookUp - InstitutionBranch'!$B$4:$C$2000, 2, FALSE)), "")))</f>
        <v/>
      </c>
      <c r="D113" s="22">
        <v>223000000000002</v>
      </c>
      <c r="E113" s="4" t="str">
        <f>IF(EXACT($D113, ""), "", VLOOKUP($D113, 'REF - ContactNumberType'!$B$4:$C$10, 2, FALSE))</f>
        <v>Mobile Phone</v>
      </c>
      <c r="F113" s="26" t="s">
        <v>775</v>
      </c>
      <c r="G113" s="9"/>
      <c r="H113" s="9" t="s">
        <v>749</v>
      </c>
      <c r="J113" s="33">
        <f t="shared" si="3"/>
        <v>286000000000110</v>
      </c>
      <c r="K113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'+62 852-6129-3614'::varchar, NULL::varchar, 'Jeefrianda HP. Sigalingging'::varchar, NULL::bigint);</v>
      </c>
    </row>
    <row r="114" spans="2:11" x14ac:dyDescent="0.2">
      <c r="B114" s="22"/>
      <c r="C114" s="4" t="str">
        <f>IF(EXACT($B114, ""), "", IF((($B114 - MOD($B114, 1000000000000))/1000000000000)=25, CONCATENATE("Person - ", VLOOKUP($B114, [1]DataLookUp!$B$4:$C$2000, 2, FALSE)), IF((($B114 - MOD($B114, 1000000000000))/1000000000000)=124, CONCATENATE("Institution - ", VLOOKUP($B114, '[2]DataLookUp - InstitutionBranch'!$B$4:$C$2000, 2, FALSE)), "")))</f>
        <v/>
      </c>
      <c r="D114" s="22">
        <v>223000000000002</v>
      </c>
      <c r="E114" s="4" t="str">
        <f>IF(EXACT($D114, ""), "", VLOOKUP($D114, 'REF - ContactNumberType'!$B$4:$C$10, 2, FALSE))</f>
        <v>Mobile Phone</v>
      </c>
      <c r="F114" s="26" t="s">
        <v>776</v>
      </c>
      <c r="G114" s="9"/>
      <c r="H114" s="9" t="s">
        <v>750</v>
      </c>
      <c r="J114" s="33">
        <f t="shared" si="3"/>
        <v>286000000000111</v>
      </c>
      <c r="K114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'+62 821-1481-1419'::varchar, NULL::varchar, 'Mulyani bin H Junaidi'::varchar, NULL::bigint);</v>
      </c>
    </row>
    <row r="115" spans="2:11" x14ac:dyDescent="0.2">
      <c r="B115" s="22"/>
      <c r="C115" s="4" t="str">
        <f>IF(EXACT($B115, ""), "", IF((($B115 - MOD($B115, 1000000000000))/1000000000000)=25, CONCATENATE("Person - ", VLOOKUP($B115, [1]DataLookUp!$B$4:$C$2000, 2, FALSE)), IF((($B115 - MOD($B115, 1000000000000))/1000000000000)=124, CONCATENATE("Institution - ", VLOOKUP($B115, '[2]DataLookUp - InstitutionBranch'!$B$4:$C$2000, 2, FALSE)), "")))</f>
        <v/>
      </c>
      <c r="D115" s="22">
        <v>223000000000002</v>
      </c>
      <c r="E115" s="4" t="str">
        <f>IF(EXACT($D115, ""), "", VLOOKUP($D115, 'REF - ContactNumberType'!$B$4:$C$10, 2, FALSE))</f>
        <v>Mobile Phone</v>
      </c>
      <c r="F115" s="26" t="s">
        <v>777</v>
      </c>
      <c r="G115" s="9"/>
      <c r="H115" s="9" t="s">
        <v>751</v>
      </c>
      <c r="J115" s="33">
        <f t="shared" si="3"/>
        <v>286000000000112</v>
      </c>
      <c r="K115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'+62 812-1387-3885'::varchar, NULL::varchar, 'Yeskiel Boki'::varchar, NULL::bigint);</v>
      </c>
    </row>
    <row r="116" spans="2:11" x14ac:dyDescent="0.2">
      <c r="B116" s="22">
        <v>25000000000114</v>
      </c>
      <c r="C116" s="4" t="str">
        <f>IF(EXACT($B116, ""), "", IF((($B116 - MOD($B116, 1000000000000))/1000000000000)=25, CONCATENATE("Person - ", VLOOKUP($B116, [1]DataLookUp!$B$4:$C$2000, 2, FALSE)), IF((($B116 - MOD($B116, 1000000000000))/1000000000000)=124, CONCATENATE("Institution - ", VLOOKUP($B116, '[2]DataLookUp - InstitutionBranch'!$B$4:$C$2000, 2, FALSE)), "")))</f>
        <v>Person - Dwi Joko Setio Tjaroko</v>
      </c>
      <c r="D116" s="22">
        <v>223000000000002</v>
      </c>
      <c r="E116" s="4" t="str">
        <f>IF(EXACT($D116, ""), "", VLOOKUP($D116, 'REF - ContactNumberType'!$B$4:$C$10, 2, FALSE))</f>
        <v>Mobile Phone</v>
      </c>
      <c r="F116" s="26" t="s">
        <v>778</v>
      </c>
      <c r="G116" s="9"/>
      <c r="H116" s="9" t="s">
        <v>752</v>
      </c>
      <c r="J116" s="33">
        <f t="shared" si="3"/>
        <v>286000000000113</v>
      </c>
      <c r="K116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'+62 812-8588-1212'::varchar, NULL::varchar, 'Dwi Joko Setio Tjaroko'::varchar, '25000000000114'::bigint);</v>
      </c>
    </row>
    <row r="117" spans="2:11" x14ac:dyDescent="0.2">
      <c r="B117" s="22">
        <v>25000000000214</v>
      </c>
      <c r="C117" s="4" t="str">
        <f>IF(EXACT($B117, ""), "", IF((($B117 - MOD($B117, 1000000000000))/1000000000000)=25, CONCATENATE("Person - ", VLOOKUP($B117, [1]DataLookUp!$B$4:$C$2000, 2, FALSE)), IF((($B117 - MOD($B117, 1000000000000))/1000000000000)=124, CONCATENATE("Institution - ", VLOOKUP($B117, '[2]DataLookUp - InstitutionBranch'!$B$4:$C$2000, 2, FALSE)), "")))</f>
        <v>Person - Irvan Agus Dharma Eka Putra</v>
      </c>
      <c r="D117" s="22">
        <v>223000000000002</v>
      </c>
      <c r="E117" s="4" t="str">
        <f>IF(EXACT($D117, ""), "", VLOOKUP($D117, 'REF - ContactNumberType'!$B$4:$C$10, 2, FALSE))</f>
        <v>Mobile Phone</v>
      </c>
      <c r="F117" s="26" t="s">
        <v>779</v>
      </c>
      <c r="G117" s="9"/>
      <c r="H117" s="9" t="s">
        <v>213</v>
      </c>
      <c r="J117" s="33">
        <f t="shared" si="3"/>
        <v>286000000000114</v>
      </c>
      <c r="K117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'+62 896-3212-8775'::varchar, NULL::varchar, 'Irvan Agus Dharma Eka Putra'::varchar, '25000000000214'::bigint);</v>
      </c>
    </row>
    <row r="118" spans="2:11" x14ac:dyDescent="0.2">
      <c r="B118" s="22">
        <v>25000000000613</v>
      </c>
      <c r="C118" s="4" t="str">
        <f>IF(EXACT($B118, ""), "", IF((($B118 - MOD($B118, 1000000000000))/1000000000000)=25, CONCATENATE("Person - ", VLOOKUP($B118, [1]DataLookUp!$B$4:$C$2000, 2, FALSE)), IF((($B118 - MOD($B118, 1000000000000))/1000000000000)=124, CONCATENATE("Institution - ", VLOOKUP($B118, '[2]DataLookUp - InstitutionBranch'!$B$4:$C$2000, 2, FALSE)), "")))</f>
        <v>Person - Taufik Aminudin</v>
      </c>
      <c r="D118" s="22">
        <v>223000000000002</v>
      </c>
      <c r="E118" s="4" t="str">
        <f>IF(EXACT($D118, ""), "", VLOOKUP($D118, 'REF - ContactNumberType'!$B$4:$C$10, 2, FALSE))</f>
        <v>Mobile Phone</v>
      </c>
      <c r="F118" s="26" t="s">
        <v>780</v>
      </c>
      <c r="G118" s="9"/>
      <c r="H118" s="9" t="s">
        <v>753</v>
      </c>
      <c r="J118" s="33">
        <f t="shared" si="3"/>
        <v>286000000000115</v>
      </c>
      <c r="K118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'+62 813-3820-0412'::varchar, NULL::varchar, 'Taufiq Aminudin'::varchar, '25000000000613'::bigint);</v>
      </c>
    </row>
    <row r="119" spans="2:11" x14ac:dyDescent="0.2">
      <c r="B119" s="22"/>
      <c r="C119" s="4" t="str">
        <f>IF(EXACT($B119, ""), "", IF((($B119 - MOD($B119, 1000000000000))/1000000000000)=25, CONCATENATE("Person - ", VLOOKUP($B119, [1]DataLookUp!$B$4:$C$2000, 2, FALSE)), IF((($B119 - MOD($B119, 1000000000000))/1000000000000)=124, CONCATENATE("Institution - ", VLOOKUP($B119, '[2]DataLookUp - InstitutionBranch'!$B$4:$C$2000, 2, FALSE)), "")))</f>
        <v/>
      </c>
      <c r="D119" s="22">
        <v>223000000000002</v>
      </c>
      <c r="E119" s="4" t="str">
        <f>IF(EXACT($D119, ""), "", VLOOKUP($D119, 'REF - ContactNumberType'!$B$4:$C$10, 2, FALSE))</f>
        <v>Mobile Phone</v>
      </c>
      <c r="F119" s="26" t="s">
        <v>786</v>
      </c>
      <c r="G119" s="9"/>
      <c r="H119" s="9" t="s">
        <v>783</v>
      </c>
      <c r="J119" s="33">
        <f t="shared" si="3"/>
        <v>286000000000116</v>
      </c>
      <c r="K119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'+62 822-1915-8804'::varchar, NULL::varchar, 'Muhammad Diki Abdul Rahman'::varchar, NULL::bigint);</v>
      </c>
    </row>
    <row r="120" spans="2:11" x14ac:dyDescent="0.2">
      <c r="B120" s="22">
        <v>25000000000144</v>
      </c>
      <c r="C120" s="4" t="str">
        <f>IF(EXACT($B120, ""), "", IF((($B120 - MOD($B120, 1000000000000))/1000000000000)=25, CONCATENATE("Person - ", VLOOKUP($B120, [1]DataLookUp!$B$4:$C$2000, 2, FALSE)), IF((($B120 - MOD($B120, 1000000000000))/1000000000000)=124, CONCATENATE("Institution - ", VLOOKUP($B120, '[2]DataLookUp - InstitutionBranch'!$B$4:$C$2000, 2, FALSE)), "")))</f>
        <v>Person - Faiz Horifal</v>
      </c>
      <c r="D120" s="22">
        <v>223000000000002</v>
      </c>
      <c r="E120" s="4" t="str">
        <f>IF(EXACT($D120, ""), "", VLOOKUP($D120, 'REF - ContactNumberType'!$B$4:$C$10, 2, FALSE))</f>
        <v>Mobile Phone</v>
      </c>
      <c r="F120" s="26" t="s">
        <v>787</v>
      </c>
      <c r="G120" s="9"/>
      <c r="H120" s="9" t="s">
        <v>143</v>
      </c>
      <c r="J120" s="33">
        <f t="shared" si="3"/>
        <v>286000000000117</v>
      </c>
      <c r="K120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'+62 822-9981-4132'::varchar, NULL::varchar, 'Faiz Horifal'::varchar, '25000000000144'::bigint);</v>
      </c>
    </row>
    <row r="121" spans="2:11" x14ac:dyDescent="0.2">
      <c r="B121" s="22"/>
      <c r="C121" s="4" t="str">
        <f>IF(EXACT($B121, ""), "", IF((($B121 - MOD($B121, 1000000000000))/1000000000000)=25, CONCATENATE("Person - ", VLOOKUP($B121, [1]DataLookUp!$B$4:$C$2000, 2, FALSE)), IF((($B121 - MOD($B121, 1000000000000))/1000000000000)=124, CONCATENATE("Institution - ", VLOOKUP($B121, '[2]DataLookUp - InstitutionBranch'!$B$4:$C$2000, 2, FALSE)), "")))</f>
        <v/>
      </c>
      <c r="D121" s="22">
        <v>223000000000002</v>
      </c>
      <c r="E121" s="4" t="str">
        <f>IF(EXACT($D121, ""), "", VLOOKUP($D121, 'REF - ContactNumberType'!$B$4:$C$10, 2, FALSE))</f>
        <v>Mobile Phone</v>
      </c>
      <c r="F121" s="26" t="s">
        <v>788</v>
      </c>
      <c r="G121" s="9"/>
      <c r="H121" s="9" t="s">
        <v>785</v>
      </c>
      <c r="J121" s="33">
        <f t="shared" si="3"/>
        <v>286000000000118</v>
      </c>
      <c r="K121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'+62 858-8167-5581'::varchar, NULL::varchar, 'Sindy Setyaningrum'::varchar, NULL::bigint);</v>
      </c>
    </row>
    <row r="122" spans="2:11" x14ac:dyDescent="0.2">
      <c r="B122" s="22">
        <v>25000000000201</v>
      </c>
      <c r="C122" s="4" t="str">
        <f>IF(EXACT($B122, ""), "", IF((($B122 - MOD($B122, 1000000000000))/1000000000000)=25, CONCATENATE("Person - ", VLOOKUP($B122, [1]DataLookUp!$B$4:$C$2000, 2, FALSE)), IF((($B122 - MOD($B122, 1000000000000))/1000000000000)=124, CONCATENATE("Institution - ", VLOOKUP($B122, '[2]DataLookUp - InstitutionBranch'!$B$4:$C$2000, 2, FALSE)), "")))</f>
        <v>Person - Idian</v>
      </c>
      <c r="D122" s="22">
        <v>223000000000002</v>
      </c>
      <c r="E122" s="4" t="str">
        <f>IF(EXACT($D122, ""), "", VLOOKUP($D122, 'REF - ContactNumberType'!$B$4:$C$10, 2, FALSE))</f>
        <v>Mobile Phone</v>
      </c>
      <c r="F122" s="26" t="s">
        <v>789</v>
      </c>
      <c r="G122" s="9"/>
      <c r="H122" s="9" t="s">
        <v>200</v>
      </c>
      <c r="J122" s="33">
        <f t="shared" si="3"/>
        <v>286000000000119</v>
      </c>
      <c r="K122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'+62 812-2528-5555'::varchar, NULL::varchar, 'Idian'::varchar, '25000000000201'::bigint);</v>
      </c>
    </row>
    <row r="123" spans="2:11" x14ac:dyDescent="0.2">
      <c r="B123" s="22">
        <v>25000000000593</v>
      </c>
      <c r="C123" s="4" t="str">
        <f>IF(EXACT($B123, ""), "", IF((($B123 - MOD($B123, 1000000000000))/1000000000000)=25, CONCATENATE("Person - ", VLOOKUP($B123, [1]DataLookUp!$B$4:$C$2000, 2, FALSE)), IF((($B123 - MOD($B123, 1000000000000))/1000000000000)=124, CONCATENATE("Institution - ", VLOOKUP($B123, '[2]DataLookUp - InstitutionBranch'!$B$4:$C$2000, 2, FALSE)), "")))</f>
        <v>Person - Andi Mapasoro</v>
      </c>
      <c r="D123" s="22">
        <v>223000000000002</v>
      </c>
      <c r="E123" s="4" t="str">
        <f>IF(EXACT($D123, ""), "", VLOOKUP($D123, 'REF - ContactNumberType'!$B$4:$C$10, 2, FALSE))</f>
        <v>Mobile Phone</v>
      </c>
      <c r="F123" s="26" t="s">
        <v>1660</v>
      </c>
      <c r="G123" s="9"/>
      <c r="H123" s="9" t="s">
        <v>592</v>
      </c>
      <c r="J123" s="33">
        <f t="shared" si="3"/>
        <v>286000000000120</v>
      </c>
      <c r="K123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'+62 813-8985-1877'::varchar, NULL::varchar, 'Andi Mapasoro'::varchar, '25000000000593'::bigint);</v>
      </c>
    </row>
    <row r="124" spans="2:11" x14ac:dyDescent="0.2">
      <c r="B124" s="22">
        <v>25000000000592</v>
      </c>
      <c r="C124" s="4" t="str">
        <f>IF(EXACT($B124, ""), "", IF((($B124 - MOD($B124, 1000000000000))/1000000000000)=25, CONCATENATE("Person - ", VLOOKUP($B124, [1]DataLookUp!$B$4:$C$2000, 2, FALSE)), IF((($B124 - MOD($B124, 1000000000000))/1000000000000)=124, CONCATENATE("Institution - ", VLOOKUP($B124, '[2]DataLookUp - InstitutionBranch'!$B$4:$C$2000, 2, FALSE)), "")))</f>
        <v>Person - Ahmad Sandi Asyuri</v>
      </c>
      <c r="D124" s="22">
        <v>223000000000002</v>
      </c>
      <c r="E124" s="4" t="str">
        <f>IF(EXACT($D124, ""), "", VLOOKUP($D124, 'REF - ContactNumberType'!$B$4:$C$10, 2, FALSE))</f>
        <v>Mobile Phone</v>
      </c>
      <c r="F124" s="26" t="s">
        <v>1659</v>
      </c>
      <c r="G124" s="9"/>
      <c r="H124" s="9" t="s">
        <v>591</v>
      </c>
      <c r="J124" s="33">
        <f t="shared" si="3"/>
        <v>286000000000121</v>
      </c>
      <c r="K124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'+62 877-8898-0659'::varchar, NULL::varchar, 'Ahmad Sandi Asyuri'::varchar, '25000000000592'::bigint);</v>
      </c>
    </row>
    <row r="125" spans="2:11" x14ac:dyDescent="0.2">
      <c r="B125" s="22">
        <v>25000000000012</v>
      </c>
      <c r="C125" s="4" t="str">
        <f>IF(EXACT($B125, ""), "", IF((($B125 - MOD($B125, 1000000000000))/1000000000000)=25, CONCATENATE("Person - ", VLOOKUP($B125, [1]DataLookUp!$B$4:$C$2000, 2, FALSE)), IF((($B125 - MOD($B125, 1000000000000))/1000000000000)=124, CONCATENATE("Institution - ", VLOOKUP($B125, '[2]DataLookUp - InstitutionBranch'!$B$4:$C$2000, 2, FALSE)), "")))</f>
        <v>Person - Agnes Sutedja</v>
      </c>
      <c r="D125" s="22">
        <v>223000000000002</v>
      </c>
      <c r="E125" s="4" t="str">
        <f>IF(EXACT($D125, ""), "", VLOOKUP($D125, 'REF - ContactNumberType'!$B$4:$C$10, 2, FALSE))</f>
        <v>Mobile Phone</v>
      </c>
      <c r="F125" s="26" t="s">
        <v>800</v>
      </c>
      <c r="G125" s="9"/>
      <c r="H125" s="9" t="s">
        <v>11</v>
      </c>
      <c r="J125" s="33">
        <f t="shared" si="3"/>
        <v>286000000000122</v>
      </c>
      <c r="K125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'+62 813-1789-7764'::varchar, NULL::varchar, 'Agnes Sutedja'::varchar, '25000000000012'::bigint);</v>
      </c>
    </row>
    <row r="126" spans="2:11" x14ac:dyDescent="0.2">
      <c r="B126" s="22">
        <v>25000000000513</v>
      </c>
      <c r="C126" s="4" t="str">
        <f>IF(EXACT($B126, ""), "", IF((($B126 - MOD($B126, 1000000000000))/1000000000000)=25, CONCATENATE("Person - ", VLOOKUP($B126, [1]DataLookUp!$B$4:$C$2000, 2, FALSE)), IF((($B126 - MOD($B126, 1000000000000))/1000000000000)=124, CONCATENATE("Institution - ", VLOOKUP($B126, '[2]DataLookUp - InstitutionBranch'!$B$4:$C$2000, 2, FALSE)), "")))</f>
        <v>Person - Ahmad Choerul</v>
      </c>
      <c r="D126" s="22">
        <v>223000000000002</v>
      </c>
      <c r="E126" s="4" t="str">
        <f>IF(EXACT($D126, ""), "", VLOOKUP($D126, 'REF - ContactNumberType'!$B$4:$C$10, 2, FALSE))</f>
        <v>Mobile Phone</v>
      </c>
      <c r="F126" s="26" t="s">
        <v>801</v>
      </c>
      <c r="G126" s="9"/>
      <c r="H126" s="9" t="s">
        <v>512</v>
      </c>
      <c r="J126" s="33">
        <f t="shared" si="3"/>
        <v>286000000000123</v>
      </c>
      <c r="K126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'+62 857-8278-6571'::varchar, NULL::varchar, 'Ahmad Choerul'::varchar, '25000000000513'::bigint);</v>
      </c>
    </row>
    <row r="127" spans="2:11" x14ac:dyDescent="0.2">
      <c r="B127" s="22">
        <v>25000000000075</v>
      </c>
      <c r="C127" s="4" t="str">
        <f>IF(EXACT($B127, ""), "", IF((($B127 - MOD($B127, 1000000000000))/1000000000000)=25, CONCATENATE("Person - ", VLOOKUP($B127, [1]DataLookUp!$B$4:$C$2000, 2, FALSE)), IF((($B127 - MOD($B127, 1000000000000))/1000000000000)=124, CONCATENATE("Institution - ", VLOOKUP($B127, '[2]DataLookUp - InstitutionBranch'!$B$4:$C$2000, 2, FALSE)), "")))</f>
        <v>Person - Belina Lindarwani</v>
      </c>
      <c r="D127" s="22">
        <v>223000000000002</v>
      </c>
      <c r="E127" s="4" t="str">
        <f>IF(EXACT($D127, ""), "", VLOOKUP($D127, 'REF - ContactNumberType'!$B$4:$C$10, 2, FALSE))</f>
        <v>Mobile Phone</v>
      </c>
      <c r="F127" s="26" t="s">
        <v>802</v>
      </c>
      <c r="G127" s="9"/>
      <c r="H127" s="9" t="s">
        <v>74</v>
      </c>
      <c r="J127" s="33">
        <f t="shared" si="3"/>
        <v>286000000000124</v>
      </c>
      <c r="K127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'+62 822-2570-8799'::varchar, NULL::varchar, 'Belina Lindarwani'::varchar, '25000000000075'::bigint);</v>
      </c>
    </row>
    <row r="128" spans="2:11" x14ac:dyDescent="0.2">
      <c r="B128" s="22">
        <v>25000000000082</v>
      </c>
      <c r="C128" s="4" t="str">
        <f>IF(EXACT($B128, ""), "", IF((($B128 - MOD($B128, 1000000000000))/1000000000000)=25, CONCATENATE("Person - ", VLOOKUP($B128, [1]DataLookUp!$B$4:$C$2000, 2, FALSE)), IF((($B128 - MOD($B128, 1000000000000))/1000000000000)=124, CONCATENATE("Institution - ", VLOOKUP($B128, '[2]DataLookUp - InstitutionBranch'!$B$4:$C$2000, 2, FALSE)), "")))</f>
        <v>Person - Budianto</v>
      </c>
      <c r="D128" s="22">
        <v>223000000000002</v>
      </c>
      <c r="E128" s="4" t="str">
        <f>IF(EXACT($D128, ""), "", VLOOKUP($D128, 'REF - ContactNumberType'!$B$4:$C$10, 2, FALSE))</f>
        <v>Mobile Phone</v>
      </c>
      <c r="F128" s="26" t="s">
        <v>803</v>
      </c>
      <c r="G128" s="9"/>
      <c r="H128" s="9" t="s">
        <v>81</v>
      </c>
      <c r="J128" s="33">
        <f t="shared" si="3"/>
        <v>286000000000125</v>
      </c>
      <c r="K128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'+62 812-8235-6976'::varchar, NULL::varchar, 'Budianto'::varchar, '25000000000082'::bigint);</v>
      </c>
    </row>
    <row r="129" spans="2:11" x14ac:dyDescent="0.2">
      <c r="B129" s="22">
        <v>25000000000092</v>
      </c>
      <c r="C129" s="4" t="str">
        <f>IF(EXACT($B129, ""), "", IF((($B129 - MOD($B129, 1000000000000))/1000000000000)=25, CONCATENATE("Person - ", VLOOKUP($B129, [1]DataLookUp!$B$4:$C$2000, 2, FALSE)), IF((($B129 - MOD($B129, 1000000000000))/1000000000000)=124, CONCATENATE("Institution - ", VLOOKUP($B129, '[2]DataLookUp - InstitutionBranch'!$B$4:$C$2000, 2, FALSE)), "")))</f>
        <v>Person - Darsito</v>
      </c>
      <c r="D129" s="22">
        <v>223000000000002</v>
      </c>
      <c r="E129" s="4" t="str">
        <f>IF(EXACT($D129, ""), "", VLOOKUP($D129, 'REF - ContactNumberType'!$B$4:$C$10, 2, FALSE))</f>
        <v>Mobile Phone</v>
      </c>
      <c r="F129" s="26" t="s">
        <v>804</v>
      </c>
      <c r="G129" s="9"/>
      <c r="H129" s="9" t="s">
        <v>91</v>
      </c>
      <c r="J129" s="33">
        <f t="shared" si="3"/>
        <v>286000000000126</v>
      </c>
      <c r="K129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'+62 812-3694-9841'::varchar, NULL::varchar, 'Darsito'::varchar, '25000000000092'::bigint);</v>
      </c>
    </row>
    <row r="130" spans="2:11" x14ac:dyDescent="0.2">
      <c r="B130" s="22">
        <v>25000000000106</v>
      </c>
      <c r="C130" s="4" t="str">
        <f>IF(EXACT($B130, ""), "", IF((($B130 - MOD($B130, 1000000000000))/1000000000000)=25, CONCATENATE("Person - ", VLOOKUP($B130, [1]DataLookUp!$B$4:$C$2000, 2, FALSE)), IF((($B130 - MOD($B130, 1000000000000))/1000000000000)=124, CONCATENATE("Institution - ", VLOOKUP($B130, '[2]DataLookUp - InstitutionBranch'!$B$4:$C$2000, 2, FALSE)), "")))</f>
        <v>Person - Dionesius Sostenist Duka</v>
      </c>
      <c r="D130" s="22">
        <v>223000000000002</v>
      </c>
      <c r="E130" s="4" t="str">
        <f>IF(EXACT($D130, ""), "", VLOOKUP($D130, 'REF - ContactNumberType'!$B$4:$C$10, 2, FALSE))</f>
        <v>Mobile Phone</v>
      </c>
      <c r="F130" s="26" t="s">
        <v>805</v>
      </c>
      <c r="G130" s="9"/>
      <c r="H130" s="9" t="s">
        <v>105</v>
      </c>
      <c r="J130" s="33">
        <f t="shared" si="3"/>
        <v>286000000000127</v>
      </c>
      <c r="K130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'+62 812-9831-1976'::varchar, NULL::varchar, 'Dionesius Sostenist Duka'::varchar, '25000000000106'::bigint);</v>
      </c>
    </row>
    <row r="131" spans="2:11" x14ac:dyDescent="0.2">
      <c r="B131" s="22">
        <v>25000000000116</v>
      </c>
      <c r="C131" s="4" t="str">
        <f>IF(EXACT($B131, ""), "", IF((($B131 - MOD($B131, 1000000000000))/1000000000000)=25, CONCATENATE("Person - ", VLOOKUP($B131, [1]DataLookUp!$B$4:$C$2000, 2, FALSE)), IF((($B131 - MOD($B131, 1000000000000))/1000000000000)=124, CONCATENATE("Institution - ", VLOOKUP($B131, '[2]DataLookUp - InstitutionBranch'!$B$4:$C$2000, 2, FALSE)), "")))</f>
        <v>Person - Edi Waluyo</v>
      </c>
      <c r="D131" s="22">
        <v>223000000000002</v>
      </c>
      <c r="E131" s="4" t="str">
        <f>IF(EXACT($D131, ""), "", VLOOKUP($D131, 'REF - ContactNumberType'!$B$4:$C$10, 2, FALSE))</f>
        <v>Mobile Phone</v>
      </c>
      <c r="F131" s="26" t="s">
        <v>806</v>
      </c>
      <c r="G131" s="9"/>
      <c r="H131" s="9" t="s">
        <v>115</v>
      </c>
      <c r="J131" s="33">
        <f t="shared" si="3"/>
        <v>286000000000128</v>
      </c>
      <c r="K131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'+62 812-3386-8624'::varchar, NULL::varchar, 'Edi Waluyo'::varchar, '25000000000116'::bigint);</v>
      </c>
    </row>
    <row r="132" spans="2:11" x14ac:dyDescent="0.2">
      <c r="B132" s="22">
        <v>25000000000123</v>
      </c>
      <c r="C132" s="4" t="str">
        <f>IF(EXACT($B132, ""), "", IF((($B132 - MOD($B132, 1000000000000))/1000000000000)=25, CONCATENATE("Person - ", VLOOKUP($B132, [1]DataLookUp!$B$4:$C$2000, 2, FALSE)), IF((($B132 - MOD($B132, 1000000000000))/1000000000000)=124, CONCATENATE("Institution - ", VLOOKUP($B132, '[2]DataLookUp - InstitutionBranch'!$B$4:$C$2000, 2, FALSE)), "")))</f>
        <v>Person - Eka Bagus Dwi Putra</v>
      </c>
      <c r="D132" s="22">
        <v>223000000000002</v>
      </c>
      <c r="E132" s="4" t="str">
        <f>IF(EXACT($D132, ""), "", VLOOKUP($D132, 'REF - ContactNumberType'!$B$4:$C$10, 2, FALSE))</f>
        <v>Mobile Phone</v>
      </c>
      <c r="F132" s="26" t="s">
        <v>807</v>
      </c>
      <c r="G132" s="9"/>
      <c r="H132" s="9" t="s">
        <v>122</v>
      </c>
      <c r="J132" s="33">
        <f t="shared" si="3"/>
        <v>286000000000129</v>
      </c>
      <c r="K132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'+62 857-1960-7726'::varchar, NULL::varchar, 'Eka Bagus Dwi Putra'::varchar, '25000000000123'::bigint);</v>
      </c>
    </row>
    <row r="133" spans="2:11" x14ac:dyDescent="0.2">
      <c r="B133" s="22">
        <v>25000000000126</v>
      </c>
      <c r="C133" s="4" t="str">
        <f>IF(EXACT($B133, ""), "", IF((($B133 - MOD($B133, 1000000000000))/1000000000000)=25, CONCATENATE("Person - ", VLOOKUP($B133, [1]DataLookUp!$B$4:$C$2000, 2, FALSE)), IF((($B133 - MOD($B133, 1000000000000))/1000000000000)=124, CONCATENATE("Institution - ", VLOOKUP($B133, '[2]DataLookUp - InstitutionBranch'!$B$4:$C$2000, 2, FALSE)), "")))</f>
        <v>Person - Eka Kurniawan Hidayatullah</v>
      </c>
      <c r="D133" s="22">
        <v>223000000000002</v>
      </c>
      <c r="E133" s="4" t="str">
        <f>IF(EXACT($D133, ""), "", VLOOKUP($D133, 'REF - ContactNumberType'!$B$4:$C$10, 2, FALSE))</f>
        <v>Mobile Phone</v>
      </c>
      <c r="F133" s="26" t="s">
        <v>808</v>
      </c>
      <c r="G133" s="9"/>
      <c r="H133" s="9" t="s">
        <v>125</v>
      </c>
      <c r="J133" s="33">
        <f t="shared" si="3"/>
        <v>286000000000130</v>
      </c>
      <c r="K133" s="34" t="str">
        <f t="shared" si="4"/>
        <v>PERFORM "SchData-OLTP-Master"."Func_TblContactNumber_SET"(varSystemLoginSession::bigint, null::bigint, null::varchar, null::timestamptz, null::timestamptz, null::varchar, varInstitutionBranchID::bigint, varBaseCurrencyID::bigint, 223000000000002::bigint, '+62 812-1875-9198'::varchar, NULL::varchar, 'Eka Kurniawan Hidayatullah'::varchar, '25000000000126'::bigint);</v>
      </c>
    </row>
    <row r="134" spans="2:11" x14ac:dyDescent="0.2">
      <c r="B134" s="22">
        <v>25000000000138</v>
      </c>
      <c r="C134" s="4" t="str">
        <f>IF(EXACT($B134, ""), "", IF((($B134 - MOD($B134, 1000000000000))/1000000000000)=25, CONCATENATE("Person - ", VLOOKUP($B134, [1]DataLookUp!$B$4:$C$2000, 2, FALSE)), IF((($B134 - MOD($B134, 1000000000000))/1000000000000)=124, CONCATENATE("Institution - ", VLOOKUP($B134, '[2]DataLookUp - InstitutionBranch'!$B$4:$C$2000, 2, FALSE)), "")))</f>
        <v>Person - Endang Sutrisna</v>
      </c>
      <c r="D134" s="22">
        <v>223000000000002</v>
      </c>
      <c r="E134" s="4" t="str">
        <f>IF(EXACT($D134, ""), "", VLOOKUP($D134, 'REF - ContactNumberType'!$B$4:$C$10, 2, FALSE))</f>
        <v>Mobile Phone</v>
      </c>
      <c r="F134" s="26" t="s">
        <v>809</v>
      </c>
      <c r="G134" s="9"/>
      <c r="H134" s="9" t="s">
        <v>790</v>
      </c>
      <c r="J134" s="33">
        <f t="shared" ref="J134:J197" si="5" xml:space="preserve"> J133 + IF(EXACT(K134, ""), 0, 1)</f>
        <v>286000000000131</v>
      </c>
      <c r="K134" s="34" t="str">
        <f t="shared" ref="K134:K197" si="6">IF(EXACT(F134, ""), "", CONCATENATE("PERFORM ""SchData-OLTP-Master"".""Func_TblContactNumber_SET""(varSystemLoginSession::bigint, null::bigint, null::varchar, null::timestamptz, null::timestamptz, null::varchar, varInstitutionBranchID::bigint, varBaseCurrencyID::bigint, ", IF(EXACT($D134, ""), "NULL", ""&amp;$D134&amp;""), "::bigint, ", IF(EXACT($F134, ""), "NULL", "'"&amp;$F134&amp;"'"), "::varchar, ", IF(EXACT($G134, ""), "NULL", "'"&amp;$G134&amp;"'"), "::varchar, ", IF(EXACT($H134, ""), "NULL", "'"&amp;$H134&amp;"'"), "::varchar, ", IF(EXACT($B134, ""), "NULL", "'"&amp;$B134&amp;"'"), "::bigint);"))</f>
        <v>PERFORM "SchData-OLTP-Master"."Func_TblContactNumber_SET"(varSystemLoginSession::bigint, null::bigint, null::varchar, null::timestamptz, null::timestamptz, null::varchar, varInstitutionBranchID::bigint, varBaseCurrencyID::bigint, 223000000000002::bigint, '+62 819-9994-5447'::varchar, NULL::varchar, 'Endang Sutrisno'::varchar, '25000000000138'::bigint);</v>
      </c>
    </row>
    <row r="135" spans="2:11" x14ac:dyDescent="0.2">
      <c r="B135" s="22">
        <v>25000000000168</v>
      </c>
      <c r="C135" s="4" t="str">
        <f>IF(EXACT($B135, ""), "", IF((($B135 - MOD($B135, 1000000000000))/1000000000000)=25, CONCATENATE("Person - ", VLOOKUP($B135, [1]DataLookUp!$B$4:$C$2000, 2, FALSE)), IF((($B135 - MOD($B135, 1000000000000))/1000000000000)=124, CONCATENATE("Institution - ", VLOOKUP($B135, '[2]DataLookUp - InstitutionBranch'!$B$4:$C$2000, 2, FALSE)), "")))</f>
        <v>Person - Gunawan</v>
      </c>
      <c r="D135" s="22">
        <v>223000000000002</v>
      </c>
      <c r="E135" s="4" t="str">
        <f>IF(EXACT($D135, ""), "", VLOOKUP($D135, 'REF - ContactNumberType'!$B$4:$C$10, 2, FALSE))</f>
        <v>Mobile Phone</v>
      </c>
      <c r="F135" s="26" t="s">
        <v>810</v>
      </c>
      <c r="G135" s="9"/>
      <c r="H135" s="9" t="s">
        <v>167</v>
      </c>
      <c r="J135" s="33">
        <f t="shared" si="5"/>
        <v>286000000000132</v>
      </c>
      <c r="K135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'+62 812-9294-620'::varchar, NULL::varchar, 'Gunawan'::varchar, '25000000000168'::bigint);</v>
      </c>
    </row>
    <row r="136" spans="2:11" x14ac:dyDescent="0.2">
      <c r="B136" s="22">
        <v>25000000000196</v>
      </c>
      <c r="C136" s="4" t="str">
        <f>IF(EXACT($B136, ""), "", IF((($B136 - MOD($B136, 1000000000000))/1000000000000)=25, CONCATENATE("Person - ", VLOOKUP($B136, [1]DataLookUp!$B$4:$C$2000, 2, FALSE)), IF((($B136 - MOD($B136, 1000000000000))/1000000000000)=124, CONCATENATE("Institution - ", VLOOKUP($B136, '[2]DataLookUp - InstitutionBranch'!$B$4:$C$2000, 2, FALSE)), "")))</f>
        <v>Person - Icha Mailinda Syamsoedin</v>
      </c>
      <c r="D136" s="22">
        <v>223000000000002</v>
      </c>
      <c r="E136" s="4" t="str">
        <f>IF(EXACT($D136, ""), "", VLOOKUP($D136, 'REF - ContactNumberType'!$B$4:$C$10, 2, FALSE))</f>
        <v>Mobile Phone</v>
      </c>
      <c r="F136" s="26" t="s">
        <v>811</v>
      </c>
      <c r="G136" s="9"/>
      <c r="H136" s="9" t="s">
        <v>791</v>
      </c>
      <c r="J136" s="33">
        <f t="shared" si="5"/>
        <v>286000000000133</v>
      </c>
      <c r="K136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'+62 878-8222-1308'::varchar, NULL::varchar, 'Icha Mailinda'::varchar, '25000000000196'::bigint);</v>
      </c>
    </row>
    <row r="137" spans="2:11" x14ac:dyDescent="0.2">
      <c r="B137" s="22">
        <v>25000000000527</v>
      </c>
      <c r="C137" s="4" t="str">
        <f>IF(EXACT($B137, ""), "", IF((($B137 - MOD($B137, 1000000000000))/1000000000000)=25, CONCATENATE("Person - ", VLOOKUP($B137, [1]DataLookUp!$B$4:$C$2000, 2, FALSE)), IF((($B137 - MOD($B137, 1000000000000))/1000000000000)=124, CONCATENATE("Institution - ", VLOOKUP($B137, '[2]DataLookUp - InstitutionBranch'!$B$4:$C$2000, 2, FALSE)), "")))</f>
        <v>Person - Irma Maulidawati</v>
      </c>
      <c r="D137" s="22">
        <v>223000000000002</v>
      </c>
      <c r="E137" s="4" t="str">
        <f>IF(EXACT($D137, ""), "", VLOOKUP($D137, 'REF - ContactNumberType'!$B$4:$C$10, 2, FALSE))</f>
        <v>Mobile Phone</v>
      </c>
      <c r="F137" s="26" t="s">
        <v>812</v>
      </c>
      <c r="G137" s="9"/>
      <c r="H137" s="9" t="s">
        <v>526</v>
      </c>
      <c r="J137" s="33">
        <f t="shared" si="5"/>
        <v>286000000000134</v>
      </c>
      <c r="K137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'+62 878-8401-4359'::varchar, NULL::varchar, 'Irma Maulidawati'::varchar, '25000000000527'::bigint);</v>
      </c>
    </row>
    <row r="138" spans="2:11" x14ac:dyDescent="0.2">
      <c r="B138" s="22">
        <v>25000000000528</v>
      </c>
      <c r="C138" s="4" t="str">
        <f>IF(EXACT($B138, ""), "", IF((($B138 - MOD($B138, 1000000000000))/1000000000000)=25, CONCATENATE("Person - ", VLOOKUP($B138, [1]DataLookUp!$B$4:$C$2000, 2, FALSE)), IF((($B138 - MOD($B138, 1000000000000))/1000000000000)=124, CONCATENATE("Institution - ", VLOOKUP($B138, '[2]DataLookUp - InstitutionBranch'!$B$4:$C$2000, 2, FALSE)), "")))</f>
        <v>Person - Istikaro Fauziah</v>
      </c>
      <c r="D138" s="22">
        <v>223000000000002</v>
      </c>
      <c r="E138" s="4" t="str">
        <f>IF(EXACT($D138, ""), "", VLOOKUP($D138, 'REF - ContactNumberType'!$B$4:$C$10, 2, FALSE))</f>
        <v>Mobile Phone</v>
      </c>
      <c r="F138" s="26" t="s">
        <v>1661</v>
      </c>
      <c r="G138" s="9"/>
      <c r="H138" s="9" t="s">
        <v>527</v>
      </c>
      <c r="J138" s="33">
        <f t="shared" si="5"/>
        <v>286000000000135</v>
      </c>
      <c r="K138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'+62 897-744-9206'::varchar, NULL::varchar, 'Istikaro Fauziah'::varchar, '25000000000528'::bigint);</v>
      </c>
    </row>
    <row r="139" spans="2:11" x14ac:dyDescent="0.2">
      <c r="B139" s="22">
        <v>25000000000232</v>
      </c>
      <c r="C139" s="4" t="str">
        <f>IF(EXACT($B139, ""), "", IF((($B139 - MOD($B139, 1000000000000))/1000000000000)=25, CONCATENATE("Person - ", VLOOKUP($B139, [1]DataLookUp!$B$4:$C$2000, 2, FALSE)), IF((($B139 - MOD($B139, 1000000000000))/1000000000000)=124, CONCATENATE("Institution - ", VLOOKUP($B139, '[2]DataLookUp - InstitutionBranch'!$B$4:$C$2000, 2, FALSE)), "")))</f>
        <v>Person - Jimmywal</v>
      </c>
      <c r="D139" s="22">
        <v>223000000000002</v>
      </c>
      <c r="E139" s="4" t="str">
        <f>IF(EXACT($D139, ""), "", VLOOKUP($D139, 'REF - ContactNumberType'!$B$4:$C$10, 2, FALSE))</f>
        <v>Mobile Phone</v>
      </c>
      <c r="F139" s="26" t="s">
        <v>814</v>
      </c>
      <c r="G139" s="9"/>
      <c r="H139" s="9" t="s">
        <v>231</v>
      </c>
      <c r="J139" s="33">
        <f t="shared" si="5"/>
        <v>286000000000136</v>
      </c>
      <c r="K139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'+62 813-1132-2014'::varchar, NULL::varchar, 'Jimmywal'::varchar, '25000000000232'::bigint);</v>
      </c>
    </row>
    <row r="140" spans="2:11" x14ac:dyDescent="0.2">
      <c r="B140" s="22">
        <v>25000000000253</v>
      </c>
      <c r="C140" s="4" t="str">
        <f>IF(EXACT($B140, ""), "", IF((($B140 - MOD($B140, 1000000000000))/1000000000000)=25, CONCATENATE("Person - ", VLOOKUP($B140, [1]DataLookUp!$B$4:$C$2000, 2, FALSE)), IF((($B140 - MOD($B140, 1000000000000))/1000000000000)=124, CONCATENATE("Institution - ", VLOOKUP($B140, '[2]DataLookUp - InstitutionBranch'!$B$4:$C$2000, 2, FALSE)), "")))</f>
        <v>Person - Kornelius Sakan</v>
      </c>
      <c r="D140" s="22">
        <v>223000000000002</v>
      </c>
      <c r="E140" s="4" t="str">
        <f>IF(EXACT($D140, ""), "", VLOOKUP($D140, 'REF - ContactNumberType'!$B$4:$C$10, 2, FALSE))</f>
        <v>Mobile Phone</v>
      </c>
      <c r="F140" s="26" t="s">
        <v>815</v>
      </c>
      <c r="G140" s="9"/>
      <c r="H140" s="9" t="s">
        <v>252</v>
      </c>
      <c r="J140" s="33">
        <f t="shared" si="5"/>
        <v>286000000000137</v>
      </c>
      <c r="K140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'+62 812-8002-0551'::varchar, NULL::varchar, 'Kornelius Sakan'::varchar, '25000000000253'::bigint);</v>
      </c>
    </row>
    <row r="141" spans="2:11" x14ac:dyDescent="0.2">
      <c r="B141" s="22">
        <v>25000000000262</v>
      </c>
      <c r="C141" s="4" t="str">
        <f>IF(EXACT($B141, ""), "", IF((($B141 - MOD($B141, 1000000000000))/1000000000000)=25, CONCATENATE("Person - ", VLOOKUP($B141, [1]DataLookUp!$B$4:$C$2000, 2, FALSE)), IF((($B141 - MOD($B141, 1000000000000))/1000000000000)=124, CONCATENATE("Institution - ", VLOOKUP($B141, '[2]DataLookUp - InstitutionBranch'!$B$4:$C$2000, 2, FALSE)), "")))</f>
        <v>Person - Lisma Natalia</v>
      </c>
      <c r="D141" s="22">
        <v>223000000000002</v>
      </c>
      <c r="E141" s="4" t="str">
        <f>IF(EXACT($D141, ""), "", VLOOKUP($D141, 'REF - ContactNumberType'!$B$4:$C$10, 2, FALSE))</f>
        <v>Mobile Phone</v>
      </c>
      <c r="F141" s="26" t="s">
        <v>1662</v>
      </c>
      <c r="G141" s="9"/>
      <c r="H141" s="9" t="s">
        <v>261</v>
      </c>
      <c r="J141" s="33">
        <f t="shared" si="5"/>
        <v>286000000000138</v>
      </c>
      <c r="K141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'+62 811-972-8227'::varchar, NULL::varchar, 'Lisma Natalia'::varchar, '25000000000262'::bigint);</v>
      </c>
    </row>
    <row r="142" spans="2:11" x14ac:dyDescent="0.2">
      <c r="B142" s="22">
        <v>25000000000155</v>
      </c>
      <c r="C142" s="4" t="str">
        <f>IF(EXACT($B142, ""), "", IF((($B142 - MOD($B142, 1000000000000))/1000000000000)=25, CONCATENATE("Person - ", VLOOKUP($B142, [1]DataLookUp!$B$4:$C$2000, 2, FALSE)), IF((($B142 - MOD($B142, 1000000000000))/1000000000000)=124, CONCATENATE("Institution - ", VLOOKUP($B142, '[2]DataLookUp - InstitutionBranch'!$B$4:$C$2000, 2, FALSE)), "")))</f>
        <v>Person - M. Fikri Caesarandi Hasibuan</v>
      </c>
      <c r="D142" s="22">
        <v>223000000000002</v>
      </c>
      <c r="E142" s="4" t="str">
        <f>IF(EXACT($D142, ""), "", VLOOKUP($D142, 'REF - ContactNumberType'!$B$4:$C$10, 2, FALSE))</f>
        <v>Mobile Phone</v>
      </c>
      <c r="F142" s="26" t="s">
        <v>817</v>
      </c>
      <c r="G142" s="9"/>
      <c r="H142" s="9" t="s">
        <v>792</v>
      </c>
      <c r="J142" s="33">
        <f t="shared" si="5"/>
        <v>286000000000139</v>
      </c>
      <c r="K142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'+62 812-6293-9221'::varchar, NULL::varchar, 'M Fikri Caesarandi Hasibuan'::varchar, '25000000000155'::bigint);</v>
      </c>
    </row>
    <row r="143" spans="2:11" x14ac:dyDescent="0.2">
      <c r="B143" s="22">
        <v>25000000000276</v>
      </c>
      <c r="C143" s="4" t="str">
        <f>IF(EXACT($B143, ""), "", IF((($B143 - MOD($B143, 1000000000000))/1000000000000)=25, CONCATENATE("Person - ", VLOOKUP($B143, [1]DataLookUp!$B$4:$C$2000, 2, FALSE)), IF((($B143 - MOD($B143, 1000000000000))/1000000000000)=124, CONCATENATE("Institution - ", VLOOKUP($B143, '[2]DataLookUp - InstitutionBranch'!$B$4:$C$2000, 2, FALSE)), "")))</f>
        <v>Person - Marten Tabun</v>
      </c>
      <c r="D143" s="22">
        <v>223000000000002</v>
      </c>
      <c r="E143" s="4" t="str">
        <f>IF(EXACT($D143, ""), "", VLOOKUP($D143, 'REF - ContactNumberType'!$B$4:$C$10, 2, FALSE))</f>
        <v>Mobile Phone</v>
      </c>
      <c r="F143" s="26" t="s">
        <v>818</v>
      </c>
      <c r="G143" s="9"/>
      <c r="H143" s="9" t="s">
        <v>275</v>
      </c>
      <c r="J143" s="33">
        <f t="shared" si="5"/>
        <v>286000000000140</v>
      </c>
      <c r="K143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'+62 852-8080-5771'::varchar, NULL::varchar, 'Marten Tabun'::varchar, '25000000000276'::bigint);</v>
      </c>
    </row>
    <row r="144" spans="2:11" x14ac:dyDescent="0.2">
      <c r="B144" s="22">
        <v>25000000000601</v>
      </c>
      <c r="C144" s="4" t="str">
        <f>IF(EXACT($B144, ""), "", IF((($B144 - MOD($B144, 1000000000000))/1000000000000)=25, CONCATENATE("Person - ", VLOOKUP($B144, [1]DataLookUp!$B$4:$C$2000, 2, FALSE)), IF((($B144 - MOD($B144, 1000000000000))/1000000000000)=124, CONCATENATE("Institution - ", VLOOKUP($B144, '[2]DataLookUp - InstitutionBranch'!$B$4:$C$2000, 2, FALSE)), "")))</f>
        <v>Person - Mochamad Ulul Azmi Wira Utama</v>
      </c>
      <c r="D144" s="22">
        <v>223000000000002</v>
      </c>
      <c r="E144" s="4" t="str">
        <f>IF(EXACT($D144, ""), "", VLOOKUP($D144, 'REF - ContactNumberType'!$B$4:$C$10, 2, FALSE))</f>
        <v>Mobile Phone</v>
      </c>
      <c r="F144" s="26" t="s">
        <v>819</v>
      </c>
      <c r="G144" s="9"/>
      <c r="H144" s="9" t="s">
        <v>600</v>
      </c>
      <c r="J144" s="33">
        <f t="shared" si="5"/>
        <v>286000000000141</v>
      </c>
      <c r="K144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'+62 812-8580-2247'::varchar, NULL::varchar, 'Mochamad Ulul Azmi Wira Utama'::varchar, '25000000000601'::bigint);</v>
      </c>
    </row>
    <row r="145" spans="2:11" x14ac:dyDescent="0.2">
      <c r="B145" s="22">
        <v>25000000000604</v>
      </c>
      <c r="C145" s="4" t="str">
        <f>IF(EXACT($B145, ""), "", IF((($B145 - MOD($B145, 1000000000000))/1000000000000)=25, CONCATENATE("Person - ", VLOOKUP($B145, [1]DataLookUp!$B$4:$C$2000, 2, FALSE)), IF((($B145 - MOD($B145, 1000000000000))/1000000000000)=124, CONCATENATE("Institution - ", VLOOKUP($B145, '[2]DataLookUp - InstitutionBranch'!$B$4:$C$2000, 2, FALSE)), "")))</f>
        <v>Person - Muhammad Rizal</v>
      </c>
      <c r="D145" s="22">
        <v>223000000000002</v>
      </c>
      <c r="E145" s="4" t="str">
        <f>IF(EXACT($D145, ""), "", VLOOKUP($D145, 'REF - ContactNumberType'!$B$4:$C$10, 2, FALSE))</f>
        <v>Mobile Phone</v>
      </c>
      <c r="F145" s="26" t="s">
        <v>820</v>
      </c>
      <c r="G145" s="9"/>
      <c r="H145" s="9" t="s">
        <v>603</v>
      </c>
      <c r="J145" s="33">
        <f t="shared" si="5"/>
        <v>286000000000142</v>
      </c>
      <c r="K145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'+62 812-2897-5977'::varchar, NULL::varchar, 'Muhammad Rizal'::varchar, '25000000000604'::bigint);</v>
      </c>
    </row>
    <row r="146" spans="2:11" x14ac:dyDescent="0.2">
      <c r="B146" s="22">
        <v>25000000000301</v>
      </c>
      <c r="C146" s="4" t="str">
        <f>IF(EXACT($B146, ""), "", IF((($B146 - MOD($B146, 1000000000000))/1000000000000)=25, CONCATENATE("Person - ", VLOOKUP($B146, [1]DataLookUp!$B$4:$C$2000, 2, FALSE)), IF((($B146 - MOD($B146, 1000000000000))/1000000000000)=124, CONCATENATE("Institution - ", VLOOKUP($B146, '[2]DataLookUp - InstitutionBranch'!$B$4:$C$2000, 2, FALSE)), "")))</f>
        <v>Person - Mullan Tresna</v>
      </c>
      <c r="D146" s="22">
        <v>223000000000002</v>
      </c>
      <c r="E146" s="4" t="str">
        <f>IF(EXACT($D146, ""), "", VLOOKUP($D146, 'REF - ContactNumberType'!$B$4:$C$10, 2, FALSE))</f>
        <v>Mobile Phone</v>
      </c>
      <c r="F146" s="26" t="s">
        <v>821</v>
      </c>
      <c r="G146" s="9"/>
      <c r="H146" s="9" t="s">
        <v>300</v>
      </c>
      <c r="J146" s="33">
        <f t="shared" si="5"/>
        <v>286000000000143</v>
      </c>
      <c r="K146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'+62 815-8884-838'::varchar, NULL::varchar, 'Mullan Tresna'::varchar, '25000000000301'::bigint);</v>
      </c>
    </row>
    <row r="147" spans="2:11" x14ac:dyDescent="0.2">
      <c r="B147" s="22">
        <v>25000000000307</v>
      </c>
      <c r="C147" s="4" t="str">
        <f>IF(EXACT($B147, ""), "", IF((($B147 - MOD($B147, 1000000000000))/1000000000000)=25, CONCATENATE("Person - ", VLOOKUP($B147, [1]DataLookUp!$B$4:$C$2000, 2, FALSE)), IF((($B147 - MOD($B147, 1000000000000))/1000000000000)=124, CONCATENATE("Institution - ", VLOOKUP($B147, '[2]DataLookUp - InstitutionBranch'!$B$4:$C$2000, 2, FALSE)), "")))</f>
        <v>Person - Nandang Effendi</v>
      </c>
      <c r="D147" s="22">
        <v>223000000000002</v>
      </c>
      <c r="E147" s="4" t="str">
        <f>IF(EXACT($D147, ""), "", VLOOKUP($D147, 'REF - ContactNumberType'!$B$4:$C$10, 2, FALSE))</f>
        <v>Mobile Phone</v>
      </c>
      <c r="F147" s="26" t="s">
        <v>822</v>
      </c>
      <c r="G147" s="9"/>
      <c r="H147" s="9" t="s">
        <v>306</v>
      </c>
      <c r="J147" s="33">
        <f t="shared" si="5"/>
        <v>286000000000144</v>
      </c>
      <c r="K147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'+62 812-4152-1262'::varchar, NULL::varchar, 'Nandang Effendi'::varchar, '25000000000307'::bigint);</v>
      </c>
    </row>
    <row r="148" spans="2:11" x14ac:dyDescent="0.2">
      <c r="B148" s="22">
        <v>25000000000574</v>
      </c>
      <c r="C148" s="4" t="str">
        <f>IF(EXACT($B148, ""), "", IF((($B148 - MOD($B148, 1000000000000))/1000000000000)=25, CONCATENATE("Person - ", VLOOKUP($B148, [1]DataLookUp!$B$4:$C$2000, 2, FALSE)), IF((($B148 - MOD($B148, 1000000000000))/1000000000000)=124, CONCATENATE("Institution - ", VLOOKUP($B148, '[2]DataLookUp - InstitutionBranch'!$B$4:$C$2000, 2, FALSE)), "")))</f>
        <v>Person - Rahmata Novanisa</v>
      </c>
      <c r="D148" s="22">
        <v>223000000000002</v>
      </c>
      <c r="E148" s="4" t="str">
        <f>IF(EXACT($D148, ""), "", VLOOKUP($D148, 'REF - ContactNumberType'!$B$4:$C$10, 2, FALSE))</f>
        <v>Mobile Phone</v>
      </c>
      <c r="F148" s="26" t="s">
        <v>866</v>
      </c>
      <c r="G148" s="9"/>
      <c r="H148" s="9" t="s">
        <v>573</v>
      </c>
      <c r="J148" s="33">
        <f t="shared" si="5"/>
        <v>286000000000145</v>
      </c>
      <c r="K148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'+62 856-0210-0410'::varchar, NULL::varchar, 'Rahmata Novanisa'::varchar, '25000000000574'::bigint);</v>
      </c>
    </row>
    <row r="149" spans="2:11" x14ac:dyDescent="0.2">
      <c r="B149" s="22">
        <v>25000000000605</v>
      </c>
      <c r="C149" s="4" t="str">
        <f>IF(EXACT($B149, ""), "", IF((($B149 - MOD($B149, 1000000000000))/1000000000000)=25, CONCATENATE("Person - ", VLOOKUP($B149, [1]DataLookUp!$B$4:$C$2000, 2, FALSE)), IF((($B149 - MOD($B149, 1000000000000))/1000000000000)=124, CONCATENATE("Institution - ", VLOOKUP($B149, '[2]DataLookUp - InstitutionBranch'!$B$4:$C$2000, 2, FALSE)), "")))</f>
        <v>Person - Rahmad Dwifar</v>
      </c>
      <c r="D149" s="22">
        <v>223000000000002</v>
      </c>
      <c r="E149" s="4" t="str">
        <f>IF(EXACT($D149, ""), "", VLOOKUP($D149, 'REF - ContactNumberType'!$B$4:$C$10, 2, FALSE))</f>
        <v>Mobile Phone</v>
      </c>
      <c r="F149" s="26" t="s">
        <v>864</v>
      </c>
      <c r="G149" s="9"/>
      <c r="H149" s="9" t="s">
        <v>604</v>
      </c>
      <c r="J149" s="33">
        <f t="shared" si="5"/>
        <v>286000000000146</v>
      </c>
      <c r="K149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'+62 822-8865-3239'::varchar, NULL::varchar, 'Rahmad Dwifar'::varchar, '25000000000605'::bigint);</v>
      </c>
    </row>
    <row r="150" spans="2:11" x14ac:dyDescent="0.2">
      <c r="B150" s="22">
        <v>25000000000536</v>
      </c>
      <c r="C150" s="4" t="str">
        <f>IF(EXACT($B150, ""), "", IF((($B150 - MOD($B150, 1000000000000))/1000000000000)=25, CONCATENATE("Person - ", VLOOKUP($B150, [1]DataLookUp!$B$4:$C$2000, 2, FALSE)), IF((($B150 - MOD($B150, 1000000000000))/1000000000000)=124, CONCATENATE("Institution - ", VLOOKUP($B150, '[2]DataLookUp - InstitutionBranch'!$B$4:$C$2000, 2, FALSE)), "")))</f>
        <v>Person - Restu Dwi Anjayani</v>
      </c>
      <c r="D150" s="22">
        <v>223000000000002</v>
      </c>
      <c r="E150" s="4" t="str">
        <f>IF(EXACT($D150, ""), "", VLOOKUP($D150, 'REF - ContactNumberType'!$B$4:$C$10, 2, FALSE))</f>
        <v>Mobile Phone</v>
      </c>
      <c r="F150" s="26" t="s">
        <v>823</v>
      </c>
      <c r="G150" s="9"/>
      <c r="H150" s="9" t="s">
        <v>535</v>
      </c>
      <c r="J150" s="33">
        <f t="shared" si="5"/>
        <v>286000000000147</v>
      </c>
      <c r="K150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'+62 815-1394-8537'::varchar, NULL::varchar, 'Restu Dwi Anjayani'::varchar, '25000000000536'::bigint);</v>
      </c>
    </row>
    <row r="151" spans="2:11" x14ac:dyDescent="0.2">
      <c r="B151" s="22">
        <v>25000000000607</v>
      </c>
      <c r="C151" s="4" t="str">
        <f>IF(EXACT($B151, ""), "", IF((($B151 - MOD($B151, 1000000000000))/1000000000000)=25, CONCATENATE("Person - ", VLOOKUP($B151, [1]DataLookUp!$B$4:$C$2000, 2, FALSE)), IF((($B151 - MOD($B151, 1000000000000))/1000000000000)=124, CONCATENATE("Institution - ", VLOOKUP($B151, '[2]DataLookUp - InstitutionBranch'!$B$4:$C$2000, 2, FALSE)), "")))</f>
        <v>Person - Ridwan Nur Muttaqin</v>
      </c>
      <c r="D151" s="22">
        <v>223000000000002</v>
      </c>
      <c r="E151" s="4" t="str">
        <f>IF(EXACT($D151, ""), "", VLOOKUP($D151, 'REF - ContactNumberType'!$B$4:$C$10, 2, FALSE))</f>
        <v>Mobile Phone</v>
      </c>
      <c r="F151" s="26" t="s">
        <v>865</v>
      </c>
      <c r="G151" s="9"/>
      <c r="H151" s="9" t="s">
        <v>606</v>
      </c>
      <c r="J151" s="33">
        <f t="shared" si="5"/>
        <v>286000000000148</v>
      </c>
      <c r="K151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'+62 813-3068-3991'::varchar, NULL::varchar, 'Ridwan Nur Muttaqin'::varchar, '25000000000607'::bigint);</v>
      </c>
    </row>
    <row r="152" spans="2:11" x14ac:dyDescent="0.2">
      <c r="B152" s="22">
        <v>25000000000352</v>
      </c>
      <c r="C152" s="4" t="str">
        <f>IF(EXACT($B152, ""), "", IF((($B152 - MOD($B152, 1000000000000))/1000000000000)=25, CONCATENATE("Person - ", VLOOKUP($B152, [1]DataLookUp!$B$4:$C$2000, 2, FALSE)), IF((($B152 - MOD($B152, 1000000000000))/1000000000000)=124, CONCATENATE("Institution - ", VLOOKUP($B152, '[2]DataLookUp - InstitutionBranch'!$B$4:$C$2000, 2, FALSE)), "")))</f>
        <v>Person - Rhino Priawan</v>
      </c>
      <c r="D152" s="22">
        <v>223000000000002</v>
      </c>
      <c r="E152" s="4" t="str">
        <f>IF(EXACT($D152, ""), "", VLOOKUP($D152, 'REF - ContactNumberType'!$B$4:$C$10, 2, FALSE))</f>
        <v>Mobile Phone</v>
      </c>
      <c r="F152" s="26" t="s">
        <v>824</v>
      </c>
      <c r="G152" s="9"/>
      <c r="H152" s="9" t="s">
        <v>351</v>
      </c>
      <c r="J152" s="33">
        <f t="shared" si="5"/>
        <v>286000000000149</v>
      </c>
      <c r="K152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'+62 813-1894-0491'::varchar, NULL::varchar, 'Rhino Priawan'::varchar, '25000000000352'::bigint);</v>
      </c>
    </row>
    <row r="153" spans="2:11" x14ac:dyDescent="0.2">
      <c r="B153" s="22">
        <v>25000000000391</v>
      </c>
      <c r="C153" s="4" t="str">
        <f>IF(EXACT($B153, ""), "", IF((($B153 - MOD($B153, 1000000000000))/1000000000000)=25, CONCATENATE("Person - ", VLOOKUP($B153, [1]DataLookUp!$B$4:$C$2000, 2, FALSE)), IF((($B153 - MOD($B153, 1000000000000))/1000000000000)=124, CONCATENATE("Institution - ", VLOOKUP($B153, '[2]DataLookUp - InstitutionBranch'!$B$4:$C$2000, 2, FALSE)), "")))</f>
        <v>Person - Seftiyan Hadi Maulana</v>
      </c>
      <c r="D153" s="22">
        <v>223000000000002</v>
      </c>
      <c r="E153" s="4" t="str">
        <f>IF(EXACT($D153, ""), "", VLOOKUP($D153, 'REF - ContactNumberType'!$B$4:$C$10, 2, FALSE))</f>
        <v>Mobile Phone</v>
      </c>
      <c r="F153" s="26" t="s">
        <v>825</v>
      </c>
      <c r="G153" s="9"/>
      <c r="H153" s="9" t="s">
        <v>390</v>
      </c>
      <c r="J153" s="33">
        <f t="shared" si="5"/>
        <v>286000000000150</v>
      </c>
      <c r="K153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'+62 856-9296-5294'::varchar, NULL::varchar, 'Seftiyan Hadi Maulana'::varchar, '25000000000391'::bigint);</v>
      </c>
    </row>
    <row r="154" spans="2:11" x14ac:dyDescent="0.2">
      <c r="B154" s="22">
        <v>25000000000393</v>
      </c>
      <c r="C154" s="4" t="str">
        <f>IF(EXACT($B154, ""), "", IF((($B154 - MOD($B154, 1000000000000))/1000000000000)=25, CONCATENATE("Person - ", VLOOKUP($B154, [1]DataLookUp!$B$4:$C$2000, 2, FALSE)), IF((($B154 - MOD($B154, 1000000000000))/1000000000000)=124, CONCATENATE("Institution - ", VLOOKUP($B154, '[2]DataLookUp - InstitutionBranch'!$B$4:$C$2000, 2, FALSE)), "")))</f>
        <v>Person - Setiadi</v>
      </c>
      <c r="D154" s="22">
        <v>223000000000002</v>
      </c>
      <c r="E154" s="4" t="str">
        <f>IF(EXACT($D154, ""), "", VLOOKUP($D154, 'REF - ContactNumberType'!$B$4:$C$10, 2, FALSE))</f>
        <v>Mobile Phone</v>
      </c>
      <c r="F154" s="26" t="s">
        <v>826</v>
      </c>
      <c r="G154" s="9"/>
      <c r="H154" s="9" t="s">
        <v>392</v>
      </c>
      <c r="J154" s="33">
        <f t="shared" si="5"/>
        <v>286000000000151</v>
      </c>
      <c r="K154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'+62 878-6983-2081'::varchar, NULL::varchar, 'Setiadi'::varchar, '25000000000393'::bigint);</v>
      </c>
    </row>
    <row r="155" spans="2:11" x14ac:dyDescent="0.2">
      <c r="B155" s="22">
        <v>25000000000397</v>
      </c>
      <c r="C155" s="4" t="str">
        <f>IF(EXACT($B155, ""), "", IF((($B155 - MOD($B155, 1000000000000))/1000000000000)=25, CONCATENATE("Person - ", VLOOKUP($B155, [1]DataLookUp!$B$4:$C$2000, 2, FALSE)), IF((($B155 - MOD($B155, 1000000000000))/1000000000000)=124, CONCATENATE("Institution - ", VLOOKUP($B155, '[2]DataLookUp - InstitutionBranch'!$B$4:$C$2000, 2, FALSE)), "")))</f>
        <v>Person - Sholehah</v>
      </c>
      <c r="D155" s="22">
        <v>223000000000002</v>
      </c>
      <c r="E155" s="4" t="str">
        <f>IF(EXACT($D155, ""), "", VLOOKUP($D155, 'REF - ContactNumberType'!$B$4:$C$10, 2, FALSE))</f>
        <v>Mobile Phone</v>
      </c>
      <c r="F155" s="26" t="s">
        <v>827</v>
      </c>
      <c r="G155" s="9"/>
      <c r="H155" s="9" t="s">
        <v>396</v>
      </c>
      <c r="J155" s="33">
        <f t="shared" si="5"/>
        <v>286000000000152</v>
      </c>
      <c r="K155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'+62 896-2474-6190'::varchar, NULL::varchar, 'Sholehah'::varchar, '25000000000397'::bigint);</v>
      </c>
    </row>
    <row r="156" spans="2:11" x14ac:dyDescent="0.2">
      <c r="B156" s="22">
        <v>25000000000412</v>
      </c>
      <c r="C156" s="4" t="str">
        <f>IF(EXACT($B156, ""), "", IF((($B156 - MOD($B156, 1000000000000))/1000000000000)=25, CONCATENATE("Person - ", VLOOKUP($B156, [1]DataLookUp!$B$4:$C$2000, 2, FALSE)), IF((($B156 - MOD($B156, 1000000000000))/1000000000000)=124, CONCATENATE("Institution - ", VLOOKUP($B156, '[2]DataLookUp - InstitutionBranch'!$B$4:$C$2000, 2, FALSE)), "")))</f>
        <v>Person - Sudarlan</v>
      </c>
      <c r="D156" s="22">
        <v>223000000000002</v>
      </c>
      <c r="E156" s="4" t="str">
        <f>IF(EXACT($D156, ""), "", VLOOKUP($D156, 'REF - ContactNumberType'!$B$4:$C$10, 2, FALSE))</f>
        <v>Mobile Phone</v>
      </c>
      <c r="F156" s="26" t="s">
        <v>828</v>
      </c>
      <c r="G156" s="9"/>
      <c r="H156" s="9" t="s">
        <v>411</v>
      </c>
      <c r="J156" s="33">
        <f t="shared" si="5"/>
        <v>286000000000153</v>
      </c>
      <c r="K156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'+62 813-1420-5669'::varchar, NULL::varchar, 'Sudarlan'::varchar, '25000000000412'::bigint);</v>
      </c>
    </row>
    <row r="157" spans="2:11" x14ac:dyDescent="0.2">
      <c r="B157" s="22">
        <v>25000000000278</v>
      </c>
      <c r="C157" s="4" t="str">
        <f>IF(EXACT($B157, ""), "", IF((($B157 - MOD($B157, 1000000000000))/1000000000000)=25, CONCATENATE("Person - ", VLOOKUP($B157, [1]DataLookUp!$B$4:$C$2000, 2, FALSE)), IF((($B157 - MOD($B157, 1000000000000))/1000000000000)=124, CONCATENATE("Institution - ", VLOOKUP($B157, '[2]DataLookUp - InstitutionBranch'!$B$4:$C$2000, 2, FALSE)), "")))</f>
        <v>Person - T. Marungkil U. S. Sagala</v>
      </c>
      <c r="D157" s="22">
        <v>223000000000002</v>
      </c>
      <c r="E157" s="4" t="str">
        <f>IF(EXACT($D157, ""), "", VLOOKUP($D157, 'REF - ContactNumberType'!$B$4:$C$10, 2, FALSE))</f>
        <v>Mobile Phone</v>
      </c>
      <c r="F157" s="26" t="s">
        <v>829</v>
      </c>
      <c r="G157" s="9"/>
      <c r="H157" s="9" t="s">
        <v>794</v>
      </c>
      <c r="J157" s="33">
        <f t="shared" si="5"/>
        <v>286000000000154</v>
      </c>
      <c r="K157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'+62 813-7307-5210'::varchar, NULL::varchar, 'T Marungkil U.S. Sagala'::varchar, '25000000000278'::bigint);</v>
      </c>
    </row>
    <row r="158" spans="2:11" x14ac:dyDescent="0.2">
      <c r="B158" s="22">
        <v>25000000000579</v>
      </c>
      <c r="C158" s="4" t="str">
        <f>IF(EXACT($B158, ""), "", IF((($B158 - MOD($B158, 1000000000000))/1000000000000)=25, CONCATENATE("Person - ", VLOOKUP($B158, [1]DataLookUp!$B$4:$C$2000, 2, FALSE)), IF((($B158 - MOD($B158, 1000000000000))/1000000000000)=124, CONCATENATE("Institution - ", VLOOKUP($B158, '[2]DataLookUp - InstitutionBranch'!$B$4:$C$2000, 2, FALSE)), "")))</f>
        <v>Person - Tegar Hersaputra</v>
      </c>
      <c r="D158" s="22">
        <v>223000000000002</v>
      </c>
      <c r="E158" s="4" t="str">
        <f>IF(EXACT($D158, ""), "", VLOOKUP($D158, 'REF - ContactNumberType'!$B$4:$C$10, 2, FALSE))</f>
        <v>Mobile Phone</v>
      </c>
      <c r="F158" s="26" t="s">
        <v>830</v>
      </c>
      <c r="G158" s="9"/>
      <c r="H158" s="9" t="s">
        <v>578</v>
      </c>
      <c r="J158" s="33">
        <f t="shared" si="5"/>
        <v>286000000000155</v>
      </c>
      <c r="K158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'+62 823-1055-5988'::varchar, NULL::varchar, 'Tegar Hersaputra'::varchar, '25000000000579'::bigint);</v>
      </c>
    </row>
    <row r="159" spans="2:11" x14ac:dyDescent="0.2">
      <c r="B159" s="22">
        <v>25000000000439</v>
      </c>
      <c r="C159" s="4" t="str">
        <f>IF(EXACT($B159, ""), "", IF((($B159 - MOD($B159, 1000000000000))/1000000000000)=25, CONCATENATE("Person - ", VLOOKUP($B159, [1]DataLookUp!$B$4:$C$2000, 2, FALSE)), IF((($B159 - MOD($B159, 1000000000000))/1000000000000)=124, CONCATENATE("Institution - ", VLOOKUP($B159, '[2]DataLookUp - InstitutionBranch'!$B$4:$C$2000, 2, FALSE)), "")))</f>
        <v>Person - Teguh Pratama Januzir Sukin</v>
      </c>
      <c r="D159" s="22">
        <v>223000000000002</v>
      </c>
      <c r="E159" s="4" t="str">
        <f>IF(EXACT($D159, ""), "", VLOOKUP($D159, 'REF - ContactNumberType'!$B$4:$C$10, 2, FALSE))</f>
        <v>Mobile Phone</v>
      </c>
      <c r="F159" s="26" t="s">
        <v>1663</v>
      </c>
      <c r="G159" s="9"/>
      <c r="H159" s="9" t="s">
        <v>890</v>
      </c>
      <c r="I159" s="1"/>
      <c r="J159" s="33">
        <f t="shared" si="5"/>
        <v>286000000000156</v>
      </c>
      <c r="K159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'+62 818-216-674'::varchar, NULL::varchar, 'Teguh Pratama Januzir S'::varchar, '25000000000439'::bigint);</v>
      </c>
    </row>
    <row r="160" spans="2:11" x14ac:dyDescent="0.2">
      <c r="B160" s="22">
        <v>25000000000439</v>
      </c>
      <c r="C160" s="4" t="str">
        <f>IF(EXACT($B160, ""), "", IF((($B160 - MOD($B160, 1000000000000))/1000000000000)=25, CONCATENATE("Person - ", VLOOKUP($B160, [1]DataLookUp!$B$4:$C$2000, 2, FALSE)), IF((($B160 - MOD($B160, 1000000000000))/1000000000000)=124, CONCATENATE("Institution - ", VLOOKUP($B160, '[2]DataLookUp - InstitutionBranch'!$B$4:$C$2000, 2, FALSE)), "")))</f>
        <v>Person - Teguh Pratama Januzir Sukin</v>
      </c>
      <c r="D160" s="22">
        <v>223000000000002</v>
      </c>
      <c r="E160" s="4" t="str">
        <f>IF(EXACT($D160, ""), "", VLOOKUP($D160, 'REF - ContactNumberType'!$B$4:$C$10, 2, FALSE))</f>
        <v>Mobile Phone</v>
      </c>
      <c r="F160" s="26" t="s">
        <v>891</v>
      </c>
      <c r="G160" s="9"/>
      <c r="H160" s="9" t="s">
        <v>890</v>
      </c>
      <c r="J160" s="33">
        <f t="shared" si="5"/>
        <v>286000000000157</v>
      </c>
      <c r="K160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'+62 821-1480-0364'::varchar, NULL::varchar, 'Teguh Pratama Januzir S'::varchar, '25000000000439'::bigint);</v>
      </c>
    </row>
    <row r="161" spans="2:11" x14ac:dyDescent="0.2">
      <c r="B161" s="22">
        <v>25000000000439</v>
      </c>
      <c r="C161" s="4" t="str">
        <f>IF(EXACT($B161, ""), "", IF((($B161 - MOD($B161, 1000000000000))/1000000000000)=25, CONCATENATE("Person - ", VLOOKUP($B161, [1]DataLookUp!$B$4:$C$2000, 2, FALSE)), IF((($B161 - MOD($B161, 1000000000000))/1000000000000)=124, CONCATENATE("Institution - ", VLOOKUP($B161, '[2]DataLookUp - InstitutionBranch'!$B$4:$C$2000, 2, FALSE)), "")))</f>
        <v>Person - Teguh Pratama Januzir Sukin</v>
      </c>
      <c r="D161" s="22">
        <v>223000000000003</v>
      </c>
      <c r="E161" s="4" t="str">
        <f>IF(EXACT($D161, ""), "", VLOOKUP($D161, 'REF - ContactNumberType'!$B$4:$C$10, 2, FALSE))</f>
        <v>Home Phone</v>
      </c>
      <c r="F161" s="26" t="s">
        <v>1618</v>
      </c>
      <c r="G161" s="9"/>
      <c r="H161" s="9" t="s">
        <v>890</v>
      </c>
      <c r="J161" s="33">
        <f t="shared" si="5"/>
        <v>286000000000158</v>
      </c>
      <c r="K161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223000000000003::bigint, '+62 (021) 782-1769'::varchar, NULL::varchar, 'Teguh Pratama Januzir S'::varchar, '25000000000439'::bigint);</v>
      </c>
    </row>
    <row r="162" spans="2:11" x14ac:dyDescent="0.2">
      <c r="B162" s="22">
        <v>25000000000452</v>
      </c>
      <c r="C162" s="4" t="str">
        <f>IF(EXACT($B162, ""), "", IF((($B162 - MOD($B162, 1000000000000))/1000000000000)=25, CONCATENATE("Person - ", VLOOKUP($B162, [1]DataLookUp!$B$4:$C$2000, 2, FALSE)), IF((($B162 - MOD($B162, 1000000000000))/1000000000000)=124, CONCATENATE("Institution - ", VLOOKUP($B162, '[2]DataLookUp - InstitutionBranch'!$B$4:$C$2000, 2, FALSE)), "")))</f>
        <v>Person - Turita Pramuning Marantina</v>
      </c>
      <c r="D162" s="22">
        <v>223000000000002</v>
      </c>
      <c r="E162" s="4" t="str">
        <f>IF(EXACT($D162, ""), "", VLOOKUP($D162, 'REF - ContactNumberType'!$B$4:$C$10, 2, FALSE))</f>
        <v>Mobile Phone</v>
      </c>
      <c r="F162" s="26" t="s">
        <v>831</v>
      </c>
      <c r="G162" s="9"/>
      <c r="H162" s="9" t="s">
        <v>796</v>
      </c>
      <c r="J162" s="33">
        <f t="shared" si="5"/>
        <v>286000000000159</v>
      </c>
      <c r="K162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'+62 822-4343-9555'::varchar, NULL::varchar, 'Turita Pramuning M'::varchar, '25000000000452'::bigint);</v>
      </c>
    </row>
    <row r="163" spans="2:11" x14ac:dyDescent="0.2">
      <c r="B163" s="22">
        <v>25000000000542</v>
      </c>
      <c r="C163" s="4" t="str">
        <f>IF(EXACT($B163, ""), "", IF((($B163 - MOD($B163, 1000000000000))/1000000000000)=25, CONCATENATE("Person - ", VLOOKUP($B163, [1]DataLookUp!$B$4:$C$2000, 2, FALSE)), IF((($B163 - MOD($B163, 1000000000000))/1000000000000)=124, CONCATENATE("Institution - ", VLOOKUP($B163, '[2]DataLookUp - InstitutionBranch'!$B$4:$C$2000, 2, FALSE)), "")))</f>
        <v>Person - Wardah Laily Khoiriyah</v>
      </c>
      <c r="D163" s="22">
        <v>223000000000002</v>
      </c>
      <c r="E163" s="4" t="str">
        <f>IF(EXACT($D163, ""), "", VLOOKUP($D163, 'REF - ContactNumberType'!$B$4:$C$10, 2, FALSE))</f>
        <v>Mobile Phone</v>
      </c>
      <c r="F163" s="26" t="s">
        <v>832</v>
      </c>
      <c r="G163" s="9"/>
      <c r="H163" s="9" t="s">
        <v>541</v>
      </c>
      <c r="J163" s="33">
        <f t="shared" si="5"/>
        <v>286000000000160</v>
      </c>
      <c r="K163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'+62 856-9369-4287'::varchar, NULL::varchar, 'Wardah Laily Khoiriyah'::varchar, '25000000000542'::bigint);</v>
      </c>
    </row>
    <row r="164" spans="2:11" x14ac:dyDescent="0.2">
      <c r="B164" s="22">
        <v>25000000000581</v>
      </c>
      <c r="C164" s="4" t="str">
        <f>IF(EXACT($B164, ""), "", IF((($B164 - MOD($B164, 1000000000000))/1000000000000)=25, CONCATENATE("Person - ", VLOOKUP($B164, [1]DataLookUp!$B$4:$C$2000, 2, FALSE)), IF((($B164 - MOD($B164, 1000000000000))/1000000000000)=124, CONCATENATE("Institution - ", VLOOKUP($B164, '[2]DataLookUp - InstitutionBranch'!$B$4:$C$2000, 2, FALSE)), "")))</f>
        <v>Person - Wisnu Trenggono Wirayuda</v>
      </c>
      <c r="D164" s="22">
        <v>223000000000002</v>
      </c>
      <c r="E164" s="4" t="str">
        <f>IF(EXACT($D164, ""), "", VLOOKUP($D164, 'REF - ContactNumberType'!$B$4:$C$10, 2, FALSE))</f>
        <v>Mobile Phone</v>
      </c>
      <c r="F164" s="26" t="s">
        <v>833</v>
      </c>
      <c r="G164" s="9"/>
      <c r="H164" s="9" t="s">
        <v>580</v>
      </c>
      <c r="J164" s="33">
        <f t="shared" si="5"/>
        <v>286000000000161</v>
      </c>
      <c r="K164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'+62 896-6615-1134'::varchar, NULL::varchar, 'Wisnu Trenggono Wirayuda'::varchar, '25000000000581'::bigint);</v>
      </c>
    </row>
    <row r="165" spans="2:11" x14ac:dyDescent="0.2">
      <c r="B165" s="22">
        <v>25000000000545</v>
      </c>
      <c r="C165" s="4" t="str">
        <f>IF(EXACT($B165, ""), "", IF((($B165 - MOD($B165, 1000000000000))/1000000000000)=25, CONCATENATE("Person - ", VLOOKUP($B165, [1]DataLookUp!$B$4:$C$2000, 2, FALSE)), IF((($B165 - MOD($B165, 1000000000000))/1000000000000)=124, CONCATENATE("Institution - ", VLOOKUP($B165, '[2]DataLookUp - InstitutionBranch'!$B$4:$C$2000, 2, FALSE)), "")))</f>
        <v>Person - Yogi Perbangkara</v>
      </c>
      <c r="D165" s="22">
        <v>223000000000002</v>
      </c>
      <c r="E165" s="4" t="str">
        <f>IF(EXACT($D165, ""), "", VLOOKUP($D165, 'REF - ContactNumberType'!$B$4:$C$10, 2, FALSE))</f>
        <v>Mobile Phone</v>
      </c>
      <c r="F165" s="26" t="s">
        <v>834</v>
      </c>
      <c r="G165" s="9"/>
      <c r="H165" s="9" t="s">
        <v>544</v>
      </c>
      <c r="J165" s="33">
        <f t="shared" si="5"/>
        <v>286000000000162</v>
      </c>
      <c r="K165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'+62 812-8934-9170'::varchar, NULL::varchar, 'Yogi Perbangkara'::varchar, '25000000000545'::bigint);</v>
      </c>
    </row>
    <row r="166" spans="2:11" x14ac:dyDescent="0.2">
      <c r="B166" s="22">
        <v>25000000000487</v>
      </c>
      <c r="C166" s="4" t="str">
        <f>IF(EXACT($B166, ""), "", IF((($B166 - MOD($B166, 1000000000000))/1000000000000)=25, CONCATENATE("Person - ", VLOOKUP($B166, [1]DataLookUp!$B$4:$C$2000, 2, FALSE)), IF((($B166 - MOD($B166, 1000000000000))/1000000000000)=124, CONCATENATE("Institution - ", VLOOKUP($B166, '[2]DataLookUp - InstitutionBranch'!$B$4:$C$2000, 2, FALSE)), "")))</f>
        <v>Person - Yuliandaru Suryoatmodjo</v>
      </c>
      <c r="D166" s="22">
        <v>223000000000002</v>
      </c>
      <c r="E166" s="4" t="str">
        <f>IF(EXACT($D166, ""), "", VLOOKUP($D166, 'REF - ContactNumberType'!$B$4:$C$10, 2, FALSE))</f>
        <v>Mobile Phone</v>
      </c>
      <c r="F166" s="26" t="s">
        <v>835</v>
      </c>
      <c r="G166" s="9"/>
      <c r="H166" s="9" t="s">
        <v>486</v>
      </c>
      <c r="J166" s="33">
        <f t="shared" si="5"/>
        <v>286000000000163</v>
      </c>
      <c r="K166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'+62 859-2070-7074'::varchar, NULL::varchar, 'Yuliandaru Suryoatmodjo'::varchar, '25000000000487'::bigint);</v>
      </c>
    </row>
    <row r="167" spans="2:11" x14ac:dyDescent="0.2">
      <c r="B167" s="22">
        <v>25000000000497</v>
      </c>
      <c r="C167" s="4" t="str">
        <f>IF(EXACT($B167, ""), "", IF((($B167 - MOD($B167, 1000000000000))/1000000000000)=25, CONCATENATE("Person - ", VLOOKUP($B167, [1]DataLookUp!$B$4:$C$2000, 2, FALSE)), IF((($B167 - MOD($B167, 1000000000000))/1000000000000)=124, CONCATENATE("Institution - ", VLOOKUP($B167, '[2]DataLookUp - InstitutionBranch'!$B$4:$C$2000, 2, FALSE)), "")))</f>
        <v>Person - Zainudin Anwar</v>
      </c>
      <c r="D167" s="22">
        <v>223000000000002</v>
      </c>
      <c r="E167" s="4" t="str">
        <f>IF(EXACT($D167, ""), "", VLOOKUP($D167, 'REF - ContactNumberType'!$B$4:$C$10, 2, FALSE))</f>
        <v>Mobile Phone</v>
      </c>
      <c r="F167" s="26" t="s">
        <v>836</v>
      </c>
      <c r="G167" s="9"/>
      <c r="H167" s="9" t="s">
        <v>496</v>
      </c>
      <c r="J167" s="33">
        <f t="shared" si="5"/>
        <v>286000000000164</v>
      </c>
      <c r="K167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'+62 896-3011-7006'::varchar, NULL::varchar, 'Zainudin Anwar'::varchar, '25000000000497'::bigint);</v>
      </c>
    </row>
    <row r="168" spans="2:11" x14ac:dyDescent="0.2">
      <c r="B168" s="22">
        <v>25000000000501</v>
      </c>
      <c r="C168" s="4" t="str">
        <f>IF(EXACT($B168, ""), "", IF((($B168 - MOD($B168, 1000000000000))/1000000000000)=25, CONCATENATE("Person - ", VLOOKUP($B168, [1]DataLookUp!$B$4:$C$2000, 2, FALSE)), IF((($B168 - MOD($B168, 1000000000000))/1000000000000)=124, CONCATENATE("Institution - ", VLOOKUP($B168, '[2]DataLookUp - InstitutionBranch'!$B$4:$C$2000, 2, FALSE)), "")))</f>
        <v>Person - Zulfikar K. Siregar</v>
      </c>
      <c r="D168" s="22">
        <v>223000000000002</v>
      </c>
      <c r="E168" s="4" t="str">
        <f>IF(EXACT($D168, ""), "", VLOOKUP($D168, 'REF - ContactNumberType'!$B$4:$C$10, 2, FALSE))</f>
        <v>Mobile Phone</v>
      </c>
      <c r="F168" s="26" t="s">
        <v>837</v>
      </c>
      <c r="G168" s="9"/>
      <c r="H168" s="9" t="s">
        <v>500</v>
      </c>
      <c r="J168" s="33">
        <f t="shared" si="5"/>
        <v>286000000000165</v>
      </c>
      <c r="K168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'+62 852-9624-8470'::varchar, NULL::varchar, 'Zulfikar K. Siregar'::varchar, '25000000000501'::bigint);</v>
      </c>
    </row>
    <row r="169" spans="2:11" x14ac:dyDescent="0.2">
      <c r="B169" s="22">
        <v>25000000000347</v>
      </c>
      <c r="C169" s="4" t="str">
        <f>IF(EXACT($B169, ""), "", IF((($B169 - MOD($B169, 1000000000000))/1000000000000)=25, CONCATENATE("Person - ", VLOOKUP($B169, [1]DataLookUp!$B$4:$C$2000, 2, FALSE)), IF((($B169 - MOD($B169, 1000000000000))/1000000000000)=124, CONCATENATE("Institution - ", VLOOKUP($B169, '[2]DataLookUp - InstitutionBranch'!$B$4:$C$2000, 2, FALSE)), "")))</f>
        <v>Person - Redi Subekti</v>
      </c>
      <c r="D169" s="22">
        <v>223000000000002</v>
      </c>
      <c r="E169" s="4" t="str">
        <f>IF(EXACT($D169, ""), "", VLOOKUP($D169, 'REF - ContactNumberType'!$B$4:$C$10, 2, FALSE))</f>
        <v>Mobile Phone</v>
      </c>
      <c r="F169" s="26" t="s">
        <v>1664</v>
      </c>
      <c r="G169" s="9"/>
      <c r="H169" s="9" t="s">
        <v>346</v>
      </c>
      <c r="J169" s="33">
        <f t="shared" si="5"/>
        <v>286000000000166</v>
      </c>
      <c r="K169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'+62 812-108-0840'::varchar, NULL::varchar, 'Redi Subekti'::varchar, '25000000000347'::bigint);</v>
      </c>
    </row>
    <row r="170" spans="2:11" x14ac:dyDescent="0.2">
      <c r="B170" s="22">
        <v>25000000000347</v>
      </c>
      <c r="C170" s="4" t="str">
        <f>IF(EXACT($B170, ""), "", IF((($B170 - MOD($B170, 1000000000000))/1000000000000)=25, CONCATENATE("Person - ", VLOOKUP($B170, [1]DataLookUp!$B$4:$C$2000, 2, FALSE)), IF((($B170 - MOD($B170, 1000000000000))/1000000000000)=124, CONCATENATE("Institution - ", VLOOKUP($B170, '[2]DataLookUp - InstitutionBranch'!$B$4:$C$2000, 2, FALSE)), "")))</f>
        <v>Person - Redi Subekti</v>
      </c>
      <c r="D170" s="22">
        <v>223000000000002</v>
      </c>
      <c r="E170" s="4" t="str">
        <f>IF(EXACT($D170, ""), "", VLOOKUP($D170, 'REF - ContactNumberType'!$B$4:$C$10, 2, FALSE))</f>
        <v>Mobile Phone</v>
      </c>
      <c r="F170" s="26" t="s">
        <v>1665</v>
      </c>
      <c r="G170" s="9"/>
      <c r="H170" s="9" t="s">
        <v>346</v>
      </c>
      <c r="J170" s="33">
        <f t="shared" si="5"/>
        <v>286000000000167</v>
      </c>
      <c r="K170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'+62 816-880-840'::varchar, NULL::varchar, 'Redi Subekti'::varchar, '25000000000347'::bigint);</v>
      </c>
    </row>
    <row r="171" spans="2:11" x14ac:dyDescent="0.2">
      <c r="B171" s="22">
        <v>25000000000167</v>
      </c>
      <c r="C171" s="4" t="str">
        <f>IF(EXACT($B171, ""), "", IF((($B171 - MOD($B171, 1000000000000))/1000000000000)=25, CONCATENATE("Person - ", VLOOKUP($B171, [1]DataLookUp!$B$4:$C$2000, 2, FALSE)), IF((($B171 - MOD($B171, 1000000000000))/1000000000000)=124, CONCATENATE("Institution - ", VLOOKUP($B171, '[2]DataLookUp - InstitutionBranch'!$B$4:$C$2000, 2, FALSE)), "")))</f>
        <v>Person - Grace Kurniawan</v>
      </c>
      <c r="D171" s="22">
        <v>223000000000002</v>
      </c>
      <c r="E171" s="4" t="str">
        <f>IF(EXACT($D171, ""), "", VLOOKUP($D171, 'REF - ContactNumberType'!$B$4:$C$10, 2, FALSE))</f>
        <v>Mobile Phone</v>
      </c>
      <c r="F171" s="26" t="s">
        <v>1666</v>
      </c>
      <c r="G171" s="9"/>
      <c r="H171" s="9" t="s">
        <v>166</v>
      </c>
      <c r="J171" s="33">
        <f t="shared" si="5"/>
        <v>286000000000168</v>
      </c>
      <c r="K171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'+62 811-197-5696'::varchar, NULL::varchar, 'Grace Kurniawan'::varchar, '25000000000167'::bigint);</v>
      </c>
    </row>
    <row r="172" spans="2:11" x14ac:dyDescent="0.2">
      <c r="B172" s="22">
        <v>25000000000559</v>
      </c>
      <c r="C172" s="4" t="str">
        <f>IF(EXACT($B172, ""), "", IF((($B172 - MOD($B172, 1000000000000))/1000000000000)=25, CONCATENATE("Person - ", VLOOKUP($B172, [1]DataLookUp!$B$4:$C$2000, 2, FALSE)), IF((($B172 - MOD($B172, 1000000000000))/1000000000000)=124, CONCATENATE("Institution - ", VLOOKUP($B172, '[2]DataLookUp - InstitutionBranch'!$B$4:$C$2000, 2, FALSE)), "")))</f>
        <v>Person - Adhe Kurniawan</v>
      </c>
      <c r="D172" s="22">
        <v>223000000000002</v>
      </c>
      <c r="E172" s="4" t="str">
        <f>IF(EXACT($D172, ""), "", VLOOKUP($D172, 'REF - ContactNumberType'!$B$4:$C$10, 2, FALSE))</f>
        <v>Mobile Phone</v>
      </c>
      <c r="F172" s="26" t="s">
        <v>840</v>
      </c>
      <c r="G172" s="9"/>
      <c r="H172" s="9" t="s">
        <v>558</v>
      </c>
      <c r="J172" s="33">
        <f t="shared" si="5"/>
        <v>286000000000169</v>
      </c>
      <c r="K172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'+62 812-8425-4284'::varchar, NULL::varchar, 'Adhe Kurniawan'::varchar, '25000000000559'::bigint);</v>
      </c>
    </row>
    <row r="173" spans="2:11" x14ac:dyDescent="0.2">
      <c r="B173" s="22">
        <v>25000000000559</v>
      </c>
      <c r="C173" s="4" t="str">
        <f>IF(EXACT($B173, ""), "", IF((($B173 - MOD($B173, 1000000000000))/1000000000000)=25, CONCATENATE("Person - ", VLOOKUP($B173, [1]DataLookUp!$B$4:$C$2000, 2, FALSE)), IF((($B173 - MOD($B173, 1000000000000))/1000000000000)=124, CONCATENATE("Institution - ", VLOOKUP($B173, '[2]DataLookUp - InstitutionBranch'!$B$4:$C$2000, 2, FALSE)), "")))</f>
        <v>Person - Adhe Kurniawan</v>
      </c>
      <c r="D173" s="22">
        <v>223000000000002</v>
      </c>
      <c r="E173" s="4" t="str">
        <f>IF(EXACT($D173, ""), "", VLOOKUP($D173, 'REF - ContactNumberType'!$B$4:$C$10, 2, FALSE))</f>
        <v>Mobile Phone</v>
      </c>
      <c r="F173" s="26" t="s">
        <v>1667</v>
      </c>
      <c r="G173" s="9"/>
      <c r="H173" s="9" t="s">
        <v>558</v>
      </c>
      <c r="J173" s="33">
        <f t="shared" si="5"/>
        <v>286000000000170</v>
      </c>
      <c r="K173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'+62 812-633-8284'::varchar, NULL::varchar, 'Adhe Kurniawan'::varchar, '25000000000559'::bigint);</v>
      </c>
    </row>
    <row r="174" spans="2:11" x14ac:dyDescent="0.2">
      <c r="B174" s="22">
        <v>25000000000017</v>
      </c>
      <c r="C174" s="4" t="str">
        <f>IF(EXACT($B174, ""), "", IF((($B174 - MOD($B174, 1000000000000))/1000000000000)=25, CONCATENATE("Person - ", VLOOKUP($B174, [1]DataLookUp!$B$4:$C$2000, 2, FALSE)), IF((($B174 - MOD($B174, 1000000000000))/1000000000000)=124, CONCATENATE("Institution - ", VLOOKUP($B174, '[2]DataLookUp - InstitutionBranch'!$B$4:$C$2000, 2, FALSE)), "")))</f>
        <v>Person - Ahmad Faiz Haems Muda</v>
      </c>
      <c r="D174" s="22">
        <v>223000000000002</v>
      </c>
      <c r="E174" s="4" t="str">
        <f>IF(EXACT($D174, ""), "", VLOOKUP($D174, 'REF - ContactNumberType'!$B$4:$C$10, 2, FALSE))</f>
        <v>Mobile Phone</v>
      </c>
      <c r="F174" s="26" t="s">
        <v>841</v>
      </c>
      <c r="G174" s="9"/>
      <c r="H174" s="9" t="s">
        <v>16</v>
      </c>
      <c r="J174" s="33">
        <f t="shared" si="5"/>
        <v>286000000000171</v>
      </c>
      <c r="K174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'+62 813-1458-9939'::varchar, NULL::varchar, 'Ahmad Faiz Haems Muda'::varchar, '25000000000017'::bigint);</v>
      </c>
    </row>
    <row r="175" spans="2:11" x14ac:dyDescent="0.2">
      <c r="B175" s="22">
        <v>25000000000509</v>
      </c>
      <c r="C175" s="4" t="str">
        <f>IF(EXACT($B175, ""), "", IF((($B175 - MOD($B175, 1000000000000))/1000000000000)=25, CONCATENATE("Person - ", VLOOKUP($B175, [1]DataLookUp!$B$4:$C$2000, 2, FALSE)), IF((($B175 - MOD($B175, 1000000000000))/1000000000000)=124, CONCATENATE("Institution - ", VLOOKUP($B175, '[2]DataLookUp - InstitutionBranch'!$B$4:$C$2000, 2, FALSE)), "")))</f>
        <v>Person - Riza Emir Subekti</v>
      </c>
      <c r="D175" s="22">
        <v>223000000000002</v>
      </c>
      <c r="E175" s="4" t="str">
        <f>IF(EXACT($D175, ""), "", VLOOKUP($D175, 'REF - ContactNumberType'!$B$4:$C$10, 2, FALSE))</f>
        <v>Mobile Phone</v>
      </c>
      <c r="F175" s="26" t="s">
        <v>1668</v>
      </c>
      <c r="G175" s="9"/>
      <c r="H175" s="9" t="s">
        <v>508</v>
      </c>
      <c r="J175" s="33">
        <f t="shared" si="5"/>
        <v>286000000000172</v>
      </c>
      <c r="K175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'+62 811-113-7275'::varchar, NULL::varchar, 'Riza Emir Subekti'::varchar, '25000000000509'::bigint);</v>
      </c>
    </row>
    <row r="176" spans="2:11" x14ac:dyDescent="0.2">
      <c r="B176" s="22">
        <v>25000000000051</v>
      </c>
      <c r="C176" s="4" t="str">
        <f>IF(EXACT($B176, ""), "", IF((($B176 - MOD($B176, 1000000000000))/1000000000000)=25, CONCATENATE("Person - ", VLOOKUP($B176, [1]DataLookUp!$B$4:$C$2000, 2, FALSE)), IF((($B176 - MOD($B176, 1000000000000))/1000000000000)=124, CONCATENATE("Institution - ", VLOOKUP($B176, '[2]DataLookUp - InstitutionBranch'!$B$4:$C$2000, 2, FALSE)), "")))</f>
        <v>Person - Ares S. Mauboi</v>
      </c>
      <c r="D176" s="22">
        <v>223000000000002</v>
      </c>
      <c r="E176" s="4" t="str">
        <f>IF(EXACT($D176, ""), "", VLOOKUP($D176, 'REF - ContactNumberType'!$B$4:$C$10, 2, FALSE))</f>
        <v>Mobile Phone</v>
      </c>
      <c r="F176" s="26" t="s">
        <v>845</v>
      </c>
      <c r="G176" s="9"/>
      <c r="H176" s="9" t="s">
        <v>843</v>
      </c>
      <c r="J176" s="33">
        <f t="shared" si="5"/>
        <v>286000000000173</v>
      </c>
      <c r="K176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'+62 812-8326-4959'::varchar, NULL::varchar, 'Ares S. Mauboy'::varchar, '25000000000051'::bigint);</v>
      </c>
    </row>
    <row r="177" spans="2:11" x14ac:dyDescent="0.2">
      <c r="B177" s="22">
        <v>25000000000595</v>
      </c>
      <c r="C177" s="4" t="str">
        <f>IF(EXACT($B177, ""), "", IF((($B177 - MOD($B177, 1000000000000))/1000000000000)=25, CONCATENATE("Person - ", VLOOKUP($B177, [1]DataLookUp!$B$4:$C$2000, 2, FALSE)), IF((($B177 - MOD($B177, 1000000000000))/1000000000000)=124, CONCATENATE("Institution - ", VLOOKUP($B177, '[2]DataLookUp - InstitutionBranch'!$B$4:$C$2000, 2, FALSE)), "")))</f>
        <v>Person - Arief Yulianto</v>
      </c>
      <c r="D177" s="22">
        <v>223000000000002</v>
      </c>
      <c r="E177" s="4" t="str">
        <f>IF(EXACT($D177, ""), "", VLOOKUP($D177, 'REF - ContactNumberType'!$B$4:$C$10, 2, FALSE))</f>
        <v>Mobile Phone</v>
      </c>
      <c r="F177" s="26" t="s">
        <v>846</v>
      </c>
      <c r="G177" s="9"/>
      <c r="H177" s="9" t="s">
        <v>594</v>
      </c>
      <c r="J177" s="33">
        <f t="shared" si="5"/>
        <v>286000000000174</v>
      </c>
      <c r="K177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'+62 857-7006-7607'::varchar, NULL::varchar, 'Arief Yulianto'::varchar, '25000000000595'::bigint);</v>
      </c>
    </row>
    <row r="178" spans="2:11" x14ac:dyDescent="0.2">
      <c r="B178" s="22">
        <v>25000000000596</v>
      </c>
      <c r="C178" s="4" t="str">
        <f>IF(EXACT($B178, ""), "", IF((($B178 - MOD($B178, 1000000000000))/1000000000000)=25, CONCATENATE("Person - ", VLOOKUP($B178, [1]DataLookUp!$B$4:$C$2000, 2, FALSE)), IF((($B178 - MOD($B178, 1000000000000))/1000000000000)=124, CONCATENATE("Institution - ", VLOOKUP($B178, '[2]DataLookUp - InstitutionBranch'!$B$4:$C$2000, 2, FALSE)), "")))</f>
        <v>Person - Burhan</v>
      </c>
      <c r="D178" s="22">
        <v>223000000000002</v>
      </c>
      <c r="E178" s="4" t="str">
        <f>IF(EXACT($D178, ""), "", VLOOKUP($D178, 'REF - ContactNumberType'!$B$4:$C$10, 2, FALSE))</f>
        <v>Mobile Phone</v>
      </c>
      <c r="F178" s="26" t="s">
        <v>847</v>
      </c>
      <c r="G178" s="9"/>
      <c r="H178" s="9" t="s">
        <v>595</v>
      </c>
      <c r="J178" s="33">
        <f t="shared" si="5"/>
        <v>286000000000175</v>
      </c>
      <c r="K178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'+62 877-8435-5937'::varchar, NULL::varchar, 'Burhan'::varchar, '25000000000596'::bigint);</v>
      </c>
    </row>
    <row r="179" spans="2:11" x14ac:dyDescent="0.2">
      <c r="B179" s="22">
        <v>25000000000517</v>
      </c>
      <c r="C179" s="4" t="str">
        <f>IF(EXACT($B179, ""), "", IF((($B179 - MOD($B179, 1000000000000))/1000000000000)=25, CONCATENATE("Person - ", VLOOKUP($B179, [1]DataLookUp!$B$4:$C$2000, 2, FALSE)), IF((($B179 - MOD($B179, 1000000000000))/1000000000000)=124, CONCATENATE("Institution - ", VLOOKUP($B179, '[2]DataLookUp - InstitutionBranch'!$B$4:$C$2000, 2, FALSE)), "")))</f>
        <v>Person - Cahyana</v>
      </c>
      <c r="D179" s="22">
        <v>223000000000002</v>
      </c>
      <c r="E179" s="4" t="str">
        <f>IF(EXACT($D179, ""), "", VLOOKUP($D179, 'REF - ContactNumberType'!$B$4:$C$10, 2, FALSE))</f>
        <v>Mobile Phone</v>
      </c>
      <c r="F179" s="26" t="s">
        <v>848</v>
      </c>
      <c r="G179" s="9"/>
      <c r="H179" s="9" t="s">
        <v>516</v>
      </c>
      <c r="J179" s="33">
        <f t="shared" si="5"/>
        <v>286000000000176</v>
      </c>
      <c r="K179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8121-8555-661'::varchar, NULL::varchar, 'Cahyana'::varchar, '25000000000517'::bigint);</v>
      </c>
    </row>
    <row r="180" spans="2:11" x14ac:dyDescent="0.2">
      <c r="B180" s="22">
        <v>25000000000093</v>
      </c>
      <c r="C180" s="4" t="str">
        <f>IF(EXACT($B180, ""), "", IF((($B180 - MOD($B180, 1000000000000))/1000000000000)=25, CONCATENATE("Person - ", VLOOKUP($B180, [1]DataLookUp!$B$4:$C$2000, 2, FALSE)), IF((($B180 - MOD($B180, 1000000000000))/1000000000000)=124, CONCATENATE("Institution - ", VLOOKUP($B180, '[2]DataLookUp - InstitutionBranch'!$B$4:$C$2000, 2, FALSE)), "")))</f>
        <v>Person - Davit Lumban Gaol</v>
      </c>
      <c r="D180" s="22">
        <v>223000000000002</v>
      </c>
      <c r="E180" s="4" t="str">
        <f>IF(EXACT($D180, ""), "", VLOOKUP($D180, 'REF - ContactNumberType'!$B$4:$C$10, 2, FALSE))</f>
        <v>Mobile Phone</v>
      </c>
      <c r="F180" s="26" t="s">
        <v>849</v>
      </c>
      <c r="G180" s="9"/>
      <c r="H180" s="9" t="s">
        <v>92</v>
      </c>
      <c r="J180" s="33">
        <f t="shared" si="5"/>
        <v>286000000000177</v>
      </c>
      <c r="K180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'+62 822-7398-5841'::varchar, NULL::varchar, 'Davit Lumban Gaol'::varchar, '25000000000093'::bigint);</v>
      </c>
    </row>
    <row r="181" spans="2:11" x14ac:dyDescent="0.2">
      <c r="B181" s="22">
        <v>25000000000550</v>
      </c>
      <c r="C181" s="4" t="str">
        <f>IF(EXACT($B181, ""), "", IF((($B181 - MOD($B181, 1000000000000))/1000000000000)=25, CONCATENATE("Person - ", VLOOKUP($B181, [1]DataLookUp!$B$4:$C$2000, 2, FALSE)), IF((($B181 - MOD($B181, 1000000000000))/1000000000000)=124, CONCATENATE("Institution - ", VLOOKUP($B181, '[2]DataLookUp - InstitutionBranch'!$B$4:$C$2000, 2, FALSE)), "")))</f>
        <v>Person - Dian Tri Rahmawati</v>
      </c>
      <c r="D181" s="22">
        <v>223000000000002</v>
      </c>
      <c r="E181" s="4" t="str">
        <f>IF(EXACT($D181, ""), "", VLOOKUP($D181, 'REF - ContactNumberType'!$B$4:$C$10, 2, FALSE))</f>
        <v>Mobile Phone</v>
      </c>
      <c r="F181" s="26" t="s">
        <v>850</v>
      </c>
      <c r="G181" s="9"/>
      <c r="H181" s="9" t="s">
        <v>549</v>
      </c>
      <c r="J181" s="33">
        <f t="shared" si="5"/>
        <v>286000000000178</v>
      </c>
      <c r="K181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'+62 812-9465-7916'::varchar, NULL::varchar, 'Dian Tri Rahmawati'::varchar, '25000000000550'::bigint);</v>
      </c>
    </row>
    <row r="182" spans="2:11" x14ac:dyDescent="0.2">
      <c r="B182" s="22">
        <v>25000000000521</v>
      </c>
      <c r="C182" s="4" t="str">
        <f>IF(EXACT($B182, ""), "", IF((($B182 - MOD($B182, 1000000000000))/1000000000000)=25, CONCATENATE("Person - ", VLOOKUP($B182, [1]DataLookUp!$B$4:$C$2000, 2, FALSE)), IF((($B182 - MOD($B182, 1000000000000))/1000000000000)=124, CONCATENATE("Institution - ", VLOOKUP($B182, '[2]DataLookUp - InstitutionBranch'!$B$4:$C$2000, 2, FALSE)), "")))</f>
        <v>Person - Fabrian Danang Destiyara</v>
      </c>
      <c r="D182" s="22">
        <v>223000000000002</v>
      </c>
      <c r="E182" s="4" t="str">
        <f>IF(EXACT($D182, ""), "", VLOOKUP($D182, 'REF - ContactNumberType'!$B$4:$C$10, 2, FALSE))</f>
        <v>Mobile Phone</v>
      </c>
      <c r="F182" s="26" t="s">
        <v>851</v>
      </c>
      <c r="G182" s="9"/>
      <c r="H182" s="9" t="s">
        <v>520</v>
      </c>
      <c r="J182" s="33">
        <f t="shared" si="5"/>
        <v>286000000000179</v>
      </c>
      <c r="K182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'+62 822-1385-9070'::varchar, NULL::varchar, 'Fabrian Danang Destiyara'::varchar, '25000000000521'::bigint);</v>
      </c>
    </row>
    <row r="183" spans="2:11" x14ac:dyDescent="0.2">
      <c r="B183" s="22">
        <v>25000000000588</v>
      </c>
      <c r="C183" s="4" t="str">
        <f>IF(EXACT($B183, ""), "", IF((($B183 - MOD($B183, 1000000000000))/1000000000000)=25, CONCATENATE("Person - ", VLOOKUP($B183, [1]DataLookUp!$B$4:$C$2000, 2, FALSE)), IF((($B183 - MOD($B183, 1000000000000))/1000000000000)=124, CONCATENATE("Institution - ", VLOOKUP($B183, '[2]DataLookUp - InstitutionBranch'!$B$4:$C$2000, 2, FALSE)), "")))</f>
        <v>Person - Iman Faisal Abdurahman</v>
      </c>
      <c r="D183" s="22">
        <v>223000000000002</v>
      </c>
      <c r="E183" s="4" t="str">
        <f>IF(EXACT($D183, ""), "", VLOOKUP($D183, 'REF - ContactNumberType'!$B$4:$C$10, 2, FALSE))</f>
        <v>Mobile Phone</v>
      </c>
      <c r="F183" s="26" t="s">
        <v>1669</v>
      </c>
      <c r="G183" s="9"/>
      <c r="H183" s="9" t="s">
        <v>587</v>
      </c>
      <c r="J183" s="33">
        <f t="shared" si="5"/>
        <v>286000000000180</v>
      </c>
      <c r="K183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'+62 856-810-0752'::varchar, NULL::varchar, 'Iman Faisal Abdurahman'::varchar, '25000000000588'::bigint);</v>
      </c>
    </row>
    <row r="184" spans="2:11" x14ac:dyDescent="0.2">
      <c r="B184" s="22">
        <v>25000000000551</v>
      </c>
      <c r="C184" s="4" t="str">
        <f>IF(EXACT($B184, ""), "", IF((($B184 - MOD($B184, 1000000000000))/1000000000000)=25, CONCATENATE("Person - ", VLOOKUP($B184, [1]DataLookUp!$B$4:$C$2000, 2, FALSE)), IF((($B184 - MOD($B184, 1000000000000))/1000000000000)=124, CONCATENATE("Institution - ", VLOOKUP($B184, '[2]DataLookUp - InstitutionBranch'!$B$4:$C$2000, 2, FALSE)), "")))</f>
        <v>Person - Langgeng Eko Dwiantoro</v>
      </c>
      <c r="D184" s="22">
        <v>223000000000002</v>
      </c>
      <c r="E184" s="4" t="str">
        <f>IF(EXACT($D184, ""), "", VLOOKUP($D184, 'REF - ContactNumberType'!$B$4:$C$10, 2, FALSE))</f>
        <v>Mobile Phone</v>
      </c>
      <c r="F184" s="26" t="s">
        <v>853</v>
      </c>
      <c r="G184" s="9"/>
      <c r="H184" s="9" t="s">
        <v>550</v>
      </c>
      <c r="J184" s="33">
        <f t="shared" si="5"/>
        <v>286000000000181</v>
      </c>
      <c r="K184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'+62 838-0600-4470'::varchar, NULL::varchar, 'Langgeng Eko Dwiantoro'::varchar, '25000000000551'::bigint);</v>
      </c>
    </row>
    <row r="185" spans="2:11" x14ac:dyDescent="0.2">
      <c r="B185" s="22">
        <v>25000000000551</v>
      </c>
      <c r="C185" s="4" t="str">
        <f>IF(EXACT($B185, ""), "", IF((($B185 - MOD($B185, 1000000000000))/1000000000000)=25, CONCATENATE("Person - ", VLOOKUP($B185, [1]DataLookUp!$B$4:$C$2000, 2, FALSE)), IF((($B185 - MOD($B185, 1000000000000))/1000000000000)=124, CONCATENATE("Institution - ", VLOOKUP($B185, '[2]DataLookUp - InstitutionBranch'!$B$4:$C$2000, 2, FALSE)), "")))</f>
        <v>Person - Langgeng Eko Dwiantoro</v>
      </c>
      <c r="D185" s="22">
        <v>223000000000002</v>
      </c>
      <c r="E185" s="4" t="str">
        <f>IF(EXACT($D185, ""), "", VLOOKUP($D185, 'REF - ContactNumberType'!$B$4:$C$10, 2, FALSE))</f>
        <v>Mobile Phone</v>
      </c>
      <c r="F185" s="26" t="s">
        <v>854</v>
      </c>
      <c r="G185" s="9"/>
      <c r="H185" s="9" t="s">
        <v>550</v>
      </c>
      <c r="J185" s="33">
        <f t="shared" si="5"/>
        <v>286000000000182</v>
      </c>
      <c r="K185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'+62 831-4318-2038'::varchar, NULL::varchar, 'Langgeng Eko Dwiantoro'::varchar, '25000000000551'::bigint);</v>
      </c>
    </row>
    <row r="186" spans="2:11" x14ac:dyDescent="0.2">
      <c r="B186" s="22">
        <v>25000000000372</v>
      </c>
      <c r="C186" s="4" t="str">
        <f>IF(EXACT($B186, ""), "", IF((($B186 - MOD($B186, 1000000000000))/1000000000000)=25, CONCATENATE("Person - ", VLOOKUP($B186, [1]DataLookUp!$B$4:$C$2000, 2, FALSE)), IF((($B186 - MOD($B186, 1000000000000))/1000000000000)=124, CONCATENATE("Institution - ", VLOOKUP($B186, '[2]DataLookUp - InstitutionBranch'!$B$4:$C$2000, 2, FALSE)), "")))</f>
        <v>Person - Roy Aditya</v>
      </c>
      <c r="D186" s="22">
        <v>223000000000002</v>
      </c>
      <c r="E186" s="4" t="str">
        <f>IF(EXACT($D186, ""), "", VLOOKUP($D186, 'REF - ContactNumberType'!$B$4:$C$10, 2, FALSE))</f>
        <v>Mobile Phone</v>
      </c>
      <c r="F186" s="26" t="s">
        <v>855</v>
      </c>
      <c r="G186" s="9"/>
      <c r="H186" s="9" t="s">
        <v>371</v>
      </c>
      <c r="J186" s="33">
        <f t="shared" si="5"/>
        <v>286000000000183</v>
      </c>
      <c r="K186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'+62 819-3279-8900'::varchar, NULL::varchar, 'Roy Aditya'::varchar, '25000000000372'::bigint);</v>
      </c>
    </row>
    <row r="187" spans="2:11" x14ac:dyDescent="0.2">
      <c r="B187" s="22">
        <v>25000000000610</v>
      </c>
      <c r="C187" s="4" t="str">
        <f>IF(EXACT($B187, ""), "", IF((($B187 - MOD($B187, 1000000000000))/1000000000000)=25, CONCATENATE("Person - ", VLOOKUP($B187, [1]DataLookUp!$B$4:$C$2000, 2, FALSE)), IF((($B187 - MOD($B187, 1000000000000))/1000000000000)=124, CONCATENATE("Institution - ", VLOOKUP($B187, '[2]DataLookUp - InstitutionBranch'!$B$4:$C$2000, 2, FALSE)), "")))</f>
        <v>Person - Rustono</v>
      </c>
      <c r="D187" s="22">
        <v>223000000000002</v>
      </c>
      <c r="E187" s="4" t="str">
        <f>IF(EXACT($D187, ""), "", VLOOKUP($D187, 'REF - ContactNumberType'!$B$4:$C$10, 2, FALSE))</f>
        <v>Mobile Phone</v>
      </c>
      <c r="F187" s="26" t="s">
        <v>856</v>
      </c>
      <c r="G187" s="9"/>
      <c r="H187" s="9" t="s">
        <v>609</v>
      </c>
      <c r="J187" s="33">
        <f t="shared" si="5"/>
        <v>286000000000184</v>
      </c>
      <c r="K187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'+62 896-3029-4828'::varchar, NULL::varchar, 'Rustono'::varchar, '25000000000610'::bigint);</v>
      </c>
    </row>
    <row r="188" spans="2:11" x14ac:dyDescent="0.2">
      <c r="B188" s="22">
        <v>25000000000611</v>
      </c>
      <c r="C188" s="4" t="str">
        <f>IF(EXACT($B188, ""), "", IF((($B188 - MOD($B188, 1000000000000))/1000000000000)=25, CONCATENATE("Person - ", VLOOKUP($B188, [1]DataLookUp!$B$4:$C$2000, 2, FALSE)), IF((($B188 - MOD($B188, 1000000000000))/1000000000000)=124, CONCATENATE("Institution - ", VLOOKUP($B188, '[2]DataLookUp - InstitutionBranch'!$B$4:$C$2000, 2, FALSE)), "")))</f>
        <v>Person - Solihin</v>
      </c>
      <c r="D188" s="22">
        <v>223000000000002</v>
      </c>
      <c r="E188" s="4" t="str">
        <f>IF(EXACT($D188, ""), "", VLOOKUP($D188, 'REF - ContactNumberType'!$B$4:$C$10, 2, FALSE))</f>
        <v>Mobile Phone</v>
      </c>
      <c r="F188" s="26" t="s">
        <v>857</v>
      </c>
      <c r="G188" s="9"/>
      <c r="H188" s="9" t="s">
        <v>610</v>
      </c>
      <c r="J188" s="33">
        <f t="shared" si="5"/>
        <v>286000000000185</v>
      </c>
      <c r="K188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'+62 858-1112-8435'::varchar, NULL::varchar, 'Solihin'::varchar, '25000000000611'::bigint);</v>
      </c>
    </row>
    <row r="189" spans="2:11" x14ac:dyDescent="0.2">
      <c r="B189" s="22">
        <v>25000000000415</v>
      </c>
      <c r="C189" s="4" t="str">
        <f>IF(EXACT($B189, ""), "", IF((($B189 - MOD($B189, 1000000000000))/1000000000000)=25, CONCATENATE("Person - ", VLOOKUP($B189, [1]DataLookUp!$B$4:$C$2000, 2, FALSE)), IF((($B189 - MOD($B189, 1000000000000))/1000000000000)=124, CONCATENATE("Institution - ", VLOOKUP($B189, '[2]DataLookUp - InstitutionBranch'!$B$4:$C$2000, 2, FALSE)), "")))</f>
        <v>Person - Sugiarto</v>
      </c>
      <c r="D189" s="22">
        <v>223000000000002</v>
      </c>
      <c r="E189" s="4" t="str">
        <f>IF(EXACT($D189, ""), "", VLOOKUP($D189, 'REF - ContactNumberType'!$B$4:$C$10, 2, FALSE))</f>
        <v>Mobile Phone</v>
      </c>
      <c r="F189" s="26" t="s">
        <v>858</v>
      </c>
      <c r="G189" s="9"/>
      <c r="H189" s="9" t="s">
        <v>414</v>
      </c>
      <c r="J189" s="33">
        <f t="shared" si="5"/>
        <v>286000000000186</v>
      </c>
      <c r="K189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'+62 896-4421-9358'::varchar, NULL::varchar, 'Sugiarto'::varchar, '25000000000415'::bigint);</v>
      </c>
    </row>
    <row r="190" spans="2:11" x14ac:dyDescent="0.2">
      <c r="B190" s="22">
        <v>25000000000548</v>
      </c>
      <c r="C190" s="4" t="str">
        <f>IF(EXACT($B190, ""), "", IF((($B190 - MOD($B190, 1000000000000))/1000000000000)=25, CONCATENATE("Person - ", VLOOKUP($B190, [1]DataLookUp!$B$4:$C$2000, 2, FALSE)), IF((($B190 - MOD($B190, 1000000000000))/1000000000000)=124, CONCATENATE("Institution - ", VLOOKUP($B190, '[2]DataLookUp - InstitutionBranch'!$B$4:$C$2000, 2, FALSE)), "")))</f>
        <v>Person - Sulaeman</v>
      </c>
      <c r="D190" s="22">
        <v>223000000000002</v>
      </c>
      <c r="E190" s="4" t="str">
        <f>IF(EXACT($D190, ""), "", VLOOKUP($D190, 'REF - ContactNumberType'!$B$4:$C$10, 2, FALSE))</f>
        <v>Mobile Phone</v>
      </c>
      <c r="F190" s="26" t="s">
        <v>859</v>
      </c>
      <c r="G190" s="9"/>
      <c r="H190" s="9" t="s">
        <v>547</v>
      </c>
      <c r="J190" s="33">
        <f t="shared" si="5"/>
        <v>286000000000187</v>
      </c>
      <c r="K190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'+62 857-1407-2656'::varchar, NULL::varchar, 'Sulaeman'::varchar, '25000000000548'::bigint);</v>
      </c>
    </row>
    <row r="191" spans="2:11" x14ac:dyDescent="0.2">
      <c r="B191" s="22">
        <v>25000000000612</v>
      </c>
      <c r="C191" s="4" t="str">
        <f>IF(EXACT($B191, ""), "", IF((($B191 - MOD($B191, 1000000000000))/1000000000000)=25, CONCATENATE("Person - ", VLOOKUP($B191, [1]DataLookUp!$B$4:$C$2000, 2, FALSE)), IF((($B191 - MOD($B191, 1000000000000))/1000000000000)=124, CONCATENATE("Institution - ", VLOOKUP($B191, '[2]DataLookUp - InstitutionBranch'!$B$4:$C$2000, 2, FALSE)), "")))</f>
        <v>Person - Supriatna</v>
      </c>
      <c r="D191" s="22">
        <v>223000000000002</v>
      </c>
      <c r="E191" s="4" t="str">
        <f>IF(EXACT($D191, ""), "", VLOOKUP($D191, 'REF - ContactNumberType'!$B$4:$C$10, 2, FALSE))</f>
        <v>Mobile Phone</v>
      </c>
      <c r="F191" s="26" t="s">
        <v>860</v>
      </c>
      <c r="G191" s="9"/>
      <c r="H191" s="9" t="s">
        <v>611</v>
      </c>
      <c r="J191" s="33">
        <f t="shared" si="5"/>
        <v>286000000000188</v>
      </c>
      <c r="K191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'+62 812-9625-7489'::varchar, NULL::varchar, 'Supriatna'::varchar, '25000000000612'::bigint);</v>
      </c>
    </row>
    <row r="192" spans="2:11" x14ac:dyDescent="0.2">
      <c r="B192" s="22">
        <v>25000000000614</v>
      </c>
      <c r="C192" s="4" t="str">
        <f>IF(EXACT($B192, ""), "", IF((($B192 - MOD($B192, 1000000000000))/1000000000000)=25, CONCATENATE("Person - ", VLOOKUP($B192, [1]DataLookUp!$B$4:$C$2000, 2, FALSE)), IF((($B192 - MOD($B192, 1000000000000))/1000000000000)=124, CONCATENATE("Institution - ", VLOOKUP($B192, '[2]DataLookUp - InstitutionBranch'!$B$4:$C$2000, 2, FALSE)), "")))</f>
        <v>Person - Timotius Tabun</v>
      </c>
      <c r="D192" s="22">
        <v>223000000000002</v>
      </c>
      <c r="E192" s="4" t="str">
        <f>IF(EXACT($D192, ""), "", VLOOKUP($D192, 'REF - ContactNumberType'!$B$4:$C$10, 2, FALSE))</f>
        <v>Mobile Phone</v>
      </c>
      <c r="F192" s="26" t="s">
        <v>861</v>
      </c>
      <c r="G192" s="9"/>
      <c r="H192" s="9" t="s">
        <v>613</v>
      </c>
      <c r="J192" s="33">
        <f t="shared" si="5"/>
        <v>286000000000189</v>
      </c>
      <c r="K192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'+62 812-8268-4357'::varchar, NULL::varchar, 'Timotius Tabun'::varchar, '25000000000614'::bigint);</v>
      </c>
    </row>
    <row r="193" spans="2:11" x14ac:dyDescent="0.2">
      <c r="B193" s="22">
        <v>25000000000458</v>
      </c>
      <c r="C193" s="4" t="str">
        <f>IF(EXACT($B193, ""), "", IF((($B193 - MOD($B193, 1000000000000))/1000000000000)=25, CONCATENATE("Person - ", VLOOKUP($B193, [1]DataLookUp!$B$4:$C$2000, 2, FALSE)), IF((($B193 - MOD($B193, 1000000000000))/1000000000000)=124, CONCATENATE("Institution - ", VLOOKUP($B193, '[2]DataLookUp - InstitutionBranch'!$B$4:$C$2000, 2, FALSE)), "")))</f>
        <v>Person - Urbanus Boimau</v>
      </c>
      <c r="D193" s="22">
        <v>223000000000002</v>
      </c>
      <c r="E193" s="4" t="str">
        <f>IF(EXACT($D193, ""), "", VLOOKUP($D193, 'REF - ContactNumberType'!$B$4:$C$10, 2, FALSE))</f>
        <v>Mobile Phone</v>
      </c>
      <c r="F193" s="26" t="s">
        <v>862</v>
      </c>
      <c r="G193" s="9"/>
      <c r="H193" s="9" t="s">
        <v>457</v>
      </c>
      <c r="J193" s="33">
        <f t="shared" si="5"/>
        <v>286000000000190</v>
      </c>
      <c r="K193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'+62 821-4815-2759'::varchar, NULL::varchar, 'Urbanus Boimau'::varchar, '25000000000458'::bigint);</v>
      </c>
    </row>
    <row r="194" spans="2:11" x14ac:dyDescent="0.2">
      <c r="B194" s="22">
        <v>25000000000615</v>
      </c>
      <c r="C194" s="4" t="str">
        <f>IF(EXACT($B194, ""), "", IF((($B194 - MOD($B194, 1000000000000))/1000000000000)=25, CONCATENATE("Person - ", VLOOKUP($B194, [1]DataLookUp!$B$4:$C$2000, 2, FALSE)), IF((($B194 - MOD($B194, 1000000000000))/1000000000000)=124, CONCATENATE("Institution - ", VLOOKUP($B194, '[2]DataLookUp - InstitutionBranch'!$B$4:$C$2000, 2, FALSE)), "")))</f>
        <v>Person - Adi</v>
      </c>
      <c r="D194" s="22">
        <v>223000000000002</v>
      </c>
      <c r="E194" s="4" t="str">
        <f>IF(EXACT($D194, ""), "", VLOOKUP($D194, 'REF - ContactNumberType'!$B$4:$C$10, 2, FALSE))</f>
        <v>Mobile Phone</v>
      </c>
      <c r="F194" s="26" t="s">
        <v>863</v>
      </c>
      <c r="G194" s="9"/>
      <c r="H194" s="9" t="s">
        <v>844</v>
      </c>
      <c r="J194" s="33">
        <f t="shared" si="5"/>
        <v>286000000000191</v>
      </c>
      <c r="K194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'+62 812-8967-5850'::varchar, NULL::varchar, 'Adi'::varchar, '25000000000615'::bigint);</v>
      </c>
    </row>
    <row r="195" spans="2:11" x14ac:dyDescent="0.2">
      <c r="B195" s="27">
        <v>25000000000609</v>
      </c>
      <c r="C195" s="39" t="str">
        <f>IF(EXACT($B195, ""), "", IF((($B195 - MOD($B195, 1000000000000))/1000000000000)=25, CONCATENATE("Person - ", VLOOKUP($B195, [1]DataLookUp!$B$4:$C$2000, 2, FALSE)), IF((($B195 - MOD($B195, 1000000000000))/1000000000000)=124, CONCATENATE("Institution - ", VLOOKUP($B195, '[2]DataLookUp - InstitutionBranch'!$B$4:$C$2000, 2, FALSE)), "")))</f>
        <v>Person - Risty Alawiyah</v>
      </c>
      <c r="D195" s="27">
        <v>223000000000002</v>
      </c>
      <c r="E195" s="39" t="str">
        <f>IF(EXACT($D195, ""), "", VLOOKUP($D195, 'REF - ContactNumberType'!$B$4:$C$10, 2, FALSE))</f>
        <v>Mobile Phone</v>
      </c>
      <c r="F195" s="28" t="s">
        <v>895</v>
      </c>
      <c r="G195" s="11"/>
      <c r="H195" s="11" t="s">
        <v>608</v>
      </c>
      <c r="J195" s="33">
        <f t="shared" si="5"/>
        <v>286000000000192</v>
      </c>
      <c r="K195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223000000000002::bigint, '+62 821-6677-0677'::varchar, NULL::varchar, 'Risty Alawiyah'::varchar, '25000000000609'::bigint);</v>
      </c>
    </row>
    <row r="196" spans="2:11" x14ac:dyDescent="0.2">
      <c r="B196" s="22">
        <v>124000000000001</v>
      </c>
      <c r="C196" s="4" t="str">
        <f>IF(EXACT($B196, ""), "", IF((($B196 - MOD($B196, 1000000000000))/1000000000000)=25, CONCATENATE("Person - ", VLOOKUP($B196, [1]DataLookUp!$B$4:$C$2000, 2, FALSE)), IF((($B196 - MOD($B196, 1000000000000))/1000000000000)=124, CONCATENATE("Institution - ", VLOOKUP($B196, '[2]DataLookUp - InstitutionBranch'!$B$4:$C$2000, 2, FALSE)), "")))</f>
        <v>Institution - PT. QDC Technologies</v>
      </c>
      <c r="D196" s="22">
        <v>223000000000004</v>
      </c>
      <c r="E196" s="4" t="str">
        <f>IF(EXACT($D196, ""), "", VLOOKUP($D196, 'REF - ContactNumberType'!$B$4:$C$10, 2, FALSE))</f>
        <v>Office Phone</v>
      </c>
      <c r="F196" s="26" t="s">
        <v>1619</v>
      </c>
      <c r="G196" s="9"/>
      <c r="H196" s="9" t="s">
        <v>896</v>
      </c>
      <c r="J196" s="33">
        <f t="shared" si="5"/>
        <v>286000000000193</v>
      </c>
      <c r="K196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791-912-34'::varchar, NULL::varchar, 'PT QDC Technologies'::varchar, '124000000000001'::bigint);</v>
      </c>
    </row>
    <row r="197" spans="2:11" x14ac:dyDescent="0.2">
      <c r="B197" s="22">
        <v>124000000000001</v>
      </c>
      <c r="C197" s="4" t="str">
        <f>IF(EXACT($B197, ""), "", IF((($B197 - MOD($B197, 1000000000000))/1000000000000)=25, CONCATENATE("Person - ", VLOOKUP($B197, [1]DataLookUp!$B$4:$C$2000, 2, FALSE)), IF((($B197 - MOD($B197, 1000000000000))/1000000000000)=124, CONCATENATE("Institution - ", VLOOKUP($B197, '[2]DataLookUp - InstitutionBranch'!$B$4:$C$2000, 2, FALSE)), "")))</f>
        <v>Institution - PT. QDC Technologies</v>
      </c>
      <c r="D197" s="22">
        <v>223000000000005</v>
      </c>
      <c r="E197" s="4" t="str">
        <f>IF(EXACT($D197, ""), "", VLOOKUP($D197, 'REF - ContactNumberType'!$B$4:$C$10, 2, FALSE))</f>
        <v>Faximile</v>
      </c>
      <c r="F197" s="26" t="s">
        <v>1620</v>
      </c>
      <c r="G197" s="9"/>
      <c r="H197" s="9" t="s">
        <v>896</v>
      </c>
      <c r="J197" s="33">
        <f t="shared" si="5"/>
        <v>286000000000194</v>
      </c>
      <c r="K197" s="34" t="str">
        <f t="shared" si="6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791-933-33'::varchar, NULL::varchar, 'PT QDC Technologies'::varchar, '124000000000001'::bigint);</v>
      </c>
    </row>
    <row r="198" spans="2:11" x14ac:dyDescent="0.2">
      <c r="B198" s="22">
        <v>124000000000002</v>
      </c>
      <c r="C198" s="4" t="str">
        <f>IF(EXACT($B198, ""), "", IF((($B198 - MOD($B198, 1000000000000))/1000000000000)=25, CONCATENATE("Person - ", VLOOKUP($B198, [1]DataLookUp!$B$4:$C$2000, 2, FALSE)), IF((($B198 - MOD($B198, 1000000000000))/1000000000000)=124, CONCATENATE("Institution - ", VLOOKUP($B198, '[2]DataLookUp - InstitutionBranch'!$B$4:$C$2000, 2, FALSE)), "")))</f>
        <v>Institution - PT. Infra Media Dinamika</v>
      </c>
      <c r="D198" s="22">
        <v>223000000000004</v>
      </c>
      <c r="E198" s="4" t="str">
        <f>IF(EXACT($D198, ""), "", VLOOKUP($D198, 'REF - ContactNumberType'!$B$4:$C$10, 2, FALSE))</f>
        <v>Office Phone</v>
      </c>
      <c r="F198" s="26"/>
      <c r="G198" s="9"/>
      <c r="H198" s="9"/>
      <c r="J198" s="33">
        <f t="shared" ref="J198:J261" si="7" xml:space="preserve"> J197 + IF(EXACT(K198, ""), 0, 1)</f>
        <v>286000000000194</v>
      </c>
      <c r="K198" s="34" t="str">
        <f t="shared" ref="K198:K261" si="8">IF(EXACT(F198, ""), "", CONCATENATE("PERFORM ""SchData-OLTP-Master"".""Func_TblContactNumber_SET""(varSystemLoginSession::bigint, null::bigint, null::varchar, null::timestamptz, null::timestamptz, null::varchar, varInstitutionBranchID::bigint, varBaseCurrencyID::bigint, ", IF(EXACT($D198, ""), "NULL", ""&amp;$D198&amp;""), "::bigint, ", IF(EXACT($F198, ""), "NULL", "'"&amp;$F198&amp;"'"), "::varchar, ", IF(EXACT($G198, ""), "NULL", "'"&amp;$G198&amp;"'"), "::varchar, ", IF(EXACT($H198, ""), "NULL", "'"&amp;$H198&amp;"'"), "::varchar, ", IF(EXACT($B198, ""), "NULL", "'"&amp;$B198&amp;"'"), "::bigint);"))</f>
        <v/>
      </c>
    </row>
    <row r="199" spans="2:11" x14ac:dyDescent="0.2">
      <c r="B199" s="22">
        <v>124000000000003</v>
      </c>
      <c r="C199" s="4" t="str">
        <f>IF(EXACT($B199, ""), "", IF((($B199 - MOD($B199, 1000000000000))/1000000000000)=25, CONCATENATE("Person - ", VLOOKUP($B199, [1]DataLookUp!$B$4:$C$2000, 2, FALSE)), IF((($B199 - MOD($B199, 1000000000000))/1000000000000)=124, CONCATENATE("Institution - ", VLOOKUP($B199, '[2]DataLookUp - InstitutionBranch'!$B$4:$C$2000, 2, FALSE)), "")))</f>
        <v>Institution - PT. Daya Hidro Dinamika</v>
      </c>
      <c r="D199" s="22">
        <v>223000000000004</v>
      </c>
      <c r="E199" s="4" t="str">
        <f>IF(EXACT($D199, ""), "", VLOOKUP($D199, 'REF - ContactNumberType'!$B$4:$C$10, 2, FALSE))</f>
        <v>Office Phone</v>
      </c>
      <c r="F199" s="26"/>
      <c r="G199" s="9"/>
      <c r="H199" s="9"/>
      <c r="J199" s="33">
        <f t="shared" si="7"/>
        <v>286000000000194</v>
      </c>
      <c r="K199" s="34" t="str">
        <f t="shared" si="8"/>
        <v/>
      </c>
    </row>
    <row r="200" spans="2:11" x14ac:dyDescent="0.2">
      <c r="B200" s="22">
        <v>124000000000004</v>
      </c>
      <c r="C200" s="4" t="str">
        <f>IF(EXACT($B200, ""), "", IF((($B200 - MOD($B200, 1000000000000))/1000000000000)=25, CONCATENATE("Person - ", VLOOKUP($B200, [1]DataLookUp!$B$4:$C$2000, 2, FALSE)), IF((($B200 - MOD($B200, 1000000000000))/1000000000000)=124, CONCATENATE("Institution - ", VLOOKUP($B200, '[2]DataLookUp - InstitutionBranch'!$B$4:$C$2000, 2, FALSE)), "")))</f>
        <v>Institution - PT. Energi Mekar Lestari</v>
      </c>
      <c r="D200" s="22">
        <v>223000000000004</v>
      </c>
      <c r="E200" s="4" t="str">
        <f>IF(EXACT($D200, ""), "", VLOOKUP($D200, 'REF - ContactNumberType'!$B$4:$C$10, 2, FALSE))</f>
        <v>Office Phone</v>
      </c>
      <c r="F200" s="26" t="s">
        <v>1670</v>
      </c>
      <c r="G200" s="9"/>
      <c r="H200" s="9"/>
      <c r="J200" s="33">
        <f t="shared" si="7"/>
        <v>286000000000195</v>
      </c>
      <c r="K200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521-2552'::varchar, NULL::varchar, NULL::varchar, '124000000000004'::bigint);</v>
      </c>
    </row>
    <row r="201" spans="2:11" x14ac:dyDescent="0.2">
      <c r="B201" s="22">
        <v>124000000000004</v>
      </c>
      <c r="C201" s="4" t="str">
        <f>IF(EXACT($B201, ""), "", IF((($B201 - MOD($B201, 1000000000000))/1000000000000)=25, CONCATENATE("Person - ", VLOOKUP($B201, [1]DataLookUp!$B$4:$C$2000, 2, FALSE)), IF((($B201 - MOD($B201, 1000000000000))/1000000000000)=124, CONCATENATE("Institution - ", VLOOKUP($B201, '[2]DataLookUp - InstitutionBranch'!$B$4:$C$2000, 2, FALSE)), "")))</f>
        <v>Institution - PT. Energi Mekar Lestari</v>
      </c>
      <c r="D201" s="22">
        <v>223000000000005</v>
      </c>
      <c r="E201" s="4" t="str">
        <f>IF(EXACT($D201, ""), "", VLOOKUP($D201, 'REF - ContactNumberType'!$B$4:$C$10, 2, FALSE))</f>
        <v>Faximile</v>
      </c>
      <c r="F201" s="26" t="s">
        <v>1671</v>
      </c>
      <c r="G201" s="9"/>
      <c r="H201" s="9"/>
      <c r="J201" s="33">
        <f t="shared" si="7"/>
        <v>286000000000196</v>
      </c>
      <c r="K201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521-2900'::varchar, NULL::varchar, NULL::varchar, '124000000000004'::bigint);</v>
      </c>
    </row>
    <row r="202" spans="2:11" x14ac:dyDescent="0.2">
      <c r="B202" s="22">
        <v>124000000000005</v>
      </c>
      <c r="C202" s="4" t="str">
        <f>IF(EXACT($B202, ""), "", IF((($B202 - MOD($B202, 1000000000000))/1000000000000)=25, CONCATENATE("Person - ", VLOOKUP($B202, [1]DataLookUp!$B$4:$C$2000, 2, FALSE)), IF((($B202 - MOD($B202, 1000000000000))/1000000000000)=124, CONCATENATE("Institution - ", VLOOKUP($B202, '[2]DataLookUp - InstitutionBranch'!$B$4:$C$2000, 2, FALSE)), "")))</f>
        <v>Institution - PT. KHA</v>
      </c>
      <c r="D202" s="22">
        <v>223000000000004</v>
      </c>
      <c r="E202" s="4" t="str">
        <f>IF(EXACT($D202, ""), "", VLOOKUP($D202, 'REF - ContactNumberType'!$B$4:$C$10, 2, FALSE))</f>
        <v>Office Phone</v>
      </c>
      <c r="F202" s="26"/>
      <c r="G202" s="9"/>
      <c r="H202" s="9"/>
      <c r="J202" s="33">
        <f t="shared" si="7"/>
        <v>286000000000196</v>
      </c>
      <c r="K202" s="34" t="str">
        <f t="shared" si="8"/>
        <v/>
      </c>
    </row>
    <row r="203" spans="2:11" x14ac:dyDescent="0.2">
      <c r="B203" s="22">
        <v>124000000000006</v>
      </c>
      <c r="C203" s="4" t="str">
        <f>IF(EXACT($B203, ""), "", IF((($B203 - MOD($B203, 1000000000000))/1000000000000)=25, CONCATENATE("Person - ", VLOOKUP($B203, [1]DataLookUp!$B$4:$C$2000, 2, FALSE)), IF((($B203 - MOD($B203, 1000000000000))/1000000000000)=124, CONCATENATE("Institution - ", VLOOKUP($B203, '[2]DataLookUp - InstitutionBranch'!$B$4:$C$2000, 2, FALSE)), "")))</f>
        <v>Institution - PT. Abhitama Citra Abadi</v>
      </c>
      <c r="D203" s="22">
        <v>223000000000004</v>
      </c>
      <c r="E203" s="4" t="str">
        <f>IF(EXACT($D203, ""), "", VLOOKUP($D203, 'REF - ContactNumberType'!$B$4:$C$10, 2, FALSE))</f>
        <v>Office Phone</v>
      </c>
      <c r="F203" s="26" t="s">
        <v>1621</v>
      </c>
      <c r="G203" s="9"/>
      <c r="H203" s="9"/>
      <c r="J203" s="33">
        <f t="shared" si="7"/>
        <v>286000000000197</v>
      </c>
      <c r="K203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579-303-04'::varchar, NULL::varchar, NULL::varchar, '124000000000006'::bigint);</v>
      </c>
    </row>
    <row r="204" spans="2:11" x14ac:dyDescent="0.2">
      <c r="B204" s="22">
        <v>124000000000006</v>
      </c>
      <c r="C204" s="4" t="str">
        <f>IF(EXACT($B204, ""), "", IF((($B204 - MOD($B204, 1000000000000))/1000000000000)=25, CONCATENATE("Person - ", VLOOKUP($B204, [1]DataLookUp!$B$4:$C$2000, 2, FALSE)), IF((($B204 - MOD($B204, 1000000000000))/1000000000000)=124, CONCATENATE("Institution - ", VLOOKUP($B204, '[2]DataLookUp - InstitutionBranch'!$B$4:$C$2000, 2, FALSE)), "")))</f>
        <v>Institution - PT. Abhitama Citra Abadi</v>
      </c>
      <c r="D204" s="22">
        <v>223000000000005</v>
      </c>
      <c r="E204" s="4" t="str">
        <f>IF(EXACT($D204, ""), "", VLOOKUP($D204, 'REF - ContactNumberType'!$B$4:$C$10, 2, FALSE))</f>
        <v>Faximile</v>
      </c>
      <c r="F204" s="26" t="s">
        <v>1622</v>
      </c>
      <c r="G204" s="9"/>
      <c r="H204" s="9"/>
      <c r="J204" s="33">
        <f t="shared" si="7"/>
        <v>286000000000198</v>
      </c>
      <c r="K204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579-303-11'::varchar, NULL::varchar, NULL::varchar, '124000000000006'::bigint);</v>
      </c>
    </row>
    <row r="205" spans="2:11" x14ac:dyDescent="0.2">
      <c r="B205" s="22">
        <v>124000000000007</v>
      </c>
      <c r="C205" s="4" t="str">
        <f>IF(EXACT($B205, ""), "", IF((($B205 - MOD($B205, 1000000000000))/1000000000000)=25, CONCATENATE("Person - ", VLOOKUP($B205, [1]DataLookUp!$B$4:$C$2000, 2, FALSE)), IF((($B205 - MOD($B205, 1000000000000))/1000000000000)=124, CONCATENATE("Institution - ", VLOOKUP($B205, '[2]DataLookUp - InstitutionBranch'!$B$4:$C$2000, 2, FALSE)), "")))</f>
        <v>Institution - PT. Abiyasa Tunggal</v>
      </c>
      <c r="D205" s="22">
        <v>223000000000004</v>
      </c>
      <c r="E205" s="4" t="str">
        <f>IF(EXACT($D205, ""), "", VLOOKUP($D205, 'REF - ContactNumberType'!$B$4:$C$10, 2, FALSE))</f>
        <v>Office Phone</v>
      </c>
      <c r="F205" s="26"/>
      <c r="G205" s="9"/>
      <c r="H205" s="9"/>
      <c r="J205" s="33">
        <f t="shared" si="7"/>
        <v>286000000000198</v>
      </c>
      <c r="K205" s="34" t="str">
        <f t="shared" si="8"/>
        <v/>
      </c>
    </row>
    <row r="206" spans="2:11" x14ac:dyDescent="0.2">
      <c r="B206" s="22">
        <v>124000000000008</v>
      </c>
      <c r="C206" s="4" t="str">
        <f>IF(EXACT($B206, ""), "", IF((($B206 - MOD($B206, 1000000000000))/1000000000000)=25, CONCATENATE("Person - ", VLOOKUP($B206, [1]DataLookUp!$B$4:$C$2000, 2, FALSE)), IF((($B206 - MOD($B206, 1000000000000))/1000000000000)=124, CONCATENATE("Institution - ", VLOOKUP($B206, '[2]DataLookUp - InstitutionBranch'!$B$4:$C$2000, 2, FALSE)), "")))</f>
        <v>Institution - PT. Aplika Nusa Lintas Arta</v>
      </c>
      <c r="D206" s="22">
        <v>223000000000004</v>
      </c>
      <c r="E206" s="4" t="str">
        <f>IF(EXACT($D206, ""), "", VLOOKUP($D206, 'REF - ContactNumberType'!$B$4:$C$10, 2, FALSE))</f>
        <v>Office Phone</v>
      </c>
      <c r="F206" s="26" t="s">
        <v>1672</v>
      </c>
      <c r="G206" s="9"/>
      <c r="H206" s="9"/>
      <c r="J206" s="33">
        <f t="shared" si="7"/>
        <v>286000000000199</v>
      </c>
      <c r="K206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230-2345'::varchar, NULL::varchar, NULL::varchar, '124000000000008'::bigint);</v>
      </c>
    </row>
    <row r="207" spans="2:11" x14ac:dyDescent="0.2">
      <c r="B207" s="22">
        <v>124000000000008</v>
      </c>
      <c r="C207" s="4" t="str">
        <f>IF(EXACT($B207, ""), "", IF((($B207 - MOD($B207, 1000000000000))/1000000000000)=25, CONCATENATE("Person - ", VLOOKUP($B207, [1]DataLookUp!$B$4:$C$2000, 2, FALSE)), IF((($B207 - MOD($B207, 1000000000000))/1000000000000)=124, CONCATENATE("Institution - ", VLOOKUP($B207, '[2]DataLookUp - InstitutionBranch'!$B$4:$C$2000, 2, FALSE)), "")))</f>
        <v>Institution - PT. Aplika Nusa Lintas Arta</v>
      </c>
      <c r="D207" s="22">
        <v>223000000000005</v>
      </c>
      <c r="E207" s="4" t="str">
        <f>IF(EXACT($D207, ""), "", VLOOKUP($D207, 'REF - ContactNumberType'!$B$4:$C$10, 2, FALSE))</f>
        <v>Faximile</v>
      </c>
      <c r="F207" s="26" t="s">
        <v>1673</v>
      </c>
      <c r="G207" s="9"/>
      <c r="H207" s="9"/>
      <c r="J207" s="33">
        <f t="shared" si="7"/>
        <v>286000000000200</v>
      </c>
      <c r="K207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230-3171'::varchar, NULL::varchar, NULL::varchar, '124000000000008'::bigint);</v>
      </c>
    </row>
    <row r="208" spans="2:11" x14ac:dyDescent="0.2">
      <c r="B208" s="22">
        <v>124000000000009</v>
      </c>
      <c r="C208" s="4" t="str">
        <f>IF(EXACT($B208, ""), "", IF((($B208 - MOD($B208, 1000000000000))/1000000000000)=25, CONCATENATE("Person - ", VLOOKUP($B208, [1]DataLookUp!$B$4:$C$2000, 2, FALSE)), IF((($B208 - MOD($B208, 1000000000000))/1000000000000)=124, CONCATENATE("Institution - ", VLOOKUP($B208, '[2]DataLookUp - InstitutionBranch'!$B$4:$C$2000, 2, FALSE)), "")))</f>
        <v>Institution - PT. Bakrie Telecom, Tbk</v>
      </c>
      <c r="D208" s="22">
        <v>223000000000004</v>
      </c>
      <c r="E208" s="4" t="str">
        <f>IF(EXACT($D208, ""), "", VLOOKUP($D208, 'REF - ContactNumberType'!$B$4:$C$10, 2, FALSE))</f>
        <v>Office Phone</v>
      </c>
      <c r="F208" s="26" t="s">
        <v>1623</v>
      </c>
      <c r="G208" s="9"/>
      <c r="H208" s="9"/>
      <c r="J208" s="33">
        <f t="shared" si="7"/>
        <v>286000000000201</v>
      </c>
      <c r="K208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910-111'::varchar, NULL::varchar, NULL::varchar, '124000000000009'::bigint);</v>
      </c>
    </row>
    <row r="209" spans="2:11" x14ac:dyDescent="0.2">
      <c r="B209" s="22">
        <v>124000000000009</v>
      </c>
      <c r="C209" s="4" t="str">
        <f>IF(EXACT($B209, ""), "", IF((($B209 - MOD($B209, 1000000000000))/1000000000000)=25, CONCATENATE("Person - ", VLOOKUP($B209, [1]DataLookUp!$B$4:$C$2000, 2, FALSE)), IF((($B209 - MOD($B209, 1000000000000))/1000000000000)=124, CONCATENATE("Institution - ", VLOOKUP($B209, '[2]DataLookUp - InstitutionBranch'!$B$4:$C$2000, 2, FALSE)), "")))</f>
        <v>Institution - PT. Bakrie Telecom, Tbk</v>
      </c>
      <c r="D209" s="22">
        <v>223000000000005</v>
      </c>
      <c r="E209" s="4" t="str">
        <f>IF(EXACT($D209, ""), "", VLOOKUP($D209, 'REF - ContactNumberType'!$B$4:$C$10, 2, FALSE))</f>
        <v>Faximile</v>
      </c>
      <c r="F209" s="26" t="s">
        <v>1624</v>
      </c>
      <c r="G209" s="9"/>
      <c r="H209" s="9"/>
      <c r="J209" s="33">
        <f t="shared" si="7"/>
        <v>286000000000202</v>
      </c>
      <c r="K209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914-980'::varchar, NULL::varchar, NULL::varchar, '124000000000009'::bigint);</v>
      </c>
    </row>
    <row r="210" spans="2:11" x14ac:dyDescent="0.2">
      <c r="B210" s="22">
        <v>124000000000010</v>
      </c>
      <c r="C210" s="4" t="str">
        <f>IF(EXACT($B210, ""), "", IF((($B210 - MOD($B210, 1000000000000))/1000000000000)=25, CONCATENATE("Person - ", VLOOKUP($B210, [1]DataLookUp!$B$4:$C$2000, 2, FALSE)), IF((($B210 - MOD($B210, 1000000000000))/1000000000000)=124, CONCATENATE("Institution - ", VLOOKUP($B210, '[2]DataLookUp - InstitutionBranch'!$B$4:$C$2000, 2, FALSE)), "")))</f>
        <v>Institution - PT. Bukaka Teknik Utama, Tbk</v>
      </c>
      <c r="D210" s="22">
        <v>223000000000004</v>
      </c>
      <c r="E210" s="4" t="str">
        <f>IF(EXACT($D210, ""), "", VLOOKUP($D210, 'REF - ContactNumberType'!$B$4:$C$10, 2, FALSE))</f>
        <v>Office Phone</v>
      </c>
      <c r="F210" s="26" t="s">
        <v>1588</v>
      </c>
      <c r="G210" s="9"/>
      <c r="H210" s="9"/>
      <c r="J210" s="33">
        <f t="shared" si="7"/>
        <v>286000000000203</v>
      </c>
      <c r="K210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823-2323'::varchar, NULL::varchar, NULL::varchar, '124000000000010'::bigint);</v>
      </c>
    </row>
    <row r="211" spans="2:11" x14ac:dyDescent="0.2">
      <c r="B211" s="22">
        <v>124000000000010</v>
      </c>
      <c r="C211" s="4" t="str">
        <f>IF(EXACT($B211, ""), "", IF((($B211 - MOD($B211, 1000000000000))/1000000000000)=25, CONCATENATE("Person - ", VLOOKUP($B211, [1]DataLookUp!$B$4:$C$2000, 2, FALSE)), IF((($B211 - MOD($B211, 1000000000000))/1000000000000)=124, CONCATENATE("Institution - ", VLOOKUP($B211, '[2]DataLookUp - InstitutionBranch'!$B$4:$C$2000, 2, FALSE)), "")))</f>
        <v>Institution - PT. Bukaka Teknik Utama, Tbk</v>
      </c>
      <c r="D211" s="22">
        <v>223000000000005</v>
      </c>
      <c r="E211" s="4" t="str">
        <f>IF(EXACT($D211, ""), "", VLOOKUP($D211, 'REF - ContactNumberType'!$B$4:$C$10, 2, FALSE))</f>
        <v>Faximile</v>
      </c>
      <c r="F211" s="26" t="s">
        <v>1589</v>
      </c>
      <c r="G211" s="9"/>
      <c r="H211" s="9"/>
      <c r="J211" s="33">
        <f t="shared" si="7"/>
        <v>286000000000204</v>
      </c>
      <c r="K211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823-1767'::varchar, NULL::varchar, NULL::varchar, '124000000000010'::bigint);</v>
      </c>
    </row>
    <row r="212" spans="2:11" x14ac:dyDescent="0.2">
      <c r="B212" s="22">
        <v>124000000000011</v>
      </c>
      <c r="C212" s="4" t="str">
        <f>IF(EXACT($B212, ""), "", IF((($B212 - MOD($B212, 1000000000000))/1000000000000)=25, CONCATENATE("Person - ", VLOOKUP($B212, [1]DataLookUp!$B$4:$C$2000, 2, FALSE)), IF((($B212 - MOD($B212, 1000000000000))/1000000000000)=124, CONCATENATE("Institution - ", VLOOKUP($B212, '[2]DataLookUp - InstitutionBranch'!$B$4:$C$2000, 2, FALSE)), "")))</f>
        <v>Institution - PT. Citra Panji Manunggal</v>
      </c>
      <c r="D212" s="22">
        <v>223000000000004</v>
      </c>
      <c r="E212" s="4" t="str">
        <f>IF(EXACT($D212, ""), "", VLOOKUP($D212, 'REF - ContactNumberType'!$B$4:$C$10, 2, FALSE))</f>
        <v>Office Phone</v>
      </c>
      <c r="F212" s="26" t="s">
        <v>1709</v>
      </c>
      <c r="G212" s="9"/>
      <c r="H212" s="9"/>
      <c r="J212" s="33">
        <f t="shared" si="7"/>
        <v>286000000000205</v>
      </c>
      <c r="K212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765-3723'::varchar, NULL::varchar, NULL::varchar, '124000000000011'::bigint);</v>
      </c>
    </row>
    <row r="213" spans="2:11" x14ac:dyDescent="0.2">
      <c r="B213" s="22">
        <v>124000000000011</v>
      </c>
      <c r="C213" s="4" t="str">
        <f>IF(EXACT($B213, ""), "", IF((($B213 - MOD($B213, 1000000000000))/1000000000000)=25, CONCATENATE("Person - ", VLOOKUP($B213, [1]DataLookUp!$B$4:$C$2000, 2, FALSE)), IF((($B213 - MOD($B213, 1000000000000))/1000000000000)=124, CONCATENATE("Institution - ", VLOOKUP($B213, '[2]DataLookUp - InstitutionBranch'!$B$4:$C$2000, 2, FALSE)), "")))</f>
        <v>Institution - PT. Citra Panji Manunggal</v>
      </c>
      <c r="D213" s="22">
        <v>223000000000005</v>
      </c>
      <c r="E213" s="4" t="str">
        <f>IF(EXACT($D213, ""), "", VLOOKUP($D213, 'REF - ContactNumberType'!$B$4:$C$10, 2, FALSE))</f>
        <v>Faximile</v>
      </c>
      <c r="F213" s="26" t="s">
        <v>1710</v>
      </c>
      <c r="G213" s="9"/>
      <c r="H213" s="9"/>
      <c r="J213" s="33">
        <f t="shared" si="7"/>
        <v>286000000000206</v>
      </c>
      <c r="K213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765-8806'::varchar, NULL::varchar, NULL::varchar, '124000000000011'::bigint);</v>
      </c>
    </row>
    <row r="214" spans="2:11" x14ac:dyDescent="0.2">
      <c r="B214" s="22">
        <v>124000000000012</v>
      </c>
      <c r="C214" s="4" t="str">
        <f>IF(EXACT($B214, ""), "", IF((($B214 - MOD($B214, 1000000000000))/1000000000000)=25, CONCATENATE("Person - ", VLOOKUP($B214, [1]DataLookUp!$B$4:$C$2000, 2, FALSE)), IF((($B214 - MOD($B214, 1000000000000))/1000000000000)=124, CONCATENATE("Institution - ", VLOOKUP($B214, '[2]DataLookUp - InstitutionBranch'!$B$4:$C$2000, 2, FALSE)), "")))</f>
        <v>Institution - PT. Dayamitra Telekomunikasi</v>
      </c>
      <c r="D214" s="22">
        <v>223000000000004</v>
      </c>
      <c r="E214" s="4" t="str">
        <f>IF(EXACT($D214, ""), "", VLOOKUP($D214, 'REF - ContactNumberType'!$B$4:$C$10, 2, FALSE))</f>
        <v>Office Phone</v>
      </c>
      <c r="F214" s="26"/>
      <c r="G214" s="9"/>
      <c r="H214" s="9"/>
      <c r="J214" s="33">
        <f t="shared" si="7"/>
        <v>286000000000206</v>
      </c>
      <c r="K214" s="34" t="str">
        <f t="shared" si="8"/>
        <v/>
      </c>
    </row>
    <row r="215" spans="2:11" x14ac:dyDescent="0.2">
      <c r="B215" s="22">
        <v>124000000000013</v>
      </c>
      <c r="C215" s="4" t="str">
        <f>IF(EXACT($B215, ""), "", IF((($B215 - MOD($B215, 1000000000000))/1000000000000)=25, CONCATENATE("Person - ", VLOOKUP($B215, [1]DataLookUp!$B$4:$C$2000, 2, FALSE)), IF((($B215 - MOD($B215, 1000000000000))/1000000000000)=124, CONCATENATE("Institution - ", VLOOKUP($B215, '[2]DataLookUp - InstitutionBranch'!$B$4:$C$2000, 2, FALSE)), "")))</f>
        <v>Institution - Departemen Dalam Negeri</v>
      </c>
      <c r="D215" s="22">
        <v>223000000000004</v>
      </c>
      <c r="E215" s="4" t="str">
        <f>IF(EXACT($D215, ""), "", VLOOKUP($D215, 'REF - ContactNumberType'!$B$4:$C$10, 2, FALSE))</f>
        <v>Office Phone</v>
      </c>
      <c r="F215" s="26" t="s">
        <v>1625</v>
      </c>
      <c r="G215" s="9"/>
      <c r="H215" s="9"/>
      <c r="J215" s="33">
        <f t="shared" si="7"/>
        <v>286000000000207</v>
      </c>
      <c r="K215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345-005'::varchar, NULL::varchar, NULL::varchar, '124000000000013'::bigint);</v>
      </c>
    </row>
    <row r="216" spans="2:11" x14ac:dyDescent="0.2">
      <c r="B216" s="22">
        <v>124000000000013</v>
      </c>
      <c r="C216" s="4" t="str">
        <f>IF(EXACT($B216, ""), "", IF((($B216 - MOD($B216, 1000000000000))/1000000000000)=25, CONCATENATE("Person - ", VLOOKUP($B216, [1]DataLookUp!$B$4:$C$2000, 2, FALSE)), IF((($B216 - MOD($B216, 1000000000000))/1000000000000)=124, CONCATENATE("Institution - ", VLOOKUP($B216, '[2]DataLookUp - InstitutionBranch'!$B$4:$C$2000, 2, FALSE)), "")))</f>
        <v>Institution - Departemen Dalam Negeri</v>
      </c>
      <c r="D216" s="22">
        <v>223000000000005</v>
      </c>
      <c r="E216" s="4" t="str">
        <f>IF(EXACT($D216, ""), "", VLOOKUP($D216, 'REF - ContactNumberType'!$B$4:$C$10, 2, FALSE))</f>
        <v>Faximile</v>
      </c>
      <c r="F216" s="26" t="s">
        <v>1626</v>
      </c>
      <c r="G216" s="9"/>
      <c r="H216" s="9"/>
      <c r="J216" s="33">
        <f t="shared" si="7"/>
        <v>286000000000208</v>
      </c>
      <c r="K216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383-119'::varchar, NULL::varchar, NULL::varchar, '124000000000013'::bigint);</v>
      </c>
    </row>
    <row r="217" spans="2:11" x14ac:dyDescent="0.2">
      <c r="B217" s="22">
        <v>124000000000014</v>
      </c>
      <c r="C217" s="4" t="str">
        <f>IF(EXACT($B217, ""), "", IF((($B217 - MOD($B217, 1000000000000))/1000000000000)=25, CONCATENATE("Person - ", VLOOKUP($B217, [1]DataLookUp!$B$4:$C$2000, 2, FALSE)), IF((($B217 - MOD($B217, 1000000000000))/1000000000000)=124, CONCATENATE("Institution - ", VLOOKUP($B217, '[2]DataLookUp - InstitutionBranch'!$B$4:$C$2000, 2, FALSE)), "")))</f>
        <v>Institution - PT. Duta Hita Jaya</v>
      </c>
      <c r="D217" s="22">
        <v>223000000000002</v>
      </c>
      <c r="E217" s="4" t="str">
        <f>IF(EXACT($D217, ""), "", VLOOKUP($D217, 'REF - ContactNumberType'!$B$4:$C$10, 2, FALSE))</f>
        <v>Mobile Phone</v>
      </c>
      <c r="F217" s="26" t="s">
        <v>1242</v>
      </c>
      <c r="G217" s="9"/>
      <c r="H217" s="9" t="s">
        <v>989</v>
      </c>
      <c r="J217" s="33">
        <f t="shared" si="7"/>
        <v>286000000000209</v>
      </c>
      <c r="K217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223000000000002::bigint, '+62 812-1394-4868'::varchar, NULL::varchar, 'Lia Rifky'::varchar, '124000000000014'::bigint);</v>
      </c>
    </row>
    <row r="218" spans="2:11" x14ac:dyDescent="0.2">
      <c r="B218" s="22">
        <v>124000000000014</v>
      </c>
      <c r="C218" s="4" t="str">
        <f>IF(EXACT($B218, ""), "", IF((($B218 - MOD($B218, 1000000000000))/1000000000000)=25, CONCATENATE("Person - ", VLOOKUP($B218, [1]DataLookUp!$B$4:$C$2000, 2, FALSE)), IF((($B218 - MOD($B218, 1000000000000))/1000000000000)=124, CONCATENATE("Institution - ", VLOOKUP($B218, '[2]DataLookUp - InstitutionBranch'!$B$4:$C$2000, 2, FALSE)), "")))</f>
        <v>Institution - PT. Duta Hita Jaya</v>
      </c>
      <c r="D218" s="22">
        <v>223000000000004</v>
      </c>
      <c r="E218" s="4" t="str">
        <f>IF(EXACT($D218, ""), "", VLOOKUP($D218, 'REF - ContactNumberType'!$B$4:$C$10, 2, FALSE))</f>
        <v>Office Phone</v>
      </c>
      <c r="F218" s="26" t="s">
        <v>1574</v>
      </c>
      <c r="G218" s="9"/>
      <c r="H218" s="9"/>
      <c r="J218" s="33">
        <f t="shared" si="7"/>
        <v>286000000000210</v>
      </c>
      <c r="K218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460-1088'::varchar, NULL::varchar, NULL::varchar, '124000000000014'::bigint);</v>
      </c>
    </row>
    <row r="219" spans="2:11" x14ac:dyDescent="0.2">
      <c r="B219" s="22">
        <v>124000000000014</v>
      </c>
      <c r="C219" s="4" t="str">
        <f>IF(EXACT($B219, ""), "", IF((($B219 - MOD($B219, 1000000000000))/1000000000000)=25, CONCATENATE("Person - ", VLOOKUP($B219, [1]DataLookUp!$B$4:$C$2000, 2, FALSE)), IF((($B219 - MOD($B219, 1000000000000))/1000000000000)=124, CONCATENATE("Institution - ", VLOOKUP($B219, '[2]DataLookUp - InstitutionBranch'!$B$4:$C$2000, 2, FALSE)), "")))</f>
        <v>Institution - PT. Duta Hita Jaya</v>
      </c>
      <c r="D219" s="22">
        <v>223000000000005</v>
      </c>
      <c r="E219" s="4" t="str">
        <f>IF(EXACT($D219, ""), "", VLOOKUP($D219, 'REF - ContactNumberType'!$B$4:$C$10, 2, FALSE))</f>
        <v>Faximile</v>
      </c>
      <c r="F219" s="26" t="s">
        <v>1627</v>
      </c>
      <c r="G219" s="9"/>
      <c r="H219" s="9"/>
      <c r="J219" s="33">
        <f t="shared" si="7"/>
        <v>286000000000211</v>
      </c>
      <c r="K219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468-236-36'::varchar, NULL::varchar, NULL::varchar, '124000000000014'::bigint);</v>
      </c>
    </row>
    <row r="220" spans="2:11" x14ac:dyDescent="0.2">
      <c r="B220" s="22">
        <v>124000000000014</v>
      </c>
      <c r="C220" s="4" t="str">
        <f>IF(EXACT($B220, ""), "", IF((($B220 - MOD($B220, 1000000000000))/1000000000000)=25, CONCATENATE("Person - ", VLOOKUP($B220, [1]DataLookUp!$B$4:$C$2000, 2, FALSE)), IF((($B220 - MOD($B220, 1000000000000))/1000000000000)=124, CONCATENATE("Institution - ", VLOOKUP($B220, '[2]DataLookUp - InstitutionBranch'!$B$4:$C$2000, 2, FALSE)), "")))</f>
        <v>Institution - PT. Duta Hita Jaya</v>
      </c>
      <c r="D220" s="22">
        <v>223000000000005</v>
      </c>
      <c r="E220" s="4" t="str">
        <f>IF(EXACT($D220, ""), "", VLOOKUP($D220, 'REF - ContactNumberType'!$B$4:$C$10, 2, FALSE))</f>
        <v>Faximile</v>
      </c>
      <c r="F220" s="26" t="s">
        <v>1628</v>
      </c>
      <c r="G220" s="9"/>
      <c r="H220" s="9"/>
      <c r="J220" s="33">
        <f t="shared" si="7"/>
        <v>286000000000212</v>
      </c>
      <c r="K220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468-236-46'::varchar, NULL::varchar, NULL::varchar, '124000000000014'::bigint);</v>
      </c>
    </row>
    <row r="221" spans="2:11" x14ac:dyDescent="0.2">
      <c r="B221" s="22">
        <v>124000000000015</v>
      </c>
      <c r="C221" s="4" t="str">
        <f>IF(EXACT($B221, ""), "", IF((($B221 - MOD($B221, 1000000000000))/1000000000000)=25, CONCATENATE("Person - ", VLOOKUP($B221, [1]DataLookUp!$B$4:$C$2000, 2, FALSE)), IF((($B221 - MOD($B221, 1000000000000))/1000000000000)=124, CONCATENATE("Institution - ", VLOOKUP($B221, '[2]DataLookUp - InstitutionBranch'!$B$4:$C$2000, 2, FALSE)), "")))</f>
        <v>Institution - PT. Duta Pertiwi, Tbk</v>
      </c>
      <c r="D221" s="22">
        <v>223000000000004</v>
      </c>
      <c r="E221" s="4" t="str">
        <f>IF(EXACT($D221, ""), "", VLOOKUP($D221, 'REF - ContactNumberType'!$B$4:$C$10, 2, FALSE))</f>
        <v>Office Phone</v>
      </c>
      <c r="F221" s="26" t="s">
        <v>1674</v>
      </c>
      <c r="G221" s="9"/>
      <c r="H221" s="9"/>
      <c r="J221" s="33">
        <f t="shared" si="7"/>
        <v>286000000000213</v>
      </c>
      <c r="K221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223000000000004::bigint, '+62 (031) 843-7777'::varchar, NULL::varchar, NULL::varchar, '124000000000015'::bigint);</v>
      </c>
    </row>
    <row r="222" spans="2:11" x14ac:dyDescent="0.2">
      <c r="B222" s="22">
        <v>124000000000015</v>
      </c>
      <c r="C222" s="4" t="str">
        <f>IF(EXACT($B222, ""), "", IF((($B222 - MOD($B222, 1000000000000))/1000000000000)=25, CONCATENATE("Person - ", VLOOKUP($B222, [1]DataLookUp!$B$4:$C$2000, 2, FALSE)), IF((($B222 - MOD($B222, 1000000000000))/1000000000000)=124, CONCATENATE("Institution - ", VLOOKUP($B222, '[2]DataLookUp - InstitutionBranch'!$B$4:$C$2000, 2, FALSE)), "")))</f>
        <v>Institution - PT. Duta Pertiwi, Tbk</v>
      </c>
      <c r="D222" s="22">
        <v>223000000000005</v>
      </c>
      <c r="E222" s="4" t="str">
        <f>IF(EXACT($D222, ""), "", VLOOKUP($D222, 'REF - ContactNumberType'!$B$4:$C$10, 2, FALSE))</f>
        <v>Faximile</v>
      </c>
      <c r="F222" s="26" t="s">
        <v>1675</v>
      </c>
      <c r="G222" s="9"/>
      <c r="H222" s="9"/>
      <c r="J222" s="33">
        <f t="shared" si="7"/>
        <v>286000000000214</v>
      </c>
      <c r="K222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223000000000005::bigint, '+62 (031) 841-1377'::varchar, NULL::varchar, NULL::varchar, '124000000000015'::bigint);</v>
      </c>
    </row>
    <row r="223" spans="2:11" x14ac:dyDescent="0.2">
      <c r="B223" s="22">
        <v>124000000000016</v>
      </c>
      <c r="C223" s="4" t="str">
        <f>IF(EXACT($B223, ""), "", IF((($B223 - MOD($B223, 1000000000000))/1000000000000)=25, CONCATENATE("Person - ", VLOOKUP($B223, [1]DataLookUp!$B$4:$C$2000, 2, FALSE)), IF((($B223 - MOD($B223, 1000000000000))/1000000000000)=124, CONCATENATE("Institution - ", VLOOKUP($B223, '[2]DataLookUp - InstitutionBranch'!$B$4:$C$2000, 2, FALSE)), "")))</f>
        <v>Institution - PT. Duta Realtindo Perkasa</v>
      </c>
      <c r="D223" s="22">
        <v>223000000000002</v>
      </c>
      <c r="E223" s="4" t="str">
        <f>IF(EXACT($D223, ""), "", VLOOKUP($D223, 'REF - ContactNumberType'!$B$4:$C$10, 2, FALSE))</f>
        <v>Mobile Phone</v>
      </c>
      <c r="F223" s="26" t="s">
        <v>897</v>
      </c>
      <c r="G223" s="9"/>
      <c r="H223" s="9"/>
      <c r="J223" s="33">
        <f t="shared" si="7"/>
        <v>286000000000215</v>
      </c>
      <c r="K223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223000000000002::bigint, '+62 8129-0034-845'::varchar, NULL::varchar, NULL::varchar, '124000000000016'::bigint);</v>
      </c>
    </row>
    <row r="224" spans="2:11" x14ac:dyDescent="0.2">
      <c r="B224" s="22">
        <v>124000000000017</v>
      </c>
      <c r="C224" s="4" t="str">
        <f>IF(EXACT($B224, ""), "", IF((($B224 - MOD($B224, 1000000000000))/1000000000000)=25, CONCATENATE("Person - ", VLOOKUP($B224, [1]DataLookUp!$B$4:$C$2000, 2, FALSE)), IF((($B224 - MOD($B224, 1000000000000))/1000000000000)=124, CONCATENATE("Institution - ", VLOOKUP($B224, '[2]DataLookUp - InstitutionBranch'!$B$4:$C$2000, 2, FALSE)), "")))</f>
        <v>Institution - PT. Energi Mekar Lestari</v>
      </c>
      <c r="D224" s="22">
        <v>223000000000004</v>
      </c>
      <c r="E224" s="4" t="str">
        <f>IF(EXACT($D224, ""), "", VLOOKUP($D224, 'REF - ContactNumberType'!$B$4:$C$10, 2, FALSE))</f>
        <v>Office Phone</v>
      </c>
      <c r="F224" s="26"/>
      <c r="G224" s="9"/>
      <c r="H224" s="9"/>
      <c r="J224" s="33">
        <f t="shared" si="7"/>
        <v>286000000000215</v>
      </c>
      <c r="K224" s="34" t="str">
        <f t="shared" si="8"/>
        <v/>
      </c>
    </row>
    <row r="225" spans="2:11" x14ac:dyDescent="0.2">
      <c r="B225" s="22">
        <v>124000000000018</v>
      </c>
      <c r="C225" s="4" t="str">
        <f>IF(EXACT($B225, ""), "", IF((($B225 - MOD($B225, 1000000000000))/1000000000000)=25, CONCATENATE("Person - ", VLOOKUP($B225, [1]DataLookUp!$B$4:$C$2000, 2, FALSE)), IF((($B225 - MOD($B225, 1000000000000))/1000000000000)=124, CONCATENATE("Institution - ", VLOOKUP($B225, '[2]DataLookUp - InstitutionBranch'!$B$4:$C$2000, 2, FALSE)), "")))</f>
        <v>Institution - PT. Ericsson Indonesia</v>
      </c>
      <c r="D225" s="22">
        <v>223000000000004</v>
      </c>
      <c r="E225" s="4" t="str">
        <f>IF(EXACT($D225, ""), "", VLOOKUP($D225, 'REF - ContactNumberType'!$B$4:$C$10, 2, FALSE))</f>
        <v>Office Phone</v>
      </c>
      <c r="F225" s="26"/>
      <c r="G225" s="9"/>
      <c r="H225" s="9"/>
      <c r="J225" s="33">
        <f t="shared" si="7"/>
        <v>286000000000215</v>
      </c>
      <c r="K225" s="34" t="str">
        <f t="shared" si="8"/>
        <v/>
      </c>
    </row>
    <row r="226" spans="2:11" x14ac:dyDescent="0.2">
      <c r="B226" s="22">
        <v>124000000000019</v>
      </c>
      <c r="C226" s="4" t="str">
        <f>IF(EXACT($B226, ""), "", IF((($B226 - MOD($B226, 1000000000000))/1000000000000)=25, CONCATENATE("Person - ", VLOOKUP($B226, [1]DataLookUp!$B$4:$C$2000, 2, FALSE)), IF((($B226 - MOD($B226, 1000000000000))/1000000000000)=124, CONCATENATE("Institution - ", VLOOKUP($B226, '[2]DataLookUp - InstitutionBranch'!$B$4:$C$2000, 2, FALSE)), "")))</f>
        <v>Institution - PT. Esa Mitra Teknologi</v>
      </c>
      <c r="D226" s="22">
        <v>223000000000004</v>
      </c>
      <c r="E226" s="4" t="str">
        <f>IF(EXACT($D226, ""), "", VLOOKUP($D226, 'REF - ContactNumberType'!$B$4:$C$10, 2, FALSE))</f>
        <v>Office Phone</v>
      </c>
      <c r="F226" s="26" t="s">
        <v>1629</v>
      </c>
      <c r="G226" s="9"/>
      <c r="H226" s="9"/>
      <c r="J226" s="33">
        <f t="shared" si="7"/>
        <v>286000000000216</v>
      </c>
      <c r="K226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456-789'::varchar, NULL::varchar, NULL::varchar, '124000000000019'::bigint);</v>
      </c>
    </row>
    <row r="227" spans="2:11" x14ac:dyDescent="0.2">
      <c r="B227" s="22">
        <v>124000000000019</v>
      </c>
      <c r="C227" s="4" t="str">
        <f>IF(EXACT($B227, ""), "", IF((($B227 - MOD($B227, 1000000000000))/1000000000000)=25, CONCATENATE("Person - ", VLOOKUP($B227, [1]DataLookUp!$B$4:$C$2000, 2, FALSE)), IF((($B227 - MOD($B227, 1000000000000))/1000000000000)=124, CONCATENATE("Institution - ", VLOOKUP($B227, '[2]DataLookUp - InstitutionBranch'!$B$4:$C$2000, 2, FALSE)), "")))</f>
        <v>Institution - PT. Esa Mitra Teknologi</v>
      </c>
      <c r="D227" s="22">
        <v>223000000000005</v>
      </c>
      <c r="E227" s="4" t="str">
        <f>IF(EXACT($D227, ""), "", VLOOKUP($D227, 'REF - ContactNumberType'!$B$4:$C$10, 2, FALSE))</f>
        <v>Faximile</v>
      </c>
      <c r="F227" s="26" t="s">
        <v>1630</v>
      </c>
      <c r="G227" s="9"/>
      <c r="H227" s="9"/>
      <c r="J227" s="33">
        <f t="shared" si="7"/>
        <v>286000000000217</v>
      </c>
      <c r="K227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456-790'::varchar, NULL::varchar, NULL::varchar, '124000000000019'::bigint);</v>
      </c>
    </row>
    <row r="228" spans="2:11" x14ac:dyDescent="0.2">
      <c r="B228" s="22">
        <v>124000000000020</v>
      </c>
      <c r="C228" s="4" t="str">
        <f>IF(EXACT($B228, ""), "", IF((($B228 - MOD($B228, 1000000000000))/1000000000000)=25, CONCATENATE("Person - ", VLOOKUP($B228, [1]DataLookUp!$B$4:$C$2000, 2, FALSE)), IF((($B228 - MOD($B228, 1000000000000))/1000000000000)=124, CONCATENATE("Institution - ", VLOOKUP($B228, '[2]DataLookUp - InstitutionBranch'!$B$4:$C$2000, 2, FALSE)), "")))</f>
        <v>Institution - PT. First Media, Tbk</v>
      </c>
      <c r="D228" s="22">
        <v>223000000000004</v>
      </c>
      <c r="E228" s="4" t="str">
        <f>IF(EXACT($D228, ""), "", VLOOKUP($D228, 'REF - ContactNumberType'!$B$4:$C$10, 2, FALSE))</f>
        <v>Office Phone</v>
      </c>
      <c r="F228" s="26"/>
      <c r="G228" s="9"/>
      <c r="H228" s="9"/>
      <c r="J228" s="33">
        <f t="shared" si="7"/>
        <v>286000000000217</v>
      </c>
      <c r="K228" s="34" t="str">
        <f t="shared" si="8"/>
        <v/>
      </c>
    </row>
    <row r="229" spans="2:11" x14ac:dyDescent="0.2">
      <c r="B229" s="22">
        <v>124000000000021</v>
      </c>
      <c r="C229" s="4" t="str">
        <f>IF(EXACT($B229, ""), "", IF((($B229 - MOD($B229, 1000000000000))/1000000000000)=25, CONCATENATE("Person - ", VLOOKUP($B229, [1]DataLookUp!$B$4:$C$2000, 2, FALSE)), IF((($B229 - MOD($B229, 1000000000000))/1000000000000)=124, CONCATENATE("Institution - ", VLOOKUP($B229, '[2]DataLookUp - InstitutionBranch'!$B$4:$C$2000, 2, FALSE)), "")))</f>
        <v xml:space="preserve">Institution - Flexi </v>
      </c>
      <c r="D229" s="22">
        <v>223000000000004</v>
      </c>
      <c r="E229" s="4" t="str">
        <f>IF(EXACT($D229, ""), "", VLOOKUP($D229, 'REF - ContactNumberType'!$B$4:$C$10, 2, FALSE))</f>
        <v>Office Phone</v>
      </c>
      <c r="F229" s="26"/>
      <c r="G229" s="9"/>
      <c r="H229" s="9"/>
      <c r="J229" s="33">
        <f t="shared" si="7"/>
        <v>286000000000217</v>
      </c>
      <c r="K229" s="34" t="str">
        <f t="shared" si="8"/>
        <v/>
      </c>
    </row>
    <row r="230" spans="2:11" x14ac:dyDescent="0.2">
      <c r="B230" s="22">
        <v>124000000000022</v>
      </c>
      <c r="C230" s="4" t="str">
        <f>IF(EXACT($B230, ""), "", IF((($B230 - MOD($B230, 1000000000000))/1000000000000)=25, CONCATENATE("Person - ", VLOOKUP($B230, [1]DataLookUp!$B$4:$C$2000, 2, FALSE)), IF((($B230 - MOD($B230, 1000000000000))/1000000000000)=124, CONCATENATE("Institution - ", VLOOKUP($B230, '[2]DataLookUp - InstitutionBranch'!$B$4:$C$2000, 2, FALSE)), "")))</f>
        <v>Institution - Flexi Mitrayasa</v>
      </c>
      <c r="D230" s="22">
        <v>223000000000004</v>
      </c>
      <c r="E230" s="4" t="str">
        <f>IF(EXACT($D230, ""), "", VLOOKUP($D230, 'REF - ContactNumberType'!$B$4:$C$10, 2, FALSE))</f>
        <v>Office Phone</v>
      </c>
      <c r="F230" s="26"/>
      <c r="G230" s="9"/>
      <c r="H230" s="9"/>
      <c r="J230" s="33">
        <f t="shared" si="7"/>
        <v>286000000000217</v>
      </c>
      <c r="K230" s="34" t="str">
        <f t="shared" si="8"/>
        <v/>
      </c>
    </row>
    <row r="231" spans="2:11" x14ac:dyDescent="0.2">
      <c r="B231" s="22">
        <v>124000000000023</v>
      </c>
      <c r="C231" s="4" t="str">
        <f>IF(EXACT($B231, ""), "", IF((($B231 - MOD($B231, 1000000000000))/1000000000000)=25, CONCATENATE("Person - ", VLOOKUP($B231, [1]DataLookUp!$B$4:$C$2000, 2, FALSE)), IF((($B231 - MOD($B231, 1000000000000))/1000000000000)=124, CONCATENATE("Institution - ", VLOOKUP($B231, '[2]DataLookUp - InstitutionBranch'!$B$4:$C$2000, 2, FALSE)), "")))</f>
        <v>Institution - PT. Huawei Tech Investment</v>
      </c>
      <c r="D231" s="22">
        <v>223000000000004</v>
      </c>
      <c r="E231" s="4" t="str">
        <f>IF(EXACT($D231, ""), "", VLOOKUP($D231, 'REF - ContactNumberType'!$B$4:$C$10, 2, FALSE))</f>
        <v>Office Phone</v>
      </c>
      <c r="F231" s="26"/>
      <c r="G231" s="9"/>
      <c r="H231" s="9"/>
      <c r="J231" s="33">
        <f t="shared" si="7"/>
        <v>286000000000217</v>
      </c>
      <c r="K231" s="34" t="str">
        <f t="shared" si="8"/>
        <v/>
      </c>
    </row>
    <row r="232" spans="2:11" x14ac:dyDescent="0.2">
      <c r="B232" s="22">
        <v>124000000000024</v>
      </c>
      <c r="C232" s="4" t="str">
        <f>IF(EXACT($B232, ""), "", IF((($B232 - MOD($B232, 1000000000000))/1000000000000)=25, CONCATENATE("Person - ", VLOOKUP($B232, [1]DataLookUp!$B$4:$C$2000, 2, FALSE)), IF((($B232 - MOD($B232, 1000000000000))/1000000000000)=124, CONCATENATE("Institution - ", VLOOKUP($B232, '[2]DataLookUp - InstitutionBranch'!$B$4:$C$2000, 2, FALSE)), "")))</f>
        <v>Institution - PT. Hutchinson 3 Indonesia</v>
      </c>
      <c r="D232" s="22">
        <v>223000000000004</v>
      </c>
      <c r="E232" s="4" t="str">
        <f>IF(EXACT($D232, ""), "", VLOOKUP($D232, 'REF - ContactNumberType'!$B$4:$C$10, 2, FALSE))</f>
        <v>Office Phone</v>
      </c>
      <c r="F232" s="26"/>
      <c r="G232" s="9"/>
      <c r="H232" s="9"/>
      <c r="J232" s="33">
        <f t="shared" si="7"/>
        <v>286000000000217</v>
      </c>
      <c r="K232" s="34" t="str">
        <f t="shared" si="8"/>
        <v/>
      </c>
    </row>
    <row r="233" spans="2:11" x14ac:dyDescent="0.2">
      <c r="B233" s="22">
        <v>124000000000025</v>
      </c>
      <c r="C233" s="4" t="str">
        <f>IF(EXACT($B233, ""), "", IF((($B233 - MOD($B233, 1000000000000))/1000000000000)=25, CONCATENATE("Person - ", VLOOKUP($B233, [1]DataLookUp!$B$4:$C$2000, 2, FALSE)), IF((($B233 - MOD($B233, 1000000000000))/1000000000000)=124, CONCATENATE("Institution - ", VLOOKUP($B233, '[2]DataLookUp - InstitutionBranch'!$B$4:$C$2000, 2, FALSE)), "")))</f>
        <v>Institution - PT. Indoprima Seluler</v>
      </c>
      <c r="D233" s="22">
        <v>223000000000004</v>
      </c>
      <c r="E233" s="4" t="str">
        <f>IF(EXACT($D233, ""), "", VLOOKUP($D233, 'REF - ContactNumberType'!$B$4:$C$10, 2, FALSE))</f>
        <v>Office Phone</v>
      </c>
      <c r="F233" s="26"/>
      <c r="G233" s="9"/>
      <c r="H233" s="9"/>
      <c r="J233" s="33">
        <f t="shared" si="7"/>
        <v>286000000000217</v>
      </c>
      <c r="K233" s="34" t="str">
        <f t="shared" si="8"/>
        <v/>
      </c>
    </row>
    <row r="234" spans="2:11" x14ac:dyDescent="0.2">
      <c r="B234" s="22">
        <v>124000000000026</v>
      </c>
      <c r="C234" s="4" t="str">
        <f>IF(EXACT($B234, ""), "", IF((($B234 - MOD($B234, 1000000000000))/1000000000000)=25, CONCATENATE("Person - ", VLOOKUP($B234, [1]DataLookUp!$B$4:$C$2000, 2, FALSE)), IF((($B234 - MOD($B234, 1000000000000))/1000000000000)=124, CONCATENATE("Institution - ", VLOOKUP($B234, '[2]DataLookUp - InstitutionBranch'!$B$4:$C$2000, 2, FALSE)), "")))</f>
        <v>Institution - PT. Indosat, Tbk [a.k.a : Indosat]</v>
      </c>
      <c r="D234" s="22">
        <v>223000000000004</v>
      </c>
      <c r="E234" s="4" t="str">
        <f>IF(EXACT($D234, ""), "", VLOOKUP($D234, 'REF - ContactNumberType'!$B$4:$C$10, 2, FALSE))</f>
        <v>Office Phone</v>
      </c>
      <c r="F234" s="26"/>
      <c r="G234" s="9"/>
      <c r="H234" s="9"/>
      <c r="J234" s="33">
        <f t="shared" si="7"/>
        <v>286000000000217</v>
      </c>
      <c r="K234" s="34" t="str">
        <f t="shared" si="8"/>
        <v/>
      </c>
    </row>
    <row r="235" spans="2:11" x14ac:dyDescent="0.2">
      <c r="B235" s="22">
        <v>124000000000027</v>
      </c>
      <c r="C235" s="4" t="str">
        <f>IF(EXACT($B235, ""), "", IF((($B235 - MOD($B235, 1000000000000))/1000000000000)=25, CONCATENATE("Person - ", VLOOKUP($B235, [1]DataLookUp!$B$4:$C$2000, 2, FALSE)), IF((($B235 - MOD($B235, 1000000000000))/1000000000000)=124, CONCATENATE("Institution - ", VLOOKUP($B235, '[2]DataLookUp - InstitutionBranch'!$B$4:$C$2000, 2, FALSE)), "")))</f>
        <v>Institution - PT. Industri Telekomunikasi Indonesia (Persero) [a.k.a : INTI]</v>
      </c>
      <c r="D235" s="22">
        <v>223000000000004</v>
      </c>
      <c r="E235" s="4" t="str">
        <f>IF(EXACT($D235, ""), "", VLOOKUP($D235, 'REF - ContactNumberType'!$B$4:$C$10, 2, FALSE))</f>
        <v>Office Phone</v>
      </c>
      <c r="F235" s="26" t="s">
        <v>1676</v>
      </c>
      <c r="G235" s="9"/>
      <c r="H235" s="9"/>
      <c r="J235" s="33">
        <f t="shared" si="7"/>
        <v>286000000000218</v>
      </c>
      <c r="K235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223000000000004::bigint, '+62 (022) 520-1501'::varchar, NULL::varchar, NULL::varchar, '124000000000027'::bigint);</v>
      </c>
    </row>
    <row r="236" spans="2:11" x14ac:dyDescent="0.2">
      <c r="B236" s="22">
        <v>124000000000027</v>
      </c>
      <c r="C236" s="4" t="str">
        <f>IF(EXACT($B236, ""), "", IF((($B236 - MOD($B236, 1000000000000))/1000000000000)=25, CONCATENATE("Person - ", VLOOKUP($B236, [1]DataLookUp!$B$4:$C$2000, 2, FALSE)), IF((($B236 - MOD($B236, 1000000000000))/1000000000000)=124, CONCATENATE("Institution - ", VLOOKUP($B236, '[2]DataLookUp - InstitutionBranch'!$B$4:$C$2000, 2, FALSE)), "")))</f>
        <v>Institution - PT. Industri Telekomunikasi Indonesia (Persero) [a.k.a : INTI]</v>
      </c>
      <c r="D236" s="22">
        <v>223000000000005</v>
      </c>
      <c r="E236" s="4" t="str">
        <f>IF(EXACT($D236, ""), "", VLOOKUP($D236, 'REF - ContactNumberType'!$B$4:$C$10, 2, FALSE))</f>
        <v>Faximile</v>
      </c>
      <c r="F236" s="26" t="s">
        <v>1708</v>
      </c>
      <c r="G236" s="9"/>
      <c r="H236" s="9"/>
      <c r="J236" s="33">
        <f t="shared" si="7"/>
        <v>286000000000219</v>
      </c>
      <c r="K236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223000000000005::bigint, '+62 (022) 520-2444 '::varchar, NULL::varchar, NULL::varchar, '124000000000027'::bigint);</v>
      </c>
    </row>
    <row r="237" spans="2:11" x14ac:dyDescent="0.2">
      <c r="B237" s="22">
        <v>124000000000028</v>
      </c>
      <c r="C237" s="4" t="str">
        <f>IF(EXACT($B237, ""), "", IF((($B237 - MOD($B237, 1000000000000))/1000000000000)=25, CONCATENATE("Person - ", VLOOKUP($B237, [1]DataLookUp!$B$4:$C$2000, 2, FALSE)), IF((($B237 - MOD($B237, 1000000000000))/1000000000000)=124, CONCATENATE("Institution - ", VLOOKUP($B237, '[2]DataLookUp - InstitutionBranch'!$B$4:$C$2000, 2, FALSE)), "")))</f>
        <v>Institution - PT. Infrastruktur Bisnis Sejahtera</v>
      </c>
      <c r="D237" s="22">
        <v>223000000000004</v>
      </c>
      <c r="E237" s="4" t="str">
        <f>IF(EXACT($D237, ""), "", VLOOKUP($D237, 'REF - ContactNumberType'!$B$4:$C$10, 2, FALSE))</f>
        <v>Office Phone</v>
      </c>
      <c r="F237" s="26" t="s">
        <v>1631</v>
      </c>
      <c r="G237" s="9"/>
      <c r="H237" s="9"/>
      <c r="J237" s="33">
        <f t="shared" si="7"/>
        <v>286000000000220</v>
      </c>
      <c r="K237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837-095'::varchar, NULL::varchar, NULL::varchar, '124000000000028'::bigint);</v>
      </c>
    </row>
    <row r="238" spans="2:11" x14ac:dyDescent="0.2">
      <c r="B238" s="22">
        <v>124000000000029</v>
      </c>
      <c r="C238" s="4" t="str">
        <f>IF(EXACT($B238, ""), "", IF((($B238 - MOD($B238, 1000000000000))/1000000000000)=25, CONCATENATE("Person - ", VLOOKUP($B238, [1]DataLookUp!$B$4:$C$2000, 2, FALSE)), IF((($B238 - MOD($B238, 1000000000000))/1000000000000)=124, CONCATENATE("Institution - ", VLOOKUP($B238, '[2]DataLookUp - InstitutionBranch'!$B$4:$C$2000, 2, FALSE)), "")))</f>
        <v>Institution - PT. Intershop Prima Center</v>
      </c>
      <c r="D238" s="22">
        <v>223000000000004</v>
      </c>
      <c r="E238" s="4" t="str">
        <f>IF(EXACT($D238, ""), "", VLOOKUP($D238, 'REF - ContactNumberType'!$B$4:$C$10, 2, FALSE))</f>
        <v>Office Phone</v>
      </c>
      <c r="F238" s="26" t="s">
        <v>1632</v>
      </c>
      <c r="G238" s="9"/>
      <c r="H238" s="9"/>
      <c r="J238" s="33">
        <f t="shared" si="7"/>
        <v>286000000000221</v>
      </c>
      <c r="K238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300-130-01'::varchar, NULL::varchar, NULL::varchar, '124000000000029'::bigint);</v>
      </c>
    </row>
    <row r="239" spans="2:11" x14ac:dyDescent="0.2">
      <c r="B239" s="22">
        <v>124000000000029</v>
      </c>
      <c r="C239" s="4" t="str">
        <f>IF(EXACT($B239, ""), "", IF((($B239 - MOD($B239, 1000000000000))/1000000000000)=25, CONCATENATE("Person - ", VLOOKUP($B239, [1]DataLookUp!$B$4:$C$2000, 2, FALSE)), IF((($B239 - MOD($B239, 1000000000000))/1000000000000)=124, CONCATENATE("Institution - ", VLOOKUP($B239, '[2]DataLookUp - InstitutionBranch'!$B$4:$C$2000, 2, FALSE)), "")))</f>
        <v>Institution - PT. Intershop Prima Center</v>
      </c>
      <c r="D239" s="22">
        <v>223000000000005</v>
      </c>
      <c r="E239" s="4" t="str">
        <f>IF(EXACT($D239, ""), "", VLOOKUP($D239, 'REF - ContactNumberType'!$B$4:$C$10, 2, FALSE))</f>
        <v>Faximile</v>
      </c>
      <c r="F239" s="26" t="s">
        <v>1633</v>
      </c>
      <c r="G239" s="9"/>
      <c r="H239" s="9"/>
      <c r="J239" s="33">
        <f t="shared" si="7"/>
        <v>286000000000222</v>
      </c>
      <c r="K239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300-130-02'::varchar, NULL::varchar, NULL::varchar, '124000000000029'::bigint);</v>
      </c>
    </row>
    <row r="240" spans="2:11" x14ac:dyDescent="0.2">
      <c r="B240" s="22">
        <v>124000000000030</v>
      </c>
      <c r="C240" s="4" t="str">
        <f>IF(EXACT($B240, ""), "", IF((($B240 - MOD($B240, 1000000000000))/1000000000000)=25, CONCATENATE("Person - ", VLOOKUP($B240, [1]DataLookUp!$B$4:$C$2000, 2, FALSE)), IF((($B240 - MOD($B240, 1000000000000))/1000000000000)=124, CONCATENATE("Institution - ", VLOOKUP($B240, '[2]DataLookUp - InstitutionBranch'!$B$4:$C$2000, 2, FALSE)), "")))</f>
        <v>Institution - PT. Inti Bangun Sejahtera, Tbk</v>
      </c>
      <c r="D240" s="22">
        <v>223000000000004</v>
      </c>
      <c r="E240" s="4" t="str">
        <f>IF(EXACT($D240, ""), "", VLOOKUP($D240, 'REF - ContactNumberType'!$B$4:$C$10, 2, FALSE))</f>
        <v>Office Phone</v>
      </c>
      <c r="F240" s="26"/>
      <c r="G240" s="9"/>
      <c r="H240" s="9"/>
      <c r="J240" s="33">
        <f t="shared" si="7"/>
        <v>286000000000222</v>
      </c>
      <c r="K240" s="34" t="str">
        <f t="shared" si="8"/>
        <v/>
      </c>
    </row>
    <row r="241" spans="2:11" x14ac:dyDescent="0.2">
      <c r="B241" s="22">
        <v>124000000000031</v>
      </c>
      <c r="C241" s="4" t="str">
        <f>IF(EXACT($B241, ""), "", IF((($B241 - MOD($B241, 1000000000000))/1000000000000)=25, CONCATENATE("Person - ", VLOOKUP($B241, [1]DataLookUp!$B$4:$C$2000, 2, FALSE)), IF((($B241 - MOD($B241, 1000000000000))/1000000000000)=124, CONCATENATE("Institution - ", VLOOKUP($B241, '[2]DataLookUp - InstitutionBranch'!$B$4:$C$2000, 2, FALSE)), "")))</f>
        <v>Institution - PT. Karya Mitra Nugraha</v>
      </c>
      <c r="D241" s="22">
        <v>223000000000004</v>
      </c>
      <c r="E241" s="4" t="str">
        <f>IF(EXACT($D241, ""), "", VLOOKUP($D241, 'REF - ContactNumberType'!$B$4:$C$10, 2, FALSE))</f>
        <v>Office Phone</v>
      </c>
      <c r="F241" s="26" t="s">
        <v>1678</v>
      </c>
      <c r="G241" s="9"/>
      <c r="H241" s="9"/>
      <c r="J241" s="33">
        <f t="shared" si="7"/>
        <v>286000000000223</v>
      </c>
      <c r="K241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223000000000004::bigint, '+62 (024) 845-7070'::varchar, NULL::varchar, NULL::varchar, '124000000000031'::bigint);</v>
      </c>
    </row>
    <row r="242" spans="2:11" x14ac:dyDescent="0.2">
      <c r="B242" s="22">
        <v>124000000000031</v>
      </c>
      <c r="C242" s="4" t="str">
        <f>IF(EXACT($B242, ""), "", IF((($B242 - MOD($B242, 1000000000000))/1000000000000)=25, CONCATENATE("Person - ", VLOOKUP($B242, [1]DataLookUp!$B$4:$C$2000, 2, FALSE)), IF((($B242 - MOD($B242, 1000000000000))/1000000000000)=124, CONCATENATE("Institution - ", VLOOKUP($B242, '[2]DataLookUp - InstitutionBranch'!$B$4:$C$2000, 2, FALSE)), "")))</f>
        <v>Institution - PT. Karya Mitra Nugraha</v>
      </c>
      <c r="D242" s="22">
        <v>223000000000005</v>
      </c>
      <c r="E242" s="4" t="str">
        <f>IF(EXACT($D242, ""), "", VLOOKUP($D242, 'REF - ContactNumberType'!$B$4:$C$10, 2, FALSE))</f>
        <v>Faximile</v>
      </c>
      <c r="F242" s="26" t="s">
        <v>1677</v>
      </c>
      <c r="G242" s="9"/>
      <c r="H242" s="9"/>
      <c r="J242" s="33">
        <f t="shared" si="7"/>
        <v>286000000000224</v>
      </c>
      <c r="K242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223000000000005::bigint, '+62 (024) 844-6145'::varchar, NULL::varchar, NULL::varchar, '124000000000031'::bigint);</v>
      </c>
    </row>
    <row r="243" spans="2:11" x14ac:dyDescent="0.2">
      <c r="B243" s="22">
        <v>124000000000032</v>
      </c>
      <c r="C243" s="4" t="str">
        <f>IF(EXACT($B243, ""), "", IF((($B243 - MOD($B243, 1000000000000))/1000000000000)=25, CONCATENATE("Person - ", VLOOKUP($B243, [1]DataLookUp!$B$4:$C$2000, 2, FALSE)), IF((($B243 - MOD($B243, 1000000000000))/1000000000000)=124, CONCATENATE("Institution - ", VLOOKUP($B243, '[2]DataLookUp - InstitutionBranch'!$B$4:$C$2000, 2, FALSE)), "")))</f>
        <v>Institution - PT. Lektrika Karyatama</v>
      </c>
      <c r="D243" s="22">
        <v>223000000000004</v>
      </c>
      <c r="E243" s="4" t="str">
        <f>IF(EXACT($D243, ""), "", VLOOKUP($D243, 'REF - ContactNumberType'!$B$4:$C$10, 2, FALSE))</f>
        <v>Office Phone</v>
      </c>
      <c r="F243" s="26" t="s">
        <v>1679</v>
      </c>
      <c r="G243" s="9"/>
      <c r="H243" s="9"/>
      <c r="J243" s="33">
        <f t="shared" si="7"/>
        <v>286000000000225</v>
      </c>
      <c r="K243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750-1915'::varchar, NULL::varchar, NULL::varchar, '124000000000032'::bigint);</v>
      </c>
    </row>
    <row r="244" spans="2:11" x14ac:dyDescent="0.2">
      <c r="B244" s="22">
        <v>124000000000032</v>
      </c>
      <c r="C244" s="4" t="str">
        <f>IF(EXACT($B244, ""), "", IF((($B244 - MOD($B244, 1000000000000))/1000000000000)=25, CONCATENATE("Person - ", VLOOKUP($B244, [1]DataLookUp!$B$4:$C$2000, 2, FALSE)), IF((($B244 - MOD($B244, 1000000000000))/1000000000000)=124, CONCATENATE("Institution - ", VLOOKUP($B244, '[2]DataLookUp - InstitutionBranch'!$B$4:$C$2000, 2, FALSE)), "")))</f>
        <v>Institution - PT. Lektrika Karyatama</v>
      </c>
      <c r="D244" s="22">
        <v>223000000000005</v>
      </c>
      <c r="E244" s="4" t="str">
        <f>IF(EXACT($D244, ""), "", VLOOKUP($D244, 'REF - ContactNumberType'!$B$4:$C$10, 2, FALSE))</f>
        <v>Faximile</v>
      </c>
      <c r="F244" s="26" t="s">
        <v>1680</v>
      </c>
      <c r="G244" s="9"/>
      <c r="H244" s="9"/>
      <c r="J244" s="33">
        <f t="shared" si="7"/>
        <v>286000000000226</v>
      </c>
      <c r="K244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766-0986'::varchar, NULL::varchar, NULL::varchar, '124000000000032'::bigint);</v>
      </c>
    </row>
    <row r="245" spans="2:11" x14ac:dyDescent="0.2">
      <c r="B245" s="22">
        <v>124000000000033</v>
      </c>
      <c r="C245" s="4" t="str">
        <f>IF(EXACT($B245, ""), "", IF((($B245 - MOD($B245, 1000000000000))/1000000000000)=25, CONCATENATE("Person - ", VLOOKUP($B245, [1]DataLookUp!$B$4:$C$2000, 2, FALSE)), IF((($B245 - MOD($B245, 1000000000000))/1000000000000)=124, CONCATENATE("Institution - ", VLOOKUP($B245, '[2]DataLookUp - InstitutionBranch'!$B$4:$C$2000, 2, FALSE)), "")))</f>
        <v>Institution - PT. Link Net</v>
      </c>
      <c r="D245" s="22">
        <v>223000000000004</v>
      </c>
      <c r="E245" s="4" t="str">
        <f>IF(EXACT($D245, ""), "", VLOOKUP($D245, 'REF - ContactNumberType'!$B$4:$C$10, 2, FALSE))</f>
        <v>Office Phone</v>
      </c>
      <c r="F245" s="26" t="s">
        <v>1681</v>
      </c>
      <c r="G245" s="9"/>
      <c r="H245" s="9"/>
      <c r="J245" s="33">
        <f t="shared" si="7"/>
        <v>286000000000227</v>
      </c>
      <c r="K245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557-7775'::varchar, NULL::varchar, NULL::varchar, '124000000000033'::bigint);</v>
      </c>
    </row>
    <row r="246" spans="2:11" x14ac:dyDescent="0.2">
      <c r="B246" s="22">
        <v>124000000000034</v>
      </c>
      <c r="C246" s="4" t="str">
        <f>IF(EXACT($B246, ""), "", IF((($B246 - MOD($B246, 1000000000000))/1000000000000)=25, CONCATENATE("Person - ", VLOOKUP($B246, [1]DataLookUp!$B$4:$C$2000, 2, FALSE)), IF((($B246 - MOD($B246, 1000000000000))/1000000000000)=124, CONCATENATE("Institution - ", VLOOKUP($B246, '[2]DataLookUp - InstitutionBranch'!$B$4:$C$2000, 2, FALSE)), "")))</f>
        <v>Institution - PT. Lintas Teknologi Indonesia</v>
      </c>
      <c r="D246" s="22">
        <v>223000000000004</v>
      </c>
      <c r="E246" s="4" t="str">
        <f>IF(EXACT($D246, ""), "", VLOOKUP($D246, 'REF - ContactNumberType'!$B$4:$C$10, 2, FALSE))</f>
        <v>Office Phone</v>
      </c>
      <c r="F246" s="26" t="s">
        <v>1634</v>
      </c>
      <c r="G246" s="9"/>
      <c r="H246" s="9"/>
      <c r="J246" s="33">
        <f t="shared" si="7"/>
        <v>286000000000228</v>
      </c>
      <c r="K246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837-800-00'::varchar, NULL::varchar, NULL::varchar, '124000000000034'::bigint);</v>
      </c>
    </row>
    <row r="247" spans="2:11" x14ac:dyDescent="0.2">
      <c r="B247" s="22">
        <v>124000000000034</v>
      </c>
      <c r="C247" s="4" t="str">
        <f>IF(EXACT($B247, ""), "", IF((($B247 - MOD($B247, 1000000000000))/1000000000000)=25, CONCATENATE("Person - ", VLOOKUP($B247, [1]DataLookUp!$B$4:$C$2000, 2, FALSE)), IF((($B247 - MOD($B247, 1000000000000))/1000000000000)=124, CONCATENATE("Institution - ", VLOOKUP($B247, '[2]DataLookUp - InstitutionBranch'!$B$4:$C$2000, 2, FALSE)), "")))</f>
        <v>Institution - PT. Lintas Teknologi Indonesia</v>
      </c>
      <c r="D247" s="22">
        <v>223000000000005</v>
      </c>
      <c r="E247" s="4" t="str">
        <f>IF(EXACT($D247, ""), "", VLOOKUP($D247, 'REF - ContactNumberType'!$B$4:$C$10, 2, FALSE))</f>
        <v>Faximile</v>
      </c>
      <c r="F247" s="26" t="s">
        <v>1635</v>
      </c>
      <c r="G247" s="9"/>
      <c r="H247" s="9"/>
      <c r="J247" s="33">
        <f t="shared" si="7"/>
        <v>286000000000229</v>
      </c>
      <c r="K247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837-800-01'::varchar, NULL::varchar, NULL::varchar, '124000000000034'::bigint);</v>
      </c>
    </row>
    <row r="248" spans="2:11" x14ac:dyDescent="0.2">
      <c r="B248" s="22">
        <v>124000000000035</v>
      </c>
      <c r="C248" s="4" t="str">
        <f>IF(EXACT($B248, ""), "", IF((($B248 - MOD($B248, 1000000000000))/1000000000000)=25, CONCATENATE("Person - ", VLOOKUP($B248, [1]DataLookUp!$B$4:$C$2000, 2, FALSE)), IF((($B248 - MOD($B248, 1000000000000))/1000000000000)=124, CONCATENATE("Institution - ", VLOOKUP($B248, '[2]DataLookUp - InstitutionBranch'!$B$4:$C$2000, 2, FALSE)), "")))</f>
        <v>Institution - PT. Mega Eltra</v>
      </c>
      <c r="D248" s="22">
        <v>223000000000004</v>
      </c>
      <c r="E248" s="4" t="str">
        <f>IF(EXACT($D248, ""), "", VLOOKUP($D248, 'REF - ContactNumberType'!$B$4:$C$10, 2, FALSE))</f>
        <v>Office Phone</v>
      </c>
      <c r="F248" s="26"/>
      <c r="G248" s="9"/>
      <c r="H248" s="9"/>
      <c r="J248" s="33">
        <f t="shared" si="7"/>
        <v>286000000000229</v>
      </c>
      <c r="K248" s="34" t="str">
        <f t="shared" si="8"/>
        <v/>
      </c>
    </row>
    <row r="249" spans="2:11" x14ac:dyDescent="0.2">
      <c r="B249" s="22">
        <v>124000000000036</v>
      </c>
      <c r="C249" s="4" t="str">
        <f>IF(EXACT($B249, ""), "", IF((($B249 - MOD($B249, 1000000000000))/1000000000000)=25, CONCATENATE("Person - ", VLOOKUP($B249, [1]DataLookUp!$B$4:$C$2000, 2, FALSE)), IF((($B249 - MOD($B249, 1000000000000))/1000000000000)=124, CONCATENATE("Institution - ", VLOOKUP($B249, '[2]DataLookUp - InstitutionBranch'!$B$4:$C$2000, 2, FALSE)), "")))</f>
        <v>Institution - PT. Megatel Jaya Swastikarya</v>
      </c>
      <c r="D249" s="22">
        <v>223000000000004</v>
      </c>
      <c r="E249" s="4" t="str">
        <f>IF(EXACT($D249, ""), "", VLOOKUP($D249, 'REF - ContactNumberType'!$B$4:$C$10, 2, FALSE))</f>
        <v>Office Phone</v>
      </c>
      <c r="F249" s="26"/>
      <c r="G249" s="9"/>
      <c r="H249" s="9"/>
      <c r="J249" s="33">
        <f t="shared" si="7"/>
        <v>286000000000229</v>
      </c>
      <c r="K249" s="34" t="str">
        <f t="shared" si="8"/>
        <v/>
      </c>
    </row>
    <row r="250" spans="2:11" x14ac:dyDescent="0.2">
      <c r="B250" s="22">
        <v>124000000000037</v>
      </c>
      <c r="C250" s="4" t="str">
        <f>IF(EXACT($B250, ""), "", IF((($B250 - MOD($B250, 1000000000000))/1000000000000)=25, CONCATENATE("Person - ", VLOOKUP($B250, [1]DataLookUp!$B$4:$C$2000, 2, FALSE)), IF((($B250 - MOD($B250, 1000000000000))/1000000000000)=124, CONCATENATE("Institution - ", VLOOKUP($B250, '[2]DataLookUp - InstitutionBranch'!$B$4:$C$2000, 2, FALSE)), "")))</f>
        <v>Institution - PT. Nokia Indonesia</v>
      </c>
      <c r="D250" s="22">
        <v>223000000000004</v>
      </c>
      <c r="E250" s="4" t="str">
        <f>IF(EXACT($D250, ""), "", VLOOKUP($D250, 'REF - ContactNumberType'!$B$4:$C$10, 2, FALSE))</f>
        <v>Office Phone</v>
      </c>
      <c r="F250" s="26"/>
      <c r="G250" s="9"/>
      <c r="H250" s="9"/>
      <c r="J250" s="33">
        <f t="shared" si="7"/>
        <v>286000000000229</v>
      </c>
      <c r="K250" s="34" t="str">
        <f t="shared" si="8"/>
        <v/>
      </c>
    </row>
    <row r="251" spans="2:11" x14ac:dyDescent="0.2">
      <c r="B251" s="22">
        <v>124000000000038</v>
      </c>
      <c r="C251" s="4" t="str">
        <f>IF(EXACT($B251, ""), "", IF((($B251 - MOD($B251, 1000000000000))/1000000000000)=25, CONCATENATE("Person - ", VLOOKUP($B251, [1]DataLookUp!$B$4:$C$2000, 2, FALSE)), IF((($B251 - MOD($B251, 1000000000000))/1000000000000)=124, CONCATENATE("Institution - ", VLOOKUP($B251, '[2]DataLookUp - InstitutionBranch'!$B$4:$C$2000, 2, FALSE)), "")))</f>
        <v>Institution - PT. Nokia Siemens Network Indonesia</v>
      </c>
      <c r="D251" s="22">
        <v>223000000000004</v>
      </c>
      <c r="E251" s="4" t="str">
        <f>IF(EXACT($D251, ""), "", VLOOKUP($D251, 'REF - ContactNumberType'!$B$4:$C$10, 2, FALSE))</f>
        <v>Office Phone</v>
      </c>
      <c r="F251" s="26"/>
      <c r="G251" s="9"/>
      <c r="H251" s="9"/>
      <c r="J251" s="33">
        <f t="shared" si="7"/>
        <v>286000000000229</v>
      </c>
      <c r="K251" s="34" t="str">
        <f t="shared" si="8"/>
        <v/>
      </c>
    </row>
    <row r="252" spans="2:11" x14ac:dyDescent="0.2">
      <c r="B252" s="22">
        <v>124000000000039</v>
      </c>
      <c r="C252" s="4" t="str">
        <f>IF(EXACT($B252, ""), "", IF((($B252 - MOD($B252, 1000000000000))/1000000000000)=25, CONCATENATE("Person - ", VLOOKUP($B252, [1]DataLookUp!$B$4:$C$2000, 2, FALSE)), IF((($B252 - MOD($B252, 1000000000000))/1000000000000)=124, CONCATENATE("Institution - ", VLOOKUP($B252, '[2]DataLookUp - InstitutionBranch'!$B$4:$C$2000, 2, FALSE)), "")))</f>
        <v>Institution - PT. Pertamina Geothermal Energy</v>
      </c>
      <c r="D252" s="22">
        <v>223000000000004</v>
      </c>
      <c r="E252" s="4" t="str">
        <f>IF(EXACT($D252, ""), "", VLOOKUP($D252, 'REF - ContactNumberType'!$B$4:$C$10, 2, FALSE))</f>
        <v>Office Phone</v>
      </c>
      <c r="F252" s="26" t="s">
        <v>1636</v>
      </c>
      <c r="G252" s="9"/>
      <c r="H252" s="9"/>
      <c r="J252" s="33">
        <f t="shared" si="7"/>
        <v>286000000000230</v>
      </c>
      <c r="K252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398-332-22'::varchar, NULL::varchar, NULL::varchar, '124000000000039'::bigint);</v>
      </c>
    </row>
    <row r="253" spans="2:11" x14ac:dyDescent="0.2">
      <c r="B253" s="22">
        <v>124000000000039</v>
      </c>
      <c r="C253" s="4" t="str">
        <f>IF(EXACT($B253, ""), "", IF((($B253 - MOD($B253, 1000000000000))/1000000000000)=25, CONCATENATE("Person - ", VLOOKUP($B253, [1]DataLookUp!$B$4:$C$2000, 2, FALSE)), IF((($B253 - MOD($B253, 1000000000000))/1000000000000)=124, CONCATENATE("Institution - ", VLOOKUP($B253, '[2]DataLookUp - InstitutionBranch'!$B$4:$C$2000, 2, FALSE)), "")))</f>
        <v>Institution - PT. Pertamina Geothermal Energy</v>
      </c>
      <c r="D253" s="22">
        <v>223000000000004</v>
      </c>
      <c r="E253" s="4" t="str">
        <f>IF(EXACT($D253, ""), "", VLOOKUP($D253, 'REF - ContactNumberType'!$B$4:$C$10, 2, FALSE))</f>
        <v>Office Phone</v>
      </c>
      <c r="F253" s="26" t="s">
        <v>1637</v>
      </c>
      <c r="G253" s="9"/>
      <c r="H253" s="9"/>
      <c r="J253" s="33">
        <f t="shared" si="7"/>
        <v>286000000000231</v>
      </c>
      <c r="K253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398-331-50'::varchar, NULL::varchar, NULL::varchar, '124000000000039'::bigint);</v>
      </c>
    </row>
    <row r="254" spans="2:11" x14ac:dyDescent="0.2">
      <c r="B254" s="22">
        <v>124000000000039</v>
      </c>
      <c r="C254" s="4" t="str">
        <f>IF(EXACT($B254, ""), "", IF((($B254 - MOD($B254, 1000000000000))/1000000000000)=25, CONCATENATE("Person - ", VLOOKUP($B254, [1]DataLookUp!$B$4:$C$2000, 2, FALSE)), IF((($B254 - MOD($B254, 1000000000000))/1000000000000)=124, CONCATENATE("Institution - ", VLOOKUP($B254, '[2]DataLookUp - InstitutionBranch'!$B$4:$C$2000, 2, FALSE)), "")))</f>
        <v>Institution - PT. Pertamina Geothermal Energy</v>
      </c>
      <c r="D254" s="22">
        <v>223000000000005</v>
      </c>
      <c r="E254" s="4" t="str">
        <f>IF(EXACT($D254, ""), "", VLOOKUP($D254, 'REF - ContactNumberType'!$B$4:$C$10, 2, FALSE))</f>
        <v>Faximile</v>
      </c>
      <c r="F254" s="26" t="s">
        <v>1638</v>
      </c>
      <c r="G254" s="9"/>
      <c r="H254" s="9"/>
      <c r="J254" s="33">
        <f t="shared" si="7"/>
        <v>286000000000232</v>
      </c>
      <c r="K254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398-332-30'::varchar, NULL::varchar, NULL::varchar, '124000000000039'::bigint);</v>
      </c>
    </row>
    <row r="255" spans="2:11" x14ac:dyDescent="0.2">
      <c r="B255" s="22">
        <v>124000000000040</v>
      </c>
      <c r="C255" s="4" t="str">
        <f>IF(EXACT($B255, ""), "", IF((($B255 - MOD($B255, 1000000000000))/1000000000000)=25, CONCATENATE("Person - ", VLOOKUP($B255, [1]DataLookUp!$B$4:$C$2000, 2, FALSE)), IF((($B255 - MOD($B255, 1000000000000))/1000000000000)=124, CONCATENATE("Institution - ", VLOOKUP($B255, '[2]DataLookUp - InstitutionBranch'!$B$4:$C$2000, 2, FALSE)), "")))</f>
        <v>Institution - PT. Pelayanan Listrik Nasional (Persero) - Kantor Pusat</v>
      </c>
      <c r="D255" s="22">
        <v>223000000000004</v>
      </c>
      <c r="E255" s="4" t="str">
        <f>IF(EXACT($D255, ""), "", VLOOKUP($D255, 'REF - ContactNumberType'!$B$4:$C$10, 2, FALSE))</f>
        <v>Office Phone</v>
      </c>
      <c r="F255" s="26"/>
      <c r="G255" s="9"/>
      <c r="H255" s="9"/>
      <c r="J255" s="33">
        <f t="shared" si="7"/>
        <v>286000000000232</v>
      </c>
      <c r="K255" s="34" t="str">
        <f t="shared" si="8"/>
        <v/>
      </c>
    </row>
    <row r="256" spans="2:11" x14ac:dyDescent="0.2">
      <c r="B256" s="22">
        <v>124000000000041</v>
      </c>
      <c r="C256" s="4" t="str">
        <f>IF(EXACT($B256, ""), "", IF((($B256 - MOD($B256, 1000000000000))/1000000000000)=25, CONCATENATE("Person - ", VLOOKUP($B256, [1]DataLookUp!$B$4:$C$2000, 2, FALSE)), IF((($B256 - MOD($B256, 1000000000000))/1000000000000)=124, CONCATENATE("Institution - ", VLOOKUP($B256, '[2]DataLookUp - InstitutionBranch'!$B$4:$C$2000, 2, FALSE)), "")))</f>
        <v>Institution - PT. Pelayanan Listrik Nasional (Persero) - Batam</v>
      </c>
      <c r="D256" s="22">
        <v>223000000000004</v>
      </c>
      <c r="E256" s="4" t="str">
        <f>IF(EXACT($D256, ""), "", VLOOKUP($D256, 'REF - ContactNumberType'!$B$4:$C$10, 2, FALSE))</f>
        <v>Office Phone</v>
      </c>
      <c r="F256" s="26"/>
      <c r="G256" s="9"/>
      <c r="H256" s="9"/>
      <c r="J256" s="33">
        <f t="shared" si="7"/>
        <v>286000000000232</v>
      </c>
      <c r="K256" s="34" t="str">
        <f t="shared" si="8"/>
        <v/>
      </c>
    </row>
    <row r="257" spans="2:11" x14ac:dyDescent="0.2">
      <c r="B257" s="22">
        <v>124000000000042</v>
      </c>
      <c r="C257" s="4" t="str">
        <f>IF(EXACT($B257, ""), "", IF((($B257 - MOD($B257, 1000000000000))/1000000000000)=25, CONCATENATE("Person - ", VLOOKUP($B257, [1]DataLookUp!$B$4:$C$2000, 2, FALSE)), IF((($B257 - MOD($B257, 1000000000000))/1000000000000)=124, CONCATENATE("Institution - ", VLOOKUP($B257, '[2]DataLookUp - InstitutionBranch'!$B$4:$C$2000, 2, FALSE)), "")))</f>
        <v>Institution - PT. Pelayanan Listrik Nasional (Persero) - P3B Jawa Bali APP Cawang</v>
      </c>
      <c r="D257" s="22">
        <v>223000000000004</v>
      </c>
      <c r="E257" s="4" t="str">
        <f>IF(EXACT($D257, ""), "", VLOOKUP($D257, 'REF - ContactNumberType'!$B$4:$C$10, 2, FALSE))</f>
        <v>Office Phone</v>
      </c>
      <c r="F257" s="26"/>
      <c r="G257" s="9"/>
      <c r="H257" s="9"/>
      <c r="J257" s="33">
        <f t="shared" si="7"/>
        <v>286000000000232</v>
      </c>
      <c r="K257" s="34" t="str">
        <f t="shared" si="8"/>
        <v/>
      </c>
    </row>
    <row r="258" spans="2:11" x14ac:dyDescent="0.2">
      <c r="B258" s="22">
        <v>124000000000043</v>
      </c>
      <c r="C258" s="4" t="str">
        <f>IF(EXACT($B258, ""), "", IF((($B258 - MOD($B258, 1000000000000))/1000000000000)=25, CONCATENATE("Person - ", VLOOKUP($B258, [1]DataLookUp!$B$4:$C$2000, 2, FALSE)), IF((($B258 - MOD($B258, 1000000000000))/1000000000000)=124, CONCATENATE("Institution - ", VLOOKUP($B258, '[2]DataLookUp - InstitutionBranch'!$B$4:$C$2000, 2, FALSE)), "")))</f>
        <v>Institution - PT. Pelayanan Listrik Nasional (Persero) - Unit Induk Pembangunan V</v>
      </c>
      <c r="D258" s="22">
        <v>223000000000004</v>
      </c>
      <c r="E258" s="4" t="str">
        <f>IF(EXACT($D258, ""), "", VLOOKUP($D258, 'REF - ContactNumberType'!$B$4:$C$10, 2, FALSE))</f>
        <v>Office Phone</v>
      </c>
      <c r="F258" s="26"/>
      <c r="G258" s="9"/>
      <c r="H258" s="9"/>
      <c r="J258" s="33">
        <f t="shared" si="7"/>
        <v>286000000000232</v>
      </c>
      <c r="K258" s="34" t="str">
        <f t="shared" si="8"/>
        <v/>
      </c>
    </row>
    <row r="259" spans="2:11" x14ac:dyDescent="0.2">
      <c r="B259" s="22">
        <v>124000000000044</v>
      </c>
      <c r="C259" s="4" t="str">
        <f>IF(EXACT($B259, ""), "", IF((($B259 - MOD($B259, 1000000000000))/1000000000000)=25, CONCATENATE("Person - ", VLOOKUP($B259, [1]DataLookUp!$B$4:$C$2000, 2, FALSE)), IF((($B259 - MOD($B259, 1000000000000))/1000000000000)=124, CONCATENATE("Institution - ", VLOOKUP($B259, '[2]DataLookUp - InstitutionBranch'!$B$4:$C$2000, 2, FALSE)), "")))</f>
        <v>Institution - PT. Pelayanan Listrik Nasional (Persero) - Unit Induk Pembangunan Nusa Tenggara</v>
      </c>
      <c r="D259" s="22">
        <v>223000000000004</v>
      </c>
      <c r="E259" s="4" t="str">
        <f>IF(EXACT($D259, ""), "", VLOOKUP($D259, 'REF - ContactNumberType'!$B$4:$C$10, 2, FALSE))</f>
        <v>Office Phone</v>
      </c>
      <c r="F259" s="26" t="s">
        <v>1682</v>
      </c>
      <c r="G259" s="9"/>
      <c r="H259" s="9"/>
      <c r="J259" s="33">
        <f t="shared" si="7"/>
        <v>286000000000233</v>
      </c>
      <c r="K259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223000000000004::bigint, '+62 (0370) 638-884'::varchar, NULL::varchar, NULL::varchar, '124000000000044'::bigint);</v>
      </c>
    </row>
    <row r="260" spans="2:11" x14ac:dyDescent="0.2">
      <c r="B260" s="22">
        <v>124000000000044</v>
      </c>
      <c r="C260" s="4" t="str">
        <f>IF(EXACT($B260, ""), "", IF((($B260 - MOD($B260, 1000000000000))/1000000000000)=25, CONCATENATE("Person - ", VLOOKUP($B260, [1]DataLookUp!$B$4:$C$2000, 2, FALSE)), IF((($B260 - MOD($B260, 1000000000000))/1000000000000)=124, CONCATENATE("Institution - ", VLOOKUP($B260, '[2]DataLookUp - InstitutionBranch'!$B$4:$C$2000, 2, FALSE)), "")))</f>
        <v>Institution - PT. Pelayanan Listrik Nasional (Persero) - Unit Induk Pembangunan Nusa Tenggara</v>
      </c>
      <c r="D260" s="22">
        <v>223000000000005</v>
      </c>
      <c r="E260" s="4" t="str">
        <f>IF(EXACT($D260, ""), "", VLOOKUP($D260, 'REF - ContactNumberType'!$B$4:$C$10, 2, FALSE))</f>
        <v>Faximile</v>
      </c>
      <c r="F260" s="26" t="s">
        <v>1683</v>
      </c>
      <c r="G260" s="9"/>
      <c r="H260" s="9"/>
      <c r="J260" s="33">
        <f t="shared" si="7"/>
        <v>286000000000234</v>
      </c>
      <c r="K260" s="34" t="str">
        <f t="shared" si="8"/>
        <v>PERFORM "SchData-OLTP-Master"."Func_TblContactNumber_SET"(varSystemLoginSession::bigint, null::bigint, null::varchar, null::timestamptz, null::timestamptz, null::varchar, varInstitutionBranchID::bigint, varBaseCurrencyID::bigint, 223000000000005::bigint, '+62 (0370) 627-631'::varchar, NULL::varchar, NULL::varchar, '124000000000044'::bigint);</v>
      </c>
    </row>
    <row r="261" spans="2:11" x14ac:dyDescent="0.2">
      <c r="B261" s="22">
        <v>124000000000045</v>
      </c>
      <c r="C261" s="4" t="str">
        <f>IF(EXACT($B261, ""), "", IF((($B261 - MOD($B261, 1000000000000))/1000000000000)=25, CONCATENATE("Person - ", VLOOKUP($B261, [1]DataLookUp!$B$4:$C$2000, 2, FALSE)), IF((($B261 - MOD($B261, 1000000000000))/1000000000000)=124, CONCATENATE("Institution - ", VLOOKUP($B261, '[2]DataLookUp - InstitutionBranch'!$B$4:$C$2000, 2, FALSE)), "")))</f>
        <v>Institution - PT. Pelayanan Listrik Nasional (Persero) - Unit Induk Pembangunan XIII</v>
      </c>
      <c r="D261" s="22">
        <v>223000000000004</v>
      </c>
      <c r="E261" s="4" t="str">
        <f>IF(EXACT($D261, ""), "", VLOOKUP($D261, 'REF - ContactNumberType'!$B$4:$C$10, 2, FALSE))</f>
        <v>Office Phone</v>
      </c>
      <c r="F261" s="26"/>
      <c r="G261" s="9"/>
      <c r="H261" s="9"/>
      <c r="J261" s="33">
        <f t="shared" si="7"/>
        <v>286000000000234</v>
      </c>
      <c r="K261" s="34" t="str">
        <f t="shared" si="8"/>
        <v/>
      </c>
    </row>
    <row r="262" spans="2:11" x14ac:dyDescent="0.2">
      <c r="B262" s="22">
        <v>124000000000046</v>
      </c>
      <c r="C262" s="4" t="str">
        <f>IF(EXACT($B262, ""), "", IF((($B262 - MOD($B262, 1000000000000))/1000000000000)=25, CONCATENATE("Person - ", VLOOKUP($B262, [1]DataLookUp!$B$4:$C$2000, 2, FALSE)), IF((($B262 - MOD($B262, 1000000000000))/1000000000000)=124, CONCATENATE("Institution - ", VLOOKUP($B262, '[2]DataLookUp - InstitutionBranch'!$B$4:$C$2000, 2, FALSE)), "")))</f>
        <v>Institution - PT. Pelayanan Listrik Nasional (Persero) - P2B Jawa Bali APB Jawa Tengah &amp; DIY</v>
      </c>
      <c r="D262" s="22">
        <v>223000000000004</v>
      </c>
      <c r="E262" s="4" t="str">
        <f>IF(EXACT($D262, ""), "", VLOOKUP($D262, 'REF - ContactNumberType'!$B$4:$C$10, 2, FALSE))</f>
        <v>Office Phone</v>
      </c>
      <c r="F262" s="26" t="s">
        <v>1711</v>
      </c>
      <c r="G262" s="9"/>
      <c r="H262" s="9"/>
      <c r="J262" s="33">
        <f t="shared" ref="J262:J325" si="9" xml:space="preserve"> J261 + IF(EXACT(K262, ""), 0, 1)</f>
        <v>286000000000235</v>
      </c>
      <c r="K262" s="34" t="str">
        <f t="shared" ref="K262:K325" si="10">IF(EXACT(F262, ""), "", CONCATENATE("PERFORM ""SchData-OLTP-Master"".""Func_TblContactNumber_SET""(varSystemLoginSession::bigint, null::bigint, null::varchar, null::timestamptz, null::timestamptz, null::varchar, varInstitutionBranchID::bigint, varBaseCurrencyID::bigint, ", IF(EXACT($D262, ""), "NULL", ""&amp;$D262&amp;""), "::bigint, ", IF(EXACT($F262, ""), "NULL", "'"&amp;$F262&amp;"'"), "::varchar, ", IF(EXACT($G262, ""), "NULL", "'"&amp;$G262&amp;"'"), "::varchar, ", IF(EXACT($H262, ""), "NULL", "'"&amp;$H262&amp;"'"), "::varchar, ", IF(EXACT($B262, ""), "NULL", "'"&amp;$B262&amp;"'"), "::bigint);"))</f>
        <v>PERFORM "SchData-OLTP-Master"."Func_TblContactNumber_SET"(varSystemLoginSession::bigint, null::bigint, null::varchar, null::timestamptz, null::timestamptz, null::varchar, varInstitutionBranchID::bigint, varBaseCurrencyID::bigint, 223000000000004::bigint, '+62 (021) 692-1209'::varchar, NULL::varchar, NULL::varchar, '124000000000046'::bigint);</v>
      </c>
    </row>
    <row r="263" spans="2:11" x14ac:dyDescent="0.2">
      <c r="B263" s="22">
        <v>124000000000046</v>
      </c>
      <c r="C263" s="4" t="str">
        <f>IF(EXACT($B263, ""), "", IF((($B263 - MOD($B263, 1000000000000))/1000000000000)=25, CONCATENATE("Person - ", VLOOKUP($B263, [1]DataLookUp!$B$4:$C$2000, 2, FALSE)), IF((($B263 - MOD($B263, 1000000000000))/1000000000000)=124, CONCATENATE("Institution - ", VLOOKUP($B263, '[2]DataLookUp - InstitutionBranch'!$B$4:$C$2000, 2, FALSE)), "")))</f>
        <v>Institution - PT. Pelayanan Listrik Nasional (Persero) - P2B Jawa Bali APB Jawa Tengah &amp; DIY</v>
      </c>
      <c r="D263" s="22">
        <v>223000000000005</v>
      </c>
      <c r="E263" s="4" t="str">
        <f>IF(EXACT($D263, ""), "", VLOOKUP($D263, 'REF - ContactNumberType'!$B$4:$C$10, 2, FALSE))</f>
        <v>Faximile</v>
      </c>
      <c r="F263" s="26" t="s">
        <v>1712</v>
      </c>
      <c r="G263" s="9"/>
      <c r="H263" s="9"/>
      <c r="J263" s="33">
        <f t="shared" si="9"/>
        <v>286000000000236</v>
      </c>
      <c r="K263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692-2402'::varchar, NULL::varchar, NULL::varchar, '124000000000046'::bigint);</v>
      </c>
    </row>
    <row r="264" spans="2:11" x14ac:dyDescent="0.2">
      <c r="B264" s="22">
        <v>124000000000047</v>
      </c>
      <c r="C264" s="4" t="str">
        <f>IF(EXACT($B264, ""), "", IF((($B264 - MOD($B264, 1000000000000))/1000000000000)=25, CONCATENATE("Person - ", VLOOKUP($B264, [1]DataLookUp!$B$4:$C$2000, 2, FALSE)), IF((($B264 - MOD($B264, 1000000000000))/1000000000000)=124, CONCATENATE("Institution - ", VLOOKUP($B264, '[2]DataLookUp - InstitutionBranch'!$B$4:$C$2000, 2, FALSE)), "")))</f>
        <v>Institution - PT. Pelayanan Listrik Nasional (Persero) - Unit Induk Pembangunan II</v>
      </c>
      <c r="D264" s="22">
        <v>223000000000004</v>
      </c>
      <c r="E264" s="4" t="str">
        <f>IF(EXACT($D264, ""), "", VLOOKUP($D264, 'REF - ContactNumberType'!$B$4:$C$10, 2, FALSE))</f>
        <v>Office Phone</v>
      </c>
      <c r="F264" s="26"/>
      <c r="G264" s="9"/>
      <c r="H264" s="9"/>
      <c r="J264" s="33">
        <f t="shared" si="9"/>
        <v>286000000000236</v>
      </c>
      <c r="K264" s="34" t="str">
        <f t="shared" si="10"/>
        <v/>
      </c>
    </row>
    <row r="265" spans="2:11" x14ac:dyDescent="0.2">
      <c r="B265" s="22">
        <v>124000000000048</v>
      </c>
      <c r="C265" s="4" t="str">
        <f>IF(EXACT($B265, ""), "", IF((($B265 - MOD($B265, 1000000000000))/1000000000000)=25, CONCATENATE("Person - ", VLOOKUP($B265, [1]DataLookUp!$B$4:$C$2000, 2, FALSE)), IF((($B265 - MOD($B265, 1000000000000))/1000000000000)=124, CONCATENATE("Institution - ", VLOOKUP($B265, '[2]DataLookUp - InstitutionBranch'!$B$4:$C$2000, 2, FALSE)), "")))</f>
        <v>Institution - PT. Pelayanan Listrik Nasional (Persero) - Unit Induk Pembangunan Interkoneksi Sumatera Jawa</v>
      </c>
      <c r="D265" s="22">
        <v>223000000000004</v>
      </c>
      <c r="E265" s="4" t="str">
        <f>IF(EXACT($D265, ""), "", VLOOKUP($D265, 'REF - ContactNumberType'!$B$4:$C$10, 2, FALSE))</f>
        <v>Office Phone</v>
      </c>
      <c r="F265" s="26" t="s">
        <v>1639</v>
      </c>
      <c r="G265" s="9"/>
      <c r="H265" s="9"/>
      <c r="J265" s="33">
        <f t="shared" si="9"/>
        <v>286000000000237</v>
      </c>
      <c r="K265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569-504-12'::varchar, NULL::varchar, NULL::varchar, '124000000000048'::bigint);</v>
      </c>
    </row>
    <row r="266" spans="2:11" x14ac:dyDescent="0.2">
      <c r="B266" s="22">
        <v>124000000000048</v>
      </c>
      <c r="C266" s="4" t="str">
        <f>IF(EXACT($B266, ""), "", IF((($B266 - MOD($B266, 1000000000000))/1000000000000)=25, CONCATENATE("Person - ", VLOOKUP($B266, [1]DataLookUp!$B$4:$C$2000, 2, FALSE)), IF((($B266 - MOD($B266, 1000000000000))/1000000000000)=124, CONCATENATE("Institution - ", VLOOKUP($B266, '[2]DataLookUp - InstitutionBranch'!$B$4:$C$2000, 2, FALSE)), "")))</f>
        <v>Institution - PT. Pelayanan Listrik Nasional (Persero) - Unit Induk Pembangunan Interkoneksi Sumatera Jawa</v>
      </c>
      <c r="D266" s="22">
        <v>223000000000005</v>
      </c>
      <c r="E266" s="4" t="str">
        <f>IF(EXACT($D266, ""), "", VLOOKUP($D266, 'REF - ContactNumberType'!$B$4:$C$10, 2, FALSE))</f>
        <v>Faximile</v>
      </c>
      <c r="F266" s="26" t="s">
        <v>1640</v>
      </c>
      <c r="G266" s="9"/>
      <c r="H266" s="9"/>
      <c r="J266" s="33">
        <f t="shared" si="9"/>
        <v>286000000000238</v>
      </c>
      <c r="K266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569-504-13'::varchar, NULL::varchar, NULL::varchar, '124000000000048'::bigint);</v>
      </c>
    </row>
    <row r="267" spans="2:11" x14ac:dyDescent="0.2">
      <c r="B267" s="22">
        <v>124000000000049</v>
      </c>
      <c r="C267" s="4" t="str">
        <f>IF(EXACT($B267, ""), "", IF((($B267 - MOD($B267, 1000000000000))/1000000000000)=25, CONCATENATE("Person - ", VLOOKUP($B267, [1]DataLookUp!$B$4:$C$2000, 2, FALSE)), IF((($B267 - MOD($B267, 1000000000000))/1000000000000)=124, CONCATENATE("Institution - ", VLOOKUP($B267, '[2]DataLookUp - InstitutionBranch'!$B$4:$C$2000, 2, FALSE)), "")))</f>
        <v>Institution - PT. Pelayanan Listrik Nasional (Persero) - Unit Induk Pembangunan X</v>
      </c>
      <c r="D267" s="22">
        <v>223000000000004</v>
      </c>
      <c r="E267" s="4" t="str">
        <f>IF(EXACT($D267, ""), "", VLOOKUP($D267, 'REF - ContactNumberType'!$B$4:$C$10, 2, FALSE))</f>
        <v>Office Phone</v>
      </c>
      <c r="F267" s="26"/>
      <c r="G267" s="9"/>
      <c r="H267" s="9"/>
      <c r="J267" s="33">
        <f t="shared" si="9"/>
        <v>286000000000238</v>
      </c>
      <c r="K267" s="34" t="str">
        <f t="shared" si="10"/>
        <v/>
      </c>
    </row>
    <row r="268" spans="2:11" x14ac:dyDescent="0.2">
      <c r="B268" s="22">
        <v>124000000000050</v>
      </c>
      <c r="C268" s="4" t="str">
        <f>IF(EXACT($B268, ""), "", IF((($B268 - MOD($B268, 1000000000000))/1000000000000)=25, CONCATENATE("Person - ", VLOOKUP($B268, [1]DataLookUp!$B$4:$C$2000, 2, FALSE)), IF((($B268 - MOD($B268, 1000000000000))/1000000000000)=124, CONCATENATE("Institution - ", VLOOKUP($B268, '[2]DataLookUp - InstitutionBranch'!$B$4:$C$2000, 2, FALSE)), "")))</f>
        <v xml:space="preserve">Institution - PT. Pelayanan Listrik Nasional (Persero) - Unit Induk Pembangunan JBT II </v>
      </c>
      <c r="D268" s="22">
        <v>223000000000004</v>
      </c>
      <c r="E268" s="4" t="str">
        <f>IF(EXACT($D268, ""), "", VLOOKUP($D268, 'REF - ContactNumberType'!$B$4:$C$10, 2, FALSE))</f>
        <v>Office Phone</v>
      </c>
      <c r="F268" s="26"/>
      <c r="G268" s="9"/>
      <c r="H268" s="9"/>
      <c r="J268" s="33">
        <f t="shared" si="9"/>
        <v>286000000000238</v>
      </c>
      <c r="K268" s="34" t="str">
        <f t="shared" si="10"/>
        <v/>
      </c>
    </row>
    <row r="269" spans="2:11" x14ac:dyDescent="0.2">
      <c r="B269" s="22">
        <v>124000000000051</v>
      </c>
      <c r="C269" s="4" t="str">
        <f>IF(EXACT($B269, ""), "", IF((($B269 - MOD($B269, 1000000000000))/1000000000000)=25, CONCATENATE("Person - ", VLOOKUP($B269, [1]DataLookUp!$B$4:$C$2000, 2, FALSE)), IF((($B269 - MOD($B269, 1000000000000))/1000000000000)=124, CONCATENATE("Institution - ", VLOOKUP($B269, '[2]DataLookUp - InstitutionBranch'!$B$4:$C$2000, 2, FALSE)), "")))</f>
        <v>Institution - PT. Protelindo [a.k.a : PLN]</v>
      </c>
      <c r="D269" s="22">
        <v>223000000000004</v>
      </c>
      <c r="E269" s="4" t="str">
        <f>IF(EXACT($D269, ""), "", VLOOKUP($D269, 'REF - ContactNumberType'!$B$4:$C$10, 2, FALSE))</f>
        <v>Office Phone</v>
      </c>
      <c r="F269" s="26" t="s">
        <v>1641</v>
      </c>
      <c r="G269" s="9"/>
      <c r="H269" s="9"/>
      <c r="J269" s="33">
        <f t="shared" si="9"/>
        <v>286000000000239</v>
      </c>
      <c r="K269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235-855-00'::varchar, NULL::varchar, NULL::varchar, '124000000000051'::bigint);</v>
      </c>
    </row>
    <row r="270" spans="2:11" x14ac:dyDescent="0.2">
      <c r="B270" s="22">
        <v>124000000000051</v>
      </c>
      <c r="C270" s="4" t="str">
        <f>IF(EXACT($B270, ""), "", IF((($B270 - MOD($B270, 1000000000000))/1000000000000)=25, CONCATENATE("Person - ", VLOOKUP($B270, [1]DataLookUp!$B$4:$C$2000, 2, FALSE)), IF((($B270 - MOD($B270, 1000000000000))/1000000000000)=124, CONCATENATE("Institution - ", VLOOKUP($B270, '[2]DataLookUp - InstitutionBranch'!$B$4:$C$2000, 2, FALSE)), "")))</f>
        <v>Institution - PT. Protelindo [a.k.a : PLN]</v>
      </c>
      <c r="D270" s="22">
        <v>223000000000005</v>
      </c>
      <c r="E270" s="4" t="str">
        <f>IF(EXACT($D270, ""), "", VLOOKUP($D270, 'REF - ContactNumberType'!$B$4:$C$10, 2, FALSE))</f>
        <v>Faximile</v>
      </c>
      <c r="F270" s="26" t="s">
        <v>1642</v>
      </c>
      <c r="G270" s="9"/>
      <c r="H270" s="9"/>
      <c r="J270" s="33">
        <f t="shared" si="9"/>
        <v>286000000000240</v>
      </c>
      <c r="K270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235-864-46'::varchar, NULL::varchar, NULL::varchar, '124000000000051'::bigint);</v>
      </c>
    </row>
    <row r="271" spans="2:11" x14ac:dyDescent="0.2">
      <c r="B271" s="22">
        <v>124000000000052</v>
      </c>
      <c r="C271" s="4" t="str">
        <f>IF(EXACT($B271, ""), "", IF((($B271 - MOD($B271, 1000000000000))/1000000000000)=25, CONCATENATE("Person - ", VLOOKUP($B271, [1]DataLookUp!$B$4:$C$2000, 2, FALSE)), IF((($B271 - MOD($B271, 1000000000000))/1000000000000)=124, CONCATENATE("Institution - ", VLOOKUP($B271, '[2]DataLookUp - InstitutionBranch'!$B$4:$C$2000, 2, FALSE)), "")))</f>
        <v>Institution - PT. Ramayana Lestari Sentosa, Tbk [a.k.a : Ramayana Departement Store]</v>
      </c>
      <c r="D271" s="22">
        <v>223000000000004</v>
      </c>
      <c r="E271" s="4" t="str">
        <f>IF(EXACT($D271, ""), "", VLOOKUP($D271, 'REF - ContactNumberType'!$B$4:$C$10, 2, FALSE))</f>
        <v>Office Phone</v>
      </c>
      <c r="F271" s="26"/>
      <c r="G271" s="9"/>
      <c r="H271" s="9"/>
      <c r="J271" s="33">
        <f t="shared" si="9"/>
        <v>286000000000240</v>
      </c>
      <c r="K271" s="34" t="str">
        <f t="shared" si="10"/>
        <v/>
      </c>
    </row>
    <row r="272" spans="2:11" x14ac:dyDescent="0.2">
      <c r="B272" s="22">
        <v>124000000000053</v>
      </c>
      <c r="C272" s="4" t="str">
        <f>IF(EXACT($B272, ""), "", IF((($B272 - MOD($B272, 1000000000000))/1000000000000)=25, CONCATENATE("Person - ", VLOOKUP($B272, [1]DataLookUp!$B$4:$C$2000, 2, FALSE)), IF((($B272 - MOD($B272, 1000000000000))/1000000000000)=124, CONCATENATE("Institution - ", VLOOKUP($B272, '[2]DataLookUp - InstitutionBranch'!$B$4:$C$2000, 2, FALSE)), "")))</f>
        <v>Institution - PT. Rekadaya Elektrika</v>
      </c>
      <c r="D272" s="22">
        <v>223000000000004</v>
      </c>
      <c r="E272" s="4" t="str">
        <f>IF(EXACT($D272, ""), "", VLOOKUP($D272, 'REF - ContactNumberType'!$B$4:$C$10, 2, FALSE))</f>
        <v>Office Phone</v>
      </c>
      <c r="F272" s="26" t="s">
        <v>1643</v>
      </c>
      <c r="G272" s="9"/>
      <c r="H272" s="9"/>
      <c r="J272" s="33">
        <f t="shared" si="9"/>
        <v>286000000000241</v>
      </c>
      <c r="K272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398-389-29'::varchar, NULL::varchar, NULL::varchar, '124000000000053'::bigint);</v>
      </c>
    </row>
    <row r="273" spans="2:11" x14ac:dyDescent="0.2">
      <c r="B273" s="22">
        <v>124000000000053</v>
      </c>
      <c r="C273" s="4" t="str">
        <f>IF(EXACT($B273, ""), "", IF((($B273 - MOD($B273, 1000000000000))/1000000000000)=25, CONCATENATE("Person - ", VLOOKUP($B273, [1]DataLookUp!$B$4:$C$2000, 2, FALSE)), IF((($B273 - MOD($B273, 1000000000000))/1000000000000)=124, CONCATENATE("Institution - ", VLOOKUP($B273, '[2]DataLookUp - InstitutionBranch'!$B$4:$C$2000, 2, FALSE)), "")))</f>
        <v>Institution - PT. Rekadaya Elektrika</v>
      </c>
      <c r="D273" s="22">
        <v>223000000000005</v>
      </c>
      <c r="E273" s="4" t="str">
        <f>IF(EXACT($D273, ""), "", VLOOKUP($D273, 'REF - ContactNumberType'!$B$4:$C$10, 2, FALSE))</f>
        <v>Faximile</v>
      </c>
      <c r="F273" s="26" t="s">
        <v>1644</v>
      </c>
      <c r="G273" s="9"/>
      <c r="H273" s="9"/>
      <c r="J273" s="33">
        <f t="shared" si="9"/>
        <v>286000000000242</v>
      </c>
      <c r="K273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398-389-30'::varchar, NULL::varchar, NULL::varchar, '124000000000053'::bigint);</v>
      </c>
    </row>
    <row r="274" spans="2:11" x14ac:dyDescent="0.2">
      <c r="B274" s="22">
        <v>124000000000054</v>
      </c>
      <c r="C274" s="4" t="str">
        <f>IF(EXACT($B274, ""), "", IF((($B274 - MOD($B274, 1000000000000))/1000000000000)=25, CONCATENATE("Person - ", VLOOKUP($B274, [1]DataLookUp!$B$4:$C$2000, 2, FALSE)), IF((($B274 - MOD($B274, 1000000000000))/1000000000000)=124, CONCATENATE("Institution - ", VLOOKUP($B274, '[2]DataLookUp - InstitutionBranch'!$B$4:$C$2000, 2, FALSE)), "")))</f>
        <v>Institution - CV. Sejahtera Mandiri</v>
      </c>
      <c r="D274" s="22">
        <v>223000000000004</v>
      </c>
      <c r="E274" s="4" t="str">
        <f>IF(EXACT($D274, ""), "", VLOOKUP($D274, 'REF - ContactNumberType'!$B$4:$C$10, 2, FALSE))</f>
        <v>Office Phone</v>
      </c>
      <c r="F274" s="26" t="s">
        <v>1684</v>
      </c>
      <c r="G274" s="9"/>
      <c r="H274" s="9"/>
      <c r="J274" s="33">
        <f t="shared" si="9"/>
        <v>286000000000243</v>
      </c>
      <c r="K274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223000000000004::bigint, '+62 (029) 547-900-02'::varchar, NULL::varchar, NULL::varchar, '124000000000054'::bigint);</v>
      </c>
    </row>
    <row r="275" spans="2:11" x14ac:dyDescent="0.2">
      <c r="B275" s="22">
        <v>124000000000054</v>
      </c>
      <c r="C275" s="4" t="str">
        <f>IF(EXACT($B275, ""), "", IF((($B275 - MOD($B275, 1000000000000))/1000000000000)=25, CONCATENATE("Person - ", VLOOKUP($B275, [1]DataLookUp!$B$4:$C$2000, 2, FALSE)), IF((($B275 - MOD($B275, 1000000000000))/1000000000000)=124, CONCATENATE("Institution - ", VLOOKUP($B275, '[2]DataLookUp - InstitutionBranch'!$B$4:$C$2000, 2, FALSE)), "")))</f>
        <v>Institution - CV. Sejahtera Mandiri</v>
      </c>
      <c r="D275" s="22">
        <v>223000000000005</v>
      </c>
      <c r="E275" s="4" t="str">
        <f>IF(EXACT($D275, ""), "", VLOOKUP($D275, 'REF - ContactNumberType'!$B$4:$C$10, 2, FALSE))</f>
        <v>Faximile</v>
      </c>
      <c r="F275" s="26" t="s">
        <v>1685</v>
      </c>
      <c r="G275" s="9"/>
      <c r="H275" s="9"/>
      <c r="J275" s="33">
        <f t="shared" si="9"/>
        <v>286000000000244</v>
      </c>
      <c r="K275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223000000000005::bigint, '+62 (029) 555-167-67'::varchar, NULL::varchar, NULL::varchar, '124000000000054'::bigint);</v>
      </c>
    </row>
    <row r="276" spans="2:11" x14ac:dyDescent="0.2">
      <c r="B276" s="22">
        <v>124000000000055</v>
      </c>
      <c r="C276" s="4" t="str">
        <f>IF(EXACT($B276, ""), "", IF((($B276 - MOD($B276, 1000000000000))/1000000000000)=25, CONCATENATE("Person - ", VLOOKUP($B276, [1]DataLookUp!$B$4:$C$2000, 2, FALSE)), IF((($B276 - MOD($B276, 1000000000000))/1000000000000)=124, CONCATENATE("Institution - ", VLOOKUP($B276, '[2]DataLookUp - InstitutionBranch'!$B$4:$C$2000, 2, FALSE)), "")))</f>
        <v>Institution - PT. Sigindo Kemas</v>
      </c>
      <c r="D276" s="22">
        <v>223000000000004</v>
      </c>
      <c r="E276" s="4" t="str">
        <f>IF(EXACT($D276, ""), "", VLOOKUP($D276, 'REF - ContactNumberType'!$B$4:$C$10, 2, FALSE))</f>
        <v>Office Phone</v>
      </c>
      <c r="F276" s="26"/>
      <c r="G276" s="9"/>
      <c r="H276" s="9"/>
      <c r="J276" s="33">
        <f t="shared" si="9"/>
        <v>286000000000244</v>
      </c>
      <c r="K276" s="34" t="str">
        <f t="shared" si="10"/>
        <v/>
      </c>
    </row>
    <row r="277" spans="2:11" x14ac:dyDescent="0.2">
      <c r="B277" s="22">
        <v>124000000000056</v>
      </c>
      <c r="C277" s="4" t="str">
        <f>IF(EXACT($B277, ""), "", IF((($B277 - MOD($B277, 1000000000000))/1000000000000)=25, CONCATENATE("Person - ", VLOOKUP($B277, [1]DataLookUp!$B$4:$C$2000, 2, FALSE)), IF((($B277 - MOD($B277, 1000000000000))/1000000000000)=124, CONCATENATE("Institution - ", VLOOKUP($B277, '[2]DataLookUp - InstitutionBranch'!$B$4:$C$2000, 2, FALSE)), "")))</f>
        <v>Institution - PT. Smart Telecom</v>
      </c>
      <c r="D277" s="22">
        <v>223000000000004</v>
      </c>
      <c r="E277" s="4" t="str">
        <f>IF(EXACT($D277, ""), "", VLOOKUP($D277, 'REF - ContactNumberType'!$B$4:$C$10, 2, FALSE))</f>
        <v>Office Phone</v>
      </c>
      <c r="F277" s="26"/>
      <c r="G277" s="9"/>
      <c r="H277" s="9"/>
      <c r="J277" s="33">
        <f t="shared" si="9"/>
        <v>286000000000244</v>
      </c>
      <c r="K277" s="34" t="str">
        <f t="shared" si="10"/>
        <v/>
      </c>
    </row>
    <row r="278" spans="2:11" x14ac:dyDescent="0.2">
      <c r="B278" s="22">
        <v>124000000000057</v>
      </c>
      <c r="C278" s="4" t="str">
        <f>IF(EXACT($B278, ""), "", IF((($B278 - MOD($B278, 1000000000000))/1000000000000)=25, CONCATENATE("Person - ", VLOOKUP($B278, [1]DataLookUp!$B$4:$C$2000, 2, FALSE)), IF((($B278 - MOD($B278, 1000000000000))/1000000000000)=124, CONCATENATE("Institution - ", VLOOKUP($B278, '[2]DataLookUp - InstitutionBranch'!$B$4:$C$2000, 2, FALSE)), "")))</f>
        <v>Institution - PT. Telekomunikasi Indonesia (Persero), Tbk [a.k.a : Telkom] - Bandung</v>
      </c>
      <c r="D278" s="22">
        <v>223000000000004</v>
      </c>
      <c r="E278" s="4" t="str">
        <f>IF(EXACT($D278, ""), "", VLOOKUP($D278, 'REF - ContactNumberType'!$B$4:$C$10, 2, FALSE))</f>
        <v>Office Phone</v>
      </c>
      <c r="F278" s="26"/>
      <c r="G278" s="9"/>
      <c r="H278" s="9"/>
      <c r="J278" s="33">
        <f t="shared" si="9"/>
        <v>286000000000244</v>
      </c>
      <c r="K278" s="34" t="str">
        <f t="shared" si="10"/>
        <v/>
      </c>
    </row>
    <row r="279" spans="2:11" x14ac:dyDescent="0.2">
      <c r="B279" s="22">
        <v>124000000000058</v>
      </c>
      <c r="C279" s="4" t="str">
        <f>IF(EXACT($B279, ""), "", IF((($B279 - MOD($B279, 1000000000000))/1000000000000)=25, CONCATENATE("Person - ", VLOOKUP($B279, [1]DataLookUp!$B$4:$C$2000, 2, FALSE)), IF((($B279 - MOD($B279, 1000000000000))/1000000000000)=124, CONCATENATE("Institution - ", VLOOKUP($B279, '[2]DataLookUp - InstitutionBranch'!$B$4:$C$2000, 2, FALSE)), "")))</f>
        <v>Institution - PT. Telekomunikasi Selular, Tbk [a.k.a : Telkomsel] - Jakarta</v>
      </c>
      <c r="D279" s="22">
        <v>223000000000004</v>
      </c>
      <c r="E279" s="4" t="str">
        <f>IF(EXACT($D279, ""), "", VLOOKUP($D279, 'REF - ContactNumberType'!$B$4:$C$10, 2, FALSE))</f>
        <v>Office Phone</v>
      </c>
      <c r="F279" s="26"/>
      <c r="G279" s="9"/>
      <c r="H279" s="9"/>
      <c r="J279" s="33">
        <f t="shared" si="9"/>
        <v>286000000000244</v>
      </c>
      <c r="K279" s="34" t="str">
        <f t="shared" si="10"/>
        <v/>
      </c>
    </row>
    <row r="280" spans="2:11" x14ac:dyDescent="0.2">
      <c r="B280" s="22">
        <v>124000000000059</v>
      </c>
      <c r="C280" s="4" t="str">
        <f>IF(EXACT($B280, ""), "", IF((($B280 - MOD($B280, 1000000000000))/1000000000000)=25, CONCATENATE("Person - ", VLOOKUP($B280, [1]DataLookUp!$B$4:$C$2000, 2, FALSE)), IF((($B280 - MOD($B280, 1000000000000))/1000000000000)=124, CONCATENATE("Institution - ", VLOOKUP($B280, '[2]DataLookUp - InstitutionBranch'!$B$4:$C$2000, 2, FALSE)), "")))</f>
        <v>Institution - PT. Telkom Akses</v>
      </c>
      <c r="D280" s="22">
        <v>223000000000004</v>
      </c>
      <c r="E280" s="4" t="str">
        <f>IF(EXACT($D280, ""), "", VLOOKUP($D280, 'REF - ContactNumberType'!$B$4:$C$10, 2, FALSE))</f>
        <v>Office Phone</v>
      </c>
      <c r="F280" s="26" t="s">
        <v>1645</v>
      </c>
      <c r="G280" s="9"/>
      <c r="H280" s="9"/>
      <c r="J280" s="33">
        <f t="shared" si="9"/>
        <v>286000000000245</v>
      </c>
      <c r="K280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293-370-00'::varchar, NULL::varchar, NULL::varchar, '124000000000059'::bigint);</v>
      </c>
    </row>
    <row r="281" spans="2:11" x14ac:dyDescent="0.2">
      <c r="B281" s="22">
        <v>124000000000059</v>
      </c>
      <c r="C281" s="4" t="str">
        <f>IF(EXACT($B281, ""), "", IF((($B281 - MOD($B281, 1000000000000))/1000000000000)=25, CONCATENATE("Person - ", VLOOKUP($B281, [1]DataLookUp!$B$4:$C$2000, 2, FALSE)), IF((($B281 - MOD($B281, 1000000000000))/1000000000000)=124, CONCATENATE("Institution - ", VLOOKUP($B281, '[2]DataLookUp - InstitutionBranch'!$B$4:$C$2000, 2, FALSE)), "")))</f>
        <v>Institution - PT. Telkom Akses</v>
      </c>
      <c r="D281" s="22">
        <v>223000000000005</v>
      </c>
      <c r="E281" s="4" t="str">
        <f>IF(EXACT($D281, ""), "", VLOOKUP($D281, 'REF - ContactNumberType'!$B$4:$C$10, 2, FALSE))</f>
        <v>Faximile</v>
      </c>
      <c r="F281" s="26" t="s">
        <v>1646</v>
      </c>
      <c r="G281" s="9"/>
      <c r="H281" s="9"/>
      <c r="J281" s="33">
        <f t="shared" si="9"/>
        <v>286000000000246</v>
      </c>
      <c r="K281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293-360-00'::varchar, NULL::varchar, NULL::varchar, '124000000000059'::bigint);</v>
      </c>
    </row>
    <row r="282" spans="2:11" x14ac:dyDescent="0.2">
      <c r="B282" s="22">
        <v>124000000000060</v>
      </c>
      <c r="C282" s="4" t="str">
        <f>IF(EXACT($B282, ""), "", IF((($B282 - MOD($B282, 1000000000000))/1000000000000)=25, CONCATENATE("Person - ", VLOOKUP($B282, [1]DataLookUp!$B$4:$C$2000, 2, FALSE)), IF((($B282 - MOD($B282, 1000000000000))/1000000000000)=124, CONCATENATE("Institution - ", VLOOKUP($B282, '[2]DataLookUp - InstitutionBranch'!$B$4:$C$2000, 2, FALSE)), "")))</f>
        <v>Institution - PT. Tosan Permai Lestari</v>
      </c>
      <c r="D282" s="22">
        <v>223000000000004</v>
      </c>
      <c r="E282" s="4" t="str">
        <f>IF(EXACT($D282, ""), "", VLOOKUP($D282, 'REF - ContactNumberType'!$B$4:$C$10, 2, FALSE))</f>
        <v>Office Phone</v>
      </c>
      <c r="F282" s="26"/>
      <c r="G282" s="9"/>
      <c r="H282" s="9"/>
      <c r="J282" s="33">
        <f t="shared" si="9"/>
        <v>286000000000246</v>
      </c>
      <c r="K282" s="34" t="str">
        <f t="shared" si="10"/>
        <v/>
      </c>
    </row>
    <row r="283" spans="2:11" x14ac:dyDescent="0.2">
      <c r="B283" s="22">
        <v>124000000000061</v>
      </c>
      <c r="C283" s="4" t="str">
        <f>IF(EXACT($B283, ""), "", IF((($B283 - MOD($B283, 1000000000000))/1000000000000)=25, CONCATENATE("Person - ", VLOOKUP($B283, [1]DataLookUp!$B$4:$C$2000, 2, FALSE)), IF((($B283 - MOD($B283, 1000000000000))/1000000000000)=124, CONCATENATE("Institution - ", VLOOKUP($B283, '[2]DataLookUp - InstitutionBranch'!$B$4:$C$2000, 2, FALSE)), "")))</f>
        <v>Institution - PT. Tower Capital Indonesia</v>
      </c>
      <c r="D283" s="22">
        <v>223000000000004</v>
      </c>
      <c r="E283" s="4" t="str">
        <f>IF(EXACT($D283, ""), "", VLOOKUP($D283, 'REF - ContactNumberType'!$B$4:$C$10, 2, FALSE))</f>
        <v>Office Phone</v>
      </c>
      <c r="F283" s="26"/>
      <c r="G283" s="9"/>
      <c r="H283" s="9"/>
      <c r="J283" s="33">
        <f t="shared" si="9"/>
        <v>286000000000246</v>
      </c>
      <c r="K283" s="34" t="str">
        <f t="shared" si="10"/>
        <v/>
      </c>
    </row>
    <row r="284" spans="2:11" x14ac:dyDescent="0.2">
      <c r="B284" s="22">
        <v>124000000000062</v>
      </c>
      <c r="C284" s="4" t="str">
        <f>IF(EXACT($B284, ""), "", IF((($B284 - MOD($B284, 1000000000000))/1000000000000)=25, CONCATENATE("Person - ", VLOOKUP($B284, [1]DataLookUp!$B$4:$C$2000, 2, FALSE)), IF((($B284 - MOD($B284, 1000000000000))/1000000000000)=124, CONCATENATE("Institution - ", VLOOKUP($B284, '[2]DataLookUp - InstitutionBranch'!$B$4:$C$2000, 2, FALSE)), "")))</f>
        <v>Institution - PT. Waskita Karya (Persero), Tbk</v>
      </c>
      <c r="D284" s="22">
        <v>223000000000004</v>
      </c>
      <c r="E284" s="4" t="str">
        <f>IF(EXACT($D284, ""), "", VLOOKUP($D284, 'REF - ContactNumberType'!$B$4:$C$10, 2, FALSE))</f>
        <v>Office Phone</v>
      </c>
      <c r="F284" s="26" t="s">
        <v>1713</v>
      </c>
      <c r="G284" s="9"/>
      <c r="H284" s="9"/>
      <c r="J284" s="33">
        <f t="shared" si="9"/>
        <v>286000000000247</v>
      </c>
      <c r="K284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851-5550'::varchar, NULL::varchar, NULL::varchar, '124000000000062'::bigint);</v>
      </c>
    </row>
    <row r="285" spans="2:11" x14ac:dyDescent="0.2">
      <c r="B285" s="22">
        <v>124000000000062</v>
      </c>
      <c r="C285" s="4" t="str">
        <f>IF(EXACT($B285, ""), "", IF((($B285 - MOD($B285, 1000000000000))/1000000000000)=25, CONCATENATE("Person - ", VLOOKUP($B285, [1]DataLookUp!$B$4:$C$2000, 2, FALSE)), IF((($B285 - MOD($B285, 1000000000000))/1000000000000)=124, CONCATENATE("Institution - ", VLOOKUP($B285, '[2]DataLookUp - InstitutionBranch'!$B$4:$C$2000, 2, FALSE)), "")))</f>
        <v>Institution - PT. Waskita Karya (Persero), Tbk</v>
      </c>
      <c r="D285" s="22">
        <v>223000000000005</v>
      </c>
      <c r="E285" s="4" t="str">
        <f>IF(EXACT($D285, ""), "", VLOOKUP($D285, 'REF - ContactNumberType'!$B$4:$C$10, 2, FALSE))</f>
        <v>Faximile</v>
      </c>
      <c r="F285" s="26" t="s">
        <v>1714</v>
      </c>
      <c r="G285" s="9"/>
      <c r="H285" s="9"/>
      <c r="J285" s="33">
        <f t="shared" si="9"/>
        <v>286000000000248</v>
      </c>
      <c r="K285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851-5510'::varchar, NULL::varchar, NULL::varchar, '124000000000062'::bigint);</v>
      </c>
    </row>
    <row r="286" spans="2:11" x14ac:dyDescent="0.2">
      <c r="B286" s="22">
        <v>124000000000063</v>
      </c>
      <c r="C286" s="4" t="str">
        <f>IF(EXACT($B286, ""), "", IF((($B286 - MOD($B286, 1000000000000))/1000000000000)=25, CONCATENATE("Person - ", VLOOKUP($B286, [1]DataLookUp!$B$4:$C$2000, 2, FALSE)), IF((($B286 - MOD($B286, 1000000000000))/1000000000000)=124, CONCATENATE("Institution - ", VLOOKUP($B286, '[2]DataLookUp - InstitutionBranch'!$B$4:$C$2000, 2, FALSE)), "")))</f>
        <v>Institution - PT. Widodo Karya Sejahtera</v>
      </c>
      <c r="D286" s="22">
        <v>223000000000004</v>
      </c>
      <c r="E286" s="4" t="str">
        <f>IF(EXACT($D286, ""), "", VLOOKUP($D286, 'REF - ContactNumberType'!$B$4:$C$10, 2, FALSE))</f>
        <v>Office Phone</v>
      </c>
      <c r="F286" s="26" t="s">
        <v>1694</v>
      </c>
      <c r="G286" s="9"/>
      <c r="H286" s="9"/>
      <c r="J286" s="33">
        <f t="shared" si="9"/>
        <v>286000000000249</v>
      </c>
      <c r="K286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223000000000004::bigint, '+62 (0295) 479-0002 '::varchar, NULL::varchar, NULL::varchar, '124000000000063'::bigint);</v>
      </c>
    </row>
    <row r="287" spans="2:11" x14ac:dyDescent="0.2">
      <c r="B287" s="22">
        <v>124000000000063</v>
      </c>
      <c r="C287" s="4" t="str">
        <f>IF(EXACT($B287, ""), "", IF((($B287 - MOD($B287, 1000000000000))/1000000000000)=25, CONCATENATE("Person - ", VLOOKUP($B287, [1]DataLookUp!$B$4:$C$2000, 2, FALSE)), IF((($B287 - MOD($B287, 1000000000000))/1000000000000)=124, CONCATENATE("Institution - ", VLOOKUP($B287, '[2]DataLookUp - InstitutionBranch'!$B$4:$C$2000, 2, FALSE)), "")))</f>
        <v>Institution - PT. Widodo Karya Sejahtera</v>
      </c>
      <c r="D287" s="22">
        <v>223000000000005</v>
      </c>
      <c r="E287" s="4" t="str">
        <f>IF(EXACT($D287, ""), "", VLOOKUP($D287, 'REF - ContactNumberType'!$B$4:$C$10, 2, FALSE))</f>
        <v>Faximile</v>
      </c>
      <c r="F287" s="26" t="s">
        <v>1693</v>
      </c>
      <c r="G287" s="9"/>
      <c r="H287" s="9"/>
      <c r="J287" s="33">
        <f t="shared" si="9"/>
        <v>286000000000250</v>
      </c>
      <c r="K287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223000000000005::bigint, '+62 (0295) 479-0011'::varchar, NULL::varchar, NULL::varchar, '124000000000063'::bigint);</v>
      </c>
    </row>
    <row r="288" spans="2:11" x14ac:dyDescent="0.2">
      <c r="B288" s="22">
        <v>124000000000064</v>
      </c>
      <c r="C288" s="4" t="str">
        <f>IF(EXACT($B288, ""), "", IF((($B288 - MOD($B288, 1000000000000))/1000000000000)=25, CONCATENATE("Person - ", VLOOKUP($B288, [1]DataLookUp!$B$4:$C$2000, 2, FALSE)), IF((($B288 - MOD($B288, 1000000000000))/1000000000000)=124, CONCATENATE("Institution - ", VLOOKUP($B288, '[2]DataLookUp - InstitutionBranch'!$B$4:$C$2000, 2, FALSE)), "")))</f>
        <v>Institution - PT. XL Axiata, Tbk [a.k.a : XL]</v>
      </c>
      <c r="D288" s="22">
        <v>223000000000004</v>
      </c>
      <c r="E288" s="4" t="str">
        <f>IF(EXACT($D288, ""), "", VLOOKUP($D288, 'REF - ContactNumberType'!$B$4:$C$10, 2, FALSE))</f>
        <v>Office Phone</v>
      </c>
      <c r="F288" s="26"/>
      <c r="G288" s="9"/>
      <c r="H288" s="9"/>
      <c r="J288" s="33">
        <f t="shared" si="9"/>
        <v>286000000000250</v>
      </c>
      <c r="K288" s="34" t="str">
        <f t="shared" si="10"/>
        <v/>
      </c>
    </row>
    <row r="289" spans="2:11" x14ac:dyDescent="0.2">
      <c r="B289" s="22">
        <v>124000000000065</v>
      </c>
      <c r="C289" s="4" t="str">
        <f>IF(EXACT($B289, ""), "", IF((($B289 - MOD($B289, 1000000000000))/1000000000000)=25, CONCATENATE("Person - ", VLOOKUP($B289, [1]DataLookUp!$B$4:$C$2000, 2, FALSE)), IF((($B289 - MOD($B289, 1000000000000))/1000000000000)=124, CONCATENATE("Institution - ", VLOOKUP($B289, '[2]DataLookUp - InstitutionBranch'!$B$4:$C$2000, 2, FALSE)), "")))</f>
        <v>Institution - PT. XL Mitrayasa</v>
      </c>
      <c r="D289" s="22">
        <v>223000000000004</v>
      </c>
      <c r="E289" s="4" t="str">
        <f>IF(EXACT($D289, ""), "", VLOOKUP($D289, 'REF - ContactNumberType'!$B$4:$C$10, 2, FALSE))</f>
        <v>Office Phone</v>
      </c>
      <c r="F289" s="26"/>
      <c r="G289" s="9"/>
      <c r="H289" s="9"/>
      <c r="J289" s="33">
        <f t="shared" si="9"/>
        <v>286000000000250</v>
      </c>
      <c r="K289" s="34" t="str">
        <f t="shared" si="10"/>
        <v/>
      </c>
    </row>
    <row r="290" spans="2:11" x14ac:dyDescent="0.2">
      <c r="B290" s="22">
        <v>124000000000066</v>
      </c>
      <c r="C290" s="4" t="str">
        <f>IF(EXACT($B290, ""), "", IF((($B290 - MOD($B290, 1000000000000))/1000000000000)=25, CONCATENATE("Person - ", VLOOKUP($B290, [1]DataLookUp!$B$4:$C$2000, 2, FALSE)), IF((($B290 - MOD($B290, 1000000000000))/1000000000000)=124, CONCATENATE("Institution - ", VLOOKUP($B290, '[2]DataLookUp - InstitutionBranch'!$B$4:$C$2000, 2, FALSE)), "")))</f>
        <v>Institution - PT. ZTE Indonesia</v>
      </c>
      <c r="D290" s="22">
        <v>223000000000004</v>
      </c>
      <c r="E290" s="4" t="str">
        <f>IF(EXACT($D290, ""), "", VLOOKUP($D290, 'REF - ContactNumberType'!$B$4:$C$10, 2, FALSE))</f>
        <v>Office Phone</v>
      </c>
      <c r="F290" s="26" t="s">
        <v>1715</v>
      </c>
      <c r="G290" s="9"/>
      <c r="H290" s="9"/>
      <c r="J290" s="33">
        <f t="shared" si="9"/>
        <v>286000000000251</v>
      </c>
      <c r="K290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529-2248'::varchar, NULL::varchar, NULL::varchar, '124000000000066'::bigint);</v>
      </c>
    </row>
    <row r="291" spans="2:11" x14ac:dyDescent="0.2">
      <c r="B291" s="22">
        <v>124000000000067</v>
      </c>
      <c r="C291" s="4" t="str">
        <f>IF(EXACT($B291, ""), "", IF((($B291 - MOD($B291, 1000000000000))/1000000000000)=25, CONCATENATE("Person - ", VLOOKUP($B291, [1]DataLookUp!$B$4:$C$2000, 2, FALSE)), IF((($B291 - MOD($B291, 1000000000000))/1000000000000)=124, CONCATENATE("Institution - ", VLOOKUP($B291, '[2]DataLookUp - InstitutionBranch'!$B$4:$C$2000, 2, FALSE)), "")))</f>
        <v>Institution - PT. Sansaine Exindo</v>
      </c>
      <c r="D291" s="22">
        <v>223000000000004</v>
      </c>
      <c r="E291" s="4" t="str">
        <f>IF(EXACT($D291, ""), "", VLOOKUP($D291, 'REF - ContactNumberType'!$B$4:$C$10, 2, FALSE))</f>
        <v>Office Phone</v>
      </c>
      <c r="F291" s="26" t="s">
        <v>1647</v>
      </c>
      <c r="G291" s="9"/>
      <c r="H291" s="9"/>
      <c r="J291" s="33">
        <f t="shared" si="9"/>
        <v>286000000000252</v>
      </c>
      <c r="K291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837-088-77'::varchar, NULL::varchar, NULL::varchar, '124000000000067'::bigint);</v>
      </c>
    </row>
    <row r="292" spans="2:11" x14ac:dyDescent="0.2">
      <c r="B292" s="22">
        <v>124000000000067</v>
      </c>
      <c r="C292" s="4" t="str">
        <f>IF(EXACT($B292, ""), "", IF((($B292 - MOD($B292, 1000000000000))/1000000000000)=25, CONCATENATE("Person - ", VLOOKUP($B292, [1]DataLookUp!$B$4:$C$2000, 2, FALSE)), IF((($B292 - MOD($B292, 1000000000000))/1000000000000)=124, CONCATENATE("Institution - ", VLOOKUP($B292, '[2]DataLookUp - InstitutionBranch'!$B$4:$C$2000, 2, FALSE)), "")))</f>
        <v>Institution - PT. Sansaine Exindo</v>
      </c>
      <c r="D292" s="22">
        <v>223000000000005</v>
      </c>
      <c r="E292" s="4" t="str">
        <f>IF(EXACT($D292, ""), "", VLOOKUP($D292, 'REF - ContactNumberType'!$B$4:$C$10, 2, FALSE))</f>
        <v>Faximile</v>
      </c>
      <c r="F292" s="26" t="s">
        <v>1648</v>
      </c>
      <c r="G292" s="9"/>
      <c r="H292" s="9"/>
      <c r="J292" s="33">
        <f t="shared" si="9"/>
        <v>286000000000253</v>
      </c>
      <c r="K292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837-804-87'::varchar, NULL::varchar, NULL::varchar, '124000000000067'::bigint);</v>
      </c>
    </row>
    <row r="293" spans="2:11" x14ac:dyDescent="0.2">
      <c r="B293" s="22">
        <v>124000000000068</v>
      </c>
      <c r="C293" s="4" t="str">
        <f>IF(EXACT($B293, ""), "", IF((($B293 - MOD($B293, 1000000000000))/1000000000000)=25, CONCATENATE("Person - ", VLOOKUP($B293, [1]DataLookUp!$B$4:$C$2000, 2, FALSE)), IF((($B293 - MOD($B293, 1000000000000))/1000000000000)=124, CONCATENATE("Institution - ", VLOOKUP($B293, '[2]DataLookUp - InstitutionBranch'!$B$4:$C$2000, 2, FALSE)), "")))</f>
        <v>Institution - Indo Jaya Scaffolding</v>
      </c>
      <c r="D293" s="22">
        <v>223000000000002</v>
      </c>
      <c r="E293" s="4" t="str">
        <f>IF(EXACT($D293, ""), "", VLOOKUP($D293, 'REF - ContactNumberType'!$B$4:$C$10, 2, FALSE))</f>
        <v>Mobile Phone</v>
      </c>
      <c r="F293" s="26" t="s">
        <v>1206</v>
      </c>
      <c r="G293" s="9"/>
      <c r="H293" s="9"/>
      <c r="J293" s="33">
        <f t="shared" si="9"/>
        <v>286000000000254</v>
      </c>
      <c r="K293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223000000000002::bigint, '+62 821-3799-9898'::varchar, NULL::varchar, NULL::varchar, '124000000000068'::bigint);</v>
      </c>
    </row>
    <row r="294" spans="2:11" x14ac:dyDescent="0.2">
      <c r="B294" s="22">
        <v>124000000000069</v>
      </c>
      <c r="C294" s="4" t="str">
        <f>IF(EXACT($B294, ""), "", IF((($B294 - MOD($B294, 1000000000000))/1000000000000)=25, CONCATENATE("Person - ", VLOOKUP($B294, [1]DataLookUp!$B$4:$C$2000, 2, FALSE)), IF((($B294 - MOD($B294, 1000000000000))/1000000000000)=124, CONCATENATE("Institution - ", VLOOKUP($B294, '[2]DataLookUp - InstitutionBranch'!$B$4:$C$2000, 2, FALSE)), "")))</f>
        <v>Institution - PT. Pembangunan Perumahan (Persero), Tbk [a.k.a : PP]</v>
      </c>
      <c r="D294" s="22">
        <v>223000000000004</v>
      </c>
      <c r="E294" s="4" t="str">
        <f>IF(EXACT($D294, ""), "", VLOOKUP($D294, 'REF - ContactNumberType'!$B$4:$C$10, 2, FALSE))</f>
        <v>Office Phone</v>
      </c>
      <c r="F294" s="26" t="s">
        <v>1691</v>
      </c>
      <c r="G294" s="9"/>
      <c r="H294" s="9"/>
      <c r="J294" s="33">
        <f t="shared" si="9"/>
        <v>286000000000255</v>
      </c>
      <c r="K294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840-3883'::varchar, NULL::varchar, NULL::varchar, '124000000000069'::bigint);</v>
      </c>
    </row>
    <row r="295" spans="2:11" x14ac:dyDescent="0.2">
      <c r="B295" s="22">
        <v>124000000000069</v>
      </c>
      <c r="C295" s="4" t="str">
        <f>IF(EXACT($B295, ""), "", IF((($B295 - MOD($B295, 1000000000000))/1000000000000)=25, CONCATENATE("Person - ", VLOOKUP($B295, [1]DataLookUp!$B$4:$C$2000, 2, FALSE)), IF((($B295 - MOD($B295, 1000000000000))/1000000000000)=124, CONCATENATE("Institution - ", VLOOKUP($B295, '[2]DataLookUp - InstitutionBranch'!$B$4:$C$2000, 2, FALSE)), "")))</f>
        <v>Institution - PT. Pembangunan Perumahan (Persero), Tbk [a.k.a : PP]</v>
      </c>
      <c r="D295" s="22">
        <v>223000000000005</v>
      </c>
      <c r="E295" s="4" t="str">
        <f>IF(EXACT($D295, ""), "", VLOOKUP($D295, 'REF - ContactNumberType'!$B$4:$C$10, 2, FALSE))</f>
        <v>Faximile</v>
      </c>
      <c r="F295" s="26" t="s">
        <v>1692</v>
      </c>
      <c r="G295" s="9"/>
      <c r="H295" s="9"/>
      <c r="J295" s="33">
        <f t="shared" si="9"/>
        <v>286000000000256</v>
      </c>
      <c r="K295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840-3936'::varchar, NULL::varchar, NULL::varchar, '124000000000069'::bigint);</v>
      </c>
    </row>
    <row r="296" spans="2:11" x14ac:dyDescent="0.2">
      <c r="B296" s="22">
        <v>124000000000070</v>
      </c>
      <c r="C296" s="4" t="str">
        <f>IF(EXACT($B296, ""), "", IF((($B296 - MOD($B296, 1000000000000))/1000000000000)=25, CONCATENATE("Person - ", VLOOKUP($B296, [1]DataLookUp!$B$4:$C$2000, 2, FALSE)), IF((($B296 - MOD($B296, 1000000000000))/1000000000000)=124, CONCATENATE("Institution - ", VLOOKUP($B296, '[2]DataLookUp - InstitutionBranch'!$B$4:$C$2000, 2, FALSE)), "")))</f>
        <v>Institution - Linus Nusa Express</v>
      </c>
      <c r="D296" s="22">
        <v>223000000000002</v>
      </c>
      <c r="E296" s="4" t="str">
        <f>IF(EXACT($D296, ""), "", VLOOKUP($D296, 'REF - ContactNumberType'!$B$4:$C$10, 2, FALSE))</f>
        <v>Mobile Phone</v>
      </c>
      <c r="F296" s="26" t="s">
        <v>1205</v>
      </c>
      <c r="G296" s="9"/>
      <c r="H296" s="9"/>
      <c r="J296" s="33">
        <f t="shared" si="9"/>
        <v>286000000000257</v>
      </c>
      <c r="K296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223000000000002::bigint, '+62 811-877-1506'::varchar, NULL::varchar, NULL::varchar, '124000000000070'::bigint);</v>
      </c>
    </row>
    <row r="297" spans="2:11" x14ac:dyDescent="0.2">
      <c r="B297" s="22">
        <v>124000000000070</v>
      </c>
      <c r="C297" s="4" t="str">
        <f>IF(EXACT($B297, ""), "", IF((($B297 - MOD($B297, 1000000000000))/1000000000000)=25, CONCATENATE("Person - ", VLOOKUP($B297, [1]DataLookUp!$B$4:$C$2000, 2, FALSE)), IF((($B297 - MOD($B297, 1000000000000))/1000000000000)=124, CONCATENATE("Institution - ", VLOOKUP($B297, '[2]DataLookUp - InstitutionBranch'!$B$4:$C$2000, 2, FALSE)), "")))</f>
        <v>Institution - Linus Nusa Express</v>
      </c>
      <c r="D297" s="22">
        <v>223000000000005</v>
      </c>
      <c r="E297" s="4" t="str">
        <f>IF(EXACT($D297, ""), "", VLOOKUP($D297, 'REF - ContactNumberType'!$B$4:$C$10, 2, FALSE))</f>
        <v>Faximile</v>
      </c>
      <c r="F297" s="26" t="s">
        <v>1649</v>
      </c>
      <c r="G297" s="9"/>
      <c r="H297" s="9"/>
      <c r="J297" s="33">
        <f t="shared" si="9"/>
        <v>286000000000258</v>
      </c>
      <c r="K297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827-667-731'::varchar, NULL::varchar, NULL::varchar, '124000000000070'::bigint);</v>
      </c>
    </row>
    <row r="298" spans="2:11" x14ac:dyDescent="0.2">
      <c r="B298" s="22">
        <v>124000000000071</v>
      </c>
      <c r="C298" s="4" t="str">
        <f>IF(EXACT($B298, ""), "", IF((($B298 - MOD($B298, 1000000000000))/1000000000000)=25, CONCATENATE("Person - ", VLOOKUP($B298, [1]DataLookUp!$B$4:$C$2000, 2, FALSE)), IF((($B298 - MOD($B298, 1000000000000))/1000000000000)=124, CONCATENATE("Institution - ", VLOOKUP($B298, '[2]DataLookUp - InstitutionBranch'!$B$4:$C$2000, 2, FALSE)), "")))</f>
        <v>Institution - PT. Penjaminan Jamkrindo Syariah</v>
      </c>
      <c r="D298" s="22">
        <v>223000000000004</v>
      </c>
      <c r="E298" s="4" t="str">
        <f>IF(EXACT($D298, ""), "", VLOOKUP($D298, 'REF - ContactNumberType'!$B$4:$C$10, 2, FALSE))</f>
        <v>Office Phone</v>
      </c>
      <c r="F298" s="26" t="s">
        <v>1650</v>
      </c>
      <c r="G298" s="9"/>
      <c r="H298" s="9"/>
      <c r="J298" s="33">
        <f t="shared" si="9"/>
        <v>286000000000259</v>
      </c>
      <c r="K298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212-427-77'::varchar, NULL::varchar, NULL::varchar, '124000000000071'::bigint);</v>
      </c>
    </row>
    <row r="299" spans="2:11" x14ac:dyDescent="0.2">
      <c r="B299" s="22">
        <v>124000000000072</v>
      </c>
      <c r="C299" s="4" t="str">
        <f>IF(EXACT($B299, ""), "", IF((($B299 - MOD($B299, 1000000000000))/1000000000000)=25, CONCATENATE("Person - ", VLOOKUP($B299, [1]DataLookUp!$B$4:$C$2000, 2, FALSE)), IF((($B299 - MOD($B299, 1000000000000))/1000000000000)=124, CONCATENATE("Institution - ", VLOOKUP($B299, '[2]DataLookUp - InstitutionBranch'!$B$4:$C$2000, 2, FALSE)), "")))</f>
        <v>Institution - PT. Larsen And Tourbo</v>
      </c>
      <c r="D299" s="22">
        <v>223000000000004</v>
      </c>
      <c r="E299" s="4" t="str">
        <f>IF(EXACT($D299, ""), "", VLOOKUP($D299, 'REF - ContactNumberType'!$B$4:$C$10, 2, FALSE))</f>
        <v>Office Phone</v>
      </c>
      <c r="F299" s="26" t="s">
        <v>1651</v>
      </c>
      <c r="G299" s="9"/>
      <c r="H299" s="9"/>
      <c r="J299" s="33">
        <f t="shared" si="9"/>
        <v>286000000000260</v>
      </c>
      <c r="K299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508-703-70'::varchar, NULL::varchar, NULL::varchar, '124000000000072'::bigint);</v>
      </c>
    </row>
    <row r="300" spans="2:11" x14ac:dyDescent="0.2">
      <c r="B300" s="22">
        <v>124000000000073</v>
      </c>
      <c r="C300" s="4" t="str">
        <f>IF(EXACT($B300, ""), "", IF((($B300 - MOD($B300, 1000000000000))/1000000000000)=25, CONCATENATE("Person - ", VLOOKUP($B300, [1]DataLookUp!$B$4:$C$2000, 2, FALSE)), IF((($B300 - MOD($B300, 1000000000000))/1000000000000)=124, CONCATENATE("Institution - ", VLOOKUP($B300, '[2]DataLookUp - InstitutionBranch'!$B$4:$C$2000, 2, FALSE)), "")))</f>
        <v>Institution - PT. Pelayanan Listrik Nasional (Persero) - Unit Induk Pembangunan Kalimantan Bagian Barat</v>
      </c>
      <c r="D300" s="22">
        <v>223000000000004</v>
      </c>
      <c r="E300" s="4" t="str">
        <f>IF(EXACT($D300, ""), "", VLOOKUP($D300, 'REF - ContactNumberType'!$B$4:$C$10, 2, FALSE))</f>
        <v>Office Phone</v>
      </c>
      <c r="F300" s="26" t="s">
        <v>1690</v>
      </c>
      <c r="G300" s="9"/>
      <c r="H300" s="9"/>
      <c r="J300" s="33">
        <f t="shared" si="9"/>
        <v>286000000000261</v>
      </c>
      <c r="K300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223000000000004::bigint, '+62 (0561) 762-580'::varchar, NULL::varchar, NULL::varchar, '124000000000073'::bigint);</v>
      </c>
    </row>
    <row r="301" spans="2:11" x14ac:dyDescent="0.2">
      <c r="B301" s="22">
        <v>124000000000073</v>
      </c>
      <c r="C301" s="4" t="str">
        <f>IF(EXACT($B301, ""), "", IF((($B301 - MOD($B301, 1000000000000))/1000000000000)=25, CONCATENATE("Person - ", VLOOKUP($B301, [1]DataLookUp!$B$4:$C$2000, 2, FALSE)), IF((($B301 - MOD($B301, 1000000000000))/1000000000000)=124, CONCATENATE("Institution - ", VLOOKUP($B301, '[2]DataLookUp - InstitutionBranch'!$B$4:$C$2000, 2, FALSE)), "")))</f>
        <v>Institution - PT. Pelayanan Listrik Nasional (Persero) - Unit Induk Pembangunan Kalimantan Bagian Barat</v>
      </c>
      <c r="D301" s="22">
        <v>223000000000005</v>
      </c>
      <c r="E301" s="4" t="str">
        <f>IF(EXACT($D301, ""), "", VLOOKUP($D301, 'REF - ContactNumberType'!$B$4:$C$10, 2, FALSE))</f>
        <v>Faximile</v>
      </c>
      <c r="F301" s="26" t="s">
        <v>1689</v>
      </c>
      <c r="G301" s="9"/>
      <c r="H301" s="9"/>
      <c r="J301" s="33">
        <f t="shared" si="9"/>
        <v>286000000000262</v>
      </c>
      <c r="K301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223000000000005::bigint, '+62 (0561) 762-579'::varchar, NULL::varchar, NULL::varchar, '124000000000073'::bigint);</v>
      </c>
    </row>
    <row r="302" spans="2:11" x14ac:dyDescent="0.2">
      <c r="B302" s="22">
        <v>124000000000074</v>
      </c>
      <c r="C302" s="4" t="str">
        <f>IF(EXACT($B302, ""), "", IF((($B302 - MOD($B302, 1000000000000))/1000000000000)=25, CONCATENATE("Person - ", VLOOKUP($B302, [1]DataLookUp!$B$4:$C$2000, 2, FALSE)), IF((($B302 - MOD($B302, 1000000000000))/1000000000000)=124, CONCATENATE("Institution - ", VLOOKUP($B302, '[2]DataLookUp - InstitutionBranch'!$B$4:$C$2000, 2, FALSE)), "")))</f>
        <v>Institution - PT. Pelayanan Listrik Nasional (Persero) - Unit Induk Pembangunan Sumatera Bagian Tengah</v>
      </c>
      <c r="D302" s="22">
        <v>223000000000004</v>
      </c>
      <c r="E302" s="4" t="str">
        <f>IF(EXACT($D302, ""), "", VLOOKUP($D302, 'REF - ContactNumberType'!$B$4:$C$10, 2, FALSE))</f>
        <v>Office Phone</v>
      </c>
      <c r="F302" s="26" t="s">
        <v>1688</v>
      </c>
      <c r="G302" s="9"/>
      <c r="H302" s="9"/>
      <c r="J302" s="33">
        <f t="shared" si="9"/>
        <v>286000000000263</v>
      </c>
      <c r="K302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223000000000004::bigint, '+62 (0761) 670-4881'::varchar, NULL::varchar, NULL::varchar, '124000000000074'::bigint);</v>
      </c>
    </row>
    <row r="303" spans="2:11" x14ac:dyDescent="0.2">
      <c r="B303" s="22">
        <v>124000000000074</v>
      </c>
      <c r="C303" s="4" t="str">
        <f>IF(EXACT($B303, ""), "", IF((($B303 - MOD($B303, 1000000000000))/1000000000000)=25, CONCATENATE("Person - ", VLOOKUP($B303, [1]DataLookUp!$B$4:$C$2000, 2, FALSE)), IF((($B303 - MOD($B303, 1000000000000))/1000000000000)=124, CONCATENATE("Institution - ", VLOOKUP($B303, '[2]DataLookUp - InstitutionBranch'!$B$4:$C$2000, 2, FALSE)), "")))</f>
        <v>Institution - PT. Pelayanan Listrik Nasional (Persero) - Unit Induk Pembangunan Sumatera Bagian Tengah</v>
      </c>
      <c r="D303" s="22">
        <v>223000000000005</v>
      </c>
      <c r="E303" s="4" t="str">
        <f>IF(EXACT($D303, ""), "", VLOOKUP($D303, 'REF - ContactNumberType'!$B$4:$C$10, 2, FALSE))</f>
        <v>Faximile</v>
      </c>
      <c r="F303" s="26" t="s">
        <v>1687</v>
      </c>
      <c r="G303" s="9"/>
      <c r="H303" s="9"/>
      <c r="J303" s="33">
        <f t="shared" si="9"/>
        <v>286000000000264</v>
      </c>
      <c r="K303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223000000000005::bigint, '+62 (0761) 670-4882'::varchar, NULL::varchar, NULL::varchar, '124000000000074'::bigint);</v>
      </c>
    </row>
    <row r="304" spans="2:11" x14ac:dyDescent="0.2">
      <c r="B304" s="22">
        <v>124000000000075</v>
      </c>
      <c r="C304" s="4" t="str">
        <f>IF(EXACT($B304, ""), "", IF((($B304 - MOD($B304, 1000000000000))/1000000000000)=25, CONCATENATE("Person - ", VLOOKUP($B304, [1]DataLookUp!$B$4:$C$2000, 2, FALSE)), IF((($B304 - MOD($B304, 1000000000000))/1000000000000)=124, CONCATENATE("Institution - ", VLOOKUP($B304, '[2]DataLookUp - InstitutionBranch'!$B$4:$C$2000, 2, FALSE)), "")))</f>
        <v xml:space="preserve">Institution - PT. Asuransi Sinar Mas </v>
      </c>
      <c r="D304" s="22">
        <v>223000000000004</v>
      </c>
      <c r="E304" s="4" t="str">
        <f>IF(EXACT($D304, ""), "", VLOOKUP($D304, 'REF - ContactNumberType'!$B$4:$C$10, 2, FALSE))</f>
        <v>Office Phone</v>
      </c>
      <c r="F304" s="26" t="s">
        <v>1652</v>
      </c>
      <c r="G304" s="9"/>
      <c r="H304" s="9"/>
      <c r="J304" s="33">
        <f t="shared" si="9"/>
        <v>286000000000265</v>
      </c>
      <c r="K304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505-098-88'::varchar, NULL::varchar, NULL::varchar, '124000000000075'::bigint);</v>
      </c>
    </row>
    <row r="305" spans="1:11" x14ac:dyDescent="0.2">
      <c r="B305" s="22">
        <v>124000000000075</v>
      </c>
      <c r="C305" s="4" t="str">
        <f>IF(EXACT($B305, ""), "", IF((($B305 - MOD($B305, 1000000000000))/1000000000000)=25, CONCATENATE("Person - ", VLOOKUP($B305, [1]DataLookUp!$B$4:$C$2000, 2, FALSE)), IF((($B305 - MOD($B305, 1000000000000))/1000000000000)=124, CONCATENATE("Institution - ", VLOOKUP($B305, '[2]DataLookUp - InstitutionBranch'!$B$4:$C$2000, 2, FALSE)), "")))</f>
        <v xml:space="preserve">Institution - PT. Asuransi Sinar Mas </v>
      </c>
      <c r="D305" s="22">
        <v>223000000000005</v>
      </c>
      <c r="E305" s="4" t="str">
        <f>IF(EXACT($D305, ""), "", VLOOKUP($D305, 'REF - ContactNumberType'!$B$4:$C$10, 2, FALSE))</f>
        <v>Faximile</v>
      </c>
      <c r="F305" s="26" t="s">
        <v>1653</v>
      </c>
      <c r="G305" s="9"/>
      <c r="H305" s="9"/>
      <c r="J305" s="33">
        <f t="shared" si="9"/>
        <v>286000000000266</v>
      </c>
      <c r="K305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291-899-99'::varchar, NULL::varchar, NULL::varchar, '124000000000075'::bigint);</v>
      </c>
    </row>
    <row r="306" spans="1:11" x14ac:dyDescent="0.2">
      <c r="B306" s="22">
        <v>124000000000076</v>
      </c>
      <c r="C306" s="4" t="str">
        <f>IF(EXACT($B306, ""), "", IF((($B306 - MOD($B306, 1000000000000))/1000000000000)=25, CONCATENATE("Person - ", VLOOKUP($B306, [1]DataLookUp!$B$4:$C$2000, 2, FALSE)), IF((($B306 - MOD($B306, 1000000000000))/1000000000000)=124, CONCATENATE("Institution - ", VLOOKUP($B306, '[2]DataLookUp - InstitutionBranch'!$B$4:$C$2000, 2, FALSE)), "")))</f>
        <v>Institution - Agung Jaya</v>
      </c>
      <c r="D306" s="22">
        <v>223000000000004</v>
      </c>
      <c r="E306" s="4" t="str">
        <f>IF(EXACT($D306, ""), "", VLOOKUP($D306, 'REF - ContactNumberType'!$B$4:$C$10, 2, FALSE))</f>
        <v>Office Phone</v>
      </c>
      <c r="F306" s="26"/>
      <c r="G306" s="9"/>
      <c r="H306" s="9"/>
      <c r="J306" s="33">
        <f t="shared" si="9"/>
        <v>286000000000266</v>
      </c>
      <c r="K306" s="34" t="str">
        <f t="shared" si="10"/>
        <v/>
      </c>
    </row>
    <row r="307" spans="1:11" x14ac:dyDescent="0.2">
      <c r="B307" s="22">
        <v>124000000000077</v>
      </c>
      <c r="C307" s="4" t="str">
        <f>IF(EXACT($B307, ""), "", IF((($B307 - MOD($B307, 1000000000000))/1000000000000)=25, CONCATENATE("Person - ", VLOOKUP($B307, [1]DataLookUp!$B$4:$C$2000, 2, FALSE)), IF((($B307 - MOD($B307, 1000000000000))/1000000000000)=124, CONCATENATE("Institution - ", VLOOKUP($B307, '[2]DataLookUp - InstitutionBranch'!$B$4:$C$2000, 2, FALSE)), "")))</f>
        <v>Institution - Aji Perkasa</v>
      </c>
      <c r="D307" s="22">
        <v>223000000000004</v>
      </c>
      <c r="E307" s="4" t="str">
        <f>IF(EXACT($D307, ""), "", VLOOKUP($D307, 'REF - ContactNumberType'!$B$4:$C$10, 2, FALSE))</f>
        <v>Office Phone</v>
      </c>
      <c r="F307" s="26"/>
      <c r="G307" s="9"/>
      <c r="H307" s="9"/>
      <c r="J307" s="33">
        <f t="shared" si="9"/>
        <v>286000000000266</v>
      </c>
      <c r="K307" s="34" t="str">
        <f t="shared" si="10"/>
        <v/>
      </c>
    </row>
    <row r="308" spans="1:11" x14ac:dyDescent="0.2">
      <c r="B308" s="22">
        <v>124000000000078</v>
      </c>
      <c r="C308" s="4" t="str">
        <f>IF(EXACT($B308, ""), "", IF((($B308 - MOD($B308, 1000000000000))/1000000000000)=25, CONCATENATE("Person - ", VLOOKUP($B308, [1]DataLookUp!$B$4:$C$2000, 2, FALSE)), IF((($B308 - MOD($B308, 1000000000000))/1000000000000)=124, CONCATENATE("Institution - ", VLOOKUP($B308, '[2]DataLookUp - InstitutionBranch'!$B$4:$C$2000, 2, FALSE)), "")))</f>
        <v>Institution - Aledro Duta Jaya</v>
      </c>
      <c r="D308" s="22">
        <v>223000000000004</v>
      </c>
      <c r="E308" s="4" t="str">
        <f>IF(EXACT($D308, ""), "", VLOOKUP($D308, 'REF - ContactNumberType'!$B$4:$C$10, 2, FALSE))</f>
        <v>Office Phone</v>
      </c>
      <c r="F308" s="26"/>
      <c r="G308" s="9"/>
      <c r="H308" s="9"/>
      <c r="J308" s="33">
        <f t="shared" si="9"/>
        <v>286000000000266</v>
      </c>
      <c r="K308" s="34" t="str">
        <f t="shared" si="10"/>
        <v/>
      </c>
    </row>
    <row r="309" spans="1:11" x14ac:dyDescent="0.2">
      <c r="B309" s="22">
        <v>124000000000079</v>
      </c>
      <c r="C309" s="4" t="str">
        <f>IF(EXACT($B309, ""), "", IF((($B309 - MOD($B309, 1000000000000))/1000000000000)=25, CONCATENATE("Person - ", VLOOKUP($B309, [1]DataLookUp!$B$4:$C$2000, 2, FALSE)), IF((($B309 - MOD($B309, 1000000000000))/1000000000000)=124, CONCATENATE("Institution - ", VLOOKUP($B309, '[2]DataLookUp - InstitutionBranch'!$B$4:$C$2000, 2, FALSE)), "")))</f>
        <v>Institution - Alpine Cool Utama</v>
      </c>
      <c r="D309" s="22">
        <v>223000000000004</v>
      </c>
      <c r="E309" s="4" t="str">
        <f>IF(EXACT($D309, ""), "", VLOOKUP($D309, 'REF - ContactNumberType'!$B$4:$C$10, 2, FALSE))</f>
        <v>Office Phone</v>
      </c>
      <c r="F309" s="26"/>
      <c r="G309" s="9"/>
      <c r="H309" s="9"/>
      <c r="J309" s="33">
        <f t="shared" si="9"/>
        <v>286000000000266</v>
      </c>
      <c r="K309" s="34" t="str">
        <f t="shared" si="10"/>
        <v/>
      </c>
    </row>
    <row r="310" spans="1:11" x14ac:dyDescent="0.2">
      <c r="B310" s="22">
        <v>124000000000080</v>
      </c>
      <c r="C310" s="4" t="str">
        <f>IF(EXACT($B310, ""), "", IF((($B310 - MOD($B310, 1000000000000))/1000000000000)=25, CONCATENATE("Person - ", VLOOKUP($B310, [1]DataLookUp!$B$4:$C$2000, 2, FALSE)), IF((($B310 - MOD($B310, 1000000000000))/1000000000000)=124, CONCATENATE("Institution - ", VLOOKUP($B310, '[2]DataLookUp - InstitutionBranch'!$B$4:$C$2000, 2, FALSE)), "")))</f>
        <v>Institution - Alumagada Jaya Mandiri</v>
      </c>
      <c r="D310" s="22">
        <v>223000000000004</v>
      </c>
      <c r="E310" s="4" t="str">
        <f>IF(EXACT($D310, ""), "", VLOOKUP($D310, 'REF - ContactNumberType'!$B$4:$C$10, 2, FALSE))</f>
        <v>Office Phone</v>
      </c>
      <c r="F310" s="26"/>
      <c r="G310" s="9"/>
      <c r="H310" s="9"/>
      <c r="J310" s="33">
        <f t="shared" si="9"/>
        <v>286000000000266</v>
      </c>
      <c r="K310" s="34" t="str">
        <f t="shared" si="10"/>
        <v/>
      </c>
    </row>
    <row r="311" spans="1:11" x14ac:dyDescent="0.2">
      <c r="B311" s="22">
        <v>124000000000081</v>
      </c>
      <c r="C311" s="4" t="str">
        <f>IF(EXACT($B311, ""), "", IF((($B311 - MOD($B311, 1000000000000))/1000000000000)=25, CONCATENATE("Person - ", VLOOKUP($B311, [1]DataLookUp!$B$4:$C$2000, 2, FALSE)), IF((($B311 - MOD($B311, 1000000000000))/1000000000000)=124, CONCATENATE("Institution - ", VLOOKUP($B311, '[2]DataLookUp - InstitutionBranch'!$B$4:$C$2000, 2, FALSE)), "")))</f>
        <v>Institution - PT. Karawang Dinamika Lestari</v>
      </c>
      <c r="D311" s="22">
        <v>223000000000002</v>
      </c>
      <c r="E311" s="4" t="str">
        <f>IF(EXACT($D311, ""), "", VLOOKUP($D311, 'REF - ContactNumberType'!$B$4:$C$10, 2, FALSE))</f>
        <v>Mobile Phone</v>
      </c>
      <c r="F311" s="26" t="s">
        <v>1204</v>
      </c>
      <c r="G311" s="9"/>
      <c r="H311" s="9"/>
      <c r="J311" s="33">
        <f t="shared" si="9"/>
        <v>286000000000267</v>
      </c>
      <c r="K311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223000000000002::bigint, '+62 811-2110-0020'::varchar, NULL::varchar, NULL::varchar, '124000000000081'::bigint);</v>
      </c>
    </row>
    <row r="312" spans="1:11" x14ac:dyDescent="0.2">
      <c r="B312" s="22">
        <v>124000000000082</v>
      </c>
      <c r="C312" s="4" t="str">
        <f>IF(EXACT($B312, ""), "", IF((($B312 - MOD($B312, 1000000000000))/1000000000000)=25, CONCATENATE("Person - ", VLOOKUP($B312, [1]DataLookUp!$B$4:$C$2000, 2, FALSE)), IF((($B312 - MOD($B312, 1000000000000))/1000000000000)=124, CONCATENATE("Institution - ", VLOOKUP($B312, '[2]DataLookUp - InstitutionBranch'!$B$4:$C$2000, 2, FALSE)), "")))</f>
        <v>Institution - KSO WST-QDC</v>
      </c>
      <c r="D312" s="22">
        <v>223000000000004</v>
      </c>
      <c r="E312" s="4" t="str">
        <f>IF(EXACT($D312, ""), "", VLOOKUP($D312, 'REF - ContactNumberType'!$B$4:$C$10, 2, FALSE))</f>
        <v>Office Phone</v>
      </c>
      <c r="F312" s="26" t="s">
        <v>1654</v>
      </c>
      <c r="G312" s="9"/>
      <c r="H312" s="9"/>
      <c r="J312" s="33">
        <f t="shared" si="9"/>
        <v>286000000000268</v>
      </c>
      <c r="K312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458-509-33'::varchar, NULL::varchar, NULL::varchar, '124000000000082'::bigint);</v>
      </c>
    </row>
    <row r="313" spans="1:11" x14ac:dyDescent="0.2">
      <c r="B313" s="22">
        <v>124000000000082</v>
      </c>
      <c r="C313" s="4" t="str">
        <f>IF(EXACT($B313, ""), "", IF((($B313 - MOD($B313, 1000000000000))/1000000000000)=25, CONCATENATE("Person - ", VLOOKUP($B313, [1]DataLookUp!$B$4:$C$2000, 2, FALSE)), IF((($B313 - MOD($B313, 1000000000000))/1000000000000)=124, CONCATENATE("Institution - ", VLOOKUP($B313, '[2]DataLookUp - InstitutionBranch'!$B$4:$C$2000, 2, FALSE)), "")))</f>
        <v>Institution - KSO WST-QDC</v>
      </c>
      <c r="D313" s="22">
        <v>223000000000005</v>
      </c>
      <c r="E313" s="4" t="str">
        <f>IF(EXACT($D313, ""), "", VLOOKUP($D313, 'REF - ContactNumberType'!$B$4:$C$10, 2, FALSE))</f>
        <v>Faximile</v>
      </c>
      <c r="F313" s="26" t="s">
        <v>1655</v>
      </c>
      <c r="G313" s="9"/>
      <c r="H313" s="9"/>
      <c r="J313" s="33">
        <f t="shared" si="9"/>
        <v>286000000000269</v>
      </c>
      <c r="K313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458-509-32'::varchar, NULL::varchar, NULL::varchar, '124000000000082'::bigint);</v>
      </c>
    </row>
    <row r="314" spans="1:11" x14ac:dyDescent="0.2">
      <c r="B314" s="22">
        <v>124000000000083</v>
      </c>
      <c r="C314" s="4" t="str">
        <f>IF(EXACT($B314, ""), "", IF((($B314 - MOD($B314, 1000000000000))/1000000000000)=25, CONCATENATE("Person - ", VLOOKUP($B314, [1]DataLookUp!$B$4:$C$2000, 2, FALSE)), IF((($B314 - MOD($B314, 1000000000000))/1000000000000)=124, CONCATENATE("Institution - ", VLOOKUP($B314, '[2]DataLookUp - InstitutionBranch'!$B$4:$C$2000, 2, FALSE)), "")))</f>
        <v>Institution - PT. Adhi Commuter Properti</v>
      </c>
      <c r="D314" s="22">
        <v>223000000000004</v>
      </c>
      <c r="E314" s="4" t="str">
        <f>IF(EXACT($D314, ""), "", VLOOKUP($D314, 'REF - ContactNumberType'!$B$4:$C$10, 2, FALSE))</f>
        <v>Office Phone</v>
      </c>
      <c r="F314" s="26" t="s">
        <v>1656</v>
      </c>
      <c r="G314" s="9"/>
      <c r="H314" s="9"/>
      <c r="J314" s="33">
        <f t="shared" si="9"/>
        <v>286000000000270</v>
      </c>
      <c r="K314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228-229-80'::varchar, NULL::varchar, NULL::varchar, '124000000000083'::bigint);</v>
      </c>
    </row>
    <row r="315" spans="1:11" x14ac:dyDescent="0.2">
      <c r="B315" s="22">
        <v>124000000000083</v>
      </c>
      <c r="C315" s="4" t="str">
        <f>IF(EXACT($B315, ""), "", IF((($B315 - MOD($B315, 1000000000000))/1000000000000)=25, CONCATENATE("Person - ", VLOOKUP($B315, [1]DataLookUp!$B$4:$C$2000, 2, FALSE)), IF((($B315 - MOD($B315, 1000000000000))/1000000000000)=124, CONCATENATE("Institution - ", VLOOKUP($B315, '[2]DataLookUp - InstitutionBranch'!$B$4:$C$2000, 2, FALSE)), "")))</f>
        <v>Institution - PT. Adhi Commuter Properti</v>
      </c>
      <c r="D315" s="22">
        <v>223000000000005</v>
      </c>
      <c r="E315" s="4" t="str">
        <f>IF(EXACT($D315, ""), "", VLOOKUP($D315, 'REF - ContactNumberType'!$B$4:$C$10, 2, FALSE))</f>
        <v>Faximile</v>
      </c>
      <c r="F315" s="26" t="s">
        <v>1657</v>
      </c>
      <c r="G315" s="9"/>
      <c r="H315" s="9"/>
      <c r="J315" s="33">
        <f t="shared" si="9"/>
        <v>286000000000271</v>
      </c>
      <c r="K315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228-220-81'::varchar, NULL::varchar, NULL::varchar, '124000000000083'::bigint);</v>
      </c>
    </row>
    <row r="316" spans="1:11" x14ac:dyDescent="0.2">
      <c r="B316" s="22">
        <v>124000000000084</v>
      </c>
      <c r="C316" s="4" t="str">
        <f>IF(EXACT($B316, ""), "", IF((($B316 - MOD($B316, 1000000000000))/1000000000000)=25, CONCATENATE("Person - ", VLOOKUP($B316, [1]DataLookUp!$B$4:$C$2000, 2, FALSE)), IF((($B316 - MOD($B316, 1000000000000))/1000000000000)=124, CONCATENATE("Institution - ", VLOOKUP($B316, '[2]DataLookUp - InstitutionBranch'!$B$4:$C$2000, 2, FALSE)), "")))</f>
        <v xml:space="preserve">Institution - PT. Pelayanan Listrik Nasional (Persero) - Penyaluran dan Pusat Pengaturan </v>
      </c>
      <c r="D316" s="22">
        <v>223000000000004</v>
      </c>
      <c r="E316" s="4" t="str">
        <f>IF(EXACT($D316, ""), "", VLOOKUP($D316, 'REF - ContactNumberType'!$B$4:$C$10, 2, FALSE))</f>
        <v>Office Phone</v>
      </c>
      <c r="F316" s="26" t="s">
        <v>1617</v>
      </c>
      <c r="G316" s="9"/>
      <c r="H316" s="9"/>
      <c r="J316" s="33">
        <f t="shared" si="9"/>
        <v>286000000000272</v>
      </c>
      <c r="K316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223000000000004::bigint, '+62 (024) 692-2402'::varchar, NULL::varchar, NULL::varchar, '124000000000084'::bigint);</v>
      </c>
    </row>
    <row r="317" spans="1:11" x14ac:dyDescent="0.2">
      <c r="B317" s="22">
        <v>124000000000084</v>
      </c>
      <c r="C317" s="4" t="str">
        <f>IF(EXACT($B317, ""), "", IF((($B317 - MOD($B317, 1000000000000))/1000000000000)=25, CONCATENATE("Person - ", VLOOKUP($B317, [1]DataLookUp!$B$4:$C$2000, 2, FALSE)), IF((($B317 - MOD($B317, 1000000000000))/1000000000000)=124, CONCATENATE("Institution - ", VLOOKUP($B317, '[2]DataLookUp - InstitutionBranch'!$B$4:$C$2000, 2, FALSE)), "")))</f>
        <v xml:space="preserve">Institution - PT. Pelayanan Listrik Nasional (Persero) - Penyaluran dan Pusat Pengaturan </v>
      </c>
      <c r="D317" s="22">
        <v>223000000000005</v>
      </c>
      <c r="E317" s="4" t="str">
        <f>IF(EXACT($D317, ""), "", VLOOKUP($D317, 'REF - ContactNumberType'!$B$4:$C$10, 2, FALSE))</f>
        <v>Faximile</v>
      </c>
      <c r="F317" s="26" t="s">
        <v>1616</v>
      </c>
      <c r="G317" s="9"/>
      <c r="H317" s="9"/>
      <c r="J317" s="33">
        <f t="shared" si="9"/>
        <v>286000000000273</v>
      </c>
      <c r="K317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223000000000005::bigint, '+62 (024) 692-1223'::varchar, NULL::varchar, NULL::varchar, '124000000000084'::bigint);</v>
      </c>
    </row>
    <row r="318" spans="1:11" x14ac:dyDescent="0.2">
      <c r="A318" s="41"/>
      <c r="B318" s="22">
        <v>124000000000085</v>
      </c>
      <c r="C318" s="4" t="str">
        <f>IF(EXACT($B318, ""), "", IF((($B318 - MOD($B318, 1000000000000))/1000000000000)=25, CONCATENATE("Person - ", VLOOKUP($B318, [1]DataLookUp!$B$4:$C$2000, 2, FALSE)), IF((($B318 - MOD($B318, 1000000000000))/1000000000000)=124, CONCATENATE("Institution - ", VLOOKUP($B318, '[2]DataLookUp - InstitutionBranch'!$B$4:$C$2000, 2, FALSE)), "")))</f>
        <v>Institution - CV. Alfa Link Mandiri</v>
      </c>
      <c r="D318" s="22">
        <v>223000000000002</v>
      </c>
      <c r="E318" s="4" t="str">
        <f>IF(EXACT($D318, ""), "", VLOOKUP($D318, 'REF - ContactNumberType'!$B$4:$C$10, 2, FALSE))</f>
        <v>Mobile Phone</v>
      </c>
      <c r="F318" s="26" t="s">
        <v>1203</v>
      </c>
      <c r="G318" s="9"/>
      <c r="H318" s="9" t="s">
        <v>936</v>
      </c>
      <c r="J318" s="33">
        <f t="shared" si="9"/>
        <v>286000000000274</v>
      </c>
      <c r="K318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223000000000002::bigint, '+62 812-9900-0537'::varchar, NULL::varchar, 'Fransisca'::varchar, '124000000000085'::bigint);</v>
      </c>
    </row>
    <row r="319" spans="1:11" x14ac:dyDescent="0.2">
      <c r="B319" s="22">
        <v>124000000000086</v>
      </c>
      <c r="C319" s="4" t="str">
        <f>IF(EXACT($B319, ""), "", IF((($B319 - MOD($B319, 1000000000000))/1000000000000)=25, CONCATENATE("Person - ", VLOOKUP($B319, [1]DataLookUp!$B$4:$C$2000, 2, FALSE)), IF((($B319 - MOD($B319, 1000000000000))/1000000000000)=124, CONCATENATE("Institution - ", VLOOKUP($B319, '[2]DataLookUp - InstitutionBranch'!$B$4:$C$2000, 2, FALSE)), "")))</f>
        <v>Institution - CV. Alodia Makmur Abadi</v>
      </c>
      <c r="D319" s="22">
        <v>223000000000002</v>
      </c>
      <c r="E319" s="4" t="str">
        <f>IF(EXACT($D319, ""), "", VLOOKUP($D319, 'REF - ContactNumberType'!$B$4:$C$10, 2, FALSE))</f>
        <v>Mobile Phone</v>
      </c>
      <c r="F319" s="26" t="s">
        <v>1202</v>
      </c>
      <c r="G319" s="9"/>
      <c r="H319" s="9" t="s">
        <v>937</v>
      </c>
      <c r="J319" s="33">
        <f t="shared" si="9"/>
        <v>286000000000275</v>
      </c>
      <c r="K319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223000000000002::bigint, '+62 813-5600-0488'::varchar, NULL::varchar, 'Alodia'::varchar, '124000000000086'::bigint);</v>
      </c>
    </row>
    <row r="320" spans="1:11" x14ac:dyDescent="0.2">
      <c r="B320" s="22">
        <v>124000000000087</v>
      </c>
      <c r="C320" s="4" t="str">
        <f>IF(EXACT($B320, ""), "", IF((($B320 - MOD($B320, 1000000000000))/1000000000000)=25, CONCATENATE("Person - ", VLOOKUP($B320, [1]DataLookUp!$B$4:$C$2000, 2, FALSE)), IF((($B320 - MOD($B320, 1000000000000))/1000000000000)=124, CONCATENATE("Institution - ", VLOOKUP($B320, '[2]DataLookUp - InstitutionBranch'!$B$4:$C$2000, 2, FALSE)), "")))</f>
        <v>Institution - CV. Anugerah Karya Magantha</v>
      </c>
      <c r="D320" s="22">
        <v>223000000000002</v>
      </c>
      <c r="E320" s="4" t="str">
        <f>IF(EXACT($D320, ""), "", VLOOKUP($D320, 'REF - ContactNumberType'!$B$4:$C$10, 2, FALSE))</f>
        <v>Mobile Phone</v>
      </c>
      <c r="F320" s="26" t="s">
        <v>1201</v>
      </c>
      <c r="G320" s="9"/>
      <c r="H320" s="9" t="s">
        <v>938</v>
      </c>
      <c r="J320" s="33">
        <f t="shared" si="9"/>
        <v>286000000000276</v>
      </c>
      <c r="K320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223000000000002::bigint, '+62 811-412-9780'::varchar, NULL::varchar, 'Leonardo Sampetoding'::varchar, '124000000000087'::bigint);</v>
      </c>
    </row>
    <row r="321" spans="2:11" x14ac:dyDescent="0.2">
      <c r="B321" s="22">
        <v>124000000000088</v>
      </c>
      <c r="C321" s="4" t="str">
        <f>IF(EXACT($B321, ""), "", IF((($B321 - MOD($B321, 1000000000000))/1000000000000)=25, CONCATENATE("Person - ", VLOOKUP($B321, [1]DataLookUp!$B$4:$C$2000, 2, FALSE)), IF((($B321 - MOD($B321, 1000000000000))/1000000000000)=124, CONCATENATE("Institution - ", VLOOKUP($B321, '[2]DataLookUp - InstitutionBranch'!$B$4:$C$2000, 2, FALSE)), "")))</f>
        <v>Institution - CV. Artha Jaya Mulya</v>
      </c>
      <c r="D321" s="22">
        <v>223000000000002</v>
      </c>
      <c r="E321" s="4" t="str">
        <f>IF(EXACT($D321, ""), "", VLOOKUP($D321, 'REF - ContactNumberType'!$B$4:$C$10, 2, FALSE))</f>
        <v>Mobile Phone</v>
      </c>
      <c r="F321" s="26" t="s">
        <v>899</v>
      </c>
      <c r="G321" s="9"/>
      <c r="H321" s="9" t="s">
        <v>939</v>
      </c>
      <c r="J321" s="33">
        <f t="shared" si="9"/>
        <v>286000000000277</v>
      </c>
      <c r="K321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223000000000002::bigint, '+62 813-7833-4428'::varchar, NULL::varchar, 'Sugito'::varchar, '124000000000088'::bigint);</v>
      </c>
    </row>
    <row r="322" spans="2:11" x14ac:dyDescent="0.2">
      <c r="B322" s="22">
        <v>124000000000089</v>
      </c>
      <c r="C322" s="4" t="str">
        <f>IF(EXACT($B322, ""), "", IF((($B322 - MOD($B322, 1000000000000))/1000000000000)=25, CONCATENATE("Person - ", VLOOKUP($B322, [1]DataLookUp!$B$4:$C$2000, 2, FALSE)), IF((($B322 - MOD($B322, 1000000000000))/1000000000000)=124, CONCATENATE("Institution - ", VLOOKUP($B322, '[2]DataLookUp - InstitutionBranch'!$B$4:$C$2000, 2, FALSE)), "")))</f>
        <v>Institution - CV. Borneo Geotec Engginering</v>
      </c>
      <c r="D322" s="22">
        <v>223000000000002</v>
      </c>
      <c r="E322" s="4" t="str">
        <f>IF(EXACT($D322, ""), "", VLOOKUP($D322, 'REF - ContactNumberType'!$B$4:$C$10, 2, FALSE))</f>
        <v>Mobile Phone</v>
      </c>
      <c r="F322" s="26" t="s">
        <v>900</v>
      </c>
      <c r="G322" s="9"/>
      <c r="H322" s="9" t="s">
        <v>940</v>
      </c>
      <c r="J322" s="33">
        <f t="shared" si="9"/>
        <v>286000000000278</v>
      </c>
      <c r="K322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223000000000002::bigint, '+62 812-5641-5655'::varchar, NULL::varchar, 'Atikah Harahap / Ikhwan'::varchar, '124000000000089'::bigint);</v>
      </c>
    </row>
    <row r="323" spans="2:11" x14ac:dyDescent="0.2">
      <c r="B323" s="22">
        <v>124000000000090</v>
      </c>
      <c r="C323" s="4" t="str">
        <f>IF(EXACT($B323, ""), "", IF((($B323 - MOD($B323, 1000000000000))/1000000000000)=25, CONCATENATE("Person - ", VLOOKUP($B323, [1]DataLookUp!$B$4:$C$2000, 2, FALSE)), IF((($B323 - MOD($B323, 1000000000000))/1000000000000)=124, CONCATENATE("Institution - ", VLOOKUP($B323, '[2]DataLookUp - InstitutionBranch'!$B$4:$C$2000, 2, FALSE)), "")))</f>
        <v>Institution - CV. Cipta Aneka Sarana</v>
      </c>
      <c r="D323" s="22">
        <v>223000000000004</v>
      </c>
      <c r="E323" s="4" t="str">
        <f>IF(EXACT($D323, ""), "", VLOOKUP($D323, 'REF - ContactNumberType'!$B$4:$C$10, 2, FALSE))</f>
        <v>Office Phone</v>
      </c>
      <c r="F323" s="26" t="s">
        <v>1615</v>
      </c>
      <c r="G323" s="9"/>
      <c r="H323" s="9" t="s">
        <v>941</v>
      </c>
      <c r="J323" s="33">
        <f t="shared" si="9"/>
        <v>286000000000279</v>
      </c>
      <c r="K323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223000000000004::bigint, '+62 (0401) 319-2000'::varchar, NULL::varchar, 'Maxcell Online Service'::varchar, '124000000000090'::bigint);</v>
      </c>
    </row>
    <row r="324" spans="2:11" x14ac:dyDescent="0.2">
      <c r="B324" s="22">
        <v>124000000000091</v>
      </c>
      <c r="C324" s="4" t="str">
        <f>IF(EXACT($B324, ""), "", IF((($B324 - MOD($B324, 1000000000000))/1000000000000)=25, CONCATENATE("Person - ", VLOOKUP($B324, [1]DataLookUp!$B$4:$C$2000, 2, FALSE)), IF((($B324 - MOD($B324, 1000000000000))/1000000000000)=124, CONCATENATE("Institution - ", VLOOKUP($B324, '[2]DataLookUp - InstitutionBranch'!$B$4:$C$2000, 2, FALSE)), "")))</f>
        <v xml:space="preserve">Institution - CV. Didi Dan Darwis Survey </v>
      </c>
      <c r="D324" s="22">
        <v>223000000000002</v>
      </c>
      <c r="E324" s="4" t="str">
        <f>IF(EXACT($D324, ""), "", VLOOKUP($D324, 'REF - ContactNumberType'!$B$4:$C$10, 2, FALSE))</f>
        <v>Mobile Phone</v>
      </c>
      <c r="F324" s="26" t="s">
        <v>1207</v>
      </c>
      <c r="G324" s="9"/>
      <c r="H324" s="9" t="s">
        <v>942</v>
      </c>
      <c r="J324" s="33">
        <f t="shared" si="9"/>
        <v>286000000000280</v>
      </c>
      <c r="K324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223000000000002::bigint, '+62 821-1616-7001'::varchar, NULL::varchar, 'DnD Survey Bandung'::varchar, '124000000000091'::bigint);</v>
      </c>
    </row>
    <row r="325" spans="2:11" x14ac:dyDescent="0.2">
      <c r="B325" s="22">
        <v>124000000000091</v>
      </c>
      <c r="C325" s="4" t="str">
        <f>IF(EXACT($B325, ""), "", IF((($B325 - MOD($B325, 1000000000000))/1000000000000)=25, CONCATENATE("Person - ", VLOOKUP($B325, [1]DataLookUp!$B$4:$C$2000, 2, FALSE)), IF((($B325 - MOD($B325, 1000000000000))/1000000000000)=124, CONCATENATE("Institution - ", VLOOKUP($B325, '[2]DataLookUp - InstitutionBranch'!$B$4:$C$2000, 2, FALSE)), "")))</f>
        <v xml:space="preserve">Institution - CV. Didi Dan Darwis Survey </v>
      </c>
      <c r="D325" s="22">
        <v>223000000000002</v>
      </c>
      <c r="E325" s="4" t="str">
        <f>IF(EXACT($D325, ""), "", VLOOKUP($D325, 'REF - ContactNumberType'!$B$4:$C$10, 2, FALSE))</f>
        <v>Mobile Phone</v>
      </c>
      <c r="F325" s="26" t="s">
        <v>1208</v>
      </c>
      <c r="G325" s="9"/>
      <c r="H325" s="9" t="s">
        <v>942</v>
      </c>
      <c r="J325" s="33">
        <f t="shared" si="9"/>
        <v>286000000000281</v>
      </c>
      <c r="K325" s="34" t="str">
        <f t="shared" si="10"/>
        <v>PERFORM "SchData-OLTP-Master"."Func_TblContactNumber_SET"(varSystemLoginSession::bigint, null::bigint, null::varchar, null::timestamptz, null::timestamptz, null::varchar, varInstitutionBranchID::bigint, varBaseCurrencyID::bigint, 223000000000002::bigint, '+62 821-2990-0025'::varchar, NULL::varchar, 'DnD Survey Bandung'::varchar, '124000000000091'::bigint);</v>
      </c>
    </row>
    <row r="326" spans="2:11" x14ac:dyDescent="0.2">
      <c r="B326" s="22">
        <v>124000000000092</v>
      </c>
      <c r="C326" s="4" t="str">
        <f>IF(EXACT($B326, ""), "", IF((($B326 - MOD($B326, 1000000000000))/1000000000000)=25, CONCATENATE("Person - ", VLOOKUP($B326, [1]DataLookUp!$B$4:$C$2000, 2, FALSE)), IF((($B326 - MOD($B326, 1000000000000))/1000000000000)=124, CONCATENATE("Institution - ", VLOOKUP($B326, '[2]DataLookUp - InstitutionBranch'!$B$4:$C$2000, 2, FALSE)), "")))</f>
        <v>Institution - CV. Dinargeo Survey</v>
      </c>
      <c r="D326" s="22">
        <v>223000000000002</v>
      </c>
      <c r="E326" s="4" t="str">
        <f>IF(EXACT($D326, ""), "", VLOOKUP($D326, 'REF - ContactNumberType'!$B$4:$C$10, 2, FALSE))</f>
        <v>Mobile Phone</v>
      </c>
      <c r="F326" s="26" t="s">
        <v>901</v>
      </c>
      <c r="G326" s="9"/>
      <c r="H326" s="9" t="s">
        <v>943</v>
      </c>
      <c r="J326" s="33">
        <f t="shared" ref="J326:J389" si="11" xml:space="preserve"> J325 + IF(EXACT(K326, ""), 0, 1)</f>
        <v>286000000000282</v>
      </c>
      <c r="K326" s="34" t="str">
        <f t="shared" ref="K326:K389" si="12">IF(EXACT(F326, ""), "", CONCATENATE("PERFORM ""SchData-OLTP-Master"".""Func_TblContactNumber_SET""(varSystemLoginSession::bigint, null::bigint, null::varchar, null::timestamptz, null::timestamptz, null::varchar, varInstitutionBranchID::bigint, varBaseCurrencyID::bigint, ", IF(EXACT($D326, ""), "NULL", ""&amp;$D326&amp;""), "::bigint, ", IF(EXACT($F326, ""), "NULL", "'"&amp;$F326&amp;"'"), "::varchar, ", IF(EXACT($G326, ""), "NULL", "'"&amp;$G326&amp;"'"), "::varchar, ", IF(EXACT($H326, ""), "NULL", "'"&amp;$H326&amp;"'"), "::varchar, ", IF(EXACT($B326, ""), "NULL", "'"&amp;$B326&amp;"'"), "::bigint);"))</f>
        <v>PERFORM "SchData-OLTP-Master"."Func_TblContactNumber_SET"(varSystemLoginSession::bigint, null::bigint, null::varchar, null::timestamptz, null::timestamptz, null::varchar, varInstitutionBranchID::bigint, varBaseCurrencyID::bigint, 223000000000002::bigint, '+62 822-2026-666'::varchar, NULL::varchar, 'Fairuz'::varchar, '124000000000092'::bigint);</v>
      </c>
    </row>
    <row r="327" spans="2:11" x14ac:dyDescent="0.2">
      <c r="B327" s="22">
        <v>124000000000093</v>
      </c>
      <c r="C327" s="4" t="str">
        <f>IF(EXACT($B327, ""), "", IF((($B327 - MOD($B327, 1000000000000))/1000000000000)=25, CONCATENATE("Person - ", VLOOKUP($B327, [1]DataLookUp!$B$4:$C$2000, 2, FALSE)), IF((($B327 - MOD($B327, 1000000000000))/1000000000000)=124, CONCATENATE("Institution - ", VLOOKUP($B327, '[2]DataLookUp - InstitutionBranch'!$B$4:$C$2000, 2, FALSE)), "")))</f>
        <v>Institution - CV. Direct Linus Logistik</v>
      </c>
      <c r="D327" s="22">
        <v>223000000000002</v>
      </c>
      <c r="E327" s="4" t="str">
        <f>IF(EXACT($D327, ""), "", VLOOKUP($D327, 'REF - ContactNumberType'!$B$4:$C$10, 2, FALSE))</f>
        <v>Mobile Phone</v>
      </c>
      <c r="F327" s="26" t="s">
        <v>902</v>
      </c>
      <c r="G327" s="9"/>
      <c r="H327" s="9" t="s">
        <v>944</v>
      </c>
      <c r="J327" s="33">
        <f t="shared" si="11"/>
        <v>286000000000283</v>
      </c>
      <c r="K327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'+62 852-1832-5540'::varchar, NULL::varchar, 'Nur Excellog'::varchar, '124000000000093'::bigint);</v>
      </c>
    </row>
    <row r="328" spans="2:11" x14ac:dyDescent="0.2">
      <c r="B328" s="22">
        <v>124000000000094</v>
      </c>
      <c r="C328" s="4" t="str">
        <f>IF(EXACT($B328, ""), "", IF((($B328 - MOD($B328, 1000000000000))/1000000000000)=25, CONCATENATE("Person - ", VLOOKUP($B328, [1]DataLookUp!$B$4:$C$2000, 2, FALSE)), IF((($B328 - MOD($B328, 1000000000000))/1000000000000)=124, CONCATENATE("Institution - ", VLOOKUP($B328, '[2]DataLookUp - InstitutionBranch'!$B$4:$C$2000, 2, FALSE)), "")))</f>
        <v>Institution - CV. Edi Jaya Bangunan</v>
      </c>
      <c r="D328" s="22">
        <v>223000000000002</v>
      </c>
      <c r="E328" s="4" t="str">
        <f>IF(EXACT($D328, ""), "", VLOOKUP($D328, 'REF - ContactNumberType'!$B$4:$C$10, 2, FALSE))</f>
        <v>Mobile Phone</v>
      </c>
      <c r="F328" s="26" t="s">
        <v>1209</v>
      </c>
      <c r="G328" s="9"/>
      <c r="H328" s="9" t="s">
        <v>945</v>
      </c>
      <c r="J328" s="33">
        <f t="shared" si="11"/>
        <v>286000000000284</v>
      </c>
      <c r="K328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'+62 813-4970-3982'::varchar, NULL::varchar, 'Edi Nuryanto'::varchar, '124000000000094'::bigint);</v>
      </c>
    </row>
    <row r="329" spans="2:11" x14ac:dyDescent="0.2">
      <c r="B329" s="22">
        <v>124000000000095</v>
      </c>
      <c r="C329" s="4" t="str">
        <f>IF(EXACT($B329, ""), "", IF((($B329 - MOD($B329, 1000000000000))/1000000000000)=25, CONCATENATE("Person - ", VLOOKUP($B329, [1]DataLookUp!$B$4:$C$2000, 2, FALSE)), IF((($B329 - MOD($B329, 1000000000000))/1000000000000)=124, CONCATENATE("Institution - ", VLOOKUP($B329, '[2]DataLookUp - InstitutionBranch'!$B$4:$C$2000, 2, FALSE)), "")))</f>
        <v>Institution - CV. Elang Sega</v>
      </c>
      <c r="D329" s="22">
        <v>223000000000002</v>
      </c>
      <c r="E329" s="4" t="str">
        <f>IF(EXACT($D329, ""), "", VLOOKUP($D329, 'REF - ContactNumberType'!$B$4:$C$10, 2, FALSE))</f>
        <v>Mobile Phone</v>
      </c>
      <c r="F329" s="26" t="s">
        <v>1210</v>
      </c>
      <c r="G329" s="9"/>
      <c r="H329" s="9" t="s">
        <v>946</v>
      </c>
      <c r="J329" s="33">
        <f t="shared" si="11"/>
        <v>286000000000285</v>
      </c>
      <c r="K329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'+62 813-4924-6427'::varchar, NULL::varchar, 'Priyo Handoko'::varchar, '124000000000095'::bigint);</v>
      </c>
    </row>
    <row r="330" spans="2:11" x14ac:dyDescent="0.2">
      <c r="B330" s="22">
        <v>124000000000096</v>
      </c>
      <c r="C330" s="4" t="str">
        <f>IF(EXACT($B330, ""), "", IF((($B330 - MOD($B330, 1000000000000))/1000000000000)=25, CONCATENATE("Person - ", VLOOKUP($B330, [1]DataLookUp!$B$4:$C$2000, 2, FALSE)), IF((($B330 - MOD($B330, 1000000000000))/1000000000000)=124, CONCATENATE("Institution - ", VLOOKUP($B330, '[2]DataLookUp - InstitutionBranch'!$B$4:$C$2000, 2, FALSE)), "")))</f>
        <v>Institution - CV. Gallazka Teknik</v>
      </c>
      <c r="D330" s="22">
        <v>223000000000002</v>
      </c>
      <c r="E330" s="4" t="str">
        <f>IF(EXACT($D330, ""), "", VLOOKUP($D330, 'REF - ContactNumberType'!$B$4:$C$10, 2, FALSE))</f>
        <v>Mobile Phone</v>
      </c>
      <c r="F330" s="26" t="s">
        <v>1211</v>
      </c>
      <c r="G330" s="9"/>
      <c r="H330" s="9" t="s">
        <v>947</v>
      </c>
      <c r="J330" s="33">
        <f t="shared" si="11"/>
        <v>286000000000286</v>
      </c>
      <c r="K330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'+62 838-9116-5959'::varchar, NULL::varchar, 'Wartim'::varchar, '124000000000096'::bigint);</v>
      </c>
    </row>
    <row r="331" spans="2:11" x14ac:dyDescent="0.2">
      <c r="B331" s="22">
        <v>124000000000097</v>
      </c>
      <c r="C331" s="4" t="str">
        <f>IF(EXACT($B331, ""), "", IF((($B331 - MOD($B331, 1000000000000))/1000000000000)=25, CONCATENATE("Person - ", VLOOKUP($B331, [1]DataLookUp!$B$4:$C$2000, 2, FALSE)), IF((($B331 - MOD($B331, 1000000000000))/1000000000000)=124, CONCATENATE("Institution - ", VLOOKUP($B331, '[2]DataLookUp - InstitutionBranch'!$B$4:$C$2000, 2, FALSE)), "")))</f>
        <v>Institution - CV. Ghania Mandiri</v>
      </c>
      <c r="D331" s="22">
        <v>223000000000002</v>
      </c>
      <c r="E331" s="4" t="str">
        <f>IF(EXACT($D331, ""), "", VLOOKUP($D331, 'REF - ContactNumberType'!$B$4:$C$10, 2, FALSE))</f>
        <v>Mobile Phone</v>
      </c>
      <c r="F331" s="26" t="s">
        <v>903</v>
      </c>
      <c r="G331" s="9"/>
      <c r="H331" s="9" t="s">
        <v>948</v>
      </c>
      <c r="J331" s="33">
        <f t="shared" si="11"/>
        <v>286000000000287</v>
      </c>
      <c r="K331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'+62 812-1934-5800'::varchar, NULL::varchar, 'Rahmat Rasyid'::varchar, '124000000000097'::bigint);</v>
      </c>
    </row>
    <row r="332" spans="2:11" x14ac:dyDescent="0.2">
      <c r="B332" s="22">
        <v>124000000000098</v>
      </c>
      <c r="C332" s="4" t="str">
        <f>IF(EXACT($B332, ""), "", IF((($B332 - MOD($B332, 1000000000000))/1000000000000)=25, CONCATENATE("Person - ", VLOOKUP($B332, [1]DataLookUp!$B$4:$C$2000, 2, FALSE)), IF((($B332 - MOD($B332, 1000000000000))/1000000000000)=124, CONCATENATE("Institution - ", VLOOKUP($B332, '[2]DataLookUp - InstitutionBranch'!$B$4:$C$2000, 2, FALSE)), "")))</f>
        <v>Institution - CV. Istana Gemilang Mandiri</v>
      </c>
      <c r="D332" s="22">
        <v>223000000000002</v>
      </c>
      <c r="E332" s="4" t="str">
        <f>IF(EXACT($D332, ""), "", VLOOKUP($D332, 'REF - ContactNumberType'!$B$4:$C$10, 2, FALSE))</f>
        <v>Mobile Phone</v>
      </c>
      <c r="F332" s="26" t="s">
        <v>1212</v>
      </c>
      <c r="G332" s="9"/>
      <c r="H332" s="9" t="s">
        <v>949</v>
      </c>
      <c r="J332" s="33">
        <f t="shared" si="11"/>
        <v>286000000000288</v>
      </c>
      <c r="K332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'+62 822-5401-6520'::varchar, NULL::varchar, 'Hairul Amirudin'::varchar, '124000000000098'::bigint);</v>
      </c>
    </row>
    <row r="333" spans="2:11" x14ac:dyDescent="0.2">
      <c r="B333" s="22">
        <v>124000000000099</v>
      </c>
      <c r="C333" s="4" t="str">
        <f>IF(EXACT($B333, ""), "", IF((($B333 - MOD($B333, 1000000000000))/1000000000000)=25, CONCATENATE("Person - ", VLOOKUP($B333, [1]DataLookUp!$B$4:$C$2000, 2, FALSE)), IF((($B333 - MOD($B333, 1000000000000))/1000000000000)=124, CONCATENATE("Institution - ", VLOOKUP($B333, '[2]DataLookUp - InstitutionBranch'!$B$4:$C$2000, 2, FALSE)), "")))</f>
        <v>Institution - CV. Jember Elektrindo Gemilang</v>
      </c>
      <c r="D333" s="22">
        <v>223000000000002</v>
      </c>
      <c r="E333" s="4" t="str">
        <f>IF(EXACT($D333, ""), "", VLOOKUP($D333, 'REF - ContactNumberType'!$B$4:$C$10, 2, FALSE))</f>
        <v>Mobile Phone</v>
      </c>
      <c r="F333" s="26" t="s">
        <v>1213</v>
      </c>
      <c r="G333" s="9"/>
      <c r="H333" s="9" t="s">
        <v>950</v>
      </c>
      <c r="J333" s="33">
        <f t="shared" si="11"/>
        <v>286000000000289</v>
      </c>
      <c r="K333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'+62 852-1586-6584'::varchar, NULL::varchar, 'Sigit'::varchar, '124000000000099'::bigint);</v>
      </c>
    </row>
    <row r="334" spans="2:11" x14ac:dyDescent="0.2">
      <c r="B334" s="22">
        <v>124000000000099</v>
      </c>
      <c r="C334" s="4" t="str">
        <f>IF(EXACT($B334, ""), "", IF((($B334 - MOD($B334, 1000000000000))/1000000000000)=25, CONCATENATE("Person - ", VLOOKUP($B334, [1]DataLookUp!$B$4:$C$2000, 2, FALSE)), IF((($B334 - MOD($B334, 1000000000000))/1000000000000)=124, CONCATENATE("Institution - ", VLOOKUP($B334, '[2]DataLookUp - InstitutionBranch'!$B$4:$C$2000, 2, FALSE)), "")))</f>
        <v>Institution - CV. Jember Elektrindo Gemilang</v>
      </c>
      <c r="D334" s="22">
        <v>223000000000004</v>
      </c>
      <c r="E334" s="4" t="str">
        <f>IF(EXACT($D334, ""), "", VLOOKUP($D334, 'REF - ContactNumberType'!$B$4:$C$10, 2, FALSE))</f>
        <v>Office Phone</v>
      </c>
      <c r="F334" s="26" t="s">
        <v>1614</v>
      </c>
      <c r="G334" s="9"/>
      <c r="H334" s="9" t="s">
        <v>950</v>
      </c>
      <c r="J334" s="33">
        <f t="shared" si="11"/>
        <v>286000000000290</v>
      </c>
      <c r="K334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315-8970'::varchar, NULL::varchar, 'Sigit'::varchar, '124000000000099'::bigint);</v>
      </c>
    </row>
    <row r="335" spans="2:11" x14ac:dyDescent="0.2">
      <c r="B335" s="22">
        <v>124000000000100</v>
      </c>
      <c r="C335" s="4" t="str">
        <f>IF(EXACT($B335, ""), "", IF((($B335 - MOD($B335, 1000000000000))/1000000000000)=25, CONCATENATE("Person - ", VLOOKUP($B335, [1]DataLookUp!$B$4:$C$2000, 2, FALSE)), IF((($B335 - MOD($B335, 1000000000000))/1000000000000)=124, CONCATENATE("Institution - ", VLOOKUP($B335, '[2]DataLookUp - InstitutionBranch'!$B$4:$C$2000, 2, FALSE)), "")))</f>
        <v>Institution - CV. Karya Baru</v>
      </c>
      <c r="D335" s="22">
        <v>223000000000002</v>
      </c>
      <c r="E335" s="4" t="str">
        <f>IF(EXACT($D335, ""), "", VLOOKUP($D335, 'REF - ContactNumberType'!$B$4:$C$10, 2, FALSE))</f>
        <v>Mobile Phone</v>
      </c>
      <c r="F335" s="26" t="s">
        <v>1214</v>
      </c>
      <c r="G335" s="9"/>
      <c r="H335" s="9" t="s">
        <v>951</v>
      </c>
      <c r="J335" s="33">
        <f t="shared" si="11"/>
        <v>286000000000291</v>
      </c>
      <c r="K335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'+62 812-5640-4650'::varchar, NULL::varchar, 'Ninum'::varchar, '124000000000100'::bigint);</v>
      </c>
    </row>
    <row r="336" spans="2:11" x14ac:dyDescent="0.2">
      <c r="B336" s="22">
        <v>124000000000100</v>
      </c>
      <c r="C336" s="4" t="str">
        <f>IF(EXACT($B336, ""), "", IF((($B336 - MOD($B336, 1000000000000))/1000000000000)=25, CONCATENATE("Person - ", VLOOKUP($B336, [1]DataLookUp!$B$4:$C$2000, 2, FALSE)), IF((($B336 - MOD($B336, 1000000000000))/1000000000000)=124, CONCATENATE("Institution - ", VLOOKUP($B336, '[2]DataLookUp - InstitutionBranch'!$B$4:$C$2000, 2, FALSE)), "")))</f>
        <v>Institution - CV. Karya Baru</v>
      </c>
      <c r="D336" s="22">
        <v>223000000000004</v>
      </c>
      <c r="E336" s="4" t="str">
        <f>IF(EXACT($D336, ""), "", VLOOKUP($D336, 'REF - ContactNumberType'!$B$4:$C$10, 2, FALSE))</f>
        <v>Office Phone</v>
      </c>
      <c r="F336" s="26" t="s">
        <v>1608</v>
      </c>
      <c r="G336" s="9"/>
      <c r="H336" s="9" t="s">
        <v>951</v>
      </c>
      <c r="J336" s="33">
        <f t="shared" si="11"/>
        <v>286000000000292</v>
      </c>
      <c r="K336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223000000000004::bigint, '+62 (053) 223-788'::varchar, NULL::varchar, 'Ninum'::varchar, '124000000000100'::bigint);</v>
      </c>
    </row>
    <row r="337" spans="2:11" x14ac:dyDescent="0.2">
      <c r="B337" s="22">
        <v>124000000000101</v>
      </c>
      <c r="C337" s="4" t="str">
        <f>IF(EXACT($B337, ""), "", IF((($B337 - MOD($B337, 1000000000000))/1000000000000)=25, CONCATENATE("Person - ", VLOOKUP($B337, [1]DataLookUp!$B$4:$C$2000, 2, FALSE)), IF((($B337 - MOD($B337, 1000000000000))/1000000000000)=124, CONCATENATE("Institution - ", VLOOKUP($B337, '[2]DataLookUp - InstitutionBranch'!$B$4:$C$2000, 2, FALSE)), "")))</f>
        <v>Institution - CV. Kawan Inti Jaya</v>
      </c>
      <c r="D337" s="22">
        <v>223000000000002</v>
      </c>
      <c r="E337" s="4" t="str">
        <f>IF(EXACT($D337, ""), "", VLOOKUP($D337, 'REF - ContactNumberType'!$B$4:$C$10, 2, FALSE))</f>
        <v>Mobile Phone</v>
      </c>
      <c r="F337" s="26" t="s">
        <v>1215</v>
      </c>
      <c r="G337" s="9"/>
      <c r="H337" s="9" t="s">
        <v>952</v>
      </c>
      <c r="J337" s="33">
        <f t="shared" si="11"/>
        <v>286000000000293</v>
      </c>
      <c r="K337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'+62 852-1771-8198'::varchar, NULL::varchar, 'Karyadi'::varchar, '124000000000101'::bigint);</v>
      </c>
    </row>
    <row r="338" spans="2:11" x14ac:dyDescent="0.2">
      <c r="B338" s="22">
        <v>124000000000101</v>
      </c>
      <c r="C338" s="4" t="str">
        <f>IF(EXACT($B338, ""), "", IF((($B338 - MOD($B338, 1000000000000))/1000000000000)=25, CONCATENATE("Person - ", VLOOKUP($B338, [1]DataLookUp!$B$4:$C$2000, 2, FALSE)), IF((($B338 - MOD($B338, 1000000000000))/1000000000000)=124, CONCATENATE("Institution - ", VLOOKUP($B338, '[2]DataLookUp - InstitutionBranch'!$B$4:$C$2000, 2, FALSE)), "")))</f>
        <v>Institution - CV. Kawan Inti Jaya</v>
      </c>
      <c r="D338" s="22">
        <v>223000000000004</v>
      </c>
      <c r="E338" s="4" t="str">
        <f>IF(EXACT($D338, ""), "", VLOOKUP($D338, 'REF - ContactNumberType'!$B$4:$C$10, 2, FALSE))</f>
        <v>Office Phone</v>
      </c>
      <c r="F338" s="26" t="s">
        <v>1613</v>
      </c>
      <c r="G338" s="9"/>
      <c r="H338" s="9" t="s">
        <v>952</v>
      </c>
      <c r="J338" s="33">
        <f t="shared" si="11"/>
        <v>286000000000294</v>
      </c>
      <c r="K338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223-016-73'::varchar, NULL::varchar, 'Karyadi'::varchar, '124000000000101'::bigint);</v>
      </c>
    </row>
    <row r="339" spans="2:11" x14ac:dyDescent="0.2">
      <c r="B339" s="22">
        <v>124000000000102</v>
      </c>
      <c r="C339" s="4" t="str">
        <f>IF(EXACT($B339, ""), "", IF((($B339 - MOD($B339, 1000000000000))/1000000000000)=25, CONCATENATE("Person - ", VLOOKUP($B339, [1]DataLookUp!$B$4:$C$2000, 2, FALSE)), IF((($B339 - MOD($B339, 1000000000000))/1000000000000)=124, CONCATENATE("Institution - ", VLOOKUP($B339, '[2]DataLookUp - InstitutionBranch'!$B$4:$C$2000, 2, FALSE)), "")))</f>
        <v>Institution - CV. Laba Mandiri Lapaopao</v>
      </c>
      <c r="D339" s="22">
        <v>223000000000002</v>
      </c>
      <c r="E339" s="4" t="str">
        <f>IF(EXACT($D339, ""), "", VLOOKUP($D339, 'REF - ContactNumberType'!$B$4:$C$10, 2, FALSE))</f>
        <v>Mobile Phone</v>
      </c>
      <c r="F339" s="26" t="s">
        <v>1216</v>
      </c>
      <c r="G339" s="9"/>
      <c r="H339" s="9" t="s">
        <v>953</v>
      </c>
      <c r="J339" s="33">
        <f t="shared" si="11"/>
        <v>286000000000295</v>
      </c>
      <c r="K339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'+62 821-8773-9295'::varchar, NULL::varchar, 'Musdalifah'::varchar, '124000000000102'::bigint);</v>
      </c>
    </row>
    <row r="340" spans="2:11" x14ac:dyDescent="0.2">
      <c r="B340" s="22">
        <v>124000000000103</v>
      </c>
      <c r="C340" s="4" t="str">
        <f>IF(EXACT($B340, ""), "", IF((($B340 - MOD($B340, 1000000000000))/1000000000000)=25, CONCATENATE("Person - ", VLOOKUP($B340, [1]DataLookUp!$B$4:$C$2000, 2, FALSE)), IF((($B340 - MOD($B340, 1000000000000))/1000000000000)=124, CONCATENATE("Institution - ", VLOOKUP($B340, '[2]DataLookUp - InstitutionBranch'!$B$4:$C$2000, 2, FALSE)), "")))</f>
        <v>Institution - CV. Mitra Bengawan Trans</v>
      </c>
      <c r="D340" s="22">
        <v>223000000000002</v>
      </c>
      <c r="E340" s="4" t="str">
        <f>IF(EXACT($D340, ""), "", VLOOKUP($D340, 'REF - ContactNumberType'!$B$4:$C$10, 2, FALSE))</f>
        <v>Mobile Phone</v>
      </c>
      <c r="F340" s="26" t="s">
        <v>904</v>
      </c>
      <c r="G340" s="9"/>
      <c r="H340" s="9" t="s">
        <v>954</v>
      </c>
      <c r="J340" s="33">
        <f t="shared" si="11"/>
        <v>286000000000296</v>
      </c>
      <c r="K340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'+62 811-5230-808'::varchar, NULL::varchar, 'Annisa'::varchar, '124000000000103'::bigint);</v>
      </c>
    </row>
    <row r="341" spans="2:11" x14ac:dyDescent="0.2">
      <c r="B341" s="22">
        <v>124000000000104</v>
      </c>
      <c r="C341" s="4" t="str">
        <f>IF(EXACT($B341, ""), "", IF((($B341 - MOD($B341, 1000000000000))/1000000000000)=25, CONCATENATE("Person - ", VLOOKUP($B341, [1]DataLookUp!$B$4:$C$2000, 2, FALSE)), IF((($B341 - MOD($B341, 1000000000000))/1000000000000)=124, CONCATENATE("Institution - ", VLOOKUP($B341, '[2]DataLookUp - InstitutionBranch'!$B$4:$C$2000, 2, FALSE)), "")))</f>
        <v>Institution - CV. Mulia Jaya Steel</v>
      </c>
      <c r="D341" s="22">
        <v>223000000000002</v>
      </c>
      <c r="E341" s="4" t="str">
        <f>IF(EXACT($D341, ""), "", VLOOKUP($D341, 'REF - ContactNumberType'!$B$4:$C$10, 2, FALSE))</f>
        <v>Mobile Phone</v>
      </c>
      <c r="F341" s="26" t="s">
        <v>1217</v>
      </c>
      <c r="G341" s="9"/>
      <c r="H341" s="9"/>
      <c r="J341" s="33">
        <f t="shared" si="11"/>
        <v>286000000000297</v>
      </c>
      <c r="K341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'+62 813-4190-5779'::varchar, NULL::varchar, NULL::varchar, '124000000000104'::bigint);</v>
      </c>
    </row>
    <row r="342" spans="2:11" x14ac:dyDescent="0.2">
      <c r="B342" s="22">
        <v>124000000000104</v>
      </c>
      <c r="C342" s="4" t="str">
        <f>IF(EXACT($B342, ""), "", IF((($B342 - MOD($B342, 1000000000000))/1000000000000)=25, CONCATENATE("Person - ", VLOOKUP($B342, [1]DataLookUp!$B$4:$C$2000, 2, FALSE)), IF((($B342 - MOD($B342, 1000000000000))/1000000000000)=124, CONCATENATE("Institution - ", VLOOKUP($B342, '[2]DataLookUp - InstitutionBranch'!$B$4:$C$2000, 2, FALSE)), "")))</f>
        <v>Institution - CV. Mulia Jaya Steel</v>
      </c>
      <c r="D342" s="22">
        <v>223000000000002</v>
      </c>
      <c r="E342" s="4" t="str">
        <f>IF(EXACT($D342, ""), "", VLOOKUP($D342, 'REF - ContactNumberType'!$B$4:$C$10, 2, FALSE))</f>
        <v>Mobile Phone</v>
      </c>
      <c r="F342" s="26" t="s">
        <v>1612</v>
      </c>
      <c r="G342" s="9"/>
      <c r="H342" s="9"/>
      <c r="J342" s="33">
        <f t="shared" si="11"/>
        <v>286000000000298</v>
      </c>
      <c r="K342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'+62 811-4099-189'::varchar, NULL::varchar, NULL::varchar, '124000000000104'::bigint);</v>
      </c>
    </row>
    <row r="343" spans="2:11" x14ac:dyDescent="0.2">
      <c r="B343" s="22">
        <v>124000000000105</v>
      </c>
      <c r="C343" s="4" t="str">
        <f>IF(EXACT($B343, ""), "", IF((($B343 - MOD($B343, 1000000000000))/1000000000000)=25, CONCATENATE("Person - ", VLOOKUP($B343, [1]DataLookUp!$B$4:$C$2000, 2, FALSE)), IF((($B343 - MOD($B343, 1000000000000))/1000000000000)=124, CONCATENATE("Institution - ", VLOOKUP($B343, '[2]DataLookUp - InstitutionBranch'!$B$4:$C$2000, 2, FALSE)), "")))</f>
        <v>Institution - CV. Muzima</v>
      </c>
      <c r="D343" s="22">
        <v>223000000000002</v>
      </c>
      <c r="E343" s="4" t="str">
        <f>IF(EXACT($D343, ""), "", VLOOKUP($D343, 'REF - ContactNumberType'!$B$4:$C$10, 2, FALSE))</f>
        <v>Mobile Phone</v>
      </c>
      <c r="F343" s="26" t="s">
        <v>1218</v>
      </c>
      <c r="G343" s="9"/>
      <c r="H343" s="9" t="s">
        <v>955</v>
      </c>
      <c r="J343" s="33">
        <f t="shared" si="11"/>
        <v>286000000000299</v>
      </c>
      <c r="K343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'+62 812-9570-9029'::varchar, NULL::varchar, 'Rosid'::varchar, '124000000000105'::bigint);</v>
      </c>
    </row>
    <row r="344" spans="2:11" x14ac:dyDescent="0.2">
      <c r="B344" s="22">
        <v>124000000000106</v>
      </c>
      <c r="C344" s="4" t="str">
        <f>IF(EXACT($B344, ""), "", IF((($B344 - MOD($B344, 1000000000000))/1000000000000)=25, CONCATENATE("Person - ", VLOOKUP($B344, [1]DataLookUp!$B$4:$C$2000, 2, FALSE)), IF((($B344 - MOD($B344, 1000000000000))/1000000000000)=124, CONCATENATE("Institution - ", VLOOKUP($B344, '[2]DataLookUp - InstitutionBranch'!$B$4:$C$2000, 2, FALSE)), "")))</f>
        <v>Institution - CV. Punokawan</v>
      </c>
      <c r="D344" s="22">
        <v>223000000000004</v>
      </c>
      <c r="E344" s="4" t="str">
        <f>IF(EXACT($D344, ""), "", VLOOKUP($D344, 'REF - ContactNumberType'!$B$4:$C$10, 2, FALSE))</f>
        <v>Office Phone</v>
      </c>
      <c r="F344" s="26" t="s">
        <v>1611</v>
      </c>
      <c r="G344" s="9"/>
      <c r="H344" s="9" t="s">
        <v>956</v>
      </c>
      <c r="J344" s="33">
        <f t="shared" si="11"/>
        <v>286000000000300</v>
      </c>
      <c r="K344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223000000000004::bigint, '+62 (024) 766-342-17'::varchar, NULL::varchar, 'Heri'::varchar, '124000000000106'::bigint);</v>
      </c>
    </row>
    <row r="345" spans="2:11" x14ac:dyDescent="0.2">
      <c r="B345" s="22">
        <v>124000000000107</v>
      </c>
      <c r="C345" s="4" t="str">
        <f>IF(EXACT($B345, ""), "", IF((($B345 - MOD($B345, 1000000000000))/1000000000000)=25, CONCATENATE("Person - ", VLOOKUP($B345, [1]DataLookUp!$B$4:$C$2000, 2, FALSE)), IF((($B345 - MOD($B345, 1000000000000))/1000000000000)=124, CONCATENATE("Institution - ", VLOOKUP($B345, '[2]DataLookUp - InstitutionBranch'!$B$4:$C$2000, 2, FALSE)), "")))</f>
        <v>Institution - CV. Putra Bintang Api</v>
      </c>
      <c r="D345" s="22">
        <v>223000000000004</v>
      </c>
      <c r="E345" s="4" t="str">
        <f>IF(EXACT($D345, ""), "", VLOOKUP($D345, 'REF - ContactNumberType'!$B$4:$C$10, 2, FALSE))</f>
        <v>Office Phone</v>
      </c>
      <c r="F345" s="26" t="s">
        <v>1610</v>
      </c>
      <c r="G345" s="9"/>
      <c r="H345" s="9" t="s">
        <v>957</v>
      </c>
      <c r="J345" s="33">
        <f t="shared" si="11"/>
        <v>286000000000301</v>
      </c>
      <c r="K345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223000000000004::bigint, '+62 (053) 224-793'::varchar, NULL::varchar, 'Kian Fung'::varchar, '124000000000107'::bigint);</v>
      </c>
    </row>
    <row r="346" spans="2:11" x14ac:dyDescent="0.2">
      <c r="B346" s="22">
        <v>124000000000108</v>
      </c>
      <c r="C346" s="4" t="str">
        <f>IF(EXACT($B346, ""), "", IF((($B346 - MOD($B346, 1000000000000))/1000000000000)=25, CONCATENATE("Person - ", VLOOKUP($B346, [1]DataLookUp!$B$4:$C$2000, 2, FALSE)), IF((($B346 - MOD($B346, 1000000000000))/1000000000000)=124, CONCATENATE("Institution - ", VLOOKUP($B346, '[2]DataLookUp - InstitutionBranch'!$B$4:$C$2000, 2, FALSE)), "")))</f>
        <v>Institution - CV. Sangiang Teknik Perkasa</v>
      </c>
      <c r="D346" s="22">
        <v>223000000000002</v>
      </c>
      <c r="E346" s="4" t="str">
        <f>IF(EXACT($D346, ""), "", VLOOKUP($D346, 'REF - ContactNumberType'!$B$4:$C$10, 2, FALSE))</f>
        <v>Mobile Phone</v>
      </c>
      <c r="F346" s="26" t="s">
        <v>1219</v>
      </c>
      <c r="G346" s="9"/>
      <c r="H346" s="9" t="s">
        <v>958</v>
      </c>
      <c r="J346" s="33">
        <f t="shared" si="11"/>
        <v>286000000000302</v>
      </c>
      <c r="K346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'+62 812-2263-1116'::varchar, NULL::varchar, 'Ishak'::varchar, '124000000000108'::bigint);</v>
      </c>
    </row>
    <row r="347" spans="2:11" x14ac:dyDescent="0.2">
      <c r="B347" s="22">
        <v>124000000000109</v>
      </c>
      <c r="C347" s="4" t="str">
        <f>IF(EXACT($B347, ""), "", IF((($B347 - MOD($B347, 1000000000000))/1000000000000)=25, CONCATENATE("Person - ", VLOOKUP($B347, [1]DataLookUp!$B$4:$C$2000, 2, FALSE)), IF((($B347 - MOD($B347, 1000000000000))/1000000000000)=124, CONCATENATE("Institution - ", VLOOKUP($B347, '[2]DataLookUp - InstitutionBranch'!$B$4:$C$2000, 2, FALSE)), "")))</f>
        <v>Institution - CV. Siliwangi jaya</v>
      </c>
      <c r="D347" s="22">
        <v>223000000000002</v>
      </c>
      <c r="E347" s="4" t="str">
        <f>IF(EXACT($D347, ""), "", VLOOKUP($D347, 'REF - ContactNumberType'!$B$4:$C$10, 2, FALSE))</f>
        <v>Mobile Phone</v>
      </c>
      <c r="F347" s="26" t="s">
        <v>905</v>
      </c>
      <c r="G347" s="9"/>
      <c r="H347" s="9" t="s">
        <v>959</v>
      </c>
      <c r="J347" s="33">
        <f t="shared" si="11"/>
        <v>286000000000303</v>
      </c>
      <c r="K347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'+62 821-1979-9987'::varchar, NULL::varchar, 'Ira'::varchar, '124000000000109'::bigint);</v>
      </c>
    </row>
    <row r="348" spans="2:11" x14ac:dyDescent="0.2">
      <c r="B348" s="22">
        <v>124000000000110</v>
      </c>
      <c r="C348" s="4" t="str">
        <f>IF(EXACT($B348, ""), "", IF((($B348 - MOD($B348, 1000000000000))/1000000000000)=25, CONCATENATE("Person - ", VLOOKUP($B348, [1]DataLookUp!$B$4:$C$2000, 2, FALSE)), IF((($B348 - MOD($B348, 1000000000000))/1000000000000)=124, CONCATENATE("Institution - ", VLOOKUP($B348, '[2]DataLookUp - InstitutionBranch'!$B$4:$C$2000, 2, FALSE)), "")))</f>
        <v>Institution - CV. Sukses Indo Pratama</v>
      </c>
      <c r="D348" s="22">
        <v>223000000000002</v>
      </c>
      <c r="E348" s="4" t="str">
        <f>IF(EXACT($D348, ""), "", VLOOKUP($D348, 'REF - ContactNumberType'!$B$4:$C$10, 2, FALSE))</f>
        <v>Mobile Phone</v>
      </c>
      <c r="F348" s="26" t="s">
        <v>906</v>
      </c>
      <c r="G348" s="9"/>
      <c r="H348" s="9" t="s">
        <v>960</v>
      </c>
      <c r="J348" s="33">
        <f t="shared" si="11"/>
        <v>286000000000304</v>
      </c>
      <c r="K348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'+62 811-1909-4011'::varchar, NULL::varchar, 'Eswin Gozali'::varchar, '124000000000110'::bigint);</v>
      </c>
    </row>
    <row r="349" spans="2:11" x14ac:dyDescent="0.2">
      <c r="B349" s="22">
        <v>124000000000111</v>
      </c>
      <c r="C349" s="4" t="str">
        <f>IF(EXACT($B349, ""), "", IF((($B349 - MOD($B349, 1000000000000))/1000000000000)=25, CONCATENATE("Person - ", VLOOKUP($B349, [1]DataLookUp!$B$4:$C$2000, 2, FALSE)), IF((($B349 - MOD($B349, 1000000000000))/1000000000000)=124, CONCATENATE("Institution - ", VLOOKUP($B349, '[2]DataLookUp - InstitutionBranch'!$B$4:$C$2000, 2, FALSE)), "")))</f>
        <v>Institution - CV. Sumber Rezeki</v>
      </c>
      <c r="D349" s="22">
        <v>223000000000002</v>
      </c>
      <c r="E349" s="4" t="str">
        <f>IF(EXACT($D349, ""), "", VLOOKUP($D349, 'REF - ContactNumberType'!$B$4:$C$10, 2, FALSE))</f>
        <v>Mobile Phone</v>
      </c>
      <c r="F349" s="26" t="s">
        <v>1220</v>
      </c>
      <c r="G349" s="9"/>
      <c r="H349" s="9" t="s">
        <v>961</v>
      </c>
      <c r="J349" s="33">
        <f t="shared" si="11"/>
        <v>286000000000305</v>
      </c>
      <c r="K349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'+62 811-9650-3201'::varchar, NULL::varchar, 'Evi Sinaga'::varchar, '124000000000111'::bigint);</v>
      </c>
    </row>
    <row r="350" spans="2:11" x14ac:dyDescent="0.2">
      <c r="B350" s="22">
        <v>124000000000111</v>
      </c>
      <c r="C350" s="4" t="str">
        <f>IF(EXACT($B350, ""), "", IF((($B350 - MOD($B350, 1000000000000))/1000000000000)=25, CONCATENATE("Person - ", VLOOKUP($B350, [1]DataLookUp!$B$4:$C$2000, 2, FALSE)), IF((($B350 - MOD($B350, 1000000000000))/1000000000000)=124, CONCATENATE("Institution - ", VLOOKUP($B350, '[2]DataLookUp - InstitutionBranch'!$B$4:$C$2000, 2, FALSE)), "")))</f>
        <v>Institution - CV. Sumber Rezeki</v>
      </c>
      <c r="D350" s="22">
        <v>223000000000004</v>
      </c>
      <c r="E350" s="4" t="str">
        <f>IF(EXACT($D350, ""), "", VLOOKUP($D350, 'REF - ContactNumberType'!$B$4:$C$10, 2, FALSE))</f>
        <v>Office Phone</v>
      </c>
      <c r="F350" s="26" t="s">
        <v>1609</v>
      </c>
      <c r="G350" s="9"/>
      <c r="H350" s="9" t="s">
        <v>961</v>
      </c>
      <c r="J350" s="33">
        <f t="shared" si="11"/>
        <v>286000000000306</v>
      </c>
      <c r="K350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439-312-92'::varchar, NULL::varchar, 'Evi Sinaga'::varchar, '124000000000111'::bigint);</v>
      </c>
    </row>
    <row r="351" spans="2:11" x14ac:dyDescent="0.2">
      <c r="B351" s="22">
        <v>124000000000112</v>
      </c>
      <c r="C351" s="4" t="str">
        <f>IF(EXACT($B351, ""), "", IF((($B351 - MOD($B351, 1000000000000))/1000000000000)=25, CONCATENATE("Person - ", VLOOKUP($B351, [1]DataLookUp!$B$4:$C$2000, 2, FALSE)), IF((($B351 - MOD($B351, 1000000000000))/1000000000000)=124, CONCATENATE("Institution - ", VLOOKUP($B351, '[2]DataLookUp - InstitutionBranch'!$B$4:$C$2000, 2, FALSE)), "")))</f>
        <v>Institution - CV. Sumber Sarana Karya</v>
      </c>
      <c r="D351" s="22">
        <v>223000000000004</v>
      </c>
      <c r="E351" s="4" t="str">
        <f>IF(EXACT($D351, ""), "", VLOOKUP($D351, 'REF - ContactNumberType'!$B$4:$C$10, 2, FALSE))</f>
        <v>Office Phone</v>
      </c>
      <c r="F351" s="26" t="s">
        <v>1608</v>
      </c>
      <c r="G351" s="9"/>
      <c r="H351" s="9" t="s">
        <v>951</v>
      </c>
      <c r="J351" s="33">
        <f t="shared" si="11"/>
        <v>286000000000307</v>
      </c>
      <c r="K351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223000000000004::bigint, '+62 (053) 223-788'::varchar, NULL::varchar, 'Ninum'::varchar, '124000000000112'::bigint);</v>
      </c>
    </row>
    <row r="352" spans="2:11" x14ac:dyDescent="0.2">
      <c r="B352" s="22">
        <v>124000000000113</v>
      </c>
      <c r="C352" s="4" t="str">
        <f>IF(EXACT($B352, ""), "", IF((($B352 - MOD($B352, 1000000000000))/1000000000000)=25, CONCATENATE("Person - ", VLOOKUP($B352, [1]DataLookUp!$B$4:$C$2000, 2, FALSE)), IF((($B352 - MOD($B352, 1000000000000))/1000000000000)=124, CONCATENATE("Institution - ", VLOOKUP($B352, '[2]DataLookUp - InstitutionBranch'!$B$4:$C$2000, 2, FALSE)), "")))</f>
        <v>Institution - CV. Surya Pandawa Nusa</v>
      </c>
      <c r="D352" s="22">
        <v>223000000000002</v>
      </c>
      <c r="E352" s="4" t="str">
        <f>IF(EXACT($D352, ""), "", VLOOKUP($D352, 'REF - ContactNumberType'!$B$4:$C$10, 2, FALSE))</f>
        <v>Mobile Phone</v>
      </c>
      <c r="F352" s="26" t="s">
        <v>1607</v>
      </c>
      <c r="G352" s="9"/>
      <c r="H352" s="9" t="s">
        <v>962</v>
      </c>
      <c r="J352" s="33">
        <f t="shared" si="11"/>
        <v>286000000000308</v>
      </c>
      <c r="K352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'+62 813-1480-0075'::varchar, NULL::varchar, 'Juana/Erwin'::varchar, '124000000000113'::bigint);</v>
      </c>
    </row>
    <row r="353" spans="2:11" x14ac:dyDescent="0.2">
      <c r="B353" s="22">
        <v>124000000000114</v>
      </c>
      <c r="C353" s="4" t="str">
        <f>IF(EXACT($B353, ""), "", IF((($B353 - MOD($B353, 1000000000000))/1000000000000)=25, CONCATENATE("Person - ", VLOOKUP($B353, [1]DataLookUp!$B$4:$C$2000, 2, FALSE)), IF((($B353 - MOD($B353, 1000000000000))/1000000000000)=124, CONCATENATE("Institution - ", VLOOKUP($B353, '[2]DataLookUp - InstitutionBranch'!$B$4:$C$2000, 2, FALSE)), "")))</f>
        <v>Institution - PT. Abadi Rajawali Semesta</v>
      </c>
      <c r="D353" s="22">
        <v>223000000000002</v>
      </c>
      <c r="E353" s="4" t="str">
        <f>IF(EXACT($D353, ""), "", VLOOKUP($D353, 'REF - ContactNumberType'!$B$4:$C$10, 2, FALSE))</f>
        <v>Mobile Phone</v>
      </c>
      <c r="F353" s="26" t="s">
        <v>1222</v>
      </c>
      <c r="G353" s="9"/>
      <c r="H353" s="9" t="s">
        <v>963</v>
      </c>
      <c r="J353" s="33">
        <f t="shared" si="11"/>
        <v>286000000000309</v>
      </c>
      <c r="K353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'+62 812-8995-6068'::varchar, NULL::varchar, 'Shira'::varchar, '124000000000114'::bigint);</v>
      </c>
    </row>
    <row r="354" spans="2:11" x14ac:dyDescent="0.2">
      <c r="B354" s="22">
        <v>124000000000115</v>
      </c>
      <c r="C354" s="4" t="str">
        <f>IF(EXACT($B354, ""), "", IF((($B354 - MOD($B354, 1000000000000))/1000000000000)=25, CONCATENATE("Person - ", VLOOKUP($B354, [1]DataLookUp!$B$4:$C$2000, 2, FALSE)), IF((($B354 - MOD($B354, 1000000000000))/1000000000000)=124, CONCATENATE("Institution - ", VLOOKUP($B354, '[2]DataLookUp - InstitutionBranch'!$B$4:$C$2000, 2, FALSE)), "")))</f>
        <v>Institution - PT. Adibrata Graha</v>
      </c>
      <c r="D354" s="22">
        <v>223000000000002</v>
      </c>
      <c r="E354" s="4" t="str">
        <f>IF(EXACT($D354, ""), "", VLOOKUP($D354, 'REF - ContactNumberType'!$B$4:$C$10, 2, FALSE))</f>
        <v>Mobile Phone</v>
      </c>
      <c r="F354" s="26" t="s">
        <v>907</v>
      </c>
      <c r="G354" s="9"/>
      <c r="H354" s="9"/>
      <c r="J354" s="33">
        <f t="shared" si="11"/>
        <v>286000000000310</v>
      </c>
      <c r="K354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'+62 857-7922-5532'::varchar, NULL::varchar, NULL::varchar, '124000000000115'::bigint);</v>
      </c>
    </row>
    <row r="355" spans="2:11" x14ac:dyDescent="0.2">
      <c r="B355" s="22">
        <v>124000000000116</v>
      </c>
      <c r="C355" s="4" t="str">
        <f>IF(EXACT($B355, ""), "", IF((($B355 - MOD($B355, 1000000000000))/1000000000000)=25, CONCATENATE("Person - ", VLOOKUP($B355, [1]DataLookUp!$B$4:$C$2000, 2, FALSE)), IF((($B355 - MOD($B355, 1000000000000))/1000000000000)=124, CONCATENATE("Institution - ", VLOOKUP($B355, '[2]DataLookUp - InstitutionBranch'!$B$4:$C$2000, 2, FALSE)), "")))</f>
        <v>Institution - PT. Aegisindo Mitra Sejati</v>
      </c>
      <c r="D355" s="22">
        <v>223000000000002</v>
      </c>
      <c r="E355" s="4" t="str">
        <f>IF(EXACT($D355, ""), "", VLOOKUP($D355, 'REF - ContactNumberType'!$B$4:$C$10, 2, FALSE))</f>
        <v>Mobile Phone</v>
      </c>
      <c r="F355" s="26" t="s">
        <v>1221</v>
      </c>
      <c r="G355" s="9"/>
      <c r="H355" s="9" t="s">
        <v>964</v>
      </c>
      <c r="J355" s="33">
        <f t="shared" si="11"/>
        <v>286000000000311</v>
      </c>
      <c r="K355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'+62 822-9988-8008'::varchar, NULL::varchar, 'Admin'::varchar, '124000000000116'::bigint);</v>
      </c>
    </row>
    <row r="356" spans="2:11" x14ac:dyDescent="0.2">
      <c r="B356" s="22">
        <v>124000000000116</v>
      </c>
      <c r="C356" s="4" t="str">
        <f>IF(EXACT($B356, ""), "", IF((($B356 - MOD($B356, 1000000000000))/1000000000000)=25, CONCATENATE("Person - ", VLOOKUP($B356, [1]DataLookUp!$B$4:$C$2000, 2, FALSE)), IF((($B356 - MOD($B356, 1000000000000))/1000000000000)=124, CONCATENATE("Institution - ", VLOOKUP($B356, '[2]DataLookUp - InstitutionBranch'!$B$4:$C$2000, 2, FALSE)), "")))</f>
        <v>Institution - PT. Aegisindo Mitra Sejati</v>
      </c>
      <c r="D356" s="22">
        <v>223000000000004</v>
      </c>
      <c r="E356" s="4" t="str">
        <f>IF(EXACT($D356, ""), "", VLOOKUP($D356, 'REF - ContactNumberType'!$B$4:$C$10, 2, FALSE))</f>
        <v>Office Phone</v>
      </c>
      <c r="F356" s="26" t="s">
        <v>1606</v>
      </c>
      <c r="G356" s="9"/>
      <c r="H356" s="9" t="s">
        <v>964</v>
      </c>
      <c r="J356" s="33">
        <f t="shared" si="11"/>
        <v>286000000000312</v>
      </c>
      <c r="K356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899-766-88'::varchar, NULL::varchar, 'Admin'::varchar, '124000000000116'::bigint);</v>
      </c>
    </row>
    <row r="357" spans="2:11" x14ac:dyDescent="0.2">
      <c r="B357" s="22">
        <v>124000000000117</v>
      </c>
      <c r="C357" s="4" t="str">
        <f>IF(EXACT($B357, ""), "", IF((($B357 - MOD($B357, 1000000000000))/1000000000000)=25, CONCATENATE("Person - ", VLOOKUP($B357, [1]DataLookUp!$B$4:$C$2000, 2, FALSE)), IF((($B357 - MOD($B357, 1000000000000))/1000000000000)=124, CONCATENATE("Institution - ", VLOOKUP($B357, '[2]DataLookUp - InstitutionBranch'!$B$4:$C$2000, 2, FALSE)), "")))</f>
        <v>Institution - PT. Agape Biomedi Investama</v>
      </c>
      <c r="D357" s="22">
        <v>223000000000002</v>
      </c>
      <c r="E357" s="4" t="str">
        <f>IF(EXACT($D357, ""), "", VLOOKUP($D357, 'REF - ContactNumberType'!$B$4:$C$10, 2, FALSE))</f>
        <v>Mobile Phone</v>
      </c>
      <c r="F357" s="26" t="s">
        <v>1604</v>
      </c>
      <c r="G357" s="9"/>
      <c r="H357" s="9" t="s">
        <v>965</v>
      </c>
      <c r="J357" s="33">
        <f t="shared" si="11"/>
        <v>286000000000313</v>
      </c>
      <c r="K357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'+62 811-860-0123'::varchar, NULL::varchar, 'PT. Agape Biomedi Investa'::varchar, '124000000000117'::bigint);</v>
      </c>
    </row>
    <row r="358" spans="2:11" x14ac:dyDescent="0.2">
      <c r="B358" s="22">
        <v>124000000000118</v>
      </c>
      <c r="C358" s="4" t="str">
        <f>IF(EXACT($B358, ""), "", IF((($B358 - MOD($B358, 1000000000000))/1000000000000)=25, CONCATENATE("Person - ", VLOOKUP($B358, [1]DataLookUp!$B$4:$C$2000, 2, FALSE)), IF((($B358 - MOD($B358, 1000000000000))/1000000000000)=124, CONCATENATE("Institution - ", VLOOKUP($B358, '[2]DataLookUp - InstitutionBranch'!$B$4:$C$2000, 2, FALSE)), "")))</f>
        <v>Institution - PT. Ali Sejahtera</v>
      </c>
      <c r="D358" s="22">
        <v>223000000000004</v>
      </c>
      <c r="E358" s="4" t="str">
        <f>IF(EXACT($D358, ""), "", VLOOKUP($D358, 'REF - ContactNumberType'!$B$4:$C$10, 2, FALSE))</f>
        <v>Office Phone</v>
      </c>
      <c r="F358" s="26" t="s">
        <v>1605</v>
      </c>
      <c r="G358" s="9"/>
      <c r="H358" s="9" t="s">
        <v>966</v>
      </c>
      <c r="J358" s="33">
        <f t="shared" si="11"/>
        <v>286000000000314</v>
      </c>
      <c r="K358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466-194-70'::varchar, NULL::varchar, 'Syaeful Basar'::varchar, '124000000000118'::bigint);</v>
      </c>
    </row>
    <row r="359" spans="2:11" x14ac:dyDescent="0.2">
      <c r="B359" s="22">
        <v>124000000000119</v>
      </c>
      <c r="C359" s="4" t="str">
        <f>IF(EXACT($B359, ""), "", IF((($B359 - MOD($B359, 1000000000000))/1000000000000)=25, CONCATENATE("Person - ", VLOOKUP($B359, [1]DataLookUp!$B$4:$C$2000, 2, FALSE)), IF((($B359 - MOD($B359, 1000000000000))/1000000000000)=124, CONCATENATE("Institution - ", VLOOKUP($B359, '[2]DataLookUp - InstitutionBranch'!$B$4:$C$2000, 2, FALSE)), "")))</f>
        <v>Institution - PT. Andalan Dinamika Konstrukindo</v>
      </c>
      <c r="D359" s="22">
        <v>223000000000002</v>
      </c>
      <c r="E359" s="4" t="str">
        <f>IF(EXACT($D359, ""), "", VLOOKUP($D359, 'REF - ContactNumberType'!$B$4:$C$10, 2, FALSE))</f>
        <v>Mobile Phone</v>
      </c>
      <c r="F359" s="26" t="s">
        <v>1223</v>
      </c>
      <c r="G359" s="9"/>
      <c r="H359" s="9" t="s">
        <v>967</v>
      </c>
      <c r="J359" s="33">
        <f t="shared" si="11"/>
        <v>286000000000315</v>
      </c>
      <c r="K359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'+62 812-8772-5891'::varchar, NULL::varchar, 'Reza Saputra'::varchar, '124000000000119'::bigint);</v>
      </c>
    </row>
    <row r="360" spans="2:11" x14ac:dyDescent="0.2">
      <c r="B360" s="22">
        <v>124000000000120</v>
      </c>
      <c r="C360" s="4" t="str">
        <f>IF(EXACT($B360, ""), "", IF((($B360 - MOD($B360, 1000000000000))/1000000000000)=25, CONCATENATE("Person - ", VLOOKUP($B360, [1]DataLookUp!$B$4:$C$2000, 2, FALSE)), IF((($B360 - MOD($B360, 1000000000000))/1000000000000)=124, CONCATENATE("Institution - ", VLOOKUP($B360, '[2]DataLookUp - InstitutionBranch'!$B$4:$C$2000, 2, FALSE)), "")))</f>
        <v>Institution - PT. Aneza Persada Abadi</v>
      </c>
      <c r="D360" s="22">
        <v>223000000000002</v>
      </c>
      <c r="E360" s="4" t="str">
        <f>IF(EXACT($D360, ""), "", VLOOKUP($D360, 'REF - ContactNumberType'!$B$4:$C$10, 2, FALSE))</f>
        <v>Mobile Phone</v>
      </c>
      <c r="F360" s="26" t="s">
        <v>1224</v>
      </c>
      <c r="G360" s="9"/>
      <c r="H360" s="9" t="s">
        <v>968</v>
      </c>
      <c r="J360" s="33">
        <f t="shared" si="11"/>
        <v>286000000000316</v>
      </c>
      <c r="K360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'+62 812-5738-2550'::varchar, NULL::varchar, 'Bp Hafiz'::varchar, '124000000000120'::bigint);</v>
      </c>
    </row>
    <row r="361" spans="2:11" x14ac:dyDescent="0.2">
      <c r="B361" s="22">
        <v>124000000000121</v>
      </c>
      <c r="C361" s="4" t="str">
        <f>IF(EXACT($B361, ""), "", IF((($B361 - MOD($B361, 1000000000000))/1000000000000)=25, CONCATENATE("Person - ", VLOOKUP($B361, [1]DataLookUp!$B$4:$C$2000, 2, FALSE)), IF((($B361 - MOD($B361, 1000000000000))/1000000000000)=124, CONCATENATE("Institution - ", VLOOKUP($B361, '[2]DataLookUp - InstitutionBranch'!$B$4:$C$2000, 2, FALSE)), "")))</f>
        <v>Institution - PT. Asiatronic Indo Makmur</v>
      </c>
      <c r="D361" s="22">
        <v>223000000000002</v>
      </c>
      <c r="E361" s="4" t="str">
        <f>IF(EXACT($D361, ""), "", VLOOKUP($D361, 'REF - ContactNumberType'!$B$4:$C$10, 2, FALSE))</f>
        <v>Mobile Phone</v>
      </c>
      <c r="F361" s="26" t="s">
        <v>1225</v>
      </c>
      <c r="G361" s="9"/>
      <c r="H361" s="9" t="s">
        <v>969</v>
      </c>
      <c r="J361" s="33">
        <f t="shared" si="11"/>
        <v>286000000000317</v>
      </c>
      <c r="K361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'+62 812-8000-0630'::varchar, NULL::varchar, 'Yehezkiel Yosafat'::varchar, '124000000000121'::bigint);</v>
      </c>
    </row>
    <row r="362" spans="2:11" x14ac:dyDescent="0.2">
      <c r="B362" s="22">
        <v>124000000000121</v>
      </c>
      <c r="C362" s="4" t="str">
        <f>IF(EXACT($B362, ""), "", IF((($B362 - MOD($B362, 1000000000000))/1000000000000)=25, CONCATENATE("Person - ", VLOOKUP($B362, [1]DataLookUp!$B$4:$C$2000, 2, FALSE)), IF((($B362 - MOD($B362, 1000000000000))/1000000000000)=124, CONCATENATE("Institution - ", VLOOKUP($B362, '[2]DataLookUp - InstitutionBranch'!$B$4:$C$2000, 2, FALSE)), "")))</f>
        <v>Institution - PT. Asiatronic Indo Makmur</v>
      </c>
      <c r="D362" s="22">
        <v>223000000000005</v>
      </c>
      <c r="E362" s="4" t="str">
        <f>IF(EXACT($D362, ""), "", VLOOKUP($D362, 'REF - ContactNumberType'!$B$4:$C$10, 2, FALSE))</f>
        <v>Faximile</v>
      </c>
      <c r="F362" s="26" t="s">
        <v>1686</v>
      </c>
      <c r="G362" s="9"/>
      <c r="H362" s="9" t="s">
        <v>969</v>
      </c>
      <c r="J362" s="33">
        <f t="shared" si="11"/>
        <v>286000000000318</v>
      </c>
      <c r="K362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633-3538'::varchar, NULL::varchar, 'Yehezkiel Yosafat'::varchar, '124000000000121'::bigint);</v>
      </c>
    </row>
    <row r="363" spans="2:11" x14ac:dyDescent="0.2">
      <c r="B363" s="22">
        <v>124000000000122</v>
      </c>
      <c r="C363" s="4" t="str">
        <f>IF(EXACT($B363, ""), "", IF((($B363 - MOD($B363, 1000000000000))/1000000000000)=25, CONCATENATE("Person - ", VLOOKUP($B363, [1]DataLookUp!$B$4:$C$2000, 2, FALSE)), IF((($B363 - MOD($B363, 1000000000000))/1000000000000)=124, CONCATENATE("Institution - ", VLOOKUP($B363, '[2]DataLookUp - InstitutionBranch'!$B$4:$C$2000, 2, FALSE)), "")))</f>
        <v>Institution - PT. Asuransi Asei Indonesia</v>
      </c>
      <c r="D363" s="22">
        <v>223000000000004</v>
      </c>
      <c r="E363" s="4" t="str">
        <f>IF(EXACT($D363, ""), "", VLOOKUP($D363, 'REF - ContactNumberType'!$B$4:$C$10, 2, FALSE))</f>
        <v>Office Phone</v>
      </c>
      <c r="F363" s="26" t="s">
        <v>1603</v>
      </c>
      <c r="G363" s="9"/>
      <c r="H363" s="9" t="s">
        <v>970</v>
      </c>
      <c r="J363" s="33">
        <f t="shared" si="11"/>
        <v>286000000000319</v>
      </c>
      <c r="K363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579-035-35 '::varchar, NULL::varchar, 'Ihsan'::varchar, '124000000000122'::bigint);</v>
      </c>
    </row>
    <row r="364" spans="2:11" x14ac:dyDescent="0.2">
      <c r="B364" s="22">
        <v>124000000000123</v>
      </c>
      <c r="C364" s="4" t="str">
        <f>IF(EXACT($B364, ""), "", IF((($B364 - MOD($B364, 1000000000000))/1000000000000)=25, CONCATENATE("Person - ", VLOOKUP($B364, [1]DataLookUp!$B$4:$C$2000, 2, FALSE)), IF((($B364 - MOD($B364, 1000000000000))/1000000000000)=124, CONCATENATE("Institution - ", VLOOKUP($B364, '[2]DataLookUp - InstitutionBranch'!$B$4:$C$2000, 2, FALSE)), "")))</f>
        <v>Institution - PT. Asuransi Multi Artha Guna</v>
      </c>
      <c r="D364" s="22">
        <v>223000000000002</v>
      </c>
      <c r="E364" s="4" t="str">
        <f>IF(EXACT($D364, ""), "", VLOOKUP($D364, 'REF - ContactNumberType'!$B$4:$C$10, 2, FALSE))</f>
        <v>Mobile Phone</v>
      </c>
      <c r="F364" s="26" t="s">
        <v>1226</v>
      </c>
      <c r="G364" s="9"/>
      <c r="H364" s="9" t="s">
        <v>971</v>
      </c>
      <c r="J364" s="33">
        <f t="shared" si="11"/>
        <v>286000000000320</v>
      </c>
      <c r="K364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'+62 821-1954-1973'::varchar, NULL::varchar, 'Teddy'::varchar, '124000000000123'::bigint);</v>
      </c>
    </row>
    <row r="365" spans="2:11" x14ac:dyDescent="0.2">
      <c r="B365" s="22">
        <v>124000000000123</v>
      </c>
      <c r="C365" s="4" t="str">
        <f>IF(EXACT($B365, ""), "", IF((($B365 - MOD($B365, 1000000000000))/1000000000000)=25, CONCATENATE("Person - ", VLOOKUP($B365, [1]DataLookUp!$B$4:$C$2000, 2, FALSE)), IF((($B365 - MOD($B365, 1000000000000))/1000000000000)=124, CONCATENATE("Institution - ", VLOOKUP($B365, '[2]DataLookUp - InstitutionBranch'!$B$4:$C$2000, 2, FALSE)), "")))</f>
        <v>Institution - PT. Asuransi Multi Artha Guna</v>
      </c>
      <c r="D365" s="22">
        <v>223000000000004</v>
      </c>
      <c r="E365" s="4" t="str">
        <f>IF(EXACT($D365, ""), "", VLOOKUP($D365, 'REF - ContactNumberType'!$B$4:$C$10, 2, FALSE))</f>
        <v>Office Phone</v>
      </c>
      <c r="F365" s="26" t="s">
        <v>1602</v>
      </c>
      <c r="G365" s="9"/>
      <c r="H365" s="9" t="s">
        <v>971</v>
      </c>
      <c r="J365" s="33">
        <f t="shared" si="11"/>
        <v>286000000000321</v>
      </c>
      <c r="K365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548-0669'::varchar, NULL::varchar, 'Teddy'::varchar, '124000000000123'::bigint);</v>
      </c>
    </row>
    <row r="366" spans="2:11" x14ac:dyDescent="0.2">
      <c r="B366" s="22">
        <v>124000000000124</v>
      </c>
      <c r="C366" s="4" t="str">
        <f>IF(EXACT($B366, ""), "", IF((($B366 - MOD($B366, 1000000000000))/1000000000000)=25, CONCATENATE("Person - ", VLOOKUP($B366, [1]DataLookUp!$B$4:$C$2000, 2, FALSE)), IF((($B366 - MOD($B366, 1000000000000))/1000000000000)=124, CONCATENATE("Institution - ", VLOOKUP($B366, '[2]DataLookUp - InstitutionBranch'!$B$4:$C$2000, 2, FALSE)), "")))</f>
        <v>Institution - PT. Asuransi Perisai Listrik Nasional</v>
      </c>
      <c r="D366" s="22">
        <v>223000000000002</v>
      </c>
      <c r="E366" s="4" t="str">
        <f>IF(EXACT($D366, ""), "", VLOOKUP($D366, 'REF - ContactNumberType'!$B$4:$C$10, 2, FALSE))</f>
        <v>Mobile Phone</v>
      </c>
      <c r="F366" s="26" t="s">
        <v>908</v>
      </c>
      <c r="G366" s="9"/>
      <c r="H366" s="9" t="s">
        <v>972</v>
      </c>
      <c r="J366" s="33">
        <f t="shared" si="11"/>
        <v>286000000000322</v>
      </c>
      <c r="K366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'+62 812-1149-2770'::varchar, NULL::varchar, 'Resky'::varchar, '124000000000124'::bigint);</v>
      </c>
    </row>
    <row r="367" spans="2:11" x14ac:dyDescent="0.2">
      <c r="B367" s="22">
        <v>124000000000125</v>
      </c>
      <c r="C367" s="4" t="str">
        <f>IF(EXACT($B367, ""), "", IF((($B367 - MOD($B367, 1000000000000))/1000000000000)=25, CONCATENATE("Person - ", VLOOKUP($B367, [1]DataLookUp!$B$4:$C$2000, 2, FALSE)), IF((($B367 - MOD($B367, 1000000000000))/1000000000000)=124, CONCATENATE("Institution - ", VLOOKUP($B367, '[2]DataLookUp - InstitutionBranch'!$B$4:$C$2000, 2, FALSE)), "")))</f>
        <v>Institution - PT. Bangun Rancang Indonesia Kita</v>
      </c>
      <c r="D367" s="22">
        <v>223000000000002</v>
      </c>
      <c r="E367" s="4" t="str">
        <f>IF(EXACT($D367, ""), "", VLOOKUP($D367, 'REF - ContactNumberType'!$B$4:$C$10, 2, FALSE))</f>
        <v>Mobile Phone</v>
      </c>
      <c r="F367" s="26" t="s">
        <v>1601</v>
      </c>
      <c r="G367" s="9"/>
      <c r="H367" s="9" t="s">
        <v>973</v>
      </c>
      <c r="J367" s="33">
        <f t="shared" si="11"/>
        <v>286000000000323</v>
      </c>
      <c r="K367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'+62 811-188-1313'::varchar, NULL::varchar, 'Fery'::varchar, '124000000000125'::bigint);</v>
      </c>
    </row>
    <row r="368" spans="2:11" x14ac:dyDescent="0.2">
      <c r="B368" s="22">
        <v>124000000000125</v>
      </c>
      <c r="C368" s="4" t="str">
        <f>IF(EXACT($B368, ""), "", IF((($B368 - MOD($B368, 1000000000000))/1000000000000)=25, CONCATENATE("Person - ", VLOOKUP($B368, [1]DataLookUp!$B$4:$C$2000, 2, FALSE)), IF((($B368 - MOD($B368, 1000000000000))/1000000000000)=124, CONCATENATE("Institution - ", VLOOKUP($B368, '[2]DataLookUp - InstitutionBranch'!$B$4:$C$2000, 2, FALSE)), "")))</f>
        <v>Institution - PT. Bangun Rancang Indonesia Kita</v>
      </c>
      <c r="D368" s="22">
        <v>223000000000002</v>
      </c>
      <c r="E368" s="4" t="str">
        <f>IF(EXACT($D368, ""), "", VLOOKUP($D368, 'REF - ContactNumberType'!$B$4:$C$10, 2, FALSE))</f>
        <v>Mobile Phone</v>
      </c>
      <c r="F368" s="26" t="s">
        <v>1227</v>
      </c>
      <c r="G368" s="9"/>
      <c r="H368" s="9" t="s">
        <v>973</v>
      </c>
      <c r="J368" s="33">
        <f t="shared" si="11"/>
        <v>286000000000324</v>
      </c>
      <c r="K368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'+62 815-2858-8393'::varchar, NULL::varchar, 'Fery'::varchar, '124000000000125'::bigint);</v>
      </c>
    </row>
    <row r="369" spans="2:11" x14ac:dyDescent="0.2">
      <c r="B369" s="22">
        <v>124000000000126</v>
      </c>
      <c r="C369" s="4" t="str">
        <f>IF(EXACT($B369, ""), "", IF((($B369 - MOD($B369, 1000000000000))/1000000000000)=25, CONCATENATE("Person - ", VLOOKUP($B369, [1]DataLookUp!$B$4:$C$2000, 2, FALSE)), IF((($B369 - MOD($B369, 1000000000000))/1000000000000)=124, CONCATENATE("Institution - ", VLOOKUP($B369, '[2]DataLookUp - InstitutionBranch'!$B$4:$C$2000, 2, FALSE)), "")))</f>
        <v>Institution - PT. Beringin Floratama Megah</v>
      </c>
      <c r="D369" s="22">
        <v>223000000000002</v>
      </c>
      <c r="E369" s="4" t="str">
        <f>IF(EXACT($D369, ""), "", VLOOKUP($D369, 'REF - ContactNumberType'!$B$4:$C$10, 2, FALSE))</f>
        <v>Mobile Phone</v>
      </c>
      <c r="F369" s="26" t="s">
        <v>1228</v>
      </c>
      <c r="G369" s="9"/>
      <c r="H369" s="9" t="s">
        <v>974</v>
      </c>
      <c r="J369" s="33">
        <f t="shared" si="11"/>
        <v>286000000000325</v>
      </c>
      <c r="K369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'+62 896-6572-9507'::varchar, NULL::varchar, 'Eva'::varchar, '124000000000126'::bigint);</v>
      </c>
    </row>
    <row r="370" spans="2:11" x14ac:dyDescent="0.2">
      <c r="B370" s="22">
        <v>124000000000126</v>
      </c>
      <c r="C370" s="4" t="str">
        <f>IF(EXACT($B370, ""), "", IF((($B370 - MOD($B370, 1000000000000))/1000000000000)=25, CONCATENATE("Person - ", VLOOKUP($B370, [1]DataLookUp!$B$4:$C$2000, 2, FALSE)), IF((($B370 - MOD($B370, 1000000000000))/1000000000000)=124, CONCATENATE("Institution - ", VLOOKUP($B370, '[2]DataLookUp - InstitutionBranch'!$B$4:$C$2000, 2, FALSE)), "")))</f>
        <v>Institution - PT. Beringin Floratama Megah</v>
      </c>
      <c r="D370" s="22">
        <v>223000000000004</v>
      </c>
      <c r="E370" s="4" t="str">
        <f>IF(EXACT($D370, ""), "", VLOOKUP($D370, 'REF - ContactNumberType'!$B$4:$C$10, 2, FALSE))</f>
        <v>Office Phone</v>
      </c>
      <c r="F370" s="26" t="s">
        <v>1600</v>
      </c>
      <c r="G370" s="9"/>
      <c r="H370" s="9" t="s">
        <v>974</v>
      </c>
      <c r="J370" s="33">
        <f t="shared" si="11"/>
        <v>286000000000326</v>
      </c>
      <c r="K370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719-8000'::varchar, NULL::varchar, 'Eva'::varchar, '124000000000126'::bigint);</v>
      </c>
    </row>
    <row r="371" spans="2:11" x14ac:dyDescent="0.2">
      <c r="B371" s="22">
        <v>124000000000127</v>
      </c>
      <c r="C371" s="4" t="str">
        <f>IF(EXACT($B371, ""), "", IF((($B371 - MOD($B371, 1000000000000))/1000000000000)=25, CONCATENATE("Person - ", VLOOKUP($B371, [1]DataLookUp!$B$4:$C$2000, 2, FALSE)), IF((($B371 - MOD($B371, 1000000000000))/1000000000000)=124, CONCATENATE("Institution - ", VLOOKUP($B371, '[2]DataLookUp - InstitutionBranch'!$B$4:$C$2000, 2, FALSE)), "")))</f>
        <v>Institution - PT. Berkah Tirta Wahana</v>
      </c>
      <c r="D371" s="22">
        <v>223000000000002</v>
      </c>
      <c r="E371" s="4" t="str">
        <f>IF(EXACT($D371, ""), "", VLOOKUP($D371, 'REF - ContactNumberType'!$B$4:$C$10, 2, FALSE))</f>
        <v>Mobile Phone</v>
      </c>
      <c r="F371" s="26" t="s">
        <v>1229</v>
      </c>
      <c r="G371" s="9"/>
      <c r="H371" s="9" t="s">
        <v>975</v>
      </c>
      <c r="J371" s="33">
        <f t="shared" si="11"/>
        <v>286000000000327</v>
      </c>
      <c r="K371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'+62 812-7080-6138'::varchar, NULL::varchar, 'Intan / Dila'::varchar, '124000000000127'::bigint);</v>
      </c>
    </row>
    <row r="372" spans="2:11" x14ac:dyDescent="0.2">
      <c r="B372" s="22">
        <v>124000000000127</v>
      </c>
      <c r="C372" s="4" t="str">
        <f>IF(EXACT($B372, ""), "", IF((($B372 - MOD($B372, 1000000000000))/1000000000000)=25, CONCATENATE("Person - ", VLOOKUP($B372, [1]DataLookUp!$B$4:$C$2000, 2, FALSE)), IF((($B372 - MOD($B372, 1000000000000))/1000000000000)=124, CONCATENATE("Institution - ", VLOOKUP($B372, '[2]DataLookUp - InstitutionBranch'!$B$4:$C$2000, 2, FALSE)), "")))</f>
        <v>Institution - PT. Berkah Tirta Wahana</v>
      </c>
      <c r="D372" s="22">
        <v>223000000000002</v>
      </c>
      <c r="E372" s="4" t="str">
        <f>IF(EXACT($D372, ""), "", VLOOKUP($D372, 'REF - ContactNumberType'!$B$4:$C$10, 2, FALSE))</f>
        <v>Mobile Phone</v>
      </c>
      <c r="F372" s="26" t="s">
        <v>927</v>
      </c>
      <c r="G372" s="9"/>
      <c r="H372" s="9" t="s">
        <v>975</v>
      </c>
      <c r="J372" s="33">
        <f t="shared" si="11"/>
        <v>286000000000328</v>
      </c>
      <c r="K372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'+62 823-9137-2798'::varchar, NULL::varchar, 'Intan / Dila'::varchar, '124000000000127'::bigint);</v>
      </c>
    </row>
    <row r="373" spans="2:11" x14ac:dyDescent="0.2">
      <c r="B373" s="22">
        <v>124000000000128</v>
      </c>
      <c r="C373" s="4" t="str">
        <f>IF(EXACT($B373, ""), "", IF((($B373 - MOD($B373, 1000000000000))/1000000000000)=25, CONCATENATE("Person - ", VLOOKUP($B373, [1]DataLookUp!$B$4:$C$2000, 2, FALSE)), IF((($B373 - MOD($B373, 1000000000000))/1000000000000)=124, CONCATENATE("Institution - ", VLOOKUP($B373, '[2]DataLookUp - InstitutionBranch'!$B$4:$C$2000, 2, FALSE)), "")))</f>
        <v>Institution - PT. Berkat Sahabat Sejati</v>
      </c>
      <c r="D373" s="22">
        <v>223000000000002</v>
      </c>
      <c r="E373" s="4" t="str">
        <f>IF(EXACT($D373, ""), "", VLOOKUP($D373, 'REF - ContactNumberType'!$B$4:$C$10, 2, FALSE))</f>
        <v>Mobile Phone</v>
      </c>
      <c r="F373" s="26" t="s">
        <v>1596</v>
      </c>
      <c r="G373" s="9"/>
      <c r="H373" s="9" t="s">
        <v>976</v>
      </c>
      <c r="J373" s="33">
        <f t="shared" si="11"/>
        <v>286000000000329</v>
      </c>
      <c r="K373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(021) 471-3864'::varchar, NULL::varchar, 'Pemuda'::varchar, '124000000000128'::bigint);</v>
      </c>
    </row>
    <row r="374" spans="2:11" x14ac:dyDescent="0.2">
      <c r="B374" s="22">
        <v>124000000000128</v>
      </c>
      <c r="C374" s="4" t="str">
        <f>IF(EXACT($B374, ""), "", IF((($B374 - MOD($B374, 1000000000000))/1000000000000)=25, CONCATENATE("Person - ", VLOOKUP($B374, [1]DataLookUp!$B$4:$C$2000, 2, FALSE)), IF((($B374 - MOD($B374, 1000000000000))/1000000000000)=124, CONCATENATE("Institution - ", VLOOKUP($B374, '[2]DataLookUp - InstitutionBranch'!$B$4:$C$2000, 2, FALSE)), "")))</f>
        <v>Institution - PT. Berkat Sahabat Sejati</v>
      </c>
      <c r="D374" s="22">
        <v>223000000000005</v>
      </c>
      <c r="E374" s="4" t="str">
        <f>IF(EXACT($D374, ""), "", VLOOKUP($D374, 'REF - ContactNumberType'!$B$4:$C$10, 2, FALSE))</f>
        <v>Faximile</v>
      </c>
      <c r="F374" s="26" t="s">
        <v>1597</v>
      </c>
      <c r="G374" s="9"/>
      <c r="H374" s="9" t="s">
        <v>976</v>
      </c>
      <c r="J374" s="33">
        <f t="shared" si="11"/>
        <v>286000000000330</v>
      </c>
      <c r="K374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470-1610'::varchar, NULL::varchar, 'Pemuda'::varchar, '124000000000128'::bigint);</v>
      </c>
    </row>
    <row r="375" spans="2:11" x14ac:dyDescent="0.2">
      <c r="B375" s="22">
        <v>124000000000129</v>
      </c>
      <c r="C375" s="4" t="str">
        <f>IF(EXACT($B375, ""), "", IF((($B375 - MOD($B375, 1000000000000))/1000000000000)=25, CONCATENATE("Person - ", VLOOKUP($B375, [1]DataLookUp!$B$4:$C$2000, 2, FALSE)), IF((($B375 - MOD($B375, 1000000000000))/1000000000000)=124, CONCATENATE("Institution - ", VLOOKUP($B375, '[2]DataLookUp - InstitutionBranch'!$B$4:$C$2000, 2, FALSE)), "")))</f>
        <v>Institution - PT. Best Energy System</v>
      </c>
      <c r="D375" s="22">
        <v>223000000000002</v>
      </c>
      <c r="E375" s="4" t="str">
        <f>IF(EXACT($D375, ""), "", VLOOKUP($D375, 'REF - ContactNumberType'!$B$4:$C$10, 2, FALSE))</f>
        <v>Mobile Phone</v>
      </c>
      <c r="F375" s="26" t="s">
        <v>1230</v>
      </c>
      <c r="G375" s="9"/>
      <c r="H375" s="9" t="s">
        <v>1598</v>
      </c>
      <c r="J375" s="33">
        <f t="shared" si="11"/>
        <v>286000000000331</v>
      </c>
      <c r="K375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'+62 812-9655-7850'::varchar, NULL::varchar, 'Ferdinan Wahab'::varchar, '124000000000129'::bigint);</v>
      </c>
    </row>
    <row r="376" spans="2:11" x14ac:dyDescent="0.2">
      <c r="B376" s="22">
        <v>124000000000129</v>
      </c>
      <c r="C376" s="4" t="str">
        <f>IF(EXACT($B376, ""), "", IF((($B376 - MOD($B376, 1000000000000))/1000000000000)=25, CONCATENATE("Person - ", VLOOKUP($B376, [1]DataLookUp!$B$4:$C$2000, 2, FALSE)), IF((($B376 - MOD($B376, 1000000000000))/1000000000000)=124, CONCATENATE("Institution - ", VLOOKUP($B376, '[2]DataLookUp - InstitutionBranch'!$B$4:$C$2000, 2, FALSE)), "")))</f>
        <v>Institution - PT. Best Energy System</v>
      </c>
      <c r="D376" s="22">
        <v>223000000000004</v>
      </c>
      <c r="E376" s="4" t="str">
        <f>IF(EXACT($D376, ""), "", VLOOKUP($D376, 'REF - ContactNumberType'!$B$4:$C$10, 2, FALSE))</f>
        <v>Office Phone</v>
      </c>
      <c r="F376" s="26" t="s">
        <v>1595</v>
      </c>
      <c r="G376" s="9"/>
      <c r="H376" s="9" t="s">
        <v>1598</v>
      </c>
      <c r="J376" s="33">
        <f t="shared" si="11"/>
        <v>286000000000332</v>
      </c>
      <c r="K376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458-540-29'::varchar, NULL::varchar, 'Ferdinan Wahab'::varchar, '124000000000129'::bigint);</v>
      </c>
    </row>
    <row r="377" spans="2:11" x14ac:dyDescent="0.2">
      <c r="B377" s="22">
        <v>124000000000130</v>
      </c>
      <c r="C377" s="4" t="str">
        <f>IF(EXACT($B377, ""), "", IF((($B377 - MOD($B377, 1000000000000))/1000000000000)=25, CONCATENATE("Person - ", VLOOKUP($B377, [1]DataLookUp!$B$4:$C$2000, 2, FALSE)), IF((($B377 - MOD($B377, 1000000000000))/1000000000000)=124, CONCATENATE("Institution - ", VLOOKUP($B377, '[2]DataLookUp - InstitutionBranch'!$B$4:$C$2000, 2, FALSE)), "")))</f>
        <v>Institution - PT. Beton Perkasa Wijaksana</v>
      </c>
      <c r="D377" s="22">
        <v>223000000000002</v>
      </c>
      <c r="E377" s="4" t="str">
        <f>IF(EXACT($D377, ""), "", VLOOKUP($D377, 'REF - ContactNumberType'!$B$4:$C$10, 2, FALSE))</f>
        <v>Mobile Phone</v>
      </c>
      <c r="F377" s="26" t="s">
        <v>1594</v>
      </c>
      <c r="G377" s="9"/>
      <c r="H377" s="9" t="s">
        <v>977</v>
      </c>
      <c r="J377" s="33">
        <f t="shared" si="11"/>
        <v>286000000000333</v>
      </c>
      <c r="K377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(021) 571-2644'::varchar, NULL::varchar, 'Sigit Koencoro'::varchar, '124000000000130'::bigint);</v>
      </c>
    </row>
    <row r="378" spans="2:11" x14ac:dyDescent="0.2">
      <c r="B378" s="22">
        <v>124000000000131</v>
      </c>
      <c r="C378" s="4" t="str">
        <f>IF(EXACT($B378, ""), "", IF((($B378 - MOD($B378, 1000000000000))/1000000000000)=25, CONCATENATE("Person - ", VLOOKUP($B378, [1]DataLookUp!$B$4:$C$2000, 2, FALSE)), IF((($B378 - MOD($B378, 1000000000000))/1000000000000)=124, CONCATENATE("Institution - ", VLOOKUP($B378, '[2]DataLookUp - InstitutionBranch'!$B$4:$C$2000, 2, FALSE)), "")))</f>
        <v>Institution - PT. Bhirawa Metal Mandiri</v>
      </c>
      <c r="D378" s="22">
        <v>223000000000002</v>
      </c>
      <c r="E378" s="4" t="str">
        <f>IF(EXACT($D378, ""), "", VLOOKUP($D378, 'REF - ContactNumberType'!$B$4:$C$10, 2, FALSE))</f>
        <v>Mobile Phone</v>
      </c>
      <c r="F378" s="26" t="s">
        <v>909</v>
      </c>
      <c r="G378" s="9"/>
      <c r="H378" s="9" t="s">
        <v>978</v>
      </c>
      <c r="J378" s="33">
        <f t="shared" si="11"/>
        <v>286000000000334</v>
      </c>
      <c r="K378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'+62 821-1478-0437'::varchar, NULL::varchar, 'Deni'::varchar, '124000000000131'::bigint);</v>
      </c>
    </row>
    <row r="379" spans="2:11" x14ac:dyDescent="0.2">
      <c r="B379" s="22">
        <v>124000000000132</v>
      </c>
      <c r="C379" s="4" t="str">
        <f>IF(EXACT($B379, ""), "", IF((($B379 - MOD($B379, 1000000000000))/1000000000000)=25, CONCATENATE("Person - ", VLOOKUP($B379, [1]DataLookUp!$B$4:$C$2000, 2, FALSE)), IF((($B379 - MOD($B379, 1000000000000))/1000000000000)=124, CONCATENATE("Institution - ", VLOOKUP($B379, '[2]DataLookUp - InstitutionBranch'!$B$4:$C$2000, 2, FALSE)), "")))</f>
        <v>Institution - PT. Bigi Multi Internasional</v>
      </c>
      <c r="D379" s="22">
        <v>223000000000002</v>
      </c>
      <c r="E379" s="4" t="str">
        <f>IF(EXACT($D379, ""), "", VLOOKUP($D379, 'REF - ContactNumberType'!$B$4:$C$10, 2, FALSE))</f>
        <v>Mobile Phone</v>
      </c>
      <c r="F379" s="26" t="s">
        <v>1231</v>
      </c>
      <c r="G379" s="9"/>
      <c r="H379" s="9" t="s">
        <v>1599</v>
      </c>
      <c r="J379" s="33">
        <f t="shared" si="11"/>
        <v>286000000000335</v>
      </c>
      <c r="K379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'+62 821-1335-0950'::varchar, NULL::varchar, 'Indra P. Anggiawan'::varchar, '124000000000132'::bigint);</v>
      </c>
    </row>
    <row r="380" spans="2:11" x14ac:dyDescent="0.2">
      <c r="B380" s="22">
        <v>124000000000133</v>
      </c>
      <c r="C380" s="4" t="str">
        <f>IF(EXACT($B380, ""), "", IF((($B380 - MOD($B380, 1000000000000))/1000000000000)=25, CONCATENATE("Person - ", VLOOKUP($B380, [1]DataLookUp!$B$4:$C$2000, 2, FALSE)), IF((($B380 - MOD($B380, 1000000000000))/1000000000000)=124, CONCATENATE("Institution - ", VLOOKUP($B380, '[2]DataLookUp - InstitutionBranch'!$B$4:$C$2000, 2, FALSE)), "")))</f>
        <v xml:space="preserve">Institution - PT. Bintang Indah Persada </v>
      </c>
      <c r="D380" s="22">
        <v>223000000000002</v>
      </c>
      <c r="E380" s="4" t="str">
        <f>IF(EXACT($D380, ""), "", VLOOKUP($D380, 'REF - ContactNumberType'!$B$4:$C$10, 2, FALSE))</f>
        <v>Mobile Phone</v>
      </c>
      <c r="F380" s="26" t="s">
        <v>1716</v>
      </c>
      <c r="G380" s="9"/>
      <c r="H380" s="9" t="s">
        <v>979</v>
      </c>
      <c r="J380" s="33">
        <f t="shared" si="11"/>
        <v>286000000000336</v>
      </c>
      <c r="K380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(021) 569-584-62'::varchar, NULL::varchar, 'Budi Lim'::varchar, '124000000000133'::bigint);</v>
      </c>
    </row>
    <row r="381" spans="2:11" x14ac:dyDescent="0.2">
      <c r="B381" s="22">
        <v>124000000000134</v>
      </c>
      <c r="C381" s="4" t="str">
        <f>IF(EXACT($B381, ""), "", IF((($B381 - MOD($B381, 1000000000000))/1000000000000)=25, CONCATENATE("Person - ", VLOOKUP($B381, [1]DataLookUp!$B$4:$C$2000, 2, FALSE)), IF((($B381 - MOD($B381, 1000000000000))/1000000000000)=124, CONCATENATE("Institution - ", VLOOKUP($B381, '[2]DataLookUp - InstitutionBranch'!$B$4:$C$2000, 2, FALSE)), "")))</f>
        <v>Institution - PT. Bintang Virgo Utama</v>
      </c>
      <c r="D381" s="22">
        <v>223000000000002</v>
      </c>
      <c r="E381" s="4" t="str">
        <f>IF(EXACT($D381, ""), "", VLOOKUP($D381, 'REF - ContactNumberType'!$B$4:$C$10, 2, FALSE))</f>
        <v>Mobile Phone</v>
      </c>
      <c r="F381" s="26" t="s">
        <v>1232</v>
      </c>
      <c r="G381" s="9"/>
      <c r="H381" s="9" t="s">
        <v>980</v>
      </c>
      <c r="J381" s="33">
        <f t="shared" si="11"/>
        <v>286000000000337</v>
      </c>
      <c r="K381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'+62 812-1666-7883'::varchar, NULL::varchar, 'Zulkifli Z'::varchar, '124000000000134'::bigint);</v>
      </c>
    </row>
    <row r="382" spans="2:11" x14ac:dyDescent="0.2">
      <c r="B382" s="22">
        <v>124000000000135</v>
      </c>
      <c r="C382" s="4" t="str">
        <f>IF(EXACT($B382, ""), "", IF((($B382 - MOD($B382, 1000000000000))/1000000000000)=25, CONCATENATE("Person - ", VLOOKUP($B382, [1]DataLookUp!$B$4:$C$2000, 2, FALSE)), IF((($B382 - MOD($B382, 1000000000000))/1000000000000)=124, CONCATENATE("Institution - ", VLOOKUP($B382, '[2]DataLookUp - InstitutionBranch'!$B$4:$C$2000, 2, FALSE)), "")))</f>
        <v>Institution - PT. Biro Klasifikasi Indonesia</v>
      </c>
      <c r="D382" s="22">
        <v>223000000000002</v>
      </c>
      <c r="E382" s="4" t="str">
        <f>IF(EXACT($D382, ""), "", VLOOKUP($D382, 'REF - ContactNumberType'!$B$4:$C$10, 2, FALSE))</f>
        <v>Mobile Phone</v>
      </c>
      <c r="F382" s="26" t="s">
        <v>1233</v>
      </c>
      <c r="G382" s="9"/>
      <c r="H382" s="9" t="s">
        <v>981</v>
      </c>
      <c r="J382" s="33">
        <f t="shared" si="11"/>
        <v>286000000000338</v>
      </c>
      <c r="K382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'+62 812-5433-771'::varchar, NULL::varchar, 'Agus Sunarto'::varchar, '124000000000135'::bigint);</v>
      </c>
    </row>
    <row r="383" spans="2:11" x14ac:dyDescent="0.2">
      <c r="B383" s="22">
        <v>124000000000135</v>
      </c>
      <c r="C383" s="4" t="str">
        <f>IF(EXACT($B383, ""), "", IF((($B383 - MOD($B383, 1000000000000))/1000000000000)=25, CONCATENATE("Person - ", VLOOKUP($B383, [1]DataLookUp!$B$4:$C$2000, 2, FALSE)), IF((($B383 - MOD($B383, 1000000000000))/1000000000000)=124, CONCATENATE("Institution - ", VLOOKUP($B383, '[2]DataLookUp - InstitutionBranch'!$B$4:$C$2000, 2, FALSE)), "")))</f>
        <v>Institution - PT. Biro Klasifikasi Indonesia</v>
      </c>
      <c r="D383" s="22">
        <v>223000000000004</v>
      </c>
      <c r="E383" s="4" t="str">
        <f>IF(EXACT($D383, ""), "", VLOOKUP($D383, 'REF - ContactNumberType'!$B$4:$C$10, 2, FALSE))</f>
        <v>Office Phone</v>
      </c>
      <c r="F383" s="26" t="s">
        <v>1593</v>
      </c>
      <c r="G383" s="9"/>
      <c r="H383" s="9" t="s">
        <v>981</v>
      </c>
      <c r="J383" s="33">
        <f t="shared" si="11"/>
        <v>286000000000339</v>
      </c>
      <c r="K383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430-0932'::varchar, NULL::varchar, 'Agus Sunarto'::varchar, '124000000000135'::bigint);</v>
      </c>
    </row>
    <row r="384" spans="2:11" x14ac:dyDescent="0.2">
      <c r="B384" s="22">
        <v>124000000000136</v>
      </c>
      <c r="C384" s="4" t="str">
        <f>IF(EXACT($B384, ""), "", IF((($B384 - MOD($B384, 1000000000000))/1000000000000)=25, CONCATENATE("Person - ", VLOOKUP($B384, [1]DataLookUp!$B$4:$C$2000, 2, FALSE)), IF((($B384 - MOD($B384, 1000000000000))/1000000000000)=124, CONCATENATE("Institution - ", VLOOKUP($B384, '[2]DataLookUp - InstitutionBranch'!$B$4:$C$2000, 2, FALSE)), "")))</f>
        <v>Institution - PT. Blue Power International</v>
      </c>
      <c r="D384" s="22">
        <v>223000000000002</v>
      </c>
      <c r="E384" s="4" t="str">
        <f>IF(EXACT($D384, ""), "", VLOOKUP($D384, 'REF - ContactNumberType'!$B$4:$C$10, 2, FALSE))</f>
        <v>Mobile Phone</v>
      </c>
      <c r="F384" s="26" t="s">
        <v>1234</v>
      </c>
      <c r="G384" s="9"/>
      <c r="H384" s="9" t="s">
        <v>1235</v>
      </c>
      <c r="J384" s="33">
        <f t="shared" si="11"/>
        <v>286000000000340</v>
      </c>
      <c r="K384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'+62 811-941-041'::varchar, NULL::varchar, 'Yani'::varchar, '124000000000136'::bigint);</v>
      </c>
    </row>
    <row r="385" spans="2:11" x14ac:dyDescent="0.2">
      <c r="B385" s="22">
        <v>124000000000137</v>
      </c>
      <c r="C385" s="4" t="str">
        <f>IF(EXACT($B385, ""), "", IF((($B385 - MOD($B385, 1000000000000))/1000000000000)=25, CONCATENATE("Person - ", VLOOKUP($B385, [1]DataLookUp!$B$4:$C$2000, 2, FALSE)), IF((($B385 - MOD($B385, 1000000000000))/1000000000000)=124, CONCATENATE("Institution - ", VLOOKUP($B385, '[2]DataLookUp - InstitutionBranch'!$B$4:$C$2000, 2, FALSE)), "")))</f>
        <v>Institution - PT. Bosowa Asuransi</v>
      </c>
      <c r="D385" s="22">
        <v>223000000000004</v>
      </c>
      <c r="E385" s="4" t="str">
        <f>IF(EXACT($D385, ""), "", VLOOKUP($D385, 'REF - ContactNumberType'!$B$4:$C$10, 2, FALSE))</f>
        <v>Office Phone</v>
      </c>
      <c r="F385" s="26" t="s">
        <v>1590</v>
      </c>
      <c r="G385" s="9"/>
      <c r="H385" s="9"/>
      <c r="J385" s="33">
        <f t="shared" si="11"/>
        <v>286000000000341</v>
      </c>
      <c r="K385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397-302-03'::varchar, NULL::varchar, NULL::varchar, '124000000000137'::bigint);</v>
      </c>
    </row>
    <row r="386" spans="2:11" x14ac:dyDescent="0.2">
      <c r="B386" s="22">
        <v>124000000000138</v>
      </c>
      <c r="C386" s="4" t="str">
        <f>IF(EXACT($B386, ""), "", IF((($B386 - MOD($B386, 1000000000000))/1000000000000)=25, CONCATENATE("Person - ", VLOOKUP($B386, [1]DataLookUp!$B$4:$C$2000, 2, FALSE)), IF((($B386 - MOD($B386, 1000000000000))/1000000000000)=124, CONCATENATE("Institution - ", VLOOKUP($B386, '[2]DataLookUp - InstitutionBranch'!$B$4:$C$2000, 2, FALSE)), "")))</f>
        <v>Institution - PT. Buana Tirta Semesta</v>
      </c>
      <c r="D386" s="22">
        <v>223000000000002</v>
      </c>
      <c r="E386" s="4" t="str">
        <f>IF(EXACT($D386, ""), "", VLOOKUP($D386, 'REF - ContactNumberType'!$B$4:$C$10, 2, FALSE))</f>
        <v>Mobile Phone</v>
      </c>
      <c r="F386" s="26" t="s">
        <v>910</v>
      </c>
      <c r="G386" s="9"/>
      <c r="H386" s="9" t="s">
        <v>982</v>
      </c>
      <c r="J386" s="33">
        <f t="shared" si="11"/>
        <v>286000000000342</v>
      </c>
      <c r="K386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'+62 858-8881-3384'::varchar, NULL::varchar, 'Inggrid'::varchar, '124000000000138'::bigint);</v>
      </c>
    </row>
    <row r="387" spans="2:11" x14ac:dyDescent="0.2">
      <c r="B387" s="22">
        <v>124000000000139</v>
      </c>
      <c r="C387" s="4" t="str">
        <f>IF(EXACT($B387, ""), "", IF((($B387 - MOD($B387, 1000000000000))/1000000000000)=25, CONCATENATE("Person - ", VLOOKUP($B387, [1]DataLookUp!$B$4:$C$2000, 2, FALSE)), IF((($B387 - MOD($B387, 1000000000000))/1000000000000)=124, CONCATENATE("Institution - ", VLOOKUP($B387, '[2]DataLookUp - InstitutionBranch'!$B$4:$C$2000, 2, FALSE)), "")))</f>
        <v>Institution - PT. Cahaya Mentari Cemerlang</v>
      </c>
      <c r="D387" s="22">
        <v>223000000000004</v>
      </c>
      <c r="E387" s="4" t="str">
        <f>IF(EXACT($D387, ""), "", VLOOKUP($D387, 'REF - ContactNumberType'!$B$4:$C$10, 2, FALSE))</f>
        <v>Office Phone</v>
      </c>
      <c r="F387" s="26" t="s">
        <v>1587</v>
      </c>
      <c r="G387" s="9"/>
      <c r="H387" s="9"/>
      <c r="J387" s="33">
        <f t="shared" si="11"/>
        <v>286000000000343</v>
      </c>
      <c r="K387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594-2281'::varchar, NULL::varchar, NULL::varchar, '124000000000139'::bigint);</v>
      </c>
    </row>
    <row r="388" spans="2:11" x14ac:dyDescent="0.2">
      <c r="B388" s="22">
        <v>124000000000140</v>
      </c>
      <c r="C388" s="4" t="str">
        <f>IF(EXACT($B388, ""), "", IF((($B388 - MOD($B388, 1000000000000))/1000000000000)=25, CONCATENATE("Person - ", VLOOKUP($B388, [1]DataLookUp!$B$4:$C$2000, 2, FALSE)), IF((($B388 - MOD($B388, 1000000000000))/1000000000000)=124, CONCATENATE("Institution - ", VLOOKUP($B388, '[2]DataLookUp - InstitutionBranch'!$B$4:$C$2000, 2, FALSE)), "")))</f>
        <v>Institution - PT. Cakrawala Persada Internasional</v>
      </c>
      <c r="D388" s="22">
        <v>223000000000002</v>
      </c>
      <c r="E388" s="4" t="str">
        <f>IF(EXACT($D388, ""), "", VLOOKUP($D388, 'REF - ContactNumberType'!$B$4:$C$10, 2, FALSE))</f>
        <v>Mobile Phone</v>
      </c>
      <c r="F388" s="26" t="s">
        <v>1236</v>
      </c>
      <c r="G388" s="9"/>
      <c r="H388" s="9" t="s">
        <v>983</v>
      </c>
      <c r="J388" s="33">
        <f t="shared" si="11"/>
        <v>286000000000344</v>
      </c>
      <c r="K388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223000000000002::bigint, '+62 818-411-633'::varchar, NULL::varchar, 'Mona'::varchar, '124000000000140'::bigint);</v>
      </c>
    </row>
    <row r="389" spans="2:11" x14ac:dyDescent="0.2">
      <c r="B389" s="22">
        <v>124000000000141</v>
      </c>
      <c r="C389" s="4" t="str">
        <f>IF(EXACT($B389, ""), "", IF((($B389 - MOD($B389, 1000000000000))/1000000000000)=25, CONCATENATE("Person - ", VLOOKUP($B389, [1]DataLookUp!$B$4:$C$2000, 2, FALSE)), IF((($B389 - MOD($B389, 1000000000000))/1000000000000)=124, CONCATENATE("Institution - ", VLOOKUP($B389, '[2]DataLookUp - InstitutionBranch'!$B$4:$C$2000, 2, FALSE)), "")))</f>
        <v xml:space="preserve">Institution - PT. Caroline Trans Mandiri </v>
      </c>
      <c r="D389" s="22">
        <v>223000000000004</v>
      </c>
      <c r="E389" s="4" t="str">
        <f>IF(EXACT($D389, ""), "", VLOOKUP($D389, 'REF - ContactNumberType'!$B$4:$C$10, 2, FALSE))</f>
        <v>Office Phone</v>
      </c>
      <c r="F389" s="26" t="s">
        <v>1585</v>
      </c>
      <c r="G389" s="9"/>
      <c r="H389" s="9" t="s">
        <v>1584</v>
      </c>
      <c r="J389" s="33">
        <f t="shared" si="11"/>
        <v>286000000000345</v>
      </c>
      <c r="K389" s="34" t="str">
        <f t="shared" si="12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843-050-43'::varchar, NULL::varchar, 'Dohar Lumbanraja'::varchar, '124000000000141'::bigint);</v>
      </c>
    </row>
    <row r="390" spans="2:11" x14ac:dyDescent="0.2">
      <c r="B390" s="22">
        <v>124000000000141</v>
      </c>
      <c r="C390" s="4" t="str">
        <f>IF(EXACT($B390, ""), "", IF((($B390 - MOD($B390, 1000000000000))/1000000000000)=25, CONCATENATE("Person - ", VLOOKUP($B390, [1]DataLookUp!$B$4:$C$2000, 2, FALSE)), IF((($B390 - MOD($B390, 1000000000000))/1000000000000)=124, CONCATENATE("Institution - ", VLOOKUP($B390, '[2]DataLookUp - InstitutionBranch'!$B$4:$C$2000, 2, FALSE)), "")))</f>
        <v xml:space="preserve">Institution - PT. Caroline Trans Mandiri </v>
      </c>
      <c r="D390" s="22">
        <v>223000000000004</v>
      </c>
      <c r="E390" s="4" t="str">
        <f>IF(EXACT($D390, ""), "", VLOOKUP($D390, 'REF - ContactNumberType'!$B$4:$C$10, 2, FALSE))</f>
        <v>Office Phone</v>
      </c>
      <c r="F390" s="26" t="s">
        <v>1586</v>
      </c>
      <c r="G390" s="9"/>
      <c r="H390" s="9" t="s">
        <v>1584</v>
      </c>
      <c r="J390" s="33">
        <f t="shared" ref="J390:J453" si="13" xml:space="preserve"> J389 + IF(EXACT(K390, ""), 0, 1)</f>
        <v>286000000000346</v>
      </c>
      <c r="K390" s="34" t="str">
        <f t="shared" ref="K390:K453" si="14">IF(EXACT(F390, ""), "", CONCATENATE("PERFORM ""SchData-OLTP-Master"".""Func_TblContactNumber_SET""(varSystemLoginSession::bigint, null::bigint, null::varchar, null::timestamptz, null::timestamptz, null::varchar, varInstitutionBranchID::bigint, varBaseCurrencyID::bigint, ", IF(EXACT($D390, ""), "NULL", ""&amp;$D390&amp;""), "::bigint, ", IF(EXACT($F390, ""), "NULL", "'"&amp;$F390&amp;"'"), "::varchar, ", IF(EXACT($G390, ""), "NULL", "'"&amp;$G390&amp;"'"), "::varchar, ", IF(EXACT($H390, ""), "NULL", "'"&amp;$H390&amp;"'"), "::varchar, ", IF(EXACT($B390, ""), "NULL", "'"&amp;$B390&amp;"'"), "::bigint);"))</f>
        <v>PERFORM "SchData-OLTP-Master"."Func_TblContactNumber_SET"(varSystemLoginSession::bigint, null::bigint, null::varchar, null::timestamptz, null::timestamptz, null::varchar, varInstitutionBranchID::bigint, varBaseCurrencyID::bigint, 223000000000004::bigint, '+62 (021) 843-050-46'::varchar, NULL::varchar, 'Dohar Lumbanraja'::varchar, '124000000000141'::bigint);</v>
      </c>
    </row>
    <row r="391" spans="2:11" x14ac:dyDescent="0.2">
      <c r="B391" s="22">
        <v>124000000000142</v>
      </c>
      <c r="C391" s="4" t="str">
        <f>IF(EXACT($B391, ""), "", IF((($B391 - MOD($B391, 1000000000000))/1000000000000)=25, CONCATENATE("Person - ", VLOOKUP($B391, [1]DataLookUp!$B$4:$C$2000, 2, FALSE)), IF((($B391 - MOD($B391, 1000000000000))/1000000000000)=124, CONCATENATE("Institution - ", VLOOKUP($B391, '[2]DataLookUp - InstitutionBranch'!$B$4:$C$2000, 2, FALSE)), "")))</f>
        <v xml:space="preserve">Institution - PT. Cita Baja </v>
      </c>
      <c r="D391" s="22">
        <v>223000000000002</v>
      </c>
      <c r="E391" s="4" t="str">
        <f>IF(EXACT($D391, ""), "", VLOOKUP($D391, 'REF - ContactNumberType'!$B$4:$C$10, 2, FALSE))</f>
        <v>Mobile Phone</v>
      </c>
      <c r="F391" s="26" t="s">
        <v>1581</v>
      </c>
      <c r="G391" s="9"/>
      <c r="H391" s="9" t="s">
        <v>1583</v>
      </c>
      <c r="J391" s="33">
        <f t="shared" si="13"/>
        <v>286000000000347</v>
      </c>
      <c r="K391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(021) 550-0986'::varchar, NULL::varchar, 'Mia'::varchar, '124000000000142'::bigint);</v>
      </c>
    </row>
    <row r="392" spans="2:11" x14ac:dyDescent="0.2">
      <c r="B392" s="22">
        <v>124000000000142</v>
      </c>
      <c r="C392" s="4" t="str">
        <f>IF(EXACT($B392, ""), "", IF((($B392 - MOD($B392, 1000000000000))/1000000000000)=25, CONCATENATE("Person - ", VLOOKUP($B392, [1]DataLookUp!$B$4:$C$2000, 2, FALSE)), IF((($B392 - MOD($B392, 1000000000000))/1000000000000)=124, CONCATENATE("Institution - ", VLOOKUP($B392, '[2]DataLookUp - InstitutionBranch'!$B$4:$C$2000, 2, FALSE)), "")))</f>
        <v xml:space="preserve">Institution - PT. Cita Baja </v>
      </c>
      <c r="D392" s="22">
        <v>223000000000005</v>
      </c>
      <c r="E392" s="4" t="str">
        <f>IF(EXACT($D392, ""), "", VLOOKUP($D392, 'REF - ContactNumberType'!$B$4:$C$10, 2, FALSE))</f>
        <v>Faximile</v>
      </c>
      <c r="F392" s="26" t="s">
        <v>1582</v>
      </c>
      <c r="G392" s="9"/>
      <c r="H392" s="9" t="s">
        <v>1583</v>
      </c>
      <c r="J392" s="33">
        <f t="shared" si="13"/>
        <v>286000000000348</v>
      </c>
      <c r="K392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550-0677'::varchar, NULL::varchar, 'Mia'::varchar, '124000000000142'::bigint);</v>
      </c>
    </row>
    <row r="393" spans="2:11" x14ac:dyDescent="0.2">
      <c r="B393" s="22">
        <v>124000000000143</v>
      </c>
      <c r="C393" s="4" t="str">
        <f>IF(EXACT($B393, ""), "", IF((($B393 - MOD($B393, 1000000000000))/1000000000000)=25, CONCATENATE("Person - ", VLOOKUP($B393, [1]DataLookUp!$B$4:$C$2000, 2, FALSE)), IF((($B393 - MOD($B393, 1000000000000))/1000000000000)=124, CONCATENATE("Institution - ", VLOOKUP($B393, '[2]DataLookUp - InstitutionBranch'!$B$4:$C$2000, 2, FALSE)), "")))</f>
        <v>Institution - PT. Citra Banjar Abadi</v>
      </c>
      <c r="D393" s="22">
        <v>223000000000002</v>
      </c>
      <c r="E393" s="4" t="str">
        <f>IF(EXACT($D393, ""), "", VLOOKUP($D393, 'REF - ContactNumberType'!$B$4:$C$10, 2, FALSE))</f>
        <v>Mobile Phone</v>
      </c>
      <c r="F393" s="26" t="s">
        <v>1237</v>
      </c>
      <c r="G393" s="9"/>
      <c r="H393" s="9" t="s">
        <v>984</v>
      </c>
      <c r="J393" s="33">
        <f t="shared" si="13"/>
        <v>286000000000349</v>
      </c>
      <c r="K393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'+62 813-1563-1589'::varchar, NULL::varchar, 'Solehan'::varchar, '124000000000143'::bigint);</v>
      </c>
    </row>
    <row r="394" spans="2:11" x14ac:dyDescent="0.2">
      <c r="B394" s="22">
        <v>124000000000144</v>
      </c>
      <c r="C394" s="4" t="str">
        <f>IF(EXACT($B394, ""), "", IF((($B394 - MOD($B394, 1000000000000))/1000000000000)=25, CONCATENATE("Person - ", VLOOKUP($B394, [1]DataLookUp!$B$4:$C$2000, 2, FALSE)), IF((($B394 - MOD($B394, 1000000000000))/1000000000000)=124, CONCATENATE("Institution - ", VLOOKUP($B394, '[2]DataLookUp - InstitutionBranch'!$B$4:$C$2000, 2, FALSE)), "")))</f>
        <v xml:space="preserve">Institution - PT. Datascrip </v>
      </c>
      <c r="D394" s="22">
        <v>223000000000004</v>
      </c>
      <c r="E394" s="4" t="str">
        <f>IF(EXACT($D394, ""), "", VLOOKUP($D394, 'REF - ContactNumberType'!$B$4:$C$10, 2, FALSE))</f>
        <v>Office Phone</v>
      </c>
      <c r="F394" s="26" t="s">
        <v>1579</v>
      </c>
      <c r="G394" s="9"/>
      <c r="H394" s="9" t="s">
        <v>1578</v>
      </c>
      <c r="J394" s="33">
        <f t="shared" si="13"/>
        <v>286000000000350</v>
      </c>
      <c r="K394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654-4515'::varchar, NULL::varchar, 'Sahat'::varchar, '124000000000144'::bigint);</v>
      </c>
    </row>
    <row r="395" spans="2:11" x14ac:dyDescent="0.2">
      <c r="B395" s="22">
        <v>124000000000144</v>
      </c>
      <c r="C395" s="4" t="str">
        <f>IF(EXACT($B395, ""), "", IF((($B395 - MOD($B395, 1000000000000))/1000000000000)=25, CONCATENATE("Person - ", VLOOKUP($B395, [1]DataLookUp!$B$4:$C$2000, 2, FALSE)), IF((($B395 - MOD($B395, 1000000000000))/1000000000000)=124, CONCATENATE("Institution - ", VLOOKUP($B395, '[2]DataLookUp - InstitutionBranch'!$B$4:$C$2000, 2, FALSE)), "")))</f>
        <v xml:space="preserve">Institution - PT. Datascrip </v>
      </c>
      <c r="D395" s="22">
        <v>223000000000005</v>
      </c>
      <c r="E395" s="4" t="str">
        <f>IF(EXACT($D395, ""), "", VLOOKUP($D395, 'REF - ContactNumberType'!$B$4:$C$10, 2, FALSE))</f>
        <v>Faximile</v>
      </c>
      <c r="F395" s="26" t="s">
        <v>1580</v>
      </c>
      <c r="G395" s="9"/>
      <c r="H395" s="9" t="s">
        <v>1578</v>
      </c>
      <c r="J395" s="33">
        <f t="shared" si="13"/>
        <v>286000000000351</v>
      </c>
      <c r="K395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654-4811'::varchar, NULL::varchar, 'Sahat'::varchar, '124000000000144'::bigint);</v>
      </c>
    </row>
    <row r="396" spans="2:11" x14ac:dyDescent="0.2">
      <c r="B396" s="22">
        <v>124000000000145</v>
      </c>
      <c r="C396" s="4" t="str">
        <f>IF(EXACT($B396, ""), "", IF((($B396 - MOD($B396, 1000000000000))/1000000000000)=25, CONCATENATE("Person - ", VLOOKUP($B396, [1]DataLookUp!$B$4:$C$2000, 2, FALSE)), IF((($B396 - MOD($B396, 1000000000000))/1000000000000)=124, CONCATENATE("Institution - ", VLOOKUP($B396, '[2]DataLookUp - InstitutionBranch'!$B$4:$C$2000, 2, FALSE)), "")))</f>
        <v xml:space="preserve">Institution - PT. Denko Wahana Sakti </v>
      </c>
      <c r="D396" s="22">
        <v>223000000000002</v>
      </c>
      <c r="E396" s="4" t="str">
        <f>IF(EXACT($D396, ""), "", VLOOKUP($D396, 'REF - ContactNumberType'!$B$4:$C$10, 2, FALSE))</f>
        <v>Mobile Phone</v>
      </c>
      <c r="F396" s="26" t="s">
        <v>1238</v>
      </c>
      <c r="G396" s="9"/>
      <c r="H396" s="9" t="s">
        <v>985</v>
      </c>
      <c r="J396" s="33">
        <f t="shared" si="13"/>
        <v>286000000000352</v>
      </c>
      <c r="K396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'+62 816-1190-727'::varchar, NULL::varchar, 'Indro'::varchar, '124000000000145'::bigint);</v>
      </c>
    </row>
    <row r="397" spans="2:11" x14ac:dyDescent="0.2">
      <c r="B397" s="22">
        <v>124000000000145</v>
      </c>
      <c r="C397" s="4" t="str">
        <f>IF(EXACT($B397, ""), "", IF((($B397 - MOD($B397, 1000000000000))/1000000000000)=25, CONCATENATE("Person - ", VLOOKUP($B397, [1]DataLookUp!$B$4:$C$2000, 2, FALSE)), IF((($B397 - MOD($B397, 1000000000000))/1000000000000)=124, CONCATENATE("Institution - ", VLOOKUP($B397, '[2]DataLookUp - InstitutionBranch'!$B$4:$C$2000, 2, FALSE)), "")))</f>
        <v xml:space="preserve">Institution - PT. Denko Wahana Sakti </v>
      </c>
      <c r="D397" s="22">
        <v>223000000000004</v>
      </c>
      <c r="E397" s="4" t="str">
        <f>IF(EXACT($D397, ""), "", VLOOKUP($D397, 'REF - ContactNumberType'!$B$4:$C$10, 2, FALSE))</f>
        <v>Office Phone</v>
      </c>
      <c r="F397" s="26" t="s">
        <v>1576</v>
      </c>
      <c r="G397" s="9"/>
      <c r="H397" s="9" t="s">
        <v>985</v>
      </c>
      <c r="J397" s="33">
        <f t="shared" si="13"/>
        <v>286000000000353</v>
      </c>
      <c r="K397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638-651-99'::varchar, NULL::varchar, 'Indro'::varchar, '124000000000145'::bigint);</v>
      </c>
    </row>
    <row r="398" spans="2:11" x14ac:dyDescent="0.2">
      <c r="B398" s="22">
        <v>124000000000145</v>
      </c>
      <c r="C398" s="4" t="str">
        <f>IF(EXACT($B398, ""), "", IF((($B398 - MOD($B398, 1000000000000))/1000000000000)=25, CONCATENATE("Person - ", VLOOKUP($B398, [1]DataLookUp!$B$4:$C$2000, 2, FALSE)), IF((($B398 - MOD($B398, 1000000000000))/1000000000000)=124, CONCATENATE("Institution - ", VLOOKUP($B398, '[2]DataLookUp - InstitutionBranch'!$B$4:$C$2000, 2, FALSE)), "")))</f>
        <v xml:space="preserve">Institution - PT. Denko Wahana Sakti </v>
      </c>
      <c r="D398" s="22">
        <v>223000000000005</v>
      </c>
      <c r="E398" s="4" t="str">
        <f>IF(EXACT($D398, ""), "", VLOOKUP($D398, 'REF - ContactNumberType'!$B$4:$C$10, 2, FALSE))</f>
        <v>Faximile</v>
      </c>
      <c r="F398" s="26" t="s">
        <v>1577</v>
      </c>
      <c r="G398" s="9"/>
      <c r="H398" s="9" t="s">
        <v>985</v>
      </c>
      <c r="J398" s="33">
        <f t="shared" si="13"/>
        <v>286000000000354</v>
      </c>
      <c r="K398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638-651-52'::varchar, NULL::varchar, 'Indro'::varchar, '124000000000145'::bigint);</v>
      </c>
    </row>
    <row r="399" spans="2:11" x14ac:dyDescent="0.2">
      <c r="B399" s="22">
        <v>124000000000146</v>
      </c>
      <c r="C399" s="4" t="str">
        <f>IF(EXACT($B399, ""), "", IF((($B399 - MOD($B399, 1000000000000))/1000000000000)=25, CONCATENATE("Person - ", VLOOKUP($B399, [1]DataLookUp!$B$4:$C$2000, 2, FALSE)), IF((($B399 - MOD($B399, 1000000000000))/1000000000000)=124, CONCATENATE("Institution - ", VLOOKUP($B399, '[2]DataLookUp - InstitutionBranch'!$B$4:$C$2000, 2, FALSE)), "")))</f>
        <v>Institution - PT. Detech Profesional Indonesia</v>
      </c>
      <c r="D399" s="22">
        <v>223000000000002</v>
      </c>
      <c r="E399" s="4" t="str">
        <f>IF(EXACT($D399, ""), "", VLOOKUP($D399, 'REF - ContactNumberType'!$B$4:$C$10, 2, FALSE))</f>
        <v>Mobile Phone</v>
      </c>
      <c r="F399" s="26" t="s">
        <v>1239</v>
      </c>
      <c r="G399" s="9"/>
      <c r="H399" s="9" t="s">
        <v>986</v>
      </c>
      <c r="J399" s="33">
        <f t="shared" si="13"/>
        <v>286000000000355</v>
      </c>
      <c r="K399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'+62 852-3066-6608'::varchar, NULL::varchar, 'Fajar'::varchar, '124000000000146'::bigint);</v>
      </c>
    </row>
    <row r="400" spans="2:11" x14ac:dyDescent="0.2">
      <c r="B400" s="22">
        <v>124000000000147</v>
      </c>
      <c r="C400" s="4" t="str">
        <f>IF(EXACT($B400, ""), "", IF((($B400 - MOD($B400, 1000000000000))/1000000000000)=25, CONCATENATE("Person - ", VLOOKUP($B400, [1]DataLookUp!$B$4:$C$2000, 2, FALSE)), IF((($B400 - MOD($B400, 1000000000000))/1000000000000)=124, CONCATENATE("Institution - ", VLOOKUP($B400, '[2]DataLookUp - InstitutionBranch'!$B$4:$C$2000, 2, FALSE)), "")))</f>
        <v>Institution - PT. Dharma Lautan Utama</v>
      </c>
      <c r="D400" s="22">
        <v>223000000000002</v>
      </c>
      <c r="E400" s="4" t="str">
        <f>IF(EXACT($D400, ""), "", VLOOKUP($D400, 'REF - ContactNumberType'!$B$4:$C$10, 2, FALSE))</f>
        <v>Mobile Phone</v>
      </c>
      <c r="F400" s="26" t="s">
        <v>1240</v>
      </c>
      <c r="G400" s="9"/>
      <c r="H400" s="9" t="s">
        <v>987</v>
      </c>
      <c r="J400" s="33">
        <f t="shared" si="13"/>
        <v>286000000000356</v>
      </c>
      <c r="K400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'+62 821-3360-0500'::varchar, NULL::varchar, 'Dewi'::varchar, '124000000000147'::bigint);</v>
      </c>
    </row>
    <row r="401" spans="2:11" x14ac:dyDescent="0.2">
      <c r="B401" s="22">
        <v>124000000000147</v>
      </c>
      <c r="C401" s="4" t="str">
        <f>IF(EXACT($B401, ""), "", IF((($B401 - MOD($B401, 1000000000000))/1000000000000)=25, CONCATENATE("Person - ", VLOOKUP($B401, [1]DataLookUp!$B$4:$C$2000, 2, FALSE)), IF((($B401 - MOD($B401, 1000000000000))/1000000000000)=124, CONCATENATE("Institution - ", VLOOKUP($B401, '[2]DataLookUp - InstitutionBranch'!$B$4:$C$2000, 2, FALSE)), "")))</f>
        <v>Institution - PT. Dharma Lautan Utama</v>
      </c>
      <c r="D401" s="22">
        <v>223000000000004</v>
      </c>
      <c r="E401" s="4" t="str">
        <f>IF(EXACT($D401, ""), "", VLOOKUP($D401, 'REF - ContactNumberType'!$B$4:$C$10, 2, FALSE))</f>
        <v>Office Phone</v>
      </c>
      <c r="F401" s="26" t="s">
        <v>1575</v>
      </c>
      <c r="G401" s="9"/>
      <c r="H401" s="9" t="s">
        <v>987</v>
      </c>
      <c r="J401" s="33">
        <f t="shared" si="13"/>
        <v>286000000000357</v>
      </c>
      <c r="K401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223000000000004::bigint, '+62 (024) 358-4600'::varchar, NULL::varchar, 'Dewi'::varchar, '124000000000147'::bigint);</v>
      </c>
    </row>
    <row r="402" spans="2:11" x14ac:dyDescent="0.2">
      <c r="B402" s="22">
        <v>124000000000148</v>
      </c>
      <c r="C402" s="4" t="str">
        <f>IF(EXACT($B402, ""), "", IF((($B402 - MOD($B402, 1000000000000))/1000000000000)=25, CONCATENATE("Person - ", VLOOKUP($B402, [1]DataLookUp!$B$4:$C$2000, 2, FALSE)), IF((($B402 - MOD($B402, 1000000000000))/1000000000000)=124, CONCATENATE("Institution - ", VLOOKUP($B402, '[2]DataLookUp - InstitutionBranch'!$B$4:$C$2000, 2, FALSE)), "")))</f>
        <v>Institution - PT. Dinar Energi Utama</v>
      </c>
      <c r="D402" s="22">
        <v>223000000000002</v>
      </c>
      <c r="E402" s="4" t="str">
        <f>IF(EXACT($D402, ""), "", VLOOKUP($D402, 'REF - ContactNumberType'!$B$4:$C$10, 2, FALSE))</f>
        <v>Mobile Phone</v>
      </c>
      <c r="F402" s="26" t="s">
        <v>911</v>
      </c>
      <c r="G402" s="9"/>
      <c r="H402" s="9" t="s">
        <v>988</v>
      </c>
      <c r="J402" s="33">
        <f t="shared" si="13"/>
        <v>286000000000358</v>
      </c>
      <c r="K402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'+62 813-4535-4141'::varchar, NULL::varchar, 'Heri Pradana'::varchar, '124000000000148'::bigint);</v>
      </c>
    </row>
    <row r="403" spans="2:11" x14ac:dyDescent="0.2">
      <c r="B403" s="22">
        <v>124000000000149</v>
      </c>
      <c r="C403" s="4" t="str">
        <f>IF(EXACT($B403, ""), "", IF((($B403 - MOD($B403, 1000000000000))/1000000000000)=25, CONCATENATE("Person - ", VLOOKUP($B403, [1]DataLookUp!$B$4:$C$2000, 2, FALSE)), IF((($B403 - MOD($B403, 1000000000000))/1000000000000)=124, CONCATENATE("Institution - ", VLOOKUP($B403, '[2]DataLookUp - InstitutionBranch'!$B$4:$C$2000, 2, FALSE)), "")))</f>
        <v>Institution - PT. Dirgatz Indonesia</v>
      </c>
      <c r="D403" s="22">
        <v>223000000000002</v>
      </c>
      <c r="E403" s="4" t="str">
        <f>IF(EXACT($D403, ""), "", VLOOKUP($D403, 'REF - ContactNumberType'!$B$4:$C$10, 2, FALSE))</f>
        <v>Mobile Phone</v>
      </c>
      <c r="F403" s="26" t="s">
        <v>1241</v>
      </c>
      <c r="G403" s="9"/>
      <c r="H403" s="9" t="s">
        <v>1701</v>
      </c>
      <c r="J403" s="33">
        <f t="shared" si="13"/>
        <v>286000000000359</v>
      </c>
      <c r="K403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'+62 811-193-696'::varchar, NULL::varchar, 'Handi'::varchar, '124000000000149'::bigint);</v>
      </c>
    </row>
    <row r="404" spans="2:11" x14ac:dyDescent="0.2">
      <c r="B404" s="22">
        <v>124000000000149</v>
      </c>
      <c r="C404" s="4" t="str">
        <f>IF(EXACT($B404, ""), "", IF((($B404 - MOD($B404, 1000000000000))/1000000000000)=25, CONCATENATE("Person - ", VLOOKUP($B404, [1]DataLookUp!$B$4:$C$2000, 2, FALSE)), IF((($B404 - MOD($B404, 1000000000000))/1000000000000)=124, CONCATENATE("Institution - ", VLOOKUP($B404, '[2]DataLookUp - InstitutionBranch'!$B$4:$C$2000, 2, FALSE)), "")))</f>
        <v>Institution - PT. Dirgatz Indonesia</v>
      </c>
      <c r="D404" s="22">
        <v>223000000000004</v>
      </c>
      <c r="E404" s="4" t="str">
        <f>IF(EXACT($D404, ""), "", VLOOKUP($D404, 'REF - ContactNumberType'!$B$4:$C$10, 2, FALSE))</f>
        <v>Office Phone</v>
      </c>
      <c r="F404" s="26" t="s">
        <v>1573</v>
      </c>
      <c r="G404" s="9"/>
      <c r="H404" s="9" t="s">
        <v>1701</v>
      </c>
      <c r="J404" s="33">
        <f t="shared" si="13"/>
        <v>286000000000360</v>
      </c>
      <c r="K404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780-7990'::varchar, NULL::varchar, 'Handi'::varchar, '124000000000149'::bigint);</v>
      </c>
    </row>
    <row r="405" spans="2:11" x14ac:dyDescent="0.2">
      <c r="B405" s="22">
        <v>124000000000150</v>
      </c>
      <c r="C405" s="4" t="str">
        <f>IF(EXACT($B405, ""), "", IF((($B405 - MOD($B405, 1000000000000))/1000000000000)=25, CONCATENATE("Person - ", VLOOKUP($B405, [1]DataLookUp!$B$4:$C$2000, 2, FALSE)), IF((($B405 - MOD($B405, 1000000000000))/1000000000000)=124, CONCATENATE("Institution - ", VLOOKUP($B405, '[2]DataLookUp - InstitutionBranch'!$B$4:$C$2000, 2, FALSE)), "")))</f>
        <v>Institution - PT. Duta Realtindo Perkasa</v>
      </c>
      <c r="D405" s="22">
        <v>223000000000002</v>
      </c>
      <c r="E405" s="4" t="str">
        <f>IF(EXACT($D405, ""), "", VLOOKUP($D405, 'REF - ContactNumberType'!$B$4:$C$10, 2, FALSE))</f>
        <v>Mobile Phone</v>
      </c>
      <c r="F405" s="26" t="s">
        <v>1243</v>
      </c>
      <c r="G405" s="9"/>
      <c r="H405" s="9" t="s">
        <v>1572</v>
      </c>
      <c r="J405" s="33">
        <f t="shared" si="13"/>
        <v>286000000000361</v>
      </c>
      <c r="K405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'+62 877-7770-7997'::varchar, NULL::varchar, 'Jehaan'::varchar, '124000000000150'::bigint);</v>
      </c>
    </row>
    <row r="406" spans="2:11" x14ac:dyDescent="0.2">
      <c r="B406" s="22">
        <v>124000000000151</v>
      </c>
      <c r="C406" s="4" t="str">
        <f>IF(EXACT($B406, ""), "", IF((($B406 - MOD($B406, 1000000000000))/1000000000000)=25, CONCATENATE("Person - ", VLOOKUP($B406, [1]DataLookUp!$B$4:$C$2000, 2, FALSE)), IF((($B406 - MOD($B406, 1000000000000))/1000000000000)=124, CONCATENATE("Institution - ", VLOOKUP($B406, '[2]DataLookUp - InstitutionBranch'!$B$4:$C$2000, 2, FALSE)), "")))</f>
        <v>Institution - PT. Dwimitra Sejahtera Bersama</v>
      </c>
      <c r="D406" s="22">
        <v>223000000000004</v>
      </c>
      <c r="E406" s="4" t="str">
        <f>IF(EXACT($D406, ""), "", VLOOKUP($D406, 'REF - ContactNumberType'!$B$4:$C$10, 2, FALSE))</f>
        <v>Office Phone</v>
      </c>
      <c r="F406" s="26" t="s">
        <v>1570</v>
      </c>
      <c r="G406" s="9"/>
      <c r="H406" s="9" t="s">
        <v>990</v>
      </c>
      <c r="J406" s="33">
        <f t="shared" si="13"/>
        <v>286000000000362</v>
      </c>
      <c r="K406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647-019-99'::varchar, NULL::varchar, 'Devi'::varchar, '124000000000151'::bigint);</v>
      </c>
    </row>
    <row r="407" spans="2:11" x14ac:dyDescent="0.2">
      <c r="B407" s="22">
        <v>124000000000151</v>
      </c>
      <c r="C407" s="4" t="str">
        <f>IF(EXACT($B407, ""), "", IF((($B407 - MOD($B407, 1000000000000))/1000000000000)=25, CONCATENATE("Person - ", VLOOKUP($B407, [1]DataLookUp!$B$4:$C$2000, 2, FALSE)), IF((($B407 - MOD($B407, 1000000000000))/1000000000000)=124, CONCATENATE("Institution - ", VLOOKUP($B407, '[2]DataLookUp - InstitutionBranch'!$B$4:$C$2000, 2, FALSE)), "")))</f>
        <v>Institution - PT. Dwimitra Sejahtera Bersama</v>
      </c>
      <c r="D407" s="22">
        <v>223000000000005</v>
      </c>
      <c r="E407" s="4" t="str">
        <f>IF(EXACT($D407, ""), "", VLOOKUP($D407, 'REF - ContactNumberType'!$B$4:$C$10, 2, FALSE))</f>
        <v>Faximile</v>
      </c>
      <c r="F407" s="26" t="s">
        <v>1571</v>
      </c>
      <c r="G407" s="9"/>
      <c r="H407" s="9" t="s">
        <v>990</v>
      </c>
      <c r="J407" s="33">
        <f t="shared" si="13"/>
        <v>286000000000363</v>
      </c>
      <c r="K407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647-159-99'::varchar, NULL::varchar, 'Devi'::varchar, '124000000000151'::bigint);</v>
      </c>
    </row>
    <row r="408" spans="2:11" x14ac:dyDescent="0.2">
      <c r="B408" s="22">
        <v>124000000000152</v>
      </c>
      <c r="C408" s="4" t="str">
        <f>IF(EXACT($B408, ""), "", IF((($B408 - MOD($B408, 1000000000000))/1000000000000)=25, CONCATENATE("Person - ", VLOOKUP($B408, [1]DataLookUp!$B$4:$C$2000, 2, FALSE)), IF((($B408 - MOD($B408, 1000000000000))/1000000000000)=124, CONCATENATE("Institution - ", VLOOKUP($B408, '[2]DataLookUp - InstitutionBranch'!$B$4:$C$2000, 2, FALSE)), "")))</f>
        <v>Institution - PT. Elbion Karya Solusi</v>
      </c>
      <c r="D408" s="22">
        <v>223000000000002</v>
      </c>
      <c r="E408" s="4" t="str">
        <f>IF(EXACT($D408, ""), "", VLOOKUP($D408, 'REF - ContactNumberType'!$B$4:$C$10, 2, FALSE))</f>
        <v>Mobile Phone</v>
      </c>
      <c r="F408" s="26" t="s">
        <v>1568</v>
      </c>
      <c r="G408" s="9"/>
      <c r="H408" s="9" t="s">
        <v>991</v>
      </c>
      <c r="J408" s="33">
        <f t="shared" si="13"/>
        <v>286000000000364</v>
      </c>
      <c r="K408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'+62 816-1113-595'::varchar, NULL::varchar, 'Ricky'::varchar, '124000000000152'::bigint);</v>
      </c>
    </row>
    <row r="409" spans="2:11" x14ac:dyDescent="0.2">
      <c r="B409" s="22">
        <v>124000000000152</v>
      </c>
      <c r="C409" s="4" t="str">
        <f>IF(EXACT($B409, ""), "", IF((($B409 - MOD($B409, 1000000000000))/1000000000000)=25, CONCATENATE("Person - ", VLOOKUP($B409, [1]DataLookUp!$B$4:$C$2000, 2, FALSE)), IF((($B409 - MOD($B409, 1000000000000))/1000000000000)=124, CONCATENATE("Institution - ", VLOOKUP($B409, '[2]DataLookUp - InstitutionBranch'!$B$4:$C$2000, 2, FALSE)), "")))</f>
        <v>Institution - PT. Elbion Karya Solusi</v>
      </c>
      <c r="D409" s="22">
        <v>223000000000004</v>
      </c>
      <c r="E409" s="4" t="str">
        <f>IF(EXACT($D409, ""), "", VLOOKUP($D409, 'REF - ContactNumberType'!$B$4:$C$10, 2, FALSE))</f>
        <v>Office Phone</v>
      </c>
      <c r="F409" s="26" t="s">
        <v>1569</v>
      </c>
      <c r="G409" s="9"/>
      <c r="H409" s="9" t="s">
        <v>991</v>
      </c>
      <c r="J409" s="33">
        <f t="shared" si="13"/>
        <v>286000000000365</v>
      </c>
      <c r="K409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601-0146'::varchar, NULL::varchar, 'Ricky'::varchar, '124000000000152'::bigint);</v>
      </c>
    </row>
    <row r="410" spans="2:11" x14ac:dyDescent="0.2">
      <c r="B410" s="22">
        <v>124000000000153</v>
      </c>
      <c r="C410" s="4" t="str">
        <f>IF(EXACT($B410, ""), "", IF((($B410 - MOD($B410, 1000000000000))/1000000000000)=25, CONCATENATE("Person - ", VLOOKUP($B410, [1]DataLookUp!$B$4:$C$2000, 2, FALSE)), IF((($B410 - MOD($B410, 1000000000000))/1000000000000)=124, CONCATENATE("Institution - ", VLOOKUP($B410, '[2]DataLookUp - InstitutionBranch'!$B$4:$C$2000, 2, FALSE)), "")))</f>
        <v xml:space="preserve">Institution - PT. Fortindo Maju Bersama </v>
      </c>
      <c r="D410" s="22">
        <v>223000000000002</v>
      </c>
      <c r="E410" s="4" t="str">
        <f>IF(EXACT($D410, ""), "", VLOOKUP($D410, 'REF - ContactNumberType'!$B$4:$C$10, 2, FALSE))</f>
        <v>Mobile Phone</v>
      </c>
      <c r="F410" s="26" t="s">
        <v>1244</v>
      </c>
      <c r="G410" s="9"/>
      <c r="H410" s="9" t="s">
        <v>1566</v>
      </c>
      <c r="J410" s="33">
        <f t="shared" si="13"/>
        <v>286000000000366</v>
      </c>
      <c r="K410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'+62 812-8800-4099'::varchar, NULL::varchar, 'Martin'::varchar, '124000000000153'::bigint);</v>
      </c>
    </row>
    <row r="411" spans="2:11" x14ac:dyDescent="0.2">
      <c r="B411" s="22">
        <v>124000000000153</v>
      </c>
      <c r="C411" s="4" t="str">
        <f>IF(EXACT($B411, ""), "", IF((($B411 - MOD($B411, 1000000000000))/1000000000000)=25, CONCATENATE("Person - ", VLOOKUP($B411, [1]DataLookUp!$B$4:$C$2000, 2, FALSE)), IF((($B411 - MOD($B411, 1000000000000))/1000000000000)=124, CONCATENATE("Institution - ", VLOOKUP($B411, '[2]DataLookUp - InstitutionBranch'!$B$4:$C$2000, 2, FALSE)), "")))</f>
        <v xml:space="preserve">Institution - PT. Fortindo Maju Bersama </v>
      </c>
      <c r="D411" s="22">
        <v>223000000000002</v>
      </c>
      <c r="E411" s="4" t="str">
        <f>IF(EXACT($D411, ""), "", VLOOKUP($D411, 'REF - ContactNumberType'!$B$4:$C$10, 2, FALSE))</f>
        <v>Mobile Phone</v>
      </c>
      <c r="F411" s="26" t="s">
        <v>1245</v>
      </c>
      <c r="G411" s="9"/>
      <c r="H411" s="9" t="s">
        <v>1566</v>
      </c>
      <c r="J411" s="33">
        <f t="shared" si="13"/>
        <v>286000000000367</v>
      </c>
      <c r="K411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'+62 819-1000-8660'::varchar, NULL::varchar, 'Martin'::varchar, '124000000000153'::bigint);</v>
      </c>
    </row>
    <row r="412" spans="2:11" x14ac:dyDescent="0.2">
      <c r="B412" s="22">
        <v>124000000000154</v>
      </c>
      <c r="C412" s="4" t="str">
        <f>IF(EXACT($B412, ""), "", IF((($B412 - MOD($B412, 1000000000000))/1000000000000)=25, CONCATENATE("Person - ", VLOOKUP($B412, [1]DataLookUp!$B$4:$C$2000, 2, FALSE)), IF((($B412 - MOD($B412, 1000000000000))/1000000000000)=124, CONCATENATE("Institution - ", VLOOKUP($B412, '[2]DataLookUp - InstitutionBranch'!$B$4:$C$2000, 2, FALSE)), "")))</f>
        <v>Institution - PT. Gateway Container Line Indonesia</v>
      </c>
      <c r="D412" s="22">
        <v>223000000000002</v>
      </c>
      <c r="E412" s="4" t="str">
        <f>IF(EXACT($D412, ""), "", VLOOKUP($D412, 'REF - ContactNumberType'!$B$4:$C$10, 2, FALSE))</f>
        <v>Mobile Phone</v>
      </c>
      <c r="F412" s="26" t="s">
        <v>1246</v>
      </c>
      <c r="G412" s="9"/>
      <c r="H412" s="9" t="s">
        <v>1567</v>
      </c>
      <c r="J412" s="33">
        <f t="shared" si="13"/>
        <v>286000000000368</v>
      </c>
      <c r="K412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'+62 812-1378-9796'::varchar, NULL::varchar, 'Fitri'::varchar, '124000000000154'::bigint);</v>
      </c>
    </row>
    <row r="413" spans="2:11" x14ac:dyDescent="0.2">
      <c r="B413" s="22">
        <v>124000000000154</v>
      </c>
      <c r="C413" s="4" t="str">
        <f>IF(EXACT($B413, ""), "", IF((($B413 - MOD($B413, 1000000000000))/1000000000000)=25, CONCATENATE("Person - ", VLOOKUP($B413, [1]DataLookUp!$B$4:$C$2000, 2, FALSE)), IF((($B413 - MOD($B413, 1000000000000))/1000000000000)=124, CONCATENATE("Institution - ", VLOOKUP($B413, '[2]DataLookUp - InstitutionBranch'!$B$4:$C$2000, 2, FALSE)), "")))</f>
        <v>Institution - PT. Gateway Container Line Indonesia</v>
      </c>
      <c r="D413" s="22">
        <v>223000000000004</v>
      </c>
      <c r="E413" s="4" t="str">
        <f>IF(EXACT($D413, ""), "", VLOOKUP($D413, 'REF - ContactNumberType'!$B$4:$C$10, 2, FALSE))</f>
        <v>Office Phone</v>
      </c>
      <c r="F413" s="26" t="s">
        <v>1565</v>
      </c>
      <c r="G413" s="9"/>
      <c r="H413" s="9" t="s">
        <v>1567</v>
      </c>
      <c r="J413" s="33">
        <f t="shared" si="13"/>
        <v>286000000000369</v>
      </c>
      <c r="K413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859-186-69'::varchar, NULL::varchar, 'Fitri'::varchar, '124000000000154'::bigint);</v>
      </c>
    </row>
    <row r="414" spans="2:11" x14ac:dyDescent="0.2">
      <c r="B414" s="22">
        <v>124000000000154</v>
      </c>
      <c r="C414" s="4" t="str">
        <f>IF(EXACT($B414, ""), "", IF((($B414 - MOD($B414, 1000000000000))/1000000000000)=25, CONCATENATE("Person - ", VLOOKUP($B414, [1]DataLookUp!$B$4:$C$2000, 2, FALSE)), IF((($B414 - MOD($B414, 1000000000000))/1000000000000)=124, CONCATENATE("Institution - ", VLOOKUP($B414, '[2]DataLookUp - InstitutionBranch'!$B$4:$C$2000, 2, FALSE)), "")))</f>
        <v>Institution - PT. Gateway Container Line Indonesia</v>
      </c>
      <c r="D414" s="22">
        <v>223000000000005</v>
      </c>
      <c r="E414" s="4" t="str">
        <f>IF(EXACT($D414, ""), "", VLOOKUP($D414, 'REF - ContactNumberType'!$B$4:$C$10, 2, FALSE))</f>
        <v>Faximile</v>
      </c>
      <c r="F414" s="26" t="s">
        <v>1564</v>
      </c>
      <c r="G414" s="9"/>
      <c r="H414" s="9" t="s">
        <v>1567</v>
      </c>
      <c r="J414" s="33">
        <f t="shared" si="13"/>
        <v>286000000000370</v>
      </c>
      <c r="K414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859-8664'::varchar, NULL::varchar, 'Fitri'::varchar, '124000000000154'::bigint);</v>
      </c>
    </row>
    <row r="415" spans="2:11" x14ac:dyDescent="0.2">
      <c r="B415" s="22">
        <v>124000000000155</v>
      </c>
      <c r="C415" s="4" t="str">
        <f>IF(EXACT($B415, ""), "", IF((($B415 - MOD($B415, 1000000000000))/1000000000000)=25, CONCATENATE("Person - ", VLOOKUP($B415, [1]DataLookUp!$B$4:$C$2000, 2, FALSE)), IF((($B415 - MOD($B415, 1000000000000))/1000000000000)=124, CONCATENATE("Institution - ", VLOOKUP($B415, '[2]DataLookUp - InstitutionBranch'!$B$4:$C$2000, 2, FALSE)), "")))</f>
        <v>Institution - PT. Geo Cipta Bangun</v>
      </c>
      <c r="D415" s="22">
        <v>223000000000002</v>
      </c>
      <c r="E415" s="4" t="str">
        <f>IF(EXACT($D415, ""), "", VLOOKUP($D415, 'REF - ContactNumberType'!$B$4:$C$10, 2, FALSE))</f>
        <v>Mobile Phone</v>
      </c>
      <c r="F415" s="26" t="s">
        <v>1563</v>
      </c>
      <c r="G415" s="9"/>
      <c r="H415" s="9" t="s">
        <v>992</v>
      </c>
      <c r="J415" s="33">
        <f t="shared" si="13"/>
        <v>286000000000371</v>
      </c>
      <c r="K415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'+62 852-7181-5421'::varchar, NULL::varchar, 'Yopi'::varchar, '124000000000155'::bigint);</v>
      </c>
    </row>
    <row r="416" spans="2:11" x14ac:dyDescent="0.2">
      <c r="B416" s="22">
        <v>124000000000156</v>
      </c>
      <c r="C416" s="4" t="str">
        <f>IF(EXACT($B416, ""), "", IF((($B416 - MOD($B416, 1000000000000))/1000000000000)=25, CONCATENATE("Person - ", VLOOKUP($B416, [1]DataLookUp!$B$4:$C$2000, 2, FALSE)), IF((($B416 - MOD($B416, 1000000000000))/1000000000000)=124, CONCATENATE("Institution - ", VLOOKUP($B416, '[2]DataLookUp - InstitutionBranch'!$B$4:$C$2000, 2, FALSE)), "")))</f>
        <v>Institution - PT. Geo Metri Indonesia</v>
      </c>
      <c r="D416" s="22">
        <v>223000000000002</v>
      </c>
      <c r="E416" s="4" t="str">
        <f>IF(EXACT($D416, ""), "", VLOOKUP($D416, 'REF - ContactNumberType'!$B$4:$C$10, 2, FALSE))</f>
        <v>Mobile Phone</v>
      </c>
      <c r="F416" s="26" t="s">
        <v>912</v>
      </c>
      <c r="G416" s="9"/>
      <c r="H416" s="9" t="s">
        <v>964</v>
      </c>
      <c r="J416" s="33">
        <f t="shared" si="13"/>
        <v>286000000000372</v>
      </c>
      <c r="K416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'+62 813-7337-8718'::varchar, NULL::varchar, 'Admin'::varchar, '124000000000156'::bigint);</v>
      </c>
    </row>
    <row r="417" spans="2:11" x14ac:dyDescent="0.2">
      <c r="B417" s="22">
        <v>124000000000157</v>
      </c>
      <c r="C417" s="4" t="str">
        <f>IF(EXACT($B417, ""), "", IF((($B417 - MOD($B417, 1000000000000))/1000000000000)=25, CONCATENATE("Person - ", VLOOKUP($B417, [1]DataLookUp!$B$4:$C$2000, 2, FALSE)), IF((($B417 - MOD($B417, 1000000000000))/1000000000000)=124, CONCATENATE("Institution - ", VLOOKUP($B417, '[2]DataLookUp - InstitutionBranch'!$B$4:$C$2000, 2, FALSE)), "")))</f>
        <v>Institution - PT. Geotechnical Systemindo</v>
      </c>
      <c r="D417" s="22">
        <v>223000000000002</v>
      </c>
      <c r="E417" s="4" t="str">
        <f>IF(EXACT($D417, ""), "", VLOOKUP($D417, 'REF - ContactNumberType'!$B$4:$C$10, 2, FALSE))</f>
        <v>Mobile Phone</v>
      </c>
      <c r="F417" s="26" t="s">
        <v>1558</v>
      </c>
      <c r="G417" s="9"/>
      <c r="H417" s="9" t="s">
        <v>1562</v>
      </c>
      <c r="J417" s="33">
        <f t="shared" si="13"/>
        <v>286000000000373</v>
      </c>
      <c r="K417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'+62 811-9780-844'::varchar, NULL::varchar, 'Edy'::varchar, '124000000000157'::bigint);</v>
      </c>
    </row>
    <row r="418" spans="2:11" x14ac:dyDescent="0.2">
      <c r="B418" s="22">
        <v>124000000000158</v>
      </c>
      <c r="C418" s="4" t="str">
        <f>IF(EXACT($B418, ""), "", IF((($B418 - MOD($B418, 1000000000000))/1000000000000)=25, CONCATENATE("Person - ", VLOOKUP($B418, [1]DataLookUp!$B$4:$C$2000, 2, FALSE)), IF((($B418 - MOD($B418, 1000000000000))/1000000000000)=124, CONCATENATE("Institution - ", VLOOKUP($B418, '[2]DataLookUp - InstitutionBranch'!$B$4:$C$2000, 2, FALSE)), "")))</f>
        <v>Institution - PT. Gerindo Tehnik</v>
      </c>
      <c r="D418" s="22">
        <v>223000000000004</v>
      </c>
      <c r="E418" s="4" t="str">
        <f>IF(EXACT($D418, ""), "", VLOOKUP($D418, 'REF - ContactNumberType'!$B$4:$C$10, 2, FALSE))</f>
        <v>Office Phone</v>
      </c>
      <c r="F418" s="26" t="s">
        <v>1559</v>
      </c>
      <c r="G418" s="9"/>
      <c r="H418" s="9" t="s">
        <v>993</v>
      </c>
      <c r="J418" s="33">
        <f t="shared" si="13"/>
        <v>286000000000374</v>
      </c>
      <c r="K418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543-812-68'::varchar, NULL::varchar, 'PT. Gerindo Tehnik'::varchar, '124000000000158'::bigint);</v>
      </c>
    </row>
    <row r="419" spans="2:11" x14ac:dyDescent="0.2">
      <c r="B419" s="22">
        <v>124000000000158</v>
      </c>
      <c r="C419" s="4" t="str">
        <f>IF(EXACT($B419, ""), "", IF((($B419 - MOD($B419, 1000000000000))/1000000000000)=25, CONCATENATE("Person - ", VLOOKUP($B419, [1]DataLookUp!$B$4:$C$2000, 2, FALSE)), IF((($B419 - MOD($B419, 1000000000000))/1000000000000)=124, CONCATENATE("Institution - ", VLOOKUP($B419, '[2]DataLookUp - InstitutionBranch'!$B$4:$C$2000, 2, FALSE)), "")))</f>
        <v>Institution - PT. Gerindo Tehnik</v>
      </c>
      <c r="D419" s="22">
        <v>223000000000005</v>
      </c>
      <c r="E419" s="4" t="str">
        <f>IF(EXACT($D419, ""), "", VLOOKUP($D419, 'REF - ContactNumberType'!$B$4:$C$10, 2, FALSE))</f>
        <v>Faximile</v>
      </c>
      <c r="F419" s="26" t="s">
        <v>1560</v>
      </c>
      <c r="G419" s="9"/>
      <c r="H419" s="9" t="s">
        <v>993</v>
      </c>
      <c r="J419" s="33">
        <f t="shared" si="13"/>
        <v>286000000000375</v>
      </c>
      <c r="K419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543-812-70'::varchar, NULL::varchar, 'PT. Gerindo Tehnik'::varchar, '124000000000158'::bigint);</v>
      </c>
    </row>
    <row r="420" spans="2:11" x14ac:dyDescent="0.2">
      <c r="B420" s="22">
        <v>124000000000159</v>
      </c>
      <c r="C420" s="4" t="str">
        <f>IF(EXACT($B420, ""), "", IF((($B420 - MOD($B420, 1000000000000))/1000000000000)=25, CONCATENATE("Person - ", VLOOKUP($B420, [1]DataLookUp!$B$4:$C$2000, 2, FALSE)), IF((($B420 - MOD($B420, 1000000000000))/1000000000000)=124, CONCATENATE("Institution - ", VLOOKUP($B420, '[2]DataLookUp - InstitutionBranch'!$B$4:$C$2000, 2, FALSE)), "")))</f>
        <v>Institution - PT. Giapindo King Stone</v>
      </c>
      <c r="D420" s="22">
        <v>223000000000002</v>
      </c>
      <c r="E420" s="4" t="str">
        <f>IF(EXACT($D420, ""), "", VLOOKUP($D420, 'REF - ContactNumberType'!$B$4:$C$10, 2, FALSE))</f>
        <v>Mobile Phone</v>
      </c>
      <c r="F420" s="26" t="s">
        <v>1561</v>
      </c>
      <c r="G420" s="9"/>
      <c r="H420" s="9" t="s">
        <v>994</v>
      </c>
      <c r="J420" s="33">
        <f t="shared" si="13"/>
        <v>286000000000376</v>
      </c>
      <c r="K420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'+62 813-5021-6066'::varchar, NULL::varchar, 'Jefry'::varchar, '124000000000159'::bigint);</v>
      </c>
    </row>
    <row r="421" spans="2:11" x14ac:dyDescent="0.2">
      <c r="B421" s="22">
        <v>124000000000160</v>
      </c>
      <c r="C421" s="4" t="str">
        <f>IF(EXACT($B421, ""), "", IF((($B421 - MOD($B421, 1000000000000))/1000000000000)=25, CONCATENATE("Person - ", VLOOKUP($B421, [1]DataLookUp!$B$4:$C$2000, 2, FALSE)), IF((($B421 - MOD($B421, 1000000000000))/1000000000000)=124, CONCATENATE("Institution - ", VLOOKUP($B421, '[2]DataLookUp - InstitutionBranch'!$B$4:$C$2000, 2, FALSE)), "")))</f>
        <v>Institution - PT. Givro Multi Teknik Perkasa</v>
      </c>
      <c r="D421" s="22">
        <v>223000000000002</v>
      </c>
      <c r="E421" s="4" t="str">
        <f>IF(EXACT($D421, ""), "", VLOOKUP($D421, 'REF - ContactNumberType'!$B$4:$C$10, 2, FALSE))</f>
        <v>Mobile Phone</v>
      </c>
      <c r="F421" s="26" t="s">
        <v>1556</v>
      </c>
      <c r="G421" s="9"/>
      <c r="H421" s="9" t="s">
        <v>995</v>
      </c>
      <c r="J421" s="33">
        <f t="shared" si="13"/>
        <v>286000000000377</v>
      </c>
      <c r="K421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'+62 811-8889-065'::varchar, NULL::varchar, 'Susan'::varchar, '124000000000160'::bigint);</v>
      </c>
    </row>
    <row r="422" spans="2:11" x14ac:dyDescent="0.2">
      <c r="B422" s="22">
        <v>124000000000160</v>
      </c>
      <c r="C422" s="4" t="str">
        <f>IF(EXACT($B422, ""), "", IF((($B422 - MOD($B422, 1000000000000))/1000000000000)=25, CONCATENATE("Person - ", VLOOKUP($B422, [1]DataLookUp!$B$4:$C$2000, 2, FALSE)), IF((($B422 - MOD($B422, 1000000000000))/1000000000000)=124, CONCATENATE("Institution - ", VLOOKUP($B422, '[2]DataLookUp - InstitutionBranch'!$B$4:$C$2000, 2, FALSE)), "")))</f>
        <v>Institution - PT. Givro Multi Teknik Perkasa</v>
      </c>
      <c r="D422" s="22">
        <v>223000000000004</v>
      </c>
      <c r="E422" s="4" t="str">
        <f>IF(EXACT($D422, ""), "", VLOOKUP($D422, 'REF - ContactNumberType'!$B$4:$C$10, 2, FALSE))</f>
        <v>Office Phone</v>
      </c>
      <c r="F422" s="26" t="s">
        <v>1557</v>
      </c>
      <c r="G422" s="9"/>
      <c r="H422" s="9" t="s">
        <v>995</v>
      </c>
      <c r="J422" s="33">
        <f t="shared" si="13"/>
        <v>286000000000378</v>
      </c>
      <c r="K422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294-837-95'::varchar, NULL::varchar, 'Susan'::varchar, '124000000000160'::bigint);</v>
      </c>
    </row>
    <row r="423" spans="2:11" x14ac:dyDescent="0.2">
      <c r="B423" s="22">
        <v>124000000000162</v>
      </c>
      <c r="C423" s="4" t="str">
        <f>IF(EXACT($B423, ""), "", IF((($B423 - MOD($B423, 1000000000000))/1000000000000)=25, CONCATENATE("Person - ", VLOOKUP($B423, [1]DataLookUp!$B$4:$C$2000, 2, FALSE)), IF((($B423 - MOD($B423, 1000000000000))/1000000000000)=124, CONCATENATE("Institution - ", VLOOKUP($B423, '[2]DataLookUp - InstitutionBranch'!$B$4:$C$2000, 2, FALSE)), "")))</f>
        <v>Institution - PT. Harapan Mitra Pengusaha Nusantara</v>
      </c>
      <c r="D423" s="22">
        <v>223000000000002</v>
      </c>
      <c r="E423" s="4" t="str">
        <f>IF(EXACT($D423, ""), "", VLOOKUP($D423, 'REF - ContactNumberType'!$B$4:$C$10, 2, FALSE))</f>
        <v>Mobile Phone</v>
      </c>
      <c r="F423" s="26" t="s">
        <v>1555</v>
      </c>
      <c r="G423" s="9"/>
      <c r="H423" s="9" t="s">
        <v>996</v>
      </c>
      <c r="J423" s="33">
        <f t="shared" si="13"/>
        <v>286000000000379</v>
      </c>
      <c r="K423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'+62 812-4990-0056'::varchar, NULL::varchar, 'Fauzan'::varchar, '124000000000162'::bigint);</v>
      </c>
    </row>
    <row r="424" spans="2:11" x14ac:dyDescent="0.2">
      <c r="B424" s="22">
        <v>124000000000163</v>
      </c>
      <c r="C424" s="4" t="str">
        <f>IF(EXACT($B424, ""), "", IF((($B424 - MOD($B424, 1000000000000))/1000000000000)=25, CONCATENATE("Person - ", VLOOKUP($B424, [1]DataLookUp!$B$4:$C$2000, 2, FALSE)), IF((($B424 - MOD($B424, 1000000000000))/1000000000000)=124, CONCATENATE("Institution - ", VLOOKUP($B424, '[2]DataLookUp - InstitutionBranch'!$B$4:$C$2000, 2, FALSE)), "")))</f>
        <v>Institution - PT. Hartelindo Telco Utama</v>
      </c>
      <c r="D424" s="22">
        <v>223000000000002</v>
      </c>
      <c r="E424" s="4" t="str">
        <f>IF(EXACT($D424, ""), "", VLOOKUP($D424, 'REF - ContactNumberType'!$B$4:$C$10, 2, FALSE))</f>
        <v>Mobile Phone</v>
      </c>
      <c r="F424" s="26" t="s">
        <v>913</v>
      </c>
      <c r="G424" s="9"/>
      <c r="H424" s="9" t="s">
        <v>997</v>
      </c>
      <c r="J424" s="33">
        <f t="shared" si="13"/>
        <v>286000000000380</v>
      </c>
      <c r="K424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'+62 813-1177-7617'::varchar, NULL::varchar, 'Rangga'::varchar, '124000000000163'::bigint);</v>
      </c>
    </row>
    <row r="425" spans="2:11" x14ac:dyDescent="0.2">
      <c r="B425" s="22">
        <v>124000000000164</v>
      </c>
      <c r="C425" s="4" t="str">
        <f>IF(EXACT($B425, ""), "", IF((($B425 - MOD($B425, 1000000000000))/1000000000000)=25, CONCATENATE("Person - ", VLOOKUP($B425, [1]DataLookUp!$B$4:$C$2000, 2, FALSE)), IF((($B425 - MOD($B425, 1000000000000))/1000000000000)=124, CONCATENATE("Institution - ", VLOOKUP($B425, '[2]DataLookUp - InstitutionBranch'!$B$4:$C$2000, 2, FALSE)), "")))</f>
        <v>Institution - PT. Hesindo Karya Pratama</v>
      </c>
      <c r="D425" s="22">
        <v>223000000000002</v>
      </c>
      <c r="E425" s="4" t="str">
        <f>IF(EXACT($D425, ""), "", VLOOKUP($D425, 'REF - ContactNumberType'!$B$4:$C$10, 2, FALSE))</f>
        <v>Mobile Phone</v>
      </c>
      <c r="F425" s="26" t="s">
        <v>914</v>
      </c>
      <c r="G425" s="9"/>
      <c r="H425" s="9"/>
      <c r="J425" s="33">
        <f t="shared" si="13"/>
        <v>286000000000381</v>
      </c>
      <c r="K425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'+62 878-7085-9703'::varchar, NULL::varchar, NULL::varchar, '124000000000164'::bigint);</v>
      </c>
    </row>
    <row r="426" spans="2:11" x14ac:dyDescent="0.2">
      <c r="B426" s="22">
        <v>124000000000165</v>
      </c>
      <c r="C426" s="4" t="str">
        <f>IF(EXACT($B426, ""), "", IF((($B426 - MOD($B426, 1000000000000))/1000000000000)=25, CONCATENATE("Person - ", VLOOKUP($B426, [1]DataLookUp!$B$4:$C$2000, 2, FALSE)), IF((($B426 - MOD($B426, 1000000000000))/1000000000000)=124, CONCATENATE("Institution - ", VLOOKUP($B426, '[2]DataLookUp - InstitutionBranch'!$B$4:$C$2000, 2, FALSE)), "")))</f>
        <v>Institution - PT. Hijrah Insan Karima</v>
      </c>
      <c r="D426" s="22">
        <v>223000000000002</v>
      </c>
      <c r="E426" s="4" t="str">
        <f>IF(EXACT($D426, ""), "", VLOOKUP($D426, 'REF - ContactNumberType'!$B$4:$C$10, 2, FALSE))</f>
        <v>Mobile Phone</v>
      </c>
      <c r="F426" s="26" t="s">
        <v>1553</v>
      </c>
      <c r="G426" s="9"/>
      <c r="H426" s="9" t="s">
        <v>1552</v>
      </c>
      <c r="J426" s="33">
        <f t="shared" si="13"/>
        <v>286000000000382</v>
      </c>
      <c r="K426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'+62 822-722-2'::varchar, NULL::varchar, 'Imam'::varchar, '124000000000165'::bigint);</v>
      </c>
    </row>
    <row r="427" spans="2:11" x14ac:dyDescent="0.2">
      <c r="B427" s="22">
        <v>124000000000165</v>
      </c>
      <c r="C427" s="4" t="str">
        <f>IF(EXACT($B427, ""), "", IF((($B427 - MOD($B427, 1000000000000))/1000000000000)=25, CONCATENATE("Person - ", VLOOKUP($B427, [1]DataLookUp!$B$4:$C$2000, 2, FALSE)), IF((($B427 - MOD($B427, 1000000000000))/1000000000000)=124, CONCATENATE("Institution - ", VLOOKUP($B427, '[2]DataLookUp - InstitutionBranch'!$B$4:$C$2000, 2, FALSE)), "")))</f>
        <v>Institution - PT. Hijrah Insan Karima</v>
      </c>
      <c r="D427" s="22">
        <v>223000000000002</v>
      </c>
      <c r="E427" s="4" t="str">
        <f>IF(EXACT($D427, ""), "", VLOOKUP($D427, 'REF - ContactNumberType'!$B$4:$C$10, 2, FALSE))</f>
        <v>Mobile Phone</v>
      </c>
      <c r="F427" s="26" t="s">
        <v>1554</v>
      </c>
      <c r="G427" s="9"/>
      <c r="H427" s="9" t="s">
        <v>1552</v>
      </c>
      <c r="J427" s="33">
        <f t="shared" si="13"/>
        <v>286000000000383</v>
      </c>
      <c r="K427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'+62 812-8107-1111'::varchar, NULL::varchar, 'Imam'::varchar, '124000000000165'::bigint);</v>
      </c>
    </row>
    <row r="428" spans="2:11" x14ac:dyDescent="0.2">
      <c r="B428" s="22">
        <v>124000000000168</v>
      </c>
      <c r="C428" s="4" t="str">
        <f>IF(EXACT($B428, ""), "", IF((($B428 - MOD($B428, 1000000000000))/1000000000000)=25, CONCATENATE("Person - ", VLOOKUP($B428, [1]DataLookUp!$B$4:$C$2000, 2, FALSE)), IF((($B428 - MOD($B428, 1000000000000))/1000000000000)=124, CONCATENATE("Institution - ", VLOOKUP($B428, '[2]DataLookUp - InstitutionBranch'!$B$4:$C$2000, 2, FALSE)), "")))</f>
        <v xml:space="preserve">Institution - PT. Infra Media Dinamika </v>
      </c>
      <c r="D428" s="22">
        <v>223000000000002</v>
      </c>
      <c r="E428" s="4" t="str">
        <f>IF(EXACT($D428, ""), "", VLOOKUP($D428, 'REF - ContactNumberType'!$B$4:$C$10, 2, FALSE))</f>
        <v>Mobile Phone</v>
      </c>
      <c r="F428" s="26" t="s">
        <v>778</v>
      </c>
      <c r="G428" s="9"/>
      <c r="H428" s="9" t="s">
        <v>113</v>
      </c>
      <c r="J428" s="33">
        <f t="shared" si="13"/>
        <v>286000000000384</v>
      </c>
      <c r="K428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'+62 812-8588-1212'::varchar, NULL::varchar, 'Dwi Joko'::varchar, '124000000000168'::bigint);</v>
      </c>
    </row>
    <row r="429" spans="2:11" x14ac:dyDescent="0.2">
      <c r="B429" s="22">
        <v>124000000000170</v>
      </c>
      <c r="C429" s="4" t="str">
        <f>IF(EXACT($B429, ""), "", IF((($B429 - MOD($B429, 1000000000000))/1000000000000)=25, CONCATENATE("Person - ", VLOOKUP($B429, [1]DataLookUp!$B$4:$C$2000, 2, FALSE)), IF((($B429 - MOD($B429, 1000000000000))/1000000000000)=124, CONCATENATE("Institution - ", VLOOKUP($B429, '[2]DataLookUp - InstitutionBranch'!$B$4:$C$2000, 2, FALSE)), "")))</f>
        <v>Institution - PT. Inti Teknologi Indonesia Utama</v>
      </c>
      <c r="D429" s="22">
        <v>223000000000002</v>
      </c>
      <c r="E429" s="4" t="str">
        <f>IF(EXACT($D429, ""), "", VLOOKUP($D429, 'REF - ContactNumberType'!$B$4:$C$10, 2, FALSE))</f>
        <v>Mobile Phone</v>
      </c>
      <c r="F429" s="26" t="s">
        <v>1551</v>
      </c>
      <c r="G429" s="9"/>
      <c r="H429" s="9" t="s">
        <v>998</v>
      </c>
      <c r="J429" s="33">
        <f t="shared" si="13"/>
        <v>286000000000385</v>
      </c>
      <c r="K429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'+62 813-8287-5435'::varchar, NULL::varchar, 'Fendi'::varchar, '124000000000170'::bigint);</v>
      </c>
    </row>
    <row r="430" spans="2:11" x14ac:dyDescent="0.2">
      <c r="B430" s="22">
        <v>124000000000171</v>
      </c>
      <c r="C430" s="4" t="str">
        <f>IF(EXACT($B430, ""), "", IF((($B430 - MOD($B430, 1000000000000))/1000000000000)=25, CONCATENATE("Person - ", VLOOKUP($B430, [1]DataLookUp!$B$4:$C$2000, 2, FALSE)), IF((($B430 - MOD($B430, 1000000000000))/1000000000000)=124, CONCATENATE("Institution - ", VLOOKUP($B430, '[2]DataLookUp - InstitutionBranch'!$B$4:$C$2000, 2, FALSE)), "")))</f>
        <v>Institution - PT. Iradat Aman Globalindo</v>
      </c>
      <c r="D430" s="22">
        <v>223000000000004</v>
      </c>
      <c r="E430" s="4" t="str">
        <f>IF(EXACT($D430, ""), "", VLOOKUP($D430, 'REF - ContactNumberType'!$B$4:$C$10, 2, FALSE))</f>
        <v>Office Phone</v>
      </c>
      <c r="F430" s="26" t="s">
        <v>1547</v>
      </c>
      <c r="G430" s="9"/>
      <c r="H430" s="9" t="s">
        <v>1550</v>
      </c>
      <c r="J430" s="33">
        <f t="shared" si="13"/>
        <v>286000000000386</v>
      </c>
      <c r="K430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837-822-13'::varchar, NULL::varchar, 'Zaenudin Hasan'::varchar, '124000000000171'::bigint);</v>
      </c>
    </row>
    <row r="431" spans="2:11" x14ac:dyDescent="0.2">
      <c r="B431" s="22">
        <v>124000000000171</v>
      </c>
      <c r="C431" s="4" t="str">
        <f>IF(EXACT($B431, ""), "", IF((($B431 - MOD($B431, 1000000000000))/1000000000000)=25, CONCATENATE("Person - ", VLOOKUP($B431, [1]DataLookUp!$B$4:$C$2000, 2, FALSE)), IF((($B431 - MOD($B431, 1000000000000))/1000000000000)=124, CONCATENATE("Institution - ", VLOOKUP($B431, '[2]DataLookUp - InstitutionBranch'!$B$4:$C$2000, 2, FALSE)), "")))</f>
        <v>Institution - PT. Iradat Aman Globalindo</v>
      </c>
      <c r="D431" s="22">
        <v>223000000000004</v>
      </c>
      <c r="E431" s="4" t="str">
        <f>IF(EXACT($D431, ""), "", VLOOKUP($D431, 'REF - ContactNumberType'!$B$4:$C$10, 2, FALSE))</f>
        <v>Office Phone</v>
      </c>
      <c r="F431" s="26" t="s">
        <v>1548</v>
      </c>
      <c r="G431" s="9"/>
      <c r="H431" s="9" t="s">
        <v>1550</v>
      </c>
      <c r="J431" s="33">
        <f t="shared" si="13"/>
        <v>286000000000387</v>
      </c>
      <c r="K431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837-822-14'::varchar, NULL::varchar, 'Zaenudin Hasan'::varchar, '124000000000171'::bigint);</v>
      </c>
    </row>
    <row r="432" spans="2:11" x14ac:dyDescent="0.2">
      <c r="B432" s="22">
        <v>124000000000171</v>
      </c>
      <c r="C432" s="4" t="str">
        <f>IF(EXACT($B432, ""), "", IF((($B432 - MOD($B432, 1000000000000))/1000000000000)=25, CONCATENATE("Person - ", VLOOKUP($B432, [1]DataLookUp!$B$4:$C$2000, 2, FALSE)), IF((($B432 - MOD($B432, 1000000000000))/1000000000000)=124, CONCATENATE("Institution - ", VLOOKUP($B432, '[2]DataLookUp - InstitutionBranch'!$B$4:$C$2000, 2, FALSE)), "")))</f>
        <v>Institution - PT. Iradat Aman Globalindo</v>
      </c>
      <c r="D432" s="22">
        <v>223000000000004</v>
      </c>
      <c r="E432" s="4" t="str">
        <f>IF(EXACT($D432, ""), "", VLOOKUP($D432, 'REF - ContactNumberType'!$B$4:$C$10, 2, FALSE))</f>
        <v>Office Phone</v>
      </c>
      <c r="F432" s="26" t="s">
        <v>1549</v>
      </c>
      <c r="G432" s="9"/>
      <c r="H432" s="9" t="s">
        <v>1550</v>
      </c>
      <c r="J432" s="33">
        <f t="shared" si="13"/>
        <v>286000000000388</v>
      </c>
      <c r="K432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837-822-15'::varchar, NULL::varchar, 'Zaenudin Hasan'::varchar, '124000000000171'::bigint);</v>
      </c>
    </row>
    <row r="433" spans="2:11" x14ac:dyDescent="0.2">
      <c r="B433" s="22">
        <v>124000000000171</v>
      </c>
      <c r="C433" s="4" t="str">
        <f>IF(EXACT($B433, ""), "", IF((($B433 - MOD($B433, 1000000000000))/1000000000000)=25, CONCATENATE("Person - ", VLOOKUP($B433, [1]DataLookUp!$B$4:$C$2000, 2, FALSE)), IF((($B433 - MOD($B433, 1000000000000))/1000000000000)=124, CONCATENATE("Institution - ", VLOOKUP($B433, '[2]DataLookUp - InstitutionBranch'!$B$4:$C$2000, 2, FALSE)), "")))</f>
        <v>Institution - PT. Iradat Aman Globalindo</v>
      </c>
      <c r="D433" s="22">
        <v>223000000000005</v>
      </c>
      <c r="E433" s="4" t="str">
        <f>IF(EXACT($D433, ""), "", VLOOKUP($D433, 'REF - ContactNumberType'!$B$4:$C$10, 2, FALSE))</f>
        <v>Faximile</v>
      </c>
      <c r="F433" s="26" t="s">
        <v>1546</v>
      </c>
      <c r="G433" s="9"/>
      <c r="H433" s="9" t="s">
        <v>1550</v>
      </c>
      <c r="J433" s="33">
        <f t="shared" si="13"/>
        <v>286000000000389</v>
      </c>
      <c r="K433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837-822-16'::varchar, NULL::varchar, 'Zaenudin Hasan'::varchar, '124000000000171'::bigint);</v>
      </c>
    </row>
    <row r="434" spans="2:11" x14ac:dyDescent="0.2">
      <c r="B434" s="22">
        <v>124000000000172</v>
      </c>
      <c r="C434" s="4" t="str">
        <f>IF(EXACT($B434, ""), "", IF((($B434 - MOD($B434, 1000000000000))/1000000000000)=25, CONCATENATE("Person - ", VLOOKUP($B434, [1]DataLookUp!$B$4:$C$2000, 2, FALSE)), IF((($B434 - MOD($B434, 1000000000000))/1000000000000)=124, CONCATENATE("Institution - ", VLOOKUP($B434, '[2]DataLookUp - InstitutionBranch'!$B$4:$C$2000, 2, FALSE)), "")))</f>
        <v>Institution - PT. Jaring Permata Samudra</v>
      </c>
      <c r="D434" s="22">
        <v>223000000000002</v>
      </c>
      <c r="E434" s="4" t="str">
        <f>IF(EXACT($D434, ""), "", VLOOKUP($D434, 'REF - ContactNumberType'!$B$4:$C$10, 2, FALSE))</f>
        <v>Mobile Phone</v>
      </c>
      <c r="F434" s="26" t="s">
        <v>1545</v>
      </c>
      <c r="G434" s="9"/>
      <c r="H434" s="9" t="s">
        <v>999</v>
      </c>
      <c r="J434" s="33">
        <f t="shared" si="13"/>
        <v>286000000000390</v>
      </c>
      <c r="K434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'+62 812-1940-6158'::varchar, NULL::varchar, 'Yuni / Lufi'::varchar, '124000000000172'::bigint);</v>
      </c>
    </row>
    <row r="435" spans="2:11" x14ac:dyDescent="0.2">
      <c r="B435" s="22">
        <v>124000000000172</v>
      </c>
      <c r="C435" s="4" t="str">
        <f>IF(EXACT($B435, ""), "", IF((($B435 - MOD($B435, 1000000000000))/1000000000000)=25, CONCATENATE("Person - ", VLOOKUP($B435, [1]DataLookUp!$B$4:$C$2000, 2, FALSE)), IF((($B435 - MOD($B435, 1000000000000))/1000000000000)=124, CONCATENATE("Institution - ", VLOOKUP($B435, '[2]DataLookUp - InstitutionBranch'!$B$4:$C$2000, 2, FALSE)), "")))</f>
        <v>Institution - PT. Jaring Permata Samudra</v>
      </c>
      <c r="D435" s="22">
        <v>223000000000005</v>
      </c>
      <c r="E435" s="4" t="str">
        <f>IF(EXACT($D435, ""), "", VLOOKUP($D435, 'REF - ContactNumberType'!$B$4:$C$10, 2, FALSE))</f>
        <v>Faximile</v>
      </c>
      <c r="F435" s="26" t="s">
        <v>1544</v>
      </c>
      <c r="G435" s="9"/>
      <c r="H435" s="9" t="s">
        <v>999</v>
      </c>
      <c r="J435" s="33">
        <f t="shared" si="13"/>
        <v>286000000000391</v>
      </c>
      <c r="K435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290-214-45'::varchar, NULL::varchar, 'Yuni / Lufi'::varchar, '124000000000172'::bigint);</v>
      </c>
    </row>
    <row r="436" spans="2:11" x14ac:dyDescent="0.2">
      <c r="B436" s="22">
        <v>124000000000173</v>
      </c>
      <c r="C436" s="4" t="str">
        <f>IF(EXACT($B436, ""), "", IF((($B436 - MOD($B436, 1000000000000))/1000000000000)=25, CONCATENATE("Person - ", VLOOKUP($B436, [1]DataLookUp!$B$4:$C$2000, 2, FALSE)), IF((($B436 - MOD($B436, 1000000000000))/1000000000000)=124, CONCATENATE("Institution - ", VLOOKUP($B436, '[2]DataLookUp - InstitutionBranch'!$B$4:$C$2000, 2, FALSE)), "")))</f>
        <v>Institution - PT. Jaring Telekomunikasi Indonesia</v>
      </c>
      <c r="D436" s="22">
        <v>223000000000002</v>
      </c>
      <c r="E436" s="4" t="str">
        <f>IF(EXACT($D436, ""), "", VLOOKUP($D436, 'REF - ContactNumberType'!$B$4:$C$10, 2, FALSE))</f>
        <v>Mobile Phone</v>
      </c>
      <c r="F436" s="26" t="s">
        <v>1543</v>
      </c>
      <c r="G436" s="9"/>
      <c r="H436" s="9" t="s">
        <v>1000</v>
      </c>
      <c r="J436" s="33">
        <f t="shared" si="13"/>
        <v>286000000000392</v>
      </c>
      <c r="K436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(021) 827-410-10'::varchar, NULL::varchar, 'Eddy'::varchar, '124000000000173'::bigint);</v>
      </c>
    </row>
    <row r="437" spans="2:11" x14ac:dyDescent="0.2">
      <c r="B437" s="22">
        <v>124000000000174</v>
      </c>
      <c r="C437" s="4" t="str">
        <f>IF(EXACT($B437, ""), "", IF((($B437 - MOD($B437, 1000000000000))/1000000000000)=25, CONCATENATE("Person - ", VLOOKUP($B437, [1]DataLookUp!$B$4:$C$2000, 2, FALSE)), IF((($B437 - MOD($B437, 1000000000000))/1000000000000)=124, CONCATENATE("Institution - ", VLOOKUP($B437, '[2]DataLookUp - InstitutionBranch'!$B$4:$C$2000, 2, FALSE)), "")))</f>
        <v>Institution - PT. Jaya Beton Indonesia</v>
      </c>
      <c r="D437" s="22">
        <v>223000000000004</v>
      </c>
      <c r="E437" s="4" t="str">
        <f>IF(EXACT($D437, ""), "", VLOOKUP($D437, 'REF - ContactNumberType'!$B$4:$C$10, 2, FALSE))</f>
        <v>Office Phone</v>
      </c>
      <c r="F437" s="26" t="s">
        <v>1541</v>
      </c>
      <c r="G437" s="9"/>
      <c r="H437" s="9" t="s">
        <v>1001</v>
      </c>
      <c r="J437" s="33">
        <f t="shared" si="13"/>
        <v>286000000000393</v>
      </c>
      <c r="K437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530-4023'::varchar, NULL::varchar, 'Reza'::varchar, '124000000000174'::bigint);</v>
      </c>
    </row>
    <row r="438" spans="2:11" x14ac:dyDescent="0.2">
      <c r="B438" s="22">
        <v>124000000000175</v>
      </c>
      <c r="C438" s="4" t="str">
        <f>IF(EXACT($B438, ""), "", IF((($B438 - MOD($B438, 1000000000000))/1000000000000)=25, CONCATENATE("Person - ", VLOOKUP($B438, [1]DataLookUp!$B$4:$C$2000, 2, FALSE)), IF((($B438 - MOD($B438, 1000000000000))/1000000000000)=124, CONCATENATE("Institution - ", VLOOKUP($B438, '[2]DataLookUp - InstitutionBranch'!$B$4:$C$2000, 2, FALSE)), "")))</f>
        <v>Institution - PT. Jogatama Mandauputra</v>
      </c>
      <c r="D438" s="22">
        <v>223000000000002</v>
      </c>
      <c r="E438" s="4" t="str">
        <f>IF(EXACT($D438, ""), "", VLOOKUP($D438, 'REF - ContactNumberType'!$B$4:$C$10, 2, FALSE))</f>
        <v>Mobile Phone</v>
      </c>
      <c r="F438" s="26" t="s">
        <v>1542</v>
      </c>
      <c r="G438" s="9"/>
      <c r="H438" s="9" t="s">
        <v>1002</v>
      </c>
      <c r="J438" s="33">
        <f t="shared" si="13"/>
        <v>286000000000394</v>
      </c>
      <c r="K438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'+62 823-2999-6669'::varchar, NULL::varchar, 'Handy Thomas'::varchar, '124000000000175'::bigint);</v>
      </c>
    </row>
    <row r="439" spans="2:11" x14ac:dyDescent="0.2">
      <c r="B439" s="22">
        <v>124000000000176</v>
      </c>
      <c r="C439" s="4" t="str">
        <f>IF(EXACT($B439, ""), "", IF((($B439 - MOD($B439, 1000000000000))/1000000000000)=25, CONCATENATE("Person - ", VLOOKUP($B439, [1]DataLookUp!$B$4:$C$2000, 2, FALSE)), IF((($B439 - MOD($B439, 1000000000000))/1000000000000)=124, CONCATENATE("Institution - ", VLOOKUP($B439, '[2]DataLookUp - InstitutionBranch'!$B$4:$C$2000, 2, FALSE)), "")))</f>
        <v>Institution - PT. Joko Mas Pancang</v>
      </c>
      <c r="D439" s="22">
        <v>223000000000002</v>
      </c>
      <c r="E439" s="4" t="str">
        <f>IF(EXACT($D439, ""), "", VLOOKUP($D439, 'REF - ContactNumberType'!$B$4:$C$10, 2, FALSE))</f>
        <v>Mobile Phone</v>
      </c>
      <c r="F439" s="26" t="s">
        <v>1539</v>
      </c>
      <c r="G439" s="9"/>
      <c r="H439" s="9" t="s">
        <v>1003</v>
      </c>
      <c r="J439" s="33">
        <f t="shared" si="13"/>
        <v>286000000000395</v>
      </c>
      <c r="K439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'+62 812-8009-0998'::varchar, NULL::varchar, 'Yuliarno'::varchar, '124000000000176'::bigint);</v>
      </c>
    </row>
    <row r="440" spans="2:11" x14ac:dyDescent="0.2">
      <c r="B440" s="22">
        <v>124000000000177</v>
      </c>
      <c r="C440" s="4" t="str">
        <f>IF(EXACT($B440, ""), "", IF((($B440 - MOD($B440, 1000000000000))/1000000000000)=25, CONCATENATE("Person - ", VLOOKUP($B440, [1]DataLookUp!$B$4:$C$2000, 2, FALSE)), IF((($B440 - MOD($B440, 1000000000000))/1000000000000)=124, CONCATENATE("Institution - ", VLOOKUP($B440, '[2]DataLookUp - InstitutionBranch'!$B$4:$C$2000, 2, FALSE)), "")))</f>
        <v>Institution - PT. Kalimantan Beton Perkasa</v>
      </c>
      <c r="D440" s="22">
        <v>223000000000002</v>
      </c>
      <c r="E440" s="4" t="str">
        <f>IF(EXACT($D440, ""), "", VLOOKUP($D440, 'REF - ContactNumberType'!$B$4:$C$10, 2, FALSE))</f>
        <v>Mobile Phone</v>
      </c>
      <c r="F440" s="26" t="s">
        <v>1540</v>
      </c>
      <c r="G440" s="9"/>
      <c r="H440" s="9" t="s">
        <v>964</v>
      </c>
      <c r="J440" s="33">
        <f t="shared" si="13"/>
        <v>286000000000396</v>
      </c>
      <c r="K440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'+62 852-3557-5758'::varchar, NULL::varchar, 'Admin'::varchar, '124000000000177'::bigint);</v>
      </c>
    </row>
    <row r="441" spans="2:11" x14ac:dyDescent="0.2">
      <c r="B441" s="22">
        <v>124000000000177</v>
      </c>
      <c r="C441" s="4" t="str">
        <f>IF(EXACT($B441, ""), "", IF((($B441 - MOD($B441, 1000000000000))/1000000000000)=25, CONCATENATE("Person - ", VLOOKUP($B441, [1]DataLookUp!$B$4:$C$2000, 2, FALSE)), IF((($B441 - MOD($B441, 1000000000000))/1000000000000)=124, CONCATENATE("Institution - ", VLOOKUP($B441, '[2]DataLookUp - InstitutionBranch'!$B$4:$C$2000, 2, FALSE)), "")))</f>
        <v>Institution - PT. Kalimantan Beton Perkasa</v>
      </c>
      <c r="D441" s="22">
        <v>223000000000004</v>
      </c>
      <c r="E441" s="4" t="str">
        <f>IF(EXACT($D441, ""), "", VLOOKUP($D441, 'REF - ContactNumberType'!$B$4:$C$10, 2, FALSE))</f>
        <v>Office Phone</v>
      </c>
      <c r="F441" s="26" t="s">
        <v>1441</v>
      </c>
      <c r="G441" s="9"/>
      <c r="H441" s="9" t="s">
        <v>964</v>
      </c>
      <c r="J441" s="33">
        <f t="shared" si="13"/>
        <v>286000000000397</v>
      </c>
      <c r="K441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461-0588'::varchar, NULL::varchar, 'Admin'::varchar, '124000000000177'::bigint);</v>
      </c>
    </row>
    <row r="442" spans="2:11" x14ac:dyDescent="0.2">
      <c r="B442" s="22">
        <v>124000000000178</v>
      </c>
      <c r="C442" s="4" t="str">
        <f>IF(EXACT($B442, ""), "", IF((($B442 - MOD($B442, 1000000000000))/1000000000000)=25, CONCATENATE("Person - ", VLOOKUP($B442, [1]DataLookUp!$B$4:$C$2000, 2, FALSE)), IF((($B442 - MOD($B442, 1000000000000))/1000000000000)=124, CONCATENATE("Institution - ", VLOOKUP($B442, '[2]DataLookUp - InstitutionBranch'!$B$4:$C$2000, 2, FALSE)), "")))</f>
        <v>Institution - PT. Kalimantan Prakarsa Mandiri</v>
      </c>
      <c r="D442" s="22">
        <v>223000000000002</v>
      </c>
      <c r="E442" s="4" t="str">
        <f>IF(EXACT($D442, ""), "", VLOOKUP($D442, 'REF - ContactNumberType'!$B$4:$C$10, 2, FALSE))</f>
        <v>Mobile Phone</v>
      </c>
      <c r="F442" s="26" t="s">
        <v>1537</v>
      </c>
      <c r="G442" s="9"/>
      <c r="H442" s="9" t="s">
        <v>1005</v>
      </c>
      <c r="J442" s="33">
        <f t="shared" si="13"/>
        <v>286000000000398</v>
      </c>
      <c r="K442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'+62 811-522-345'::varchar, NULL::varchar, 'Risda'::varchar, '124000000000178'::bigint);</v>
      </c>
    </row>
    <row r="443" spans="2:11" x14ac:dyDescent="0.2">
      <c r="B443" s="22">
        <v>124000000000178</v>
      </c>
      <c r="C443" s="4" t="str">
        <f>IF(EXACT($B443, ""), "", IF((($B443 - MOD($B443, 1000000000000))/1000000000000)=25, CONCATENATE("Person - ", VLOOKUP($B443, [1]DataLookUp!$B$4:$C$2000, 2, FALSE)), IF((($B443 - MOD($B443, 1000000000000))/1000000000000)=124, CONCATENATE("Institution - ", VLOOKUP($B443, '[2]DataLookUp - InstitutionBranch'!$B$4:$C$2000, 2, FALSE)), "")))</f>
        <v>Institution - PT. Kalimantan Prakarsa Mandiri</v>
      </c>
      <c r="D443" s="22">
        <v>223000000000002</v>
      </c>
      <c r="E443" s="4" t="str">
        <f>IF(EXACT($D443, ""), "", VLOOKUP($D443, 'REF - ContactNumberType'!$B$4:$C$10, 2, FALSE))</f>
        <v>Mobile Phone</v>
      </c>
      <c r="F443" s="26" t="s">
        <v>1538</v>
      </c>
      <c r="G443" s="9"/>
      <c r="H443" s="9" t="s">
        <v>1005</v>
      </c>
      <c r="J443" s="33">
        <f t="shared" si="13"/>
        <v>286000000000399</v>
      </c>
      <c r="K443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'+62 822-5499-1429'::varchar, NULL::varchar, 'Risda'::varchar, '124000000000178'::bigint);</v>
      </c>
    </row>
    <row r="444" spans="2:11" x14ac:dyDescent="0.2">
      <c r="B444" s="22">
        <v>124000000000179</v>
      </c>
      <c r="C444" s="4" t="str">
        <f>IF(EXACT($B444, ""), "", IF((($B444 - MOD($B444, 1000000000000))/1000000000000)=25, CONCATENATE("Person - ", VLOOKUP($B444, [1]DataLookUp!$B$4:$C$2000, 2, FALSE)), IF((($B444 - MOD($B444, 1000000000000))/1000000000000)=124, CONCATENATE("Institution - ", VLOOKUP($B444, '[2]DataLookUp - InstitutionBranch'!$B$4:$C$2000, 2, FALSE)), "")))</f>
        <v>Institution - PT. Karya Mega Sarana</v>
      </c>
      <c r="D444" s="22">
        <v>223000000000004</v>
      </c>
      <c r="E444" s="4" t="str">
        <f>IF(EXACT($D444, ""), "", VLOOKUP($D444, 'REF - ContactNumberType'!$B$4:$C$10, 2, FALSE))</f>
        <v>Office Phone</v>
      </c>
      <c r="F444" s="26" t="s">
        <v>1536</v>
      </c>
      <c r="G444" s="9"/>
      <c r="H444" s="9" t="s">
        <v>1006</v>
      </c>
      <c r="J444" s="33">
        <f t="shared" si="13"/>
        <v>286000000000400</v>
      </c>
      <c r="K444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311-180-67'::varchar, NULL::varchar, 'Galih'::varchar, '124000000000179'::bigint);</v>
      </c>
    </row>
    <row r="445" spans="2:11" x14ac:dyDescent="0.2">
      <c r="B445" s="22">
        <v>124000000000180</v>
      </c>
      <c r="C445" s="4" t="str">
        <f>IF(EXACT($B445, ""), "", IF((($B445 - MOD($B445, 1000000000000))/1000000000000)=25, CONCATENATE("Person - ", VLOOKUP($B445, [1]DataLookUp!$B$4:$C$2000, 2, FALSE)), IF((($B445 - MOD($B445, 1000000000000))/1000000000000)=124, CONCATENATE("Institution - ", VLOOKUP($B445, '[2]DataLookUp - InstitutionBranch'!$B$4:$C$2000, 2, FALSE)), "")))</f>
        <v>Institution - PT. Kawan Kita Anugerah Makmur</v>
      </c>
      <c r="D445" s="22">
        <v>223000000000004</v>
      </c>
      <c r="E445" s="4" t="str">
        <f>IF(EXACT($D445, ""), "", VLOOKUP($D445, 'REF - ContactNumberType'!$B$4:$C$10, 2, FALSE))</f>
        <v>Office Phone</v>
      </c>
      <c r="F445" s="26" t="s">
        <v>1697</v>
      </c>
      <c r="G445" s="9"/>
      <c r="H445" s="9" t="s">
        <v>1007</v>
      </c>
      <c r="J445" s="33">
        <f t="shared" si="13"/>
        <v>286000000000401</v>
      </c>
      <c r="K445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223000000000004::bigint, '+62 (031) 352-0189'::varchar, NULL::varchar, 'Kawan Kita'::varchar, '124000000000180'::bigint);</v>
      </c>
    </row>
    <row r="446" spans="2:11" x14ac:dyDescent="0.2">
      <c r="B446" s="22">
        <v>124000000000181</v>
      </c>
      <c r="C446" s="4" t="str">
        <f>IF(EXACT($B446, ""), "", IF((($B446 - MOD($B446, 1000000000000))/1000000000000)=25, CONCATENATE("Person - ", VLOOKUP($B446, [1]DataLookUp!$B$4:$C$2000, 2, FALSE)), IF((($B446 - MOD($B446, 1000000000000))/1000000000000)=124, CONCATENATE("Institution - ", VLOOKUP($B446, '[2]DataLookUp - InstitutionBranch'!$B$4:$C$2000, 2, FALSE)), "")))</f>
        <v xml:space="preserve">Institution - PT. Kesuma  </v>
      </c>
      <c r="D446" s="22">
        <v>223000000000004</v>
      </c>
      <c r="E446" s="4" t="str">
        <f>IF(EXACT($D446, ""), "", VLOOKUP($D446, 'REF - ContactNumberType'!$B$4:$C$10, 2, FALSE))</f>
        <v>Office Phone</v>
      </c>
      <c r="F446" s="26" t="s">
        <v>1535</v>
      </c>
      <c r="G446" s="9"/>
      <c r="H446" s="9" t="s">
        <v>1008</v>
      </c>
      <c r="J446" s="33">
        <f t="shared" si="13"/>
        <v>286000000000402</v>
      </c>
      <c r="K446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759-175-38 '::varchar, NULL::varchar, 'Aini'::varchar, '124000000000181'::bigint);</v>
      </c>
    </row>
    <row r="447" spans="2:11" x14ac:dyDescent="0.2">
      <c r="B447" s="22">
        <v>124000000000182</v>
      </c>
      <c r="C447" s="4" t="str">
        <f>IF(EXACT($B447, ""), "", IF((($B447 - MOD($B447, 1000000000000))/1000000000000)=25, CONCATENATE("Person - ", VLOOKUP($B447, [1]DataLookUp!$B$4:$C$2000, 2, FALSE)), IF((($B447 - MOD($B447, 1000000000000))/1000000000000)=124, CONCATENATE("Institution - ", VLOOKUP($B447, '[2]DataLookUp - InstitutionBranch'!$B$4:$C$2000, 2, FALSE)), "")))</f>
        <v>Institution - PT. Kirana Purnama</v>
      </c>
      <c r="D447" s="22">
        <v>223000000000002</v>
      </c>
      <c r="E447" s="4" t="str">
        <f>IF(EXACT($D447, ""), "", VLOOKUP($D447, 'REF - ContactNumberType'!$B$4:$C$10, 2, FALSE))</f>
        <v>Mobile Phone</v>
      </c>
      <c r="F447" s="26" t="s">
        <v>1531</v>
      </c>
      <c r="G447" s="9"/>
      <c r="H447" s="9" t="s">
        <v>1009</v>
      </c>
      <c r="J447" s="33">
        <f t="shared" si="13"/>
        <v>286000000000403</v>
      </c>
      <c r="K447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'+62 811-9111-296'::varchar, NULL::varchar, 'Dini'::varchar, '124000000000182'::bigint);</v>
      </c>
    </row>
    <row r="448" spans="2:11" x14ac:dyDescent="0.2">
      <c r="B448" s="22">
        <v>124000000000182</v>
      </c>
      <c r="C448" s="4" t="str">
        <f>IF(EXACT($B448, ""), "", IF((($B448 - MOD($B448, 1000000000000))/1000000000000)=25, CONCATENATE("Person - ", VLOOKUP($B448, [1]DataLookUp!$B$4:$C$2000, 2, FALSE)), IF((($B448 - MOD($B448, 1000000000000))/1000000000000)=124, CONCATENATE("Institution - ", VLOOKUP($B448, '[2]DataLookUp - InstitutionBranch'!$B$4:$C$2000, 2, FALSE)), "")))</f>
        <v>Institution - PT. Kirana Purnama</v>
      </c>
      <c r="D448" s="22">
        <v>223000000000004</v>
      </c>
      <c r="E448" s="4" t="str">
        <f>IF(EXACT($D448, ""), "", VLOOKUP($D448, 'REF - ContactNumberType'!$B$4:$C$10, 2, FALSE))</f>
        <v>Office Phone</v>
      </c>
      <c r="F448" s="26" t="s">
        <v>1532</v>
      </c>
      <c r="G448" s="9"/>
      <c r="H448" s="9" t="s">
        <v>1009</v>
      </c>
      <c r="J448" s="33">
        <f t="shared" si="13"/>
        <v>286000000000404</v>
      </c>
      <c r="K448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895-100-31'::varchar, NULL::varchar, 'Dini'::varchar, '124000000000182'::bigint);</v>
      </c>
    </row>
    <row r="449" spans="2:11" x14ac:dyDescent="0.2">
      <c r="B449" s="22">
        <v>124000000000182</v>
      </c>
      <c r="C449" s="4" t="str">
        <f>IF(EXACT($B449, ""), "", IF((($B449 - MOD($B449, 1000000000000))/1000000000000)=25, CONCATENATE("Person - ", VLOOKUP($B449, [1]DataLookUp!$B$4:$C$2000, 2, FALSE)), IF((($B449 - MOD($B449, 1000000000000))/1000000000000)=124, CONCATENATE("Institution - ", VLOOKUP($B449, '[2]DataLookUp - InstitutionBranch'!$B$4:$C$2000, 2, FALSE)), "")))</f>
        <v>Institution - PT. Kirana Purnama</v>
      </c>
      <c r="D449" s="22">
        <v>223000000000005</v>
      </c>
      <c r="E449" s="4" t="str">
        <f>IF(EXACT($D449, ""), "", VLOOKUP($D449, 'REF - ContactNumberType'!$B$4:$C$10, 2, FALSE))</f>
        <v>Faximile</v>
      </c>
      <c r="F449" s="26" t="s">
        <v>1534</v>
      </c>
      <c r="G449" s="9"/>
      <c r="H449" s="9" t="s">
        <v>1009</v>
      </c>
      <c r="J449" s="33">
        <f t="shared" si="13"/>
        <v>286000000000405</v>
      </c>
      <c r="K449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759-175-37'::varchar, NULL::varchar, 'Dini'::varchar, '124000000000182'::bigint);</v>
      </c>
    </row>
    <row r="450" spans="2:11" x14ac:dyDescent="0.2">
      <c r="B450" s="22">
        <v>124000000000182</v>
      </c>
      <c r="C450" s="4" t="str">
        <f>IF(EXACT($B450, ""), "", IF((($B450 - MOD($B450, 1000000000000))/1000000000000)=25, CONCATENATE("Person - ", VLOOKUP($B450, [1]DataLookUp!$B$4:$C$2000, 2, FALSE)), IF((($B450 - MOD($B450, 1000000000000))/1000000000000)=124, CONCATENATE("Institution - ", VLOOKUP($B450, '[2]DataLookUp - InstitutionBranch'!$B$4:$C$2000, 2, FALSE)), "")))</f>
        <v>Institution - PT. Kirana Purnama</v>
      </c>
      <c r="D450" s="22">
        <v>223000000000005</v>
      </c>
      <c r="E450" s="4" t="str">
        <f>IF(EXACT($D450, ""), "", VLOOKUP($D450, 'REF - ContactNumberType'!$B$4:$C$10, 2, FALSE))</f>
        <v>Faximile</v>
      </c>
      <c r="F450" s="26" t="s">
        <v>1533</v>
      </c>
      <c r="G450" s="9"/>
      <c r="H450" s="9" t="s">
        <v>1009</v>
      </c>
      <c r="J450" s="33">
        <f t="shared" si="13"/>
        <v>286000000000406</v>
      </c>
      <c r="K450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759-174-70 '::varchar, NULL::varchar, 'Dini'::varchar, '124000000000182'::bigint);</v>
      </c>
    </row>
    <row r="451" spans="2:11" x14ac:dyDescent="0.2">
      <c r="B451" s="22">
        <v>124000000000183</v>
      </c>
      <c r="C451" s="4" t="str">
        <f>IF(EXACT($B451, ""), "", IF((($B451 - MOD($B451, 1000000000000))/1000000000000)=25, CONCATENATE("Person - ", VLOOKUP($B451, [1]DataLookUp!$B$4:$C$2000, 2, FALSE)), IF((($B451 - MOD($B451, 1000000000000))/1000000000000)=124, CONCATENATE("Institution - ", VLOOKUP($B451, '[2]DataLookUp - InstitutionBranch'!$B$4:$C$2000, 2, FALSE)), "")))</f>
        <v>Institution - PT. Macika Indo Sarana Transport</v>
      </c>
      <c r="D451" s="22">
        <v>223000000000002</v>
      </c>
      <c r="E451" s="4" t="str">
        <f>IF(EXACT($D451, ""), "", VLOOKUP($D451, 'REF - ContactNumberType'!$B$4:$C$10, 2, FALSE))</f>
        <v>Mobile Phone</v>
      </c>
      <c r="F451" s="26" t="s">
        <v>1529</v>
      </c>
      <c r="G451" s="9"/>
      <c r="H451" s="9" t="s">
        <v>1528</v>
      </c>
      <c r="J451" s="33">
        <f t="shared" si="13"/>
        <v>286000000000407</v>
      </c>
      <c r="K451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223000000000002::bigint, '+62 812-2801-8107 '::varchar, NULL::varchar, 'Anandita (Koordinator)'::varchar, '124000000000183'::bigint);</v>
      </c>
    </row>
    <row r="452" spans="2:11" x14ac:dyDescent="0.2">
      <c r="B452" s="22">
        <v>124000000000183</v>
      </c>
      <c r="C452" s="4" t="str">
        <f>IF(EXACT($B452, ""), "", IF((($B452 - MOD($B452, 1000000000000))/1000000000000)=25, CONCATENATE("Person - ", VLOOKUP($B452, [1]DataLookUp!$B$4:$C$2000, 2, FALSE)), IF((($B452 - MOD($B452, 1000000000000))/1000000000000)=124, CONCATENATE("Institution - ", VLOOKUP($B452, '[2]DataLookUp - InstitutionBranch'!$B$4:$C$2000, 2, FALSE)), "")))</f>
        <v>Institution - PT. Macika Indo Sarana Transport</v>
      </c>
      <c r="D452" s="22">
        <v>223000000000004</v>
      </c>
      <c r="E452" s="4" t="str">
        <f>IF(EXACT($D452, ""), "", VLOOKUP($D452, 'REF - ContactNumberType'!$B$4:$C$10, 2, FALSE))</f>
        <v>Office Phone</v>
      </c>
      <c r="F452" s="26" t="s">
        <v>1530</v>
      </c>
      <c r="G452" s="9"/>
      <c r="H452" s="9" t="s">
        <v>1528</v>
      </c>
      <c r="J452" s="33">
        <f t="shared" si="13"/>
        <v>286000000000408</v>
      </c>
      <c r="K452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223000000000004::bigint, '+62 (024) 356-676-9 '::varchar, NULL::varchar, 'Anandita (Koordinator)'::varchar, '124000000000183'::bigint);</v>
      </c>
    </row>
    <row r="453" spans="2:11" x14ac:dyDescent="0.2">
      <c r="B453" s="22">
        <v>124000000000184</v>
      </c>
      <c r="C453" s="4" t="str">
        <f>IF(EXACT($B453, ""), "", IF((($B453 - MOD($B453, 1000000000000))/1000000000000)=25, CONCATENATE("Person - ", VLOOKUP($B453, [1]DataLookUp!$B$4:$C$2000, 2, FALSE)), IF((($B453 - MOD($B453, 1000000000000))/1000000000000)=124, CONCATENATE("Institution - ", VLOOKUP($B453, '[2]DataLookUp - InstitutionBranch'!$B$4:$C$2000, 2, FALSE)), "")))</f>
        <v>Institution - PT. Magna Beton Indonesia</v>
      </c>
      <c r="D453" s="22">
        <v>223000000000004</v>
      </c>
      <c r="E453" s="4" t="str">
        <f>IF(EXACT($D453, ""), "", VLOOKUP($D453, 'REF - ContactNumberType'!$B$4:$C$10, 2, FALSE))</f>
        <v>Office Phone</v>
      </c>
      <c r="F453" s="26" t="s">
        <v>1524</v>
      </c>
      <c r="G453" s="9"/>
      <c r="H453" s="9" t="s">
        <v>1010</v>
      </c>
      <c r="J453" s="33">
        <f t="shared" si="13"/>
        <v>286000000000409</v>
      </c>
      <c r="K453" s="34" t="str">
        <f t="shared" si="14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599-841-80'::varchar, NULL::varchar, 'Lukman'::varchar, '124000000000184'::bigint);</v>
      </c>
    </row>
    <row r="454" spans="2:11" x14ac:dyDescent="0.2">
      <c r="B454" s="22">
        <v>124000000000185</v>
      </c>
      <c r="C454" s="4" t="str">
        <f>IF(EXACT($B454, ""), "", IF((($B454 - MOD($B454, 1000000000000))/1000000000000)=25, CONCATENATE("Person - ", VLOOKUP($B454, [1]DataLookUp!$B$4:$C$2000, 2, FALSE)), IF((($B454 - MOD($B454, 1000000000000))/1000000000000)=124, CONCATENATE("Institution - ", VLOOKUP($B454, '[2]DataLookUp - InstitutionBranch'!$B$4:$C$2000, 2, FALSE)), "")))</f>
        <v>Institution - PT. Mandiri Maha Daya</v>
      </c>
      <c r="D454" s="22">
        <v>223000000000002</v>
      </c>
      <c r="E454" s="4" t="str">
        <f>IF(EXACT($D454, ""), "", VLOOKUP($D454, 'REF - ContactNumberType'!$B$4:$C$10, 2, FALSE))</f>
        <v>Mobile Phone</v>
      </c>
      <c r="F454" s="26" t="s">
        <v>1525</v>
      </c>
      <c r="G454" s="9"/>
      <c r="H454" s="9" t="s">
        <v>1527</v>
      </c>
      <c r="J454" s="33">
        <f t="shared" ref="J454:J517" si="15" xml:space="preserve"> J453 + IF(EXACT(K454, ""), 0, 1)</f>
        <v>286000000000410</v>
      </c>
      <c r="K454" s="34" t="str">
        <f t="shared" ref="K454:K517" si="16">IF(EXACT(F454, ""), "", CONCATENATE("PERFORM ""SchData-OLTP-Master"".""Func_TblContactNumber_SET""(varSystemLoginSession::bigint, null::bigint, null::varchar, null::timestamptz, null::timestamptz, null::varchar, varInstitutionBranchID::bigint, varBaseCurrencyID::bigint, ", IF(EXACT($D454, ""), "NULL", ""&amp;$D454&amp;""), "::bigint, ", IF(EXACT($F454, ""), "NULL", "'"&amp;$F454&amp;"'"), "::varchar, ", IF(EXACT($G454, ""), "NULL", "'"&amp;$G454&amp;"'"), "::varchar, ", IF(EXACT($H454, ""), "NULL", "'"&amp;$H454&amp;"'"), "::varchar, ", IF(EXACT($B454, ""), "NULL", "'"&amp;$B454&amp;"'"), "::bigint);"))</f>
        <v>PERFORM "SchData-OLTP-Master"."Func_TblContactNumber_SET"(varSystemLoginSession::bigint, null::bigint, null::varchar, null::timestamptz, null::timestamptz, null::varchar, varInstitutionBranchID::bigint, varBaseCurrencyID::bigint, 223000000000002::bigint, '+62 812-9820-2296'::varchar, NULL::varchar, 'PT Mandiri Maha Daya'::varchar, '124000000000185'::bigint);</v>
      </c>
    </row>
    <row r="455" spans="2:11" x14ac:dyDescent="0.2">
      <c r="B455" s="22">
        <v>124000000000186</v>
      </c>
      <c r="C455" s="4" t="str">
        <f>IF(EXACT($B455, ""), "", IF((($B455 - MOD($B455, 1000000000000))/1000000000000)=25, CONCATENATE("Person - ", VLOOKUP($B455, [1]DataLookUp!$B$4:$C$2000, 2, FALSE)), IF((($B455 - MOD($B455, 1000000000000))/1000000000000)=124, CONCATENATE("Institution - ", VLOOKUP($B455, '[2]DataLookUp - InstitutionBranch'!$B$4:$C$2000, 2, FALSE)), "")))</f>
        <v>Institution - PT. Markoen Engineering Indonesia</v>
      </c>
      <c r="D455" s="22">
        <v>223000000000004</v>
      </c>
      <c r="E455" s="4" t="str">
        <f>IF(EXACT($D455, ""), "", VLOOKUP($D455, 'REF - ContactNumberType'!$B$4:$C$10, 2, FALSE))</f>
        <v>Office Phone</v>
      </c>
      <c r="F455" s="26" t="s">
        <v>1526</v>
      </c>
      <c r="G455" s="9"/>
      <c r="H455" s="9" t="s">
        <v>1011</v>
      </c>
      <c r="J455" s="33">
        <f t="shared" si="15"/>
        <v>286000000000411</v>
      </c>
      <c r="K455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883-937-46'::varchar, NULL::varchar, 'Cici'::varchar, '124000000000186'::bigint);</v>
      </c>
    </row>
    <row r="456" spans="2:11" x14ac:dyDescent="0.2">
      <c r="B456" s="22">
        <v>124000000000187</v>
      </c>
      <c r="C456" s="4" t="str">
        <f>IF(EXACT($B456, ""), "", IF((($B456 - MOD($B456, 1000000000000))/1000000000000)=25, CONCATENATE("Person - ", VLOOKUP($B456, [1]DataLookUp!$B$4:$C$2000, 2, FALSE)), IF((($B456 - MOD($B456, 1000000000000))/1000000000000)=124, CONCATENATE("Institution - ", VLOOKUP($B456, '[2]DataLookUp - InstitutionBranch'!$B$4:$C$2000, 2, FALSE)), "")))</f>
        <v>Institution - PT. Mediantara General Sistemindo</v>
      </c>
      <c r="D456" s="22">
        <v>223000000000002</v>
      </c>
      <c r="E456" s="4" t="str">
        <f>IF(EXACT($D456, ""), "", VLOOKUP($D456, 'REF - ContactNumberType'!$B$4:$C$10, 2, FALSE))</f>
        <v>Mobile Phone</v>
      </c>
      <c r="F456" s="26" t="s">
        <v>1523</v>
      </c>
      <c r="G456" s="9"/>
      <c r="H456" s="9" t="s">
        <v>1012</v>
      </c>
      <c r="J456" s="33">
        <f t="shared" si="15"/>
        <v>286000000000412</v>
      </c>
      <c r="K456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'+62 882-1210-0952'::varchar, NULL::varchar, 'Rikah'::varchar, '124000000000187'::bigint);</v>
      </c>
    </row>
    <row r="457" spans="2:11" x14ac:dyDescent="0.2">
      <c r="B457" s="22">
        <v>124000000000187</v>
      </c>
      <c r="C457" s="4" t="str">
        <f>IF(EXACT($B457, ""), "", IF((($B457 - MOD($B457, 1000000000000))/1000000000000)=25, CONCATENATE("Person - ", VLOOKUP($B457, [1]DataLookUp!$B$4:$C$2000, 2, FALSE)), IF((($B457 - MOD($B457, 1000000000000))/1000000000000)=124, CONCATENATE("Institution - ", VLOOKUP($B457, '[2]DataLookUp - InstitutionBranch'!$B$4:$C$2000, 2, FALSE)), "")))</f>
        <v>Institution - PT. Mediantara General Sistemindo</v>
      </c>
      <c r="D457" s="22">
        <v>223000000000004</v>
      </c>
      <c r="E457" s="4" t="str">
        <f>IF(EXACT($D457, ""), "", VLOOKUP($D457, 'REF - ContactNumberType'!$B$4:$C$10, 2, FALSE))</f>
        <v>Office Phone</v>
      </c>
      <c r="F457" s="26" t="s">
        <v>1522</v>
      </c>
      <c r="G457" s="9"/>
      <c r="H457" s="9" t="s">
        <v>1012</v>
      </c>
      <c r="J457" s="33">
        <f t="shared" si="15"/>
        <v>286000000000413</v>
      </c>
      <c r="K457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228-741-07'::varchar, NULL::varchar, 'Rikah'::varchar, '124000000000187'::bigint);</v>
      </c>
    </row>
    <row r="458" spans="2:11" x14ac:dyDescent="0.2">
      <c r="B458" s="22">
        <v>124000000000188</v>
      </c>
      <c r="C458" s="4" t="str">
        <f>IF(EXACT($B458, ""), "", IF((($B458 - MOD($B458, 1000000000000))/1000000000000)=25, CONCATENATE("Person - ", VLOOKUP($B458, [1]DataLookUp!$B$4:$C$2000, 2, FALSE)), IF((($B458 - MOD($B458, 1000000000000))/1000000000000)=124, CONCATENATE("Institution - ", VLOOKUP($B458, '[2]DataLookUp - InstitutionBranch'!$B$4:$C$2000, 2, FALSE)), "")))</f>
        <v>Institution - PT. Mega Perkakas Abadi</v>
      </c>
      <c r="D458" s="22">
        <v>223000000000002</v>
      </c>
      <c r="E458" s="4" t="str">
        <f>IF(EXACT($D458, ""), "", VLOOKUP($D458, 'REF - ContactNumberType'!$B$4:$C$10, 2, FALSE))</f>
        <v>Mobile Phone</v>
      </c>
      <c r="F458" s="26" t="s">
        <v>1520</v>
      </c>
      <c r="G458" s="9"/>
      <c r="H458" s="9" t="s">
        <v>1013</v>
      </c>
      <c r="J458" s="33">
        <f t="shared" si="15"/>
        <v>286000000000414</v>
      </c>
      <c r="K458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'+62 811-8883-592'::varchar, NULL::varchar, 'Boy'::varchar, '124000000000188'::bigint);</v>
      </c>
    </row>
    <row r="459" spans="2:11" x14ac:dyDescent="0.2">
      <c r="B459" s="22">
        <v>124000000000189</v>
      </c>
      <c r="C459" s="4" t="str">
        <f>IF(EXACT($B459, ""), "", IF((($B459 - MOD($B459, 1000000000000))/1000000000000)=25, CONCATENATE("Person - ", VLOOKUP($B459, [1]DataLookUp!$B$4:$C$2000, 2, FALSE)), IF((($B459 - MOD($B459, 1000000000000))/1000000000000)=124, CONCATENATE("Institution - ", VLOOKUP($B459, '[2]DataLookUp - InstitutionBranch'!$B$4:$C$2000, 2, FALSE)), "")))</f>
        <v xml:space="preserve">Institution - PT. Meratus Line </v>
      </c>
      <c r="D459" s="22">
        <v>223000000000004</v>
      </c>
      <c r="E459" s="4" t="str">
        <f>IF(EXACT($D459, ""), "", VLOOKUP($D459, 'REF - ContactNumberType'!$B$4:$C$10, 2, FALSE))</f>
        <v>Office Phone</v>
      </c>
      <c r="F459" s="26" t="s">
        <v>1521</v>
      </c>
      <c r="G459" s="9"/>
      <c r="H459" s="9" t="s">
        <v>898</v>
      </c>
      <c r="J459" s="33">
        <f t="shared" si="15"/>
        <v>286000000000415</v>
      </c>
      <c r="K459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223000000000004::bigint, '+62 (031) 333-710-00'::varchar, NULL::varchar, '-'::varchar, '124000000000189'::bigint);</v>
      </c>
    </row>
    <row r="460" spans="2:11" x14ac:dyDescent="0.2">
      <c r="B460" s="22">
        <v>124000000000190</v>
      </c>
      <c r="C460" s="4" t="str">
        <f>IF(EXACT($B460, ""), "", IF((($B460 - MOD($B460, 1000000000000))/1000000000000)=25, CONCATENATE("Person - ", VLOOKUP($B460, [1]DataLookUp!$B$4:$C$2000, 2, FALSE)), IF((($B460 - MOD($B460, 1000000000000))/1000000000000)=124, CONCATENATE("Institution - ", VLOOKUP($B460, '[2]DataLookUp - InstitutionBranch'!$B$4:$C$2000, 2, FALSE)), "")))</f>
        <v>Institution - PT. Mitra Abadi Hanafindo</v>
      </c>
      <c r="D460" s="22">
        <v>223000000000002</v>
      </c>
      <c r="E460" s="4" t="str">
        <f>IF(EXACT($D460, ""), "", VLOOKUP($D460, 'REF - ContactNumberType'!$B$4:$C$10, 2, FALSE))</f>
        <v>Mobile Phone</v>
      </c>
      <c r="F460" s="26" t="s">
        <v>1518</v>
      </c>
      <c r="G460" s="9"/>
      <c r="H460" s="9"/>
      <c r="J460" s="33">
        <f t="shared" si="15"/>
        <v>286000000000416</v>
      </c>
      <c r="K460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'+62 819-0867-2652'::varchar, NULL::varchar, NULL::varchar, '124000000000190'::bigint);</v>
      </c>
    </row>
    <row r="461" spans="2:11" x14ac:dyDescent="0.2">
      <c r="B461" s="22">
        <v>124000000000190</v>
      </c>
      <c r="C461" s="4" t="str">
        <f>IF(EXACT($B461, ""), "", IF((($B461 - MOD($B461, 1000000000000))/1000000000000)=25, CONCATENATE("Person - ", VLOOKUP($B461, [1]DataLookUp!$B$4:$C$2000, 2, FALSE)), IF((($B461 - MOD($B461, 1000000000000))/1000000000000)=124, CONCATENATE("Institution - ", VLOOKUP($B461, '[2]DataLookUp - InstitutionBranch'!$B$4:$C$2000, 2, FALSE)), "")))</f>
        <v>Institution - PT. Mitra Abadi Hanafindo</v>
      </c>
      <c r="D461" s="22">
        <v>223000000000004</v>
      </c>
      <c r="E461" s="4" t="str">
        <f>IF(EXACT($D461, ""), "", VLOOKUP($D461, 'REF - ContactNumberType'!$B$4:$C$10, 2, FALSE))</f>
        <v>Office Phone</v>
      </c>
      <c r="F461" s="26" t="s">
        <v>1519</v>
      </c>
      <c r="G461" s="9"/>
      <c r="H461" s="9"/>
      <c r="J461" s="33">
        <f t="shared" si="15"/>
        <v>286000000000417</v>
      </c>
      <c r="K461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622-007-10'::varchar, NULL::varchar, NULL::varchar, '124000000000190'::bigint);</v>
      </c>
    </row>
    <row r="462" spans="2:11" x14ac:dyDescent="0.2">
      <c r="B462" s="22">
        <v>124000000000191</v>
      </c>
      <c r="C462" s="4" t="str">
        <f>IF(EXACT($B462, ""), "", IF((($B462 - MOD($B462, 1000000000000))/1000000000000)=25, CONCATENATE("Person - ", VLOOKUP($B462, [1]DataLookUp!$B$4:$C$2000, 2, FALSE)), IF((($B462 - MOD($B462, 1000000000000))/1000000000000)=124, CONCATENATE("Institution - ", VLOOKUP($B462, '[2]DataLookUp - InstitutionBranch'!$B$4:$C$2000, 2, FALSE)), "")))</f>
        <v>Institution - PT. Mitra Putra Profitamas</v>
      </c>
      <c r="D462" s="22">
        <v>223000000000004</v>
      </c>
      <c r="E462" s="4" t="str">
        <f>IF(EXACT($D462, ""), "", VLOOKUP($D462, 'REF - ContactNumberType'!$B$4:$C$10, 2, FALSE))</f>
        <v>Office Phone</v>
      </c>
      <c r="F462" s="26" t="s">
        <v>1717</v>
      </c>
      <c r="G462" s="9"/>
      <c r="H462" s="9" t="s">
        <v>153</v>
      </c>
      <c r="J462" s="33">
        <f t="shared" si="15"/>
        <v>286000000000418</v>
      </c>
      <c r="K462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223000000000004::bigint, '+62 (0536) 323-3311'::varchar, NULL::varchar, 'Fikri'::varchar, '124000000000191'::bigint);</v>
      </c>
    </row>
    <row r="463" spans="2:11" x14ac:dyDescent="0.2">
      <c r="B463" s="22">
        <v>124000000000192</v>
      </c>
      <c r="C463" s="4" t="str">
        <f>IF(EXACT($B463, ""), "", IF((($B463 - MOD($B463, 1000000000000))/1000000000000)=25, CONCATENATE("Person - ", VLOOKUP($B463, [1]DataLookUp!$B$4:$C$2000, 2, FALSE)), IF((($B463 - MOD($B463, 1000000000000))/1000000000000)=124, CONCATENATE("Institution - ", VLOOKUP($B463, '[2]DataLookUp - InstitutionBranch'!$B$4:$C$2000, 2, FALSE)), "")))</f>
        <v>Institution - PT. Mixindo Abadi Karya</v>
      </c>
      <c r="D463" s="22">
        <v>223000000000004</v>
      </c>
      <c r="E463" s="4" t="str">
        <f>IF(EXACT($D463, ""), "", VLOOKUP($D463, 'REF - ContactNumberType'!$B$4:$C$10, 2, FALSE))</f>
        <v>Office Phone</v>
      </c>
      <c r="F463" s="26" t="s">
        <v>1516</v>
      </c>
      <c r="G463" s="9"/>
      <c r="H463" s="9" t="s">
        <v>1014</v>
      </c>
      <c r="J463" s="33">
        <f t="shared" si="15"/>
        <v>286000000000419</v>
      </c>
      <c r="K463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276-598'::varchar, NULL::varchar, 'Eny'::varchar, '124000000000192'::bigint);</v>
      </c>
    </row>
    <row r="464" spans="2:11" x14ac:dyDescent="0.2">
      <c r="B464" s="22">
        <v>124000000000193</v>
      </c>
      <c r="C464" s="4" t="str">
        <f>IF(EXACT($B464, ""), "", IF((($B464 - MOD($B464, 1000000000000))/1000000000000)=25, CONCATENATE("Person - ", VLOOKUP($B464, [1]DataLookUp!$B$4:$C$2000, 2, FALSE)), IF((($B464 - MOD($B464, 1000000000000))/1000000000000)=124, CONCATENATE("Institution - ", VLOOKUP($B464, '[2]DataLookUp - InstitutionBranch'!$B$4:$C$2000, 2, FALSE)), "")))</f>
        <v xml:space="preserve">Institution - PT. Mollindo Cipta Mandiri </v>
      </c>
      <c r="D464" s="22">
        <v>223000000000004</v>
      </c>
      <c r="E464" s="4" t="str">
        <f>IF(EXACT($D464, ""), "", VLOOKUP($D464, 'REF - ContactNumberType'!$B$4:$C$10, 2, FALSE))</f>
        <v>Office Phone</v>
      </c>
      <c r="F464" s="26" t="s">
        <v>1517</v>
      </c>
      <c r="G464" s="9"/>
      <c r="H464" s="9" t="s">
        <v>1698</v>
      </c>
      <c r="J464" s="33">
        <f t="shared" si="15"/>
        <v>286000000000420</v>
      </c>
      <c r="K464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543-987-46'::varchar, NULL::varchar, 'Djohan Arfian'::varchar, '124000000000193'::bigint);</v>
      </c>
    </row>
    <row r="465" spans="2:11" x14ac:dyDescent="0.2">
      <c r="B465" s="22">
        <v>124000000000194</v>
      </c>
      <c r="C465" s="4" t="str">
        <f>IF(EXACT($B465, ""), "", IF((($B465 - MOD($B465, 1000000000000))/1000000000000)=25, CONCATENATE("Person - ", VLOOKUP($B465, [1]DataLookUp!$B$4:$C$2000, 2, FALSE)), IF((($B465 - MOD($B465, 1000000000000))/1000000000000)=124, CONCATENATE("Institution - ", VLOOKUP($B465, '[2]DataLookUp - InstitutionBranch'!$B$4:$C$2000, 2, FALSE)), "")))</f>
        <v>Institution - PT. Multi Guna Trans Energi</v>
      </c>
      <c r="D465" s="22">
        <v>223000000000002</v>
      </c>
      <c r="E465" s="4" t="str">
        <f>IF(EXACT($D465, ""), "", VLOOKUP($D465, 'REF - ContactNumberType'!$B$4:$C$10, 2, FALSE))</f>
        <v>Mobile Phone</v>
      </c>
      <c r="F465" s="26" t="s">
        <v>915</v>
      </c>
      <c r="G465" s="9"/>
      <c r="H465" s="9" t="s">
        <v>1015</v>
      </c>
      <c r="J465" s="33">
        <f t="shared" si="15"/>
        <v>286000000000421</v>
      </c>
      <c r="K465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'+62 852-8108-4519'::varchar, NULL::varchar, 'Andrianna'::varchar, '124000000000194'::bigint);</v>
      </c>
    </row>
    <row r="466" spans="2:11" x14ac:dyDescent="0.2">
      <c r="B466" s="22">
        <v>124000000000195</v>
      </c>
      <c r="C466" s="4" t="str">
        <f>IF(EXACT($B466, ""), "", IF((($B466 - MOD($B466, 1000000000000))/1000000000000)=25, CONCATENATE("Person - ", VLOOKUP($B466, [1]DataLookUp!$B$4:$C$2000, 2, FALSE)), IF((($B466 - MOD($B466, 1000000000000))/1000000000000)=124, CONCATENATE("Institution - ", VLOOKUP($B466, '[2]DataLookUp - InstitutionBranch'!$B$4:$C$2000, 2, FALSE)), "")))</f>
        <v>Institution - PT. Multi Kencana Niagatama</v>
      </c>
      <c r="D466" s="22">
        <v>223000000000002</v>
      </c>
      <c r="E466" s="4" t="str">
        <f>IF(EXACT($D466, ""), "", VLOOKUP($D466, 'REF - ContactNumberType'!$B$4:$C$10, 2, FALSE))</f>
        <v>Mobile Phone</v>
      </c>
      <c r="F466" s="26" t="s">
        <v>1512</v>
      </c>
      <c r="G466" s="9"/>
      <c r="H466" s="9" t="s">
        <v>1016</v>
      </c>
      <c r="J466" s="33">
        <f t="shared" si="15"/>
        <v>286000000000422</v>
      </c>
      <c r="K466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'+62 812-8403-0286'::varchar, NULL::varchar, 'Arie Tri'::varchar, '124000000000195'::bigint);</v>
      </c>
    </row>
    <row r="467" spans="2:11" x14ac:dyDescent="0.2">
      <c r="B467" s="22">
        <v>124000000000195</v>
      </c>
      <c r="C467" s="4" t="str">
        <f>IF(EXACT($B467, ""), "", IF((($B467 - MOD($B467, 1000000000000))/1000000000000)=25, CONCATENATE("Person - ", VLOOKUP($B467, [1]DataLookUp!$B$4:$C$2000, 2, FALSE)), IF((($B467 - MOD($B467, 1000000000000))/1000000000000)=124, CONCATENATE("Institution - ", VLOOKUP($B467, '[2]DataLookUp - InstitutionBranch'!$B$4:$C$2000, 2, FALSE)), "")))</f>
        <v>Institution - PT. Multi Kencana Niagatama</v>
      </c>
      <c r="D467" s="22">
        <v>223000000000004</v>
      </c>
      <c r="E467" s="4" t="str">
        <f>IF(EXACT($D467, ""), "", VLOOKUP($D467, 'REF - ContactNumberType'!$B$4:$C$10, 2, FALSE))</f>
        <v>Office Phone</v>
      </c>
      <c r="F467" s="26" t="s">
        <v>1511</v>
      </c>
      <c r="G467" s="9"/>
      <c r="H467" s="9" t="s">
        <v>1016</v>
      </c>
      <c r="J467" s="33">
        <f t="shared" si="15"/>
        <v>286000000000423</v>
      </c>
      <c r="K467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589-025-10'::varchar, NULL::varchar, 'Arie Tri'::varchar, '124000000000195'::bigint);</v>
      </c>
    </row>
    <row r="468" spans="2:11" x14ac:dyDescent="0.2">
      <c r="B468" s="22">
        <v>124000000000196</v>
      </c>
      <c r="C468" s="4" t="str">
        <f>IF(EXACT($B468, ""), "", IF((($B468 - MOD($B468, 1000000000000))/1000000000000)=25, CONCATENATE("Person - ", VLOOKUP($B468, [1]DataLookUp!$B$4:$C$2000, 2, FALSE)), IF((($B468 - MOD($B468, 1000000000000))/1000000000000)=124, CONCATENATE("Institution - ", VLOOKUP($B468, '[2]DataLookUp - InstitutionBranch'!$B$4:$C$2000, 2, FALSE)), "")))</f>
        <v>Institution - PT. Mutiara Timur Truss</v>
      </c>
      <c r="D468" s="22">
        <v>223000000000002</v>
      </c>
      <c r="E468" s="4" t="str">
        <f>IF(EXACT($D468, ""), "", VLOOKUP($D468, 'REF - ContactNumberType'!$B$4:$C$10, 2, FALSE))</f>
        <v>Mobile Phone</v>
      </c>
      <c r="F468" s="26" t="s">
        <v>1514</v>
      </c>
      <c r="G468" s="26"/>
      <c r="H468" s="9" t="s">
        <v>1017</v>
      </c>
      <c r="J468" s="33">
        <f t="shared" si="15"/>
        <v>286000000000424</v>
      </c>
      <c r="K468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'+62 897-412-3298'::varchar, NULL::varchar, 'Vivi'::varchar, '124000000000196'::bigint);</v>
      </c>
    </row>
    <row r="469" spans="2:11" x14ac:dyDescent="0.2">
      <c r="B469" s="22">
        <v>124000000000196</v>
      </c>
      <c r="C469" s="4" t="str">
        <f>IF(EXACT($B469, ""), "", IF((($B469 - MOD($B469, 1000000000000))/1000000000000)=25, CONCATENATE("Person - ", VLOOKUP($B469, [1]DataLookUp!$B$4:$C$2000, 2, FALSE)), IF((($B469 - MOD($B469, 1000000000000))/1000000000000)=124, CONCATENATE("Institution - ", VLOOKUP($B469, '[2]DataLookUp - InstitutionBranch'!$B$4:$C$2000, 2, FALSE)), "")))</f>
        <v>Institution - PT. Mutiara Timur Truss</v>
      </c>
      <c r="D469" s="22">
        <v>223000000000005</v>
      </c>
      <c r="E469" s="4" t="str">
        <f>IF(EXACT($D469, ""), "", VLOOKUP($D469, 'REF - ContactNumberType'!$B$4:$C$10, 2, FALSE))</f>
        <v>Faximile</v>
      </c>
      <c r="F469" s="26" t="s">
        <v>1513</v>
      </c>
      <c r="G469" s="9"/>
      <c r="H469" s="9" t="s">
        <v>1017</v>
      </c>
      <c r="J469" s="33">
        <f t="shared" si="15"/>
        <v>286000000000425</v>
      </c>
      <c r="K469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589-001-89'::varchar, NULL::varchar, 'Vivi'::varchar, '124000000000196'::bigint);</v>
      </c>
    </row>
    <row r="470" spans="2:11" x14ac:dyDescent="0.2">
      <c r="B470" s="22">
        <v>124000000000197</v>
      </c>
      <c r="C470" s="4" t="str">
        <f>IF(EXACT($B470, ""), "", IF((($B470 - MOD($B470, 1000000000000))/1000000000000)=25, CONCATENATE("Person - ", VLOOKUP($B470, [1]DataLookUp!$B$4:$C$2000, 2, FALSE)), IF((($B470 - MOD($B470, 1000000000000))/1000000000000)=124, CONCATENATE("Institution - ", VLOOKUP($B470, '[2]DataLookUp - InstitutionBranch'!$B$4:$C$2000, 2, FALSE)), "")))</f>
        <v>Institution - PT. Nariza Teknik Inspeksi</v>
      </c>
      <c r="D470" s="22">
        <v>223000000000004</v>
      </c>
      <c r="E470" s="4" t="str">
        <f>IF(EXACT($D470, ""), "", VLOOKUP($D470, 'REF - ContactNumberType'!$B$4:$C$10, 2, FALSE))</f>
        <v>Office Phone</v>
      </c>
      <c r="F470" s="26" t="s">
        <v>1515</v>
      </c>
      <c r="G470" s="9"/>
      <c r="H470" s="9" t="s">
        <v>1018</v>
      </c>
      <c r="J470" s="33">
        <f t="shared" si="15"/>
        <v>286000000000426</v>
      </c>
      <c r="K470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285-362-44'::varchar, NULL::varchar, 'Hendyono Sasongko'::varchar, '124000000000197'::bigint);</v>
      </c>
    </row>
    <row r="471" spans="2:11" x14ac:dyDescent="0.2">
      <c r="B471" s="22">
        <v>124000000000198</v>
      </c>
      <c r="C471" s="4" t="str">
        <f>IF(EXACT($B471, ""), "", IF((($B471 - MOD($B471, 1000000000000))/1000000000000)=25, CONCATENATE("Person - ", VLOOKUP($B471, [1]DataLookUp!$B$4:$C$2000, 2, FALSE)), IF((($B471 - MOD($B471, 1000000000000))/1000000000000)=124, CONCATENATE("Institution - ", VLOOKUP($B471, '[2]DataLookUp - InstitutionBranch'!$B$4:$C$2000, 2, FALSE)), "")))</f>
        <v>Institution - PT. Netcom Technology</v>
      </c>
      <c r="D471" s="22">
        <v>223000000000002</v>
      </c>
      <c r="E471" s="4" t="str">
        <f>IF(EXACT($D471, ""), "", VLOOKUP($D471, 'REF - ContactNumberType'!$B$4:$C$10, 2, FALSE))</f>
        <v>Mobile Phone</v>
      </c>
      <c r="F471" s="26" t="s">
        <v>1509</v>
      </c>
      <c r="G471" s="9"/>
      <c r="H471" s="9" t="s">
        <v>1019</v>
      </c>
      <c r="J471" s="33">
        <f t="shared" si="15"/>
        <v>286000000000427</v>
      </c>
      <c r="K471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'+62 817-890-354'::varchar, NULL::varchar, 'Teddy Kurniawan'::varchar, '124000000000198'::bigint);</v>
      </c>
    </row>
    <row r="472" spans="2:11" x14ac:dyDescent="0.2">
      <c r="B472" s="22">
        <v>124000000000198</v>
      </c>
      <c r="C472" s="4" t="str">
        <f>IF(EXACT($B472, ""), "", IF((($B472 - MOD($B472, 1000000000000))/1000000000000)=25, CONCATENATE("Person - ", VLOOKUP($B472, [1]DataLookUp!$B$4:$C$2000, 2, FALSE)), IF((($B472 - MOD($B472, 1000000000000))/1000000000000)=124, CONCATENATE("Institution - ", VLOOKUP($B472, '[2]DataLookUp - InstitutionBranch'!$B$4:$C$2000, 2, FALSE)), "")))</f>
        <v>Institution - PT. Netcom Technology</v>
      </c>
      <c r="D472" s="22">
        <v>223000000000004</v>
      </c>
      <c r="E472" s="4" t="str">
        <f>IF(EXACT($D472, ""), "", VLOOKUP($D472, 'REF - ContactNumberType'!$B$4:$C$10, 2, FALSE))</f>
        <v>Office Phone</v>
      </c>
      <c r="F472" s="26" t="s">
        <v>1510</v>
      </c>
      <c r="G472" s="9"/>
      <c r="H472" s="9" t="s">
        <v>1019</v>
      </c>
      <c r="J472" s="33">
        <f t="shared" si="15"/>
        <v>286000000000428</v>
      </c>
      <c r="K472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290-309-69'::varchar, NULL::varchar, 'Teddy Kurniawan'::varchar, '124000000000198'::bigint);</v>
      </c>
    </row>
    <row r="473" spans="2:11" x14ac:dyDescent="0.2">
      <c r="B473" s="22">
        <v>124000000000199</v>
      </c>
      <c r="C473" s="4" t="str">
        <f>IF(EXACT($B473, ""), "", IF((($B473 - MOD($B473, 1000000000000))/1000000000000)=25, CONCATENATE("Person - ", VLOOKUP($B473, [1]DataLookUp!$B$4:$C$2000, 2, FALSE)), IF((($B473 - MOD($B473, 1000000000000))/1000000000000)=124, CONCATENATE("Institution - ", VLOOKUP($B473, '[2]DataLookUp - InstitutionBranch'!$B$4:$C$2000, 2, FALSE)), "")))</f>
        <v>Institution - PT. NR Electric Jakarta</v>
      </c>
      <c r="D473" s="22">
        <v>223000000000004</v>
      </c>
      <c r="E473" s="4" t="str">
        <f>IF(EXACT($D473, ""), "", VLOOKUP($D473, 'REF - ContactNumberType'!$B$4:$C$10, 2, FALSE))</f>
        <v>Office Phone</v>
      </c>
      <c r="F473" s="26" t="s">
        <v>1507</v>
      </c>
      <c r="G473" s="9"/>
      <c r="H473" s="9" t="s">
        <v>1699</v>
      </c>
      <c r="J473" s="33">
        <f t="shared" si="15"/>
        <v>286000000000429</v>
      </c>
      <c r="K473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756-724-45'::varchar, NULL::varchar, 'Kofi Wang / Ryan Iskan'::varchar, '124000000000199'::bigint);</v>
      </c>
    </row>
    <row r="474" spans="2:11" x14ac:dyDescent="0.2">
      <c r="B474" s="22">
        <v>124000000000200</v>
      </c>
      <c r="C474" s="4" t="str">
        <f>IF(EXACT($B474, ""), "", IF((($B474 - MOD($B474, 1000000000000))/1000000000000)=25, CONCATENATE("Person - ", VLOOKUP($B474, [1]DataLookUp!$B$4:$C$2000, 2, FALSE)), IF((($B474 - MOD($B474, 1000000000000))/1000000000000)=124, CONCATENATE("Institution - ", VLOOKUP($B474, '[2]DataLookUp - InstitutionBranch'!$B$4:$C$2000, 2, FALSE)), "")))</f>
        <v>Institution - PT. Nuansa Dharma Cipta</v>
      </c>
      <c r="D474" s="22">
        <v>223000000000002</v>
      </c>
      <c r="E474" s="4" t="str">
        <f>IF(EXACT($D474, ""), "", VLOOKUP($D474, 'REF - ContactNumberType'!$B$4:$C$10, 2, FALSE))</f>
        <v>Mobile Phone</v>
      </c>
      <c r="F474" s="26" t="s">
        <v>916</v>
      </c>
      <c r="G474" s="9"/>
      <c r="H474" s="9" t="s">
        <v>1020</v>
      </c>
      <c r="J474" s="33">
        <f t="shared" si="15"/>
        <v>286000000000430</v>
      </c>
      <c r="K474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'+62 858-4523-2634'::varchar, NULL::varchar, 'Rizky'::varchar, '124000000000200'::bigint);</v>
      </c>
    </row>
    <row r="475" spans="2:11" x14ac:dyDescent="0.2">
      <c r="B475" s="22">
        <v>124000000000201</v>
      </c>
      <c r="C475" s="4" t="str">
        <f>IF(EXACT($B475, ""), "", IF((($B475 - MOD($B475, 1000000000000))/1000000000000)=25, CONCATENATE("Person - ", VLOOKUP($B475, [1]DataLookUp!$B$4:$C$2000, 2, FALSE)), IF((($B475 - MOD($B475, 1000000000000))/1000000000000)=124, CONCATENATE("Institution - ", VLOOKUP($B475, '[2]DataLookUp - InstitutionBranch'!$B$4:$C$2000, 2, FALSE)), "")))</f>
        <v>Institution - PT. Orion Teknik Solusindo</v>
      </c>
      <c r="D475" s="22">
        <v>223000000000002</v>
      </c>
      <c r="E475" s="4" t="str">
        <f>IF(EXACT($D475, ""), "", VLOOKUP($D475, 'REF - ContactNumberType'!$B$4:$C$10, 2, FALSE))</f>
        <v>Mobile Phone</v>
      </c>
      <c r="F475" s="26" t="s">
        <v>1508</v>
      </c>
      <c r="G475" s="9"/>
      <c r="H475" s="9" t="s">
        <v>1021</v>
      </c>
      <c r="J475" s="33">
        <f t="shared" si="15"/>
        <v>286000000000431</v>
      </c>
      <c r="K475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'+62 857-7008-9850'::varchar, NULL::varchar, 'Dewi Kusuma'::varchar, '124000000000201'::bigint);</v>
      </c>
    </row>
    <row r="476" spans="2:11" x14ac:dyDescent="0.2">
      <c r="B476" s="22">
        <v>124000000000202</v>
      </c>
      <c r="C476" s="4" t="str">
        <f>IF(EXACT($B476, ""), "", IF((($B476 - MOD($B476, 1000000000000))/1000000000000)=25, CONCATENATE("Person - ", VLOOKUP($B476, [1]DataLookUp!$B$4:$C$2000, 2, FALSE)), IF((($B476 - MOD($B476, 1000000000000))/1000000000000)=124, CONCATENATE("Institution - ", VLOOKUP($B476, '[2]DataLookUp - InstitutionBranch'!$B$4:$C$2000, 2, FALSE)), "")))</f>
        <v>Institution - PT. Orix Indonesia Finance</v>
      </c>
      <c r="D476" s="22">
        <v>223000000000004</v>
      </c>
      <c r="E476" s="4" t="str">
        <f>IF(EXACT($D476, ""), "", VLOOKUP($D476, 'REF - ContactNumberType'!$B$4:$C$10, 2, FALSE))</f>
        <v>Office Phone</v>
      </c>
      <c r="F476" s="26" t="s">
        <v>1718</v>
      </c>
      <c r="G476" s="9"/>
      <c r="H476" s="9" t="s">
        <v>1022</v>
      </c>
      <c r="J476" s="33">
        <f t="shared" si="15"/>
        <v>286000000000432</v>
      </c>
      <c r="K476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572-3041'::varchar, NULL::varchar, 'Ibu Diah'::varchar, '124000000000202'::bigint);</v>
      </c>
    </row>
    <row r="477" spans="2:11" x14ac:dyDescent="0.2">
      <c r="B477" s="22">
        <v>124000000000202</v>
      </c>
      <c r="C477" s="4" t="str">
        <f>IF(EXACT($B477, ""), "", IF((($B477 - MOD($B477, 1000000000000))/1000000000000)=25, CONCATENATE("Person - ", VLOOKUP($B477, [1]DataLookUp!$B$4:$C$2000, 2, FALSE)), IF((($B477 - MOD($B477, 1000000000000))/1000000000000)=124, CONCATENATE("Institution - ", VLOOKUP($B477, '[2]DataLookUp - InstitutionBranch'!$B$4:$C$2000, 2, FALSE)), "")))</f>
        <v>Institution - PT. Orix Indonesia Finance</v>
      </c>
      <c r="D477" s="22">
        <v>223000000000005</v>
      </c>
      <c r="E477" s="4" t="str">
        <f>IF(EXACT($D477, ""), "", VLOOKUP($D477, 'REF - ContactNumberType'!$B$4:$C$10, 2, FALSE))</f>
        <v>Faximile</v>
      </c>
      <c r="F477" s="26" t="s">
        <v>1719</v>
      </c>
      <c r="G477" s="9"/>
      <c r="H477" s="9" t="s">
        <v>1022</v>
      </c>
      <c r="J477" s="33">
        <f t="shared" si="15"/>
        <v>286000000000433</v>
      </c>
      <c r="K477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572-4191'::varchar, NULL::varchar, 'Ibu Diah'::varchar, '124000000000202'::bigint);</v>
      </c>
    </row>
    <row r="478" spans="2:11" x14ac:dyDescent="0.2">
      <c r="B478" s="22">
        <v>124000000000203</v>
      </c>
      <c r="C478" s="4" t="str">
        <f>IF(EXACT($B478, ""), "", IF((($B478 - MOD($B478, 1000000000000))/1000000000000)=25, CONCATENATE("Person - ", VLOOKUP($B478, [1]DataLookUp!$B$4:$C$2000, 2, FALSE)), IF((($B478 - MOD($B478, 1000000000000))/1000000000000)=124, CONCATENATE("Institution - ", VLOOKUP($B478, '[2]DataLookUp - InstitutionBranch'!$B$4:$C$2000, 2, FALSE)), "")))</f>
        <v>Institution - PT. Pacific Prestress Indonesia</v>
      </c>
      <c r="D478" s="22">
        <v>223000000000004</v>
      </c>
      <c r="E478" s="4" t="str">
        <f>IF(EXACT($D478, ""), "", VLOOKUP($D478, 'REF - ContactNumberType'!$B$4:$C$10, 2, FALSE))</f>
        <v>Office Phone</v>
      </c>
      <c r="F478" s="26" t="s">
        <v>1505</v>
      </c>
      <c r="G478" s="9"/>
      <c r="H478" s="9" t="s">
        <v>1023</v>
      </c>
      <c r="J478" s="33">
        <f t="shared" si="15"/>
        <v>286000000000434</v>
      </c>
      <c r="K478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531-589-01'::varchar, NULL::varchar, 'Agus Fatoni'::varchar, '124000000000203'::bigint);</v>
      </c>
    </row>
    <row r="479" spans="2:11" x14ac:dyDescent="0.2">
      <c r="B479" s="22">
        <v>124000000000203</v>
      </c>
      <c r="C479" s="4" t="str">
        <f>IF(EXACT($B479, ""), "", IF((($B479 - MOD($B479, 1000000000000))/1000000000000)=25, CONCATENATE("Person - ", VLOOKUP($B479, [1]DataLookUp!$B$4:$C$2000, 2, FALSE)), IF((($B479 - MOD($B479, 1000000000000))/1000000000000)=124, CONCATENATE("Institution - ", VLOOKUP($B479, '[2]DataLookUp - InstitutionBranch'!$B$4:$C$2000, 2, FALSE)), "")))</f>
        <v>Institution - PT. Pacific Prestress Indonesia</v>
      </c>
      <c r="D479" s="22">
        <v>223000000000004</v>
      </c>
      <c r="E479" s="4" t="str">
        <f>IF(EXACT($D479, ""), "", VLOOKUP($D479, 'REF - ContactNumberType'!$B$4:$C$10, 2, FALSE))</f>
        <v>Office Phone</v>
      </c>
      <c r="F479" s="26" t="s">
        <v>1506</v>
      </c>
      <c r="G479" s="9"/>
      <c r="H479" s="9" t="s">
        <v>1023</v>
      </c>
      <c r="J479" s="33">
        <f t="shared" si="15"/>
        <v>286000000000435</v>
      </c>
      <c r="K479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531-589-02'::varchar, NULL::varchar, 'Agus Fatoni'::varchar, '124000000000203'::bigint);</v>
      </c>
    </row>
    <row r="480" spans="2:11" x14ac:dyDescent="0.2">
      <c r="B480" s="22">
        <v>124000000000204</v>
      </c>
      <c r="C480" s="4" t="str">
        <f>IF(EXACT($B480, ""), "", IF((($B480 - MOD($B480, 1000000000000))/1000000000000)=25, CONCATENATE("Person - ", VLOOKUP($B480, [1]DataLookUp!$B$4:$C$2000, 2, FALSE)), IF((($B480 - MOD($B480, 1000000000000))/1000000000000)=124, CONCATENATE("Institution - ", VLOOKUP($B480, '[2]DataLookUp - InstitutionBranch'!$B$4:$C$2000, 2, FALSE)), "")))</f>
        <v>Institution - PT. Panah Perdana Logisindo</v>
      </c>
      <c r="D480" s="22">
        <v>223000000000002</v>
      </c>
      <c r="E480" s="4" t="str">
        <f>IF(EXACT($D480, ""), "", VLOOKUP($D480, 'REF - ContactNumberType'!$B$4:$C$10, 2, FALSE))</f>
        <v>Mobile Phone</v>
      </c>
      <c r="F480" s="26" t="s">
        <v>1503</v>
      </c>
      <c r="G480" s="9"/>
      <c r="H480" s="9" t="s">
        <v>1024</v>
      </c>
      <c r="J480" s="33">
        <f t="shared" si="15"/>
        <v>286000000000436</v>
      </c>
      <c r="K480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'+62 852-8376-8373'::varchar, NULL::varchar, 'Nurhaeni'::varchar, '124000000000204'::bigint);</v>
      </c>
    </row>
    <row r="481" spans="2:11" x14ac:dyDescent="0.2">
      <c r="B481" s="22">
        <v>124000000000204</v>
      </c>
      <c r="C481" s="4" t="str">
        <f>IF(EXACT($B481, ""), "", IF((($B481 - MOD($B481, 1000000000000))/1000000000000)=25, CONCATENATE("Person - ", VLOOKUP($B481, [1]DataLookUp!$B$4:$C$2000, 2, FALSE)), IF((($B481 - MOD($B481, 1000000000000))/1000000000000)=124, CONCATENATE("Institution - ", VLOOKUP($B481, '[2]DataLookUp - InstitutionBranch'!$B$4:$C$2000, 2, FALSE)), "")))</f>
        <v>Institution - PT. Panah Perdana Logisindo</v>
      </c>
      <c r="D481" s="22">
        <v>223000000000004</v>
      </c>
      <c r="E481" s="4" t="str">
        <f>IF(EXACT($D481, ""), "", VLOOKUP($D481, 'REF - ContactNumberType'!$B$4:$C$10, 2, FALSE))</f>
        <v>Office Phone</v>
      </c>
      <c r="F481" s="26" t="s">
        <v>1504</v>
      </c>
      <c r="G481" s="9"/>
      <c r="H481" s="9" t="s">
        <v>1024</v>
      </c>
      <c r="J481" s="33">
        <f t="shared" si="15"/>
        <v>286000000000437</v>
      </c>
      <c r="K481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298-661-60'::varchar, NULL::varchar, 'Nurhaeni'::varchar, '124000000000204'::bigint);</v>
      </c>
    </row>
    <row r="482" spans="2:11" x14ac:dyDescent="0.2">
      <c r="B482" s="22">
        <v>124000000000205</v>
      </c>
      <c r="C482" s="4" t="str">
        <f>IF(EXACT($B482, ""), "", IF((($B482 - MOD($B482, 1000000000000))/1000000000000)=25, CONCATENATE("Person - ", VLOOKUP($B482, [1]DataLookUp!$B$4:$C$2000, 2, FALSE)), IF((($B482 - MOD($B482, 1000000000000))/1000000000000)=124, CONCATENATE("Institution - ", VLOOKUP($B482, '[2]DataLookUp - InstitutionBranch'!$B$4:$C$2000, 2, FALSE)), "")))</f>
        <v>Institution - PT. Panca Infosoft Pionir Indonesia</v>
      </c>
      <c r="D482" s="22">
        <v>223000000000002</v>
      </c>
      <c r="E482" s="4" t="str">
        <f>IF(EXACT($D482, ""), "", VLOOKUP($D482, 'REF - ContactNumberType'!$B$4:$C$10, 2, FALSE))</f>
        <v>Mobile Phone</v>
      </c>
      <c r="F482" s="26" t="s">
        <v>1501</v>
      </c>
      <c r="G482" s="9"/>
      <c r="H482" s="9" t="s">
        <v>1025</v>
      </c>
      <c r="J482" s="33">
        <f t="shared" si="15"/>
        <v>286000000000438</v>
      </c>
      <c r="K482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'+62 812-8400-2688'::varchar, NULL::varchar, 'Diah'::varchar, '124000000000205'::bigint);</v>
      </c>
    </row>
    <row r="483" spans="2:11" x14ac:dyDescent="0.2">
      <c r="B483" s="22">
        <v>124000000000205</v>
      </c>
      <c r="C483" s="4" t="str">
        <f>IF(EXACT($B483, ""), "", IF((($B483 - MOD($B483, 1000000000000))/1000000000000)=25, CONCATENATE("Person - ", VLOOKUP($B483, [1]DataLookUp!$B$4:$C$2000, 2, FALSE)), IF((($B483 - MOD($B483, 1000000000000))/1000000000000)=124, CONCATENATE("Institution - ", VLOOKUP($B483, '[2]DataLookUp - InstitutionBranch'!$B$4:$C$2000, 2, FALSE)), "")))</f>
        <v>Institution - PT. Panca Infosoft Pionir Indonesia</v>
      </c>
      <c r="D483" s="22">
        <v>223000000000004</v>
      </c>
      <c r="E483" s="4" t="str">
        <f>IF(EXACT($D483, ""), "", VLOOKUP($D483, 'REF - ContactNumberType'!$B$4:$C$10, 2, FALSE))</f>
        <v>Office Phone</v>
      </c>
      <c r="F483" s="26" t="s">
        <v>1502</v>
      </c>
      <c r="G483" s="9"/>
      <c r="H483" s="9" t="s">
        <v>1025</v>
      </c>
      <c r="J483" s="33">
        <f t="shared" si="15"/>
        <v>286000000000439</v>
      </c>
      <c r="K483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641-3888 '::varchar, NULL::varchar, 'Diah'::varchar, '124000000000205'::bigint);</v>
      </c>
    </row>
    <row r="484" spans="2:11" x14ac:dyDescent="0.2">
      <c r="B484" s="22">
        <v>124000000000206</v>
      </c>
      <c r="C484" s="4" t="str">
        <f>IF(EXACT($B484, ""), "", IF((($B484 - MOD($B484, 1000000000000))/1000000000000)=25, CONCATENATE("Person - ", VLOOKUP($B484, [1]DataLookUp!$B$4:$C$2000, 2, FALSE)), IF((($B484 - MOD($B484, 1000000000000))/1000000000000)=124, CONCATENATE("Institution - ", VLOOKUP($B484, '[2]DataLookUp - InstitutionBranch'!$B$4:$C$2000, 2, FALSE)), "")))</f>
        <v>Institution - PT. Panca Logam Sukses Mandiri</v>
      </c>
      <c r="D484" s="22">
        <v>223000000000002</v>
      </c>
      <c r="E484" s="4" t="str">
        <f>IF(EXACT($D484, ""), "", VLOOKUP($D484, 'REF - ContactNumberType'!$B$4:$C$10, 2, FALSE))</f>
        <v>Mobile Phone</v>
      </c>
      <c r="F484" s="26" t="s">
        <v>917</v>
      </c>
      <c r="G484" s="9"/>
      <c r="H484" s="9" t="s">
        <v>1026</v>
      </c>
      <c r="J484" s="33">
        <f t="shared" si="15"/>
        <v>286000000000440</v>
      </c>
      <c r="K484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'+62 852-2525-1202'::varchar, NULL::varchar, 'Theo'::varchar, '124000000000206'::bigint);</v>
      </c>
    </row>
    <row r="485" spans="2:11" x14ac:dyDescent="0.2">
      <c r="B485" s="22">
        <v>124000000000207</v>
      </c>
      <c r="C485" s="4" t="str">
        <f>IF(EXACT($B485, ""), "", IF((($B485 - MOD($B485, 1000000000000))/1000000000000)=25, CONCATENATE("Person - ", VLOOKUP($B485, [1]DataLookUp!$B$4:$C$2000, 2, FALSE)), IF((($B485 - MOD($B485, 1000000000000))/1000000000000)=124, CONCATENATE("Institution - ", VLOOKUP($B485, '[2]DataLookUp - InstitutionBranch'!$B$4:$C$2000, 2, FALSE)), "")))</f>
        <v>Institution - PT. Panca Utama Selaras</v>
      </c>
      <c r="D485" s="22">
        <v>223000000000002</v>
      </c>
      <c r="E485" s="4" t="str">
        <f>IF(EXACT($D485, ""), "", VLOOKUP($D485, 'REF - ContactNumberType'!$B$4:$C$10, 2, FALSE))</f>
        <v>Mobile Phone</v>
      </c>
      <c r="F485" s="26" t="s">
        <v>1499</v>
      </c>
      <c r="G485" s="9"/>
      <c r="H485" s="9" t="s">
        <v>1027</v>
      </c>
      <c r="J485" s="33">
        <f t="shared" si="15"/>
        <v>286000000000441</v>
      </c>
      <c r="K485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'+62 858-8867-5152'::varchar, NULL::varchar, 'Dyan Parardyo'::varchar, '124000000000207'::bigint);</v>
      </c>
    </row>
    <row r="486" spans="2:11" x14ac:dyDescent="0.2">
      <c r="B486" s="22">
        <v>124000000000207</v>
      </c>
      <c r="C486" s="4" t="str">
        <f>IF(EXACT($B486, ""), "", IF((($B486 - MOD($B486, 1000000000000))/1000000000000)=25, CONCATENATE("Person - ", VLOOKUP($B486, [1]DataLookUp!$B$4:$C$2000, 2, FALSE)), IF((($B486 - MOD($B486, 1000000000000))/1000000000000)=124, CONCATENATE("Institution - ", VLOOKUP($B486, '[2]DataLookUp - InstitutionBranch'!$B$4:$C$2000, 2, FALSE)), "")))</f>
        <v>Institution - PT. Panca Utama Selaras</v>
      </c>
      <c r="D486" s="22">
        <v>223000000000002</v>
      </c>
      <c r="E486" s="4" t="str">
        <f>IF(EXACT($D486, ""), "", VLOOKUP($D486, 'REF - ContactNumberType'!$B$4:$C$10, 2, FALSE))</f>
        <v>Mobile Phone</v>
      </c>
      <c r="F486" s="26" t="s">
        <v>1500</v>
      </c>
      <c r="G486" s="9"/>
      <c r="H486" s="9" t="s">
        <v>1027</v>
      </c>
      <c r="J486" s="33">
        <f t="shared" si="15"/>
        <v>286000000000442</v>
      </c>
      <c r="K486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'+62 813-2907-5563'::varchar, NULL::varchar, 'Dyan Parardyo'::varchar, '124000000000207'::bigint);</v>
      </c>
    </row>
    <row r="487" spans="2:11" x14ac:dyDescent="0.2">
      <c r="B487" s="22">
        <v>124000000000208</v>
      </c>
      <c r="C487" s="4" t="str">
        <f>IF(EXACT($B487, ""), "", IF((($B487 - MOD($B487, 1000000000000))/1000000000000)=25, CONCATENATE("Person - ", VLOOKUP($B487, [1]DataLookUp!$B$4:$C$2000, 2, FALSE)), IF((($B487 - MOD($B487, 1000000000000))/1000000000000)=124, CONCATENATE("Institution - ", VLOOKUP($B487, '[2]DataLookUp - InstitutionBranch'!$B$4:$C$2000, 2, FALSE)), "")))</f>
        <v xml:space="preserve">Institution - PT. Panghegar Mitra Utama   </v>
      </c>
      <c r="D487" s="22">
        <v>223000000000002</v>
      </c>
      <c r="E487" s="4" t="str">
        <f>IF(EXACT($D487, ""), "", VLOOKUP($D487, 'REF - ContactNumberType'!$B$4:$C$10, 2, FALSE))</f>
        <v>Mobile Phone</v>
      </c>
      <c r="F487" s="26" t="s">
        <v>918</v>
      </c>
      <c r="G487" s="9"/>
      <c r="H487" s="9" t="s">
        <v>1028</v>
      </c>
      <c r="J487" s="33">
        <f t="shared" si="15"/>
        <v>286000000000443</v>
      </c>
      <c r="K487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'+62 812-2345-756'::varchar, NULL::varchar, 'Iwan Mulyono'::varchar, '124000000000208'::bigint);</v>
      </c>
    </row>
    <row r="488" spans="2:11" x14ac:dyDescent="0.2">
      <c r="B488" s="22">
        <v>124000000000209</v>
      </c>
      <c r="C488" s="4" t="str">
        <f>IF(EXACT($B488, ""), "", IF((($B488 - MOD($B488, 1000000000000))/1000000000000)=25, CONCATENATE("Person - ", VLOOKUP($B488, [1]DataLookUp!$B$4:$C$2000, 2, FALSE)), IF((($B488 - MOD($B488, 1000000000000))/1000000000000)=124, CONCATENATE("Institution - ", VLOOKUP($B488, '[2]DataLookUp - InstitutionBranch'!$B$4:$C$2000, 2, FALSE)), "")))</f>
        <v>Institution - PT. Pas Jaya Mandiri</v>
      </c>
      <c r="D488" s="22">
        <v>223000000000002</v>
      </c>
      <c r="E488" s="4" t="str">
        <f>IF(EXACT($D488, ""), "", VLOOKUP($D488, 'REF - ContactNumberType'!$B$4:$C$10, 2, FALSE))</f>
        <v>Mobile Phone</v>
      </c>
      <c r="F488" s="26" t="s">
        <v>1497</v>
      </c>
      <c r="G488" s="9"/>
      <c r="H488" s="9" t="s">
        <v>1029</v>
      </c>
      <c r="J488" s="33">
        <f t="shared" si="15"/>
        <v>286000000000444</v>
      </c>
      <c r="K488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'+62 812-8059-9598'::varchar, NULL::varchar, 'Agus Priyanto'::varchar, '124000000000209'::bigint);</v>
      </c>
    </row>
    <row r="489" spans="2:11" x14ac:dyDescent="0.2">
      <c r="B489" s="22">
        <v>124000000000210</v>
      </c>
      <c r="C489" s="4" t="str">
        <f>IF(EXACT($B489, ""), "", IF((($B489 - MOD($B489, 1000000000000))/1000000000000)=25, CONCATENATE("Person - ", VLOOKUP($B489, [1]DataLookUp!$B$4:$C$2000, 2, FALSE)), IF((($B489 - MOD($B489, 1000000000000))/1000000000000)=124, CONCATENATE("Institution - ", VLOOKUP($B489, '[2]DataLookUp - InstitutionBranch'!$B$4:$C$2000, 2, FALSE)), "")))</f>
        <v>Institution - PT. Pelangi Teknik Indonesia</v>
      </c>
      <c r="D489" s="22">
        <v>223000000000004</v>
      </c>
      <c r="E489" s="4" t="str">
        <f>IF(EXACT($D489, ""), "", VLOOKUP($D489, 'REF - ContactNumberType'!$B$4:$C$10, 2, FALSE))</f>
        <v>Office Phone</v>
      </c>
      <c r="F489" s="26" t="s">
        <v>1498</v>
      </c>
      <c r="G489" s="9"/>
      <c r="H489" s="9" t="s">
        <v>1030</v>
      </c>
      <c r="J489" s="33">
        <f t="shared" si="15"/>
        <v>286000000000445</v>
      </c>
      <c r="K489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228-616-89'::varchar, NULL::varchar, 'Sifa'::varchar, '124000000000210'::bigint);</v>
      </c>
    </row>
    <row r="490" spans="2:11" x14ac:dyDescent="0.2">
      <c r="B490" s="22">
        <v>124000000000212</v>
      </c>
      <c r="C490" s="4" t="str">
        <f>IF(EXACT($B490, ""), "", IF((($B490 - MOD($B490, 1000000000000))/1000000000000)=25, CONCATENATE("Person - ", VLOOKUP($B490, [1]DataLookUp!$B$4:$C$2000, 2, FALSE)), IF((($B490 - MOD($B490, 1000000000000))/1000000000000)=124, CONCATENATE("Institution - ", VLOOKUP($B490, '[2]DataLookUp - InstitutionBranch'!$B$4:$C$2000, 2, FALSE)), "")))</f>
        <v>Institution - PT. Petromas Kencana (Ottoban Indonesia)</v>
      </c>
      <c r="D490" s="22">
        <v>223000000000002</v>
      </c>
      <c r="E490" s="4" t="str">
        <f>IF(EXACT($D490, ""), "", VLOOKUP($D490, 'REF - ContactNumberType'!$B$4:$C$10, 2, FALSE))</f>
        <v>Mobile Phone</v>
      </c>
      <c r="F490" s="26" t="s">
        <v>1496</v>
      </c>
      <c r="G490" s="9"/>
      <c r="H490" s="9" t="s">
        <v>1495</v>
      </c>
      <c r="J490" s="33">
        <f t="shared" si="15"/>
        <v>286000000000446</v>
      </c>
      <c r="K490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'+62 811-8755-330'::varchar, NULL::varchar, 'Admin Ottoban Warung Buncit'::varchar, '124000000000212'::bigint);</v>
      </c>
    </row>
    <row r="491" spans="2:11" x14ac:dyDescent="0.2">
      <c r="B491" s="22">
        <v>124000000000213</v>
      </c>
      <c r="C491" s="4" t="str">
        <f>IF(EXACT($B491, ""), "", IF((($B491 - MOD($B491, 1000000000000))/1000000000000)=25, CONCATENATE("Person - ", VLOOKUP($B491, [1]DataLookUp!$B$4:$C$2000, 2, FALSE)), IF((($B491 - MOD($B491, 1000000000000))/1000000000000)=124, CONCATENATE("Institution - ", VLOOKUP($B491, '[2]DataLookUp - InstitutionBranch'!$B$4:$C$2000, 2, FALSE)), "")))</f>
        <v>Institution - PT. Ponti Suri Group</v>
      </c>
      <c r="D491" s="22">
        <v>223000000000002</v>
      </c>
      <c r="E491" s="4" t="str">
        <f>IF(EXACT($D491, ""), "", VLOOKUP($D491, 'REF - ContactNumberType'!$B$4:$C$10, 2, FALSE))</f>
        <v>Mobile Phone</v>
      </c>
      <c r="F491" s="26" t="s">
        <v>1494</v>
      </c>
      <c r="G491" s="9"/>
      <c r="H491" s="9" t="s">
        <v>1031</v>
      </c>
      <c r="J491" s="33">
        <f t="shared" si="15"/>
        <v>286000000000447</v>
      </c>
      <c r="K491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'+62 811-5701-102'::varchar, NULL::varchar, 'Markom'::varchar, '124000000000213'::bigint);</v>
      </c>
    </row>
    <row r="492" spans="2:11" x14ac:dyDescent="0.2">
      <c r="B492" s="22">
        <v>124000000000213</v>
      </c>
      <c r="C492" s="4" t="str">
        <f>IF(EXACT($B492, ""), "", IF((($B492 - MOD($B492, 1000000000000))/1000000000000)=25, CONCATENATE("Person - ", VLOOKUP($B492, [1]DataLookUp!$B$4:$C$2000, 2, FALSE)), IF((($B492 - MOD($B492, 1000000000000))/1000000000000)=124, CONCATENATE("Institution - ", VLOOKUP($B492, '[2]DataLookUp - InstitutionBranch'!$B$4:$C$2000, 2, FALSE)), "")))</f>
        <v>Institution - PT. Ponti Suri Group</v>
      </c>
      <c r="D492" s="22">
        <v>223000000000004</v>
      </c>
      <c r="E492" s="4" t="str">
        <f>IF(EXACT($D492, ""), "", VLOOKUP($D492, 'REF - ContactNumberType'!$B$4:$C$10, 2, FALSE))</f>
        <v>Office Phone</v>
      </c>
      <c r="F492" s="26" t="s">
        <v>1720</v>
      </c>
      <c r="G492" s="9"/>
      <c r="H492" s="9" t="s">
        <v>1031</v>
      </c>
      <c r="J492" s="33">
        <f t="shared" si="15"/>
        <v>286000000000448</v>
      </c>
      <c r="K492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223000000000004::bigint, '+62 (053) 227-4840'::varchar, NULL::varchar, 'Markom'::varchar, '124000000000213'::bigint);</v>
      </c>
    </row>
    <row r="493" spans="2:11" x14ac:dyDescent="0.2">
      <c r="B493" s="22">
        <v>124000000000214</v>
      </c>
      <c r="C493" s="4" t="str">
        <f>IF(EXACT($B493, ""), "", IF((($B493 - MOD($B493, 1000000000000))/1000000000000)=25, CONCATENATE("Person - ", VLOOKUP($B493, [1]DataLookUp!$B$4:$C$2000, 2, FALSE)), IF((($B493 - MOD($B493, 1000000000000))/1000000000000)=124, CONCATENATE("Institution - ", VLOOKUP($B493, '[2]DataLookUp - InstitutionBranch'!$B$4:$C$2000, 2, FALSE)), "")))</f>
        <v>Institution - PT. Powerindo Prima Perkasa</v>
      </c>
      <c r="D493" s="22">
        <v>223000000000002</v>
      </c>
      <c r="E493" s="4" t="str">
        <f>IF(EXACT($D493, ""), "", VLOOKUP($D493, 'REF - ContactNumberType'!$B$4:$C$10, 2, FALSE))</f>
        <v>Mobile Phone</v>
      </c>
      <c r="F493" s="26" t="s">
        <v>1493</v>
      </c>
      <c r="G493" s="9"/>
      <c r="H493" s="9" t="s">
        <v>1032</v>
      </c>
      <c r="J493" s="33">
        <f t="shared" si="15"/>
        <v>286000000000449</v>
      </c>
      <c r="K493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'+62 815-1937-6974'::varchar, NULL::varchar, 'Adie'::varchar, '124000000000214'::bigint);</v>
      </c>
    </row>
    <row r="494" spans="2:11" x14ac:dyDescent="0.2">
      <c r="B494" s="22">
        <v>124000000000215</v>
      </c>
      <c r="C494" s="4" t="str">
        <f>IF(EXACT($B494, ""), "", IF((($B494 - MOD($B494, 1000000000000))/1000000000000)=25, CONCATENATE("Person - ", VLOOKUP($B494, [1]DataLookUp!$B$4:$C$2000, 2, FALSE)), IF((($B494 - MOD($B494, 1000000000000))/1000000000000)=124, CONCATENATE("Institution - ", VLOOKUP($B494, '[2]DataLookUp - InstitutionBranch'!$B$4:$C$2000, 2, FALSE)), "")))</f>
        <v>Institution - PT. Pratama Prima Bajatama</v>
      </c>
      <c r="D494" s="22">
        <v>223000000000002</v>
      </c>
      <c r="E494" s="4" t="str">
        <f>IF(EXACT($D494, ""), "", VLOOKUP($D494, 'REF - ContactNumberType'!$B$4:$C$10, 2, FALSE))</f>
        <v>Mobile Phone</v>
      </c>
      <c r="F494" s="26" t="s">
        <v>1492</v>
      </c>
      <c r="G494" s="9"/>
      <c r="H494" s="9"/>
      <c r="J494" s="33">
        <f t="shared" si="15"/>
        <v>286000000000450</v>
      </c>
      <c r="K494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'+62 822-1097-1880'::varchar, NULL::varchar, NULL::varchar, '124000000000215'::bigint);</v>
      </c>
    </row>
    <row r="495" spans="2:11" x14ac:dyDescent="0.2">
      <c r="B495" s="22">
        <v>124000000000216</v>
      </c>
      <c r="C495" s="4" t="str">
        <f>IF(EXACT($B495, ""), "", IF((($B495 - MOD($B495, 1000000000000))/1000000000000)=25, CONCATENATE("Person - ", VLOOKUP($B495, [1]DataLookUp!$B$4:$C$2000, 2, FALSE)), IF((($B495 - MOD($B495, 1000000000000))/1000000000000)=124, CONCATENATE("Institution - ", VLOOKUP($B495, '[2]DataLookUp - InstitutionBranch'!$B$4:$C$2000, 2, FALSE)), "")))</f>
        <v>Institution - PT. PRI Indonesia</v>
      </c>
      <c r="D495" s="22">
        <v>223000000000002</v>
      </c>
      <c r="E495" s="4" t="str">
        <f>IF(EXACT($D495, ""), "", VLOOKUP($D495, 'REF - ContactNumberType'!$B$4:$C$10, 2, FALSE))</f>
        <v>Mobile Phone</v>
      </c>
      <c r="F495" s="26" t="s">
        <v>919</v>
      </c>
      <c r="G495" s="9"/>
      <c r="H495" s="9" t="s">
        <v>1033</v>
      </c>
      <c r="J495" s="33">
        <f t="shared" si="15"/>
        <v>286000000000451</v>
      </c>
      <c r="K495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'+62 821-1470-9818'::varchar, NULL::varchar, 'Reza Demiral'::varchar, '124000000000216'::bigint);</v>
      </c>
    </row>
    <row r="496" spans="2:11" x14ac:dyDescent="0.2">
      <c r="B496" s="22">
        <v>124000000000217</v>
      </c>
      <c r="C496" s="4" t="str">
        <f>IF(EXACT($B496, ""), "", IF((($B496 - MOD($B496, 1000000000000))/1000000000000)=25, CONCATENATE("Person - ", VLOOKUP($B496, [1]DataLookUp!$B$4:$C$2000, 2, FALSE)), IF((($B496 - MOD($B496, 1000000000000))/1000000000000)=124, CONCATENATE("Institution - ", VLOOKUP($B496, '[2]DataLookUp - InstitutionBranch'!$B$4:$C$2000, 2, FALSE)), "")))</f>
        <v>Institution - PT. Prima Indah Lestari</v>
      </c>
      <c r="D496" s="22">
        <v>223000000000002</v>
      </c>
      <c r="E496" s="4" t="str">
        <f>IF(EXACT($D496, ""), "", VLOOKUP($D496, 'REF - ContactNumberType'!$B$4:$C$10, 2, FALSE))</f>
        <v>Mobile Phone</v>
      </c>
      <c r="F496" s="26" t="s">
        <v>1490</v>
      </c>
      <c r="G496" s="9"/>
      <c r="H496" s="9" t="s">
        <v>1034</v>
      </c>
      <c r="J496" s="33">
        <f t="shared" si="15"/>
        <v>286000000000452</v>
      </c>
      <c r="K496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'+62 812-8899-1180'::varchar, NULL::varchar, 'Ariawan Jatikusumo'::varchar, '124000000000217'::bigint);</v>
      </c>
    </row>
    <row r="497" spans="2:11" x14ac:dyDescent="0.2">
      <c r="B497" s="22">
        <v>124000000000217</v>
      </c>
      <c r="C497" s="4" t="str">
        <f>IF(EXACT($B497, ""), "", IF((($B497 - MOD($B497, 1000000000000))/1000000000000)=25, CONCATENATE("Person - ", VLOOKUP($B497, [1]DataLookUp!$B$4:$C$2000, 2, FALSE)), IF((($B497 - MOD($B497, 1000000000000))/1000000000000)=124, CONCATENATE("Institution - ", VLOOKUP($B497, '[2]DataLookUp - InstitutionBranch'!$B$4:$C$2000, 2, FALSE)), "")))</f>
        <v>Institution - PT. Prima Indah Lestari</v>
      </c>
      <c r="D497" s="22">
        <v>223000000000004</v>
      </c>
      <c r="E497" s="4" t="str">
        <f>IF(EXACT($D497, ""), "", VLOOKUP($D497, 'REF - ContactNumberType'!$B$4:$C$10, 2, FALSE))</f>
        <v>Office Phone</v>
      </c>
      <c r="F497" s="26" t="s">
        <v>1491</v>
      </c>
      <c r="G497" s="9"/>
      <c r="H497" s="9" t="s">
        <v>1034</v>
      </c>
      <c r="J497" s="33">
        <f t="shared" si="15"/>
        <v>286000000000453</v>
      </c>
      <c r="K497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555-0861'::varchar, NULL::varchar, 'Ariawan Jatikusumo'::varchar, '124000000000217'::bigint);</v>
      </c>
    </row>
    <row r="498" spans="2:11" x14ac:dyDescent="0.2">
      <c r="B498" s="22">
        <v>124000000000218</v>
      </c>
      <c r="C498" s="4" t="str">
        <f>IF(EXACT($B498, ""), "", IF((($B498 - MOD($B498, 1000000000000))/1000000000000)=25, CONCATENATE("Person - ", VLOOKUP($B498, [1]DataLookUp!$B$4:$C$2000, 2, FALSE)), IF((($B498 - MOD($B498, 1000000000000))/1000000000000)=124, CONCATENATE("Institution - ", VLOOKUP($B498, '[2]DataLookUp - InstitutionBranch'!$B$4:$C$2000, 2, FALSE)), "")))</f>
        <v xml:space="preserve">Institution - PT. Prima Mitra Elektrindo </v>
      </c>
      <c r="D498" s="22">
        <v>223000000000004</v>
      </c>
      <c r="E498" s="4" t="str">
        <f>IF(EXACT($D498, ""), "", VLOOKUP($D498, 'REF - ContactNumberType'!$B$4:$C$10, 2, FALSE))</f>
        <v>Office Phone</v>
      </c>
      <c r="F498" s="26" t="s">
        <v>1488</v>
      </c>
      <c r="G498" s="9"/>
      <c r="H498" s="9" t="s">
        <v>987</v>
      </c>
      <c r="J498" s="33">
        <f t="shared" si="15"/>
        <v>286000000000454</v>
      </c>
      <c r="K498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228-531-37'::varchar, NULL::varchar, 'Dewi'::varchar, '124000000000218'::bigint);</v>
      </c>
    </row>
    <row r="499" spans="2:11" x14ac:dyDescent="0.2">
      <c r="B499" s="22">
        <v>124000000000219</v>
      </c>
      <c r="C499" s="4" t="str">
        <f>IF(EXACT($B499, ""), "", IF((($B499 - MOD($B499, 1000000000000))/1000000000000)=25, CONCATENATE("Person - ", VLOOKUP($B499, [1]DataLookUp!$B$4:$C$2000, 2, FALSE)), IF((($B499 - MOD($B499, 1000000000000))/1000000000000)=124, CONCATENATE("Institution - ", VLOOKUP($B499, '[2]DataLookUp - InstitutionBranch'!$B$4:$C$2000, 2, FALSE)), "")))</f>
        <v>Institution - PT. Primatech Jaya Abadi</v>
      </c>
      <c r="D499" s="22">
        <v>223000000000002</v>
      </c>
      <c r="E499" s="4" t="str">
        <f>IF(EXACT($D499, ""), "", VLOOKUP($D499, 'REF - ContactNumberType'!$B$4:$C$10, 2, FALSE))</f>
        <v>Mobile Phone</v>
      </c>
      <c r="F499" s="26" t="s">
        <v>1272</v>
      </c>
      <c r="G499" s="9"/>
      <c r="H499" s="9" t="s">
        <v>1035</v>
      </c>
      <c r="J499" s="33">
        <f t="shared" si="15"/>
        <v>286000000000455</v>
      </c>
      <c r="K499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'+62 812-9828-0909'::varchar, NULL::varchar, 'Honorius'::varchar, '124000000000219'::bigint);</v>
      </c>
    </row>
    <row r="500" spans="2:11" x14ac:dyDescent="0.2">
      <c r="B500" s="22">
        <v>124000000000219</v>
      </c>
      <c r="C500" s="4" t="str">
        <f>IF(EXACT($B500, ""), "", IF((($B500 - MOD($B500, 1000000000000))/1000000000000)=25, CONCATENATE("Person - ", VLOOKUP($B500, [1]DataLookUp!$B$4:$C$2000, 2, FALSE)), IF((($B500 - MOD($B500, 1000000000000))/1000000000000)=124, CONCATENATE("Institution - ", VLOOKUP($B500, '[2]DataLookUp - InstitutionBranch'!$B$4:$C$2000, 2, FALSE)), "")))</f>
        <v>Institution - PT. Primatech Jaya Abadi</v>
      </c>
      <c r="D500" s="22">
        <v>223000000000002</v>
      </c>
      <c r="E500" s="4" t="str">
        <f>IF(EXACT($D500, ""), "", VLOOKUP($D500, 'REF - ContactNumberType'!$B$4:$C$10, 2, FALSE))</f>
        <v>Mobile Phone</v>
      </c>
      <c r="F500" s="26" t="s">
        <v>1487</v>
      </c>
      <c r="G500" s="9"/>
      <c r="H500" s="9" t="s">
        <v>1035</v>
      </c>
      <c r="J500" s="33">
        <f t="shared" si="15"/>
        <v>286000000000456</v>
      </c>
      <c r="K500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'+62 811-1167-898'::varchar, NULL::varchar, 'Honorius'::varchar, '124000000000219'::bigint);</v>
      </c>
    </row>
    <row r="501" spans="2:11" x14ac:dyDescent="0.2">
      <c r="B501" s="22">
        <v>124000000000219</v>
      </c>
      <c r="C501" s="4" t="str">
        <f>IF(EXACT($B501, ""), "", IF((($B501 - MOD($B501, 1000000000000))/1000000000000)=25, CONCATENATE("Person - ", VLOOKUP($B501, [1]DataLookUp!$B$4:$C$2000, 2, FALSE)), IF((($B501 - MOD($B501, 1000000000000))/1000000000000)=124, CONCATENATE("Institution - ", VLOOKUP($B501, '[2]DataLookUp - InstitutionBranch'!$B$4:$C$2000, 2, FALSE)), "")))</f>
        <v>Institution - PT. Primatech Jaya Abadi</v>
      </c>
      <c r="D501" s="22">
        <v>223000000000005</v>
      </c>
      <c r="E501" s="4" t="str">
        <f>IF(EXACT($D501, ""), "", VLOOKUP($D501, 'REF - ContactNumberType'!$B$4:$C$10, 2, FALSE))</f>
        <v>Faximile</v>
      </c>
      <c r="F501" s="26" t="s">
        <v>1489</v>
      </c>
      <c r="G501" s="9"/>
      <c r="H501" s="9" t="s">
        <v>1035</v>
      </c>
      <c r="J501" s="33">
        <f t="shared" si="15"/>
        <v>286000000000457</v>
      </c>
      <c r="K501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228-531-39'::varchar, NULL::varchar, 'Honorius'::varchar, '124000000000219'::bigint);</v>
      </c>
    </row>
    <row r="502" spans="2:11" x14ac:dyDescent="0.2">
      <c r="B502" s="22">
        <v>124000000000221</v>
      </c>
      <c r="C502" s="4" t="str">
        <f>IF(EXACT($B502, ""), "", IF((($B502 - MOD($B502, 1000000000000))/1000000000000)=25, CONCATENATE("Person - ", VLOOKUP($B502, [1]DataLookUp!$B$4:$C$2000, 2, FALSE)), IF((($B502 - MOD($B502, 1000000000000))/1000000000000)=124, CONCATENATE("Institution - ", VLOOKUP($B502, '[2]DataLookUp - InstitutionBranch'!$B$4:$C$2000, 2, FALSE)), "")))</f>
        <v>Institution - PT. Putraguna Jayamulia</v>
      </c>
      <c r="D502" s="22">
        <v>223000000000002</v>
      </c>
      <c r="E502" s="4" t="str">
        <f>IF(EXACT($D502, ""), "", VLOOKUP($D502, 'REF - ContactNumberType'!$B$4:$C$10, 2, FALSE))</f>
        <v>Mobile Phone</v>
      </c>
      <c r="F502" s="26" t="s">
        <v>1485</v>
      </c>
      <c r="G502" s="9"/>
      <c r="H502" s="9" t="s">
        <v>1036</v>
      </c>
      <c r="J502" s="33">
        <f t="shared" si="15"/>
        <v>286000000000458</v>
      </c>
      <c r="K502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'+62 822-8707-4561'::varchar, NULL::varchar, 'Yatno'::varchar, '124000000000221'::bigint);</v>
      </c>
    </row>
    <row r="503" spans="2:11" x14ac:dyDescent="0.2">
      <c r="B503" s="22">
        <v>124000000000221</v>
      </c>
      <c r="C503" s="4" t="str">
        <f>IF(EXACT($B503, ""), "", IF((($B503 - MOD($B503, 1000000000000))/1000000000000)=25, CONCATENATE("Person - ", VLOOKUP($B503, [1]DataLookUp!$B$4:$C$2000, 2, FALSE)), IF((($B503 - MOD($B503, 1000000000000))/1000000000000)=124, CONCATENATE("Institution - ", VLOOKUP($B503, '[2]DataLookUp - InstitutionBranch'!$B$4:$C$2000, 2, FALSE)), "")))</f>
        <v>Institution - PT. Putraguna Jayamulia</v>
      </c>
      <c r="D503" s="22">
        <v>223000000000004</v>
      </c>
      <c r="E503" s="4" t="str">
        <f>IF(EXACT($D503, ""), "", VLOOKUP($D503, 'REF - ContactNumberType'!$B$4:$C$10, 2, FALSE))</f>
        <v>Office Phone</v>
      </c>
      <c r="F503" s="26" t="s">
        <v>1486</v>
      </c>
      <c r="G503" s="9"/>
      <c r="H503" s="9" t="s">
        <v>1036</v>
      </c>
      <c r="J503" s="33">
        <f t="shared" si="15"/>
        <v>286000000000459</v>
      </c>
      <c r="K503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223000000000004::bigint, '+62 (031) 749-7330'::varchar, NULL::varchar, 'Yatno'::varchar, '124000000000221'::bigint);</v>
      </c>
    </row>
    <row r="504" spans="2:11" x14ac:dyDescent="0.2">
      <c r="B504" s="22">
        <v>124000000000222</v>
      </c>
      <c r="C504" s="4" t="str">
        <f>IF(EXACT($B504, ""), "", IF((($B504 - MOD($B504, 1000000000000))/1000000000000)=25, CONCATENATE("Person - ", VLOOKUP($B504, [1]DataLookUp!$B$4:$C$2000, 2, FALSE)), IF((($B504 - MOD($B504, 1000000000000))/1000000000000)=124, CONCATENATE("Institution - ", VLOOKUP($B504, '[2]DataLookUp - InstitutionBranch'!$B$4:$C$2000, 2, FALSE)), "")))</f>
        <v>Institution - PT. Putratel Andalan Sukses</v>
      </c>
      <c r="D504" s="22">
        <v>223000000000002</v>
      </c>
      <c r="E504" s="4" t="str">
        <f>IF(EXACT($D504, ""), "", VLOOKUP($D504, 'REF - ContactNumberType'!$B$4:$C$10, 2, FALSE))</f>
        <v>Mobile Phone</v>
      </c>
      <c r="F504" s="26" t="s">
        <v>920</v>
      </c>
      <c r="G504" s="9"/>
      <c r="H504" s="9" t="s">
        <v>1037</v>
      </c>
      <c r="J504" s="33">
        <f t="shared" si="15"/>
        <v>286000000000460</v>
      </c>
      <c r="K504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'+62 811-977-381'::varchar, NULL::varchar, 'Chayadi Subrata'::varchar, '124000000000222'::bigint);</v>
      </c>
    </row>
    <row r="505" spans="2:11" x14ac:dyDescent="0.2">
      <c r="B505" s="22">
        <v>124000000000224</v>
      </c>
      <c r="C505" s="4" t="str">
        <f>IF(EXACT($B505, ""), "", IF((($B505 - MOD($B505, 1000000000000))/1000000000000)=25, CONCATENATE("Person - ", VLOOKUP($B505, [1]DataLookUp!$B$4:$C$2000, 2, FALSE)), IF((($B505 - MOD($B505, 1000000000000))/1000000000000)=124, CONCATENATE("Institution - ", VLOOKUP($B505, '[2]DataLookUp - InstitutionBranch'!$B$4:$C$2000, 2, FALSE)), "")))</f>
        <v>Institution - PT. Raj Prima</v>
      </c>
      <c r="D505" s="22">
        <v>223000000000004</v>
      </c>
      <c r="E505" s="4" t="str">
        <f>IF(EXACT($D505, ""), "", VLOOKUP($D505, 'REF - ContactNumberType'!$B$4:$C$10, 2, FALSE))</f>
        <v>Office Phone</v>
      </c>
      <c r="F505" s="26" t="s">
        <v>1484</v>
      </c>
      <c r="G505" s="9"/>
      <c r="H505" s="9" t="s">
        <v>1038</v>
      </c>
      <c r="J505" s="33">
        <f t="shared" si="15"/>
        <v>286000000000461</v>
      </c>
      <c r="K505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222-350-00'::varchar, NULL::varchar, 'Nugroho Wisnu'::varchar, '124000000000224'::bigint);</v>
      </c>
    </row>
    <row r="506" spans="2:11" x14ac:dyDescent="0.2">
      <c r="B506" s="22">
        <v>124000000000225</v>
      </c>
      <c r="C506" s="4" t="str">
        <f>IF(EXACT($B506, ""), "", IF((($B506 - MOD($B506, 1000000000000))/1000000000000)=25, CONCATENATE("Person - ", VLOOKUP($B506, [1]DataLookUp!$B$4:$C$2000, 2, FALSE)), IF((($B506 - MOD($B506, 1000000000000))/1000000000000)=124, CONCATENATE("Institution - ", VLOOKUP($B506, '[2]DataLookUp - InstitutionBranch'!$B$4:$C$2000, 2, FALSE)), "")))</f>
        <v>Institution - PT. Rangka Raya</v>
      </c>
      <c r="D506" s="22">
        <v>223000000000002</v>
      </c>
      <c r="E506" s="4" t="str">
        <f>IF(EXACT($D506, ""), "", VLOOKUP($D506, 'REF - ContactNumberType'!$B$4:$C$10, 2, FALSE))</f>
        <v>Mobile Phone</v>
      </c>
      <c r="F506" s="26" t="s">
        <v>1482</v>
      </c>
      <c r="G506" s="9"/>
      <c r="H506" s="9" t="s">
        <v>987</v>
      </c>
      <c r="J506" s="33">
        <f t="shared" si="15"/>
        <v>286000000000462</v>
      </c>
      <c r="K506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'+62 811-3115-1888'::varchar, NULL::varchar, 'Dewi'::varchar, '124000000000225'::bigint);</v>
      </c>
    </row>
    <row r="507" spans="2:11" x14ac:dyDescent="0.2">
      <c r="B507" s="22">
        <v>124000000000225</v>
      </c>
      <c r="C507" s="4" t="str">
        <f>IF(EXACT($B507, ""), "", IF((($B507 - MOD($B507, 1000000000000))/1000000000000)=25, CONCATENATE("Person - ", VLOOKUP($B507, [1]DataLookUp!$B$4:$C$2000, 2, FALSE)), IF((($B507 - MOD($B507, 1000000000000))/1000000000000)=124, CONCATENATE("Institution - ", VLOOKUP($B507, '[2]DataLookUp - InstitutionBranch'!$B$4:$C$2000, 2, FALSE)), "")))</f>
        <v>Institution - PT. Rangka Raya</v>
      </c>
      <c r="D507" s="22">
        <v>223000000000002</v>
      </c>
      <c r="E507" s="4" t="str">
        <f>IF(EXACT($D507, ""), "", VLOOKUP($D507, 'REF - ContactNumberType'!$B$4:$C$10, 2, FALSE))</f>
        <v>Mobile Phone</v>
      </c>
      <c r="F507" s="26" t="s">
        <v>1483</v>
      </c>
      <c r="G507" s="9"/>
      <c r="H507" s="9" t="s">
        <v>987</v>
      </c>
      <c r="J507" s="33">
        <f t="shared" si="15"/>
        <v>286000000000463</v>
      </c>
      <c r="K507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'+62 813-3267-6091 '::varchar, NULL::varchar, 'Dewi'::varchar, '124000000000225'::bigint);</v>
      </c>
    </row>
    <row r="508" spans="2:11" x14ac:dyDescent="0.2">
      <c r="B508" s="22">
        <v>124000000000226</v>
      </c>
      <c r="C508" s="4" t="str">
        <f>IF(EXACT($B508, ""), "", IF((($B508 - MOD($B508, 1000000000000))/1000000000000)=25, CONCATENATE("Person - ", VLOOKUP($B508, [1]DataLookUp!$B$4:$C$2000, 2, FALSE)), IF((($B508 - MOD($B508, 1000000000000))/1000000000000)=124, CONCATENATE("Institution - ", VLOOKUP($B508, '[2]DataLookUp - InstitutionBranch'!$B$4:$C$2000, 2, FALSE)), "")))</f>
        <v>Institution - PT. Riau Crane Perkasa</v>
      </c>
      <c r="D508" s="22">
        <v>223000000000002</v>
      </c>
      <c r="E508" s="4" t="str">
        <f>IF(EXACT($D508, ""), "", VLOOKUP($D508, 'REF - ContactNumberType'!$B$4:$C$10, 2, FALSE))</f>
        <v>Mobile Phone</v>
      </c>
      <c r="F508" s="26" t="s">
        <v>1481</v>
      </c>
      <c r="G508" s="9"/>
      <c r="H508" s="9" t="s">
        <v>1039</v>
      </c>
      <c r="J508" s="33">
        <f t="shared" si="15"/>
        <v>286000000000464</v>
      </c>
      <c r="K508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'+62 812-7773-2510'::varchar, NULL::varchar, 'Budi'::varchar, '124000000000226'::bigint);</v>
      </c>
    </row>
    <row r="509" spans="2:11" x14ac:dyDescent="0.2">
      <c r="B509" s="22">
        <v>124000000000226</v>
      </c>
      <c r="C509" s="4" t="str">
        <f>IF(EXACT($B509, ""), "", IF((($B509 - MOD($B509, 1000000000000))/1000000000000)=25, CONCATENATE("Person - ", VLOOKUP($B509, [1]DataLookUp!$B$4:$C$2000, 2, FALSE)), IF((($B509 - MOD($B509, 1000000000000))/1000000000000)=124, CONCATENATE("Institution - ", VLOOKUP($B509, '[2]DataLookUp - InstitutionBranch'!$B$4:$C$2000, 2, FALSE)), "")))</f>
        <v>Institution - PT. Riau Crane Perkasa</v>
      </c>
      <c r="D509" s="22">
        <v>223000000000002</v>
      </c>
      <c r="E509" s="4" t="str">
        <f>IF(EXACT($D509, ""), "", VLOOKUP($D509, 'REF - ContactNumberType'!$B$4:$C$10, 2, FALSE))</f>
        <v>Mobile Phone</v>
      </c>
      <c r="F509" s="26" t="s">
        <v>1480</v>
      </c>
      <c r="G509" s="9"/>
      <c r="H509" s="9" t="s">
        <v>1039</v>
      </c>
      <c r="J509" s="33">
        <f t="shared" si="15"/>
        <v>286000000000465</v>
      </c>
      <c r="K509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'+62 812-6804-676'::varchar, NULL::varchar, 'Budi'::varchar, '124000000000226'::bigint);</v>
      </c>
    </row>
    <row r="510" spans="2:11" x14ac:dyDescent="0.2">
      <c r="B510" s="22">
        <v>124000000000227</v>
      </c>
      <c r="C510" s="4" t="str">
        <f>IF(EXACT($B510, ""), "", IF((($B510 - MOD($B510, 1000000000000))/1000000000000)=25, CONCATENATE("Person - ", VLOOKUP($B510, [1]DataLookUp!$B$4:$C$2000, 2, FALSE)), IF((($B510 - MOD($B510, 1000000000000))/1000000000000)=124, CONCATENATE("Institution - ", VLOOKUP($B510, '[2]DataLookUp - InstitutionBranch'!$B$4:$C$2000, 2, FALSE)), "")))</f>
        <v>Institution - PT. Royal Madani Persada</v>
      </c>
      <c r="D510" s="22">
        <v>223000000000002</v>
      </c>
      <c r="E510" s="4" t="str">
        <f>IF(EXACT($D510, ""), "", VLOOKUP($D510, 'REF - ContactNumberType'!$B$4:$C$10, 2, FALSE))</f>
        <v>Mobile Phone</v>
      </c>
      <c r="F510" s="26" t="s">
        <v>921</v>
      </c>
      <c r="G510" s="9"/>
      <c r="H510" s="9" t="s">
        <v>1040</v>
      </c>
      <c r="J510" s="33">
        <f t="shared" si="15"/>
        <v>286000000000466</v>
      </c>
      <c r="K510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'+62 811-1350-4001'::varchar, NULL::varchar, 'Insan Kurniawan'::varchar, '124000000000227'::bigint);</v>
      </c>
    </row>
    <row r="511" spans="2:11" x14ac:dyDescent="0.2">
      <c r="B511" s="22">
        <v>124000000000228</v>
      </c>
      <c r="C511" s="4" t="str">
        <f>IF(EXACT($B511, ""), "", IF((($B511 - MOD($B511, 1000000000000))/1000000000000)=25, CONCATENATE("Person - ", VLOOKUP($B511, [1]DataLookUp!$B$4:$C$2000, 2, FALSE)), IF((($B511 - MOD($B511, 1000000000000))/1000000000000)=124, CONCATENATE("Institution - ", VLOOKUP($B511, '[2]DataLookUp - InstitutionBranch'!$B$4:$C$2000, 2, FALSE)), "")))</f>
        <v>Institution - PT. Salaeurih Muda Perkasa</v>
      </c>
      <c r="D511" s="22">
        <v>223000000000002</v>
      </c>
      <c r="E511" s="4" t="str">
        <f>IF(EXACT($D511, ""), "", VLOOKUP($D511, 'REF - ContactNumberType'!$B$4:$C$10, 2, FALSE))</f>
        <v>Mobile Phone</v>
      </c>
      <c r="F511" s="26" t="s">
        <v>1477</v>
      </c>
      <c r="G511" s="9"/>
      <c r="H511" s="9" t="s">
        <v>1041</v>
      </c>
      <c r="J511" s="33">
        <f t="shared" si="15"/>
        <v>286000000000467</v>
      </c>
      <c r="K511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'+62 812-1381-9639'::varchar, NULL::varchar, 'Dian'::varchar, '124000000000228'::bigint);</v>
      </c>
    </row>
    <row r="512" spans="2:11" x14ac:dyDescent="0.2">
      <c r="B512" s="22">
        <v>124000000000229</v>
      </c>
      <c r="C512" s="4" t="str">
        <f>IF(EXACT($B512, ""), "", IF((($B512 - MOD($B512, 1000000000000))/1000000000000)=25, CONCATENATE("Person - ", VLOOKUP($B512, [1]DataLookUp!$B$4:$C$2000, 2, FALSE)), IF((($B512 - MOD($B512, 1000000000000))/1000000000000)=124, CONCATENATE("Institution - ", VLOOKUP($B512, '[2]DataLookUp - InstitutionBranch'!$B$4:$C$2000, 2, FALSE)), "")))</f>
        <v>Institution - PT. Salam Pacific Indonesia Lines</v>
      </c>
      <c r="D512" s="22">
        <v>223000000000002</v>
      </c>
      <c r="E512" s="4" t="str">
        <f>IF(EXACT($D512, ""), "", VLOOKUP($D512, 'REF - ContactNumberType'!$B$4:$C$10, 2, FALSE))</f>
        <v>Mobile Phone</v>
      </c>
      <c r="F512" s="26" t="s">
        <v>1476</v>
      </c>
      <c r="G512" s="9"/>
      <c r="H512" s="9"/>
      <c r="J512" s="33">
        <f t="shared" si="15"/>
        <v>286000000000468</v>
      </c>
      <c r="K512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'+62 811-333-799'::varchar, NULL::varchar, NULL::varchar, '124000000000229'::bigint);</v>
      </c>
    </row>
    <row r="513" spans="2:11" x14ac:dyDescent="0.2">
      <c r="B513" s="22">
        <v>124000000000230</v>
      </c>
      <c r="C513" s="4" t="str">
        <f>IF(EXACT($B513, ""), "", IF((($B513 - MOD($B513, 1000000000000))/1000000000000)=25, CONCATENATE("Person - ", VLOOKUP($B513, [1]DataLookUp!$B$4:$C$2000, 2, FALSE)), IF((($B513 - MOD($B513, 1000000000000))/1000000000000)=124, CONCATENATE("Institution - ", VLOOKUP($B513, '[2]DataLookUp - InstitutionBranch'!$B$4:$C$2000, 2, FALSE)), "")))</f>
        <v>Institution - PT. Schneider Indonesia</v>
      </c>
      <c r="D513" s="22">
        <v>223000000000002</v>
      </c>
      <c r="E513" s="4" t="str">
        <f>IF(EXACT($D513, ""), "", VLOOKUP($D513, 'REF - ContactNumberType'!$B$4:$C$10, 2, FALSE))</f>
        <v>Mobile Phone</v>
      </c>
      <c r="F513" s="26" t="s">
        <v>1474</v>
      </c>
      <c r="G513" s="9"/>
      <c r="H513" s="9" t="s">
        <v>1478</v>
      </c>
      <c r="J513" s="33">
        <f t="shared" si="15"/>
        <v>286000000000469</v>
      </c>
      <c r="K513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'+62 812-8496-2128'::varchar, NULL::varchar, 'Chodrin Butarbutar'::varchar, '124000000000230'::bigint);</v>
      </c>
    </row>
    <row r="514" spans="2:11" x14ac:dyDescent="0.2">
      <c r="B514" s="22">
        <v>124000000000230</v>
      </c>
      <c r="C514" s="4" t="str">
        <f>IF(EXACT($B514, ""), "", IF((($B514 - MOD($B514, 1000000000000))/1000000000000)=25, CONCATENATE("Person - ", VLOOKUP($B514, [1]DataLookUp!$B$4:$C$2000, 2, FALSE)), IF((($B514 - MOD($B514, 1000000000000))/1000000000000)=124, CONCATENATE("Institution - ", VLOOKUP($B514, '[2]DataLookUp - InstitutionBranch'!$B$4:$C$2000, 2, FALSE)), "")))</f>
        <v>Institution - PT. Schneider Indonesia</v>
      </c>
      <c r="D514" s="22">
        <v>223000000000004</v>
      </c>
      <c r="E514" s="4" t="str">
        <f>IF(EXACT($D514, ""), "", VLOOKUP($D514, 'REF - ContactNumberType'!$B$4:$C$10, 2, FALSE))</f>
        <v>Office Phone</v>
      </c>
      <c r="F514" s="26" t="s">
        <v>1475</v>
      </c>
      <c r="G514" s="9"/>
      <c r="H514" s="9" t="s">
        <v>1478</v>
      </c>
      <c r="J514" s="33">
        <f t="shared" si="15"/>
        <v>286000000000470</v>
      </c>
      <c r="K514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750-4406'::varchar, NULL::varchar, 'Chodrin Butarbutar'::varchar, '124000000000230'::bigint);</v>
      </c>
    </row>
    <row r="515" spans="2:11" x14ac:dyDescent="0.2">
      <c r="B515" s="22">
        <v>124000000000230</v>
      </c>
      <c r="C515" s="4" t="str">
        <f>IF(EXACT($B515, ""), "", IF((($B515 - MOD($B515, 1000000000000))/1000000000000)=25, CONCATENATE("Person - ", VLOOKUP($B515, [1]DataLookUp!$B$4:$C$2000, 2, FALSE)), IF((($B515 - MOD($B515, 1000000000000))/1000000000000)=124, CONCATENATE("Institution - ", VLOOKUP($B515, '[2]DataLookUp - InstitutionBranch'!$B$4:$C$2000, 2, FALSE)), "")))</f>
        <v>Institution - PT. Schneider Indonesia</v>
      </c>
      <c r="D515" s="22">
        <v>223000000000005</v>
      </c>
      <c r="E515" s="4" t="str">
        <f>IF(EXACT($D515, ""), "", VLOOKUP($D515, 'REF - ContactNumberType'!$B$4:$C$10, 2, FALSE))</f>
        <v>Faximile</v>
      </c>
      <c r="F515" s="26" t="s">
        <v>1703</v>
      </c>
      <c r="G515" s="9"/>
      <c r="H515" s="9" t="s">
        <v>1478</v>
      </c>
      <c r="J515" s="33">
        <f t="shared" si="15"/>
        <v>286000000000471</v>
      </c>
      <c r="K515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750-4415'::varchar, NULL::varchar, 'Chodrin Butarbutar'::varchar, '124000000000230'::bigint);</v>
      </c>
    </row>
    <row r="516" spans="2:11" x14ac:dyDescent="0.2">
      <c r="B516" s="22">
        <v>124000000000230</v>
      </c>
      <c r="C516" s="4" t="str">
        <f>IF(EXACT($B516, ""), "", IF((($B516 - MOD($B516, 1000000000000))/1000000000000)=25, CONCATENATE("Person - ", VLOOKUP($B516, [1]DataLookUp!$B$4:$C$2000, 2, FALSE)), IF((($B516 - MOD($B516, 1000000000000))/1000000000000)=124, CONCATENATE("Institution - ", VLOOKUP($B516, '[2]DataLookUp - InstitutionBranch'!$B$4:$C$2000, 2, FALSE)), "")))</f>
        <v>Institution - PT. Schneider Indonesia</v>
      </c>
      <c r="D516" s="22">
        <v>223000000000005</v>
      </c>
      <c r="E516" s="4" t="str">
        <f>IF(EXACT($D516, ""), "", VLOOKUP($D516, 'REF - ContactNumberType'!$B$4:$C$10, 2, FALSE))</f>
        <v>Faximile</v>
      </c>
      <c r="F516" s="26" t="s">
        <v>1702</v>
      </c>
      <c r="G516" s="9"/>
      <c r="H516" s="9" t="s">
        <v>1478</v>
      </c>
      <c r="J516" s="33">
        <f t="shared" si="15"/>
        <v>286000000000472</v>
      </c>
      <c r="K516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750-4416'::varchar, NULL::varchar, 'Chodrin Butarbutar'::varchar, '124000000000230'::bigint);</v>
      </c>
    </row>
    <row r="517" spans="2:11" x14ac:dyDescent="0.2">
      <c r="B517" s="22">
        <v>124000000000231</v>
      </c>
      <c r="C517" s="4" t="str">
        <f>IF(EXACT($B517, ""), "", IF((($B517 - MOD($B517, 1000000000000))/1000000000000)=25, CONCATENATE("Person - ", VLOOKUP($B517, [1]DataLookUp!$B$4:$C$2000, 2, FALSE)), IF((($B517 - MOD($B517, 1000000000000))/1000000000000)=124, CONCATENATE("Institution - ", VLOOKUP($B517, '[2]DataLookUp - InstitutionBranch'!$B$4:$C$2000, 2, FALSE)), "")))</f>
        <v>Institution - PT. Sentosa Prima Mandiri</v>
      </c>
      <c r="D517" s="22">
        <v>223000000000002</v>
      </c>
      <c r="E517" s="4" t="str">
        <f>IF(EXACT($D517, ""), "", VLOOKUP($D517, 'REF - ContactNumberType'!$B$4:$C$10, 2, FALSE))</f>
        <v>Mobile Phone</v>
      </c>
      <c r="F517" s="26" t="s">
        <v>1473</v>
      </c>
      <c r="G517" s="9"/>
      <c r="H517" s="9" t="s">
        <v>1479</v>
      </c>
      <c r="J517" s="33">
        <f t="shared" si="15"/>
        <v>286000000000473</v>
      </c>
      <c r="K517" s="34" t="str">
        <f t="shared" si="16"/>
        <v>PERFORM "SchData-OLTP-Master"."Func_TblContactNumber_SET"(varSystemLoginSession::bigint, null::bigint, null::varchar, null::timestamptz, null::timestamptz, null::varchar, varInstitutionBranchID::bigint, varBaseCurrencyID::bigint, 223000000000002::bigint, '+62 821-2351-0899'::varchar, NULL::varchar, 'Andri / Novi Indri'::varchar, '124000000000231'::bigint);</v>
      </c>
    </row>
    <row r="518" spans="2:11" x14ac:dyDescent="0.2">
      <c r="B518" s="22">
        <v>124000000000232</v>
      </c>
      <c r="C518" s="4" t="str">
        <f>IF(EXACT($B518, ""), "", IF((($B518 - MOD($B518, 1000000000000))/1000000000000)=25, CONCATENATE("Person - ", VLOOKUP($B518, [1]DataLookUp!$B$4:$C$2000, 2, FALSE)), IF((($B518 - MOD($B518, 1000000000000))/1000000000000)=124, CONCATENATE("Institution - ", VLOOKUP($B518, '[2]DataLookUp - InstitutionBranch'!$B$4:$C$2000, 2, FALSE)), "")))</f>
        <v xml:space="preserve">Institution - PT. Siemens Indonesia </v>
      </c>
      <c r="D518" s="22">
        <v>223000000000004</v>
      </c>
      <c r="E518" s="4" t="str">
        <f>IF(EXACT($D518, ""), "", VLOOKUP($D518, 'REF - ContactNumberType'!$B$4:$C$10, 2, FALSE))</f>
        <v>Office Phone</v>
      </c>
      <c r="F518" s="26" t="s">
        <v>1471</v>
      </c>
      <c r="G518" s="9"/>
      <c r="H518" s="9" t="s">
        <v>1472</v>
      </c>
      <c r="J518" s="33">
        <f t="shared" ref="J518:J581" si="17" xml:space="preserve"> J517 + IF(EXACT(K518, ""), 0, 1)</f>
        <v>286000000000474</v>
      </c>
      <c r="K518" s="34" t="str">
        <f t="shared" ref="K518:K581" si="18">IF(EXACT(F518, ""), "", CONCATENATE("PERFORM ""SchData-OLTP-Master"".""Func_TblContactNumber_SET""(varSystemLoginSession::bigint, null::bigint, null::varchar, null::timestamptz, null::timestamptz, null::varchar, varInstitutionBranchID::bigint, varBaseCurrencyID::bigint, ", IF(EXACT($D518, ""), "NULL", ""&amp;$D518&amp;""), "::bigint, ", IF(EXACT($F518, ""), "NULL", "'"&amp;$F518&amp;"'"), "::varchar, ", IF(EXACT($G518, ""), "NULL", "'"&amp;$G518&amp;"'"), "::varchar, ", IF(EXACT($H518, ""), "NULL", "'"&amp;$H518&amp;"'"), "::varchar, ", IF(EXACT($B518, ""), "NULL", "'"&amp;$B518&amp;"'"), "::bigint);"))</f>
        <v>PERFORM "SchData-OLTP-Master"."Func_TblContactNumber_SET"(varSystemLoginSession::bigint, null::bigint, null::varchar, null::timestamptz, null::timestamptz, null::varchar, varInstitutionBranchID::bigint, varBaseCurrencyID::bigint, 223000000000004::bigint, '+62 (021) 245-551-00'::varchar, NULL::varchar, 'Martinus Lase'::varchar, '124000000000232'::bigint);</v>
      </c>
    </row>
    <row r="519" spans="2:11" x14ac:dyDescent="0.2">
      <c r="B519" s="22">
        <v>124000000000232</v>
      </c>
      <c r="C519" s="4" t="str">
        <f>IF(EXACT($B519, ""), "", IF((($B519 - MOD($B519, 1000000000000))/1000000000000)=25, CONCATENATE("Person - ", VLOOKUP($B519, [1]DataLookUp!$B$4:$C$2000, 2, FALSE)), IF((($B519 - MOD($B519, 1000000000000))/1000000000000)=124, CONCATENATE("Institution - ", VLOOKUP($B519, '[2]DataLookUp - InstitutionBranch'!$B$4:$C$2000, 2, FALSE)), "")))</f>
        <v xml:space="preserve">Institution - PT. Siemens Indonesia </v>
      </c>
      <c r="D519" s="22">
        <v>223000000000005</v>
      </c>
      <c r="E519" s="4" t="str">
        <f>IF(EXACT($D519, ""), "", VLOOKUP($D519, 'REF - ContactNumberType'!$B$4:$C$10, 2, FALSE))</f>
        <v>Faximile</v>
      </c>
      <c r="F519" s="26" t="s">
        <v>1470</v>
      </c>
      <c r="G519" s="9"/>
      <c r="H519" s="9" t="s">
        <v>1472</v>
      </c>
      <c r="J519" s="33">
        <f t="shared" si="17"/>
        <v>286000000000475</v>
      </c>
      <c r="K519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245-552-44'::varchar, NULL::varchar, 'Martinus Lase'::varchar, '124000000000232'::bigint);</v>
      </c>
    </row>
    <row r="520" spans="2:11" x14ac:dyDescent="0.2">
      <c r="B520" s="22">
        <v>124000000000233</v>
      </c>
      <c r="C520" s="4" t="str">
        <f>IF(EXACT($B520, ""), "", IF((($B520 - MOD($B520, 1000000000000))/1000000000000)=25, CONCATENATE("Person - ", VLOOKUP($B520, [1]DataLookUp!$B$4:$C$2000, 2, FALSE)), IF((($B520 - MOD($B520, 1000000000000))/1000000000000)=124, CONCATENATE("Institution - ", VLOOKUP($B520, '[2]DataLookUp - InstitutionBranch'!$B$4:$C$2000, 2, FALSE)), "")))</f>
        <v>Institution - PT. Siemon Damai Jaya Abadi</v>
      </c>
      <c r="D520" s="22">
        <v>223000000000002</v>
      </c>
      <c r="E520" s="4" t="str">
        <f>IF(EXACT($D520, ""), "", VLOOKUP($D520, 'REF - ContactNumberType'!$B$4:$C$10, 2, FALSE))</f>
        <v>Mobile Phone</v>
      </c>
      <c r="F520" s="26" t="s">
        <v>1469</v>
      </c>
      <c r="G520" s="9"/>
      <c r="H520" s="9" t="s">
        <v>1042</v>
      </c>
      <c r="J520" s="33">
        <f t="shared" si="17"/>
        <v>286000000000476</v>
      </c>
      <c r="K520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223000000000002::bigint, '+62 857-8741-2872'::varchar, NULL::varchar, 'Agung Bagus Yulianto'::varchar, '124000000000233'::bigint);</v>
      </c>
    </row>
    <row r="521" spans="2:11" x14ac:dyDescent="0.2">
      <c r="B521" s="22">
        <v>124000000000234</v>
      </c>
      <c r="C521" s="4" t="str">
        <f>IF(EXACT($B521, ""), "", IF((($B521 - MOD($B521, 1000000000000))/1000000000000)=25, CONCATENATE("Person - ", VLOOKUP($B521, [1]DataLookUp!$B$4:$C$2000, 2, FALSE)), IF((($B521 - MOD($B521, 1000000000000))/1000000000000)=124, CONCATENATE("Institution - ", VLOOKUP($B521, '[2]DataLookUp - InstitutionBranch'!$B$4:$C$2000, 2, FALSE)), "")))</f>
        <v>Institution - PT. Silica Central Asia</v>
      </c>
      <c r="D521" s="22">
        <v>223000000000002</v>
      </c>
      <c r="E521" s="4" t="str">
        <f>IF(EXACT($D521, ""), "", VLOOKUP($D521, 'REF - ContactNumberType'!$B$4:$C$10, 2, FALSE))</f>
        <v>Mobile Phone</v>
      </c>
      <c r="F521" s="26" t="s">
        <v>1467</v>
      </c>
      <c r="G521" s="9"/>
      <c r="H521" s="9" t="s">
        <v>1043</v>
      </c>
      <c r="J521" s="33">
        <f t="shared" si="17"/>
        <v>286000000000477</v>
      </c>
      <c r="K521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223000000000002::bigint, '+62 822-5336-0516'::varchar, NULL::varchar, 'Masyudi'::varchar, '124000000000234'::bigint);</v>
      </c>
    </row>
    <row r="522" spans="2:11" x14ac:dyDescent="0.2">
      <c r="B522" s="22">
        <v>124000000000234</v>
      </c>
      <c r="C522" s="4" t="str">
        <f>IF(EXACT($B522, ""), "", IF((($B522 - MOD($B522, 1000000000000))/1000000000000)=25, CONCATENATE("Person - ", VLOOKUP($B522, [1]DataLookUp!$B$4:$C$2000, 2, FALSE)), IF((($B522 - MOD($B522, 1000000000000))/1000000000000)=124, CONCATENATE("Institution - ", VLOOKUP($B522, '[2]DataLookUp - InstitutionBranch'!$B$4:$C$2000, 2, FALSE)), "")))</f>
        <v>Institution - PT. Silica Central Asia</v>
      </c>
      <c r="D522" s="22">
        <v>223000000000002</v>
      </c>
      <c r="E522" s="4" t="str">
        <f>IF(EXACT($D522, ""), "", VLOOKUP($D522, 'REF - ContactNumberType'!$B$4:$C$10, 2, FALSE))</f>
        <v>Mobile Phone</v>
      </c>
      <c r="F522" s="26" t="s">
        <v>1468</v>
      </c>
      <c r="G522" s="9"/>
      <c r="H522" s="9" t="s">
        <v>1043</v>
      </c>
      <c r="J522" s="33">
        <f t="shared" si="17"/>
        <v>286000000000478</v>
      </c>
      <c r="K522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223000000000002::bigint, '+62 813-5277-8784'::varchar, NULL::varchar, 'Masyudi'::varchar, '124000000000234'::bigint);</v>
      </c>
    </row>
    <row r="523" spans="2:11" x14ac:dyDescent="0.2">
      <c r="B523" s="22">
        <v>124000000000235</v>
      </c>
      <c r="C523" s="4" t="str">
        <f>IF(EXACT($B523, ""), "", IF((($B523 - MOD($B523, 1000000000000))/1000000000000)=25, CONCATENATE("Person - ", VLOOKUP($B523, [1]DataLookUp!$B$4:$C$2000, 2, FALSE)), IF((($B523 - MOD($B523, 1000000000000))/1000000000000)=124, CONCATENATE("Institution - ", VLOOKUP($B523, '[2]DataLookUp - InstitutionBranch'!$B$4:$C$2000, 2, FALSE)), "")))</f>
        <v>Institution - PT. Simetrik Integrasi</v>
      </c>
      <c r="D523" s="22">
        <v>223000000000002</v>
      </c>
      <c r="E523" s="4" t="str">
        <f>IF(EXACT($D523, ""), "", VLOOKUP($D523, 'REF - ContactNumberType'!$B$4:$C$10, 2, FALSE))</f>
        <v>Mobile Phone</v>
      </c>
      <c r="F523" s="26" t="s">
        <v>1464</v>
      </c>
      <c r="G523" s="9"/>
      <c r="H523" s="9" t="s">
        <v>1463</v>
      </c>
      <c r="J523" s="33">
        <f t="shared" si="17"/>
        <v>286000000000479</v>
      </c>
      <c r="K523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223000000000002::bigint, '+62 817-721-213'::varchar, NULL::varchar, 'M. Alu Mukti'::varchar, '124000000000235'::bigint);</v>
      </c>
    </row>
    <row r="524" spans="2:11" x14ac:dyDescent="0.2">
      <c r="B524" s="22">
        <v>124000000000236</v>
      </c>
      <c r="C524" s="4" t="str">
        <f>IF(EXACT($B524, ""), "", IF((($B524 - MOD($B524, 1000000000000))/1000000000000)=25, CONCATENATE("Person - ", VLOOKUP($B524, [1]DataLookUp!$B$4:$C$2000, 2, FALSE)), IF((($B524 - MOD($B524, 1000000000000))/1000000000000)=124, CONCATENATE("Institution - ", VLOOKUP($B524, '[2]DataLookUp - InstitutionBranch'!$B$4:$C$2000, 2, FALSE)), "")))</f>
        <v>Institution - PT. Sinar Laut Mandiri</v>
      </c>
      <c r="D524" s="22">
        <v>223000000000002</v>
      </c>
      <c r="E524" s="4" t="str">
        <f>IF(EXACT($D524, ""), "", VLOOKUP($D524, 'REF - ContactNumberType'!$B$4:$C$10, 2, FALSE))</f>
        <v>Mobile Phone</v>
      </c>
      <c r="F524" s="26" t="s">
        <v>922</v>
      </c>
      <c r="G524" s="9"/>
      <c r="H524" s="9" t="s">
        <v>1044</v>
      </c>
      <c r="J524" s="33">
        <f t="shared" si="17"/>
        <v>286000000000480</v>
      </c>
      <c r="K524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223000000000002::bigint, '+62 877-8011-7878'::varchar, NULL::varchar, 'Shela'::varchar, '124000000000236'::bigint);</v>
      </c>
    </row>
    <row r="525" spans="2:11" x14ac:dyDescent="0.2">
      <c r="B525" s="22">
        <v>124000000000237</v>
      </c>
      <c r="C525" s="4" t="str">
        <f>IF(EXACT($B525, ""), "", IF((($B525 - MOD($B525, 1000000000000))/1000000000000)=25, CONCATENATE("Person - ", VLOOKUP($B525, [1]DataLookUp!$B$4:$C$2000, 2, FALSE)), IF((($B525 - MOD($B525, 1000000000000))/1000000000000)=124, CONCATENATE("Institution - ", VLOOKUP($B525, '[2]DataLookUp - InstitutionBranch'!$B$4:$C$2000, 2, FALSE)), "")))</f>
        <v>Institution - PT. Sinergi Garuda Nusantara</v>
      </c>
      <c r="D525" s="22">
        <v>223000000000002</v>
      </c>
      <c r="E525" s="4" t="str">
        <f>IF(EXACT($D525, ""), "", VLOOKUP($D525, 'REF - ContactNumberType'!$B$4:$C$10, 2, FALSE))</f>
        <v>Mobile Phone</v>
      </c>
      <c r="F525" s="26" t="s">
        <v>1465</v>
      </c>
      <c r="G525" s="9"/>
      <c r="H525" s="9"/>
      <c r="J525" s="33">
        <f t="shared" si="17"/>
        <v>286000000000481</v>
      </c>
      <c r="K525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223000000000002::bigint, '+62 812-1225-2501'::varchar, NULL::varchar, NULL::varchar, '124000000000237'::bigint);</v>
      </c>
    </row>
    <row r="526" spans="2:11" x14ac:dyDescent="0.2">
      <c r="B526" s="22">
        <v>124000000000238</v>
      </c>
      <c r="C526" s="4" t="str">
        <f>IF(EXACT($B526, ""), "", IF((($B526 - MOD($B526, 1000000000000))/1000000000000)=25, CONCATENATE("Person - ", VLOOKUP($B526, [1]DataLookUp!$B$4:$C$2000, 2, FALSE)), IF((($B526 - MOD($B526, 1000000000000))/1000000000000)=124, CONCATENATE("Institution - ", VLOOKUP($B526, '[2]DataLookUp - InstitutionBranch'!$B$4:$C$2000, 2, FALSE)), "")))</f>
        <v>Institution - PT. Sinergi Karsa Utama</v>
      </c>
      <c r="D526" s="22">
        <v>223000000000002</v>
      </c>
      <c r="E526" s="4" t="str">
        <f>IF(EXACT($D526, ""), "", VLOOKUP($D526, 'REF - ContactNumberType'!$B$4:$C$10, 2, FALSE))</f>
        <v>Mobile Phone</v>
      </c>
      <c r="F526" s="26" t="s">
        <v>1466</v>
      </c>
      <c r="G526" s="9"/>
      <c r="H526" s="9" t="s">
        <v>1045</v>
      </c>
      <c r="J526" s="33">
        <f t="shared" si="17"/>
        <v>286000000000482</v>
      </c>
      <c r="K526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223000000000002::bigint, '+62 853-7777-022'::varchar, NULL::varchar, 'Dedi'::varchar, '124000000000238'::bigint);</v>
      </c>
    </row>
    <row r="527" spans="2:11" x14ac:dyDescent="0.2">
      <c r="B527" s="22">
        <v>124000000000239</v>
      </c>
      <c r="C527" s="4" t="str">
        <f>IF(EXACT($B527, ""), "", IF((($B527 - MOD($B527, 1000000000000))/1000000000000)=25, CONCATENATE("Person - ", VLOOKUP($B527, [1]DataLookUp!$B$4:$C$2000, 2, FALSE)), IF((($B527 - MOD($B527, 1000000000000))/1000000000000)=124, CONCATENATE("Institution - ", VLOOKUP($B527, '[2]DataLookUp - InstitutionBranch'!$B$4:$C$2000, 2, FALSE)), "")))</f>
        <v>Institution - PT. Sintra Sinarindo Elektrik</v>
      </c>
      <c r="D527" s="22">
        <v>223000000000002</v>
      </c>
      <c r="E527" s="4" t="str">
        <f>IF(EXACT($D527, ""), "", VLOOKUP($D527, 'REF - ContactNumberType'!$B$4:$C$10, 2, FALSE))</f>
        <v>Mobile Phone</v>
      </c>
      <c r="F527" s="26" t="s">
        <v>1450</v>
      </c>
      <c r="G527" s="9"/>
      <c r="H527" s="9" t="s">
        <v>1046</v>
      </c>
      <c r="J527" s="33">
        <f t="shared" si="17"/>
        <v>286000000000483</v>
      </c>
      <c r="K527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223000000000002::bigint, '+62 815-8655-8899'::varchar, NULL::varchar, 'Mahdan'::varchar, '124000000000239'::bigint);</v>
      </c>
    </row>
    <row r="528" spans="2:11" x14ac:dyDescent="0.2">
      <c r="B528" s="22">
        <v>124000000000239</v>
      </c>
      <c r="C528" s="4" t="str">
        <f>IF(EXACT($B528, ""), "", IF((($B528 - MOD($B528, 1000000000000))/1000000000000)=25, CONCATENATE("Person - ", VLOOKUP($B528, [1]DataLookUp!$B$4:$C$2000, 2, FALSE)), IF((($B528 - MOD($B528, 1000000000000))/1000000000000)=124, CONCATENATE("Institution - ", VLOOKUP($B528, '[2]DataLookUp - InstitutionBranch'!$B$4:$C$2000, 2, FALSE)), "")))</f>
        <v>Institution - PT. Sintra Sinarindo Elektrik</v>
      </c>
      <c r="D528" s="22">
        <v>223000000000004</v>
      </c>
      <c r="E528" s="4" t="str">
        <f>IF(EXACT($D528, ""), "", VLOOKUP($D528, 'REF - ContactNumberType'!$B$4:$C$10, 2, FALSE))</f>
        <v>Office Phone</v>
      </c>
      <c r="F528" s="26" t="s">
        <v>1462</v>
      </c>
      <c r="G528" s="9"/>
      <c r="H528" s="9" t="s">
        <v>1046</v>
      </c>
      <c r="J528" s="33">
        <f t="shared" si="17"/>
        <v>286000000000484</v>
      </c>
      <c r="K528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897-489'::varchar, NULL::varchar, 'Mahdan'::varchar, '124000000000239'::bigint);</v>
      </c>
    </row>
    <row r="529" spans="2:11" x14ac:dyDescent="0.2">
      <c r="B529" s="22">
        <v>124000000000240</v>
      </c>
      <c r="C529" s="4" t="str">
        <f>IF(EXACT($B529, ""), "", IF((($B529 - MOD($B529, 1000000000000))/1000000000000)=25, CONCATENATE("Person - ", VLOOKUP($B529, [1]DataLookUp!$B$4:$C$2000, 2, FALSE)), IF((($B529 - MOD($B529, 1000000000000))/1000000000000)=124, CONCATENATE("Institution - ", VLOOKUP($B529, '[2]DataLookUp - InstitutionBranch'!$B$4:$C$2000, 2, FALSE)), "")))</f>
        <v>Institution - PT. Siscom Technologies</v>
      </c>
      <c r="D529" s="22">
        <v>223000000000002</v>
      </c>
      <c r="E529" s="4" t="str">
        <f>IF(EXACT($D529, ""), "", VLOOKUP($D529, 'REF - ContactNumberType'!$B$4:$C$10, 2, FALSE))</f>
        <v>Mobile Phone</v>
      </c>
      <c r="F529" s="26" t="s">
        <v>1460</v>
      </c>
      <c r="G529" s="9"/>
      <c r="H529" s="9" t="s">
        <v>1047</v>
      </c>
      <c r="J529" s="33">
        <f t="shared" si="17"/>
        <v>286000000000485</v>
      </c>
      <c r="K529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223000000000002::bigint, '+62 811-9210-031'::varchar, NULL::varchar, 'Ahmad'::varchar, '124000000000240'::bigint);</v>
      </c>
    </row>
    <row r="530" spans="2:11" x14ac:dyDescent="0.2">
      <c r="B530" s="22">
        <v>124000000000240</v>
      </c>
      <c r="C530" s="4" t="str">
        <f>IF(EXACT($B530, ""), "", IF((($B530 - MOD($B530, 1000000000000))/1000000000000)=25, CONCATENATE("Person - ", VLOOKUP($B530, [1]DataLookUp!$B$4:$C$2000, 2, FALSE)), IF((($B530 - MOD($B530, 1000000000000))/1000000000000)=124, CONCATENATE("Institution - ", VLOOKUP($B530, '[2]DataLookUp - InstitutionBranch'!$B$4:$C$2000, 2, FALSE)), "")))</f>
        <v>Institution - PT. Siscom Technologies</v>
      </c>
      <c r="D530" s="22">
        <v>223000000000004</v>
      </c>
      <c r="E530" s="4" t="str">
        <f>IF(EXACT($D530, ""), "", VLOOKUP($D530, 'REF - ContactNumberType'!$B$4:$C$10, 2, FALSE))</f>
        <v>Office Phone</v>
      </c>
      <c r="F530" s="26" t="s">
        <v>1461</v>
      </c>
      <c r="G530" s="9"/>
      <c r="H530" s="9" t="s">
        <v>1047</v>
      </c>
      <c r="J530" s="33">
        <f t="shared" si="17"/>
        <v>286000000000486</v>
      </c>
      <c r="K530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290-535-95'::varchar, NULL::varchar, 'Ahmad'::varchar, '124000000000240'::bigint);</v>
      </c>
    </row>
    <row r="531" spans="2:11" x14ac:dyDescent="0.2">
      <c r="B531" s="22">
        <v>124000000000241</v>
      </c>
      <c r="C531" s="4" t="str">
        <f>IF(EXACT($B531, ""), "", IF((($B531 - MOD($B531, 1000000000000))/1000000000000)=25, CONCATENATE("Person - ", VLOOKUP($B531, [1]DataLookUp!$B$4:$C$2000, 2, FALSE)), IF((($B531 - MOD($B531, 1000000000000))/1000000000000)=124, CONCATENATE("Institution - ", VLOOKUP($B531, '[2]DataLookUp - InstitutionBranch'!$B$4:$C$2000, 2, FALSE)), "")))</f>
        <v>Institution - PT. Subur Buana Raya</v>
      </c>
      <c r="D531" s="22">
        <v>223000000000004</v>
      </c>
      <c r="E531" s="4" t="str">
        <f>IF(EXACT($D531, ""), "", VLOOKUP($D531, 'REF - ContactNumberType'!$B$4:$C$10, 2, FALSE))</f>
        <v>Office Phone</v>
      </c>
      <c r="F531" s="26" t="s">
        <v>1455</v>
      </c>
      <c r="G531" s="9"/>
      <c r="H531" s="9"/>
      <c r="J531" s="33">
        <f t="shared" si="17"/>
        <v>286000000000487</v>
      </c>
      <c r="K531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223000000000004::bigint, '+62 (031) 749-1125'::varchar, NULL::varchar, NULL::varchar, '124000000000241'::bigint);</v>
      </c>
    </row>
    <row r="532" spans="2:11" x14ac:dyDescent="0.2">
      <c r="B532" s="22">
        <v>124000000000242</v>
      </c>
      <c r="C532" s="4" t="str">
        <f>IF(EXACT($B532, ""), "", IF((($B532 - MOD($B532, 1000000000000))/1000000000000)=25, CONCATENATE("Person - ", VLOOKUP($B532, [1]DataLookUp!$B$4:$C$2000, 2, FALSE)), IF((($B532 - MOD($B532, 1000000000000))/1000000000000)=124, CONCATENATE("Institution - ", VLOOKUP($B532, '[2]DataLookUp - InstitutionBranch'!$B$4:$C$2000, 2, FALSE)), "")))</f>
        <v xml:space="preserve">Institution - PT. Sukses Perkasa Forestama </v>
      </c>
      <c r="D532" s="22">
        <v>223000000000004</v>
      </c>
      <c r="E532" s="4" t="str">
        <f>IF(EXACT($D532, ""), "", VLOOKUP($D532, 'REF - ContactNumberType'!$B$4:$C$10, 2, FALSE))</f>
        <v>Office Phone</v>
      </c>
      <c r="F532" s="26" t="s">
        <v>1456</v>
      </c>
      <c r="G532" s="9"/>
      <c r="H532" s="9" t="s">
        <v>1048</v>
      </c>
      <c r="J532" s="33">
        <f t="shared" si="17"/>
        <v>286000000000488</v>
      </c>
      <c r="K532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223000000000004::bigint, '+62 (031) 748-2568'::varchar, NULL::varchar, 'Mala'::varchar, '124000000000242'::bigint);</v>
      </c>
    </row>
    <row r="533" spans="2:11" x14ac:dyDescent="0.2">
      <c r="B533" s="22">
        <v>124000000000243</v>
      </c>
      <c r="C533" s="4" t="str">
        <f>IF(EXACT($B533, ""), "", IF((($B533 - MOD($B533, 1000000000000))/1000000000000)=25, CONCATENATE("Person - ", VLOOKUP($B533, [1]DataLookUp!$B$4:$C$2000, 2, FALSE)), IF((($B533 - MOD($B533, 1000000000000))/1000000000000)=124, CONCATENATE("Institution - ", VLOOKUP($B533, '[2]DataLookUp - InstitutionBranch'!$B$4:$C$2000, 2, FALSE)), "")))</f>
        <v xml:space="preserve">Institution - PT. Suryamas Elsindo Primatama </v>
      </c>
      <c r="D533" s="22">
        <v>223000000000004</v>
      </c>
      <c r="E533" s="4" t="str">
        <f>IF(EXACT($D533, ""), "", VLOOKUP($D533, 'REF - ContactNumberType'!$B$4:$C$10, 2, FALSE))</f>
        <v>Office Phone</v>
      </c>
      <c r="F533" s="26" t="s">
        <v>1458</v>
      </c>
      <c r="G533" s="9"/>
      <c r="H533" s="9" t="s">
        <v>1704</v>
      </c>
      <c r="J533" s="33">
        <f t="shared" si="17"/>
        <v>286000000000489</v>
      </c>
      <c r="K533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585-4077'::varchar, NULL::varchar, 'Setia Kusuma'::varchar, '124000000000243'::bigint);</v>
      </c>
    </row>
    <row r="534" spans="2:11" x14ac:dyDescent="0.2">
      <c r="B534" s="22">
        <v>124000000000243</v>
      </c>
      <c r="C534" s="4" t="str">
        <f>IF(EXACT($B534, ""), "", IF((($B534 - MOD($B534, 1000000000000))/1000000000000)=25, CONCATENATE("Person - ", VLOOKUP($B534, [1]DataLookUp!$B$4:$C$2000, 2, FALSE)), IF((($B534 - MOD($B534, 1000000000000))/1000000000000)=124, CONCATENATE("Institution - ", VLOOKUP($B534, '[2]DataLookUp - InstitutionBranch'!$B$4:$C$2000, 2, FALSE)), "")))</f>
        <v xml:space="preserve">Institution - PT. Suryamas Elsindo Primatama </v>
      </c>
      <c r="D534" s="22">
        <v>223000000000004</v>
      </c>
      <c r="E534" s="4" t="str">
        <f>IF(EXACT($D534, ""), "", VLOOKUP($D534, 'REF - ContactNumberType'!$B$4:$C$10, 2, FALSE))</f>
        <v>Office Phone</v>
      </c>
      <c r="F534" s="26" t="s">
        <v>1457</v>
      </c>
      <c r="G534" s="9"/>
      <c r="H534" s="9" t="s">
        <v>1704</v>
      </c>
      <c r="J534" s="33">
        <f t="shared" si="17"/>
        <v>286000000000490</v>
      </c>
      <c r="K534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585-5064'::varchar, NULL::varchar, 'Setia Kusuma'::varchar, '124000000000243'::bigint);</v>
      </c>
    </row>
    <row r="535" spans="2:11" x14ac:dyDescent="0.2">
      <c r="B535" s="22">
        <v>124000000000243</v>
      </c>
      <c r="C535" s="4" t="str">
        <f>IF(EXACT($B535, ""), "", IF((($B535 - MOD($B535, 1000000000000))/1000000000000)=25, CONCATENATE("Person - ", VLOOKUP($B535, [1]DataLookUp!$B$4:$C$2000, 2, FALSE)), IF((($B535 - MOD($B535, 1000000000000))/1000000000000)=124, CONCATENATE("Institution - ", VLOOKUP($B535, '[2]DataLookUp - InstitutionBranch'!$B$4:$C$2000, 2, FALSE)), "")))</f>
        <v xml:space="preserve">Institution - PT. Suryamas Elsindo Primatama </v>
      </c>
      <c r="D535" s="22">
        <v>223000000000005</v>
      </c>
      <c r="E535" s="4" t="str">
        <f>IF(EXACT($D535, ""), "", VLOOKUP($D535, 'REF - ContactNumberType'!$B$4:$C$10, 2, FALSE))</f>
        <v>Faximile</v>
      </c>
      <c r="F535" s="26" t="s">
        <v>1459</v>
      </c>
      <c r="G535" s="9"/>
      <c r="H535" s="9" t="s">
        <v>1704</v>
      </c>
      <c r="J535" s="33">
        <f t="shared" si="17"/>
        <v>286000000000491</v>
      </c>
      <c r="K535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587-4532'::varchar, NULL::varchar, 'Setia Kusuma'::varchar, '124000000000243'::bigint);</v>
      </c>
    </row>
    <row r="536" spans="2:11" x14ac:dyDescent="0.2">
      <c r="B536" s="22">
        <v>124000000000244</v>
      </c>
      <c r="C536" s="4" t="str">
        <f>IF(EXACT($B536, ""), "", IF((($B536 - MOD($B536, 1000000000000))/1000000000000)=25, CONCATENATE("Person - ", VLOOKUP($B536, [1]DataLookUp!$B$4:$C$2000, 2, FALSE)), IF((($B536 - MOD($B536, 1000000000000))/1000000000000)=124, CONCATENATE("Institution - ", VLOOKUP($B536, '[2]DataLookUp - InstitutionBranch'!$B$4:$C$2000, 2, FALSE)), "")))</f>
        <v>Institution - PT. Temas Tbk</v>
      </c>
      <c r="D536" s="22">
        <v>223000000000004</v>
      </c>
      <c r="E536" s="4" t="str">
        <f>IF(EXACT($D536, ""), "", VLOOKUP($D536, 'REF - ContactNumberType'!$B$4:$C$10, 2, FALSE))</f>
        <v>Office Phone</v>
      </c>
      <c r="F536" s="26" t="s">
        <v>1721</v>
      </c>
      <c r="G536" s="9"/>
      <c r="H536" s="9"/>
      <c r="J536" s="33">
        <f t="shared" si="17"/>
        <v>286000000000492</v>
      </c>
      <c r="K536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430-2388'::varchar, NULL::varchar, NULL::varchar, '124000000000244'::bigint);</v>
      </c>
    </row>
    <row r="537" spans="2:11" x14ac:dyDescent="0.2">
      <c r="B537" s="22">
        <v>124000000000245</v>
      </c>
      <c r="C537" s="4" t="str">
        <f>IF(EXACT($B537, ""), "", IF((($B537 - MOD($B537, 1000000000000))/1000000000000)=25, CONCATENATE("Person - ", VLOOKUP($B537, [1]DataLookUp!$B$4:$C$2000, 2, FALSE)), IF((($B537 - MOD($B537, 1000000000000))/1000000000000)=124, CONCATENATE("Institution - ", VLOOKUP($B537, '[2]DataLookUp - InstitutionBranch'!$B$4:$C$2000, 2, FALSE)), "")))</f>
        <v>Institution - PT. Tirtakencana Tatawarna</v>
      </c>
      <c r="D537" s="22">
        <v>223000000000002</v>
      </c>
      <c r="E537" s="4" t="str">
        <f>IF(EXACT($D537, ""), "", VLOOKUP($D537, 'REF - ContactNumberType'!$B$4:$C$10, 2, FALSE))</f>
        <v>Mobile Phone</v>
      </c>
      <c r="F537" s="26" t="s">
        <v>923</v>
      </c>
      <c r="G537" s="9"/>
      <c r="H537" s="9" t="s">
        <v>1049</v>
      </c>
      <c r="J537" s="33">
        <f t="shared" si="17"/>
        <v>286000000000493</v>
      </c>
      <c r="K537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223000000000002::bigint, '+62 859-3927-6314'::varchar, NULL::varchar, 'Vikri'::varchar, '124000000000245'::bigint);</v>
      </c>
    </row>
    <row r="538" spans="2:11" x14ac:dyDescent="0.2">
      <c r="B538" s="22">
        <v>124000000000246</v>
      </c>
      <c r="C538" s="4" t="str">
        <f>IF(EXACT($B538, ""), "", IF((($B538 - MOD($B538, 1000000000000))/1000000000000)=25, CONCATENATE("Person - ", VLOOKUP($B538, [1]DataLookUp!$B$4:$C$2000, 2, FALSE)), IF((($B538 - MOD($B538, 1000000000000))/1000000000000)=124, CONCATENATE("Institution - ", VLOOKUP($B538, '[2]DataLookUp - InstitutionBranch'!$B$4:$C$2000, 2, FALSE)), "")))</f>
        <v>Institution - PT. Tri Artha Manunggal</v>
      </c>
      <c r="D538" s="22">
        <v>223000000000002</v>
      </c>
      <c r="E538" s="4" t="str">
        <f>IF(EXACT($D538, ""), "", VLOOKUP($D538, 'REF - ContactNumberType'!$B$4:$C$10, 2, FALSE))</f>
        <v>Mobile Phone</v>
      </c>
      <c r="F538" s="26" t="s">
        <v>1452</v>
      </c>
      <c r="G538" s="9"/>
      <c r="H538" s="9" t="s">
        <v>1050</v>
      </c>
      <c r="J538" s="33">
        <f t="shared" si="17"/>
        <v>286000000000494</v>
      </c>
      <c r="K538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223000000000002::bigint, '+62 813-1526-3086'::varchar, NULL::varchar, 'Ketut Suada'::varchar, '124000000000246'::bigint);</v>
      </c>
    </row>
    <row r="539" spans="2:11" x14ac:dyDescent="0.2">
      <c r="B539" s="22">
        <v>124000000000247</v>
      </c>
      <c r="C539" s="4" t="str">
        <f>IF(EXACT($B539, ""), "", IF((($B539 - MOD($B539, 1000000000000))/1000000000000)=25, CONCATENATE("Person - ", VLOOKUP($B539, [1]DataLookUp!$B$4:$C$2000, 2, FALSE)), IF((($B539 - MOD($B539, 1000000000000))/1000000000000)=124, CONCATENATE("Institution - ", VLOOKUP($B539, '[2]DataLookUp - InstitutionBranch'!$B$4:$C$2000, 2, FALSE)), "")))</f>
        <v>Institution - PT. Tri Karya Teslatama</v>
      </c>
      <c r="D539" s="22">
        <v>223000000000004</v>
      </c>
      <c r="E539" s="4" t="str">
        <f>IF(EXACT($D539, ""), "", VLOOKUP($D539, 'REF - ContactNumberType'!$B$4:$C$10, 2, FALSE))</f>
        <v>Office Phone</v>
      </c>
      <c r="F539" s="26" t="s">
        <v>1453</v>
      </c>
      <c r="G539" s="9"/>
      <c r="H539" s="9" t="s">
        <v>1051</v>
      </c>
      <c r="J539" s="33">
        <f t="shared" si="17"/>
        <v>286000000000495</v>
      </c>
      <c r="K539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255-467-00'::varchar, NULL::varchar, 'Robert'::varchar, '124000000000247'::bigint);</v>
      </c>
    </row>
    <row r="540" spans="2:11" x14ac:dyDescent="0.2">
      <c r="B540" s="22">
        <v>124000000000248</v>
      </c>
      <c r="C540" s="4" t="str">
        <f>IF(EXACT($B540, ""), "", IF((($B540 - MOD($B540, 1000000000000))/1000000000000)=25, CONCATENATE("Person - ", VLOOKUP($B540, [1]DataLookUp!$B$4:$C$2000, 2, FALSE)), IF((($B540 - MOD($B540, 1000000000000))/1000000000000)=124, CONCATENATE("Institution - ", VLOOKUP($B540, '[2]DataLookUp - InstitutionBranch'!$B$4:$C$2000, 2, FALSE)), "")))</f>
        <v>Institution - PT. Tribaja Karya Sejahtera</v>
      </c>
      <c r="D540" s="22">
        <v>223000000000002</v>
      </c>
      <c r="E540" s="4" t="str">
        <f>IF(EXACT($D540, ""), "", VLOOKUP($D540, 'REF - ContactNumberType'!$B$4:$C$10, 2, FALSE))</f>
        <v>Mobile Phone</v>
      </c>
      <c r="F540" s="26" t="s">
        <v>1454</v>
      </c>
      <c r="G540" s="9"/>
      <c r="H540" s="9" t="s">
        <v>1052</v>
      </c>
      <c r="J540" s="33">
        <f t="shared" si="17"/>
        <v>286000000000496</v>
      </c>
      <c r="K540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223000000000002::bigint, '+62 856-9714-7754'::varchar, NULL::varchar, 'Engel'::varchar, '124000000000248'::bigint);</v>
      </c>
    </row>
    <row r="541" spans="2:11" x14ac:dyDescent="0.2">
      <c r="B541" s="22">
        <v>124000000000249</v>
      </c>
      <c r="C541" s="4" t="str">
        <f>IF(EXACT($B541, ""), "", IF((($B541 - MOD($B541, 1000000000000))/1000000000000)=25, CONCATENATE("Person - ", VLOOKUP($B541, [1]DataLookUp!$B$4:$C$2000, 2, FALSE)), IF((($B541 - MOD($B541, 1000000000000))/1000000000000)=124, CONCATENATE("Institution - ", VLOOKUP($B541, '[2]DataLookUp - InstitutionBranch'!$B$4:$C$2000, 2, FALSE)), "")))</f>
        <v>Institution - PT. Triotama Toya Energi</v>
      </c>
      <c r="D541" s="22">
        <v>223000000000002</v>
      </c>
      <c r="E541" s="4" t="str">
        <f>IF(EXACT($D541, ""), "", VLOOKUP($D541, 'REF - ContactNumberType'!$B$4:$C$10, 2, FALSE))</f>
        <v>Mobile Phone</v>
      </c>
      <c r="F541" s="26" t="s">
        <v>1450</v>
      </c>
      <c r="G541" s="9"/>
      <c r="H541" s="9" t="s">
        <v>1046</v>
      </c>
      <c r="J541" s="33">
        <f t="shared" si="17"/>
        <v>286000000000497</v>
      </c>
      <c r="K541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223000000000002::bigint, '+62 815-8655-8899'::varchar, NULL::varchar, 'Mahdan'::varchar, '124000000000249'::bigint);</v>
      </c>
    </row>
    <row r="542" spans="2:11" x14ac:dyDescent="0.2">
      <c r="B542" s="22">
        <v>124000000000249</v>
      </c>
      <c r="C542" s="4" t="str">
        <f>IF(EXACT($B542, ""), "", IF((($B542 - MOD($B542, 1000000000000))/1000000000000)=25, CONCATENATE("Person - ", VLOOKUP($B542, [1]DataLookUp!$B$4:$C$2000, 2, FALSE)), IF((($B542 - MOD($B542, 1000000000000))/1000000000000)=124, CONCATENATE("Institution - ", VLOOKUP($B542, '[2]DataLookUp - InstitutionBranch'!$B$4:$C$2000, 2, FALSE)), "")))</f>
        <v>Institution - PT. Triotama Toya Energi</v>
      </c>
      <c r="D542" s="22">
        <v>223000000000004</v>
      </c>
      <c r="E542" s="4" t="str">
        <f>IF(EXACT($D542, ""), "", VLOOKUP($D542, 'REF - ContactNumberType'!$B$4:$C$10, 2, FALSE))</f>
        <v>Office Phone</v>
      </c>
      <c r="F542" s="26" t="s">
        <v>1451</v>
      </c>
      <c r="G542" s="9"/>
      <c r="H542" s="9" t="s">
        <v>1046</v>
      </c>
      <c r="J542" s="33">
        <f t="shared" si="17"/>
        <v>286000000000498</v>
      </c>
      <c r="K542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668-4848'::varchar, NULL::varchar, 'Mahdan'::varchar, '124000000000249'::bigint);</v>
      </c>
    </row>
    <row r="543" spans="2:11" x14ac:dyDescent="0.2">
      <c r="B543" s="22">
        <v>124000000000250</v>
      </c>
      <c r="C543" s="4" t="str">
        <f>IF(EXACT($B543, ""), "", IF((($B543 - MOD($B543, 1000000000000))/1000000000000)=25, CONCATENATE("Person - ", VLOOKUP($B543, [1]DataLookUp!$B$4:$C$2000, 2, FALSE)), IF((($B543 - MOD($B543, 1000000000000))/1000000000000)=124, CONCATENATE("Institution - ", VLOOKUP($B543, '[2]DataLookUp - InstitutionBranch'!$B$4:$C$2000, 2, FALSE)), "")))</f>
        <v xml:space="preserve">Institution - PT. Twink Indonesia </v>
      </c>
      <c r="D543" s="22">
        <v>223000000000004</v>
      </c>
      <c r="E543" s="4" t="str">
        <f>IF(EXACT($D543, ""), "", VLOOKUP($D543, 'REF - ContactNumberType'!$B$4:$C$10, 2, FALSE))</f>
        <v>Office Phone</v>
      </c>
      <c r="F543" s="26" t="s">
        <v>1448</v>
      </c>
      <c r="G543" s="9"/>
      <c r="H543" s="9"/>
      <c r="J543" s="33">
        <f t="shared" si="17"/>
        <v>286000000000499</v>
      </c>
      <c r="K543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790-0088'::varchar, NULL::varchar, NULL::varchar, '124000000000250'::bigint);</v>
      </c>
    </row>
    <row r="544" spans="2:11" x14ac:dyDescent="0.2">
      <c r="B544" s="22">
        <v>124000000000251</v>
      </c>
      <c r="C544" s="4" t="str">
        <f>IF(EXACT($B544, ""), "", IF((($B544 - MOD($B544, 1000000000000))/1000000000000)=25, CONCATENATE("Person - ", VLOOKUP($B544, [1]DataLookUp!$B$4:$C$2000, 2, FALSE)), IF((($B544 - MOD($B544, 1000000000000))/1000000000000)=124, CONCATENATE("Institution - ", VLOOKUP($B544, '[2]DataLookUp - InstitutionBranch'!$B$4:$C$2000, 2, FALSE)), "")))</f>
        <v xml:space="preserve">Institution - PT. Vector Info Technologies </v>
      </c>
      <c r="D544" s="22">
        <v>223000000000002</v>
      </c>
      <c r="E544" s="4" t="str">
        <f>IF(EXACT($D544, ""), "", VLOOKUP($D544, 'REF - ContactNumberType'!$B$4:$C$10, 2, FALSE))</f>
        <v>Mobile Phone</v>
      </c>
      <c r="F544" s="26" t="s">
        <v>1449</v>
      </c>
      <c r="G544" s="9"/>
      <c r="H544" s="9"/>
      <c r="J544" s="33">
        <f t="shared" si="17"/>
        <v>286000000000500</v>
      </c>
      <c r="K544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223000000000002::bigint, '+62 853-5993-6053'::varchar, NULL::varchar, NULL::varchar, '124000000000251'::bigint);</v>
      </c>
    </row>
    <row r="545" spans="2:11" x14ac:dyDescent="0.2">
      <c r="B545" s="22">
        <v>124000000000253</v>
      </c>
      <c r="C545" s="4" t="str">
        <f>IF(EXACT($B545, ""), "", IF((($B545 - MOD($B545, 1000000000000))/1000000000000)=25, CONCATENATE("Person - ", VLOOKUP($B545, [1]DataLookUp!$B$4:$C$2000, 2, FALSE)), IF((($B545 - MOD($B545, 1000000000000))/1000000000000)=124, CONCATENATE("Institution - ", VLOOKUP($B545, '[2]DataLookUp - InstitutionBranch'!$B$4:$C$2000, 2, FALSE)), "")))</f>
        <v xml:space="preserve">Institution - PT. Voksel Electric Tbk </v>
      </c>
      <c r="D545" s="22">
        <v>223000000000004</v>
      </c>
      <c r="E545" s="4" t="str">
        <f>IF(EXACT($D545, ""), "", VLOOKUP($D545, 'REF - ContactNumberType'!$B$4:$C$10, 2, FALSE))</f>
        <v>Office Phone</v>
      </c>
      <c r="F545" s="26" t="s">
        <v>1446</v>
      </c>
      <c r="G545" s="9"/>
      <c r="H545" s="9" t="s">
        <v>1053</v>
      </c>
      <c r="J545" s="33">
        <f t="shared" si="17"/>
        <v>286000000000501</v>
      </c>
      <c r="K545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823-0525'::varchar, NULL::varchar, 'Edy Surya Tarigan'::varchar, '124000000000253'::bigint);</v>
      </c>
    </row>
    <row r="546" spans="2:11" x14ac:dyDescent="0.2">
      <c r="B546" s="22">
        <v>124000000000253</v>
      </c>
      <c r="C546" s="4" t="str">
        <f>IF(EXACT($B546, ""), "", IF((($B546 - MOD($B546, 1000000000000))/1000000000000)=25, CONCATENATE("Person - ", VLOOKUP($B546, [1]DataLookUp!$B$4:$C$2000, 2, FALSE)), IF((($B546 - MOD($B546, 1000000000000))/1000000000000)=124, CONCATENATE("Institution - ", VLOOKUP($B546, '[2]DataLookUp - InstitutionBranch'!$B$4:$C$2000, 2, FALSE)), "")))</f>
        <v xml:space="preserve">Institution - PT. Voksel Electric Tbk </v>
      </c>
      <c r="D546" s="22">
        <v>223000000000005</v>
      </c>
      <c r="E546" s="4" t="str">
        <f>IF(EXACT($D546, ""), "", VLOOKUP($D546, 'REF - ContactNumberType'!$B$4:$C$10, 2, FALSE))</f>
        <v>Faximile</v>
      </c>
      <c r="F546" s="26" t="s">
        <v>1447</v>
      </c>
      <c r="G546" s="9"/>
      <c r="H546" s="9" t="s">
        <v>1053</v>
      </c>
      <c r="J546" s="33">
        <f t="shared" si="17"/>
        <v>286000000000502</v>
      </c>
      <c r="K546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823-0526'::varchar, NULL::varchar, 'Edy Surya Tarigan'::varchar, '124000000000253'::bigint);</v>
      </c>
    </row>
    <row r="547" spans="2:11" x14ac:dyDescent="0.2">
      <c r="B547" s="22">
        <v>124000000000254</v>
      </c>
      <c r="C547" s="4" t="str">
        <f>IF(EXACT($B547, ""), "", IF((($B547 - MOD($B547, 1000000000000))/1000000000000)=25, CONCATENATE("Person - ", VLOOKUP($B547, [1]DataLookUp!$B$4:$C$2000, 2, FALSE)), IF((($B547 - MOD($B547, 1000000000000))/1000000000000)=124, CONCATENATE("Institution - ", VLOOKUP($B547, '[2]DataLookUp - InstitutionBranch'!$B$4:$C$2000, 2, FALSE)), "")))</f>
        <v>Institution - PT. Widya Prima Utama</v>
      </c>
      <c r="D547" s="22">
        <v>223000000000002</v>
      </c>
      <c r="E547" s="4" t="str">
        <f>IF(EXACT($D547, ""), "", VLOOKUP($D547, 'REF - ContactNumberType'!$B$4:$C$10, 2, FALSE))</f>
        <v>Mobile Phone</v>
      </c>
      <c r="F547" s="26" t="s">
        <v>924</v>
      </c>
      <c r="G547" s="9"/>
      <c r="H547" s="9" t="s">
        <v>1054</v>
      </c>
      <c r="J547" s="33">
        <f t="shared" si="17"/>
        <v>286000000000503</v>
      </c>
      <c r="K547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223000000000002::bigint, '+62 856-2515-327'::varchar, NULL::varchar, 'Reki'::varchar, '124000000000254'::bigint);</v>
      </c>
    </row>
    <row r="548" spans="2:11" x14ac:dyDescent="0.2">
      <c r="B548" s="22">
        <v>124000000000255</v>
      </c>
      <c r="C548" s="4" t="str">
        <f>IF(EXACT($B548, ""), "", IF((($B548 - MOD($B548, 1000000000000))/1000000000000)=25, CONCATENATE("Person - ", VLOOKUP($B548, [1]DataLookUp!$B$4:$C$2000, 2, FALSE)), IF((($B548 - MOD($B548, 1000000000000))/1000000000000)=124, CONCATENATE("Institution - ", VLOOKUP($B548, '[2]DataLookUp - InstitutionBranch'!$B$4:$C$2000, 2, FALSE)), "")))</f>
        <v xml:space="preserve">Institution - PT. Yanmarindo Perkasa </v>
      </c>
      <c r="D548" s="22">
        <v>223000000000004</v>
      </c>
      <c r="E548" s="4" t="str">
        <f>IF(EXACT($D548, ""), "", VLOOKUP($D548, 'REF - ContactNumberType'!$B$4:$C$10, 2, FALSE))</f>
        <v>Office Phone</v>
      </c>
      <c r="F548" s="26" t="s">
        <v>1444</v>
      </c>
      <c r="G548" s="9"/>
      <c r="H548" s="9" t="s">
        <v>1700</v>
      </c>
      <c r="J548" s="33">
        <f t="shared" si="17"/>
        <v>286000000000504</v>
      </c>
      <c r="K548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223000000000004::bigint, '+62 (0761) 440-00'::varchar, NULL::varchar, 'Acai dan Rais'::varchar, '124000000000255'::bigint);</v>
      </c>
    </row>
    <row r="549" spans="2:11" x14ac:dyDescent="0.2">
      <c r="B549" s="22">
        <v>124000000000255</v>
      </c>
      <c r="C549" s="4" t="str">
        <f>IF(EXACT($B549, ""), "", IF((($B549 - MOD($B549, 1000000000000))/1000000000000)=25, CONCATENATE("Person - ", VLOOKUP($B549, [1]DataLookUp!$B$4:$C$2000, 2, FALSE)), IF((($B549 - MOD($B549, 1000000000000))/1000000000000)=124, CONCATENATE("Institution - ", VLOOKUP($B549, '[2]DataLookUp - InstitutionBranch'!$B$4:$C$2000, 2, FALSE)), "")))</f>
        <v xml:space="preserve">Institution - PT. Yanmarindo Perkasa </v>
      </c>
      <c r="D549" s="22">
        <v>223000000000005</v>
      </c>
      <c r="E549" s="4" t="str">
        <f>IF(EXACT($D549, ""), "", VLOOKUP($D549, 'REF - ContactNumberType'!$B$4:$C$10, 2, FALSE))</f>
        <v>Faximile</v>
      </c>
      <c r="F549" s="26" t="s">
        <v>1445</v>
      </c>
      <c r="G549" s="9"/>
      <c r="H549" s="9" t="s">
        <v>1700</v>
      </c>
      <c r="J549" s="33">
        <f t="shared" si="17"/>
        <v>286000000000505</v>
      </c>
      <c r="K549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223000000000005::bigint, '+62 (0761) 441-55'::varchar, NULL::varchar, 'Acai dan Rais'::varchar, '124000000000255'::bigint);</v>
      </c>
    </row>
    <row r="550" spans="2:11" x14ac:dyDescent="0.2">
      <c r="B550" s="22">
        <v>124000000000256</v>
      </c>
      <c r="C550" s="4" t="str">
        <f>IF(EXACT($B550, ""), "", IF((($B550 - MOD($B550, 1000000000000))/1000000000000)=25, CONCATENATE("Person - ", VLOOKUP($B550, [1]DataLookUp!$B$4:$C$2000, 2, FALSE)), IF((($B550 - MOD($B550, 1000000000000))/1000000000000)=124, CONCATENATE("Institution - ", VLOOKUP($B550, '[2]DataLookUp - InstitutionBranch'!$B$4:$C$2000, 2, FALSE)), "")))</f>
        <v>Institution - PT. Yudha Berkat Layana</v>
      </c>
      <c r="D550" s="22">
        <v>223000000000002</v>
      </c>
      <c r="E550" s="4" t="str">
        <f>IF(EXACT($D550, ""), "", VLOOKUP($D550, 'REF - ContactNumberType'!$B$4:$C$10, 2, FALSE))</f>
        <v>Mobile Phone</v>
      </c>
      <c r="F550" s="26" t="s">
        <v>1442</v>
      </c>
      <c r="G550" s="9"/>
      <c r="H550" s="9" t="s">
        <v>1055</v>
      </c>
      <c r="J550" s="33">
        <f t="shared" si="17"/>
        <v>286000000000506</v>
      </c>
      <c r="K550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223000000000002::bigint, '+62 818-735-222'::varchar, NULL::varchar, 'Lina'::varchar, '124000000000256'::bigint);</v>
      </c>
    </row>
    <row r="551" spans="2:11" x14ac:dyDescent="0.2">
      <c r="B551" s="22">
        <v>124000000000257</v>
      </c>
      <c r="C551" s="4" t="str">
        <f>IF(EXACT($B551, ""), "", IF((($B551 - MOD($B551, 1000000000000))/1000000000000)=25, CONCATENATE("Person - ", VLOOKUP($B551, [1]DataLookUp!$B$4:$C$2000, 2, FALSE)), IF((($B551 - MOD($B551, 1000000000000))/1000000000000)=124, CONCATENATE("Institution - ", VLOOKUP($B551, '[2]DataLookUp - InstitutionBranch'!$B$4:$C$2000, 2, FALSE)), "")))</f>
        <v xml:space="preserve">Institution - PT. ZTT Cable Indonesia     </v>
      </c>
      <c r="D551" s="22">
        <v>223000000000002</v>
      </c>
      <c r="E551" s="4" t="str">
        <f>IF(EXACT($D551, ""), "", VLOOKUP($D551, 'REF - ContactNumberType'!$B$4:$C$10, 2, FALSE))</f>
        <v>Mobile Phone</v>
      </c>
      <c r="F551" s="26" t="s">
        <v>1443</v>
      </c>
      <c r="G551" s="9"/>
      <c r="H551" s="9"/>
      <c r="J551" s="33">
        <f t="shared" si="17"/>
        <v>286000000000507</v>
      </c>
      <c r="K551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223000000000002::bigint, '+62 811-895-789     '::varchar, NULL::varchar, NULL::varchar, '124000000000257'::bigint);</v>
      </c>
    </row>
    <row r="552" spans="2:11" x14ac:dyDescent="0.2">
      <c r="B552" s="22">
        <v>124000000000258</v>
      </c>
      <c r="C552" s="4" t="str">
        <f>IF(EXACT($B552, ""), "", IF((($B552 - MOD($B552, 1000000000000))/1000000000000)=25, CONCATENATE("Person - ", VLOOKUP($B552, [1]DataLookUp!$B$4:$C$2000, 2, FALSE)), IF((($B552 - MOD($B552, 1000000000000))/1000000000000)=124, CONCATENATE("Institution - ", VLOOKUP($B552, '[2]DataLookUp - InstitutionBranch'!$B$4:$C$2000, 2, FALSE)), "")))</f>
        <v>Institution - PT. KMI Wire and Cable, Tbk [a.k.a : Kabel Metal Indonesia]</v>
      </c>
      <c r="D552" s="22">
        <v>223000000000004</v>
      </c>
      <c r="E552" s="4" t="str">
        <f>IF(EXACT($D552, ""), "", VLOOKUP($D552, 'REF - ContactNumberType'!$B$4:$C$10, 2, FALSE))</f>
        <v>Office Phone</v>
      </c>
      <c r="F552" s="26" t="s">
        <v>1440</v>
      </c>
      <c r="G552" s="9"/>
      <c r="H552" s="9" t="s">
        <v>1004</v>
      </c>
      <c r="J552" s="33">
        <f t="shared" si="17"/>
        <v>286000000000508</v>
      </c>
      <c r="K552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460-1733'::varchar, NULL::varchar, 'Dede Suhendra'::varchar, '124000000000258'::bigint);</v>
      </c>
    </row>
    <row r="553" spans="2:11" x14ac:dyDescent="0.2">
      <c r="B553" s="22">
        <v>124000000000258</v>
      </c>
      <c r="C553" s="4" t="str">
        <f>IF(EXACT($B553, ""), "", IF((($B553 - MOD($B553, 1000000000000))/1000000000000)=25, CONCATENATE("Person - ", VLOOKUP($B553, [1]DataLookUp!$B$4:$C$2000, 2, FALSE)), IF((($B553 - MOD($B553, 1000000000000))/1000000000000)=124, CONCATENATE("Institution - ", VLOOKUP($B553, '[2]DataLookUp - InstitutionBranch'!$B$4:$C$2000, 2, FALSE)), "")))</f>
        <v>Institution - PT. KMI Wire and Cable, Tbk [a.k.a : Kabel Metal Indonesia]</v>
      </c>
      <c r="D553" s="22">
        <v>223000000000005</v>
      </c>
      <c r="E553" s="4" t="str">
        <f>IF(EXACT($D553, ""), "", VLOOKUP($D553, 'REF - ContactNumberType'!$B$4:$C$10, 2, FALSE))</f>
        <v>Faximile</v>
      </c>
      <c r="F553" s="26" t="s">
        <v>1441</v>
      </c>
      <c r="G553" s="9"/>
      <c r="H553" s="9" t="s">
        <v>1004</v>
      </c>
      <c r="J553" s="33">
        <f t="shared" si="17"/>
        <v>286000000000509</v>
      </c>
      <c r="K553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461-0588'::varchar, NULL::varchar, 'Dede Suhendra'::varchar, '124000000000258'::bigint);</v>
      </c>
    </row>
    <row r="554" spans="2:11" x14ac:dyDescent="0.2">
      <c r="B554" s="22">
        <v>124000000000259</v>
      </c>
      <c r="C554" s="4" t="str">
        <f>IF(EXACT($B554, ""), "", IF((($B554 - MOD($B554, 1000000000000))/1000000000000)=25, CONCATENATE("Person - ", VLOOKUP($B554, [1]DataLookUp!$B$4:$C$2000, 2, FALSE)), IF((($B554 - MOD($B554, 1000000000000))/1000000000000)=124, CONCATENATE("Institution - ", VLOOKUP($B554, '[2]DataLookUp - InstitutionBranch'!$B$4:$C$2000, 2, FALSE)), "")))</f>
        <v>Institution - PT. Kokoh Inti Arebama, Tbk</v>
      </c>
      <c r="D554" s="22">
        <v>223000000000002</v>
      </c>
      <c r="E554" s="4" t="str">
        <f>IF(EXACT($D554, ""), "", VLOOKUP($D554, 'REF - ContactNumberType'!$B$4:$C$10, 2, FALSE))</f>
        <v>Mobile Phone</v>
      </c>
      <c r="F554" s="26" t="s">
        <v>1436</v>
      </c>
      <c r="G554" s="9"/>
      <c r="H554" s="9" t="s">
        <v>1056</v>
      </c>
      <c r="J554" s="33">
        <f t="shared" si="17"/>
        <v>286000000000510</v>
      </c>
      <c r="K554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223000000000002::bigint, '+62 812-2505-5287'::varchar, NULL::varchar, 'Herry'::varchar, '124000000000259'::bigint);</v>
      </c>
    </row>
    <row r="555" spans="2:11" x14ac:dyDescent="0.2">
      <c r="B555" s="22">
        <v>124000000000259</v>
      </c>
      <c r="C555" s="4" t="str">
        <f>IF(EXACT($B555, ""), "", IF((($B555 - MOD($B555, 1000000000000))/1000000000000)=25, CONCATENATE("Person - ", VLOOKUP($B555, [1]DataLookUp!$B$4:$C$2000, 2, FALSE)), IF((($B555 - MOD($B555, 1000000000000))/1000000000000)=124, CONCATENATE("Institution - ", VLOOKUP($B555, '[2]DataLookUp - InstitutionBranch'!$B$4:$C$2000, 2, FALSE)), "")))</f>
        <v>Institution - PT. Kokoh Inti Arebama, Tbk</v>
      </c>
      <c r="D555" s="22">
        <v>223000000000004</v>
      </c>
      <c r="E555" s="4" t="str">
        <f>IF(EXACT($D555, ""), "", VLOOKUP($D555, 'REF - ContactNumberType'!$B$4:$C$10, 2, FALSE))</f>
        <v>Office Phone</v>
      </c>
      <c r="F555" s="26" t="s">
        <v>1437</v>
      </c>
      <c r="G555" s="9"/>
      <c r="H555" s="9" t="s">
        <v>1056</v>
      </c>
      <c r="J555" s="33">
        <f t="shared" si="17"/>
        <v>286000000000511</v>
      </c>
      <c r="K555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797-1153'::varchar, NULL::varchar, 'Herry'::varchar, '124000000000259'::bigint);</v>
      </c>
    </row>
    <row r="556" spans="2:11" x14ac:dyDescent="0.2">
      <c r="B556" s="22">
        <v>124000000000259</v>
      </c>
      <c r="C556" s="4" t="str">
        <f>IF(EXACT($B556, ""), "", IF((($B556 - MOD($B556, 1000000000000))/1000000000000)=25, CONCATENATE("Person - ", VLOOKUP($B556, [1]DataLookUp!$B$4:$C$2000, 2, FALSE)), IF((($B556 - MOD($B556, 1000000000000))/1000000000000)=124, CONCATENATE("Institution - ", VLOOKUP($B556, '[2]DataLookUp - InstitutionBranch'!$B$4:$C$2000, 2, FALSE)), "")))</f>
        <v>Institution - PT. Kokoh Inti Arebama, Tbk</v>
      </c>
      <c r="D556" s="22">
        <v>223000000000004</v>
      </c>
      <c r="E556" s="4" t="str">
        <f>IF(EXACT($D556, ""), "", VLOOKUP($D556, 'REF - ContactNumberType'!$B$4:$C$10, 2, FALSE))</f>
        <v>Office Phone</v>
      </c>
      <c r="F556" s="26" t="s">
        <v>1438</v>
      </c>
      <c r="G556" s="9"/>
      <c r="H556" s="9" t="s">
        <v>1056</v>
      </c>
      <c r="J556" s="33">
        <f t="shared" si="17"/>
        <v>286000000000512</v>
      </c>
      <c r="K556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797-1190'::varchar, NULL::varchar, 'Herry'::varchar, '124000000000259'::bigint);</v>
      </c>
    </row>
    <row r="557" spans="2:11" x14ac:dyDescent="0.2">
      <c r="B557" s="22">
        <v>124000000000260</v>
      </c>
      <c r="C557" s="4" t="str">
        <f>IF(EXACT($B557, ""), "", IF((($B557 - MOD($B557, 1000000000000))/1000000000000)=25, CONCATENATE("Person - ", VLOOKUP($B557, [1]DataLookUp!$B$4:$C$2000, 2, FALSE)), IF((($B557 - MOD($B557, 1000000000000))/1000000000000)=124, CONCATENATE("Institution - ", VLOOKUP($B557, '[2]DataLookUp - InstitutionBranch'!$B$4:$C$2000, 2, FALSE)), "")))</f>
        <v>Institution - BPJS Ketenagakerjaan</v>
      </c>
      <c r="D557" s="22">
        <v>223000000000004</v>
      </c>
      <c r="E557" s="4" t="str">
        <f>IF(EXACT($D557, ""), "", VLOOKUP($D557, 'REF - ContactNumberType'!$B$4:$C$10, 2, FALSE))</f>
        <v>Office Phone</v>
      </c>
      <c r="F557" s="26" t="s">
        <v>1430</v>
      </c>
      <c r="G557" s="9"/>
      <c r="H557" s="9" t="s">
        <v>1057</v>
      </c>
      <c r="J557" s="33">
        <f t="shared" si="17"/>
        <v>286000000000513</v>
      </c>
      <c r="K557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527-9318'::varchar, NULL::varchar, 'Titi suprapti'::varchar, '124000000000260'::bigint);</v>
      </c>
    </row>
    <row r="558" spans="2:11" x14ac:dyDescent="0.2">
      <c r="B558" s="22">
        <v>124000000000260</v>
      </c>
      <c r="C558" s="4" t="str">
        <f>IF(EXACT($B558, ""), "", IF((($B558 - MOD($B558, 1000000000000))/1000000000000)=25, CONCATENATE("Person - ", VLOOKUP($B558, [1]DataLookUp!$B$4:$C$2000, 2, FALSE)), IF((($B558 - MOD($B558, 1000000000000))/1000000000000)=124, CONCATENATE("Institution - ", VLOOKUP($B558, '[2]DataLookUp - InstitutionBranch'!$B$4:$C$2000, 2, FALSE)), "")))</f>
        <v>Institution - BPJS Ketenagakerjaan</v>
      </c>
      <c r="D558" s="22">
        <v>223000000000004</v>
      </c>
      <c r="E558" s="4" t="str">
        <f>IF(EXACT($D558, ""), "", VLOOKUP($D558, 'REF - ContactNumberType'!$B$4:$C$10, 2, FALSE))</f>
        <v>Office Phone</v>
      </c>
      <c r="F558" s="26" t="s">
        <v>1431</v>
      </c>
      <c r="G558" s="9"/>
      <c r="H558" s="9" t="s">
        <v>1057</v>
      </c>
      <c r="J558" s="33">
        <f t="shared" si="17"/>
        <v>286000000000514</v>
      </c>
      <c r="K558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527-9319'::varchar, NULL::varchar, 'Titi suprapti'::varchar, '124000000000260'::bigint);</v>
      </c>
    </row>
    <row r="559" spans="2:11" x14ac:dyDescent="0.2">
      <c r="B559" s="22">
        <v>124000000000260</v>
      </c>
      <c r="C559" s="4" t="str">
        <f>IF(EXACT($B559, ""), "", IF((($B559 - MOD($B559, 1000000000000))/1000000000000)=25, CONCATENATE("Person - ", VLOOKUP($B559, [1]DataLookUp!$B$4:$C$2000, 2, FALSE)), IF((($B559 - MOD($B559, 1000000000000))/1000000000000)=124, CONCATENATE("Institution - ", VLOOKUP($B559, '[2]DataLookUp - InstitutionBranch'!$B$4:$C$2000, 2, FALSE)), "")))</f>
        <v>Institution - BPJS Ketenagakerjaan</v>
      </c>
      <c r="D559" s="22">
        <v>223000000000004</v>
      </c>
      <c r="E559" s="4" t="str">
        <f>IF(EXACT($D559, ""), "", VLOOKUP($D559, 'REF - ContactNumberType'!$B$4:$C$10, 2, FALSE))</f>
        <v>Office Phone</v>
      </c>
      <c r="F559" s="26" t="s">
        <v>1432</v>
      </c>
      <c r="G559" s="9"/>
      <c r="H559" s="9" t="s">
        <v>1057</v>
      </c>
      <c r="J559" s="33">
        <f t="shared" si="17"/>
        <v>286000000000515</v>
      </c>
      <c r="K559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527-9320'::varchar, NULL::varchar, 'Titi suprapti'::varchar, '124000000000260'::bigint);</v>
      </c>
    </row>
    <row r="560" spans="2:11" x14ac:dyDescent="0.2">
      <c r="B560" s="22">
        <v>124000000000260</v>
      </c>
      <c r="C560" s="4" t="str">
        <f>IF(EXACT($B560, ""), "", IF((($B560 - MOD($B560, 1000000000000))/1000000000000)=25, CONCATENATE("Person - ", VLOOKUP($B560, [1]DataLookUp!$B$4:$C$2000, 2, FALSE)), IF((($B560 - MOD($B560, 1000000000000))/1000000000000)=124, CONCATENATE("Institution - ", VLOOKUP($B560, '[2]DataLookUp - InstitutionBranch'!$B$4:$C$2000, 2, FALSE)), "")))</f>
        <v>Institution - BPJS Ketenagakerjaan</v>
      </c>
      <c r="D560" s="22">
        <v>223000000000004</v>
      </c>
      <c r="E560" s="4" t="str">
        <f>IF(EXACT($D560, ""), "", VLOOKUP($D560, 'REF - ContactNumberType'!$B$4:$C$10, 2, FALSE))</f>
        <v>Office Phone</v>
      </c>
      <c r="F560" s="26" t="s">
        <v>1433</v>
      </c>
      <c r="G560" s="9"/>
      <c r="H560" s="9" t="s">
        <v>1057</v>
      </c>
      <c r="J560" s="33">
        <f t="shared" si="17"/>
        <v>286000000000516</v>
      </c>
      <c r="K560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527-9321'::varchar, NULL::varchar, 'Titi suprapti'::varchar, '124000000000260'::bigint);</v>
      </c>
    </row>
    <row r="561" spans="2:11" x14ac:dyDescent="0.2">
      <c r="B561" s="22">
        <v>124000000000260</v>
      </c>
      <c r="C561" s="4" t="str">
        <f>IF(EXACT($B561, ""), "", IF((($B561 - MOD($B561, 1000000000000))/1000000000000)=25, CONCATENATE("Person - ", VLOOKUP($B561, [1]DataLookUp!$B$4:$C$2000, 2, FALSE)), IF((($B561 - MOD($B561, 1000000000000))/1000000000000)=124, CONCATENATE("Institution - ", VLOOKUP($B561, '[2]DataLookUp - InstitutionBranch'!$B$4:$C$2000, 2, FALSE)), "")))</f>
        <v>Institution - BPJS Ketenagakerjaan</v>
      </c>
      <c r="D561" s="22">
        <v>223000000000004</v>
      </c>
      <c r="E561" s="4" t="str">
        <f>IF(EXACT($D561, ""), "", VLOOKUP($D561, 'REF - ContactNumberType'!$B$4:$C$10, 2, FALSE))</f>
        <v>Office Phone</v>
      </c>
      <c r="F561" s="26" t="s">
        <v>1434</v>
      </c>
      <c r="G561" s="9"/>
      <c r="H561" s="9" t="s">
        <v>1057</v>
      </c>
      <c r="J561" s="33">
        <f t="shared" si="17"/>
        <v>286000000000517</v>
      </c>
      <c r="K561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527-9322'::varchar, NULL::varchar, 'Titi suprapti'::varchar, '124000000000260'::bigint);</v>
      </c>
    </row>
    <row r="562" spans="2:11" x14ac:dyDescent="0.2">
      <c r="B562" s="22">
        <v>124000000000260</v>
      </c>
      <c r="C562" s="4" t="str">
        <f>IF(EXACT($B562, ""), "", IF((($B562 - MOD($B562, 1000000000000))/1000000000000)=25, CONCATENATE("Person - ", VLOOKUP($B562, [1]DataLookUp!$B$4:$C$2000, 2, FALSE)), IF((($B562 - MOD($B562, 1000000000000))/1000000000000)=124, CONCATENATE("Institution - ", VLOOKUP($B562, '[2]DataLookUp - InstitutionBranch'!$B$4:$C$2000, 2, FALSE)), "")))</f>
        <v>Institution - BPJS Ketenagakerjaan</v>
      </c>
      <c r="D562" s="22">
        <v>223000000000004</v>
      </c>
      <c r="E562" s="4" t="str">
        <f>IF(EXACT($D562, ""), "", VLOOKUP($D562, 'REF - ContactNumberType'!$B$4:$C$10, 2, FALSE))</f>
        <v>Office Phone</v>
      </c>
      <c r="F562" s="26" t="s">
        <v>1435</v>
      </c>
      <c r="G562" s="9"/>
      <c r="H562" s="9" t="s">
        <v>1057</v>
      </c>
      <c r="J562" s="33">
        <f t="shared" si="17"/>
        <v>286000000000518</v>
      </c>
      <c r="K562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527-9323'::varchar, NULL::varchar, 'Titi suprapti'::varchar, '124000000000260'::bigint);</v>
      </c>
    </row>
    <row r="563" spans="2:11" x14ac:dyDescent="0.2">
      <c r="B563" s="22">
        <v>124000000000260</v>
      </c>
      <c r="C563" s="4" t="str">
        <f>IF(EXACT($B563, ""), "", IF((($B563 - MOD($B563, 1000000000000))/1000000000000)=25, CONCATENATE("Person - ", VLOOKUP($B563, [1]DataLookUp!$B$4:$C$2000, 2, FALSE)), IF((($B563 - MOD($B563, 1000000000000))/1000000000000)=124, CONCATENATE("Institution - ", VLOOKUP($B563, '[2]DataLookUp - InstitutionBranch'!$B$4:$C$2000, 2, FALSE)), "")))</f>
        <v>Institution - BPJS Ketenagakerjaan</v>
      </c>
      <c r="D563" s="22">
        <v>223000000000005</v>
      </c>
      <c r="E563" s="4" t="str">
        <f>IF(EXACT($D563, ""), "", VLOOKUP($D563, 'REF - ContactNumberType'!$B$4:$C$10, 2, FALSE))</f>
        <v>Faximile</v>
      </c>
      <c r="F563" s="26" t="s">
        <v>1429</v>
      </c>
      <c r="G563" s="9"/>
      <c r="H563" s="9" t="s">
        <v>1057</v>
      </c>
      <c r="J563" s="33">
        <f t="shared" si="17"/>
        <v>286000000000519</v>
      </c>
      <c r="K563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527-9324'::varchar, NULL::varchar, 'Titi suprapti'::varchar, '124000000000260'::bigint);</v>
      </c>
    </row>
    <row r="564" spans="2:11" x14ac:dyDescent="0.2">
      <c r="B564" s="22">
        <v>124000000000260</v>
      </c>
      <c r="C564" s="4" t="str">
        <f>IF(EXACT($B564, ""), "", IF((($B564 - MOD($B564, 1000000000000))/1000000000000)=25, CONCATENATE("Person - ", VLOOKUP($B564, [1]DataLookUp!$B$4:$C$2000, 2, FALSE)), IF((($B564 - MOD($B564, 1000000000000))/1000000000000)=124, CONCATENATE("Institution - ", VLOOKUP($B564, '[2]DataLookUp - InstitutionBranch'!$B$4:$C$2000, 2, FALSE)), "")))</f>
        <v>Institution - BPJS Ketenagakerjaan</v>
      </c>
      <c r="D564" s="22">
        <v>223000000000005</v>
      </c>
      <c r="E564" s="4" t="str">
        <f>IF(EXACT($D564, ""), "", VLOOKUP($D564, 'REF - ContactNumberType'!$B$4:$C$10, 2, FALSE))</f>
        <v>Faximile</v>
      </c>
      <c r="F564" s="26" t="s">
        <v>1428</v>
      </c>
      <c r="G564" s="9"/>
      <c r="H564" s="9" t="s">
        <v>1057</v>
      </c>
      <c r="J564" s="33">
        <f t="shared" si="17"/>
        <v>286000000000520</v>
      </c>
      <c r="K564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527-9325'::varchar, NULL::varchar, 'Titi suprapti'::varchar, '124000000000260'::bigint);</v>
      </c>
    </row>
    <row r="565" spans="2:11" x14ac:dyDescent="0.2">
      <c r="B565" s="22">
        <v>124000000000261</v>
      </c>
      <c r="C565" s="4" t="str">
        <f>IF(EXACT($B565, ""), "", IF((($B565 - MOD($B565, 1000000000000))/1000000000000)=25, CONCATENATE("Person - ", VLOOKUP($B565, [1]DataLookUp!$B$4:$C$2000, 2, FALSE)), IF((($B565 - MOD($B565, 1000000000000))/1000000000000)=124, CONCATENATE("Institution - ", VLOOKUP($B565, '[2]DataLookUp - InstitutionBranch'!$B$4:$C$2000, 2, FALSE)), "")))</f>
        <v>Institution - BPJS Kesehatan</v>
      </c>
      <c r="D565" s="22">
        <v>223000000000002</v>
      </c>
      <c r="E565" s="4" t="str">
        <f>IF(EXACT($D565, ""), "", VLOOKUP($D565, 'REF - ContactNumberType'!$B$4:$C$10, 2, FALSE))</f>
        <v>Mobile Phone</v>
      </c>
      <c r="F565" s="26" t="s">
        <v>1424</v>
      </c>
      <c r="G565" s="9"/>
      <c r="H565" s="9" t="s">
        <v>1705</v>
      </c>
      <c r="J565" s="33">
        <f t="shared" si="17"/>
        <v>286000000000521</v>
      </c>
      <c r="K565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223000000000002::bigint, '+62 812-841-5148'::varchar, NULL::varchar, 'BPJS Kesehatan'::varchar, '124000000000261'::bigint);</v>
      </c>
    </row>
    <row r="566" spans="2:11" x14ac:dyDescent="0.2">
      <c r="B566" s="22">
        <v>124000000000261</v>
      </c>
      <c r="C566" s="4" t="str">
        <f>IF(EXACT($B566, ""), "", IF((($B566 - MOD($B566, 1000000000000))/1000000000000)=25, CONCATENATE("Person - ", VLOOKUP($B566, [1]DataLookUp!$B$4:$C$2000, 2, FALSE)), IF((($B566 - MOD($B566, 1000000000000))/1000000000000)=124, CONCATENATE("Institution - ", VLOOKUP($B566, '[2]DataLookUp - InstitutionBranch'!$B$4:$C$2000, 2, FALSE)), "")))</f>
        <v>Institution - BPJS Kesehatan</v>
      </c>
      <c r="D566" s="22">
        <v>223000000000004</v>
      </c>
      <c r="E566" s="4" t="str">
        <f>IF(EXACT($D566, ""), "", VLOOKUP($D566, 'REF - ContactNumberType'!$B$4:$C$10, 2, FALSE))</f>
        <v>Office Phone</v>
      </c>
      <c r="F566" s="26" t="s">
        <v>1722</v>
      </c>
      <c r="G566" s="9"/>
      <c r="H566" s="9" t="s">
        <v>1705</v>
      </c>
      <c r="J566" s="33">
        <f t="shared" si="17"/>
        <v>286000000000522</v>
      </c>
      <c r="K566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794-6321'::varchar, NULL::varchar, 'BPJS Kesehatan'::varchar, '124000000000261'::bigint);</v>
      </c>
    </row>
    <row r="567" spans="2:11" x14ac:dyDescent="0.2">
      <c r="B567" s="22">
        <v>124000000000262</v>
      </c>
      <c r="C567" s="4" t="str">
        <f>IF(EXACT($B567, ""), "", IF((($B567 - MOD($B567, 1000000000000))/1000000000000)=25, CONCATENATE("Person - ", VLOOKUP($B567, [1]DataLookUp!$B$4:$C$2000, 2, FALSE)), IF((($B567 - MOD($B567, 1000000000000))/1000000000000)=124, CONCATENATE("Institution - ", VLOOKUP($B567, '[2]DataLookUp - InstitutionBranch'!$B$4:$C$2000, 2, FALSE)), "")))</f>
        <v>Institution - PT. Bank Rakyat Indonesia (Persero), Tbk</v>
      </c>
      <c r="D567" s="22">
        <v>223000000000002</v>
      </c>
      <c r="E567" s="4" t="str">
        <f>IF(EXACT($D567, ""), "", VLOOKUP($D567, 'REF - ContactNumberType'!$B$4:$C$10, 2, FALSE))</f>
        <v>Mobile Phone</v>
      </c>
      <c r="F567" s="26" t="s">
        <v>1423</v>
      </c>
      <c r="G567" s="9"/>
      <c r="H567" s="9" t="s">
        <v>1058</v>
      </c>
      <c r="J567" s="33">
        <f t="shared" si="17"/>
        <v>286000000000523</v>
      </c>
      <c r="K567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223000000000002::bigint, '+62 821-2435-5468'::varchar, NULL::varchar, 'Wahyu R BRI PLN Pusat'::varchar, '124000000000262'::bigint);</v>
      </c>
    </row>
    <row r="568" spans="2:11" x14ac:dyDescent="0.2">
      <c r="B568" s="22">
        <v>124000000000262</v>
      </c>
      <c r="C568" s="4" t="str">
        <f>IF(EXACT($B568, ""), "", IF((($B568 - MOD($B568, 1000000000000))/1000000000000)=25, CONCATENATE("Person - ", VLOOKUP($B568, [1]DataLookUp!$B$4:$C$2000, 2, FALSE)), IF((($B568 - MOD($B568, 1000000000000))/1000000000000)=124, CONCATENATE("Institution - ", VLOOKUP($B568, '[2]DataLookUp - InstitutionBranch'!$B$4:$C$2000, 2, FALSE)), "")))</f>
        <v>Institution - PT. Bank Rakyat Indonesia (Persero), Tbk</v>
      </c>
      <c r="D568" s="22">
        <v>223000000000004</v>
      </c>
      <c r="E568" s="4" t="str">
        <f>IF(EXACT($D568, ""), "", VLOOKUP($D568, 'REF - ContactNumberType'!$B$4:$C$10, 2, FALSE))</f>
        <v>Office Phone</v>
      </c>
      <c r="F568" s="26" t="s">
        <v>1421</v>
      </c>
      <c r="G568" s="9"/>
      <c r="H568" s="9" t="s">
        <v>1058</v>
      </c>
      <c r="J568" s="33">
        <f t="shared" si="17"/>
        <v>286000000000524</v>
      </c>
      <c r="K568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725-5924'::varchar, NULL::varchar, 'Wahyu R BRI PLN Pusat'::varchar, '124000000000262'::bigint);</v>
      </c>
    </row>
    <row r="569" spans="2:11" x14ac:dyDescent="0.2">
      <c r="B569" s="22">
        <v>124000000000262</v>
      </c>
      <c r="C569" s="4" t="str">
        <f>IF(EXACT($B569, ""), "", IF((($B569 - MOD($B569, 1000000000000))/1000000000000)=25, CONCATENATE("Person - ", VLOOKUP($B569, [1]DataLookUp!$B$4:$C$2000, 2, FALSE)), IF((($B569 - MOD($B569, 1000000000000))/1000000000000)=124, CONCATENATE("Institution - ", VLOOKUP($B569, '[2]DataLookUp - InstitutionBranch'!$B$4:$C$2000, 2, FALSE)), "")))</f>
        <v>Institution - PT. Bank Rakyat Indonesia (Persero), Tbk</v>
      </c>
      <c r="D569" s="22">
        <v>223000000000005</v>
      </c>
      <c r="E569" s="4" t="str">
        <f>IF(EXACT($D569, ""), "", VLOOKUP($D569, 'REF - ContactNumberType'!$B$4:$C$10, 2, FALSE))</f>
        <v>Faximile</v>
      </c>
      <c r="F569" s="26" t="s">
        <v>1422</v>
      </c>
      <c r="G569" s="9"/>
      <c r="H569" s="9" t="s">
        <v>1058</v>
      </c>
      <c r="J569" s="33">
        <f t="shared" si="17"/>
        <v>286000000000525</v>
      </c>
      <c r="K569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725-5968'::varchar, NULL::varchar, 'Wahyu R BRI PLN Pusat'::varchar, '124000000000262'::bigint);</v>
      </c>
    </row>
    <row r="570" spans="2:11" x14ac:dyDescent="0.2">
      <c r="B570" s="22">
        <v>124000000000263</v>
      </c>
      <c r="C570" s="4" t="str">
        <f>IF(EXACT($B570, ""), "", IF((($B570 - MOD($B570, 1000000000000))/1000000000000)=25, CONCATENATE("Person - ", VLOOKUP($B570, [1]DataLookUp!$B$4:$C$2000, 2, FALSE)), IF((($B570 - MOD($B570, 1000000000000))/1000000000000)=124, CONCATENATE("Institution - ", VLOOKUP($B570, '[2]DataLookUp - InstitutionBranch'!$B$4:$C$2000, 2, FALSE)), "")))</f>
        <v xml:space="preserve">Institution - Koperasi Mekar - Jakarta Selatan </v>
      </c>
      <c r="D570" s="22">
        <v>223000000000002</v>
      </c>
      <c r="E570" s="4" t="str">
        <f>IF(EXACT($D570, ""), "", VLOOKUP($D570, 'REF - ContactNumberType'!$B$4:$C$10, 2, FALSE))</f>
        <v>Mobile Phone</v>
      </c>
      <c r="F570" s="26" t="s">
        <v>925</v>
      </c>
      <c r="G570" s="9"/>
      <c r="H570" s="9" t="s">
        <v>1059</v>
      </c>
      <c r="J570" s="33">
        <f t="shared" si="17"/>
        <v>286000000000526</v>
      </c>
      <c r="K570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223000000000002::bigint, '+62 822-5880-3066'::varchar, NULL::varchar, 'Ruwanto'::varchar, '124000000000263'::bigint);</v>
      </c>
    </row>
    <row r="571" spans="2:11" x14ac:dyDescent="0.2">
      <c r="B571" s="22">
        <v>124000000000264</v>
      </c>
      <c r="C571" s="4" t="str">
        <f>IF(EXACT($B571, ""), "", IF((($B571 - MOD($B571, 1000000000000))/1000000000000)=25, CONCATENATE("Person - ", VLOOKUP($B571, [1]DataLookUp!$B$4:$C$2000, 2, FALSE)), IF((($B571 - MOD($B571, 1000000000000))/1000000000000)=124, CONCATENATE("Institution - ", VLOOKUP($B571, '[2]DataLookUp - InstitutionBranch'!$B$4:$C$2000, 2, FALSE)), "")))</f>
        <v>Institution - PT. Pelayanan Listrik Nasional (Persero) - Pusat Sertifikasi</v>
      </c>
      <c r="D571" s="22">
        <v>223000000000004</v>
      </c>
      <c r="E571" s="4" t="str">
        <f>IF(EXACT($D571, ""), "", VLOOKUP($D571, 'REF - ContactNumberType'!$B$4:$C$10, 2, FALSE))</f>
        <v>Office Phone</v>
      </c>
      <c r="F571" s="26" t="s">
        <v>1427</v>
      </c>
      <c r="G571" s="9"/>
      <c r="H571" s="9" t="s">
        <v>1439</v>
      </c>
      <c r="J571" s="33">
        <f t="shared" si="17"/>
        <v>286000000000527</v>
      </c>
      <c r="K571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790-0034'::varchar, NULL::varchar, 'PLN (Persero) Pusat Sertifikasi'::varchar, '124000000000264'::bigint);</v>
      </c>
    </row>
    <row r="572" spans="2:11" x14ac:dyDescent="0.2">
      <c r="B572" s="22">
        <v>124000000000264</v>
      </c>
      <c r="C572" s="4" t="str">
        <f>IF(EXACT($B572, ""), "", IF((($B572 - MOD($B572, 1000000000000))/1000000000000)=25, CONCATENATE("Person - ", VLOOKUP($B572, [1]DataLookUp!$B$4:$C$2000, 2, FALSE)), IF((($B572 - MOD($B572, 1000000000000))/1000000000000)=124, CONCATENATE("Institution - ", VLOOKUP($B572, '[2]DataLookUp - InstitutionBranch'!$B$4:$C$2000, 2, FALSE)), "")))</f>
        <v>Institution - PT. Pelayanan Listrik Nasional (Persero) - Pusat Sertifikasi</v>
      </c>
      <c r="D572" s="22">
        <v>223000000000005</v>
      </c>
      <c r="E572" s="4" t="str">
        <f>IF(EXACT($D572, ""), "", VLOOKUP($D572, 'REF - ContactNumberType'!$B$4:$C$10, 2, FALSE))</f>
        <v>Faximile</v>
      </c>
      <c r="F572" s="26" t="s">
        <v>1426</v>
      </c>
      <c r="G572" s="9"/>
      <c r="H572" s="9" t="s">
        <v>1439</v>
      </c>
      <c r="J572" s="33">
        <f t="shared" si="17"/>
        <v>286000000000528</v>
      </c>
      <c r="K572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798-2034'::varchar, NULL::varchar, 'PLN (Persero) Pusat Sertifikasi'::varchar, '124000000000264'::bigint);</v>
      </c>
    </row>
    <row r="573" spans="2:11" x14ac:dyDescent="0.2">
      <c r="B573" s="22">
        <v>124000000000265</v>
      </c>
      <c r="C573" s="4" t="str">
        <f>IF(EXACT($B573, ""), "", IF((($B573 - MOD($B573, 1000000000000))/1000000000000)=25, CONCATENATE("Person - ", VLOOKUP($B573, [1]DataLookUp!$B$4:$C$2000, 2, FALSE)), IF((($B573 - MOD($B573, 1000000000000))/1000000000000)=124, CONCATENATE("Institution - ", VLOOKUP($B573, '[2]DataLookUp - InstitutionBranch'!$B$4:$C$2000, 2, FALSE)), "")))</f>
        <v>Institution - UD. Athar Marzuki Plywood</v>
      </c>
      <c r="D573" s="22">
        <v>223000000000002</v>
      </c>
      <c r="E573" s="4" t="str">
        <f>IF(EXACT($D573, ""), "", VLOOKUP($D573, 'REF - ContactNumberType'!$B$4:$C$10, 2, FALSE))</f>
        <v>Mobile Phone</v>
      </c>
      <c r="F573" s="26" t="s">
        <v>926</v>
      </c>
      <c r="G573" s="9"/>
      <c r="H573" s="9" t="s">
        <v>1060</v>
      </c>
      <c r="J573" s="33">
        <f t="shared" si="17"/>
        <v>286000000000529</v>
      </c>
      <c r="K573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223000000000002::bigint, '+62 812-7566-0605'::varchar, NULL::varchar, 'Robby'::varchar, '124000000000265'::bigint);</v>
      </c>
    </row>
    <row r="574" spans="2:11" x14ac:dyDescent="0.2">
      <c r="B574" s="22">
        <v>124000000000266</v>
      </c>
      <c r="C574" s="4" t="str">
        <f>IF(EXACT($B574, ""), "", IF((($B574 - MOD($B574, 1000000000000))/1000000000000)=25, CONCATENATE("Person - ", VLOOKUP($B574, [1]DataLookUp!$B$4:$C$2000, 2, FALSE)), IF((($B574 - MOD($B574, 1000000000000))/1000000000000)=124, CONCATENATE("Institution - ", VLOOKUP($B574, '[2]DataLookUp - InstitutionBranch'!$B$4:$C$2000, 2, FALSE)), "")))</f>
        <v>Institution - UD. Gajah Mungkur</v>
      </c>
      <c r="D574" s="22">
        <v>223000000000002</v>
      </c>
      <c r="E574" s="4" t="str">
        <f>IF(EXACT($D574, ""), "", VLOOKUP($D574, 'REF - ContactNumberType'!$B$4:$C$10, 2, FALSE))</f>
        <v>Mobile Phone</v>
      </c>
      <c r="F574" s="26" t="s">
        <v>1425</v>
      </c>
      <c r="G574" s="9"/>
      <c r="H574" s="9" t="s">
        <v>1061</v>
      </c>
      <c r="J574" s="33">
        <f t="shared" si="17"/>
        <v>286000000000530</v>
      </c>
      <c r="K574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223000000000002::bigint, '+62 812-507-4883'::varchar, NULL::varchar, 'Widyanto'::varchar, '124000000000266'::bigint);</v>
      </c>
    </row>
    <row r="575" spans="2:11" x14ac:dyDescent="0.2">
      <c r="B575" s="22">
        <v>124000000000266</v>
      </c>
      <c r="C575" s="4" t="str">
        <f>IF(EXACT($B575, ""), "", IF((($B575 - MOD($B575, 1000000000000))/1000000000000)=25, CONCATENATE("Person - ", VLOOKUP($B575, [1]DataLookUp!$B$4:$C$2000, 2, FALSE)), IF((($B575 - MOD($B575, 1000000000000))/1000000000000)=124, CONCATENATE("Institution - ", VLOOKUP($B575, '[2]DataLookUp - InstitutionBranch'!$B$4:$C$2000, 2, FALSE)), "")))</f>
        <v>Institution - UD. Gajah Mungkur</v>
      </c>
      <c r="D575" s="22">
        <v>223000000000002</v>
      </c>
      <c r="E575" s="4" t="str">
        <f>IF(EXACT($D575, ""), "", VLOOKUP($D575, 'REF - ContactNumberType'!$B$4:$C$10, 2, FALSE))</f>
        <v>Mobile Phone</v>
      </c>
      <c r="F575" s="26" t="s">
        <v>1418</v>
      </c>
      <c r="G575" s="9"/>
      <c r="H575" s="9" t="s">
        <v>1061</v>
      </c>
      <c r="J575" s="33">
        <f t="shared" si="17"/>
        <v>286000000000531</v>
      </c>
      <c r="K575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223000000000002::bigint, '+62 813-4914-0290'::varchar, NULL::varchar, 'Widyanto'::varchar, '124000000000266'::bigint);</v>
      </c>
    </row>
    <row r="576" spans="2:11" x14ac:dyDescent="0.2">
      <c r="B576" s="22">
        <v>124000000000267</v>
      </c>
      <c r="C576" s="4" t="str">
        <f>IF(EXACT($B576, ""), "", IF((($B576 - MOD($B576, 1000000000000))/1000000000000)=25, CONCATENATE("Person - ", VLOOKUP($B576, [1]DataLookUp!$B$4:$C$2000, 2, FALSE)), IF((($B576 - MOD($B576, 1000000000000))/1000000000000)=124, CONCATENATE("Institution - ", VLOOKUP($B576, '[2]DataLookUp - InstitutionBranch'!$B$4:$C$2000, 2, FALSE)), "")))</f>
        <v>Institution - UD. Kalam Hidup kendari</v>
      </c>
      <c r="D576" s="22">
        <v>223000000000004</v>
      </c>
      <c r="E576" s="4" t="str">
        <f>IF(EXACT($D576, ""), "", VLOOKUP($D576, 'REF - ContactNumberType'!$B$4:$C$10, 2, FALSE))</f>
        <v>Office Phone</v>
      </c>
      <c r="F576" s="26" t="s">
        <v>1419</v>
      </c>
      <c r="G576" s="9"/>
      <c r="H576" s="9" t="s">
        <v>1417</v>
      </c>
      <c r="J576" s="33">
        <f t="shared" si="17"/>
        <v>286000000000532</v>
      </c>
      <c r="K576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223000000000004::bigint, '+62 (0401) 312-2812'::varchar, NULL::varchar, 'Salsa'::varchar, '124000000000267'::bigint);</v>
      </c>
    </row>
    <row r="577" spans="2:11" x14ac:dyDescent="0.2">
      <c r="B577" s="22">
        <v>124000000000268</v>
      </c>
      <c r="C577" s="4" t="str">
        <f>IF(EXACT($B577, ""), "", IF((($B577 - MOD($B577, 1000000000000))/1000000000000)=25, CONCATENATE("Person - ", VLOOKUP($B577, [1]DataLookUp!$B$4:$C$2000, 2, FALSE)), IF((($B577 - MOD($B577, 1000000000000))/1000000000000)=124, CONCATENATE("Institution - ", VLOOKUP($B577, '[2]DataLookUp - InstitutionBranch'!$B$4:$C$2000, 2, FALSE)), "")))</f>
        <v>Institution - UD. Mandiri Jaya</v>
      </c>
      <c r="D577" s="22">
        <v>223000000000002</v>
      </c>
      <c r="E577" s="4" t="str">
        <f>IF(EXACT($D577, ""), "", VLOOKUP($D577, 'REF - ContactNumberType'!$B$4:$C$10, 2, FALSE))</f>
        <v>Mobile Phone</v>
      </c>
      <c r="F577" s="26" t="s">
        <v>1420</v>
      </c>
      <c r="G577" s="9"/>
      <c r="H577" s="9" t="s">
        <v>1062</v>
      </c>
      <c r="J577" s="33">
        <f t="shared" si="17"/>
        <v>286000000000533</v>
      </c>
      <c r="K577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223000000000002::bigint, '+62 812-1899-6521'::varchar, NULL::varchar, 'Albert Pranata Wijaya'::varchar, '124000000000268'::bigint);</v>
      </c>
    </row>
    <row r="578" spans="2:11" x14ac:dyDescent="0.2">
      <c r="B578" s="22">
        <v>124000000000269</v>
      </c>
      <c r="C578" s="4" t="str">
        <f>IF(EXACT($B578, ""), "", IF((($B578 - MOD($B578, 1000000000000))/1000000000000)=25, CONCATENATE("Person - ", VLOOKUP($B578, [1]DataLookUp!$B$4:$C$2000, 2, FALSE)), IF((($B578 - MOD($B578, 1000000000000))/1000000000000)=124, CONCATENATE("Institution - ", VLOOKUP($B578, '[2]DataLookUp - InstitutionBranch'!$B$4:$C$2000, 2, FALSE)), "")))</f>
        <v>Institution - UD. Subur</v>
      </c>
      <c r="D578" s="22">
        <v>223000000000002</v>
      </c>
      <c r="E578" s="4" t="str">
        <f>IF(EXACT($D578, ""), "", VLOOKUP($D578, 'REF - ContactNumberType'!$B$4:$C$10, 2, FALSE))</f>
        <v>Mobile Phone</v>
      </c>
      <c r="F578" s="26" t="s">
        <v>1247</v>
      </c>
      <c r="G578" s="9"/>
      <c r="H578" s="9"/>
      <c r="J578" s="33">
        <f t="shared" si="17"/>
        <v>286000000000534</v>
      </c>
      <c r="K578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223000000000002::bigint, '+62 852-4928-6029'::varchar, NULL::varchar, NULL::varchar, '124000000000269'::bigint);</v>
      </c>
    </row>
    <row r="579" spans="2:11" x14ac:dyDescent="0.2">
      <c r="B579" s="22">
        <v>124000000000270</v>
      </c>
      <c r="C579" s="4" t="str">
        <f>IF(EXACT($B579, ""), "", IF((($B579 - MOD($B579, 1000000000000))/1000000000000)=25, CONCATENATE("Person - ", VLOOKUP($B579, [1]DataLookUp!$B$4:$C$2000, 2, FALSE)), IF((($B579 - MOD($B579, 1000000000000))/1000000000000)=124, CONCATENATE("Institution - ", VLOOKUP($B579, '[2]DataLookUp - InstitutionBranch'!$B$4:$C$2000, 2, FALSE)), "")))</f>
        <v>Institution - UD. Thufail</v>
      </c>
      <c r="D579" s="22">
        <v>223000000000002</v>
      </c>
      <c r="E579" s="4" t="str">
        <f>IF(EXACT($D579, ""), "", VLOOKUP($D579, 'REF - ContactNumberType'!$B$4:$C$10, 2, FALSE))</f>
        <v>Mobile Phone</v>
      </c>
      <c r="F579" s="26" t="s">
        <v>1416</v>
      </c>
      <c r="G579" s="9"/>
      <c r="H579" s="9"/>
      <c r="J579" s="33">
        <f t="shared" si="17"/>
        <v>286000000000535</v>
      </c>
      <c r="K579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223000000000002::bigint, '+62 852-4231-6821'::varchar, NULL::varchar, NULL::varchar, '124000000000270'::bigint);</v>
      </c>
    </row>
    <row r="580" spans="2:11" x14ac:dyDescent="0.2">
      <c r="B580" s="22">
        <v>124000000000271</v>
      </c>
      <c r="C580" s="4" t="str">
        <f>IF(EXACT($B580, ""), "", IF((($B580 - MOD($B580, 1000000000000))/1000000000000)=25, CONCATENATE("Person - ", VLOOKUP($B580, [1]DataLookUp!$B$4:$C$2000, 2, FALSE)), IF((($B580 - MOD($B580, 1000000000000))/1000000000000)=124, CONCATENATE("Institution - ", VLOOKUP($B580, '[2]DataLookUp - InstitutionBranch'!$B$4:$C$2000, 2, FALSE)), "")))</f>
        <v>Institution - TB. Asep Saprudin</v>
      </c>
      <c r="D580" s="22">
        <v>223000000000002</v>
      </c>
      <c r="E580" s="4" t="str">
        <f>IF(EXACT($D580, ""), "", VLOOKUP($D580, 'REF - ContactNumberType'!$B$4:$C$10, 2, FALSE))</f>
        <v>Mobile Phone</v>
      </c>
      <c r="F580" s="26" t="s">
        <v>1414</v>
      </c>
      <c r="G580" s="9"/>
      <c r="H580" s="9" t="s">
        <v>1063</v>
      </c>
      <c r="J580" s="33">
        <f t="shared" si="17"/>
        <v>286000000000536</v>
      </c>
      <c r="K580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223000000000002::bigint, '+62 852-2229-4833'::varchar, NULL::varchar, 'Asep'::varchar, '124000000000271'::bigint);</v>
      </c>
    </row>
    <row r="581" spans="2:11" x14ac:dyDescent="0.2">
      <c r="B581" s="22">
        <v>124000000000272</v>
      </c>
      <c r="C581" s="4" t="str">
        <f>IF(EXACT($B581, ""), "", IF((($B581 - MOD($B581, 1000000000000))/1000000000000)=25, CONCATENATE("Person - ", VLOOKUP($B581, [1]DataLookUp!$B$4:$C$2000, 2, FALSE)), IF((($B581 - MOD($B581, 1000000000000))/1000000000000)=124, CONCATENATE("Institution - ", VLOOKUP($B581, '[2]DataLookUp - InstitutionBranch'!$B$4:$C$2000, 2, FALSE)), "")))</f>
        <v>Institution - TB. Berkah Sentosa</v>
      </c>
      <c r="D581" s="22">
        <v>223000000000002</v>
      </c>
      <c r="E581" s="4" t="str">
        <f>IF(EXACT($D581, ""), "", VLOOKUP($D581, 'REF - ContactNumberType'!$B$4:$C$10, 2, FALSE))</f>
        <v>Mobile Phone</v>
      </c>
      <c r="F581" s="26" t="s">
        <v>927</v>
      </c>
      <c r="G581" s="9"/>
      <c r="H581" s="9" t="s">
        <v>964</v>
      </c>
      <c r="J581" s="33">
        <f t="shared" si="17"/>
        <v>286000000000537</v>
      </c>
      <c r="K581" s="34" t="str">
        <f t="shared" si="18"/>
        <v>PERFORM "SchData-OLTP-Master"."Func_TblContactNumber_SET"(varSystemLoginSession::bigint, null::bigint, null::varchar, null::timestamptz, null::timestamptz, null::varchar, varInstitutionBranchID::bigint, varBaseCurrencyID::bigint, 223000000000002::bigint, '+62 823-9137-2798'::varchar, NULL::varchar, 'Admin'::varchar, '124000000000272'::bigint);</v>
      </c>
    </row>
    <row r="582" spans="2:11" x14ac:dyDescent="0.2">
      <c r="B582" s="22">
        <v>124000000000273</v>
      </c>
      <c r="C582" s="4" t="str">
        <f>IF(EXACT($B582, ""), "", IF((($B582 - MOD($B582, 1000000000000))/1000000000000)=25, CONCATENATE("Person - ", VLOOKUP($B582, [1]DataLookUp!$B$4:$C$2000, 2, FALSE)), IF((($B582 - MOD($B582, 1000000000000))/1000000000000)=124, CONCATENATE("Institution - ", VLOOKUP($B582, '[2]DataLookUp - InstitutionBranch'!$B$4:$C$2000, 2, FALSE)), "")))</f>
        <v>Institution - TB. Berkat Orang Tua</v>
      </c>
      <c r="D582" s="22">
        <v>223000000000002</v>
      </c>
      <c r="E582" s="4" t="str">
        <f>IF(EXACT($D582, ""), "", VLOOKUP($D582, 'REF - ContactNumberType'!$B$4:$C$10, 2, FALSE))</f>
        <v>Mobile Phone</v>
      </c>
      <c r="F582" s="26" t="s">
        <v>1415</v>
      </c>
      <c r="G582" s="9"/>
      <c r="H582" s="9" t="s">
        <v>1064</v>
      </c>
      <c r="J582" s="33">
        <f t="shared" ref="J582:J645" si="19" xml:space="preserve"> J581 + IF(EXACT(K582, ""), 0, 1)</f>
        <v>286000000000538</v>
      </c>
      <c r="K582" s="34" t="str">
        <f t="shared" ref="K582:K645" si="20">IF(EXACT(F582, ""), "", CONCATENATE("PERFORM ""SchData-OLTP-Master"".""Func_TblContactNumber_SET""(varSystemLoginSession::bigint, null::bigint, null::varchar, null::timestamptz, null::timestamptz, null::varchar, varInstitutionBranchID::bigint, varBaseCurrencyID::bigint, ", IF(EXACT($D582, ""), "NULL", ""&amp;$D582&amp;""), "::bigint, ", IF(EXACT($F582, ""), "NULL", "'"&amp;$F582&amp;"'"), "::varchar, ", IF(EXACT($G582, ""), "NULL", "'"&amp;$G582&amp;"'"), "::varchar, ", IF(EXACT($H582, ""), "NULL", "'"&amp;$H582&amp;"'"), "::varchar, ", IF(EXACT($B582, ""), "NULL", "'"&amp;$B582&amp;"'"), "::bigint);"))</f>
        <v>PERFORM "SchData-OLTP-Master"."Func_TblContactNumber_SET"(varSystemLoginSession::bigint, null::bigint, null::varchar, null::timestamptz, null::timestamptz, null::varchar, varInstitutionBranchID::bigint, varBaseCurrencyID::bigint, 223000000000002::bigint, '+62 856-5493-1726'::varchar, NULL::varchar, 'Ahmad Hafi Badali'::varchar, '124000000000273'::bigint);</v>
      </c>
    </row>
    <row r="583" spans="2:11" x14ac:dyDescent="0.2">
      <c r="B583" s="22">
        <v>124000000000274</v>
      </c>
      <c r="C583" s="4" t="str">
        <f>IF(EXACT($B583, ""), "", IF((($B583 - MOD($B583, 1000000000000))/1000000000000)=25, CONCATENATE("Person - ", VLOOKUP($B583, [1]DataLookUp!$B$4:$C$2000, 2, FALSE)), IF((($B583 - MOD($B583, 1000000000000))/1000000000000)=124, CONCATENATE("Institution - ", VLOOKUP($B583, '[2]DataLookUp - InstitutionBranch'!$B$4:$C$2000, 2, FALSE)), "")))</f>
        <v>Institution - TB. Cipta Bangun</v>
      </c>
      <c r="D583" s="22">
        <v>223000000000002</v>
      </c>
      <c r="E583" s="4" t="str">
        <f>IF(EXACT($D583, ""), "", VLOOKUP($D583, 'REF - ContactNumberType'!$B$4:$C$10, 2, FALSE))</f>
        <v>Mobile Phone</v>
      </c>
      <c r="F583" s="26" t="s">
        <v>928</v>
      </c>
      <c r="G583" s="9"/>
      <c r="H583" s="9" t="s">
        <v>1065</v>
      </c>
      <c r="J583" s="33">
        <f t="shared" si="19"/>
        <v>286000000000539</v>
      </c>
      <c r="K583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'+62 812-6639-9939'::varchar, NULL::varchar, 'Martinus Angga'::varchar, '124000000000274'::bigint);</v>
      </c>
    </row>
    <row r="584" spans="2:11" x14ac:dyDescent="0.2">
      <c r="B584" s="22">
        <v>124000000000275</v>
      </c>
      <c r="C584" s="4" t="str">
        <f>IF(EXACT($B584, ""), "", IF((($B584 - MOD($B584, 1000000000000))/1000000000000)=25, CONCATENATE("Person - ", VLOOKUP($B584, [1]DataLookUp!$B$4:$C$2000, 2, FALSE)), IF((($B584 - MOD($B584, 1000000000000))/1000000000000)=124, CONCATENATE("Institution - ", VLOOKUP($B584, '[2]DataLookUp - InstitutionBranch'!$B$4:$C$2000, 2, FALSE)), "")))</f>
        <v>Institution - TB. Karta Jaya</v>
      </c>
      <c r="D584" s="22">
        <v>223000000000002</v>
      </c>
      <c r="E584" s="4" t="str">
        <f>IF(EXACT($D584, ""), "", VLOOKUP($D584, 'REF - ContactNumberType'!$B$4:$C$10, 2, FALSE))</f>
        <v>Mobile Phone</v>
      </c>
      <c r="F584" s="26" t="s">
        <v>1413</v>
      </c>
      <c r="G584" s="9"/>
      <c r="H584" s="9" t="s">
        <v>1066</v>
      </c>
      <c r="J584" s="33">
        <f t="shared" si="19"/>
        <v>286000000000540</v>
      </c>
      <c r="K584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'+62 878-3940-8562'::varchar, NULL::varchar, 'Anggun'::varchar, '124000000000275'::bigint);</v>
      </c>
    </row>
    <row r="585" spans="2:11" x14ac:dyDescent="0.2">
      <c r="B585" s="22">
        <v>124000000000276</v>
      </c>
      <c r="C585" s="4" t="str">
        <f>IF(EXACT($B585, ""), "", IF((($B585 - MOD($B585, 1000000000000))/1000000000000)=25, CONCATENATE("Person - ", VLOOKUP($B585, [1]DataLookUp!$B$4:$C$2000, 2, FALSE)), IF((($B585 - MOD($B585, 1000000000000))/1000000000000)=124, CONCATENATE("Institution - ", VLOOKUP($B585, '[2]DataLookUp - InstitutionBranch'!$B$4:$C$2000, 2, FALSE)), "")))</f>
        <v>Institution - TB. Roma Bangunan</v>
      </c>
      <c r="D585" s="22">
        <v>223000000000002</v>
      </c>
      <c r="E585" s="4" t="str">
        <f>IF(EXACT($D585, ""), "", VLOOKUP($D585, 'REF - ContactNumberType'!$B$4:$C$10, 2, FALSE))</f>
        <v>Mobile Phone</v>
      </c>
      <c r="F585" s="26" t="s">
        <v>1412</v>
      </c>
      <c r="G585" s="9"/>
      <c r="H585" s="9" t="s">
        <v>1067</v>
      </c>
      <c r="J585" s="33">
        <f t="shared" si="19"/>
        <v>286000000000541</v>
      </c>
      <c r="K585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'+62 821-2121-5018'::varchar, NULL::varchar, 'Maldini'::varchar, '124000000000276'::bigint);</v>
      </c>
    </row>
    <row r="586" spans="2:11" x14ac:dyDescent="0.2">
      <c r="B586" s="22">
        <v>124000000000277</v>
      </c>
      <c r="C586" s="4" t="str">
        <f>IF(EXACT($B586, ""), "", IF((($B586 - MOD($B586, 1000000000000))/1000000000000)=25, CONCATENATE("Person - ", VLOOKUP($B586, [1]DataLookUp!$B$4:$C$2000, 2, FALSE)), IF((($B586 - MOD($B586, 1000000000000))/1000000000000)=124, CONCATENATE("Institution - ", VLOOKUP($B586, '[2]DataLookUp - InstitutionBranch'!$B$4:$C$2000, 2, FALSE)), "")))</f>
        <v>Institution - TB. Sumber Jaya Bangunan</v>
      </c>
      <c r="D586" s="22">
        <v>223000000000002</v>
      </c>
      <c r="E586" s="4" t="str">
        <f>IF(EXACT($D586, ""), "", VLOOKUP($D586, 'REF - ContactNumberType'!$B$4:$C$10, 2, FALSE))</f>
        <v>Mobile Phone</v>
      </c>
      <c r="F586" s="26" t="s">
        <v>1409</v>
      </c>
      <c r="G586" s="9"/>
      <c r="H586" s="9" t="s">
        <v>488</v>
      </c>
      <c r="J586" s="33">
        <f t="shared" si="19"/>
        <v>286000000000542</v>
      </c>
      <c r="K586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'+62 878-2404-5968'::varchar, NULL::varchar, 'Yulianti'::varchar, '124000000000277'::bigint);</v>
      </c>
    </row>
    <row r="587" spans="2:11" x14ac:dyDescent="0.2">
      <c r="B587" s="22">
        <v>124000000000278</v>
      </c>
      <c r="C587" s="4" t="str">
        <f>IF(EXACT($B587, ""), "", IF((($B587 - MOD($B587, 1000000000000))/1000000000000)=25, CONCATENATE("Person - ", VLOOKUP($B587, [1]DataLookUp!$B$4:$C$2000, 2, FALSE)), IF((($B587 - MOD($B587, 1000000000000))/1000000000000)=124, CONCATENATE("Institution - ", VLOOKUP($B587, '[2]DataLookUp - InstitutionBranch'!$B$4:$C$2000, 2, FALSE)), "")))</f>
        <v>Institution - Toko Agen Kaca Kita Yakin</v>
      </c>
      <c r="D587" s="22">
        <v>223000000000002</v>
      </c>
      <c r="E587" s="4" t="str">
        <f>IF(EXACT($D587, ""), "", VLOOKUP($D587, 'REF - ContactNumberType'!$B$4:$C$10, 2, FALSE))</f>
        <v>Mobile Phone</v>
      </c>
      <c r="F587" s="26" t="s">
        <v>1410</v>
      </c>
      <c r="G587" s="9"/>
      <c r="H587" s="9" t="s">
        <v>1068</v>
      </c>
      <c r="J587" s="33">
        <f t="shared" si="19"/>
        <v>286000000000543</v>
      </c>
      <c r="K587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'+62 821-5932-9476'::varchar, NULL::varchar, 'Jenly Bentley Rokot'::varchar, '124000000000278'::bigint);</v>
      </c>
    </row>
    <row r="588" spans="2:11" x14ac:dyDescent="0.2">
      <c r="B588" s="22">
        <v>124000000000279</v>
      </c>
      <c r="C588" s="4" t="str">
        <f>IF(EXACT($B588, ""), "", IF((($B588 - MOD($B588, 1000000000000))/1000000000000)=25, CONCATENATE("Person - ", VLOOKUP($B588, [1]DataLookUp!$B$4:$C$2000, 2, FALSE)), IF((($B588 - MOD($B588, 1000000000000))/1000000000000)=124, CONCATENATE("Institution - ", VLOOKUP($B588, '[2]DataLookUp - InstitutionBranch'!$B$4:$C$2000, 2, FALSE)), "")))</f>
        <v>Institution - Toko Akbar Seng</v>
      </c>
      <c r="D588" s="22">
        <v>223000000000002</v>
      </c>
      <c r="E588" s="4" t="str">
        <f>IF(EXACT($D588, ""), "", VLOOKUP($D588, 'REF - ContactNumberType'!$B$4:$C$10, 2, FALSE))</f>
        <v>Mobile Phone</v>
      </c>
      <c r="F588" s="26" t="s">
        <v>1411</v>
      </c>
      <c r="G588" s="9"/>
      <c r="H588" s="9" t="s">
        <v>1069</v>
      </c>
      <c r="J588" s="33">
        <f t="shared" si="19"/>
        <v>286000000000544</v>
      </c>
      <c r="K588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'+62 821-6558-8600'::varchar, NULL::varchar, 'Nyoto Dedi Hartono'::varchar, '124000000000279'::bigint);</v>
      </c>
    </row>
    <row r="589" spans="2:11" x14ac:dyDescent="0.2">
      <c r="B589" s="22">
        <v>124000000000280</v>
      </c>
      <c r="C589" s="4" t="str">
        <f>IF(EXACT($B589, ""), "", IF((($B589 - MOD($B589, 1000000000000))/1000000000000)=25, CONCATENATE("Person - ", VLOOKUP($B589, [1]DataLookUp!$B$4:$C$2000, 2, FALSE)), IF((($B589 - MOD($B589, 1000000000000))/1000000000000)=124, CONCATENATE("Institution - ", VLOOKUP($B589, '[2]DataLookUp - InstitutionBranch'!$B$4:$C$2000, 2, FALSE)), "")))</f>
        <v>Institution - Toko Berkah</v>
      </c>
      <c r="D589" s="22">
        <v>223000000000002</v>
      </c>
      <c r="E589" s="4" t="str">
        <f>IF(EXACT($D589, ""), "", VLOOKUP($D589, 'REF - ContactNumberType'!$B$4:$C$10, 2, FALSE))</f>
        <v>Mobile Phone</v>
      </c>
      <c r="F589" s="26" t="s">
        <v>1403</v>
      </c>
      <c r="G589" s="9"/>
      <c r="H589" s="9" t="s">
        <v>1070</v>
      </c>
      <c r="J589" s="33">
        <f t="shared" si="19"/>
        <v>286000000000545</v>
      </c>
      <c r="K589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'+62 856-4375-6205'::varchar, NULL::varchar, 'Abdurrahman'::varchar, '124000000000280'::bigint);</v>
      </c>
    </row>
    <row r="590" spans="2:11" x14ac:dyDescent="0.2">
      <c r="B590" s="22">
        <v>124000000000280</v>
      </c>
      <c r="C590" s="4" t="str">
        <f>IF(EXACT($B590, ""), "", IF((($B590 - MOD($B590, 1000000000000))/1000000000000)=25, CONCATENATE("Person - ", VLOOKUP($B590, [1]DataLookUp!$B$4:$C$2000, 2, FALSE)), IF((($B590 - MOD($B590, 1000000000000))/1000000000000)=124, CONCATENATE("Institution - ", VLOOKUP($B590, '[2]DataLookUp - InstitutionBranch'!$B$4:$C$2000, 2, FALSE)), "")))</f>
        <v>Institution - Toko Berkah</v>
      </c>
      <c r="D590" s="22">
        <v>223000000000004</v>
      </c>
      <c r="E590" s="4" t="str">
        <f>IF(EXACT($D590, ""), "", VLOOKUP($D590, 'REF - ContactNumberType'!$B$4:$C$10, 2, FALSE))</f>
        <v>Office Phone</v>
      </c>
      <c r="F590" s="26" t="s">
        <v>1404</v>
      </c>
      <c r="G590" s="9"/>
      <c r="H590" s="9" t="s">
        <v>1070</v>
      </c>
      <c r="J590" s="33">
        <f t="shared" si="19"/>
        <v>286000000000546</v>
      </c>
      <c r="K590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316-0282'::varchar, NULL::varchar, 'Abdurrahman'::varchar, '124000000000280'::bigint);</v>
      </c>
    </row>
    <row r="591" spans="2:11" x14ac:dyDescent="0.2">
      <c r="B591" s="22">
        <v>124000000000281</v>
      </c>
      <c r="C591" s="4" t="str">
        <f>IF(EXACT($B591, ""), "", IF((($B591 - MOD($B591, 1000000000000))/1000000000000)=25, CONCATENATE("Person - ", VLOOKUP($B591, [1]DataLookUp!$B$4:$C$2000, 2, FALSE)), IF((($B591 - MOD($B591, 1000000000000))/1000000000000)=124, CONCATENATE("Institution - ", VLOOKUP($B591, '[2]DataLookUp - InstitutionBranch'!$B$4:$C$2000, 2, FALSE)), "")))</f>
        <v>Institution - Toko Buana Tunggal</v>
      </c>
      <c r="D591" s="22">
        <v>223000000000002</v>
      </c>
      <c r="E591" s="4" t="str">
        <f>IF(EXACT($D591, ""), "", VLOOKUP($D591, 'REF - ContactNumberType'!$B$4:$C$10, 2, FALSE))</f>
        <v>Mobile Phone</v>
      </c>
      <c r="F591" s="26" t="s">
        <v>1405</v>
      </c>
      <c r="G591" s="9"/>
      <c r="H591" s="9" t="s">
        <v>1706</v>
      </c>
      <c r="J591" s="33">
        <f t="shared" si="19"/>
        <v>286000000000547</v>
      </c>
      <c r="K591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'+62 819-1301-2150'::varchar, NULL::varchar, 'Slivia Veronika'::varchar, '124000000000281'::bigint);</v>
      </c>
    </row>
    <row r="592" spans="2:11" x14ac:dyDescent="0.2">
      <c r="B592" s="22">
        <v>124000000000281</v>
      </c>
      <c r="C592" s="4" t="str">
        <f>IF(EXACT($B592, ""), "", IF((($B592 - MOD($B592, 1000000000000))/1000000000000)=25, CONCATENATE("Person - ", VLOOKUP($B592, [1]DataLookUp!$B$4:$C$2000, 2, FALSE)), IF((($B592 - MOD($B592, 1000000000000))/1000000000000)=124, CONCATENATE("Institution - ", VLOOKUP($B592, '[2]DataLookUp - InstitutionBranch'!$B$4:$C$2000, 2, FALSE)), "")))</f>
        <v>Institution - Toko Buana Tunggal</v>
      </c>
      <c r="D592" s="22">
        <v>223000000000004</v>
      </c>
      <c r="E592" s="4" t="str">
        <f>IF(EXACT($D592, ""), "", VLOOKUP($D592, 'REF - ContactNumberType'!$B$4:$C$10, 2, FALSE))</f>
        <v>Office Phone</v>
      </c>
      <c r="F592" s="26" t="s">
        <v>1406</v>
      </c>
      <c r="G592" s="9"/>
      <c r="H592" s="9" t="s">
        <v>1706</v>
      </c>
      <c r="J592" s="33">
        <f t="shared" si="19"/>
        <v>286000000000548</v>
      </c>
      <c r="K592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622-010-83'::varchar, NULL::varchar, 'Slivia Veronika'::varchar, '124000000000281'::bigint);</v>
      </c>
    </row>
    <row r="593" spans="2:11" x14ac:dyDescent="0.2">
      <c r="B593" s="22">
        <v>124000000000282</v>
      </c>
      <c r="C593" s="4" t="str">
        <f>IF(EXACT($B593, ""), "", IF((($B593 - MOD($B593, 1000000000000))/1000000000000)=25, CONCATENATE("Person - ", VLOOKUP($B593, [1]DataLookUp!$B$4:$C$2000, 2, FALSE)), IF((($B593 - MOD($B593, 1000000000000))/1000000000000)=124, CONCATENATE("Institution - ", VLOOKUP($B593, '[2]DataLookUp - InstitutionBranch'!$B$4:$C$2000, 2, FALSE)), "")))</f>
        <v>Institution - Toko Dunia Elektronik</v>
      </c>
      <c r="D593" s="22">
        <v>223000000000002</v>
      </c>
      <c r="E593" s="4" t="str">
        <f>IF(EXACT($D593, ""), "", VLOOKUP($D593, 'REF - ContactNumberType'!$B$4:$C$10, 2, FALSE))</f>
        <v>Mobile Phone</v>
      </c>
      <c r="F593" s="26" t="s">
        <v>1407</v>
      </c>
      <c r="G593" s="9"/>
      <c r="H593" s="9" t="s">
        <v>1071</v>
      </c>
      <c r="J593" s="33">
        <f t="shared" si="19"/>
        <v>286000000000549</v>
      </c>
      <c r="K593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'+62 851-0035-1415'::varchar, NULL::varchar, 'Go Sun Chen'::varchar, '124000000000282'::bigint);</v>
      </c>
    </row>
    <row r="594" spans="2:11" x14ac:dyDescent="0.2">
      <c r="B594" s="22">
        <v>124000000000283</v>
      </c>
      <c r="C594" s="4" t="str">
        <f>IF(EXACT($B594, ""), "", IF((($B594 - MOD($B594, 1000000000000))/1000000000000)=25, CONCATENATE("Person - ", VLOOKUP($B594, [1]DataLookUp!$B$4:$C$2000, 2, FALSE)), IF((($B594 - MOD($B594, 1000000000000))/1000000000000)=124, CONCATENATE("Institution - ", VLOOKUP($B594, '[2]DataLookUp - InstitutionBranch'!$B$4:$C$2000, 2, FALSE)), "")))</f>
        <v>Institution - Toko Fajar Timur Motor</v>
      </c>
      <c r="D594" s="22">
        <v>223000000000002</v>
      </c>
      <c r="E594" s="4" t="str">
        <f>IF(EXACT($D594, ""), "", VLOOKUP($D594, 'REF - ContactNumberType'!$B$4:$C$10, 2, FALSE))</f>
        <v>Mobile Phone</v>
      </c>
      <c r="F594" s="26" t="s">
        <v>1408</v>
      </c>
      <c r="G594" s="9"/>
      <c r="H594" s="9" t="s">
        <v>1072</v>
      </c>
      <c r="J594" s="33">
        <f t="shared" si="19"/>
        <v>286000000000550</v>
      </c>
      <c r="K594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'+62 878-8508-0973'::varchar, NULL::varchar, 'Sabinah Budiman'::varchar, '124000000000283'::bigint);</v>
      </c>
    </row>
    <row r="595" spans="2:11" x14ac:dyDescent="0.2">
      <c r="B595" s="22">
        <v>124000000000284</v>
      </c>
      <c r="C595" s="4" t="str">
        <f>IF(EXACT($B595, ""), "", IF((($B595 - MOD($B595, 1000000000000))/1000000000000)=25, CONCATENATE("Person - ", VLOOKUP($B595, [1]DataLookUp!$B$4:$C$2000, 2, FALSE)), IF((($B595 - MOD($B595, 1000000000000))/1000000000000)=124, CONCATENATE("Institution - ", VLOOKUP($B595, '[2]DataLookUp - InstitutionBranch'!$B$4:$C$2000, 2, FALSE)), "")))</f>
        <v xml:space="preserve">Institution - Toko Global Teknik     </v>
      </c>
      <c r="D595" s="22">
        <v>223000000000004</v>
      </c>
      <c r="E595" s="4" t="str">
        <f>IF(EXACT($D595, ""), "", VLOOKUP($D595, 'REF - ContactNumberType'!$B$4:$C$10, 2, FALSE))</f>
        <v>Office Phone</v>
      </c>
      <c r="F595" s="26" t="s">
        <v>1402</v>
      </c>
      <c r="G595" s="9"/>
      <c r="H595" s="9"/>
      <c r="J595" s="33">
        <f t="shared" si="19"/>
        <v>286000000000551</v>
      </c>
      <c r="K595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612-1292       '::varchar, NULL::varchar, NULL::varchar, '124000000000284'::bigint);</v>
      </c>
    </row>
    <row r="596" spans="2:11" x14ac:dyDescent="0.2">
      <c r="B596" s="22">
        <v>124000000000284</v>
      </c>
      <c r="C596" s="4" t="str">
        <f>IF(EXACT($B596, ""), "", IF((($B596 - MOD($B596, 1000000000000))/1000000000000)=25, CONCATENATE("Person - ", VLOOKUP($B596, [1]DataLookUp!$B$4:$C$2000, 2, FALSE)), IF((($B596 - MOD($B596, 1000000000000))/1000000000000)=124, CONCATENATE("Institution - ", VLOOKUP($B596, '[2]DataLookUp - InstitutionBranch'!$B$4:$C$2000, 2, FALSE)), "")))</f>
        <v xml:space="preserve">Institution - Toko Global Teknik     </v>
      </c>
      <c r="D596" s="22">
        <v>223000000000005</v>
      </c>
      <c r="E596" s="4" t="str">
        <f>IF(EXACT($D596, ""), "", VLOOKUP($D596, 'REF - ContactNumberType'!$B$4:$C$10, 2, FALSE))</f>
        <v>Faximile</v>
      </c>
      <c r="F596" s="26" t="s">
        <v>1401</v>
      </c>
      <c r="G596" s="9"/>
      <c r="H596" s="9"/>
      <c r="J596" s="33">
        <f t="shared" si="19"/>
        <v>286000000000552</v>
      </c>
      <c r="K596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612-1293 '::varchar, NULL::varchar, NULL::varchar, '124000000000284'::bigint);</v>
      </c>
    </row>
    <row r="597" spans="2:11" x14ac:dyDescent="0.2">
      <c r="B597" s="22">
        <v>124000000000285</v>
      </c>
      <c r="C597" s="4" t="str">
        <f>IF(EXACT($B597, ""), "", IF((($B597 - MOD($B597, 1000000000000))/1000000000000)=25, CONCATENATE("Person - ", VLOOKUP($B597, [1]DataLookUp!$B$4:$C$2000, 2, FALSE)), IF((($B597 - MOD($B597, 1000000000000))/1000000000000)=124, CONCATENATE("Institution - ", VLOOKUP($B597, '[2]DataLookUp - InstitutionBranch'!$B$4:$C$2000, 2, FALSE)), "")))</f>
        <v>Institution - Toko Glodok Teknik Diesel</v>
      </c>
      <c r="D597" s="22">
        <v>223000000000002</v>
      </c>
      <c r="E597" s="4" t="str">
        <f>IF(EXACT($D597, ""), "", VLOOKUP($D597, 'REF - ContactNumberType'!$B$4:$C$10, 2, FALSE))</f>
        <v>Mobile Phone</v>
      </c>
      <c r="F597" s="26" t="s">
        <v>1387</v>
      </c>
      <c r="G597" s="9"/>
      <c r="H597" s="9" t="s">
        <v>991</v>
      </c>
      <c r="J597" s="33">
        <f t="shared" si="19"/>
        <v>286000000000553</v>
      </c>
      <c r="K597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'+62 878-8569-0291'::varchar, NULL::varchar, 'Ricky'::varchar, '124000000000285'::bigint);</v>
      </c>
    </row>
    <row r="598" spans="2:11" x14ac:dyDescent="0.2">
      <c r="B598" s="22">
        <v>124000000000286</v>
      </c>
      <c r="C598" s="4" t="str">
        <f>IF(EXACT($B598, ""), "", IF((($B598 - MOD($B598, 1000000000000))/1000000000000)=25, CONCATENATE("Person - ", VLOOKUP($B598, [1]DataLookUp!$B$4:$C$2000, 2, FALSE)), IF((($B598 - MOD($B598, 1000000000000))/1000000000000)=124, CONCATENATE("Institution - ", VLOOKUP($B598, '[2]DataLookUp - InstitutionBranch'!$B$4:$C$2000, 2, FALSE)), "")))</f>
        <v>Institution - Toko GLX - Ariyati</v>
      </c>
      <c r="D598" s="22">
        <v>223000000000002</v>
      </c>
      <c r="E598" s="4" t="str">
        <f>IF(EXACT($D598, ""), "", VLOOKUP($D598, 'REF - ContactNumberType'!$B$4:$C$10, 2, FALSE))</f>
        <v>Mobile Phone</v>
      </c>
      <c r="F598" s="26" t="s">
        <v>1248</v>
      </c>
      <c r="G598" s="9"/>
      <c r="H598" s="9" t="s">
        <v>1073</v>
      </c>
      <c r="J598" s="33">
        <f t="shared" si="19"/>
        <v>286000000000554</v>
      </c>
      <c r="K598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'+62 812-2925-5561'::varchar, NULL::varchar, 'Ariyati'::varchar, '124000000000286'::bigint);</v>
      </c>
    </row>
    <row r="599" spans="2:11" x14ac:dyDescent="0.2">
      <c r="B599" s="22">
        <v>124000000000287</v>
      </c>
      <c r="C599" s="4" t="str">
        <f>IF(EXACT($B599, ""), "", IF((($B599 - MOD($B599, 1000000000000))/1000000000000)=25, CONCATENATE("Person - ", VLOOKUP($B599, [1]DataLookUp!$B$4:$C$2000, 2, FALSE)), IF((($B599 - MOD($B599, 1000000000000))/1000000000000)=124, CONCATENATE("Institution - ", VLOOKUP($B599, '[2]DataLookUp - InstitutionBranch'!$B$4:$C$2000, 2, FALSE)), "")))</f>
        <v>Institution - Toko Inpaco</v>
      </c>
      <c r="D599" s="22">
        <v>223000000000002</v>
      </c>
      <c r="E599" s="4" t="str">
        <f>IF(EXACT($D599, ""), "", VLOOKUP($D599, 'REF - ContactNumberType'!$B$4:$C$10, 2, FALSE))</f>
        <v>Mobile Phone</v>
      </c>
      <c r="F599" s="26" t="s">
        <v>929</v>
      </c>
      <c r="G599" s="9"/>
      <c r="H599" s="9" t="s">
        <v>1074</v>
      </c>
      <c r="J599" s="33">
        <f t="shared" si="19"/>
        <v>286000000000555</v>
      </c>
      <c r="K599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'+62 813-6507-1396'::varchar, NULL::varchar, 'Olivia'::varchar, '124000000000287'::bigint);</v>
      </c>
    </row>
    <row r="600" spans="2:11" x14ac:dyDescent="0.2">
      <c r="B600" s="22">
        <v>124000000000288</v>
      </c>
      <c r="C600" s="4" t="str">
        <f>IF(EXACT($B600, ""), "", IF((($B600 - MOD($B600, 1000000000000))/1000000000000)=25, CONCATENATE("Person - ", VLOOKUP($B600, [1]DataLookUp!$B$4:$C$2000, 2, FALSE)), IF((($B600 - MOD($B600, 1000000000000))/1000000000000)=124, CONCATENATE("Institution - ", VLOOKUP($B600, '[2]DataLookUp - InstitutionBranch'!$B$4:$C$2000, 2, FALSE)), "")))</f>
        <v xml:space="preserve">Institution - Toko Intan Bangunan </v>
      </c>
      <c r="D600" s="22">
        <v>223000000000002</v>
      </c>
      <c r="E600" s="4" t="str">
        <f>IF(EXACT($D600, ""), "", VLOOKUP($D600, 'REF - ContactNumberType'!$B$4:$C$10, 2, FALSE))</f>
        <v>Mobile Phone</v>
      </c>
      <c r="F600" s="26" t="s">
        <v>1400</v>
      </c>
      <c r="G600" s="9"/>
      <c r="H600" s="9" t="s">
        <v>1075</v>
      </c>
      <c r="J600" s="33">
        <f t="shared" si="19"/>
        <v>286000000000556</v>
      </c>
      <c r="K600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'+62 823-4944-4545'::varchar, NULL::varchar, 'Yohannes Padidi'::varchar, '124000000000288'::bigint);</v>
      </c>
    </row>
    <row r="601" spans="2:11" x14ac:dyDescent="0.2">
      <c r="B601" s="22">
        <v>124000000000289</v>
      </c>
      <c r="C601" s="4" t="str">
        <f>IF(EXACT($B601, ""), "", IF((($B601 - MOD($B601, 1000000000000))/1000000000000)=25, CONCATENATE("Person - ", VLOOKUP($B601, [1]DataLookUp!$B$4:$C$2000, 2, FALSE)), IF((($B601 - MOD($B601, 1000000000000))/1000000000000)=124, CONCATENATE("Institution - ", VLOOKUP($B601, '[2]DataLookUp - InstitutionBranch'!$B$4:$C$2000, 2, FALSE)), "")))</f>
        <v>Institution - Toko Intan Motor</v>
      </c>
      <c r="D601" s="22">
        <v>223000000000002</v>
      </c>
      <c r="E601" s="4" t="str">
        <f>IF(EXACT($D601, ""), "", VLOOKUP($D601, 'REF - ContactNumberType'!$B$4:$C$10, 2, FALSE))</f>
        <v>Mobile Phone</v>
      </c>
      <c r="F601" s="26" t="s">
        <v>1400</v>
      </c>
      <c r="G601" s="9"/>
      <c r="H601" s="9" t="s">
        <v>1075</v>
      </c>
      <c r="J601" s="33">
        <f t="shared" si="19"/>
        <v>286000000000557</v>
      </c>
      <c r="K601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'+62 823-4944-4545'::varchar, NULL::varchar, 'Yohannes Padidi'::varchar, '124000000000289'::bigint);</v>
      </c>
    </row>
    <row r="602" spans="2:11" x14ac:dyDescent="0.2">
      <c r="B602" s="22">
        <v>124000000000290</v>
      </c>
      <c r="C602" s="4" t="str">
        <f>IF(EXACT($B602, ""), "", IF((($B602 - MOD($B602, 1000000000000))/1000000000000)=25, CONCATENATE("Person - ", VLOOKUP($B602, [1]DataLookUp!$B$4:$C$2000, 2, FALSE)), IF((($B602 - MOD($B602, 1000000000000))/1000000000000)=124, CONCATENATE("Institution - ", VLOOKUP($B602, '[2]DataLookUp - InstitutionBranch'!$B$4:$C$2000, 2, FALSE)), "")))</f>
        <v>Institution - Toko Jalajah Karya Teknik</v>
      </c>
      <c r="D602" s="22">
        <v>223000000000002</v>
      </c>
      <c r="E602" s="4" t="str">
        <f>IF(EXACT($D602, ""), "", VLOOKUP($D602, 'REF - ContactNumberType'!$B$4:$C$10, 2, FALSE))</f>
        <v>Mobile Phone</v>
      </c>
      <c r="F602" s="26" t="s">
        <v>1399</v>
      </c>
      <c r="G602" s="9"/>
      <c r="H602" s="9" t="s">
        <v>1076</v>
      </c>
      <c r="J602" s="33">
        <f t="shared" si="19"/>
        <v>286000000000558</v>
      </c>
      <c r="K602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'+62 821-1303-2738'::varchar, NULL::varchar, 'Michael Manalu, ST'::varchar, '124000000000290'::bigint);</v>
      </c>
    </row>
    <row r="603" spans="2:11" x14ac:dyDescent="0.2">
      <c r="B603" s="22">
        <v>124000000000291</v>
      </c>
      <c r="C603" s="4" t="str">
        <f>IF(EXACT($B603, ""), "", IF((($B603 - MOD($B603, 1000000000000))/1000000000000)=25, CONCATENATE("Person - ", VLOOKUP($B603, [1]DataLookUp!$B$4:$C$2000, 2, FALSE)), IF((($B603 - MOD($B603, 1000000000000))/1000000000000)=124, CONCATENATE("Institution - ", VLOOKUP($B603, '[2]DataLookUp - InstitutionBranch'!$B$4:$C$2000, 2, FALSE)), "")))</f>
        <v>Institution - Toko JualWaterStop.NET</v>
      </c>
      <c r="D603" s="22">
        <v>223000000000002</v>
      </c>
      <c r="E603" s="4" t="str">
        <f>IF(EXACT($D603, ""), "", VLOOKUP($D603, 'REF - ContactNumberType'!$B$4:$C$10, 2, FALSE))</f>
        <v>Mobile Phone</v>
      </c>
      <c r="F603" s="26" t="s">
        <v>1397</v>
      </c>
      <c r="G603" s="9"/>
      <c r="H603" s="9" t="s">
        <v>1077</v>
      </c>
      <c r="J603" s="33">
        <f t="shared" si="19"/>
        <v>286000000000559</v>
      </c>
      <c r="K603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'+62 852-1859-5053'::varchar, NULL::varchar, 'Surya Pitono'::varchar, '124000000000291'::bigint);</v>
      </c>
    </row>
    <row r="604" spans="2:11" x14ac:dyDescent="0.2">
      <c r="B604" s="22">
        <v>124000000000292</v>
      </c>
      <c r="C604" s="4" t="str">
        <f>IF(EXACT($B604, ""), "", IF((($B604 - MOD($B604, 1000000000000))/1000000000000)=25, CONCATENATE("Person - ", VLOOKUP($B604, [1]DataLookUp!$B$4:$C$2000, 2, FALSE)), IF((($B604 - MOD($B604, 1000000000000))/1000000000000)=124, CONCATENATE("Institution - ", VLOOKUP($B604, '[2]DataLookUp - InstitutionBranch'!$B$4:$C$2000, 2, FALSE)), "")))</f>
        <v>Institution - Toko Marpoyan Teknik Diesel</v>
      </c>
      <c r="D604" s="22">
        <v>223000000000002</v>
      </c>
      <c r="E604" s="4" t="str">
        <f>IF(EXACT($D604, ""), "", VLOOKUP($D604, 'REF - ContactNumberType'!$B$4:$C$10, 2, FALSE))</f>
        <v>Mobile Phone</v>
      </c>
      <c r="F604" s="26" t="s">
        <v>1398</v>
      </c>
      <c r="G604" s="9"/>
      <c r="H604" s="9" t="s">
        <v>1078</v>
      </c>
      <c r="J604" s="33">
        <f t="shared" si="19"/>
        <v>286000000000560</v>
      </c>
      <c r="K604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'+62 823-8611-8522'::varchar, NULL::varchar, 'Suwandi'::varchar, '124000000000292'::bigint);</v>
      </c>
    </row>
    <row r="605" spans="2:11" x14ac:dyDescent="0.2">
      <c r="B605" s="22">
        <v>124000000000293</v>
      </c>
      <c r="C605" s="4" t="str">
        <f>IF(EXACT($B605, ""), "", IF((($B605 - MOD($B605, 1000000000000))/1000000000000)=25, CONCATENATE("Person - ", VLOOKUP($B605, [1]DataLookUp!$B$4:$C$2000, 2, FALSE)), IF((($B605 - MOD($B605, 1000000000000))/1000000000000)=124, CONCATENATE("Institution - ", VLOOKUP($B605, '[2]DataLookUp - InstitutionBranch'!$B$4:$C$2000, 2, FALSE)), "")))</f>
        <v>Institution - Toko Mega Diesel</v>
      </c>
      <c r="D605" s="22">
        <v>223000000000002</v>
      </c>
      <c r="E605" s="4" t="str">
        <f>IF(EXACT($D605, ""), "", VLOOKUP($D605, 'REF - ContactNumberType'!$B$4:$C$10, 2, FALSE))</f>
        <v>Mobile Phone</v>
      </c>
      <c r="F605" s="26" t="s">
        <v>1396</v>
      </c>
      <c r="G605" s="9"/>
      <c r="H605" s="9" t="s">
        <v>1079</v>
      </c>
      <c r="J605" s="33">
        <f t="shared" si="19"/>
        <v>286000000000561</v>
      </c>
      <c r="K605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'+62 813-7274-7194'::varchar, NULL::varchar, 'Rozak'::varchar, '124000000000293'::bigint);</v>
      </c>
    </row>
    <row r="606" spans="2:11" x14ac:dyDescent="0.2">
      <c r="B606" s="22">
        <v>124000000000294</v>
      </c>
      <c r="C606" s="4" t="str">
        <f>IF(EXACT($B606, ""), "", IF((($B606 - MOD($B606, 1000000000000))/1000000000000)=25, CONCATENATE("Person - ", VLOOKUP($B606, [1]DataLookUp!$B$4:$C$2000, 2, FALSE)), IF((($B606 - MOD($B606, 1000000000000))/1000000000000)=124, CONCATENATE("Institution - ", VLOOKUP($B606, '[2]DataLookUp - InstitutionBranch'!$B$4:$C$2000, 2, FALSE)), "")))</f>
        <v xml:space="preserve">Institution - Toko Mega Jaya </v>
      </c>
      <c r="D606" s="22">
        <v>223000000000004</v>
      </c>
      <c r="E606" s="4" t="str">
        <f>IF(EXACT($D606, ""), "", VLOOKUP($D606, 'REF - ContactNumberType'!$B$4:$C$10, 2, FALSE))</f>
        <v>Office Phone</v>
      </c>
      <c r="F606" s="26" t="s">
        <v>1591</v>
      </c>
      <c r="G606" s="9"/>
      <c r="H606" s="9" t="s">
        <v>1080</v>
      </c>
      <c r="J606" s="33">
        <f t="shared" si="19"/>
        <v>286000000000562</v>
      </c>
      <c r="K606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623-071-96'::varchar, NULL::varchar, 'Djohan Halim'::varchar, '124000000000294'::bigint);</v>
      </c>
    </row>
    <row r="607" spans="2:11" x14ac:dyDescent="0.2">
      <c r="B607" s="22">
        <v>124000000000295</v>
      </c>
      <c r="C607" s="4" t="str">
        <f>IF(EXACT($B607, ""), "", IF((($B607 - MOD($B607, 1000000000000))/1000000000000)=25, CONCATENATE("Person - ", VLOOKUP($B607, [1]DataLookUp!$B$4:$C$2000, 2, FALSE)), IF((($B607 - MOD($B607, 1000000000000))/1000000000000)=124, CONCATENATE("Institution - ", VLOOKUP($B607, '[2]DataLookUp - InstitutionBranch'!$B$4:$C$2000, 2, FALSE)), "")))</f>
        <v>Institution - Toko Meubel Dani</v>
      </c>
      <c r="D607" s="22">
        <v>223000000000002</v>
      </c>
      <c r="E607" s="4" t="str">
        <f>IF(EXACT($D607, ""), "", VLOOKUP($D607, 'REF - ContactNumberType'!$B$4:$C$10, 2, FALSE))</f>
        <v>Mobile Phone</v>
      </c>
      <c r="F607" s="26" t="s">
        <v>1249</v>
      </c>
      <c r="G607" s="9"/>
      <c r="H607" s="9" t="s">
        <v>1081</v>
      </c>
      <c r="J607" s="33">
        <f t="shared" si="19"/>
        <v>286000000000563</v>
      </c>
      <c r="K607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'+62 812-5443-2465'::varchar, NULL::varchar, 'Muhammad Amin'::varchar, '124000000000295'::bigint);</v>
      </c>
    </row>
    <row r="608" spans="2:11" x14ac:dyDescent="0.2">
      <c r="B608" s="22">
        <v>124000000000296</v>
      </c>
      <c r="C608" s="4" t="str">
        <f>IF(EXACT($B608, ""), "", IF((($B608 - MOD($B608, 1000000000000))/1000000000000)=25, CONCATENATE("Person - ", VLOOKUP($B608, [1]DataLookUp!$B$4:$C$2000, 2, FALSE)), IF((($B608 - MOD($B608, 1000000000000))/1000000000000)=124, CONCATENATE("Institution - ", VLOOKUP($B608, '[2]DataLookUp - InstitutionBranch'!$B$4:$C$2000, 2, FALSE)), "")))</f>
        <v>Institution - Toko Murah Rezeki</v>
      </c>
      <c r="D608" s="22">
        <v>223000000000002</v>
      </c>
      <c r="E608" s="4" t="str">
        <f>IF(EXACT($D608, ""), "", VLOOKUP($D608, 'REF - ContactNumberType'!$B$4:$C$10, 2, FALSE))</f>
        <v>Mobile Phone</v>
      </c>
      <c r="F608" s="26" t="s">
        <v>1250</v>
      </c>
      <c r="G608" s="9"/>
      <c r="H608" s="9" t="s">
        <v>1082</v>
      </c>
      <c r="J608" s="33">
        <f t="shared" si="19"/>
        <v>286000000000564</v>
      </c>
      <c r="K608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'+62 852-5183-8177'::varchar, NULL::varchar, 'Ismail'::varchar, '124000000000296'::bigint);</v>
      </c>
    </row>
    <row r="609" spans="2:11" x14ac:dyDescent="0.2">
      <c r="B609" s="22">
        <v>124000000000297</v>
      </c>
      <c r="C609" s="4" t="str">
        <f>IF(EXACT($B609, ""), "", IF((($B609 - MOD($B609, 1000000000000))/1000000000000)=25, CONCATENATE("Person - ", VLOOKUP($B609, [1]DataLookUp!$B$4:$C$2000, 2, FALSE)), IF((($B609 - MOD($B609, 1000000000000))/1000000000000)=124, CONCATENATE("Institution - ", VLOOKUP($B609, '[2]DataLookUp - InstitutionBranch'!$B$4:$C$2000, 2, FALSE)), "")))</f>
        <v>Institution - Toko Ocu Intan</v>
      </c>
      <c r="D609" s="22">
        <v>223000000000002</v>
      </c>
      <c r="E609" s="4" t="str">
        <f>IF(EXACT($D609, ""), "", VLOOKUP($D609, 'REF - ContactNumberType'!$B$4:$C$10, 2, FALSE))</f>
        <v>Mobile Phone</v>
      </c>
      <c r="F609" s="26" t="s">
        <v>1251</v>
      </c>
      <c r="G609" s="9"/>
      <c r="H609" s="9" t="s">
        <v>1083</v>
      </c>
      <c r="J609" s="33">
        <f t="shared" si="19"/>
        <v>286000000000565</v>
      </c>
      <c r="K609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'+62 813-7496-6558'::varchar, NULL::varchar, 'Apriati Isna Mulia'::varchar, '124000000000297'::bigint);</v>
      </c>
    </row>
    <row r="610" spans="2:11" x14ac:dyDescent="0.2">
      <c r="B610" s="22">
        <v>124000000000298</v>
      </c>
      <c r="C610" s="4" t="str">
        <f>IF(EXACT($B610, ""), "", IF((($B610 - MOD($B610, 1000000000000))/1000000000000)=25, CONCATENATE("Person - ", VLOOKUP($B610, [1]DataLookUp!$B$4:$C$2000, 2, FALSE)), IF((($B610 - MOD($B610, 1000000000000))/1000000000000)=124, CONCATENATE("Institution - ", VLOOKUP($B610, '[2]DataLookUp - InstitutionBranch'!$B$4:$C$2000, 2, FALSE)), "")))</f>
        <v>Institution - Toko Pasar Minggu Tehnik</v>
      </c>
      <c r="D610" s="22">
        <v>223000000000002</v>
      </c>
      <c r="E610" s="4" t="str">
        <f>IF(EXACT($D610, ""), "", VLOOKUP($D610, 'REF - ContactNumberType'!$B$4:$C$10, 2, FALSE))</f>
        <v>Mobile Phone</v>
      </c>
      <c r="F610" s="26" t="s">
        <v>1394</v>
      </c>
      <c r="G610" s="9"/>
      <c r="H610" s="9" t="s">
        <v>1707</v>
      </c>
      <c r="J610" s="33">
        <f t="shared" si="19"/>
        <v>286000000000566</v>
      </c>
      <c r="K610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'+62 812-8408-041'::varchar, NULL::varchar, 'H. Rizal'::varchar, '124000000000298'::bigint);</v>
      </c>
    </row>
    <row r="611" spans="2:11" x14ac:dyDescent="0.2">
      <c r="B611" s="22">
        <v>124000000000298</v>
      </c>
      <c r="C611" s="4" t="str">
        <f>IF(EXACT($B611, ""), "", IF((($B611 - MOD($B611, 1000000000000))/1000000000000)=25, CONCATENATE("Person - ", VLOOKUP($B611, [1]DataLookUp!$B$4:$C$2000, 2, FALSE)), IF((($B611 - MOD($B611, 1000000000000))/1000000000000)=124, CONCATENATE("Institution - ", VLOOKUP($B611, '[2]DataLookUp - InstitutionBranch'!$B$4:$C$2000, 2, FALSE)), "")))</f>
        <v>Institution - Toko Pasar Minggu Tehnik</v>
      </c>
      <c r="D611" s="22">
        <v>223000000000004</v>
      </c>
      <c r="E611" s="4" t="str">
        <f>IF(EXACT($D611, ""), "", VLOOKUP($D611, 'REF - ContactNumberType'!$B$4:$C$10, 2, FALSE))</f>
        <v>Office Phone</v>
      </c>
      <c r="F611" s="26" t="s">
        <v>1395</v>
      </c>
      <c r="G611" s="9"/>
      <c r="H611" s="9" t="s">
        <v>1707</v>
      </c>
      <c r="J611" s="33">
        <f t="shared" si="19"/>
        <v>286000000000567</v>
      </c>
      <c r="K611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780-6415'::varchar, NULL::varchar, 'H. Rizal'::varchar, '124000000000298'::bigint);</v>
      </c>
    </row>
    <row r="612" spans="2:11" x14ac:dyDescent="0.2">
      <c r="B612" s="22">
        <v>124000000000299</v>
      </c>
      <c r="C612" s="4" t="str">
        <f>IF(EXACT($B612, ""), "", IF((($B612 - MOD($B612, 1000000000000))/1000000000000)=25, CONCATENATE("Person - ", VLOOKUP($B612, [1]DataLookUp!$B$4:$C$2000, 2, FALSE)), IF((($B612 - MOD($B612, 1000000000000))/1000000000000)=124, CONCATENATE("Institution - ", VLOOKUP($B612, '[2]DataLookUp - InstitutionBranch'!$B$4:$C$2000, 2, FALSE)), "")))</f>
        <v>Institution - Toko Restia</v>
      </c>
      <c r="D612" s="22">
        <v>223000000000002</v>
      </c>
      <c r="E612" s="4" t="str">
        <f>IF(EXACT($D612, ""), "", VLOOKUP($D612, 'REF - ContactNumberType'!$B$4:$C$10, 2, FALSE))</f>
        <v>Mobile Phone</v>
      </c>
      <c r="F612" s="26" t="s">
        <v>1393</v>
      </c>
      <c r="G612" s="9"/>
      <c r="H612" s="9" t="s">
        <v>1084</v>
      </c>
      <c r="J612" s="33">
        <f t="shared" si="19"/>
        <v>286000000000568</v>
      </c>
      <c r="K612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'+62 812-6868-360'::varchar, NULL::varchar, 'Afrizal'::varchar, '124000000000299'::bigint);</v>
      </c>
    </row>
    <row r="613" spans="2:11" x14ac:dyDescent="0.2">
      <c r="B613" s="22">
        <v>124000000000300</v>
      </c>
      <c r="C613" s="4" t="str">
        <f>IF(EXACT($B613, ""), "", IF((($B613 - MOD($B613, 1000000000000))/1000000000000)=25, CONCATENATE("Person - ", VLOOKUP($B613, [1]DataLookUp!$B$4:$C$2000, 2, FALSE)), IF((($B613 - MOD($B613, 1000000000000))/1000000000000)=124, CONCATENATE("Institution - ", VLOOKUP($B613, '[2]DataLookUp - InstitutionBranch'!$B$4:$C$2000, 2, FALSE)), "")))</f>
        <v>Institution - Toko S Three Sane Security System</v>
      </c>
      <c r="D613" s="22">
        <v>223000000000002</v>
      </c>
      <c r="E613" s="4" t="str">
        <f>IF(EXACT($D613, ""), "", VLOOKUP($D613, 'REF - ContactNumberType'!$B$4:$C$10, 2, FALSE))</f>
        <v>Mobile Phone</v>
      </c>
      <c r="F613" s="26" t="s">
        <v>930</v>
      </c>
      <c r="G613" s="9"/>
      <c r="H613" s="9" t="s">
        <v>1085</v>
      </c>
      <c r="J613" s="33">
        <f t="shared" si="19"/>
        <v>286000000000569</v>
      </c>
      <c r="K613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'+62 813-3837-6453'::varchar, NULL::varchar, 'Yayang'::varchar, '124000000000300'::bigint);</v>
      </c>
    </row>
    <row r="614" spans="2:11" x14ac:dyDescent="0.2">
      <c r="B614" s="22">
        <v>124000000000301</v>
      </c>
      <c r="C614" s="4" t="str">
        <f>IF(EXACT($B614, ""), "", IF((($B614 - MOD($B614, 1000000000000))/1000000000000)=25, CONCATENATE("Person - ", VLOOKUP($B614, [1]DataLookUp!$B$4:$C$2000, 2, FALSE)), IF((($B614 - MOD($B614, 1000000000000))/1000000000000)=124, CONCATENATE("Institution - ", VLOOKUP($B614, '[2]DataLookUp - InstitutionBranch'!$B$4:$C$2000, 2, FALSE)), "")))</f>
        <v>Institution - Toko Sarana Jaya Abadi</v>
      </c>
      <c r="D614" s="22">
        <v>223000000000002</v>
      </c>
      <c r="E614" s="4" t="str">
        <f>IF(EXACT($D614, ""), "", VLOOKUP($D614, 'REF - ContactNumberType'!$B$4:$C$10, 2, FALSE))</f>
        <v>Mobile Phone</v>
      </c>
      <c r="F614" s="26" t="s">
        <v>931</v>
      </c>
      <c r="G614" s="9"/>
      <c r="H614" s="9" t="s">
        <v>1086</v>
      </c>
      <c r="J614" s="33">
        <f t="shared" si="19"/>
        <v>286000000000570</v>
      </c>
      <c r="K614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'+62 813-8698-7295'::varchar, NULL::varchar, 'Bayu'::varchar, '124000000000301'::bigint);</v>
      </c>
    </row>
    <row r="615" spans="2:11" x14ac:dyDescent="0.2">
      <c r="B615" s="22">
        <v>124000000000302</v>
      </c>
      <c r="C615" s="4" t="str">
        <f>IF(EXACT($B615, ""), "", IF((($B615 - MOD($B615, 1000000000000))/1000000000000)=25, CONCATENATE("Person - ", VLOOKUP($B615, [1]DataLookUp!$B$4:$C$2000, 2, FALSE)), IF((($B615 - MOD($B615, 1000000000000))/1000000000000)=124, CONCATENATE("Institution - ", VLOOKUP($B615, '[2]DataLookUp - InstitutionBranch'!$B$4:$C$2000, 2, FALSE)), "")))</f>
        <v>Institution - Toko Sekawan Jaya Safety</v>
      </c>
      <c r="D615" s="22">
        <v>223000000000002</v>
      </c>
      <c r="E615" s="4" t="str">
        <f>IF(EXACT($D615, ""), "", VLOOKUP($D615, 'REF - ContactNumberType'!$B$4:$C$10, 2, FALSE))</f>
        <v>Mobile Phone</v>
      </c>
      <c r="F615" s="26" t="s">
        <v>932</v>
      </c>
      <c r="G615" s="9"/>
      <c r="H615" s="9" t="s">
        <v>1087</v>
      </c>
      <c r="J615" s="33">
        <f t="shared" si="19"/>
        <v>286000000000571</v>
      </c>
      <c r="K615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'+62 813-2200-7288'::varchar, NULL::varchar, 'Rizal'::varchar, '124000000000302'::bigint);</v>
      </c>
    </row>
    <row r="616" spans="2:11" x14ac:dyDescent="0.2">
      <c r="B616" s="22">
        <v>124000000000303</v>
      </c>
      <c r="C616" s="4" t="str">
        <f>IF(EXACT($B616, ""), "", IF((($B616 - MOD($B616, 1000000000000))/1000000000000)=25, CONCATENATE("Person - ", VLOOKUP($B616, [1]DataLookUp!$B$4:$C$2000, 2, FALSE)), IF((($B616 - MOD($B616, 1000000000000))/1000000000000)=124, CONCATENATE("Institution - ", VLOOKUP($B616, '[2]DataLookUp - InstitutionBranch'!$B$4:$C$2000, 2, FALSE)), "")))</f>
        <v>Institution - Toko Sentral Elektronik</v>
      </c>
      <c r="D616" s="22">
        <v>223000000000002</v>
      </c>
      <c r="E616" s="4" t="str">
        <f>IF(EXACT($D616, ""), "", VLOOKUP($D616, 'REF - ContactNumberType'!$B$4:$C$10, 2, FALSE))</f>
        <v>Mobile Phone</v>
      </c>
      <c r="F616" s="26" t="s">
        <v>933</v>
      </c>
      <c r="G616" s="9"/>
      <c r="H616" s="9" t="s">
        <v>1088</v>
      </c>
      <c r="J616" s="33">
        <f t="shared" si="19"/>
        <v>286000000000572</v>
      </c>
      <c r="K616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'+62 821-7172-5995'::varchar, NULL::varchar, 'Siaubie'::varchar, '124000000000303'::bigint);</v>
      </c>
    </row>
    <row r="617" spans="2:11" x14ac:dyDescent="0.2">
      <c r="B617" s="22">
        <v>124000000000304</v>
      </c>
      <c r="C617" s="4" t="str">
        <f>IF(EXACT($B617, ""), "", IF((($B617 - MOD($B617, 1000000000000))/1000000000000)=25, CONCATENATE("Person - ", VLOOKUP($B617, [1]DataLookUp!$B$4:$C$2000, 2, FALSE)), IF((($B617 - MOD($B617, 1000000000000))/1000000000000)=124, CONCATENATE("Institution - ", VLOOKUP($B617, '[2]DataLookUp - InstitutionBranch'!$B$4:$C$2000, 2, FALSE)), "")))</f>
        <v>Institution - Toko Sinar Baja qq Syafir Ottong</v>
      </c>
      <c r="D617" s="22">
        <v>223000000000002</v>
      </c>
      <c r="E617" s="4" t="str">
        <f>IF(EXACT($D617, ""), "", VLOOKUP($D617, 'REF - ContactNumberType'!$B$4:$C$10, 2, FALSE))</f>
        <v>Mobile Phone</v>
      </c>
      <c r="F617" s="26" t="s">
        <v>1391</v>
      </c>
      <c r="G617" s="9"/>
      <c r="H617" s="9" t="s">
        <v>1089</v>
      </c>
      <c r="J617" s="33">
        <f t="shared" si="19"/>
        <v>286000000000573</v>
      </c>
      <c r="K617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'+62 821-9075-1789'::varchar, NULL::varchar, 'Syafir Ottong'::varchar, '124000000000304'::bigint);</v>
      </c>
    </row>
    <row r="618" spans="2:11" x14ac:dyDescent="0.2">
      <c r="B618" s="22">
        <v>124000000000305</v>
      </c>
      <c r="C618" s="4" t="str">
        <f>IF(EXACT($B618, ""), "", IF((($B618 - MOD($B618, 1000000000000))/1000000000000)=25, CONCATENATE("Person - ", VLOOKUP($B618, [1]DataLookUp!$B$4:$C$2000, 2, FALSE)), IF((($B618 - MOD($B618, 1000000000000))/1000000000000)=124, CONCATENATE("Institution - ", VLOOKUP($B618, '[2]DataLookUp - InstitutionBranch'!$B$4:$C$2000, 2, FALSE)), "")))</f>
        <v xml:space="preserve">Institution - Toko Sinar Baut </v>
      </c>
      <c r="D618" s="22">
        <v>223000000000002</v>
      </c>
      <c r="E618" s="4" t="str">
        <f>IF(EXACT($D618, ""), "", VLOOKUP($D618, 'REF - ContactNumberType'!$B$4:$C$10, 2, FALSE))</f>
        <v>Mobile Phone</v>
      </c>
      <c r="F618" s="26" t="s">
        <v>1392</v>
      </c>
      <c r="G618" s="9"/>
      <c r="H618" s="9" t="s">
        <v>1090</v>
      </c>
      <c r="J618" s="33">
        <f t="shared" si="19"/>
        <v>286000000000574</v>
      </c>
      <c r="K618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'+62 852-4180-8527'::varchar, NULL::varchar, 'Silvia Wijaya'::varchar, '124000000000305'::bigint);</v>
      </c>
    </row>
    <row r="619" spans="2:11" x14ac:dyDescent="0.2">
      <c r="B619" s="22">
        <v>124000000000306</v>
      </c>
      <c r="C619" s="4" t="str">
        <f>IF(EXACT($B619, ""), "", IF((($B619 - MOD($B619, 1000000000000))/1000000000000)=25, CONCATENATE("Person - ", VLOOKUP($B619, [1]DataLookUp!$B$4:$C$2000, 2, FALSE)), IF((($B619 - MOD($B619, 1000000000000))/1000000000000)=124, CONCATENATE("Institution - ", VLOOKUP($B619, '[2]DataLookUp - InstitutionBranch'!$B$4:$C$2000, 2, FALSE)), "")))</f>
        <v>Institution - Toko Sinar Listrik</v>
      </c>
      <c r="D619" s="22">
        <v>223000000000002</v>
      </c>
      <c r="E619" s="4" t="str">
        <f>IF(EXACT($D619, ""), "", VLOOKUP($D619, 'REF - ContactNumberType'!$B$4:$C$10, 2, FALSE))</f>
        <v>Mobile Phone</v>
      </c>
      <c r="F619" s="26" t="s">
        <v>1252</v>
      </c>
      <c r="G619" s="9"/>
      <c r="H619" s="9" t="s">
        <v>1091</v>
      </c>
      <c r="J619" s="33">
        <f t="shared" si="19"/>
        <v>286000000000575</v>
      </c>
      <c r="K619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'+62 852-2750-4400'::varchar, NULL::varchar, 'Rahman'::varchar, '124000000000306'::bigint);</v>
      </c>
    </row>
    <row r="620" spans="2:11" x14ac:dyDescent="0.2">
      <c r="B620" s="22">
        <v>124000000000307</v>
      </c>
      <c r="C620" s="4" t="str">
        <f>IF(EXACT($B620, ""), "", IF((($B620 - MOD($B620, 1000000000000))/1000000000000)=25, CONCATENATE("Person - ", VLOOKUP($B620, [1]DataLookUp!$B$4:$C$2000, 2, FALSE)), IF((($B620 - MOD($B620, 1000000000000))/1000000000000)=124, CONCATENATE("Institution - ", VLOOKUP($B620, '[2]DataLookUp - InstitutionBranch'!$B$4:$C$2000, 2, FALSE)), "")))</f>
        <v>Institution - Toko SKCR</v>
      </c>
      <c r="D620" s="22">
        <v>223000000000002</v>
      </c>
      <c r="E620" s="4" t="str">
        <f>IF(EXACT($D620, ""), "", VLOOKUP($D620, 'REF - ContactNumberType'!$B$4:$C$10, 2, FALSE))</f>
        <v>Mobile Phone</v>
      </c>
      <c r="F620" s="26" t="s">
        <v>934</v>
      </c>
      <c r="G620" s="9"/>
      <c r="H620" s="9" t="s">
        <v>964</v>
      </c>
      <c r="J620" s="33">
        <f t="shared" si="19"/>
        <v>286000000000576</v>
      </c>
      <c r="K620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'+62 813-7288-2518'::varchar, NULL::varchar, 'Admin'::varchar, '124000000000307'::bigint);</v>
      </c>
    </row>
    <row r="621" spans="2:11" x14ac:dyDescent="0.2">
      <c r="B621" s="22">
        <v>124000000000308</v>
      </c>
      <c r="C621" s="4" t="str">
        <f>IF(EXACT($B621, ""), "", IF((($B621 - MOD($B621, 1000000000000))/1000000000000)=25, CONCATENATE("Person - ", VLOOKUP($B621, [1]DataLookUp!$B$4:$C$2000, 2, FALSE)), IF((($B621 - MOD($B621, 1000000000000))/1000000000000)=124, CONCATENATE("Institution - ", VLOOKUP($B621, '[2]DataLookUp - InstitutionBranch'!$B$4:$C$2000, 2, FALSE)), "")))</f>
        <v>Institution - Toko Sumber Makmur</v>
      </c>
      <c r="D621" s="22">
        <v>223000000000002</v>
      </c>
      <c r="E621" s="4" t="str">
        <f>IF(EXACT($D621, ""), "", VLOOKUP($D621, 'REF - ContactNumberType'!$B$4:$C$10, 2, FALSE))</f>
        <v>Mobile Phone</v>
      </c>
      <c r="F621" s="26" t="s">
        <v>1388</v>
      </c>
      <c r="G621" s="9"/>
      <c r="H621" s="9" t="s">
        <v>1092</v>
      </c>
      <c r="J621" s="33">
        <f t="shared" si="19"/>
        <v>286000000000577</v>
      </c>
      <c r="K621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'+62 821-9075-1388'::varchar, NULL::varchar, 'Roy Lieswan'::varchar, '124000000000308'::bigint);</v>
      </c>
    </row>
    <row r="622" spans="2:11" x14ac:dyDescent="0.2">
      <c r="B622" s="22">
        <v>124000000000309</v>
      </c>
      <c r="C622" s="4" t="str">
        <f>IF(EXACT($B622, ""), "", IF((($B622 - MOD($B622, 1000000000000))/1000000000000)=25, CONCATENATE("Person - ", VLOOKUP($B622, [1]DataLookUp!$B$4:$C$2000, 2, FALSE)), IF((($B622 - MOD($B622, 1000000000000))/1000000000000)=124, CONCATENATE("Institution - ", VLOOKUP($B622, '[2]DataLookUp - InstitutionBranch'!$B$4:$C$2000, 2, FALSE)), "")))</f>
        <v>Institution - Toko Sumber Terang</v>
      </c>
      <c r="D622" s="22">
        <v>223000000000002</v>
      </c>
      <c r="E622" s="4" t="str">
        <f>IF(EXACT($D622, ""), "", VLOOKUP($D622, 'REF - ContactNumberType'!$B$4:$C$10, 2, FALSE))</f>
        <v>Mobile Phone</v>
      </c>
      <c r="F622" s="26" t="s">
        <v>1389</v>
      </c>
      <c r="G622" s="9"/>
      <c r="H622" s="9" t="s">
        <v>1093</v>
      </c>
      <c r="J622" s="33">
        <f t="shared" si="19"/>
        <v>286000000000578</v>
      </c>
      <c r="K622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'+62 823-8992-2255'::varchar, NULL::varchar, 'Suryanto'::varchar, '124000000000309'::bigint);</v>
      </c>
    </row>
    <row r="623" spans="2:11" x14ac:dyDescent="0.2">
      <c r="B623" s="22">
        <v>124000000000310</v>
      </c>
      <c r="C623" s="4" t="str">
        <f>IF(EXACT($B623, ""), "", IF((($B623 - MOD($B623, 1000000000000))/1000000000000)=25, CONCATENATE("Person - ", VLOOKUP($B623, [1]DataLookUp!$B$4:$C$2000, 2, FALSE)), IF((($B623 - MOD($B623, 1000000000000))/1000000000000)=124, CONCATENATE("Institution - ", VLOOKUP($B623, '[2]DataLookUp - InstitutionBranch'!$B$4:$C$2000, 2, FALSE)), "")))</f>
        <v>Institution - Toko Suroto Motor</v>
      </c>
      <c r="D623" s="22">
        <v>223000000000002</v>
      </c>
      <c r="E623" s="4" t="str">
        <f>IF(EXACT($D623, ""), "", VLOOKUP($D623, 'REF - ContactNumberType'!$B$4:$C$10, 2, FALSE))</f>
        <v>Mobile Phone</v>
      </c>
      <c r="F623" s="26" t="s">
        <v>1253</v>
      </c>
      <c r="G623" s="9"/>
      <c r="H623" s="9" t="s">
        <v>1094</v>
      </c>
      <c r="J623" s="33">
        <f t="shared" si="19"/>
        <v>286000000000579</v>
      </c>
      <c r="K623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'+62 821-5878-7635'::varchar, NULL::varchar, 'Suroto'::varchar, '124000000000310'::bigint);</v>
      </c>
    </row>
    <row r="624" spans="2:11" x14ac:dyDescent="0.2">
      <c r="B624" s="22">
        <v>124000000000312</v>
      </c>
      <c r="C624" s="4" t="str">
        <f>IF(EXACT($B624, ""), "", IF((($B624 - MOD($B624, 1000000000000))/1000000000000)=25, CONCATENATE("Person - ", VLOOKUP($B624, [1]DataLookUp!$B$4:$C$2000, 2, FALSE)), IF((($B624 - MOD($B624, 1000000000000))/1000000000000)=124, CONCATENATE("Institution - ", VLOOKUP($B624, '[2]DataLookUp - InstitutionBranch'!$B$4:$C$2000, 2, FALSE)), "")))</f>
        <v>Institution - Toko Top Listrik</v>
      </c>
      <c r="D624" s="22">
        <v>223000000000002</v>
      </c>
      <c r="E624" s="4" t="str">
        <f>IF(EXACT($D624, ""), "", VLOOKUP($D624, 'REF - ContactNumberType'!$B$4:$C$10, 2, FALSE))</f>
        <v>Mobile Phone</v>
      </c>
      <c r="F624" s="26" t="s">
        <v>935</v>
      </c>
      <c r="G624" s="9"/>
      <c r="H624" s="9" t="s">
        <v>1095</v>
      </c>
      <c r="J624" s="33">
        <f t="shared" si="19"/>
        <v>286000000000580</v>
      </c>
      <c r="K624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'+62 852-3319-1162'::varchar, NULL::varchar, 'Mindar Gorat'::varchar, '124000000000312'::bigint);</v>
      </c>
    </row>
    <row r="625" spans="2:11" x14ac:dyDescent="0.2">
      <c r="B625" s="22">
        <v>124000000000313</v>
      </c>
      <c r="C625" s="4" t="str">
        <f>IF(EXACT($B625, ""), "", IF((($B625 - MOD($B625, 1000000000000))/1000000000000)=25, CONCATENATE("Person - ", VLOOKUP($B625, [1]DataLookUp!$B$4:$C$2000, 2, FALSE)), IF((($B625 - MOD($B625, 1000000000000))/1000000000000)=124, CONCATENATE("Institution - ", VLOOKUP($B625, '[2]DataLookUp - InstitutionBranch'!$B$4:$C$2000, 2, FALSE)), "")))</f>
        <v>Institution - Toko Top Swalayan</v>
      </c>
      <c r="D625" s="22">
        <v>223000000000002</v>
      </c>
      <c r="E625" s="4" t="str">
        <f>IF(EXACT($D625, ""), "", VLOOKUP($D625, 'REF - ContactNumberType'!$B$4:$C$10, 2, FALSE))</f>
        <v>Mobile Phone</v>
      </c>
      <c r="F625" s="26" t="s">
        <v>1390</v>
      </c>
      <c r="G625" s="9"/>
      <c r="H625" s="9" t="s">
        <v>898</v>
      </c>
      <c r="J625" s="33">
        <f t="shared" si="19"/>
        <v>286000000000581</v>
      </c>
      <c r="K625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'+62 823-4745-3535'::varchar, NULL::varchar, '-'::varchar, '124000000000313'::bigint);</v>
      </c>
    </row>
    <row r="626" spans="2:11" x14ac:dyDescent="0.2">
      <c r="B626" s="22">
        <v>124000000000314</v>
      </c>
      <c r="C626" s="4" t="str">
        <f>IF(EXACT($B626, ""), "", IF((($B626 - MOD($B626, 1000000000000))/1000000000000)=25, CONCATENATE("Person - ", VLOOKUP($B626, [1]DataLookUp!$B$4:$C$2000, 2, FALSE)), IF((($B626 - MOD($B626, 1000000000000))/1000000000000)=124, CONCATENATE("Institution - ", VLOOKUP($B626, '[2]DataLookUp - InstitutionBranch'!$B$4:$C$2000, 2, FALSE)), "")))</f>
        <v>Institution - Toko Usaha Teknik Bersama</v>
      </c>
      <c r="D626" s="22">
        <v>223000000000002</v>
      </c>
      <c r="E626" s="4" t="str">
        <f>IF(EXACT($D626, ""), "", VLOOKUP($D626, 'REF - ContactNumberType'!$B$4:$C$10, 2, FALSE))</f>
        <v>Mobile Phone</v>
      </c>
      <c r="F626" s="26" t="s">
        <v>1254</v>
      </c>
      <c r="G626" s="9"/>
      <c r="H626" s="9" t="s">
        <v>1096</v>
      </c>
      <c r="J626" s="33">
        <f t="shared" si="19"/>
        <v>286000000000582</v>
      </c>
      <c r="K626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'+62 811-9897-820'::varchar, NULL::varchar, 'Ridwanudin'::varchar, '124000000000314'::bigint);</v>
      </c>
    </row>
    <row r="627" spans="2:11" x14ac:dyDescent="0.2">
      <c r="B627" s="22">
        <v>124000000000336</v>
      </c>
      <c r="C627" s="4" t="str">
        <f>IF(EXACT($B627, ""), "", IF((($B627 - MOD($B627, 1000000000000))/1000000000000)=25, CONCATENATE("Person - ", VLOOKUP($B627, [1]DataLookUp!$B$4:$C$2000, 2, FALSE)), IF((($B627 - MOD($B627, 1000000000000))/1000000000000)=124, CONCATENATE("Institution - ", VLOOKUP($B627, '[2]DataLookUp - InstitutionBranch'!$B$4:$C$2000, 2, FALSE)), "")))</f>
        <v>Institution - Toko Online Tokopedia - Glodok Diesel</v>
      </c>
      <c r="D627" s="22">
        <v>223000000000002</v>
      </c>
      <c r="E627" s="4" t="str">
        <f>IF(EXACT($D627, ""), "", VLOOKUP($D627, 'REF - ContactNumberType'!$B$4:$C$10, 2, FALSE))</f>
        <v>Mobile Phone</v>
      </c>
      <c r="F627" s="26" t="s">
        <v>1387</v>
      </c>
      <c r="G627" s="9"/>
      <c r="H627" s="9" t="s">
        <v>1097</v>
      </c>
      <c r="J627" s="33">
        <f t="shared" si="19"/>
        <v>286000000000583</v>
      </c>
      <c r="K627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'+62 878-8569-0291'::varchar, NULL::varchar, 'Glodok Diesel'::varchar, '124000000000336'::bigint);</v>
      </c>
    </row>
    <row r="628" spans="2:11" x14ac:dyDescent="0.2">
      <c r="B628" s="22">
        <v>124000000000352</v>
      </c>
      <c r="C628" s="4" t="str">
        <f>IF(EXACT($B628, ""), "", IF((($B628 - MOD($B628, 1000000000000))/1000000000000)=25, CONCATENATE("Person - ", VLOOKUP($B628, [1]DataLookUp!$B$4:$C$2000, 2, FALSE)), IF((($B628 - MOD($B628, 1000000000000))/1000000000000)=124, CONCATENATE("Institution - ", VLOOKUP($B628, '[2]DataLookUp - InstitutionBranch'!$B$4:$C$2000, 2, FALSE)), "")))</f>
        <v>Institution - Toko Online Tokopedia - MM Teknindo</v>
      </c>
      <c r="D628" s="22">
        <v>223000000000002</v>
      </c>
      <c r="E628" s="4" t="str">
        <f>IF(EXACT($D628, ""), "", VLOOKUP($D628, 'REF - ContactNumberType'!$B$4:$C$10, 2, FALSE))</f>
        <v>Mobile Phone</v>
      </c>
      <c r="F628" s="26" t="s">
        <v>1386</v>
      </c>
      <c r="G628" s="9"/>
      <c r="H628" s="9" t="s">
        <v>898</v>
      </c>
      <c r="J628" s="33">
        <f t="shared" si="19"/>
        <v>286000000000584</v>
      </c>
      <c r="K628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'+62 811-158-1199'::varchar, NULL::varchar, '-'::varchar, '124000000000352'::bigint);</v>
      </c>
    </row>
    <row r="629" spans="2:11" x14ac:dyDescent="0.2">
      <c r="B629" s="22">
        <v>124000000000352</v>
      </c>
      <c r="C629" s="4" t="str">
        <f>IF(EXACT($B629, ""), "", IF((($B629 - MOD($B629, 1000000000000))/1000000000000)=25, CONCATENATE("Person - ", VLOOKUP($B629, [1]DataLookUp!$B$4:$C$2000, 2, FALSE)), IF((($B629 - MOD($B629, 1000000000000))/1000000000000)=124, CONCATENATE("Institution - ", VLOOKUP($B629, '[2]DataLookUp - InstitutionBranch'!$B$4:$C$2000, 2, FALSE)), "")))</f>
        <v>Institution - Toko Online Tokopedia - MM Teknindo</v>
      </c>
      <c r="D629" s="22">
        <v>223000000000004</v>
      </c>
      <c r="E629" s="4" t="str">
        <f>IF(EXACT($D629, ""), "", VLOOKUP($D629, 'REF - ContactNumberType'!$B$4:$C$10, 2, FALSE))</f>
        <v>Office Phone</v>
      </c>
      <c r="F629" s="26" t="s">
        <v>1385</v>
      </c>
      <c r="G629" s="9"/>
      <c r="H629" s="9" t="s">
        <v>898</v>
      </c>
      <c r="J629" s="33">
        <f t="shared" si="19"/>
        <v>286000000000585</v>
      </c>
      <c r="K629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624-2341'::varchar, NULL::varchar, '-'::varchar, '124000000000352'::bigint);</v>
      </c>
    </row>
    <row r="630" spans="2:11" x14ac:dyDescent="0.2">
      <c r="B630" s="22">
        <v>124000000000380</v>
      </c>
      <c r="C630" s="4" t="str">
        <f>IF(EXACT($B630, ""), "", IF((($B630 - MOD($B630, 1000000000000))/1000000000000)=25, CONCATENATE("Person - ", VLOOKUP($B630, [1]DataLookUp!$B$4:$C$2000, 2, FALSE)), IF((($B630 - MOD($B630, 1000000000000))/1000000000000)=124, CONCATENATE("Institution - ", VLOOKUP($B630, '[2]DataLookUp - InstitutionBranch'!$B$4:$C$2000, 2, FALSE)), "")))</f>
        <v>Institution - Mandor Abd Karim</v>
      </c>
      <c r="D630" s="22">
        <v>223000000000002</v>
      </c>
      <c r="E630" s="4" t="str">
        <f>IF(EXACT($D630, ""), "", VLOOKUP($D630, 'REF - ContactNumberType'!$B$4:$C$10, 2, FALSE))</f>
        <v>Mobile Phone</v>
      </c>
      <c r="F630" s="26" t="s">
        <v>1374</v>
      </c>
      <c r="G630" s="9"/>
      <c r="H630" s="9" t="s">
        <v>1098</v>
      </c>
      <c r="J630" s="33">
        <f t="shared" si="19"/>
        <v>286000000000586</v>
      </c>
      <c r="K630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'+62 852-4985-9628'::varchar, NULL::varchar, 'Abd Karim'::varchar, '124000000000380'::bigint);</v>
      </c>
    </row>
    <row r="631" spans="2:11" x14ac:dyDescent="0.2">
      <c r="B631" s="22">
        <v>124000000000382</v>
      </c>
      <c r="C631" s="4" t="str">
        <f>IF(EXACT($B631, ""), "", IF((($B631 - MOD($B631, 1000000000000))/1000000000000)=25, CONCATENATE("Person - ", VLOOKUP($B631, [1]DataLookUp!$B$4:$C$2000, 2, FALSE)), IF((($B631 - MOD($B631, 1000000000000))/1000000000000)=124, CONCATENATE("Institution - ", VLOOKUP($B631, '[2]DataLookUp - InstitutionBranch'!$B$4:$C$2000, 2, FALSE)), "")))</f>
        <v>Institution - Mandor Adi Sutrisno</v>
      </c>
      <c r="D631" s="22">
        <v>223000000000002</v>
      </c>
      <c r="E631" s="4" t="str">
        <f>IF(EXACT($D631, ""), "", VLOOKUP($D631, 'REF - ContactNumberType'!$B$4:$C$10, 2, FALSE))</f>
        <v>Mobile Phone</v>
      </c>
      <c r="F631" s="26" t="s">
        <v>1375</v>
      </c>
      <c r="G631" s="9"/>
      <c r="H631" s="9" t="s">
        <v>1099</v>
      </c>
      <c r="J631" s="33">
        <f t="shared" si="19"/>
        <v>286000000000587</v>
      </c>
      <c r="K631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'+62 821-5719-23000'::varchar, NULL::varchar, 'Adi Sutrisno'::varchar, '124000000000382'::bigint);</v>
      </c>
    </row>
    <row r="632" spans="2:11" x14ac:dyDescent="0.2">
      <c r="B632" s="22">
        <v>124000000000383</v>
      </c>
      <c r="C632" s="4" t="str">
        <f>IF(EXACT($B632, ""), "", IF((($B632 - MOD($B632, 1000000000000))/1000000000000)=25, CONCATENATE("Person - ", VLOOKUP($B632, [1]DataLookUp!$B$4:$C$2000, 2, FALSE)), IF((($B632 - MOD($B632, 1000000000000))/1000000000000)=124, CONCATENATE("Institution - ", VLOOKUP($B632, '[2]DataLookUp - InstitutionBranch'!$B$4:$C$2000, 2, FALSE)), "")))</f>
        <v>Institution - Mandor Afrizal</v>
      </c>
      <c r="D632" s="22">
        <v>223000000000002</v>
      </c>
      <c r="E632" s="4" t="str">
        <f>IF(EXACT($D632, ""), "", VLOOKUP($D632, 'REF - ContactNumberType'!$B$4:$C$10, 2, FALSE))</f>
        <v>Mobile Phone</v>
      </c>
      <c r="F632" s="26" t="s">
        <v>1255</v>
      </c>
      <c r="G632" s="9"/>
      <c r="H632" s="9" t="s">
        <v>1084</v>
      </c>
      <c r="J632" s="33">
        <f t="shared" si="19"/>
        <v>286000000000588</v>
      </c>
      <c r="K632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'+62 812-6865-2373'::varchar, NULL::varchar, 'Afrizal'::varchar, '124000000000383'::bigint);</v>
      </c>
    </row>
    <row r="633" spans="2:11" x14ac:dyDescent="0.2">
      <c r="B633" s="22">
        <v>124000000000384</v>
      </c>
      <c r="C633" s="4" t="str">
        <f>IF(EXACT($B633, ""), "", IF((($B633 - MOD($B633, 1000000000000))/1000000000000)=25, CONCATENATE("Person - ", VLOOKUP($B633, [1]DataLookUp!$B$4:$C$2000, 2, FALSE)), IF((($B633 - MOD($B633, 1000000000000))/1000000000000)=124, CONCATENATE("Institution - ", VLOOKUP($B633, '[2]DataLookUp - InstitutionBranch'!$B$4:$C$2000, 2, FALSE)), "")))</f>
        <v>Institution - Mandor Ahmad Sholeh</v>
      </c>
      <c r="D633" s="22">
        <v>223000000000002</v>
      </c>
      <c r="E633" s="4" t="str">
        <f>IF(EXACT($D633, ""), "", VLOOKUP($D633, 'REF - ContactNumberType'!$B$4:$C$10, 2, FALSE))</f>
        <v>Mobile Phone</v>
      </c>
      <c r="F633" s="26" t="s">
        <v>1331</v>
      </c>
      <c r="G633" s="9"/>
      <c r="H633" s="9" t="s">
        <v>1100</v>
      </c>
      <c r="J633" s="33">
        <f t="shared" si="19"/>
        <v>286000000000589</v>
      </c>
      <c r="K633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'+62 877-5447-5373'::varchar, NULL::varchar, 'Ahmad Sholeh'::varchar, '124000000000384'::bigint);</v>
      </c>
    </row>
    <row r="634" spans="2:11" x14ac:dyDescent="0.2">
      <c r="B634" s="22">
        <v>124000000000385</v>
      </c>
      <c r="C634" s="4" t="str">
        <f>IF(EXACT($B634, ""), "", IF((($B634 - MOD($B634, 1000000000000))/1000000000000)=25, CONCATENATE("Person - ", VLOOKUP($B634, [1]DataLookUp!$B$4:$C$2000, 2, FALSE)), IF((($B634 - MOD($B634, 1000000000000))/1000000000000)=124, CONCATENATE("Institution - ", VLOOKUP($B634, '[2]DataLookUp - InstitutionBranch'!$B$4:$C$2000, 2, FALSE)), "")))</f>
        <v>Institution - Mandor Ahmad Syamsudin</v>
      </c>
      <c r="D634" s="22">
        <v>223000000000002</v>
      </c>
      <c r="E634" s="4" t="str">
        <f>IF(EXACT($D634, ""), "", VLOOKUP($D634, 'REF - ContactNumberType'!$B$4:$C$10, 2, FALSE))</f>
        <v>Mobile Phone</v>
      </c>
      <c r="F634" s="26" t="s">
        <v>804</v>
      </c>
      <c r="G634" s="9"/>
      <c r="H634" s="9" t="s">
        <v>1047</v>
      </c>
      <c r="J634" s="33">
        <f t="shared" si="19"/>
        <v>286000000000590</v>
      </c>
      <c r="K634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'+62 812-3694-9841'::varchar, NULL::varchar, 'Ahmad'::varchar, '124000000000385'::bigint);</v>
      </c>
    </row>
    <row r="635" spans="2:11" x14ac:dyDescent="0.2">
      <c r="B635" s="22">
        <v>124000000000386</v>
      </c>
      <c r="C635" s="4" t="str">
        <f>IF(EXACT($B635, ""), "", IF((($B635 - MOD($B635, 1000000000000))/1000000000000)=25, CONCATENATE("Person - ", VLOOKUP($B635, [1]DataLookUp!$B$4:$C$2000, 2, FALSE)), IF((($B635 - MOD($B635, 1000000000000))/1000000000000)=124, CONCATENATE("Institution - ", VLOOKUP($B635, '[2]DataLookUp - InstitutionBranch'!$B$4:$C$2000, 2, FALSE)), "")))</f>
        <v>Institution - Mandor Ajay</v>
      </c>
      <c r="D635" s="22">
        <v>223000000000002</v>
      </c>
      <c r="E635" s="4" t="str">
        <f>IF(EXACT($D635, ""), "", VLOOKUP($D635, 'REF - ContactNumberType'!$B$4:$C$10, 2, FALSE))</f>
        <v>Mobile Phone</v>
      </c>
      <c r="F635" s="26" t="s">
        <v>1376</v>
      </c>
      <c r="G635" s="9"/>
      <c r="H635" s="9" t="s">
        <v>1101</v>
      </c>
      <c r="J635" s="33">
        <f t="shared" si="19"/>
        <v>286000000000591</v>
      </c>
      <c r="K635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'+62 877-7893-0682'::varchar, NULL::varchar, 'Ajay'::varchar, '124000000000386'::bigint);</v>
      </c>
    </row>
    <row r="636" spans="2:11" x14ac:dyDescent="0.2">
      <c r="B636" s="22">
        <v>124000000000387</v>
      </c>
      <c r="C636" s="4" t="str">
        <f>IF(EXACT($B636, ""), "", IF((($B636 - MOD($B636, 1000000000000))/1000000000000)=25, CONCATENATE("Person - ", VLOOKUP($B636, [1]DataLookUp!$B$4:$C$2000, 2, FALSE)), IF((($B636 - MOD($B636, 1000000000000))/1000000000000)=124, CONCATENATE("Institution - ", VLOOKUP($B636, '[2]DataLookUp - InstitutionBranch'!$B$4:$C$2000, 2, FALSE)), "")))</f>
        <v>Institution - Mandor Alfian Dani</v>
      </c>
      <c r="D636" s="22">
        <v>223000000000002</v>
      </c>
      <c r="E636" s="4" t="str">
        <f>IF(EXACT($D636, ""), "", VLOOKUP($D636, 'REF - ContactNumberType'!$B$4:$C$10, 2, FALSE))</f>
        <v>Mobile Phone</v>
      </c>
      <c r="F636" s="26" t="s">
        <v>1256</v>
      </c>
      <c r="G636" s="9"/>
      <c r="H636" s="9" t="s">
        <v>1102</v>
      </c>
      <c r="J636" s="33">
        <f t="shared" si="19"/>
        <v>286000000000592</v>
      </c>
      <c r="K636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'+62 851-2619-9395'::varchar, NULL::varchar, 'Dani'::varchar, '124000000000387'::bigint);</v>
      </c>
    </row>
    <row r="637" spans="2:11" x14ac:dyDescent="0.2">
      <c r="B637" s="22">
        <v>124000000000388</v>
      </c>
      <c r="C637" s="4" t="str">
        <f>IF(EXACT($B637, ""), "", IF((($B637 - MOD($B637, 1000000000000))/1000000000000)=25, CONCATENATE("Person - ", VLOOKUP($B637, [1]DataLookUp!$B$4:$C$2000, 2, FALSE)), IF((($B637 - MOD($B637, 1000000000000))/1000000000000)=124, CONCATENATE("Institution - ", VLOOKUP($B637, '[2]DataLookUp - InstitutionBranch'!$B$4:$C$2000, 2, FALSE)), "")))</f>
        <v>Institution - Mandor Alimuddin</v>
      </c>
      <c r="D637" s="22">
        <v>223000000000002</v>
      </c>
      <c r="E637" s="4" t="str">
        <f>IF(EXACT($D637, ""), "", VLOOKUP($D637, 'REF - ContactNumberType'!$B$4:$C$10, 2, FALSE))</f>
        <v>Mobile Phone</v>
      </c>
      <c r="F637" s="26" t="s">
        <v>1355</v>
      </c>
      <c r="G637" s="9"/>
      <c r="H637" s="9" t="s">
        <v>1103</v>
      </c>
      <c r="J637" s="33">
        <f t="shared" si="19"/>
        <v>286000000000593</v>
      </c>
      <c r="K637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'+62 819-3144-8554'::varchar, NULL::varchar, 'Alimuddin'::varchar, '124000000000388'::bigint);</v>
      </c>
    </row>
    <row r="638" spans="2:11" x14ac:dyDescent="0.2">
      <c r="B638" s="22">
        <v>124000000000389</v>
      </c>
      <c r="C638" s="4" t="str">
        <f>IF(EXACT($B638, ""), "", IF((($B638 - MOD($B638, 1000000000000))/1000000000000)=25, CONCATENATE("Person - ", VLOOKUP($B638, [1]DataLookUp!$B$4:$C$2000, 2, FALSE)), IF((($B638 - MOD($B638, 1000000000000))/1000000000000)=124, CONCATENATE("Institution - ", VLOOKUP($B638, '[2]DataLookUp - InstitutionBranch'!$B$4:$C$2000, 2, FALSE)), "")))</f>
        <v>Institution - Mandor Ari Setiawan</v>
      </c>
      <c r="D638" s="22">
        <v>223000000000002</v>
      </c>
      <c r="E638" s="4" t="str">
        <f>IF(EXACT($D638, ""), "", VLOOKUP($D638, 'REF - ContactNumberType'!$B$4:$C$10, 2, FALSE))</f>
        <v>Mobile Phone</v>
      </c>
      <c r="F638" s="26" t="s">
        <v>1257</v>
      </c>
      <c r="G638" s="9"/>
      <c r="H638" s="9" t="s">
        <v>1104</v>
      </c>
      <c r="J638" s="33">
        <f t="shared" si="19"/>
        <v>286000000000594</v>
      </c>
      <c r="K638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'+62 859-7597-3027'::varchar, NULL::varchar, 'Ari Setiawan'::varchar, '124000000000389'::bigint);</v>
      </c>
    </row>
    <row r="639" spans="2:11" x14ac:dyDescent="0.2">
      <c r="B639" s="22">
        <v>124000000000390</v>
      </c>
      <c r="C639" s="4" t="str">
        <f>IF(EXACT($B639, ""), "", IF((($B639 - MOD($B639, 1000000000000))/1000000000000)=25, CONCATENATE("Person - ", VLOOKUP($B639, [1]DataLookUp!$B$4:$C$2000, 2, FALSE)), IF((($B639 - MOD($B639, 1000000000000))/1000000000000)=124, CONCATENATE("Institution - ", VLOOKUP($B639, '[2]DataLookUp - InstitutionBranch'!$B$4:$C$2000, 2, FALSE)), "")))</f>
        <v>Institution - Mandor Baharuddin</v>
      </c>
      <c r="D639" s="22">
        <v>223000000000002</v>
      </c>
      <c r="E639" s="4" t="str">
        <f>IF(EXACT($D639, ""), "", VLOOKUP($D639, 'REF - ContactNumberType'!$B$4:$C$10, 2, FALSE))</f>
        <v>Mobile Phone</v>
      </c>
      <c r="F639" s="26" t="s">
        <v>1373</v>
      </c>
      <c r="G639" s="9"/>
      <c r="H639" s="9" t="s">
        <v>1105</v>
      </c>
      <c r="J639" s="33">
        <f t="shared" si="19"/>
        <v>286000000000595</v>
      </c>
      <c r="K639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'+62 821-4100-0545'::varchar, NULL::varchar, 'Baharuddin'::varchar, '124000000000390'::bigint);</v>
      </c>
    </row>
    <row r="640" spans="2:11" x14ac:dyDescent="0.2">
      <c r="B640" s="22">
        <v>124000000000391</v>
      </c>
      <c r="C640" s="4" t="str">
        <f>IF(EXACT($B640, ""), "", IF((($B640 - MOD($B640, 1000000000000))/1000000000000)=25, CONCATENATE("Person - ", VLOOKUP($B640, [1]DataLookUp!$B$4:$C$2000, 2, FALSE)), IF((($B640 - MOD($B640, 1000000000000))/1000000000000)=124, CONCATENATE("Institution - ", VLOOKUP($B640, '[2]DataLookUp - InstitutionBranch'!$B$4:$C$2000, 2, FALSE)), "")))</f>
        <v>Institution - Mandor Balduin Situmorang</v>
      </c>
      <c r="D640" s="22">
        <v>223000000000002</v>
      </c>
      <c r="E640" s="4" t="str">
        <f>IF(EXACT($D640, ""), "", VLOOKUP($D640, 'REF - ContactNumberType'!$B$4:$C$10, 2, FALSE))</f>
        <v>Mobile Phone</v>
      </c>
      <c r="F640" s="26" t="s">
        <v>1372</v>
      </c>
      <c r="G640" s="9"/>
      <c r="H640" s="9" t="s">
        <v>1377</v>
      </c>
      <c r="J640" s="33">
        <f t="shared" si="19"/>
        <v>286000000000596</v>
      </c>
      <c r="K640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'+62 813-1961-4973'::varchar, NULL::varchar, 'Balduin Situmorang'::varchar, '124000000000391'::bigint);</v>
      </c>
    </row>
    <row r="641" spans="2:11" x14ac:dyDescent="0.2">
      <c r="B641" s="22">
        <v>124000000000392</v>
      </c>
      <c r="C641" s="4" t="str">
        <f>IF(EXACT($B641, ""), "", IF((($B641 - MOD($B641, 1000000000000))/1000000000000)=25, CONCATENATE("Person - ", VLOOKUP($B641, [1]DataLookUp!$B$4:$C$2000, 2, FALSE)), IF((($B641 - MOD($B641, 1000000000000))/1000000000000)=124, CONCATENATE("Institution - ", VLOOKUP($B641, '[2]DataLookUp - InstitutionBranch'!$B$4:$C$2000, 2, FALSE)), "")))</f>
        <v>Institution - Mandor Budi Prihatin</v>
      </c>
      <c r="D641" s="22">
        <v>223000000000002</v>
      </c>
      <c r="E641" s="4" t="str">
        <f>IF(EXACT($D641, ""), "", VLOOKUP($D641, 'REF - ContactNumberType'!$B$4:$C$10, 2, FALSE))</f>
        <v>Mobile Phone</v>
      </c>
      <c r="F641" s="26" t="s">
        <v>1371</v>
      </c>
      <c r="G641" s="9"/>
      <c r="H641" s="9" t="s">
        <v>1378</v>
      </c>
      <c r="J641" s="33">
        <f t="shared" si="19"/>
        <v>286000000000597</v>
      </c>
      <c r="K641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'+62 857-594-47668'::varchar, NULL::varchar, 'Budi Prihatin'::varchar, '124000000000392'::bigint);</v>
      </c>
    </row>
    <row r="642" spans="2:11" x14ac:dyDescent="0.2">
      <c r="B642" s="22">
        <v>124000000000393</v>
      </c>
      <c r="C642" s="4" t="str">
        <f>IF(EXACT($B642, ""), "", IF((($B642 - MOD($B642, 1000000000000))/1000000000000)=25, CONCATENATE("Person - ", VLOOKUP($B642, [1]DataLookUp!$B$4:$C$2000, 2, FALSE)), IF((($B642 - MOD($B642, 1000000000000))/1000000000000)=124, CONCATENATE("Institution - ", VLOOKUP($B642, '[2]DataLookUp - InstitutionBranch'!$B$4:$C$2000, 2, FALSE)), "")))</f>
        <v>Institution - Mandor Burhanudin</v>
      </c>
      <c r="D642" s="22">
        <v>223000000000002</v>
      </c>
      <c r="E642" s="4" t="str">
        <f>IF(EXACT($D642, ""), "", VLOOKUP($D642, 'REF - ContactNumberType'!$B$4:$C$10, 2, FALSE))</f>
        <v>Mobile Phone</v>
      </c>
      <c r="F642" s="26" t="s">
        <v>1258</v>
      </c>
      <c r="G642" s="9"/>
      <c r="H642" s="9" t="s">
        <v>1106</v>
      </c>
      <c r="J642" s="33">
        <f t="shared" si="19"/>
        <v>286000000000598</v>
      </c>
      <c r="K642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'+62 813-1067-7754'::varchar, NULL::varchar, 'Burhanudin'::varchar, '124000000000393'::bigint);</v>
      </c>
    </row>
    <row r="643" spans="2:11" x14ac:dyDescent="0.2">
      <c r="B643" s="22">
        <v>124000000000394</v>
      </c>
      <c r="C643" s="4" t="str">
        <f>IF(EXACT($B643, ""), "", IF((($B643 - MOD($B643, 1000000000000))/1000000000000)=25, CONCATENATE("Person - ", VLOOKUP($B643, [1]DataLookUp!$B$4:$C$2000, 2, FALSE)), IF((($B643 - MOD($B643, 1000000000000))/1000000000000)=124, CONCATENATE("Institution - ", VLOOKUP($B643, '[2]DataLookUp - InstitutionBranch'!$B$4:$C$2000, 2, FALSE)), "")))</f>
        <v>Institution - Mandor Dian Effendi</v>
      </c>
      <c r="D643" s="22">
        <v>223000000000002</v>
      </c>
      <c r="E643" s="4" t="str">
        <f>IF(EXACT($D643, ""), "", VLOOKUP($D643, 'REF - ContactNumberType'!$B$4:$C$10, 2, FALSE))</f>
        <v>Mobile Phone</v>
      </c>
      <c r="F643" s="26" t="s">
        <v>1370</v>
      </c>
      <c r="G643" s="9"/>
      <c r="H643" s="9" t="s">
        <v>1107</v>
      </c>
      <c r="J643" s="33">
        <f t="shared" si="19"/>
        <v>286000000000599</v>
      </c>
      <c r="K643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'+62 878-2002-0484'::varchar, NULL::varchar, 'Effendi'::varchar, '124000000000394'::bigint);</v>
      </c>
    </row>
    <row r="644" spans="2:11" x14ac:dyDescent="0.2">
      <c r="B644" s="22">
        <v>124000000000395</v>
      </c>
      <c r="C644" s="4" t="str">
        <f>IF(EXACT($B644, ""), "", IF((($B644 - MOD($B644, 1000000000000))/1000000000000)=25, CONCATENATE("Person - ", VLOOKUP($B644, [1]DataLookUp!$B$4:$C$2000, 2, FALSE)), IF((($B644 - MOD($B644, 1000000000000))/1000000000000)=124, CONCATENATE("Institution - ", VLOOKUP($B644, '[2]DataLookUp - InstitutionBranch'!$B$4:$C$2000, 2, FALSE)), "")))</f>
        <v>Institution - Mandor Dwi Trisno Utomo</v>
      </c>
      <c r="D644" s="22">
        <v>223000000000002</v>
      </c>
      <c r="E644" s="4" t="str">
        <f>IF(EXACT($D644, ""), "", VLOOKUP($D644, 'REF - ContactNumberType'!$B$4:$C$10, 2, FALSE))</f>
        <v>Mobile Phone</v>
      </c>
      <c r="F644" s="26" t="s">
        <v>1369</v>
      </c>
      <c r="G644" s="9"/>
      <c r="H644" s="9" t="s">
        <v>1108</v>
      </c>
      <c r="J644" s="33">
        <f t="shared" si="19"/>
        <v>286000000000600</v>
      </c>
      <c r="K644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'+62 858-9432-7516'::varchar, NULL::varchar, 'Dwi Trisno Utomo'::varchar, '124000000000395'::bigint);</v>
      </c>
    </row>
    <row r="645" spans="2:11" x14ac:dyDescent="0.2">
      <c r="B645" s="22">
        <v>124000000000396</v>
      </c>
      <c r="C645" s="4" t="str">
        <f>IF(EXACT($B645, ""), "", IF((($B645 - MOD($B645, 1000000000000))/1000000000000)=25, CONCATENATE("Person - ", VLOOKUP($B645, [1]DataLookUp!$B$4:$C$2000, 2, FALSE)), IF((($B645 - MOD($B645, 1000000000000))/1000000000000)=124, CONCATENATE("Institution - ", VLOOKUP($B645, '[2]DataLookUp - InstitutionBranch'!$B$4:$C$2000, 2, FALSE)), "")))</f>
        <v>Institution - Mandor Erizal</v>
      </c>
      <c r="D645" s="22">
        <v>223000000000002</v>
      </c>
      <c r="E645" s="4" t="str">
        <f>IF(EXACT($D645, ""), "", VLOOKUP($D645, 'REF - ContactNumberType'!$B$4:$C$10, 2, FALSE))</f>
        <v>Mobile Phone</v>
      </c>
      <c r="F645" s="26" t="s">
        <v>1368</v>
      </c>
      <c r="G645" s="9"/>
      <c r="H645" s="9" t="s">
        <v>1109</v>
      </c>
      <c r="J645" s="33">
        <f t="shared" si="19"/>
        <v>286000000000601</v>
      </c>
      <c r="K645" s="34" t="str">
        <f t="shared" si="20"/>
        <v>PERFORM "SchData-OLTP-Master"."Func_TblContactNumber_SET"(varSystemLoginSession::bigint, null::bigint, null::varchar, null::timestamptz, null::timestamptz, null::varchar, varInstitutionBranchID::bigint, varBaseCurrencyID::bigint, 223000000000002::bigint, '+62 882-0153-86047'::varchar, NULL::varchar, 'Erizal'::varchar, '124000000000396'::bigint);</v>
      </c>
    </row>
    <row r="646" spans="2:11" x14ac:dyDescent="0.2">
      <c r="B646" s="22">
        <v>124000000000397</v>
      </c>
      <c r="C646" s="4" t="str">
        <f>IF(EXACT($B646, ""), "", IF((($B646 - MOD($B646, 1000000000000))/1000000000000)=25, CONCATENATE("Person - ", VLOOKUP($B646, [1]DataLookUp!$B$4:$C$2000, 2, FALSE)), IF((($B646 - MOD($B646, 1000000000000))/1000000000000)=124, CONCATENATE("Institution - ", VLOOKUP($B646, '[2]DataLookUp - InstitutionBranch'!$B$4:$C$2000, 2, FALSE)), "")))</f>
        <v>Institution - Mandor Galih Ramadhan</v>
      </c>
      <c r="D646" s="22">
        <v>223000000000002</v>
      </c>
      <c r="E646" s="4" t="str">
        <f>IF(EXACT($D646, ""), "", VLOOKUP($D646, 'REF - ContactNumberType'!$B$4:$C$10, 2, FALSE))</f>
        <v>Mobile Phone</v>
      </c>
      <c r="F646" s="26" t="s">
        <v>1259</v>
      </c>
      <c r="G646" s="9"/>
      <c r="H646" s="9" t="s">
        <v>1379</v>
      </c>
      <c r="J646" s="33">
        <f t="shared" ref="J646:J709" si="21" xml:space="preserve"> J645 + IF(EXACT(K646, ""), 0, 1)</f>
        <v>286000000000602</v>
      </c>
      <c r="K646" s="34" t="str">
        <f t="shared" ref="K646:K709" si="22">IF(EXACT(F646, ""), "", CONCATENATE("PERFORM ""SchData-OLTP-Master"".""Func_TblContactNumber_SET""(varSystemLoginSession::bigint, null::bigint, null::varchar, null::timestamptz, null::timestamptz, null::varchar, varInstitutionBranchID::bigint, varBaseCurrencyID::bigint, ", IF(EXACT($D646, ""), "NULL", ""&amp;$D646&amp;""), "::bigint, ", IF(EXACT($F646, ""), "NULL", "'"&amp;$F646&amp;"'"), "::varchar, ", IF(EXACT($G646, ""), "NULL", "'"&amp;$G646&amp;"'"), "::varchar, ", IF(EXACT($H646, ""), "NULL", "'"&amp;$H646&amp;"'"), "::varchar, ", IF(EXACT($B646, ""), "NULL", "'"&amp;$B646&amp;"'"), "::bigint);"))</f>
        <v>PERFORM "SchData-OLTP-Master"."Func_TblContactNumber_SET"(varSystemLoginSession::bigint, null::bigint, null::varchar, null::timestamptz, null::timestamptz, null::varchar, varInstitutionBranchID::bigint, varBaseCurrencyID::bigint, 223000000000002::bigint, '+62 821-2308-9655'::varchar, NULL::varchar, 'Galih Ramadhan'::varchar, '124000000000397'::bigint);</v>
      </c>
    </row>
    <row r="647" spans="2:11" x14ac:dyDescent="0.2">
      <c r="B647" s="22">
        <v>124000000000398</v>
      </c>
      <c r="C647" s="4" t="str">
        <f>IF(EXACT($B647, ""), "", IF((($B647 - MOD($B647, 1000000000000))/1000000000000)=25, CONCATENATE("Person - ", VLOOKUP($B647, [1]DataLookUp!$B$4:$C$2000, 2, FALSE)), IF((($B647 - MOD($B647, 1000000000000))/1000000000000)=124, CONCATENATE("Institution - ", VLOOKUP($B647, '[2]DataLookUp - InstitutionBranch'!$B$4:$C$2000, 2, FALSE)), "")))</f>
        <v>Institution - Mandor Haerul Gunawan</v>
      </c>
      <c r="D647" s="22">
        <v>223000000000002</v>
      </c>
      <c r="E647" s="4" t="str">
        <f>IF(EXACT($D647, ""), "", VLOOKUP($D647, 'REF - ContactNumberType'!$B$4:$C$10, 2, FALSE))</f>
        <v>Mobile Phone</v>
      </c>
      <c r="F647" s="26" t="s">
        <v>1366</v>
      </c>
      <c r="G647" s="9"/>
      <c r="H647" s="9" t="s">
        <v>564</v>
      </c>
      <c r="J647" s="33">
        <f t="shared" si="21"/>
        <v>286000000000603</v>
      </c>
      <c r="K647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'+62 853-3857-3116'::varchar, NULL::varchar, 'Haerul Gunawan'::varchar, '124000000000398'::bigint);</v>
      </c>
    </row>
    <row r="648" spans="2:11" x14ac:dyDescent="0.2">
      <c r="B648" s="22">
        <v>124000000000399</v>
      </c>
      <c r="C648" s="4" t="str">
        <f>IF(EXACT($B648, ""), "", IF((($B648 - MOD($B648, 1000000000000))/1000000000000)=25, CONCATENATE("Person - ", VLOOKUP($B648, [1]DataLookUp!$B$4:$C$2000, 2, FALSE)), IF((($B648 - MOD($B648, 1000000000000))/1000000000000)=124, CONCATENATE("Institution - ", VLOOKUP($B648, '[2]DataLookUp - InstitutionBranch'!$B$4:$C$2000, 2, FALSE)), "")))</f>
        <v>Institution - Mandor Harno</v>
      </c>
      <c r="D648" s="22">
        <v>223000000000002</v>
      </c>
      <c r="E648" s="4" t="str">
        <f>IF(EXACT($D648, ""), "", VLOOKUP($D648, 'REF - ContactNumberType'!$B$4:$C$10, 2, FALSE))</f>
        <v>Mobile Phone</v>
      </c>
      <c r="F648" s="26" t="s">
        <v>1367</v>
      </c>
      <c r="G648" s="9"/>
      <c r="H648" s="9" t="s">
        <v>1110</v>
      </c>
      <c r="J648" s="33">
        <f t="shared" si="21"/>
        <v>286000000000604</v>
      </c>
      <c r="K648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'+62 812-2702-6200'::varchar, NULL::varchar, 'Harno'::varchar, '124000000000399'::bigint);</v>
      </c>
    </row>
    <row r="649" spans="2:11" x14ac:dyDescent="0.2">
      <c r="B649" s="22">
        <v>124000000000400</v>
      </c>
      <c r="C649" s="4" t="str">
        <f>IF(EXACT($B649, ""), "", IF((($B649 - MOD($B649, 1000000000000))/1000000000000)=25, CONCATENATE("Person - ", VLOOKUP($B649, [1]DataLookUp!$B$4:$C$2000, 2, FALSE)), IF((($B649 - MOD($B649, 1000000000000))/1000000000000)=124, CONCATENATE("Institution - ", VLOOKUP($B649, '[2]DataLookUp - InstitutionBranch'!$B$4:$C$2000, 2, FALSE)), "")))</f>
        <v>Institution - Mandor Haswanuddin</v>
      </c>
      <c r="D649" s="22">
        <v>223000000000002</v>
      </c>
      <c r="E649" s="4" t="str">
        <f>IF(EXACT($D649, ""), "", VLOOKUP($D649, 'REF - ContactNumberType'!$B$4:$C$10, 2, FALSE))</f>
        <v>Mobile Phone</v>
      </c>
      <c r="F649" s="26" t="s">
        <v>1365</v>
      </c>
      <c r="G649" s="9"/>
      <c r="H649" s="9" t="s">
        <v>1111</v>
      </c>
      <c r="J649" s="33">
        <f t="shared" si="21"/>
        <v>286000000000605</v>
      </c>
      <c r="K649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'+62 852-4277-1124'::varchar, NULL::varchar, 'Haswanuddin'::varchar, '124000000000400'::bigint);</v>
      </c>
    </row>
    <row r="650" spans="2:11" x14ac:dyDescent="0.2">
      <c r="B650" s="22">
        <v>124000000000401</v>
      </c>
      <c r="C650" s="4" t="str">
        <f>IF(EXACT($B650, ""), "", IF((($B650 - MOD($B650, 1000000000000))/1000000000000)=25, CONCATENATE("Person - ", VLOOKUP($B650, [1]DataLookUp!$B$4:$C$2000, 2, FALSE)), IF((($B650 - MOD($B650, 1000000000000))/1000000000000)=124, CONCATENATE("Institution - ", VLOOKUP($B650, '[2]DataLookUp - InstitutionBranch'!$B$4:$C$2000, 2, FALSE)), "")))</f>
        <v>Institution - Mandor Heryanto Tanjong</v>
      </c>
      <c r="D650" s="22">
        <v>223000000000002</v>
      </c>
      <c r="E650" s="4" t="str">
        <f>IF(EXACT($D650, ""), "", VLOOKUP($D650, 'REF - ContactNumberType'!$B$4:$C$10, 2, FALSE))</f>
        <v>Mobile Phone</v>
      </c>
      <c r="F650" s="26" t="s">
        <v>1260</v>
      </c>
      <c r="G650" s="9"/>
      <c r="H650" s="9" t="s">
        <v>1112</v>
      </c>
      <c r="J650" s="33">
        <f t="shared" si="21"/>
        <v>286000000000606</v>
      </c>
      <c r="K650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'+62 852-5516-0961'::varchar, NULL::varchar, 'Heryanto Tanjong'::varchar, '124000000000401'::bigint);</v>
      </c>
    </row>
    <row r="651" spans="2:11" x14ac:dyDescent="0.2">
      <c r="B651" s="22">
        <v>124000000000402</v>
      </c>
      <c r="C651" s="4" t="str">
        <f>IF(EXACT($B651, ""), "", IF((($B651 - MOD($B651, 1000000000000))/1000000000000)=25, CONCATENATE("Person - ", VLOOKUP($B651, [1]DataLookUp!$B$4:$C$2000, 2, FALSE)), IF((($B651 - MOD($B651, 1000000000000))/1000000000000)=124, CONCATENATE("Institution - ", VLOOKUP($B651, '[2]DataLookUp - InstitutionBranch'!$B$4:$C$2000, 2, FALSE)), "")))</f>
        <v>Institution - Mandor Iwan Risnawan</v>
      </c>
      <c r="D651" s="22">
        <v>223000000000002</v>
      </c>
      <c r="E651" s="4" t="str">
        <f>IF(EXACT($D651, ""), "", VLOOKUP($D651, 'REF - ContactNumberType'!$B$4:$C$10, 2, FALSE))</f>
        <v>Mobile Phone</v>
      </c>
      <c r="F651" s="26" t="s">
        <v>1364</v>
      </c>
      <c r="G651" s="9"/>
      <c r="H651" s="9" t="s">
        <v>1380</v>
      </c>
      <c r="J651" s="33">
        <f t="shared" si="21"/>
        <v>286000000000607</v>
      </c>
      <c r="K651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'+62 853-1796-2234'::varchar, NULL::varchar, 'Iwan Risnawan'::varchar, '124000000000402'::bigint);</v>
      </c>
    </row>
    <row r="652" spans="2:11" x14ac:dyDescent="0.2">
      <c r="B652" s="22">
        <v>124000000000403</v>
      </c>
      <c r="C652" s="4" t="str">
        <f>IF(EXACT($B652, ""), "", IF((($B652 - MOD($B652, 1000000000000))/1000000000000)=25, CONCATENATE("Person - ", VLOOKUP($B652, [1]DataLookUp!$B$4:$C$2000, 2, FALSE)), IF((($B652 - MOD($B652, 1000000000000))/1000000000000)=124, CONCATENATE("Institution - ", VLOOKUP($B652, '[2]DataLookUp - InstitutionBranch'!$B$4:$C$2000, 2, FALSE)), "")))</f>
        <v>Institution - Mandor Jaelani W</v>
      </c>
      <c r="D652" s="22">
        <v>223000000000002</v>
      </c>
      <c r="E652" s="4" t="str">
        <f>IF(EXACT($D652, ""), "", VLOOKUP($D652, 'REF - ContactNumberType'!$B$4:$C$10, 2, FALSE))</f>
        <v>Mobile Phone</v>
      </c>
      <c r="F652" s="26" t="s">
        <v>1363</v>
      </c>
      <c r="G652" s="9"/>
      <c r="H652" s="9" t="s">
        <v>1113</v>
      </c>
      <c r="J652" s="33">
        <f t="shared" si="21"/>
        <v>286000000000608</v>
      </c>
      <c r="K652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'+62 821-4242-4216'::varchar, NULL::varchar, 'Jaelani W'::varchar, '124000000000403'::bigint);</v>
      </c>
    </row>
    <row r="653" spans="2:11" x14ac:dyDescent="0.2">
      <c r="B653" s="22">
        <v>124000000000404</v>
      </c>
      <c r="C653" s="4" t="str">
        <f>IF(EXACT($B653, ""), "", IF((($B653 - MOD($B653, 1000000000000))/1000000000000)=25, CONCATENATE("Person - ", VLOOKUP($B653, [1]DataLookUp!$B$4:$C$2000, 2, FALSE)), IF((($B653 - MOD($B653, 1000000000000))/1000000000000)=124, CONCATENATE("Institution - ", VLOOKUP($B653, '[2]DataLookUp - InstitutionBranch'!$B$4:$C$2000, 2, FALSE)), "")))</f>
        <v>Institution - Mandor Jusrial</v>
      </c>
      <c r="D653" s="22">
        <v>223000000000002</v>
      </c>
      <c r="E653" s="4" t="str">
        <f>IF(EXACT($D653, ""), "", VLOOKUP($D653, 'REF - ContactNumberType'!$B$4:$C$10, 2, FALSE))</f>
        <v>Mobile Phone</v>
      </c>
      <c r="F653" s="26" t="s">
        <v>1362</v>
      </c>
      <c r="G653" s="9"/>
      <c r="H653" s="9" t="s">
        <v>1114</v>
      </c>
      <c r="J653" s="33">
        <f t="shared" si="21"/>
        <v>286000000000609</v>
      </c>
      <c r="K653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'+62 813-6555-9618'::varchar, NULL::varchar, 'Jusrial'::varchar, '124000000000404'::bigint);</v>
      </c>
    </row>
    <row r="654" spans="2:11" x14ac:dyDescent="0.2">
      <c r="B654" s="22">
        <v>124000000000405</v>
      </c>
      <c r="C654" s="4" t="str">
        <f>IF(EXACT($B654, ""), "", IF((($B654 - MOD($B654, 1000000000000))/1000000000000)=25, CONCATENATE("Person - ", VLOOKUP($B654, [1]DataLookUp!$B$4:$C$2000, 2, FALSE)), IF((($B654 - MOD($B654, 1000000000000))/1000000000000)=124, CONCATENATE("Institution - ", VLOOKUP($B654, '[2]DataLookUp - InstitutionBranch'!$B$4:$C$2000, 2, FALSE)), "")))</f>
        <v>Institution - Mandor Kasiyono</v>
      </c>
      <c r="D654" s="22">
        <v>223000000000002</v>
      </c>
      <c r="E654" s="4" t="str">
        <f>IF(EXACT($D654, ""), "", VLOOKUP($D654, 'REF - ContactNumberType'!$B$4:$C$10, 2, FALSE))</f>
        <v>Mobile Phone</v>
      </c>
      <c r="F654" s="26" t="s">
        <v>1361</v>
      </c>
      <c r="G654" s="9"/>
      <c r="H654" s="9" t="s">
        <v>1115</v>
      </c>
      <c r="J654" s="33">
        <f t="shared" si="21"/>
        <v>286000000000610</v>
      </c>
      <c r="K654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'+62 823-2381-6333'::varchar, NULL::varchar, 'Kasiyono'::varchar, '124000000000405'::bigint);</v>
      </c>
    </row>
    <row r="655" spans="2:11" x14ac:dyDescent="0.2">
      <c r="B655" s="22">
        <v>124000000000406</v>
      </c>
      <c r="C655" s="4" t="str">
        <f>IF(EXACT($B655, ""), "", IF((($B655 - MOD($B655, 1000000000000))/1000000000000)=25, CONCATENATE("Person - ", VLOOKUP($B655, [1]DataLookUp!$B$4:$C$2000, 2, FALSE)), IF((($B655 - MOD($B655, 1000000000000))/1000000000000)=124, CONCATENATE("Institution - ", VLOOKUP($B655, '[2]DataLookUp - InstitutionBranch'!$B$4:$C$2000, 2, FALSE)), "")))</f>
        <v>Institution - Mandor Lulus Pastiono</v>
      </c>
      <c r="D655" s="22">
        <v>223000000000002</v>
      </c>
      <c r="E655" s="4" t="str">
        <f>IF(EXACT($D655, ""), "", VLOOKUP($D655, 'REF - ContactNumberType'!$B$4:$C$10, 2, FALSE))</f>
        <v>Mobile Phone</v>
      </c>
      <c r="F655" s="26" t="s">
        <v>1357</v>
      </c>
      <c r="G655" s="9"/>
      <c r="H655" s="9" t="s">
        <v>1116</v>
      </c>
      <c r="J655" s="33">
        <f t="shared" si="21"/>
        <v>286000000000611</v>
      </c>
      <c r="K655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'+62 882-9468-4138'::varchar, NULL::varchar, 'Lulus Pastiono'::varchar, '124000000000406'::bigint);</v>
      </c>
    </row>
    <row r="656" spans="2:11" x14ac:dyDescent="0.2">
      <c r="B656" s="22">
        <v>124000000000407</v>
      </c>
      <c r="C656" s="4" t="str">
        <f>IF(EXACT($B656, ""), "", IF((($B656 - MOD($B656, 1000000000000))/1000000000000)=25, CONCATENATE("Person - ", VLOOKUP($B656, [1]DataLookUp!$B$4:$C$2000, 2, FALSE)), IF((($B656 - MOD($B656, 1000000000000))/1000000000000)=124, CONCATENATE("Institution - ", VLOOKUP($B656, '[2]DataLookUp - InstitutionBranch'!$B$4:$C$2000, 2, FALSE)), "")))</f>
        <v>Institution - Mandor M. Nasir</v>
      </c>
      <c r="D656" s="22">
        <v>223000000000002</v>
      </c>
      <c r="E656" s="4" t="str">
        <f>IF(EXACT($D656, ""), "", VLOOKUP($D656, 'REF - ContactNumberType'!$B$4:$C$10, 2, FALSE))</f>
        <v>Mobile Phone</v>
      </c>
      <c r="F656" s="26" t="s">
        <v>1358</v>
      </c>
      <c r="G656" s="9"/>
      <c r="H656" s="9" t="s">
        <v>1381</v>
      </c>
      <c r="J656" s="33">
        <f t="shared" si="21"/>
        <v>286000000000612</v>
      </c>
      <c r="K656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'+62 812-6652-3419'::varchar, NULL::varchar, 'M. Nasir'::varchar, '124000000000407'::bigint);</v>
      </c>
    </row>
    <row r="657" spans="2:11" x14ac:dyDescent="0.2">
      <c r="B657" s="22">
        <v>124000000000408</v>
      </c>
      <c r="C657" s="4" t="str">
        <f>IF(EXACT($B657, ""), "", IF((($B657 - MOD($B657, 1000000000000))/1000000000000)=25, CONCATENATE("Person - ", VLOOKUP($B657, [1]DataLookUp!$B$4:$C$2000, 2, FALSE)), IF((($B657 - MOD($B657, 1000000000000))/1000000000000)=124, CONCATENATE("Institution - ", VLOOKUP($B657, '[2]DataLookUp - InstitutionBranch'!$B$4:$C$2000, 2, FALSE)), "")))</f>
        <v>Institution - Mandor Maikel</v>
      </c>
      <c r="D657" s="22">
        <v>223000000000002</v>
      </c>
      <c r="E657" s="4" t="str">
        <f>IF(EXACT($D657, ""), "", VLOOKUP($D657, 'REF - ContactNumberType'!$B$4:$C$10, 2, FALSE))</f>
        <v>Mobile Phone</v>
      </c>
      <c r="F657" s="26" t="s">
        <v>1359</v>
      </c>
      <c r="G657" s="9"/>
      <c r="H657" s="9" t="s">
        <v>1382</v>
      </c>
      <c r="J657" s="33">
        <f t="shared" si="21"/>
        <v>286000000000613</v>
      </c>
      <c r="K657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'+62 821-3870-3832'::varchar, NULL::varchar, 'Maikel'::varchar, '124000000000408'::bigint);</v>
      </c>
    </row>
    <row r="658" spans="2:11" x14ac:dyDescent="0.2">
      <c r="B658" s="22">
        <v>124000000000409</v>
      </c>
      <c r="C658" s="4" t="str">
        <f>IF(EXACT($B658, ""), "", IF((($B658 - MOD($B658, 1000000000000))/1000000000000)=25, CONCATENATE("Person - ", VLOOKUP($B658, [1]DataLookUp!$B$4:$C$2000, 2, FALSE)), IF((($B658 - MOD($B658, 1000000000000))/1000000000000)=124, CONCATENATE("Institution - ", VLOOKUP($B658, '[2]DataLookUp - InstitutionBranch'!$B$4:$C$2000, 2, FALSE)), "")))</f>
        <v>Institution - Mandor Moh Agus Muslimin</v>
      </c>
      <c r="D658" s="22">
        <v>223000000000002</v>
      </c>
      <c r="E658" s="4" t="str">
        <f>IF(EXACT($D658, ""), "", VLOOKUP($D658, 'REF - ContactNumberType'!$B$4:$C$10, 2, FALSE))</f>
        <v>Mobile Phone</v>
      </c>
      <c r="F658" s="26" t="s">
        <v>1360</v>
      </c>
      <c r="G658" s="9"/>
      <c r="H658" s="9" t="s">
        <v>1117</v>
      </c>
      <c r="J658" s="33">
        <f t="shared" si="21"/>
        <v>286000000000614</v>
      </c>
      <c r="K658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'+62 813-1788-3839'::varchar, NULL::varchar, 'Moh Agus Muslimin'::varchar, '124000000000409'::bigint);</v>
      </c>
    </row>
    <row r="659" spans="2:11" x14ac:dyDescent="0.2">
      <c r="B659" s="22">
        <v>124000000000410</v>
      </c>
      <c r="C659" s="4" t="str">
        <f>IF(EXACT($B659, ""), "", IF((($B659 - MOD($B659, 1000000000000))/1000000000000)=25, CONCATENATE("Person - ", VLOOKUP($B659, [1]DataLookUp!$B$4:$C$2000, 2, FALSE)), IF((($B659 - MOD($B659, 1000000000000))/1000000000000)=124, CONCATENATE("Institution - ", VLOOKUP($B659, '[2]DataLookUp - InstitutionBranch'!$B$4:$C$2000, 2, FALSE)), "")))</f>
        <v>Institution - Mandor Muchribian Novianto</v>
      </c>
      <c r="D659" s="22">
        <v>223000000000002</v>
      </c>
      <c r="E659" s="4" t="str">
        <f>IF(EXACT($D659, ""), "", VLOOKUP($D659, 'REF - ContactNumberType'!$B$4:$C$10, 2, FALSE))</f>
        <v>Mobile Phone</v>
      </c>
      <c r="F659" s="26" t="s">
        <v>1356</v>
      </c>
      <c r="G659" s="9"/>
      <c r="H659" s="9" t="s">
        <v>1383</v>
      </c>
      <c r="J659" s="33">
        <f t="shared" si="21"/>
        <v>286000000000615</v>
      </c>
      <c r="K659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'+62 813-5027-6481'::varchar, NULL::varchar, 'Muchribian Novianto'::varchar, '124000000000410'::bigint);</v>
      </c>
    </row>
    <row r="660" spans="2:11" x14ac:dyDescent="0.2">
      <c r="B660" s="22">
        <v>124000000000411</v>
      </c>
      <c r="C660" s="4" t="str">
        <f>IF(EXACT($B660, ""), "", IF((($B660 - MOD($B660, 1000000000000))/1000000000000)=25, CONCATENATE("Person - ", VLOOKUP($B660, [1]DataLookUp!$B$4:$C$2000, 2, FALSE)), IF((($B660 - MOD($B660, 1000000000000))/1000000000000)=124, CONCATENATE("Institution - ", VLOOKUP($B660, '[2]DataLookUp - InstitutionBranch'!$B$4:$C$2000, 2, FALSE)), "")))</f>
        <v>Institution - Mandor Muh Amir Pasang</v>
      </c>
      <c r="D660" s="22">
        <v>223000000000002</v>
      </c>
      <c r="E660" s="4" t="str">
        <f>IF(EXACT($D660, ""), "", VLOOKUP($D660, 'REF - ContactNumberType'!$B$4:$C$10, 2, FALSE))</f>
        <v>Mobile Phone</v>
      </c>
      <c r="F660" s="26" t="s">
        <v>1355</v>
      </c>
      <c r="G660" s="9"/>
      <c r="H660" s="9" t="s">
        <v>1118</v>
      </c>
      <c r="J660" s="33">
        <f t="shared" si="21"/>
        <v>286000000000616</v>
      </c>
      <c r="K660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'+62 819-3144-8554'::varchar, NULL::varchar, 'Muh Amir Pasang'::varchar, '124000000000411'::bigint);</v>
      </c>
    </row>
    <row r="661" spans="2:11" x14ac:dyDescent="0.2">
      <c r="B661" s="22">
        <v>124000000000412</v>
      </c>
      <c r="C661" s="4" t="str">
        <f>IF(EXACT($B661, ""), "", IF((($B661 - MOD($B661, 1000000000000))/1000000000000)=25, CONCATENATE("Person - ", VLOOKUP($B661, [1]DataLookUp!$B$4:$C$2000, 2, FALSE)), IF((($B661 - MOD($B661, 1000000000000))/1000000000000)=124, CONCATENATE("Institution - ", VLOOKUP($B661, '[2]DataLookUp - InstitutionBranch'!$B$4:$C$2000, 2, FALSE)), "")))</f>
        <v>Institution - Mandor Muntaji</v>
      </c>
      <c r="D661" s="22">
        <v>223000000000002</v>
      </c>
      <c r="E661" s="4" t="str">
        <f>IF(EXACT($D661, ""), "", VLOOKUP($D661, 'REF - ContactNumberType'!$B$4:$C$10, 2, FALSE))</f>
        <v>Mobile Phone</v>
      </c>
      <c r="F661" s="26" t="s">
        <v>1261</v>
      </c>
      <c r="G661" s="9"/>
      <c r="H661" s="9" t="s">
        <v>1119</v>
      </c>
      <c r="J661" s="33">
        <f t="shared" si="21"/>
        <v>286000000000617</v>
      </c>
      <c r="K661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'+62 821-4999-9290'::varchar, NULL::varchar, 'Muntaji'::varchar, '124000000000412'::bigint);</v>
      </c>
    </row>
    <row r="662" spans="2:11" x14ac:dyDescent="0.2">
      <c r="B662" s="22">
        <v>124000000000413</v>
      </c>
      <c r="C662" s="4" t="str">
        <f>IF(EXACT($B662, ""), "", IF((($B662 - MOD($B662, 1000000000000))/1000000000000)=25, CONCATENATE("Person - ", VLOOKUP($B662, [1]DataLookUp!$B$4:$C$2000, 2, FALSE)), IF((($B662 - MOD($B662, 1000000000000))/1000000000000)=124, CONCATENATE("Institution - ", VLOOKUP($B662, '[2]DataLookUp - InstitutionBranch'!$B$4:$C$2000, 2, FALSE)), "")))</f>
        <v>Institution - Mandor Nanda Arista</v>
      </c>
      <c r="D662" s="22">
        <v>223000000000002</v>
      </c>
      <c r="E662" s="4" t="str">
        <f>IF(EXACT($D662, ""), "", VLOOKUP($D662, 'REF - ContactNumberType'!$B$4:$C$10, 2, FALSE))</f>
        <v>Mobile Phone</v>
      </c>
      <c r="F662" s="26" t="s">
        <v>1262</v>
      </c>
      <c r="G662" s="9"/>
      <c r="H662" s="9" t="s">
        <v>1120</v>
      </c>
      <c r="J662" s="33">
        <f t="shared" si="21"/>
        <v>286000000000618</v>
      </c>
      <c r="K662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'+62 812-5116-2446'::varchar, NULL::varchar, 'Nanda'::varchar, '124000000000413'::bigint);</v>
      </c>
    </row>
    <row r="663" spans="2:11" x14ac:dyDescent="0.2">
      <c r="B663" s="22">
        <v>124000000000414</v>
      </c>
      <c r="C663" s="4" t="str">
        <f>IF(EXACT($B663, ""), "", IF((($B663 - MOD($B663, 1000000000000))/1000000000000)=25, CONCATENATE("Person - ", VLOOKUP($B663, [1]DataLookUp!$B$4:$C$2000, 2, FALSE)), IF((($B663 - MOD($B663, 1000000000000))/1000000000000)=124, CONCATENATE("Institution - ", VLOOKUP($B663, '[2]DataLookUp - InstitutionBranch'!$B$4:$C$2000, 2, FALSE)), "")))</f>
        <v>Institution - Mandor Nardi Bin Suwirto</v>
      </c>
      <c r="D663" s="22">
        <v>223000000000002</v>
      </c>
      <c r="E663" s="4" t="str">
        <f>IF(EXACT($D663, ""), "", VLOOKUP($D663, 'REF - ContactNumberType'!$B$4:$C$10, 2, FALSE))</f>
        <v>Mobile Phone</v>
      </c>
      <c r="F663" s="26" t="s">
        <v>1354</v>
      </c>
      <c r="G663" s="9"/>
      <c r="H663" s="9" t="s">
        <v>1121</v>
      </c>
      <c r="J663" s="33">
        <f t="shared" si="21"/>
        <v>286000000000619</v>
      </c>
      <c r="K663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'+62 812-9443-5775'::varchar, NULL::varchar, 'Nardi Bin Suwirto'::varchar, '124000000000414'::bigint);</v>
      </c>
    </row>
    <row r="664" spans="2:11" x14ac:dyDescent="0.2">
      <c r="B664" s="22">
        <v>124000000000415</v>
      </c>
      <c r="C664" s="4" t="str">
        <f>IF(EXACT($B664, ""), "", IF((($B664 - MOD($B664, 1000000000000))/1000000000000)=25, CONCATENATE("Person - ", VLOOKUP($B664, [1]DataLookUp!$B$4:$C$2000, 2, FALSE)), IF((($B664 - MOD($B664, 1000000000000))/1000000000000)=124, CONCATENATE("Institution - ", VLOOKUP($B664, '[2]DataLookUp - InstitutionBranch'!$B$4:$C$2000, 2, FALSE)), "")))</f>
        <v>Institution - Mandor Pirmansyah</v>
      </c>
      <c r="D664" s="22">
        <v>223000000000002</v>
      </c>
      <c r="E664" s="4" t="str">
        <f>IF(EXACT($D664, ""), "", VLOOKUP($D664, 'REF - ContactNumberType'!$B$4:$C$10, 2, FALSE))</f>
        <v>Mobile Phone</v>
      </c>
      <c r="F664" s="26" t="s">
        <v>1263</v>
      </c>
      <c r="G664" s="9"/>
      <c r="H664" s="9" t="s">
        <v>1122</v>
      </c>
      <c r="J664" s="33">
        <f t="shared" si="21"/>
        <v>286000000000620</v>
      </c>
      <c r="K664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'+62 838-7314-3615'::varchar, NULL::varchar, 'Pirmansyah'::varchar, '124000000000415'::bigint);</v>
      </c>
    </row>
    <row r="665" spans="2:11" x14ac:dyDescent="0.2">
      <c r="B665" s="22">
        <v>124000000000416</v>
      </c>
      <c r="C665" s="4" t="str">
        <f>IF(EXACT($B665, ""), "", IF((($B665 - MOD($B665, 1000000000000))/1000000000000)=25, CONCATENATE("Person - ", VLOOKUP($B665, [1]DataLookUp!$B$4:$C$2000, 2, FALSE)), IF((($B665 - MOD($B665, 1000000000000))/1000000000000)=124, CONCATENATE("Institution - ", VLOOKUP($B665, '[2]DataLookUp - InstitutionBranch'!$B$4:$C$2000, 2, FALSE)), "")))</f>
        <v>Institution - Mandor Pristianda Erwin Pauzi</v>
      </c>
      <c r="D665" s="22">
        <v>223000000000002</v>
      </c>
      <c r="E665" s="4" t="str">
        <f>IF(EXACT($D665, ""), "", VLOOKUP($D665, 'REF - ContactNumberType'!$B$4:$C$10, 2, FALSE))</f>
        <v>Mobile Phone</v>
      </c>
      <c r="F665" s="26" t="s">
        <v>1264</v>
      </c>
      <c r="G665" s="9"/>
      <c r="H665" s="9" t="s">
        <v>1123</v>
      </c>
      <c r="J665" s="33">
        <f t="shared" si="21"/>
        <v>286000000000621</v>
      </c>
      <c r="K665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'+62 812-9122-8186'::varchar, NULL::varchar, 'Pristianda Erwin Pauzi'::varchar, '124000000000416'::bigint);</v>
      </c>
    </row>
    <row r="666" spans="2:11" x14ac:dyDescent="0.2">
      <c r="B666" s="22">
        <v>124000000000417</v>
      </c>
      <c r="C666" s="4" t="str">
        <f>IF(EXACT($B666, ""), "", IF((($B666 - MOD($B666, 1000000000000))/1000000000000)=25, CONCATENATE("Person - ", VLOOKUP($B666, [1]DataLookUp!$B$4:$C$2000, 2, FALSE)), IF((($B666 - MOD($B666, 1000000000000))/1000000000000)=124, CONCATENATE("Institution - ", VLOOKUP($B666, '[2]DataLookUp - InstitutionBranch'!$B$4:$C$2000, 2, FALSE)), "")))</f>
        <v>Institution - Mandor Priyo Handoko</v>
      </c>
      <c r="D666" s="22">
        <v>223000000000002</v>
      </c>
      <c r="E666" s="4" t="str">
        <f>IF(EXACT($D666, ""), "", VLOOKUP($D666, 'REF - ContactNumberType'!$B$4:$C$10, 2, FALSE))</f>
        <v>Mobile Phone</v>
      </c>
      <c r="F666" s="26" t="s">
        <v>1210</v>
      </c>
      <c r="G666" s="9"/>
      <c r="H666" s="9" t="s">
        <v>1124</v>
      </c>
      <c r="J666" s="33">
        <f t="shared" si="21"/>
        <v>286000000000622</v>
      </c>
      <c r="K666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'+62 813-4924-6427'::varchar, NULL::varchar, 'Priyo'::varchar, '124000000000417'::bigint);</v>
      </c>
    </row>
    <row r="667" spans="2:11" x14ac:dyDescent="0.2">
      <c r="B667" s="22">
        <v>124000000000418</v>
      </c>
      <c r="C667" s="4" t="str">
        <f>IF(EXACT($B667, ""), "", IF((($B667 - MOD($B667, 1000000000000))/1000000000000)=25, CONCATENATE("Person - ", VLOOKUP($B667, [1]DataLookUp!$B$4:$C$2000, 2, FALSE)), IF((($B667 - MOD($B667, 1000000000000))/1000000000000)=124, CONCATENATE("Institution - ", VLOOKUP($B667, '[2]DataLookUp - InstitutionBranch'!$B$4:$C$2000, 2, FALSE)), "")))</f>
        <v>Institution - Mandor Ricardo Manurung</v>
      </c>
      <c r="D667" s="22">
        <v>223000000000002</v>
      </c>
      <c r="E667" s="4" t="str">
        <f>IF(EXACT($D667, ""), "", VLOOKUP($D667, 'REF - ContactNumberType'!$B$4:$C$10, 2, FALSE))</f>
        <v>Mobile Phone</v>
      </c>
      <c r="F667" s="26" t="s">
        <v>1353</v>
      </c>
      <c r="G667" s="9"/>
      <c r="H667" s="9" t="s">
        <v>1125</v>
      </c>
      <c r="J667" s="33">
        <f t="shared" si="21"/>
        <v>286000000000623</v>
      </c>
      <c r="K667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'+62 878-6531-3633'::varchar, NULL::varchar, 'Ricardo'::varchar, '124000000000418'::bigint);</v>
      </c>
    </row>
    <row r="668" spans="2:11" x14ac:dyDescent="0.2">
      <c r="B668" s="22">
        <v>124000000000419</v>
      </c>
      <c r="C668" s="4" t="str">
        <f>IF(EXACT($B668, ""), "", IF((($B668 - MOD($B668, 1000000000000))/1000000000000)=25, CONCATENATE("Person - ", VLOOKUP($B668, [1]DataLookUp!$B$4:$C$2000, 2, FALSE)), IF((($B668 - MOD($B668, 1000000000000))/1000000000000)=124, CONCATENATE("Institution - ", VLOOKUP($B668, '[2]DataLookUp - InstitutionBranch'!$B$4:$C$2000, 2, FALSE)), "")))</f>
        <v>Institution - Mandor Ryan Prasetyo</v>
      </c>
      <c r="D668" s="22">
        <v>223000000000002</v>
      </c>
      <c r="E668" s="4" t="str">
        <f>IF(EXACT($D668, ""), "", VLOOKUP($D668, 'REF - ContactNumberType'!$B$4:$C$10, 2, FALSE))</f>
        <v>Mobile Phone</v>
      </c>
      <c r="F668" s="26" t="s">
        <v>1352</v>
      </c>
      <c r="G668" s="9"/>
      <c r="H668" s="9" t="s">
        <v>1126</v>
      </c>
      <c r="J668" s="33">
        <f t="shared" si="21"/>
        <v>286000000000624</v>
      </c>
      <c r="K668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'+62 812-9395-0080'::varchar, NULL::varchar, 'Ryan'::varchar, '124000000000419'::bigint);</v>
      </c>
    </row>
    <row r="669" spans="2:11" x14ac:dyDescent="0.2">
      <c r="B669" s="22">
        <v>124000000000420</v>
      </c>
      <c r="C669" s="4" t="str">
        <f>IF(EXACT($B669, ""), "", IF((($B669 - MOD($B669, 1000000000000))/1000000000000)=25, CONCATENATE("Person - ", VLOOKUP($B669, [1]DataLookUp!$B$4:$C$2000, 2, FALSE)), IF((($B669 - MOD($B669, 1000000000000))/1000000000000)=124, CONCATENATE("Institution - ", VLOOKUP($B669, '[2]DataLookUp - InstitutionBranch'!$B$4:$C$2000, 2, FALSE)), "")))</f>
        <v>Institution - Mandor Sattria</v>
      </c>
      <c r="D669" s="22">
        <v>223000000000002</v>
      </c>
      <c r="E669" s="4" t="str">
        <f>IF(EXACT($D669, ""), "", VLOOKUP($D669, 'REF - ContactNumberType'!$B$4:$C$10, 2, FALSE))</f>
        <v>Mobile Phone</v>
      </c>
      <c r="F669" s="26" t="s">
        <v>1265</v>
      </c>
      <c r="G669" s="9"/>
      <c r="H669" s="9" t="s">
        <v>1127</v>
      </c>
      <c r="J669" s="33">
        <f t="shared" si="21"/>
        <v>286000000000625</v>
      </c>
      <c r="K669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'+62 852-6065-7666'::varchar, NULL::varchar, 'Sattria'::varchar, '124000000000420'::bigint);</v>
      </c>
    </row>
    <row r="670" spans="2:11" x14ac:dyDescent="0.2">
      <c r="B670" s="22">
        <v>124000000000421</v>
      </c>
      <c r="C670" s="4" t="str">
        <f>IF(EXACT($B670, ""), "", IF((($B670 - MOD($B670, 1000000000000))/1000000000000)=25, CONCATENATE("Person - ", VLOOKUP($B670, [1]DataLookUp!$B$4:$C$2000, 2, FALSE)), IF((($B670 - MOD($B670, 1000000000000))/1000000000000)=124, CONCATENATE("Institution - ", VLOOKUP($B670, '[2]DataLookUp - InstitutionBranch'!$B$4:$C$2000, 2, FALSE)), "")))</f>
        <v>Institution - Mandor Solikhin</v>
      </c>
      <c r="D670" s="22">
        <v>223000000000002</v>
      </c>
      <c r="E670" s="4" t="str">
        <f>IF(EXACT($D670, ""), "", VLOOKUP($D670, 'REF - ContactNumberType'!$B$4:$C$10, 2, FALSE))</f>
        <v>Mobile Phone</v>
      </c>
      <c r="F670" s="26" t="s">
        <v>1351</v>
      </c>
      <c r="G670" s="9"/>
      <c r="H670" s="9" t="s">
        <v>1128</v>
      </c>
      <c r="J670" s="33">
        <f t="shared" si="21"/>
        <v>286000000000626</v>
      </c>
      <c r="K670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'+62 822-940606686'::varchar, NULL::varchar, 'Solikhin'::varchar, '124000000000421'::bigint);</v>
      </c>
    </row>
    <row r="671" spans="2:11" x14ac:dyDescent="0.2">
      <c r="B671" s="22">
        <v>124000000000422</v>
      </c>
      <c r="C671" s="4" t="str">
        <f>IF(EXACT($B671, ""), "", IF((($B671 - MOD($B671, 1000000000000))/1000000000000)=25, CONCATENATE("Person - ", VLOOKUP($B671, [1]DataLookUp!$B$4:$C$2000, 2, FALSE)), IF((($B671 - MOD($B671, 1000000000000))/1000000000000)=124, CONCATENATE("Institution - ", VLOOKUP($B671, '[2]DataLookUp - InstitutionBranch'!$B$4:$C$2000, 2, FALSE)), "")))</f>
        <v>Institution - Mandor Suhendri</v>
      </c>
      <c r="D671" s="22">
        <v>223000000000002</v>
      </c>
      <c r="E671" s="4" t="str">
        <f>IF(EXACT($D671, ""), "", VLOOKUP($D671, 'REF - ContactNumberType'!$B$4:$C$10, 2, FALSE))</f>
        <v>Mobile Phone</v>
      </c>
      <c r="F671" s="26" t="s">
        <v>1266</v>
      </c>
      <c r="G671" s="9"/>
      <c r="H671" s="9" t="s">
        <v>1129</v>
      </c>
      <c r="J671" s="33">
        <f t="shared" si="21"/>
        <v>286000000000627</v>
      </c>
      <c r="K671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'+62 813-1413-0158'::varchar, NULL::varchar, 'Suhendri'::varchar, '124000000000422'::bigint);</v>
      </c>
    </row>
    <row r="672" spans="2:11" x14ac:dyDescent="0.2">
      <c r="B672" s="22">
        <v>124000000000424</v>
      </c>
      <c r="C672" s="4" t="str">
        <f>IF(EXACT($B672, ""), "", IF((($B672 - MOD($B672, 1000000000000))/1000000000000)=25, CONCATENATE("Person - ", VLOOKUP($B672, [1]DataLookUp!$B$4:$C$2000, 2, FALSE)), IF((($B672 - MOD($B672, 1000000000000))/1000000000000)=124, CONCATENATE("Institution - ", VLOOKUP($B672, '[2]DataLookUp - InstitutionBranch'!$B$4:$C$2000, 2, FALSE)), "")))</f>
        <v xml:space="preserve">Institution - Mandor Sunardi </v>
      </c>
      <c r="D672" s="22">
        <v>223000000000002</v>
      </c>
      <c r="E672" s="4" t="str">
        <f>IF(EXACT($D672, ""), "", VLOOKUP($D672, 'REF - ContactNumberType'!$B$4:$C$10, 2, FALSE))</f>
        <v>Mobile Phone</v>
      </c>
      <c r="F672" s="26" t="s">
        <v>1350</v>
      </c>
      <c r="G672" s="9"/>
      <c r="H672" s="9" t="s">
        <v>1130</v>
      </c>
      <c r="J672" s="33">
        <f t="shared" si="21"/>
        <v>286000000000628</v>
      </c>
      <c r="K672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'+62 823-1707-4886'::varchar, NULL::varchar, 'Sunardi'::varchar, '124000000000424'::bigint);</v>
      </c>
    </row>
    <row r="673" spans="2:11" x14ac:dyDescent="0.2">
      <c r="B673" s="22">
        <v>124000000000425</v>
      </c>
      <c r="C673" s="4" t="str">
        <f>IF(EXACT($B673, ""), "", IF((($B673 - MOD($B673, 1000000000000))/1000000000000)=25, CONCATENATE("Person - ", VLOOKUP($B673, [1]DataLookUp!$B$4:$C$2000, 2, FALSE)), IF((($B673 - MOD($B673, 1000000000000))/1000000000000)=124, CONCATENATE("Institution - ", VLOOKUP($B673, '[2]DataLookUp - InstitutionBranch'!$B$4:$C$2000, 2, FALSE)), "")))</f>
        <v>Institution - Mandor Suprianto</v>
      </c>
      <c r="D673" s="22">
        <v>223000000000002</v>
      </c>
      <c r="E673" s="4" t="str">
        <f>IF(EXACT($D673, ""), "", VLOOKUP($D673, 'REF - ContactNumberType'!$B$4:$C$10, 2, FALSE))</f>
        <v>Mobile Phone</v>
      </c>
      <c r="F673" s="26" t="s">
        <v>1267</v>
      </c>
      <c r="G673" s="9"/>
      <c r="H673" s="9" t="s">
        <v>1131</v>
      </c>
      <c r="J673" s="33">
        <f t="shared" si="21"/>
        <v>286000000000629</v>
      </c>
      <c r="K673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'+62 852-7711-5058'::varchar, NULL::varchar, 'Suprianto'::varchar, '124000000000425'::bigint);</v>
      </c>
    </row>
    <row r="674" spans="2:11" x14ac:dyDescent="0.2">
      <c r="B674" s="22">
        <v>124000000000426</v>
      </c>
      <c r="C674" s="4" t="str">
        <f>IF(EXACT($B674, ""), "", IF((($B674 - MOD($B674, 1000000000000))/1000000000000)=25, CONCATENATE("Person - ", VLOOKUP($B674, [1]DataLookUp!$B$4:$C$2000, 2, FALSE)), IF((($B674 - MOD($B674, 1000000000000))/1000000000000)=124, CONCATENATE("Institution - ", VLOOKUP($B674, '[2]DataLookUp - InstitutionBranch'!$B$4:$C$2000, 2, FALSE)), "")))</f>
        <v>Institution - Mandor Susanto</v>
      </c>
      <c r="D674" s="22">
        <v>223000000000002</v>
      </c>
      <c r="E674" s="4" t="str">
        <f>IF(EXACT($D674, ""), "", VLOOKUP($D674, 'REF - ContactNumberType'!$B$4:$C$10, 2, FALSE))</f>
        <v>Mobile Phone</v>
      </c>
      <c r="F674" s="26" t="s">
        <v>1268</v>
      </c>
      <c r="G674" s="9"/>
      <c r="H674" s="9" t="s">
        <v>1132</v>
      </c>
      <c r="J674" s="33">
        <f t="shared" si="21"/>
        <v>286000000000630</v>
      </c>
      <c r="K674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'+62 859-6634-4195'::varchar, NULL::varchar, 'Susanto'::varchar, '124000000000426'::bigint);</v>
      </c>
    </row>
    <row r="675" spans="2:11" x14ac:dyDescent="0.2">
      <c r="B675" s="22">
        <v>124000000000427</v>
      </c>
      <c r="C675" s="4" t="str">
        <f>IF(EXACT($B675, ""), "", IF((($B675 - MOD($B675, 1000000000000))/1000000000000)=25, CONCATENATE("Person - ", VLOOKUP($B675, [1]DataLookUp!$B$4:$C$2000, 2, FALSE)), IF((($B675 - MOD($B675, 1000000000000))/1000000000000)=124, CONCATENATE("Institution - ", VLOOKUP($B675, '[2]DataLookUp - InstitutionBranch'!$B$4:$C$2000, 2, FALSE)), "")))</f>
        <v>Institution - Mandor Sutikno</v>
      </c>
      <c r="D675" s="22">
        <v>223000000000002</v>
      </c>
      <c r="E675" s="4" t="str">
        <f>IF(EXACT($D675, ""), "", VLOOKUP($D675, 'REF - ContactNumberType'!$B$4:$C$10, 2, FALSE))</f>
        <v>Mobile Phone</v>
      </c>
      <c r="F675" s="26" t="s">
        <v>1346</v>
      </c>
      <c r="G675" s="9"/>
      <c r="H675" s="9" t="s">
        <v>1133</v>
      </c>
      <c r="J675" s="33">
        <f t="shared" si="21"/>
        <v>286000000000631</v>
      </c>
      <c r="K675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'+62 852-1211-9241'::varchar, NULL::varchar, 'Sutikno'::varchar, '124000000000427'::bigint);</v>
      </c>
    </row>
    <row r="676" spans="2:11" x14ac:dyDescent="0.2">
      <c r="B676" s="22">
        <v>124000000000428</v>
      </c>
      <c r="C676" s="4" t="str">
        <f>IF(EXACT($B676, ""), "", IF((($B676 - MOD($B676, 1000000000000))/1000000000000)=25, CONCATENATE("Person - ", VLOOKUP($B676, [1]DataLookUp!$B$4:$C$2000, 2, FALSE)), IF((($B676 - MOD($B676, 1000000000000))/1000000000000)=124, CONCATENATE("Institution - ", VLOOKUP($B676, '[2]DataLookUp - InstitutionBranch'!$B$4:$C$2000, 2, FALSE)), "")))</f>
        <v>Institution - Mandor Sutoyo Bin Durajak</v>
      </c>
      <c r="D676" s="22">
        <v>223000000000002</v>
      </c>
      <c r="E676" s="4" t="str">
        <f>IF(EXACT($D676, ""), "", VLOOKUP($D676, 'REF - ContactNumberType'!$B$4:$C$10, 2, FALSE))</f>
        <v>Mobile Phone</v>
      </c>
      <c r="F676" s="26" t="s">
        <v>1347</v>
      </c>
      <c r="G676" s="9"/>
      <c r="H676" s="9" t="s">
        <v>1134</v>
      </c>
      <c r="J676" s="33">
        <f t="shared" si="21"/>
        <v>286000000000632</v>
      </c>
      <c r="K676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'+62 813-8806-3146'::varchar, NULL::varchar, 'Sutoyo Bin Durajak'::varchar, '124000000000428'::bigint);</v>
      </c>
    </row>
    <row r="677" spans="2:11" x14ac:dyDescent="0.2">
      <c r="B677" s="22">
        <v>124000000000429</v>
      </c>
      <c r="C677" s="4" t="str">
        <f>IF(EXACT($B677, ""), "", IF((($B677 - MOD($B677, 1000000000000))/1000000000000)=25, CONCATENATE("Person - ", VLOOKUP($B677, [1]DataLookUp!$B$4:$C$2000, 2, FALSE)), IF((($B677 - MOD($B677, 1000000000000))/1000000000000)=124, CONCATENATE("Institution - ", VLOOKUP($B677, '[2]DataLookUp - InstitutionBranch'!$B$4:$C$2000, 2, FALSE)), "")))</f>
        <v>Institution - Mandor Suwarjono</v>
      </c>
      <c r="D677" s="22">
        <v>223000000000002</v>
      </c>
      <c r="E677" s="4" t="str">
        <f>IF(EXACT($D677, ""), "", VLOOKUP($D677, 'REF - ContactNumberType'!$B$4:$C$10, 2, FALSE))</f>
        <v>Mobile Phone</v>
      </c>
      <c r="F677" s="26" t="s">
        <v>1345</v>
      </c>
      <c r="G677" s="9"/>
      <c r="H677" s="9" t="s">
        <v>1135</v>
      </c>
      <c r="J677" s="33">
        <f t="shared" si="21"/>
        <v>286000000000633</v>
      </c>
      <c r="K677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'+62 853-1312-5585'::varchar, NULL::varchar, 'Suwarjono'::varchar, '124000000000429'::bigint);</v>
      </c>
    </row>
    <row r="678" spans="2:11" x14ac:dyDescent="0.2">
      <c r="B678" s="22">
        <v>124000000000430</v>
      </c>
      <c r="C678" s="4" t="str">
        <f>IF(EXACT($B678, ""), "", IF((($B678 - MOD($B678, 1000000000000))/1000000000000)=25, CONCATENATE("Person - ", VLOOKUP($B678, [1]DataLookUp!$B$4:$C$2000, 2, FALSE)), IF((($B678 - MOD($B678, 1000000000000))/1000000000000)=124, CONCATENATE("Institution - ", VLOOKUP($B678, '[2]DataLookUp - InstitutionBranch'!$B$4:$C$2000, 2, FALSE)), "")))</f>
        <v>Institution - Mandor Suyoto</v>
      </c>
      <c r="D678" s="22">
        <v>223000000000002</v>
      </c>
      <c r="E678" s="4" t="str">
        <f>IF(EXACT($D678, ""), "", VLOOKUP($D678, 'REF - ContactNumberType'!$B$4:$C$10, 2, FALSE))</f>
        <v>Mobile Phone</v>
      </c>
      <c r="F678" s="26" t="s">
        <v>1269</v>
      </c>
      <c r="G678" s="9"/>
      <c r="H678" s="9" t="s">
        <v>1136</v>
      </c>
      <c r="J678" s="33">
        <f t="shared" si="21"/>
        <v>286000000000634</v>
      </c>
      <c r="K678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'+62 812-6878-8809'::varchar, NULL::varchar, 'Suyoto'::varchar, '124000000000430'::bigint);</v>
      </c>
    </row>
    <row r="679" spans="2:11" x14ac:dyDescent="0.2">
      <c r="B679" s="22">
        <v>124000000000432</v>
      </c>
      <c r="C679" s="4" t="str">
        <f>IF(EXACT($B679, ""), "", IF((($B679 - MOD($B679, 1000000000000))/1000000000000)=25, CONCATENATE("Person - ", VLOOKUP($B679, [1]DataLookUp!$B$4:$C$2000, 2, FALSE)), IF((($B679 - MOD($B679, 1000000000000))/1000000000000)=124, CONCATENATE("Institution - ", VLOOKUP($B679, '[2]DataLookUp - InstitutionBranch'!$B$4:$C$2000, 2, FALSE)), "")))</f>
        <v>Institution - Mandor Teguh Ari Wibowo</v>
      </c>
      <c r="D679" s="22">
        <v>223000000000002</v>
      </c>
      <c r="E679" s="4" t="str">
        <f>IF(EXACT($D679, ""), "", VLOOKUP($D679, 'REF - ContactNumberType'!$B$4:$C$10, 2, FALSE))</f>
        <v>Mobile Phone</v>
      </c>
      <c r="F679" s="26" t="s">
        <v>1348</v>
      </c>
      <c r="G679" s="9"/>
      <c r="H679" s="9" t="s">
        <v>1349</v>
      </c>
      <c r="J679" s="33">
        <f t="shared" si="21"/>
        <v>286000000000635</v>
      </c>
      <c r="K679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'+62 895-3248-4184-1'::varchar, NULL::varchar, 'Teguh Ari wibowo'::varchar, '124000000000432'::bigint);</v>
      </c>
    </row>
    <row r="680" spans="2:11" x14ac:dyDescent="0.2">
      <c r="B680" s="22">
        <v>124000000000433</v>
      </c>
      <c r="C680" s="4" t="str">
        <f>IF(EXACT($B680, ""), "", IF((($B680 - MOD($B680, 1000000000000))/1000000000000)=25, CONCATENATE("Person - ", VLOOKUP($B680, [1]DataLookUp!$B$4:$C$2000, 2, FALSE)), IF((($B680 - MOD($B680, 1000000000000))/1000000000000)=124, CONCATENATE("Institution - ", VLOOKUP($B680, '[2]DataLookUp - InstitutionBranch'!$B$4:$C$2000, 2, FALSE)), "")))</f>
        <v>Institution - Mandor Tengku Wahyudi</v>
      </c>
      <c r="D680" s="22">
        <v>223000000000002</v>
      </c>
      <c r="E680" s="4" t="str">
        <f>IF(EXACT($D680, ""), "", VLOOKUP($D680, 'REF - ContactNumberType'!$B$4:$C$10, 2, FALSE))</f>
        <v>Mobile Phone</v>
      </c>
      <c r="F680" s="26" t="s">
        <v>1270</v>
      </c>
      <c r="G680" s="9"/>
      <c r="H680" s="9" t="s">
        <v>1137</v>
      </c>
      <c r="J680" s="33">
        <f t="shared" si="21"/>
        <v>286000000000636</v>
      </c>
      <c r="K680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'+62 822-4970-0074'::varchar, NULL::varchar, 'Yudhi'::varchar, '124000000000433'::bigint);</v>
      </c>
    </row>
    <row r="681" spans="2:11" x14ac:dyDescent="0.2">
      <c r="B681" s="22">
        <v>124000000000434</v>
      </c>
      <c r="C681" s="4" t="str">
        <f>IF(EXACT($B681, ""), "", IF((($B681 - MOD($B681, 1000000000000))/1000000000000)=25, CONCATENATE("Person - ", VLOOKUP($B681, [1]DataLookUp!$B$4:$C$2000, 2, FALSE)), IF((($B681 - MOD($B681, 1000000000000))/1000000000000)=124, CONCATENATE("Institution - ", VLOOKUP($B681, '[2]DataLookUp - InstitutionBranch'!$B$4:$C$2000, 2, FALSE)), "")))</f>
        <v>Institution - Mandor Usman</v>
      </c>
      <c r="D681" s="22">
        <v>223000000000002</v>
      </c>
      <c r="E681" s="4" t="str">
        <f>IF(EXACT($D681, ""), "", VLOOKUP($D681, 'REF - ContactNumberType'!$B$4:$C$10, 2, FALSE))</f>
        <v>Mobile Phone</v>
      </c>
      <c r="F681" s="26" t="s">
        <v>1271</v>
      </c>
      <c r="G681" s="9"/>
      <c r="H681" s="9" t="s">
        <v>1138</v>
      </c>
      <c r="J681" s="33">
        <f t="shared" si="21"/>
        <v>286000000000637</v>
      </c>
      <c r="K681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'+62 853-5989-1916'::varchar, NULL::varchar, 'Usman'::varchar, '124000000000434'::bigint);</v>
      </c>
    </row>
    <row r="682" spans="2:11" x14ac:dyDescent="0.2">
      <c r="B682" s="22">
        <v>124000000000435</v>
      </c>
      <c r="C682" s="4" t="str">
        <f>IF(EXACT($B682, ""), "", IF((($B682 - MOD($B682, 1000000000000))/1000000000000)=25, CONCATENATE("Person - ", VLOOKUP($B682, [1]DataLookUp!$B$4:$C$2000, 2, FALSE)), IF((($B682 - MOD($B682, 1000000000000))/1000000000000)=124, CONCATENATE("Institution - ", VLOOKUP($B682, '[2]DataLookUp - InstitutionBranch'!$B$4:$C$2000, 2, FALSE)), "")))</f>
        <v>Institution - Mandor Yeyet Abdulrahman</v>
      </c>
      <c r="D682" s="22">
        <v>223000000000002</v>
      </c>
      <c r="E682" s="4" t="str">
        <f>IF(EXACT($D682, ""), "", VLOOKUP($D682, 'REF - ContactNumberType'!$B$4:$C$10, 2, FALSE))</f>
        <v>Mobile Phone</v>
      </c>
      <c r="F682" s="26" t="s">
        <v>1344</v>
      </c>
      <c r="G682" s="9"/>
      <c r="H682" s="9" t="s">
        <v>1139</v>
      </c>
      <c r="J682" s="33">
        <f t="shared" si="21"/>
        <v>286000000000638</v>
      </c>
      <c r="K682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'+62 813-1471-2177'::varchar, NULL::varchar, 'Yeyet'::varchar, '124000000000435'::bigint);</v>
      </c>
    </row>
    <row r="683" spans="2:11" x14ac:dyDescent="0.2">
      <c r="B683" s="22">
        <v>124000000000436</v>
      </c>
      <c r="C683" s="4" t="str">
        <f>IF(EXACT($B683, ""), "", IF((($B683 - MOD($B683, 1000000000000))/1000000000000)=25, CONCATENATE("Person - ", VLOOKUP($B683, [1]DataLookUp!$B$4:$C$2000, 2, FALSE)), IF((($B683 - MOD($B683, 1000000000000))/1000000000000)=124, CONCATENATE("Institution - ", VLOOKUP($B683, '[2]DataLookUp - InstitutionBranch'!$B$4:$C$2000, 2, FALSE)), "")))</f>
        <v>Institution - Mandor Yosefa Trisna Aroma Furi</v>
      </c>
      <c r="D683" s="22">
        <v>223000000000002</v>
      </c>
      <c r="E683" s="4" t="str">
        <f>IF(EXACT($D683, ""), "", VLOOKUP($D683, 'REF - ContactNumberType'!$B$4:$C$10, 2, FALSE))</f>
        <v>Mobile Phone</v>
      </c>
      <c r="F683" s="26" t="s">
        <v>1272</v>
      </c>
      <c r="G683" s="9"/>
      <c r="H683" s="9" t="s">
        <v>1140</v>
      </c>
      <c r="J683" s="33">
        <f t="shared" si="21"/>
        <v>286000000000639</v>
      </c>
      <c r="K683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'+62 812-9828-0909'::varchar, NULL::varchar, 'Yosefa Trisna Aroma Furi'::varchar, '124000000000436'::bigint);</v>
      </c>
    </row>
    <row r="684" spans="2:11" x14ac:dyDescent="0.2">
      <c r="B684" s="22">
        <v>124000000000437</v>
      </c>
      <c r="C684" s="4" t="str">
        <f>IF(EXACT($B684, ""), "", IF((($B684 - MOD($B684, 1000000000000))/1000000000000)=25, CONCATENATE("Person - ", VLOOKUP($B684, [1]DataLookUp!$B$4:$C$2000, 2, FALSE)), IF((($B684 - MOD($B684, 1000000000000))/1000000000000)=124, CONCATENATE("Institution - ", VLOOKUP($B684, '[2]DataLookUp - InstitutionBranch'!$B$4:$C$2000, 2, FALSE)), "")))</f>
        <v>Institution - Mandor Zepridani M K</v>
      </c>
      <c r="D684" s="22">
        <v>223000000000002</v>
      </c>
      <c r="E684" s="4" t="str">
        <f>IF(EXACT($D684, ""), "", VLOOKUP($D684, 'REF - ContactNumberType'!$B$4:$C$10, 2, FALSE))</f>
        <v>Mobile Phone</v>
      </c>
      <c r="F684" s="26" t="s">
        <v>1273</v>
      </c>
      <c r="G684" s="9"/>
      <c r="H684" s="9" t="s">
        <v>1384</v>
      </c>
      <c r="J684" s="33">
        <f t="shared" si="21"/>
        <v>286000000000640</v>
      </c>
      <c r="K684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'+62 813-8053-6580'::varchar, NULL::varchar, 'Zepridani M. K.'::varchar, '124000000000437'::bigint);</v>
      </c>
    </row>
    <row r="685" spans="2:11" x14ac:dyDescent="0.2">
      <c r="B685" s="22">
        <v>124000000000438</v>
      </c>
      <c r="C685" s="4" t="str">
        <f>IF(EXACT($B685, ""), "", IF((($B685 - MOD($B685, 1000000000000))/1000000000000)=25, CONCATENATE("Person - ", VLOOKUP($B685, [1]DataLookUp!$B$4:$C$2000, 2, FALSE)), IF((($B685 - MOD($B685, 1000000000000))/1000000000000)=124, CONCATENATE("Institution - ", VLOOKUP($B685, '[2]DataLookUp - InstitutionBranch'!$B$4:$C$2000, 2, FALSE)), "")))</f>
        <v>Institution - Ade Saputra</v>
      </c>
      <c r="D685" s="22">
        <v>223000000000002</v>
      </c>
      <c r="E685" s="4" t="str">
        <f>IF(EXACT($D685, ""), "", VLOOKUP($D685, 'REF - ContactNumberType'!$B$4:$C$10, 2, FALSE))</f>
        <v>Mobile Phone</v>
      </c>
      <c r="F685" s="26" t="s">
        <v>1343</v>
      </c>
      <c r="G685" s="9"/>
      <c r="H685" s="9" t="s">
        <v>1141</v>
      </c>
      <c r="J685" s="33">
        <f t="shared" si="21"/>
        <v>286000000000641</v>
      </c>
      <c r="K685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'+62 822-8555-7077'::varchar, NULL::varchar, 'Ade'::varchar, '124000000000438'::bigint);</v>
      </c>
    </row>
    <row r="686" spans="2:11" x14ac:dyDescent="0.2">
      <c r="B686" s="22">
        <v>124000000000439</v>
      </c>
      <c r="C686" s="4" t="str">
        <f>IF(EXACT($B686, ""), "", IF((($B686 - MOD($B686, 1000000000000))/1000000000000)=25, CONCATENATE("Person - ", VLOOKUP($B686, [1]DataLookUp!$B$4:$C$2000, 2, FALSE)), IF((($B686 - MOD($B686, 1000000000000))/1000000000000)=124, CONCATENATE("Institution - ", VLOOKUP($B686, '[2]DataLookUp - InstitutionBranch'!$B$4:$C$2000, 2, FALSE)), "")))</f>
        <v>Institution - Aef Sugihartono</v>
      </c>
      <c r="D686" s="22">
        <v>223000000000002</v>
      </c>
      <c r="E686" s="4" t="str">
        <f>IF(EXACT($D686, ""), "", VLOOKUP($D686, 'REF - ContactNumberType'!$B$4:$C$10, 2, FALSE))</f>
        <v>Mobile Phone</v>
      </c>
      <c r="F686" s="26" t="s">
        <v>1342</v>
      </c>
      <c r="G686" s="9"/>
      <c r="H686" s="9" t="s">
        <v>1142</v>
      </c>
      <c r="J686" s="33">
        <f t="shared" si="21"/>
        <v>286000000000642</v>
      </c>
      <c r="K686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'+62 813-1187-3910'::varchar, NULL::varchar, 'Aef'::varchar, '124000000000439'::bigint);</v>
      </c>
    </row>
    <row r="687" spans="2:11" x14ac:dyDescent="0.2">
      <c r="B687" s="22">
        <v>124000000000440</v>
      </c>
      <c r="C687" s="4" t="str">
        <f>IF(EXACT($B687, ""), "", IF((($B687 - MOD($B687, 1000000000000))/1000000000000)=25, CONCATENATE("Person - ", VLOOKUP($B687, [1]DataLookUp!$B$4:$C$2000, 2, FALSE)), IF((($B687 - MOD($B687, 1000000000000))/1000000000000)=124, CONCATENATE("Institution - ", VLOOKUP($B687, '[2]DataLookUp - InstitutionBranch'!$B$4:$C$2000, 2, FALSE)), "")))</f>
        <v>Institution - Agung Pranata</v>
      </c>
      <c r="D687" s="22">
        <v>223000000000002</v>
      </c>
      <c r="E687" s="4" t="str">
        <f>IF(EXACT($D687, ""), "", VLOOKUP($D687, 'REF - ContactNumberType'!$B$4:$C$10, 2, FALSE))</f>
        <v>Mobile Phone</v>
      </c>
      <c r="F687" s="26" t="s">
        <v>1341</v>
      </c>
      <c r="G687" s="9"/>
      <c r="H687" s="9" t="s">
        <v>1143</v>
      </c>
      <c r="J687" s="33">
        <f t="shared" si="21"/>
        <v>286000000000643</v>
      </c>
      <c r="K687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'+62 813-7142-8400'::varchar, NULL::varchar, 'Agung Pranata'::varchar, '124000000000440'::bigint);</v>
      </c>
    </row>
    <row r="688" spans="2:11" x14ac:dyDescent="0.2">
      <c r="B688" s="22">
        <v>124000000000441</v>
      </c>
      <c r="C688" s="4" t="str">
        <f>IF(EXACT($B688, ""), "", IF((($B688 - MOD($B688, 1000000000000))/1000000000000)=25, CONCATENATE("Person - ", VLOOKUP($B688, [1]DataLookUp!$B$4:$C$2000, 2, FALSE)), IF((($B688 - MOD($B688, 1000000000000))/1000000000000)=124, CONCATENATE("Institution - ", VLOOKUP($B688, '[2]DataLookUp - InstitutionBranch'!$B$4:$C$2000, 2, FALSE)), "")))</f>
        <v>Institution - Ahmad Hamidi</v>
      </c>
      <c r="D688" s="22">
        <v>223000000000002</v>
      </c>
      <c r="E688" s="4" t="str">
        <f>IF(EXACT($D688, ""), "", VLOOKUP($D688, 'REF - ContactNumberType'!$B$4:$C$10, 2, FALSE))</f>
        <v>Mobile Phone</v>
      </c>
      <c r="F688" s="26" t="s">
        <v>1274</v>
      </c>
      <c r="G688" s="9"/>
      <c r="H688" s="9" t="s">
        <v>1144</v>
      </c>
      <c r="J688" s="33">
        <f t="shared" si="21"/>
        <v>286000000000644</v>
      </c>
      <c r="K688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'+62 812-7717-8717'::varchar, NULL::varchar, 'Ridho - Staff Ahmad Hamid'::varchar, '124000000000441'::bigint);</v>
      </c>
    </row>
    <row r="689" spans="2:11" x14ac:dyDescent="0.2">
      <c r="B689" s="22">
        <v>124000000000442</v>
      </c>
      <c r="C689" s="4" t="str">
        <f>IF(EXACT($B689, ""), "", IF((($B689 - MOD($B689, 1000000000000))/1000000000000)=25, CONCATENATE("Person - ", VLOOKUP($B689, [1]DataLookUp!$B$4:$C$2000, 2, FALSE)), IF((($B689 - MOD($B689, 1000000000000))/1000000000000)=124, CONCATENATE("Institution - ", VLOOKUP($B689, '[2]DataLookUp - InstitutionBranch'!$B$4:$C$2000, 2, FALSE)), "")))</f>
        <v>Institution - Ahmad Suhadi</v>
      </c>
      <c r="D689" s="22">
        <v>223000000000002</v>
      </c>
      <c r="E689" s="4" t="str">
        <f>IF(EXACT($D689, ""), "", VLOOKUP($D689, 'REF - ContactNumberType'!$B$4:$C$10, 2, FALSE))</f>
        <v>Mobile Phone</v>
      </c>
      <c r="F689" s="26" t="s">
        <v>1275</v>
      </c>
      <c r="G689" s="9"/>
      <c r="H689" s="9" t="s">
        <v>1145</v>
      </c>
      <c r="J689" s="33">
        <f t="shared" si="21"/>
        <v>286000000000645</v>
      </c>
      <c r="K689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'+62 822-5274-8523'::varchar, NULL::varchar, 'Ahmad Suhadi'::varchar, '124000000000442'::bigint);</v>
      </c>
    </row>
    <row r="690" spans="2:11" x14ac:dyDescent="0.2">
      <c r="B690" s="22">
        <v>124000000000443</v>
      </c>
      <c r="C690" s="4" t="str">
        <f>IF(EXACT($B690, ""), "", IF((($B690 - MOD($B690, 1000000000000))/1000000000000)=25, CONCATENATE("Person - ", VLOOKUP($B690, [1]DataLookUp!$B$4:$C$2000, 2, FALSE)), IF((($B690 - MOD($B690, 1000000000000))/1000000000000)=124, CONCATENATE("Institution - ", VLOOKUP($B690, '[2]DataLookUp - InstitutionBranch'!$B$4:$C$2000, 2, FALSE)), "")))</f>
        <v>Institution - Ali Mufti Wardhani</v>
      </c>
      <c r="D690" s="22">
        <v>223000000000002</v>
      </c>
      <c r="E690" s="4" t="str">
        <f>IF(EXACT($D690, ""), "", VLOOKUP($D690, 'REF - ContactNumberType'!$B$4:$C$10, 2, FALSE))</f>
        <v>Mobile Phone</v>
      </c>
      <c r="F690" s="26" t="s">
        <v>1276</v>
      </c>
      <c r="G690" s="9"/>
      <c r="H690" s="9" t="s">
        <v>1146</v>
      </c>
      <c r="J690" s="33">
        <f t="shared" si="21"/>
        <v>286000000000646</v>
      </c>
      <c r="K690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'+62 853-5033-4280'::varchar, NULL::varchar, 'Ali Mufti'::varchar, '124000000000443'::bigint);</v>
      </c>
    </row>
    <row r="691" spans="2:11" x14ac:dyDescent="0.2">
      <c r="B691" s="22">
        <v>124000000000444</v>
      </c>
      <c r="C691" s="4" t="str">
        <f>IF(EXACT($B691, ""), "", IF((($B691 - MOD($B691, 1000000000000))/1000000000000)=25, CONCATENATE("Person - ", VLOOKUP($B691, [1]DataLookUp!$B$4:$C$2000, 2, FALSE)), IF((($B691 - MOD($B691, 1000000000000))/1000000000000)=124, CONCATENATE("Institution - ", VLOOKUP($B691, '[2]DataLookUp - InstitutionBranch'!$B$4:$C$2000, 2, FALSE)), "")))</f>
        <v>Institution - Ali Sopandi</v>
      </c>
      <c r="D691" s="22">
        <v>223000000000002</v>
      </c>
      <c r="E691" s="4" t="str">
        <f>IF(EXACT($D691, ""), "", VLOOKUP($D691, 'REF - ContactNumberType'!$B$4:$C$10, 2, FALSE))</f>
        <v>Mobile Phone</v>
      </c>
      <c r="F691" s="26" t="s">
        <v>1340</v>
      </c>
      <c r="G691" s="9"/>
      <c r="H691" s="9" t="s">
        <v>1147</v>
      </c>
      <c r="J691" s="33">
        <f t="shared" si="21"/>
        <v>286000000000647</v>
      </c>
      <c r="K691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'+62 813-8182-8537'::varchar, NULL::varchar, 'Ali'::varchar, '124000000000444'::bigint);</v>
      </c>
    </row>
    <row r="692" spans="2:11" x14ac:dyDescent="0.2">
      <c r="B692" s="22">
        <v>124000000000445</v>
      </c>
      <c r="C692" s="4" t="str">
        <f>IF(EXACT($B692, ""), "", IF((($B692 - MOD($B692, 1000000000000))/1000000000000)=25, CONCATENATE("Person - ", VLOOKUP($B692, [1]DataLookUp!$B$4:$C$2000, 2, FALSE)), IF((($B692 - MOD($B692, 1000000000000))/1000000000000)=124, CONCATENATE("Institution - ", VLOOKUP($B692, '[2]DataLookUp - InstitutionBranch'!$B$4:$C$2000, 2, FALSE)), "")))</f>
        <v>Institution - Ardhis Collection</v>
      </c>
      <c r="D692" s="22">
        <v>223000000000002</v>
      </c>
      <c r="E692" s="4" t="str">
        <f>IF(EXACT($D692, ""), "", VLOOKUP($D692, 'REF - ContactNumberType'!$B$4:$C$10, 2, FALSE))</f>
        <v>Mobile Phone</v>
      </c>
      <c r="F692" s="26" t="s">
        <v>1337</v>
      </c>
      <c r="G692" s="9"/>
      <c r="H692" s="9" t="s">
        <v>1148</v>
      </c>
      <c r="J692" s="33">
        <f t="shared" si="21"/>
        <v>286000000000648</v>
      </c>
      <c r="K692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'+62 813-8827-2713'::varchar, NULL::varchar, 'Iwan Ridwan Taufiq'::varchar, '124000000000445'::bigint);</v>
      </c>
    </row>
    <row r="693" spans="2:11" x14ac:dyDescent="0.2">
      <c r="B693" s="22">
        <v>124000000000445</v>
      </c>
      <c r="C693" s="4" t="str">
        <f>IF(EXACT($B693, ""), "", IF((($B693 - MOD($B693, 1000000000000))/1000000000000)=25, CONCATENATE("Person - ", VLOOKUP($B693, [1]DataLookUp!$B$4:$C$2000, 2, FALSE)), IF((($B693 - MOD($B693, 1000000000000))/1000000000000)=124, CONCATENATE("Institution - ", VLOOKUP($B693, '[2]DataLookUp - InstitutionBranch'!$B$4:$C$2000, 2, FALSE)), "")))</f>
        <v>Institution - Ardhis Collection</v>
      </c>
      <c r="D693" s="22">
        <v>223000000000004</v>
      </c>
      <c r="E693" s="4" t="str">
        <f>IF(EXACT($D693, ""), "", VLOOKUP($D693, 'REF - ContactNumberType'!$B$4:$C$10, 2, FALSE))</f>
        <v>Office Phone</v>
      </c>
      <c r="F693" s="26" t="s">
        <v>1338</v>
      </c>
      <c r="G693" s="9"/>
      <c r="H693" s="9" t="s">
        <v>1148</v>
      </c>
      <c r="J693" s="33">
        <f t="shared" si="21"/>
        <v>286000000000649</v>
      </c>
      <c r="K693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888-650-32'::varchar, NULL::varchar, 'Iwan Ridwan Taufiq'::varchar, '124000000000445'::bigint);</v>
      </c>
    </row>
    <row r="694" spans="2:11" x14ac:dyDescent="0.2">
      <c r="B694" s="22">
        <v>124000000000446</v>
      </c>
      <c r="C694" s="4" t="str">
        <f>IF(EXACT($B694, ""), "", IF((($B694 - MOD($B694, 1000000000000))/1000000000000)=25, CONCATENATE("Person - ", VLOOKUP($B694, [1]DataLookUp!$B$4:$C$2000, 2, FALSE)), IF((($B694 - MOD($B694, 1000000000000))/1000000000000)=124, CONCATENATE("Institution - ", VLOOKUP($B694, '[2]DataLookUp - InstitutionBranch'!$B$4:$C$2000, 2, FALSE)), "")))</f>
        <v>Institution - Arsyad</v>
      </c>
      <c r="D694" s="22">
        <v>223000000000002</v>
      </c>
      <c r="E694" s="4" t="str">
        <f>IF(EXACT($D694, ""), "", VLOOKUP($D694, 'REF - ContactNumberType'!$B$4:$C$10, 2, FALSE))</f>
        <v>Mobile Phone</v>
      </c>
      <c r="F694" s="26" t="s">
        <v>1339</v>
      </c>
      <c r="G694" s="9"/>
      <c r="H694" s="9" t="s">
        <v>1149</v>
      </c>
      <c r="J694" s="33">
        <f t="shared" si="21"/>
        <v>286000000000650</v>
      </c>
      <c r="K694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'+62 812-3037-1112 '::varchar, NULL::varchar, 'Arsyad'::varchar, '124000000000446'::bigint);</v>
      </c>
    </row>
    <row r="695" spans="2:11" x14ac:dyDescent="0.2">
      <c r="B695" s="22">
        <v>124000000000447</v>
      </c>
      <c r="C695" s="4" t="str">
        <f>IF(EXACT($B695, ""), "", IF((($B695 - MOD($B695, 1000000000000))/1000000000000)=25, CONCATENATE("Person - ", VLOOKUP($B695, [1]DataLookUp!$B$4:$C$2000, 2, FALSE)), IF((($B695 - MOD($B695, 1000000000000))/1000000000000)=124, CONCATENATE("Institution - ", VLOOKUP($B695, '[2]DataLookUp - InstitutionBranch'!$B$4:$C$2000, 2, FALSE)), "")))</f>
        <v xml:space="preserve">Institution - Asuransi Ramayana </v>
      </c>
      <c r="D695" s="22">
        <v>223000000000004</v>
      </c>
      <c r="E695" s="4" t="str">
        <f>IF(EXACT($D695, ""), "", VLOOKUP($D695, 'REF - ContactNumberType'!$B$4:$C$10, 2, FALSE))</f>
        <v>Office Phone</v>
      </c>
      <c r="F695" s="26" t="s">
        <v>1336</v>
      </c>
      <c r="G695" s="9"/>
      <c r="H695" s="9" t="s">
        <v>1150</v>
      </c>
      <c r="J695" s="33">
        <f t="shared" si="21"/>
        <v>286000000000651</v>
      </c>
      <c r="K695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319-371-48'::varchar, NULL::varchar, 'Lusi Andriani'::varchar, '124000000000447'::bigint);</v>
      </c>
    </row>
    <row r="696" spans="2:11" x14ac:dyDescent="0.2">
      <c r="B696" s="22">
        <v>124000000000447</v>
      </c>
      <c r="C696" s="4" t="str">
        <f>IF(EXACT($B696, ""), "", IF((($B696 - MOD($B696, 1000000000000))/1000000000000)=25, CONCATENATE("Person - ", VLOOKUP($B696, [1]DataLookUp!$B$4:$C$2000, 2, FALSE)), IF((($B696 - MOD($B696, 1000000000000))/1000000000000)=124, CONCATENATE("Institution - ", VLOOKUP($B696, '[2]DataLookUp - InstitutionBranch'!$B$4:$C$2000, 2, FALSE)), "")))</f>
        <v xml:space="preserve">Institution - Asuransi Ramayana </v>
      </c>
      <c r="D696" s="22">
        <v>223000000000005</v>
      </c>
      <c r="E696" s="4" t="str">
        <f>IF(EXACT($D696, ""), "", VLOOKUP($D696, 'REF - ContactNumberType'!$B$4:$C$10, 2, FALSE))</f>
        <v>Faximile</v>
      </c>
      <c r="F696" s="26" t="s">
        <v>1334</v>
      </c>
      <c r="G696" s="9"/>
      <c r="H696" s="9" t="s">
        <v>1150</v>
      </c>
      <c r="J696" s="33">
        <f t="shared" si="21"/>
        <v>286000000000652</v>
      </c>
      <c r="K696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223000000000005::bigint, '+62 (021) 319-348-25'::varchar, NULL::varchar, 'Lusi Andriani'::varchar, '124000000000447'::bigint);</v>
      </c>
    </row>
    <row r="697" spans="2:11" x14ac:dyDescent="0.2">
      <c r="B697" s="22">
        <v>124000000000448</v>
      </c>
      <c r="C697" s="4" t="str">
        <f>IF(EXACT($B697, ""), "", IF((($B697 - MOD($B697, 1000000000000))/1000000000000)=25, CONCATENATE("Person - ", VLOOKUP($B697, [1]DataLookUp!$B$4:$C$2000, 2, FALSE)), IF((($B697 - MOD($B697, 1000000000000))/1000000000000)=124, CONCATENATE("Institution - ", VLOOKUP($B697, '[2]DataLookUp - InstitutionBranch'!$B$4:$C$2000, 2, FALSE)), "")))</f>
        <v>Institution - Barokah Bengkel Las</v>
      </c>
      <c r="D697" s="22">
        <v>223000000000002</v>
      </c>
      <c r="E697" s="4" t="str">
        <f>IF(EXACT($D697, ""), "", VLOOKUP($D697, 'REF - ContactNumberType'!$B$4:$C$10, 2, FALSE))</f>
        <v>Mobile Phone</v>
      </c>
      <c r="F697" s="26" t="s">
        <v>1335</v>
      </c>
      <c r="G697" s="9"/>
      <c r="H697" s="9" t="s">
        <v>1151</v>
      </c>
      <c r="J697" s="33">
        <f t="shared" si="21"/>
        <v>286000000000653</v>
      </c>
      <c r="K697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'+62 815-2899-5211'::varchar, NULL::varchar, 'Dahrul'::varchar, '124000000000448'::bigint);</v>
      </c>
    </row>
    <row r="698" spans="2:11" x14ac:dyDescent="0.2">
      <c r="B698" s="22">
        <v>124000000000450</v>
      </c>
      <c r="C698" s="4" t="str">
        <f>IF(EXACT($B698, ""), "", IF((($B698 - MOD($B698, 1000000000000))/1000000000000)=25, CONCATENATE("Person - ", VLOOKUP($B698, [1]DataLookUp!$B$4:$C$2000, 2, FALSE)), IF((($B698 - MOD($B698, 1000000000000))/1000000000000)=124, CONCATENATE("Institution - ", VLOOKUP($B698, '[2]DataLookUp - InstitutionBranch'!$B$4:$C$2000, 2, FALSE)), "")))</f>
        <v>Institution - Bengkel Mobil dan Las Heri</v>
      </c>
      <c r="D698" s="22">
        <v>223000000000002</v>
      </c>
      <c r="E698" s="4" t="str">
        <f>IF(EXACT($D698, ""), "", VLOOKUP($D698, 'REF - ContactNumberType'!$B$4:$C$10, 2, FALSE))</f>
        <v>Mobile Phone</v>
      </c>
      <c r="F698" s="26" t="s">
        <v>1277</v>
      </c>
      <c r="G698" s="9"/>
      <c r="H698" s="9" t="s">
        <v>1152</v>
      </c>
      <c r="J698" s="33">
        <f t="shared" si="21"/>
        <v>286000000000654</v>
      </c>
      <c r="K698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'+62 822-9285-2219'::varchar, NULL::varchar, 'Yunsar'::varchar, '124000000000450'::bigint);</v>
      </c>
    </row>
    <row r="699" spans="2:11" x14ac:dyDescent="0.2">
      <c r="B699" s="22">
        <v>124000000000452</v>
      </c>
      <c r="C699" s="4" t="str">
        <f>IF(EXACT($B699, ""), "", IF((($B699 - MOD($B699, 1000000000000))/1000000000000)=25, CONCATENATE("Person - ", VLOOKUP($B699, [1]DataLookUp!$B$4:$C$2000, 2, FALSE)), IF((($B699 - MOD($B699, 1000000000000))/1000000000000)=124, CONCATENATE("Institution - ", VLOOKUP($B699, '[2]DataLookUp - InstitutionBranch'!$B$4:$C$2000, 2, FALSE)), "")))</f>
        <v>Institution - Bustami</v>
      </c>
      <c r="D699" s="22">
        <v>223000000000002</v>
      </c>
      <c r="E699" s="4" t="str">
        <f>IF(EXACT($D699, ""), "", VLOOKUP($D699, 'REF - ContactNumberType'!$B$4:$C$10, 2, FALSE))</f>
        <v>Mobile Phone</v>
      </c>
      <c r="F699" s="26" t="s">
        <v>1278</v>
      </c>
      <c r="G699" s="9"/>
      <c r="H699" s="9" t="s">
        <v>1153</v>
      </c>
      <c r="J699" s="33">
        <f t="shared" si="21"/>
        <v>286000000000655</v>
      </c>
      <c r="K699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'+62 852-8889-7838'::varchar, NULL::varchar, 'Bustami'::varchar, '124000000000452'::bigint);</v>
      </c>
    </row>
    <row r="700" spans="2:11" x14ac:dyDescent="0.2">
      <c r="B700" s="22">
        <v>124000000000453</v>
      </c>
      <c r="C700" s="4" t="str">
        <f>IF(EXACT($B700, ""), "", IF((($B700 - MOD($B700, 1000000000000))/1000000000000)=25, CONCATENATE("Person - ", VLOOKUP($B700, [1]DataLookUp!$B$4:$C$2000, 2, FALSE)), IF((($B700 - MOD($B700, 1000000000000))/1000000000000)=124, CONCATENATE("Institution - ", VLOOKUP($B700, '[2]DataLookUp - InstitutionBranch'!$B$4:$C$2000, 2, FALSE)), "")))</f>
        <v>Institution - Cargo Nusantara Express</v>
      </c>
      <c r="D700" s="22">
        <v>223000000000002</v>
      </c>
      <c r="E700" s="4" t="str">
        <f>IF(EXACT($D700, ""), "", VLOOKUP($D700, 'REF - ContactNumberType'!$B$4:$C$10, 2, FALSE))</f>
        <v>Mobile Phone</v>
      </c>
      <c r="F700" s="26" t="s">
        <v>1279</v>
      </c>
      <c r="G700" s="9"/>
      <c r="H700" s="9" t="s">
        <v>47</v>
      </c>
      <c r="J700" s="33">
        <f t="shared" si="21"/>
        <v>286000000000656</v>
      </c>
      <c r="K700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'+62 817-115-233'::varchar, NULL::varchar, 'Ardiansyah'::varchar, '124000000000453'::bigint);</v>
      </c>
    </row>
    <row r="701" spans="2:11" x14ac:dyDescent="0.2">
      <c r="B701" s="22">
        <v>124000000000454</v>
      </c>
      <c r="C701" s="4" t="str">
        <f>IF(EXACT($B701, ""), "", IF((($B701 - MOD($B701, 1000000000000))/1000000000000)=25, CONCATENATE("Person - ", VLOOKUP($B701, [1]DataLookUp!$B$4:$C$2000, 2, FALSE)), IF((($B701 - MOD($B701, 1000000000000))/1000000000000)=124, CONCATENATE("Institution - ", VLOOKUP($B701, '[2]DataLookUp - InstitutionBranch'!$B$4:$C$2000, 2, FALSE)), "")))</f>
        <v>Institution - Damarra Rezza</v>
      </c>
      <c r="D701" s="22">
        <v>223000000000002</v>
      </c>
      <c r="E701" s="4" t="str">
        <f>IF(EXACT($D701, ""), "", VLOOKUP($D701, 'REF - ContactNumberType'!$B$4:$C$10, 2, FALSE))</f>
        <v>Mobile Phone</v>
      </c>
      <c r="F701" s="26" t="s">
        <v>1333</v>
      </c>
      <c r="G701" s="9"/>
      <c r="H701" s="9" t="s">
        <v>1154</v>
      </c>
      <c r="J701" s="33">
        <f t="shared" si="21"/>
        <v>286000000000657</v>
      </c>
      <c r="K701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'+62 812-2157-2668'::varchar, NULL::varchar, 'Rezza'::varchar, '124000000000454'::bigint);</v>
      </c>
    </row>
    <row r="702" spans="2:11" x14ac:dyDescent="0.2">
      <c r="B702" s="22">
        <v>124000000000455</v>
      </c>
      <c r="C702" s="4" t="str">
        <f>IF(EXACT($B702, ""), "", IF((($B702 - MOD($B702, 1000000000000))/1000000000000)=25, CONCATENATE("Person - ", VLOOKUP($B702, [1]DataLookUp!$B$4:$C$2000, 2, FALSE)), IF((($B702 - MOD($B702, 1000000000000))/1000000000000)=124, CONCATENATE("Institution - ", VLOOKUP($B702, '[2]DataLookUp - InstitutionBranch'!$B$4:$C$2000, 2, FALSE)), "")))</f>
        <v>Institution - Darmawan Dwi Sanjaya</v>
      </c>
      <c r="D702" s="22">
        <v>223000000000002</v>
      </c>
      <c r="E702" s="4" t="str">
        <f>IF(EXACT($D702, ""), "", VLOOKUP($D702, 'REF - ContactNumberType'!$B$4:$C$10, 2, FALSE))</f>
        <v>Mobile Phone</v>
      </c>
      <c r="F702" s="26" t="s">
        <v>1280</v>
      </c>
      <c r="G702" s="9"/>
      <c r="H702" s="9" t="s">
        <v>1155</v>
      </c>
      <c r="J702" s="33">
        <f t="shared" si="21"/>
        <v>286000000000658</v>
      </c>
      <c r="K702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'+62 898-8054-747'::varchar, NULL::varchar, 'Darmawan Dwi Sanjaya'::varchar, '124000000000455'::bigint);</v>
      </c>
    </row>
    <row r="703" spans="2:11" x14ac:dyDescent="0.2">
      <c r="B703" s="22">
        <v>124000000000456</v>
      </c>
      <c r="C703" s="4" t="str">
        <f>IF(EXACT($B703, ""), "", IF((($B703 - MOD($B703, 1000000000000))/1000000000000)=25, CONCATENATE("Person - ", VLOOKUP($B703, [1]DataLookUp!$B$4:$C$2000, 2, FALSE)), IF((($B703 - MOD($B703, 1000000000000))/1000000000000)=124, CONCATENATE("Institution - ", VLOOKUP($B703, '[2]DataLookUp - InstitutionBranch'!$B$4:$C$2000, 2, FALSE)), "")))</f>
        <v>Institution - Devit Kustianto</v>
      </c>
      <c r="D703" s="22">
        <v>223000000000002</v>
      </c>
      <c r="E703" s="4" t="str">
        <f>IF(EXACT($D703, ""), "", VLOOKUP($D703, 'REF - ContactNumberType'!$B$4:$C$10, 2, FALSE))</f>
        <v>Mobile Phone</v>
      </c>
      <c r="F703" s="26" t="s">
        <v>1281</v>
      </c>
      <c r="G703" s="9"/>
      <c r="H703" s="9" t="s">
        <v>1156</v>
      </c>
      <c r="J703" s="33">
        <f t="shared" si="21"/>
        <v>286000000000659</v>
      </c>
      <c r="K703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'+62 823-8223-5945'::varchar, NULL::varchar, 'Devit Kustianto'::varchar, '124000000000456'::bigint);</v>
      </c>
    </row>
    <row r="704" spans="2:11" x14ac:dyDescent="0.2">
      <c r="B704" s="22">
        <v>124000000000457</v>
      </c>
      <c r="C704" s="4" t="str">
        <f>IF(EXACT($B704, ""), "", IF((($B704 - MOD($B704, 1000000000000))/1000000000000)=25, CONCATENATE("Person - ", VLOOKUP($B704, [1]DataLookUp!$B$4:$C$2000, 2, FALSE)), IF((($B704 - MOD($B704, 1000000000000))/1000000000000)=124, CONCATENATE("Institution - ", VLOOKUP($B704, '[2]DataLookUp - InstitutionBranch'!$B$4:$C$2000, 2, FALSE)), "")))</f>
        <v>Institution - Didik Haryadi</v>
      </c>
      <c r="D704" s="22">
        <v>223000000000002</v>
      </c>
      <c r="E704" s="4" t="str">
        <f>IF(EXACT($D704, ""), "", VLOOKUP($D704, 'REF - ContactNumberType'!$B$4:$C$10, 2, FALSE))</f>
        <v>Mobile Phone</v>
      </c>
      <c r="F704" s="26" t="s">
        <v>1282</v>
      </c>
      <c r="G704" s="9"/>
      <c r="H704" s="9" t="s">
        <v>1157</v>
      </c>
      <c r="J704" s="33">
        <f t="shared" si="21"/>
        <v>286000000000660</v>
      </c>
      <c r="K704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'+62 815-6729-483'::varchar, NULL::varchar, 'Didik Haryadi'::varchar, '124000000000457'::bigint);</v>
      </c>
    </row>
    <row r="705" spans="2:11" x14ac:dyDescent="0.2">
      <c r="B705" s="22">
        <v>124000000000458</v>
      </c>
      <c r="C705" s="4" t="str">
        <f>IF(EXACT($B705, ""), "", IF((($B705 - MOD($B705, 1000000000000))/1000000000000)=25, CONCATENATE("Person - ", VLOOKUP($B705, [1]DataLookUp!$B$4:$C$2000, 2, FALSE)), IF((($B705 - MOD($B705, 1000000000000))/1000000000000)=124, CONCATENATE("Institution - ", VLOOKUP($B705, '[2]DataLookUp - InstitutionBranch'!$B$4:$C$2000, 2, FALSE)), "")))</f>
        <v>Institution - Didin</v>
      </c>
      <c r="D705" s="22">
        <v>223000000000002</v>
      </c>
      <c r="E705" s="4" t="str">
        <f>IF(EXACT($D705, ""), "", VLOOKUP($D705, 'REF - ContactNumberType'!$B$4:$C$10, 2, FALSE))</f>
        <v>Mobile Phone</v>
      </c>
      <c r="F705" s="26" t="s">
        <v>1283</v>
      </c>
      <c r="G705" s="9"/>
      <c r="H705" s="9" t="s">
        <v>1158</v>
      </c>
      <c r="J705" s="33">
        <f t="shared" si="21"/>
        <v>286000000000661</v>
      </c>
      <c r="K705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'+62 853-1290-4492'::varchar, NULL::varchar, 'Didin'::varchar, '124000000000458'::bigint);</v>
      </c>
    </row>
    <row r="706" spans="2:11" x14ac:dyDescent="0.2">
      <c r="B706" s="22">
        <v>124000000000459</v>
      </c>
      <c r="C706" s="4" t="str">
        <f>IF(EXACT($B706, ""), "", IF((($B706 - MOD($B706, 1000000000000))/1000000000000)=25, CONCATENATE("Person - ", VLOOKUP($B706, [1]DataLookUp!$B$4:$C$2000, 2, FALSE)), IF((($B706 - MOD($B706, 1000000000000))/1000000000000)=124, CONCATENATE("Institution - ", VLOOKUP($B706, '[2]DataLookUp - InstitutionBranch'!$B$4:$C$2000, 2, FALSE)), "")))</f>
        <v>Institution - Djumsadi</v>
      </c>
      <c r="D706" s="22">
        <v>223000000000002</v>
      </c>
      <c r="E706" s="4" t="str">
        <f>IF(EXACT($D706, ""), "", VLOOKUP($D706, 'REF - ContactNumberType'!$B$4:$C$10, 2, FALSE))</f>
        <v>Mobile Phone</v>
      </c>
      <c r="F706" s="26" t="s">
        <v>1331</v>
      </c>
      <c r="G706" s="9"/>
      <c r="H706" s="9" t="s">
        <v>898</v>
      </c>
      <c r="J706" s="33">
        <f t="shared" si="21"/>
        <v>286000000000662</v>
      </c>
      <c r="K706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'+62 877-5447-5373'::varchar, NULL::varchar, '-'::varchar, '124000000000459'::bigint);</v>
      </c>
    </row>
    <row r="707" spans="2:11" x14ac:dyDescent="0.2">
      <c r="B707" s="22">
        <v>124000000000460</v>
      </c>
      <c r="C707" s="4" t="str">
        <f>IF(EXACT($B707, ""), "", IF((($B707 - MOD($B707, 1000000000000))/1000000000000)=25, CONCATENATE("Person - ", VLOOKUP($B707, [1]DataLookUp!$B$4:$C$2000, 2, FALSE)), IF((($B707 - MOD($B707, 1000000000000))/1000000000000)=124, CONCATENATE("Institution - ", VLOOKUP($B707, '[2]DataLookUp - InstitutionBranch'!$B$4:$C$2000, 2, FALSE)), "")))</f>
        <v xml:space="preserve">Institution - Dodi Tri Prasetyo         </v>
      </c>
      <c r="D707" s="22">
        <v>223000000000002</v>
      </c>
      <c r="E707" s="4" t="str">
        <f>IF(EXACT($D707, ""), "", VLOOKUP($D707, 'REF - ContactNumberType'!$B$4:$C$10, 2, FALSE))</f>
        <v>Mobile Phone</v>
      </c>
      <c r="F707" s="26" t="s">
        <v>1332</v>
      </c>
      <c r="G707" s="9"/>
      <c r="H707" s="9" t="s">
        <v>1159</v>
      </c>
      <c r="J707" s="33">
        <f t="shared" si="21"/>
        <v>286000000000663</v>
      </c>
      <c r="K707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'+62 813-1490-4159 '::varchar, NULL::varchar, 'Dodi'::varchar, '124000000000460'::bigint);</v>
      </c>
    </row>
    <row r="708" spans="2:11" x14ac:dyDescent="0.2">
      <c r="B708" s="22">
        <v>124000000000461</v>
      </c>
      <c r="C708" s="4" t="str">
        <f>IF(EXACT($B708, ""), "", IF((($B708 - MOD($B708, 1000000000000))/1000000000000)=25, CONCATENATE("Person - ", VLOOKUP($B708, [1]DataLookUp!$B$4:$C$2000, 2, FALSE)), IF((($B708 - MOD($B708, 1000000000000))/1000000000000)=124, CONCATENATE("Institution - ", VLOOKUP($B708, '[2]DataLookUp - InstitutionBranch'!$B$4:$C$2000, 2, FALSE)), "")))</f>
        <v>Institution - Dwi Hariyanto</v>
      </c>
      <c r="D708" s="22">
        <v>223000000000002</v>
      </c>
      <c r="E708" s="4" t="str">
        <f>IF(EXACT($D708, ""), "", VLOOKUP($D708, 'REF - ContactNumberType'!$B$4:$C$10, 2, FALSE))</f>
        <v>Mobile Phone</v>
      </c>
      <c r="F708" s="26" t="s">
        <v>1284</v>
      </c>
      <c r="G708" s="9"/>
      <c r="H708" s="9" t="s">
        <v>1160</v>
      </c>
      <c r="J708" s="33">
        <f t="shared" si="21"/>
        <v>286000000000664</v>
      </c>
      <c r="K708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'+62 821-2523-7484'::varchar, NULL::varchar, 'Dwi Hariyanto'::varchar, '124000000000461'::bigint);</v>
      </c>
    </row>
    <row r="709" spans="2:11" x14ac:dyDescent="0.2">
      <c r="B709" s="22">
        <v>124000000000462</v>
      </c>
      <c r="C709" s="4" t="str">
        <f>IF(EXACT($B709, ""), "", IF((($B709 - MOD($B709, 1000000000000))/1000000000000)=25, CONCATENATE("Person - ", VLOOKUP($B709, [1]DataLookUp!$B$4:$C$2000, 2, FALSE)), IF((($B709 - MOD($B709, 1000000000000))/1000000000000)=124, CONCATENATE("Institution - ", VLOOKUP($B709, '[2]DataLookUp - InstitutionBranch'!$B$4:$C$2000, 2, FALSE)), "")))</f>
        <v>Institution - Eda Hartini</v>
      </c>
      <c r="D709" s="22">
        <v>223000000000002</v>
      </c>
      <c r="E709" s="4" t="str">
        <f>IF(EXACT($D709, ""), "", VLOOKUP($D709, 'REF - ContactNumberType'!$B$4:$C$10, 2, FALSE))</f>
        <v>Mobile Phone</v>
      </c>
      <c r="F709" s="26" t="s">
        <v>1330</v>
      </c>
      <c r="G709" s="9"/>
      <c r="H709" s="9" t="s">
        <v>1161</v>
      </c>
      <c r="J709" s="33">
        <f t="shared" si="21"/>
        <v>286000000000665</v>
      </c>
      <c r="K709" s="34" t="str">
        <f t="shared" si="22"/>
        <v>PERFORM "SchData-OLTP-Master"."Func_TblContactNumber_SET"(varSystemLoginSession::bigint, null::bigint, null::varchar, null::timestamptz, null::timestamptz, null::varchar, varInstitutionBranchID::bigint, varBaseCurrencyID::bigint, 223000000000002::bigint, '+62 852-5524-1523'::varchar, NULL::varchar, 'Eda Hartini'::varchar, '124000000000462'::bigint);</v>
      </c>
    </row>
    <row r="710" spans="2:11" x14ac:dyDescent="0.2">
      <c r="B710" s="22">
        <v>124000000000463</v>
      </c>
      <c r="C710" s="4" t="str">
        <f>IF(EXACT($B710, ""), "", IF((($B710 - MOD($B710, 1000000000000))/1000000000000)=25, CONCATENATE("Person - ", VLOOKUP($B710, [1]DataLookUp!$B$4:$C$2000, 2, FALSE)), IF((($B710 - MOD($B710, 1000000000000))/1000000000000)=124, CONCATENATE("Institution - ", VLOOKUP($B710, '[2]DataLookUp - InstitutionBranch'!$B$4:$C$2000, 2, FALSE)), "")))</f>
        <v>Institution - Efo Akmal</v>
      </c>
      <c r="D710" s="22">
        <v>223000000000002</v>
      </c>
      <c r="E710" s="4" t="str">
        <f>IF(EXACT($D710, ""), "", VLOOKUP($D710, 'REF - ContactNumberType'!$B$4:$C$10, 2, FALSE))</f>
        <v>Mobile Phone</v>
      </c>
      <c r="F710" s="26" t="s">
        <v>1329</v>
      </c>
      <c r="G710" s="9"/>
      <c r="H710" s="9" t="s">
        <v>898</v>
      </c>
      <c r="J710" s="33">
        <f t="shared" ref="J710:J756" si="23" xml:space="preserve"> J709 + IF(EXACT(K710, ""), 0, 1)</f>
        <v>286000000000666</v>
      </c>
      <c r="K710" s="34" t="str">
        <f t="shared" ref="K710:K756" si="24">IF(EXACT(F710, ""), "", CONCATENATE("PERFORM ""SchData-OLTP-Master"".""Func_TblContactNumber_SET""(varSystemLoginSession::bigint, null::bigint, null::varchar, null::timestamptz, null::timestamptz, null::varchar, varInstitutionBranchID::bigint, varBaseCurrencyID::bigint, ", IF(EXACT($D710, ""), "NULL", ""&amp;$D710&amp;""), "::bigint, ", IF(EXACT($F710, ""), "NULL", "'"&amp;$F710&amp;"'"), "::varchar, ", IF(EXACT($G710, ""), "NULL", "'"&amp;$G710&amp;"'"), "::varchar, ", IF(EXACT($H710, ""), "NULL", "'"&amp;$H710&amp;"'"), "::varchar, ", IF(EXACT($B710, ""), "NULL", "'"&amp;$B710&amp;"'"), "::bigint);"))</f>
        <v>PERFORM "SchData-OLTP-Master"."Func_TblContactNumber_SET"(varSystemLoginSession::bigint, null::bigint, null::varchar, null::timestamptz, null::timestamptz, null::varchar, varInstitutionBranchID::bigint, varBaseCurrencyID::bigint, 223000000000002::bigint, '+62 819-0505-4148'::varchar, NULL::varchar, '-'::varchar, '124000000000463'::bigint);</v>
      </c>
    </row>
    <row r="711" spans="2:11" x14ac:dyDescent="0.2">
      <c r="B711" s="22">
        <v>124000000000464</v>
      </c>
      <c r="C711" s="4" t="str">
        <f>IF(EXACT($B711, ""), "", IF((($B711 - MOD($B711, 1000000000000))/1000000000000)=25, CONCATENATE("Person - ", VLOOKUP($B711, [1]DataLookUp!$B$4:$C$2000, 2, FALSE)), IF((($B711 - MOD($B711, 1000000000000))/1000000000000)=124, CONCATENATE("Institution - ", VLOOKUP($B711, '[2]DataLookUp - InstitutionBranch'!$B$4:$C$2000, 2, FALSE)), "")))</f>
        <v>Institution - Erie Herliana</v>
      </c>
      <c r="D711" s="22">
        <v>223000000000002</v>
      </c>
      <c r="E711" s="4" t="str">
        <f>IF(EXACT($D711, ""), "", VLOOKUP($D711, 'REF - ContactNumberType'!$B$4:$C$10, 2, FALSE))</f>
        <v>Mobile Phone</v>
      </c>
      <c r="F711" s="26" t="s">
        <v>1328</v>
      </c>
      <c r="G711" s="9"/>
      <c r="H711" s="9" t="s">
        <v>1162</v>
      </c>
      <c r="J711" s="33">
        <f t="shared" si="23"/>
        <v>286000000000667</v>
      </c>
      <c r="K711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'+62 878-7136-0918'::varchar, NULL::varchar, 'Erie'::varchar, '124000000000464'::bigint);</v>
      </c>
    </row>
    <row r="712" spans="2:11" x14ac:dyDescent="0.2">
      <c r="B712" s="22">
        <v>124000000000465</v>
      </c>
      <c r="C712" s="4" t="str">
        <f>IF(EXACT($B712, ""), "", IF((($B712 - MOD($B712, 1000000000000))/1000000000000)=25, CONCATENATE("Person - ", VLOOKUP($B712, [1]DataLookUp!$B$4:$C$2000, 2, FALSE)), IF((($B712 - MOD($B712, 1000000000000))/1000000000000)=124, CONCATENATE("Institution - ", VLOOKUP($B712, '[2]DataLookUp - InstitutionBranch'!$B$4:$C$2000, 2, FALSE)), "")))</f>
        <v>Institution - Etty Irawaty</v>
      </c>
      <c r="D712" s="22">
        <v>223000000000002</v>
      </c>
      <c r="E712" s="4" t="str">
        <f>IF(EXACT($D712, ""), "", VLOOKUP($D712, 'REF - ContactNumberType'!$B$4:$C$10, 2, FALSE))</f>
        <v>Mobile Phone</v>
      </c>
      <c r="F712" s="26" t="s">
        <v>905</v>
      </c>
      <c r="G712" s="9"/>
      <c r="H712" s="9" t="s">
        <v>1163</v>
      </c>
      <c r="J712" s="33">
        <f t="shared" si="23"/>
        <v>286000000000668</v>
      </c>
      <c r="K712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'+62 821-1979-9987'::varchar, NULL::varchar, 'Etty Irawaty'::varchar, '124000000000465'::bigint);</v>
      </c>
    </row>
    <row r="713" spans="2:11" x14ac:dyDescent="0.2">
      <c r="B713" s="22">
        <v>124000000000466</v>
      </c>
      <c r="C713" s="4" t="str">
        <f>IF(EXACT($B713, ""), "", IF((($B713 - MOD($B713, 1000000000000))/1000000000000)=25, CONCATENATE("Person - ", VLOOKUP($B713, [1]DataLookUp!$B$4:$C$2000, 2, FALSE)), IF((($B713 - MOD($B713, 1000000000000))/1000000000000)=124, CONCATENATE("Institution - ", VLOOKUP($B713, '[2]DataLookUp - InstitutionBranch'!$B$4:$C$2000, 2, FALSE)), "")))</f>
        <v>Institution - Finus Arifin</v>
      </c>
      <c r="D713" s="22">
        <v>223000000000002</v>
      </c>
      <c r="E713" s="4" t="str">
        <f>IF(EXACT($D713, ""), "", VLOOKUP($D713, 'REF - ContactNumberType'!$B$4:$C$10, 2, FALSE))</f>
        <v>Mobile Phone</v>
      </c>
      <c r="F713" s="26" t="s">
        <v>1327</v>
      </c>
      <c r="G713" s="9"/>
      <c r="H713" s="9" t="s">
        <v>1164</v>
      </c>
      <c r="J713" s="33">
        <f t="shared" si="23"/>
        <v>286000000000669</v>
      </c>
      <c r="K713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'+62 812-8287-4422'::varchar, NULL::varchar, 'Arifin'::varchar, '124000000000466'::bigint);</v>
      </c>
    </row>
    <row r="714" spans="2:11" x14ac:dyDescent="0.2">
      <c r="B714" s="22">
        <v>124000000000467</v>
      </c>
      <c r="C714" s="4" t="str">
        <f>IF(EXACT($B714, ""), "", IF((($B714 - MOD($B714, 1000000000000))/1000000000000)=25, CONCATENATE("Person - ", VLOOKUP($B714, [1]DataLookUp!$B$4:$C$2000, 2, FALSE)), IF((($B714 - MOD($B714, 1000000000000))/1000000000000)=124, CONCATENATE("Institution - ", VLOOKUP($B714, '[2]DataLookUp - InstitutionBranch'!$B$4:$C$2000, 2, FALSE)), "")))</f>
        <v>Institution - H. Juhriyanto</v>
      </c>
      <c r="D714" s="22">
        <v>223000000000002</v>
      </c>
      <c r="E714" s="4" t="str">
        <f>IF(EXACT($D714, ""), "", VLOOKUP($D714, 'REF - ContactNumberType'!$B$4:$C$10, 2, FALSE))</f>
        <v>Mobile Phone</v>
      </c>
      <c r="F714" s="26" t="s">
        <v>1285</v>
      </c>
      <c r="G714" s="9"/>
      <c r="H714" s="9" t="s">
        <v>1165</v>
      </c>
      <c r="J714" s="33">
        <f t="shared" si="23"/>
        <v>286000000000670</v>
      </c>
      <c r="K714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'+62 821-5324-1982'::varchar, NULL::varchar, 'H. Juhriyanto'::varchar, '124000000000467'::bigint);</v>
      </c>
    </row>
    <row r="715" spans="2:11" x14ac:dyDescent="0.2">
      <c r="B715" s="22">
        <v>124000000000468</v>
      </c>
      <c r="C715" s="4" t="str">
        <f>IF(EXACT($B715, ""), "", IF((($B715 - MOD($B715, 1000000000000))/1000000000000)=25, CONCATENATE("Person - ", VLOOKUP($B715, [1]DataLookUp!$B$4:$C$2000, 2, FALSE)), IF((($B715 - MOD($B715, 1000000000000))/1000000000000)=124, CONCATENATE("Institution - ", VLOOKUP($B715, '[2]DataLookUp - InstitutionBranch'!$B$4:$C$2000, 2, FALSE)), "")))</f>
        <v>Institution - Haerudin</v>
      </c>
      <c r="D715" s="22">
        <v>223000000000002</v>
      </c>
      <c r="E715" s="4" t="str">
        <f>IF(EXACT($D715, ""), "", VLOOKUP($D715, 'REF - ContactNumberType'!$B$4:$C$10, 2, FALSE))</f>
        <v>Mobile Phone</v>
      </c>
      <c r="F715" s="26" t="s">
        <v>1286</v>
      </c>
      <c r="G715" s="9"/>
      <c r="H715" s="9" t="s">
        <v>1166</v>
      </c>
      <c r="J715" s="33">
        <f t="shared" si="23"/>
        <v>286000000000671</v>
      </c>
      <c r="K715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'+62 877-7154-7377'::varchar, NULL::varchar, 'Haerudin'::varchar, '124000000000468'::bigint);</v>
      </c>
    </row>
    <row r="716" spans="2:11" x14ac:dyDescent="0.2">
      <c r="B716" s="22">
        <v>124000000000469</v>
      </c>
      <c r="C716" s="4" t="str">
        <f>IF(EXACT($B716, ""), "", IF((($B716 - MOD($B716, 1000000000000))/1000000000000)=25, CONCATENATE("Person - ", VLOOKUP($B716, [1]DataLookUp!$B$4:$C$2000, 2, FALSE)), IF((($B716 - MOD($B716, 1000000000000))/1000000000000)=124, CONCATENATE("Institution - ", VLOOKUP($B716, '[2]DataLookUp - InstitutionBranch'!$B$4:$C$2000, 2, FALSE)), "")))</f>
        <v>Institution - Hajaratul Aswad</v>
      </c>
      <c r="D716" s="22">
        <v>223000000000002</v>
      </c>
      <c r="E716" s="4" t="str">
        <f>IF(EXACT($D716, ""), "", VLOOKUP($D716, 'REF - ContactNumberType'!$B$4:$C$10, 2, FALSE))</f>
        <v>Mobile Phone</v>
      </c>
      <c r="F716" s="26" t="s">
        <v>1324</v>
      </c>
      <c r="G716" s="9"/>
      <c r="H716" s="9" t="s">
        <v>1167</v>
      </c>
      <c r="J716" s="33">
        <f t="shared" si="23"/>
        <v>286000000000672</v>
      </c>
      <c r="K716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'+62 821-9186-2038'::varchar, NULL::varchar, 'Hajaratul Aswad'::varchar, '124000000000469'::bigint);</v>
      </c>
    </row>
    <row r="717" spans="2:11" x14ac:dyDescent="0.2">
      <c r="B717" s="22">
        <v>124000000000470</v>
      </c>
      <c r="C717" s="4" t="str">
        <f>IF(EXACT($B717, ""), "", IF((($B717 - MOD($B717, 1000000000000))/1000000000000)=25, CONCATENATE("Person - ", VLOOKUP($B717, [1]DataLookUp!$B$4:$C$2000, 2, FALSE)), IF((($B717 - MOD($B717, 1000000000000))/1000000000000)=124, CONCATENATE("Institution - ", VLOOKUP($B717, '[2]DataLookUp - InstitutionBranch'!$B$4:$C$2000, 2, FALSE)), "")))</f>
        <v>Institution - Hajrawati</v>
      </c>
      <c r="D717" s="22">
        <v>223000000000002</v>
      </c>
      <c r="E717" s="4" t="str">
        <f>IF(EXACT($D717, ""), "", VLOOKUP($D717, 'REF - ContactNumberType'!$B$4:$C$10, 2, FALSE))</f>
        <v>Mobile Phone</v>
      </c>
      <c r="F717" s="26" t="s">
        <v>1325</v>
      </c>
      <c r="G717" s="9"/>
      <c r="H717" s="9" t="s">
        <v>1168</v>
      </c>
      <c r="J717" s="33">
        <f t="shared" si="23"/>
        <v>286000000000673</v>
      </c>
      <c r="K717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'+62 823-6336-6104'::varchar, NULL::varchar, 'Hajrawati'::varchar, '124000000000470'::bigint);</v>
      </c>
    </row>
    <row r="718" spans="2:11" x14ac:dyDescent="0.2">
      <c r="B718" s="22">
        <v>124000000000471</v>
      </c>
      <c r="C718" s="4" t="str">
        <f>IF(EXACT($B718, ""), "", IF((($B718 - MOD($B718, 1000000000000))/1000000000000)=25, CONCATENATE("Person - ", VLOOKUP($B718, [1]DataLookUp!$B$4:$C$2000, 2, FALSE)), IF((($B718 - MOD($B718, 1000000000000))/1000000000000)=124, CONCATENATE("Institution - ", VLOOKUP($B718, '[2]DataLookUp - InstitutionBranch'!$B$4:$C$2000, 2, FALSE)), "")))</f>
        <v>Institution - Hanafi Surya</v>
      </c>
      <c r="D718" s="22">
        <v>223000000000002</v>
      </c>
      <c r="E718" s="4" t="str">
        <f>IF(EXACT($D718, ""), "", VLOOKUP($D718, 'REF - ContactNumberType'!$B$4:$C$10, 2, FALSE))</f>
        <v>Mobile Phone</v>
      </c>
      <c r="F718" s="26" t="s">
        <v>1287</v>
      </c>
      <c r="G718" s="9"/>
      <c r="H718" s="9" t="s">
        <v>1169</v>
      </c>
      <c r="J718" s="33">
        <f t="shared" si="23"/>
        <v>286000000000674</v>
      </c>
      <c r="K718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'+62 812-8544-1428'::varchar, NULL::varchar, 'Hanafi'::varchar, '124000000000471'::bigint);</v>
      </c>
    </row>
    <row r="719" spans="2:11" x14ac:dyDescent="0.2">
      <c r="B719" s="22">
        <v>124000000000472</v>
      </c>
      <c r="C719" s="4" t="str">
        <f>IF(EXACT($B719, ""), "", IF((($B719 - MOD($B719, 1000000000000))/1000000000000)=25, CONCATENATE("Person - ", VLOOKUP($B719, [1]DataLookUp!$B$4:$C$2000, 2, FALSE)), IF((($B719 - MOD($B719, 1000000000000))/1000000000000)=124, CONCATENATE("Institution - ", VLOOKUP($B719, '[2]DataLookUp - InstitutionBranch'!$B$4:$C$2000, 2, FALSE)), "")))</f>
        <v>Institution - Harun Nur Rasyid</v>
      </c>
      <c r="D719" s="22">
        <v>223000000000002</v>
      </c>
      <c r="E719" s="4" t="str">
        <f>IF(EXACT($D719, ""), "", VLOOKUP($D719, 'REF - ContactNumberType'!$B$4:$C$10, 2, FALSE))</f>
        <v>Mobile Phone</v>
      </c>
      <c r="F719" s="26" t="s">
        <v>1288</v>
      </c>
      <c r="G719" s="9"/>
      <c r="H719" s="9" t="s">
        <v>1170</v>
      </c>
      <c r="J719" s="33">
        <f t="shared" si="23"/>
        <v>286000000000675</v>
      </c>
      <c r="K719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'+62 811-753-790'::varchar, NULL::varchar, 'Harun'::varchar, '124000000000472'::bigint);</v>
      </c>
    </row>
    <row r="720" spans="2:11" x14ac:dyDescent="0.2">
      <c r="B720" s="22">
        <v>124000000000473</v>
      </c>
      <c r="C720" s="4" t="str">
        <f>IF(EXACT($B720, ""), "", IF((($B720 - MOD($B720, 1000000000000))/1000000000000)=25, CONCATENATE("Person - ", VLOOKUP($B720, [1]DataLookUp!$B$4:$C$2000, 2, FALSE)), IF((($B720 - MOD($B720, 1000000000000))/1000000000000)=124, CONCATENATE("Institution - ", VLOOKUP($B720, '[2]DataLookUp - InstitutionBranch'!$B$4:$C$2000, 2, FALSE)), "")))</f>
        <v>Institution - Hasnida</v>
      </c>
      <c r="D720" s="22">
        <v>223000000000002</v>
      </c>
      <c r="E720" s="4" t="str">
        <f>IF(EXACT($D720, ""), "", VLOOKUP($D720, 'REF - ContactNumberType'!$B$4:$C$10, 2, FALSE))</f>
        <v>Mobile Phone</v>
      </c>
      <c r="F720" s="26" t="s">
        <v>1326</v>
      </c>
      <c r="G720" s="9"/>
      <c r="H720" s="9" t="s">
        <v>1171</v>
      </c>
      <c r="J720" s="33">
        <f t="shared" si="23"/>
        <v>286000000000676</v>
      </c>
      <c r="K720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'+62 822-5967-9591'::varchar, NULL::varchar, 'Hasnida'::varchar, '124000000000473'::bigint);</v>
      </c>
    </row>
    <row r="721" spans="2:11" x14ac:dyDescent="0.2">
      <c r="B721" s="22">
        <v>124000000000474</v>
      </c>
      <c r="C721" s="4" t="str">
        <f>IF(EXACT($B721, ""), "", IF((($B721 - MOD($B721, 1000000000000))/1000000000000)=25, CONCATENATE("Person - ", VLOOKUP($B721, [1]DataLookUp!$B$4:$C$2000, 2, FALSE)), IF((($B721 - MOD($B721, 1000000000000))/1000000000000)=124, CONCATENATE("Institution - ", VLOOKUP($B721, '[2]DataLookUp - InstitutionBranch'!$B$4:$C$2000, 2, FALSE)), "")))</f>
        <v>Institution - Hendri Rahmat - Kepala Lab. Univ. Lancang Kuning</v>
      </c>
      <c r="D721" s="22">
        <v>223000000000002</v>
      </c>
      <c r="E721" s="4" t="str">
        <f>IF(EXACT($D721, ""), "", VLOOKUP($D721, 'REF - ContactNumberType'!$B$4:$C$10, 2, FALSE))</f>
        <v>Mobile Phone</v>
      </c>
      <c r="F721" s="26" t="s">
        <v>1289</v>
      </c>
      <c r="G721" s="9"/>
      <c r="H721" s="9" t="s">
        <v>1172</v>
      </c>
      <c r="J721" s="33">
        <f t="shared" si="23"/>
        <v>286000000000677</v>
      </c>
      <c r="K721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'+62 822-6846-3939'::varchar, NULL::varchar, 'Ignatius Hadi'::varchar, '124000000000474'::bigint);</v>
      </c>
    </row>
    <row r="722" spans="2:11" x14ac:dyDescent="0.2">
      <c r="B722" s="22">
        <v>124000000000475</v>
      </c>
      <c r="C722" s="4" t="str">
        <f>IF(EXACT($B722, ""), "", IF((($B722 - MOD($B722, 1000000000000))/1000000000000)=25, CONCATENATE("Person - ", VLOOKUP($B722, [1]DataLookUp!$B$4:$C$2000, 2, FALSE)), IF((($B722 - MOD($B722, 1000000000000))/1000000000000)=124, CONCATENATE("Institution - ", VLOOKUP($B722, '[2]DataLookUp - InstitutionBranch'!$B$4:$C$2000, 2, FALSE)), "")))</f>
        <v>Institution - Herdi Riawan</v>
      </c>
      <c r="D722" s="22">
        <v>223000000000002</v>
      </c>
      <c r="E722" s="4" t="str">
        <f>IF(EXACT($D722, ""), "", VLOOKUP($D722, 'REF - ContactNumberType'!$B$4:$C$10, 2, FALSE))</f>
        <v>Mobile Phone</v>
      </c>
      <c r="F722" s="26" t="s">
        <v>1323</v>
      </c>
      <c r="G722" s="9"/>
      <c r="H722" s="9" t="s">
        <v>1173</v>
      </c>
      <c r="J722" s="33">
        <f t="shared" si="23"/>
        <v>286000000000678</v>
      </c>
      <c r="K722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'+62 852-8088-8411'::varchar, NULL::varchar, 'Herdi'::varchar, '124000000000475'::bigint);</v>
      </c>
    </row>
    <row r="723" spans="2:11" x14ac:dyDescent="0.2">
      <c r="B723" s="22">
        <v>124000000000476</v>
      </c>
      <c r="C723" s="4" t="str">
        <f>IF(EXACT($B723, ""), "", IF((($B723 - MOD($B723, 1000000000000))/1000000000000)=25, CONCATENATE("Person - ", VLOOKUP($B723, [1]DataLookUp!$B$4:$C$2000, 2, FALSE)), IF((($B723 - MOD($B723, 1000000000000))/1000000000000)=124, CONCATENATE("Institution - ", VLOOKUP($B723, '[2]DataLookUp - InstitutionBranch'!$B$4:$C$2000, 2, FALSE)), "")))</f>
        <v>Institution - Holid Gilpani</v>
      </c>
      <c r="D723" s="22">
        <v>223000000000002</v>
      </c>
      <c r="E723" s="4" t="str">
        <f>IF(EXACT($D723, ""), "", VLOOKUP($D723, 'REF - ContactNumberType'!$B$4:$C$10, 2, FALSE))</f>
        <v>Mobile Phone</v>
      </c>
      <c r="F723" s="26" t="s">
        <v>1321</v>
      </c>
      <c r="G723" s="9"/>
      <c r="H723" s="9" t="s">
        <v>1174</v>
      </c>
      <c r="J723" s="33">
        <f t="shared" si="23"/>
        <v>286000000000679</v>
      </c>
      <c r="K723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'+62 822-4968-4303'::varchar, NULL::varchar, 'Holid gilpani'::varchar, '124000000000476'::bigint);</v>
      </c>
    </row>
    <row r="724" spans="2:11" x14ac:dyDescent="0.2">
      <c r="B724" s="22">
        <v>124000000000477</v>
      </c>
      <c r="C724" s="4" t="str">
        <f>IF(EXACT($B724, ""), "", IF((($B724 - MOD($B724, 1000000000000))/1000000000000)=25, CONCATENATE("Person - ", VLOOKUP($B724, [1]DataLookUp!$B$4:$C$2000, 2, FALSE)), IF((($B724 - MOD($B724, 1000000000000))/1000000000000)=124, CONCATENATE("Institution - ", VLOOKUP($B724, '[2]DataLookUp - InstitutionBranch'!$B$4:$C$2000, 2, FALSE)), "")))</f>
        <v>Institution - Hunan Lingte Technology Co., Ltd</v>
      </c>
      <c r="D724" s="22">
        <v>223000000000004</v>
      </c>
      <c r="E724" s="4" t="str">
        <f>IF(EXACT($D724, ""), "", VLOOKUP($D724, 'REF - ContactNumberType'!$B$4:$C$10, 2, FALSE))</f>
        <v>Office Phone</v>
      </c>
      <c r="F724" s="26" t="s">
        <v>1322</v>
      </c>
      <c r="G724" s="9"/>
      <c r="H724" s="9" t="s">
        <v>898</v>
      </c>
      <c r="J724" s="33">
        <f t="shared" si="23"/>
        <v>286000000000680</v>
      </c>
      <c r="K724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223000000000004::bigint, '+86 (133) 974-998-64'::varchar, NULL::varchar, '-'::varchar, '124000000000477'::bigint);</v>
      </c>
    </row>
    <row r="725" spans="2:11" x14ac:dyDescent="0.2">
      <c r="B725" s="22">
        <v>124000000000478</v>
      </c>
      <c r="C725" s="4" t="str">
        <f>IF(EXACT($B725, ""), "", IF((($B725 - MOD($B725, 1000000000000))/1000000000000)=25, CONCATENATE("Person - ", VLOOKUP($B725, [1]DataLookUp!$B$4:$C$2000, 2, FALSE)), IF((($B725 - MOD($B725, 1000000000000))/1000000000000)=124, CONCATENATE("Institution - ", VLOOKUP($B725, '[2]DataLookUp - InstitutionBranch'!$B$4:$C$2000, 2, FALSE)), "")))</f>
        <v>Institution - Ikhwan Nauli Lubis</v>
      </c>
      <c r="D725" s="22">
        <v>223000000000002</v>
      </c>
      <c r="E725" s="4" t="str">
        <f>IF(EXACT($D725, ""), "", VLOOKUP($D725, 'REF - ContactNumberType'!$B$4:$C$10, 2, FALSE))</f>
        <v>Mobile Phone</v>
      </c>
      <c r="F725" s="26" t="s">
        <v>1290</v>
      </c>
      <c r="G725" s="9"/>
      <c r="H725" s="9" t="s">
        <v>1175</v>
      </c>
      <c r="J725" s="33">
        <f t="shared" si="23"/>
        <v>286000000000681</v>
      </c>
      <c r="K725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'+62 812-1037-4952'::varchar, NULL::varchar, 'Ikhwan'::varchar, '124000000000478'::bigint);</v>
      </c>
    </row>
    <row r="726" spans="2:11" x14ac:dyDescent="0.2">
      <c r="B726" s="22">
        <v>124000000000479</v>
      </c>
      <c r="C726" s="4" t="str">
        <f>IF(EXACT($B726, ""), "", IF((($B726 - MOD($B726, 1000000000000))/1000000000000)=25, CONCATENATE("Person - ", VLOOKUP($B726, [1]DataLookUp!$B$4:$C$2000, 2, FALSE)), IF((($B726 - MOD($B726, 1000000000000))/1000000000000)=124, CONCATENATE("Institution - ", VLOOKUP($B726, '[2]DataLookUp - InstitutionBranch'!$B$4:$C$2000, 2, FALSE)), "")))</f>
        <v>Institution - Irhamsyah Purba</v>
      </c>
      <c r="D726" s="22">
        <v>223000000000002</v>
      </c>
      <c r="E726" s="4" t="str">
        <f>IF(EXACT($D726, ""), "", VLOOKUP($D726, 'REF - ContactNumberType'!$B$4:$C$10, 2, FALSE))</f>
        <v>Mobile Phone</v>
      </c>
      <c r="F726" s="26" t="s">
        <v>1291</v>
      </c>
      <c r="G726" s="9"/>
      <c r="H726" s="9" t="s">
        <v>1176</v>
      </c>
      <c r="J726" s="33">
        <f t="shared" si="23"/>
        <v>286000000000682</v>
      </c>
      <c r="K726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'+62 852-7119-6661'::varchar, NULL::varchar, 'Purba'::varchar, '124000000000479'::bigint);</v>
      </c>
    </row>
    <row r="727" spans="2:11" x14ac:dyDescent="0.2">
      <c r="B727" s="22">
        <v>124000000000480</v>
      </c>
      <c r="C727" s="4" t="str">
        <f>IF(EXACT($B727, ""), "", IF((($B727 - MOD($B727, 1000000000000))/1000000000000)=25, CONCATENATE("Person - ", VLOOKUP($B727, [1]DataLookUp!$B$4:$C$2000, 2, FALSE)), IF((($B727 - MOD($B727, 1000000000000))/1000000000000)=124, CONCATENATE("Institution - ", VLOOKUP($B727, '[2]DataLookUp - InstitutionBranch'!$B$4:$C$2000, 2, FALSE)), "")))</f>
        <v>Institution - Irma</v>
      </c>
      <c r="D727" s="22">
        <v>223000000000002</v>
      </c>
      <c r="E727" s="4" t="str">
        <f>IF(EXACT($D727, ""), "", VLOOKUP($D727, 'REF - ContactNumberType'!$B$4:$C$10, 2, FALSE))</f>
        <v>Mobile Phone</v>
      </c>
      <c r="F727" s="26" t="s">
        <v>1320</v>
      </c>
      <c r="G727" s="9"/>
      <c r="H727" s="9" t="s">
        <v>1177</v>
      </c>
      <c r="J727" s="33">
        <f t="shared" si="23"/>
        <v>286000000000683</v>
      </c>
      <c r="K727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'+62 812-4261-8199'::varchar, NULL::varchar, 'Irma'::varchar, '124000000000480'::bigint);</v>
      </c>
    </row>
    <row r="728" spans="2:11" x14ac:dyDescent="0.2">
      <c r="B728" s="22">
        <v>124000000000481</v>
      </c>
      <c r="C728" s="4" t="str">
        <f>IF(EXACT($B728, ""), "", IF((($B728 - MOD($B728, 1000000000000))/1000000000000)=25, CONCATENATE("Person - ", VLOOKUP($B728, [1]DataLookUp!$B$4:$C$2000, 2, FALSE)), IF((($B728 - MOD($B728, 1000000000000))/1000000000000)=124, CONCATENATE("Institution - ", VLOOKUP($B728, '[2]DataLookUp - InstitutionBranch'!$B$4:$C$2000, 2, FALSE)), "")))</f>
        <v>Institution - Istanto</v>
      </c>
      <c r="D728" s="22">
        <v>223000000000002</v>
      </c>
      <c r="E728" s="4" t="str">
        <f>IF(EXACT($D728, ""), "", VLOOKUP($D728, 'REF - ContactNumberType'!$B$4:$C$10, 2, FALSE))</f>
        <v>Mobile Phone</v>
      </c>
      <c r="F728" s="26" t="s">
        <v>1319</v>
      </c>
      <c r="G728" s="9"/>
      <c r="H728" s="9" t="s">
        <v>1178</v>
      </c>
      <c r="J728" s="33">
        <f t="shared" si="23"/>
        <v>286000000000684</v>
      </c>
      <c r="K728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'+62 823-5121-5392'::varchar, NULL::varchar, 'Istanto alias Wito'::varchar, '124000000000481'::bigint);</v>
      </c>
    </row>
    <row r="729" spans="2:11" x14ac:dyDescent="0.2">
      <c r="B729" s="22">
        <v>124000000000482</v>
      </c>
      <c r="C729" s="4" t="str">
        <f>IF(EXACT($B729, ""), "", IF((($B729 - MOD($B729, 1000000000000))/1000000000000)=25, CONCATENATE("Person - ", VLOOKUP($B729, [1]DataLookUp!$B$4:$C$2000, 2, FALSE)), IF((($B729 - MOD($B729, 1000000000000))/1000000000000)=124, CONCATENATE("Institution - ", VLOOKUP($B729, '[2]DataLookUp - InstitutionBranch'!$B$4:$C$2000, 2, FALSE)), "")))</f>
        <v>Institution - Kamil</v>
      </c>
      <c r="D729" s="22">
        <v>223000000000002</v>
      </c>
      <c r="E729" s="4" t="str">
        <f>IF(EXACT($D729, ""), "", VLOOKUP($D729, 'REF - ContactNumberType'!$B$4:$C$10, 2, FALSE))</f>
        <v>Mobile Phone</v>
      </c>
      <c r="F729" s="26" t="s">
        <v>1318</v>
      </c>
      <c r="G729" s="9"/>
      <c r="H729" s="9" t="s">
        <v>1179</v>
      </c>
      <c r="J729" s="33">
        <f t="shared" si="23"/>
        <v>286000000000685</v>
      </c>
      <c r="K729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'+62 813-4034-5555'::varchar, NULL::varchar, 'Kamil'::varchar, '124000000000482'::bigint);</v>
      </c>
    </row>
    <row r="730" spans="2:11" x14ac:dyDescent="0.2">
      <c r="B730" s="22">
        <v>124000000000483</v>
      </c>
      <c r="C730" s="4" t="str">
        <f>IF(EXACT($B730, ""), "", IF((($B730 - MOD($B730, 1000000000000))/1000000000000)=25, CONCATENATE("Person - ", VLOOKUP($B730, [1]DataLookUp!$B$4:$C$2000, 2, FALSE)), IF((($B730 - MOD($B730, 1000000000000))/1000000000000)=124, CONCATENATE("Institution - ", VLOOKUP($B730, '[2]DataLookUp - InstitutionBranch'!$B$4:$C$2000, 2, FALSE)), "")))</f>
        <v>Institution - Klinik Pratama Simpang Lima Husada</v>
      </c>
      <c r="D730" s="22">
        <v>223000000000004</v>
      </c>
      <c r="E730" s="4" t="str">
        <f>IF(EXACT($D730, ""), "", VLOOKUP($D730, 'REF - ContactNumberType'!$B$4:$C$10, 2, FALSE))</f>
        <v>Office Phone</v>
      </c>
      <c r="F730" s="26" t="s">
        <v>1317</v>
      </c>
      <c r="G730" s="9"/>
      <c r="H730" s="9" t="s">
        <v>1180</v>
      </c>
      <c r="J730" s="33">
        <f t="shared" si="23"/>
        <v>286000000000686</v>
      </c>
      <c r="K730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223000000000004::bigint, '+62 (0292) 421-397'::varchar, NULL::varchar, 'Fangiwati Chandra'::varchar, '124000000000483'::bigint);</v>
      </c>
    </row>
    <row r="731" spans="2:11" x14ac:dyDescent="0.2">
      <c r="B731" s="22">
        <v>124000000000484</v>
      </c>
      <c r="C731" s="4" t="str">
        <f>IF(EXACT($B731, ""), "", IF((($B731 - MOD($B731, 1000000000000))/1000000000000)=25, CONCATENATE("Person - ", VLOOKUP($B731, [1]DataLookUp!$B$4:$C$2000, 2, FALSE)), IF((($B731 - MOD($B731, 1000000000000))/1000000000000)=124, CONCATENATE("Institution - ", VLOOKUP($B731, '[2]DataLookUp - InstitutionBranch'!$B$4:$C$2000, 2, FALSE)), "")))</f>
        <v>Institution - KSO.Sucofindo-Surveyor Indonesia</v>
      </c>
      <c r="D731" s="22">
        <v>223000000000002</v>
      </c>
      <c r="E731" s="4" t="str">
        <f>IF(EXACT($D731, ""), "", VLOOKUP($D731, 'REF - ContactNumberType'!$B$4:$C$10, 2, FALSE))</f>
        <v>Mobile Phone</v>
      </c>
      <c r="F731" s="26" t="s">
        <v>1292</v>
      </c>
      <c r="G731" s="9"/>
      <c r="H731" s="9" t="s">
        <v>1181</v>
      </c>
      <c r="J731" s="33">
        <f t="shared" si="23"/>
        <v>286000000000687</v>
      </c>
      <c r="K731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'+62 813-1620-2066'::varchar, NULL::varchar, 'Novriesco Aichiro'::varchar, '124000000000484'::bigint);</v>
      </c>
    </row>
    <row r="732" spans="2:11" x14ac:dyDescent="0.2">
      <c r="B732" s="22">
        <v>124000000000485</v>
      </c>
      <c r="C732" s="4" t="str">
        <f>IF(EXACT($B732, ""), "", IF((($B732 - MOD($B732, 1000000000000))/1000000000000)=25, CONCATENATE("Person - ", VLOOKUP($B732, [1]DataLookUp!$B$4:$C$2000, 2, FALSE)), IF((($B732 - MOD($B732, 1000000000000))/1000000000000)=124, CONCATENATE("Institution - ", VLOOKUP($B732, '[2]DataLookUp - InstitutionBranch'!$B$4:$C$2000, 2, FALSE)), "")))</f>
        <v>Institution - Laboratorium Unit Pengelola Penilaian Kesesuaian Bahan dan Barang Teknik</v>
      </c>
      <c r="D732" s="22">
        <v>223000000000002</v>
      </c>
      <c r="E732" s="4" t="str">
        <f>IF(EXACT($D732, ""), "", VLOOKUP($D732, 'REF - ContactNumberType'!$B$4:$C$10, 2, FALSE))</f>
        <v>Mobile Phone</v>
      </c>
      <c r="F732" s="26" t="s">
        <v>1293</v>
      </c>
      <c r="G732" s="9"/>
      <c r="H732" s="9"/>
      <c r="J732" s="33">
        <f t="shared" si="23"/>
        <v>286000000000688</v>
      </c>
      <c r="K732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'+62 881-1508-382'::varchar, NULL::varchar, NULL::varchar, '124000000000485'::bigint);</v>
      </c>
    </row>
    <row r="733" spans="2:11" x14ac:dyDescent="0.2">
      <c r="B733" s="22">
        <v>124000000000486</v>
      </c>
      <c r="C733" s="4" t="str">
        <f>IF(EXACT($B733, ""), "", IF((($B733 - MOD($B733, 1000000000000))/1000000000000)=25, CONCATENATE("Person - ", VLOOKUP($B733, [1]DataLookUp!$B$4:$C$2000, 2, FALSE)), IF((($B733 - MOD($B733, 1000000000000))/1000000000000)=124, CONCATENATE("Institution - ", VLOOKUP($B733, '[2]DataLookUp - InstitutionBranch'!$B$4:$C$2000, 2, FALSE)), "")))</f>
        <v>Institution - Marhaeni</v>
      </c>
      <c r="D733" s="22">
        <v>223000000000002</v>
      </c>
      <c r="E733" s="4" t="str">
        <f>IF(EXACT($D733, ""), "", VLOOKUP($D733, 'REF - ContactNumberType'!$B$4:$C$10, 2, FALSE))</f>
        <v>Mobile Phone</v>
      </c>
      <c r="F733" s="26" t="s">
        <v>1316</v>
      </c>
      <c r="G733" s="9"/>
      <c r="H733" s="9" t="s">
        <v>1182</v>
      </c>
      <c r="J733" s="33">
        <f t="shared" si="23"/>
        <v>286000000000689</v>
      </c>
      <c r="K733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'+62 853-9915-2090'::varchar, NULL::varchar, 'Marhaeni'::varchar, '124000000000486'::bigint);</v>
      </c>
    </row>
    <row r="734" spans="2:11" x14ac:dyDescent="0.2">
      <c r="B734" s="22">
        <v>124000000000487</v>
      </c>
      <c r="C734" s="4" t="str">
        <f>IF(EXACT($B734, ""), "", IF((($B734 - MOD($B734, 1000000000000))/1000000000000)=25, CONCATENATE("Person - ", VLOOKUP($B734, [1]DataLookUp!$B$4:$C$2000, 2, FALSE)), IF((($B734 - MOD($B734, 1000000000000))/1000000000000)=124, CONCATENATE("Institution - ", VLOOKUP($B734, '[2]DataLookUp - InstitutionBranch'!$B$4:$C$2000, 2, FALSE)), "")))</f>
        <v>Institution - Mudji Irmawan Arkani</v>
      </c>
      <c r="D734" s="22">
        <v>223000000000002</v>
      </c>
      <c r="E734" s="4" t="str">
        <f>IF(EXACT($D734, ""), "", VLOOKUP($D734, 'REF - ContactNumberType'!$B$4:$C$10, 2, FALSE))</f>
        <v>Mobile Phone</v>
      </c>
      <c r="F734" s="26" t="s">
        <v>1294</v>
      </c>
      <c r="G734" s="9"/>
      <c r="H734" s="9" t="s">
        <v>1183</v>
      </c>
      <c r="J734" s="33">
        <f t="shared" si="23"/>
        <v>286000000000690</v>
      </c>
      <c r="K734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'+62 813-9948-2959'::varchar, NULL::varchar, 'Mudji'::varchar, '124000000000487'::bigint);</v>
      </c>
    </row>
    <row r="735" spans="2:11" x14ac:dyDescent="0.2">
      <c r="B735" s="22">
        <v>124000000000488</v>
      </c>
      <c r="C735" s="4" t="str">
        <f>IF(EXACT($B735, ""), "", IF((($B735 - MOD($B735, 1000000000000))/1000000000000)=25, CONCATENATE("Person - ", VLOOKUP($B735, [1]DataLookUp!$B$4:$C$2000, 2, FALSE)), IF((($B735 - MOD($B735, 1000000000000))/1000000000000)=124, CONCATENATE("Institution - ", VLOOKUP($B735, '[2]DataLookUp - InstitutionBranch'!$B$4:$C$2000, 2, FALSE)), "")))</f>
        <v>Institution - Mukhlas. A</v>
      </c>
      <c r="D735" s="22">
        <v>223000000000002</v>
      </c>
      <c r="E735" s="4" t="str">
        <f>IF(EXACT($D735, ""), "", VLOOKUP($D735, 'REF - ContactNumberType'!$B$4:$C$10, 2, FALSE))</f>
        <v>Mobile Phone</v>
      </c>
      <c r="F735" s="26" t="s">
        <v>1295</v>
      </c>
      <c r="G735" s="9"/>
      <c r="H735" s="9" t="s">
        <v>1184</v>
      </c>
      <c r="J735" s="33">
        <f t="shared" si="23"/>
        <v>286000000000691</v>
      </c>
      <c r="K735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'+62 853-7552-2377'::varchar, NULL::varchar, 'Mukhlas'::varchar, '124000000000488'::bigint);</v>
      </c>
    </row>
    <row r="736" spans="2:11" x14ac:dyDescent="0.2">
      <c r="B736" s="22">
        <v>124000000000489</v>
      </c>
      <c r="C736" s="4" t="str">
        <f>IF(EXACT($B736, ""), "", IF((($B736 - MOD($B736, 1000000000000))/1000000000000)=25, CONCATENATE("Person - ", VLOOKUP($B736, [1]DataLookUp!$B$4:$C$2000, 2, FALSE)), IF((($B736 - MOD($B736, 1000000000000))/1000000000000)=124, CONCATENATE("Institution - ", VLOOKUP($B736, '[2]DataLookUp - InstitutionBranch'!$B$4:$C$2000, 2, FALSE)), "")))</f>
        <v>Institution - Musdawaty</v>
      </c>
      <c r="D736" s="22">
        <v>223000000000002</v>
      </c>
      <c r="E736" s="4" t="str">
        <f>IF(EXACT($D736, ""), "", VLOOKUP($D736, 'REF - ContactNumberType'!$B$4:$C$10, 2, FALSE))</f>
        <v>Mobile Phone</v>
      </c>
      <c r="F736" s="26" t="s">
        <v>1296</v>
      </c>
      <c r="G736" s="9"/>
      <c r="H736" s="9" t="s">
        <v>1185</v>
      </c>
      <c r="J736" s="33">
        <f t="shared" si="23"/>
        <v>286000000000692</v>
      </c>
      <c r="K736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'+62 853-4111-1177'::varchar, NULL::varchar, 'Musdawaty'::varchar, '124000000000489'::bigint);</v>
      </c>
    </row>
    <row r="737" spans="2:11" x14ac:dyDescent="0.2">
      <c r="B737" s="22">
        <v>124000000000490</v>
      </c>
      <c r="C737" s="4" t="str">
        <f>IF(EXACT($B737, ""), "", IF((($B737 - MOD($B737, 1000000000000))/1000000000000)=25, CONCATENATE("Person - ", VLOOKUP($B737, [1]DataLookUp!$B$4:$C$2000, 2, FALSE)), IF((($B737 - MOD($B737, 1000000000000))/1000000000000)=124, CONCATENATE("Institution - ", VLOOKUP($B737, '[2]DataLookUp - InstitutionBranch'!$B$4:$C$2000, 2, FALSE)), "")))</f>
        <v xml:space="preserve">Institution - Mustakim </v>
      </c>
      <c r="D737" s="22">
        <v>223000000000002</v>
      </c>
      <c r="E737" s="4" t="str">
        <f>IF(EXACT($D737, ""), "", VLOOKUP($D737, 'REF - ContactNumberType'!$B$4:$C$10, 2, FALSE))</f>
        <v>Mobile Phone</v>
      </c>
      <c r="F737" s="26" t="s">
        <v>1314</v>
      </c>
      <c r="G737" s="9"/>
      <c r="H737" s="9" t="s">
        <v>1186</v>
      </c>
      <c r="J737" s="33">
        <f t="shared" si="23"/>
        <v>286000000000693</v>
      </c>
      <c r="K737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'+62 812-4585-0679'::varchar, NULL::varchar, 'Mustakim'::varchar, '124000000000490'::bigint);</v>
      </c>
    </row>
    <row r="738" spans="2:11" x14ac:dyDescent="0.2">
      <c r="B738" s="22">
        <v>124000000000491</v>
      </c>
      <c r="C738" s="4" t="str">
        <f>IF(EXACT($B738, ""), "", IF((($B738 - MOD($B738, 1000000000000))/1000000000000)=25, CONCATENATE("Person - ", VLOOKUP($B738, [1]DataLookUp!$B$4:$C$2000, 2, FALSE)), IF((($B738 - MOD($B738, 1000000000000))/1000000000000)=124, CONCATENATE("Institution - ", VLOOKUP($B738, '[2]DataLookUp - InstitutionBranch'!$B$4:$C$2000, 2, FALSE)), "")))</f>
        <v>Institution - Mustari</v>
      </c>
      <c r="D738" s="22">
        <v>223000000000002</v>
      </c>
      <c r="E738" s="4" t="str">
        <f>IF(EXACT($D738, ""), "", VLOOKUP($D738, 'REF - ContactNumberType'!$B$4:$C$10, 2, FALSE))</f>
        <v>Mobile Phone</v>
      </c>
      <c r="F738" s="26" t="s">
        <v>1315</v>
      </c>
      <c r="G738" s="9"/>
      <c r="H738" s="9" t="s">
        <v>1187</v>
      </c>
      <c r="J738" s="33">
        <f t="shared" si="23"/>
        <v>286000000000694</v>
      </c>
      <c r="K738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'+62 853-4800-2680'::varchar, NULL::varchar, 'Mastari'::varchar, '124000000000491'::bigint);</v>
      </c>
    </row>
    <row r="739" spans="2:11" x14ac:dyDescent="0.2">
      <c r="B739" s="22">
        <v>124000000000492</v>
      </c>
      <c r="C739" s="4" t="str">
        <f>IF(EXACT($B739, ""), "", IF((($B739 - MOD($B739, 1000000000000))/1000000000000)=25, CONCATENATE("Person - ", VLOOKUP($B739, [1]DataLookUp!$B$4:$C$2000, 2, FALSE)), IF((($B739 - MOD($B739, 1000000000000))/1000000000000)=124, CONCATENATE("Institution - ", VLOOKUP($B739, '[2]DataLookUp - InstitutionBranch'!$B$4:$C$2000, 2, FALSE)), "")))</f>
        <v>Institution - Narkum</v>
      </c>
      <c r="D739" s="22">
        <v>223000000000002</v>
      </c>
      <c r="E739" s="4" t="str">
        <f>IF(EXACT($D739, ""), "", VLOOKUP($D739, 'REF - ContactNumberType'!$B$4:$C$10, 2, FALSE))</f>
        <v>Mobile Phone</v>
      </c>
      <c r="F739" s="26" t="s">
        <v>1313</v>
      </c>
      <c r="G739" s="9"/>
      <c r="H739" s="9" t="s">
        <v>1188</v>
      </c>
      <c r="J739" s="33">
        <f t="shared" si="23"/>
        <v>286000000000695</v>
      </c>
      <c r="K739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'+62 852-1741-3909'::varchar, NULL::varchar, 'Narkum'::varchar, '124000000000492'::bigint);</v>
      </c>
    </row>
    <row r="740" spans="2:11" x14ac:dyDescent="0.2">
      <c r="B740" s="22">
        <v>124000000000493</v>
      </c>
      <c r="C740" s="4" t="str">
        <f>IF(EXACT($B740, ""), "", IF((($B740 - MOD($B740, 1000000000000))/1000000000000)=25, CONCATENATE("Person - ", VLOOKUP($B740, [1]DataLookUp!$B$4:$C$2000, 2, FALSE)), IF((($B740 - MOD($B740, 1000000000000))/1000000000000)=124, CONCATENATE("Institution - ", VLOOKUP($B740, '[2]DataLookUp - InstitutionBranch'!$B$4:$C$2000, 2, FALSE)), "")))</f>
        <v>Institution - Neny Suissa Sitorus</v>
      </c>
      <c r="D740" s="22">
        <v>223000000000002</v>
      </c>
      <c r="E740" s="4" t="str">
        <f>IF(EXACT($D740, ""), "", VLOOKUP($D740, 'REF - ContactNumberType'!$B$4:$C$10, 2, FALSE))</f>
        <v>Mobile Phone</v>
      </c>
      <c r="F740" s="26" t="s">
        <v>1312</v>
      </c>
      <c r="G740" s="9"/>
      <c r="H740" s="9" t="s">
        <v>1189</v>
      </c>
      <c r="J740" s="33">
        <f t="shared" si="23"/>
        <v>286000000000696</v>
      </c>
      <c r="K740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'+62 812-1560-8000'::varchar, NULL::varchar, 'Neny Suissa Sitorus'::varchar, '124000000000493'::bigint);</v>
      </c>
    </row>
    <row r="741" spans="2:11" x14ac:dyDescent="0.2">
      <c r="B741" s="22">
        <v>124000000000494</v>
      </c>
      <c r="C741" s="4" t="str">
        <f>IF(EXACT($B741, ""), "", IF((($B741 - MOD($B741, 1000000000000))/1000000000000)=25, CONCATENATE("Person - ", VLOOKUP($B741, [1]DataLookUp!$B$4:$C$2000, 2, FALSE)), IF((($B741 - MOD($B741, 1000000000000))/1000000000000)=124, CONCATENATE("Institution - ", VLOOKUP($B741, '[2]DataLookUp - InstitutionBranch'!$B$4:$C$2000, 2, FALSE)), "")))</f>
        <v>Institution - Oscar</v>
      </c>
      <c r="D741" s="22">
        <v>223000000000002</v>
      </c>
      <c r="E741" s="4" t="str">
        <f>IF(EXACT($D741, ""), "", VLOOKUP($D741, 'REF - ContactNumberType'!$B$4:$C$10, 2, FALSE))</f>
        <v>Mobile Phone</v>
      </c>
      <c r="F741" s="26" t="s">
        <v>1311</v>
      </c>
      <c r="G741" s="9"/>
      <c r="H741" s="9" t="s">
        <v>1190</v>
      </c>
      <c r="J741" s="33">
        <f t="shared" si="23"/>
        <v>286000000000697</v>
      </c>
      <c r="K741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'+62 859-7473-1474'::varchar, NULL::varchar, 'Oscar'::varchar, '124000000000494'::bigint);</v>
      </c>
    </row>
    <row r="742" spans="2:11" x14ac:dyDescent="0.2">
      <c r="B742" s="22">
        <v>124000000000495</v>
      </c>
      <c r="C742" s="4" t="str">
        <f>IF(EXACT($B742, ""), "", IF((($B742 - MOD($B742, 1000000000000))/1000000000000)=25, CONCATENATE("Person - ", VLOOKUP($B742, [1]DataLookUp!$B$4:$C$2000, 2, FALSE)), IF((($B742 - MOD($B742, 1000000000000))/1000000000000)=124, CONCATENATE("Institution - ", VLOOKUP($B742, '[2]DataLookUp - InstitutionBranch'!$B$4:$C$2000, 2, FALSE)), "")))</f>
        <v>Institution - Pardi</v>
      </c>
      <c r="D742" s="22">
        <v>223000000000002</v>
      </c>
      <c r="E742" s="4" t="str">
        <f>IF(EXACT($D742, ""), "", VLOOKUP($D742, 'REF - ContactNumberType'!$B$4:$C$10, 2, FALSE))</f>
        <v>Mobile Phone</v>
      </c>
      <c r="F742" s="26" t="s">
        <v>1297</v>
      </c>
      <c r="G742" s="9"/>
      <c r="H742" s="9" t="s">
        <v>1191</v>
      </c>
      <c r="J742" s="33">
        <f t="shared" si="23"/>
        <v>286000000000698</v>
      </c>
      <c r="K742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'+62 853-4146-4279'::varchar, NULL::varchar, 'Pardi'::varchar, '124000000000495'::bigint);</v>
      </c>
    </row>
    <row r="743" spans="2:11" x14ac:dyDescent="0.2">
      <c r="B743" s="22">
        <v>124000000000496</v>
      </c>
      <c r="C743" s="4" t="str">
        <f>IF(EXACT($B743, ""), "", IF((($B743 - MOD($B743, 1000000000000))/1000000000000)=25, CONCATENATE("Person - ", VLOOKUP($B743, [1]DataLookUp!$B$4:$C$2000, 2, FALSE)), IF((($B743 - MOD($B743, 1000000000000))/1000000000000)=124, CONCATENATE("Institution - ", VLOOKUP($B743, '[2]DataLookUp - InstitutionBranch'!$B$4:$C$2000, 2, FALSE)), "")))</f>
        <v>Institution - Raminto</v>
      </c>
      <c r="D743" s="22">
        <v>223000000000002</v>
      </c>
      <c r="E743" s="4" t="str">
        <f>IF(EXACT($D743, ""), "", VLOOKUP($D743, 'REF - ContactNumberType'!$B$4:$C$10, 2, FALSE))</f>
        <v>Mobile Phone</v>
      </c>
      <c r="F743" s="26" t="s">
        <v>1310</v>
      </c>
      <c r="G743" s="9"/>
      <c r="H743" s="9" t="s">
        <v>1696</v>
      </c>
      <c r="J743" s="33">
        <f t="shared" si="23"/>
        <v>286000000000699</v>
      </c>
      <c r="K743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'+62 821-5862-1819'::varchar, NULL::varchar, 'Raminto'::varchar, '124000000000496'::bigint);</v>
      </c>
    </row>
    <row r="744" spans="2:11" x14ac:dyDescent="0.2">
      <c r="B744" s="22">
        <v>124000000000497</v>
      </c>
      <c r="C744" s="4" t="str">
        <f>IF(EXACT($B744, ""), "", IF((($B744 - MOD($B744, 1000000000000))/1000000000000)=25, CONCATENATE("Person - ", VLOOKUP($B744, [1]DataLookUp!$B$4:$C$2000, 2, FALSE)), IF((($B744 - MOD($B744, 1000000000000))/1000000000000)=124, CONCATENATE("Institution - ", VLOOKUP($B744, '[2]DataLookUp - InstitutionBranch'!$B$4:$C$2000, 2, FALSE)), "")))</f>
        <v>Institution - Rocki Sitepu</v>
      </c>
      <c r="D744" s="22">
        <v>223000000000002</v>
      </c>
      <c r="E744" s="4" t="str">
        <f>IF(EXACT($D744, ""), "", VLOOKUP($D744, 'REF - ContactNumberType'!$B$4:$C$10, 2, FALSE))</f>
        <v>Mobile Phone</v>
      </c>
      <c r="F744" s="26" t="s">
        <v>1298</v>
      </c>
      <c r="G744" s="9"/>
      <c r="H744" s="9" t="s">
        <v>1695</v>
      </c>
      <c r="J744" s="33">
        <f t="shared" si="23"/>
        <v>286000000000700</v>
      </c>
      <c r="K744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'+62 813-6530-7579'::varchar, NULL::varchar, 'Rocki'::varchar, '124000000000497'::bigint);</v>
      </c>
    </row>
    <row r="745" spans="2:11" x14ac:dyDescent="0.2">
      <c r="B745" s="22">
        <v>124000000000498</v>
      </c>
      <c r="C745" s="4" t="str">
        <f>IF(EXACT($B745, ""), "", IF((($B745 - MOD($B745, 1000000000000))/1000000000000)=25, CONCATENATE("Person - ", VLOOKUP($B745, [1]DataLookUp!$B$4:$C$2000, 2, FALSE)), IF((($B745 - MOD($B745, 1000000000000))/1000000000000)=124, CONCATENATE("Institution - ", VLOOKUP($B745, '[2]DataLookUp - InstitutionBranch'!$B$4:$C$2000, 2, FALSE)), "")))</f>
        <v>Institution - RS Benyamin Guluh</v>
      </c>
      <c r="D745" s="22">
        <v>223000000000004</v>
      </c>
      <c r="E745" s="4" t="str">
        <f>IF(EXACT($D745, ""), "", VLOOKUP($D745, 'REF - ContactNumberType'!$B$4:$C$10, 2, FALSE))</f>
        <v>Office Phone</v>
      </c>
      <c r="F745" s="26" t="s">
        <v>1309</v>
      </c>
      <c r="G745" s="9"/>
      <c r="H745" s="9"/>
      <c r="J745" s="33">
        <f t="shared" si="23"/>
        <v>286000000000701</v>
      </c>
      <c r="K745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223000000000004::bigint, '+62 (0405) 232-1042'::varchar, NULL::varchar, NULL::varchar, '124000000000498'::bigint);</v>
      </c>
    </row>
    <row r="746" spans="2:11" x14ac:dyDescent="0.2">
      <c r="B746" s="22">
        <v>124000000000499</v>
      </c>
      <c r="C746" s="4" t="str">
        <f>IF(EXACT($B746, ""), "", IF((($B746 - MOD($B746, 1000000000000))/1000000000000)=25, CONCATENATE("Person - ", VLOOKUP($B746, [1]DataLookUp!$B$4:$C$2000, 2, FALSE)), IF((($B746 - MOD($B746, 1000000000000))/1000000000000)=124, CONCATENATE("Institution - ", VLOOKUP($B746, '[2]DataLookUp - InstitutionBranch'!$B$4:$C$2000, 2, FALSE)), "")))</f>
        <v xml:space="preserve">Institution - RS Keluarga Husada </v>
      </c>
      <c r="D746" s="22">
        <v>223000000000004</v>
      </c>
      <c r="E746" s="4" t="str">
        <f>IF(EXACT($D746, ""), "", VLOOKUP($D746, 'REF - ContactNumberType'!$B$4:$C$10, 2, FALSE))</f>
        <v>Office Phone</v>
      </c>
      <c r="F746" s="26" t="s">
        <v>1308</v>
      </c>
      <c r="G746" s="9"/>
      <c r="H746" s="9" t="s">
        <v>1192</v>
      </c>
      <c r="J746" s="33">
        <f t="shared" si="23"/>
        <v>286000000000702</v>
      </c>
      <c r="K746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223000000000004::bigint, '+62 (0778) 480-4597'::varchar, NULL::varchar, 'Customer Service'::varchar, '124000000000499'::bigint);</v>
      </c>
    </row>
    <row r="747" spans="2:11" x14ac:dyDescent="0.2">
      <c r="B747" s="22">
        <v>124000000000500</v>
      </c>
      <c r="C747" s="4" t="str">
        <f>IF(EXACT($B747, ""), "", IF((($B747 - MOD($B747, 1000000000000))/1000000000000)=25, CONCATENATE("Person - ", VLOOKUP($B747, [1]DataLookUp!$B$4:$C$2000, 2, FALSE)), IF((($B747 - MOD($B747, 1000000000000))/1000000000000)=124, CONCATENATE("Institution - ", VLOOKUP($B747, '[2]DataLookUp - InstitutionBranch'!$B$4:$C$2000, 2, FALSE)), "")))</f>
        <v>Institution - RSUD Dr. R. Soedjati</v>
      </c>
      <c r="D747" s="22">
        <v>223000000000004</v>
      </c>
      <c r="E747" s="4" t="str">
        <f>IF(EXACT($D747, ""), "", VLOOKUP($D747, 'REF - ContactNumberType'!$B$4:$C$10, 2, FALSE))</f>
        <v>Office Phone</v>
      </c>
      <c r="F747" s="26" t="s">
        <v>1307</v>
      </c>
      <c r="G747" s="9"/>
      <c r="H747" s="9" t="s">
        <v>1193</v>
      </c>
      <c r="J747" s="33">
        <f t="shared" si="23"/>
        <v>286000000000703</v>
      </c>
      <c r="K747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223000000000004::bigint, '+62 (0292) 421-004'::varchar, NULL::varchar, 'Poli Lab MCU'::varchar, '124000000000500'::bigint);</v>
      </c>
    </row>
    <row r="748" spans="2:11" x14ac:dyDescent="0.2">
      <c r="B748" s="22">
        <v>124000000000501</v>
      </c>
      <c r="C748" s="4" t="str">
        <f>IF(EXACT($B748, ""), "", IF((($B748 - MOD($B748, 1000000000000))/1000000000000)=25, CONCATENATE("Person - ", VLOOKUP($B748, [1]DataLookUp!$B$4:$C$2000, 2, FALSE)), IF((($B748 - MOD($B748, 1000000000000))/1000000000000)=124, CONCATENATE("Institution - ", VLOOKUP($B748, '[2]DataLookUp - InstitutionBranch'!$B$4:$C$2000, 2, FALSE)), "")))</f>
        <v>Institution - Rudi Hardianto</v>
      </c>
      <c r="D748" s="22">
        <v>223000000000002</v>
      </c>
      <c r="E748" s="4" t="str">
        <f>IF(EXACT($D748, ""), "", VLOOKUP($D748, 'REF - ContactNumberType'!$B$4:$C$10, 2, FALSE))</f>
        <v>Mobile Phone</v>
      </c>
      <c r="F748" s="26" t="s">
        <v>1299</v>
      </c>
      <c r="G748" s="9"/>
      <c r="H748" s="9" t="s">
        <v>1194</v>
      </c>
      <c r="J748" s="33">
        <f t="shared" si="23"/>
        <v>286000000000704</v>
      </c>
      <c r="K748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'+62 812-7683-597'::varchar, NULL::varchar, 'Rudi Hardianto'::varchar, '124000000000501'::bigint);</v>
      </c>
    </row>
    <row r="749" spans="2:11" x14ac:dyDescent="0.2">
      <c r="B749" s="22">
        <v>124000000000502</v>
      </c>
      <c r="C749" s="4" t="str">
        <f>IF(EXACT($B749, ""), "", IF((($B749 - MOD($B749, 1000000000000))/1000000000000)=25, CONCATENATE("Person - ", VLOOKUP($B749, [1]DataLookUp!$B$4:$C$2000, 2, FALSE)), IF((($B749 - MOD($B749, 1000000000000))/1000000000000)=124, CONCATENATE("Institution - ", VLOOKUP($B749, '[2]DataLookUp - InstitutionBranch'!$B$4:$C$2000, 2, FALSE)), "")))</f>
        <v>Institution - Siemens Energy Global GmbH &amp; Co. KG - SE GT S TSE AR Departement</v>
      </c>
      <c r="D749" s="22">
        <v>223000000000002</v>
      </c>
      <c r="E749" s="4" t="str">
        <f>IF(EXACT($D749, ""), "", VLOOKUP($D749, 'REF - ContactNumberType'!$B$4:$C$10, 2, FALSE))</f>
        <v>Mobile Phone</v>
      </c>
      <c r="F749" s="26" t="s">
        <v>1306</v>
      </c>
      <c r="G749" s="9"/>
      <c r="H749" s="9" t="s">
        <v>1195</v>
      </c>
      <c r="J749" s="33">
        <f t="shared" si="23"/>
        <v>286000000000705</v>
      </c>
      <c r="K749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'+62 812-2352-0000'::varchar, NULL::varchar, 'Mr. Hong Jin'::varchar, '124000000000502'::bigint);</v>
      </c>
    </row>
    <row r="750" spans="2:11" x14ac:dyDescent="0.2">
      <c r="B750" s="22">
        <v>124000000000503</v>
      </c>
      <c r="C750" s="4" t="str">
        <f>IF(EXACT($B750, ""), "", IF((($B750 - MOD($B750, 1000000000000))/1000000000000)=25, CONCATENATE("Person - ", VLOOKUP($B750, [1]DataLookUp!$B$4:$C$2000, 2, FALSE)), IF((($B750 - MOD($B750, 1000000000000))/1000000000000)=124, CONCATENATE("Institution - ", VLOOKUP($B750, '[2]DataLookUp - InstitutionBranch'!$B$4:$C$2000, 2, FALSE)), "")))</f>
        <v>Institution - Suci Nurul Utami Putri</v>
      </c>
      <c r="D750" s="22">
        <v>223000000000002</v>
      </c>
      <c r="E750" s="4" t="str">
        <f>IF(EXACT($D750, ""), "", VLOOKUP($D750, 'REF - ContactNumberType'!$B$4:$C$10, 2, FALSE))</f>
        <v>Mobile Phone</v>
      </c>
      <c r="F750" s="26" t="s">
        <v>1305</v>
      </c>
      <c r="G750" s="9"/>
      <c r="H750" s="9" t="s">
        <v>1196</v>
      </c>
      <c r="J750" s="33">
        <f t="shared" si="23"/>
        <v>286000000000706</v>
      </c>
      <c r="K750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'+62 853-7777-5752'::varchar, NULL::varchar, 'Suci Nurul Utami Putri'::varchar, '124000000000503'::bigint);</v>
      </c>
    </row>
    <row r="751" spans="2:11" x14ac:dyDescent="0.2">
      <c r="B751" s="22">
        <v>124000000000504</v>
      </c>
      <c r="C751" s="4" t="str">
        <f>IF(EXACT($B751, ""), "", IF((($B751 - MOD($B751, 1000000000000))/1000000000000)=25, CONCATENATE("Person - ", VLOOKUP($B751, [1]DataLookUp!$B$4:$C$2000, 2, FALSE)), IF((($B751 - MOD($B751, 1000000000000))/1000000000000)=124, CONCATENATE("Institution - ", VLOOKUP($B751, '[2]DataLookUp - InstitutionBranch'!$B$4:$C$2000, 2, FALSE)), "")))</f>
        <v>Institution - Suparno</v>
      </c>
      <c r="D751" s="22">
        <v>223000000000002</v>
      </c>
      <c r="E751" s="4" t="str">
        <f>IF(EXACT($D751, ""), "", VLOOKUP($D751, 'REF - ContactNumberType'!$B$4:$C$10, 2, FALSE))</f>
        <v>Mobile Phone</v>
      </c>
      <c r="F751" s="26" t="s">
        <v>1304</v>
      </c>
      <c r="G751" s="9"/>
      <c r="H751" s="9" t="s">
        <v>1197</v>
      </c>
      <c r="J751" s="33">
        <f t="shared" si="23"/>
        <v>286000000000707</v>
      </c>
      <c r="K751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'+62 821-5464-1078'::varchar, NULL::varchar, 'Suparno'::varchar, '124000000000504'::bigint);</v>
      </c>
    </row>
    <row r="752" spans="2:11" x14ac:dyDescent="0.2">
      <c r="B752" s="22">
        <v>124000000000505</v>
      </c>
      <c r="C752" s="4" t="str">
        <f>IF(EXACT($B752, ""), "", IF((($B752 - MOD($B752, 1000000000000))/1000000000000)=25, CONCATENATE("Person - ", VLOOKUP($B752, [1]DataLookUp!$B$4:$C$2000, 2, FALSE)), IF((($B752 - MOD($B752, 1000000000000))/1000000000000)=124, CONCATENATE("Institution - ", VLOOKUP($B752, '[2]DataLookUp - InstitutionBranch'!$B$4:$C$2000, 2, FALSE)), "")))</f>
        <v xml:space="preserve">Institution - Surnadi </v>
      </c>
      <c r="D752" s="22">
        <v>223000000000002</v>
      </c>
      <c r="E752" s="4" t="str">
        <f>IF(EXACT($D752, ""), "", VLOOKUP($D752, 'REF - ContactNumberType'!$B$4:$C$10, 2, FALSE))</f>
        <v>Mobile Phone</v>
      </c>
      <c r="F752" s="26" t="s">
        <v>1300</v>
      </c>
      <c r="G752" s="9"/>
      <c r="H752" s="9" t="s">
        <v>1198</v>
      </c>
      <c r="J752" s="33">
        <f t="shared" si="23"/>
        <v>286000000000708</v>
      </c>
      <c r="K752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'+62 822-1739-9469'::varchar, NULL::varchar, 'Surnadi'::varchar, '124000000000505'::bigint);</v>
      </c>
    </row>
    <row r="753" spans="2:11" x14ac:dyDescent="0.2">
      <c r="B753" s="22">
        <v>124000000000506</v>
      </c>
      <c r="C753" s="4" t="str">
        <f>IF(EXACT($B753, ""), "", IF((($B753 - MOD($B753, 1000000000000))/1000000000000)=25, CONCATENATE("Person - ", VLOOKUP($B753, [1]DataLookUp!$B$4:$C$2000, 2, FALSE)), IF((($B753 - MOD($B753, 1000000000000))/1000000000000)=124, CONCATENATE("Institution - ", VLOOKUP($B753, '[2]DataLookUp - InstitutionBranch'!$B$4:$C$2000, 2, FALSE)), "")))</f>
        <v>Institution - Suroto</v>
      </c>
      <c r="D753" s="22">
        <v>223000000000002</v>
      </c>
      <c r="E753" s="4" t="str">
        <f>IF(EXACT($D753, ""), "", VLOOKUP($D753, 'REF - ContactNumberType'!$B$4:$C$10, 2, FALSE))</f>
        <v>Mobile Phone</v>
      </c>
      <c r="F753" s="26" t="s">
        <v>1301</v>
      </c>
      <c r="G753" s="9"/>
      <c r="H753" s="9" t="s">
        <v>1094</v>
      </c>
      <c r="J753" s="33">
        <f t="shared" si="23"/>
        <v>286000000000709</v>
      </c>
      <c r="K753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'+62 812-5730-0560'::varchar, NULL::varchar, 'Suroto'::varchar, '124000000000506'::bigint);</v>
      </c>
    </row>
    <row r="754" spans="2:11" x14ac:dyDescent="0.2">
      <c r="B754" s="22">
        <v>124000000000507</v>
      </c>
      <c r="C754" s="4" t="str">
        <f>IF(EXACT($B754, ""), "", IF((($B754 - MOD($B754, 1000000000000))/1000000000000)=25, CONCATENATE("Person - ", VLOOKUP($B754, [1]DataLookUp!$B$4:$C$2000, 2, FALSE)), IF((($B754 - MOD($B754, 1000000000000))/1000000000000)=124, CONCATENATE("Institution - ", VLOOKUP($B754, '[2]DataLookUp - InstitutionBranch'!$B$4:$C$2000, 2, FALSE)), "")))</f>
        <v>Institution - Syafir Ottong</v>
      </c>
      <c r="D754" s="22">
        <v>223000000000002</v>
      </c>
      <c r="E754" s="4" t="str">
        <f>IF(EXACT($D754, ""), "", VLOOKUP($D754, 'REF - ContactNumberType'!$B$4:$C$10, 2, FALSE))</f>
        <v>Mobile Phone</v>
      </c>
      <c r="F754" s="26" t="s">
        <v>1303</v>
      </c>
      <c r="G754" s="9"/>
      <c r="H754" s="9" t="s">
        <v>1089</v>
      </c>
      <c r="J754" s="33">
        <f t="shared" si="23"/>
        <v>286000000000710</v>
      </c>
      <c r="K754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'+62 821-3305-5222'::varchar, NULL::varchar, 'Syafir Ottong'::varchar, '124000000000507'::bigint);</v>
      </c>
    </row>
    <row r="755" spans="2:11" x14ac:dyDescent="0.2">
      <c r="B755" s="22">
        <v>124000000000508</v>
      </c>
      <c r="C755" s="4" t="str">
        <f>IF(EXACT($B755, ""), "", IF((($B755 - MOD($B755, 1000000000000))/1000000000000)=25, CONCATENATE("Person - ", VLOOKUP($B755, [1]DataLookUp!$B$4:$C$2000, 2, FALSE)), IF((($B755 - MOD($B755, 1000000000000))/1000000000000)=124, CONCATENATE("Institution - ", VLOOKUP($B755, '[2]DataLookUp - InstitutionBranch'!$B$4:$C$2000, 2, FALSE)), "")))</f>
        <v>Institution - Syahrian</v>
      </c>
      <c r="D755" s="22">
        <v>223000000000002</v>
      </c>
      <c r="E755" s="4" t="str">
        <f>IF(EXACT($D755, ""), "", VLOOKUP($D755, 'REF - ContactNumberType'!$B$4:$C$10, 2, FALSE))</f>
        <v>Mobile Phone</v>
      </c>
      <c r="F755" s="26" t="s">
        <v>1302</v>
      </c>
      <c r="G755" s="9"/>
      <c r="H755" s="9" t="s">
        <v>1199</v>
      </c>
      <c r="J755" s="33">
        <f t="shared" si="23"/>
        <v>286000000000711</v>
      </c>
      <c r="K755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223000000000002::bigint, '+62 858-2209-6026'::varchar, NULL::varchar, 'Syahrian'::varchar, '124000000000508'::bigint);</v>
      </c>
    </row>
    <row r="756" spans="2:11" x14ac:dyDescent="0.2">
      <c r="B756" s="22">
        <v>124000000000509</v>
      </c>
      <c r="C756" s="4" t="str">
        <f>IF(EXACT($B756, ""), "", IF((($B756 - MOD($B756, 1000000000000))/1000000000000)=25, CONCATENATE("Person - ", VLOOKUP($B756, [1]DataLookUp!$B$4:$C$2000, 2, FALSE)), IF((($B756 - MOD($B756, 1000000000000))/1000000000000)=124, CONCATENATE("Institution - ", VLOOKUP($B756, '[2]DataLookUp - InstitutionBranch'!$B$4:$C$2000, 2, FALSE)), "")))</f>
        <v>Institution - Tjoe Tjhoen Song</v>
      </c>
      <c r="D756" s="22">
        <v>223000000000004</v>
      </c>
      <c r="E756" s="4" t="str">
        <f>IF(EXACT($D756, ""), "", VLOOKUP($D756, 'REF - ContactNumberType'!$B$4:$C$10, 2, FALSE))</f>
        <v>Office Phone</v>
      </c>
      <c r="F756" s="26" t="s">
        <v>1592</v>
      </c>
      <c r="G756" s="9"/>
      <c r="H756" s="9" t="s">
        <v>1200</v>
      </c>
      <c r="J756" s="33">
        <f t="shared" si="23"/>
        <v>286000000000712</v>
      </c>
      <c r="K756" s="34" t="str">
        <f t="shared" si="24"/>
        <v>PERFORM "SchData-OLTP-Master"."Func_TblContactNumber_SET"(varSystemLoginSession::bigint, null::bigint, null::varchar, null::timestamptz, null::timestamptz, null::varchar, varInstitutionBranchID::bigint, varBaseCurrencyID::bigint, 223000000000004::bigint, '+62 (021) 6292368'::varchar, NULL::varchar, 'Tjoe Tjhoen Song'::varchar, '124000000000509'::bigint);</v>
      </c>
    </row>
    <row r="757" spans="2:11" x14ac:dyDescent="0.2">
      <c r="B757" s="27"/>
      <c r="C757" s="11"/>
      <c r="D757" s="27"/>
      <c r="E757" s="11"/>
      <c r="F757" s="28"/>
      <c r="G757" s="11"/>
      <c r="H757" s="11"/>
    </row>
  </sheetData>
  <conditionalFormatting sqref="J4:J756">
    <cfRule type="expression" dxfId="1" priority="54">
      <formula>EXACT(J3, J4)</formula>
    </cfRule>
  </conditionalFormatting>
  <conditionalFormatting sqref="G468 F4:F998">
    <cfRule type="expression" dxfId="0" priority="83">
      <formula>AND(NOT(EXACT($F4, "")), NOT(COUNTIF($F$4:$F$998,$F4)=1))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C757"/>
  <sheetViews>
    <sheetView workbookViewId="0">
      <pane xSplit="2" ySplit="3" topLeftCell="C752" activePane="bottomRight" state="frozen"/>
      <selection pane="topRight" activeCell="C1" sqref="C1"/>
      <selection pane="bottomLeft" activeCell="A4" sqref="A4"/>
      <selection pane="bottomRight" activeCell="D762" sqref="D762"/>
    </sheetView>
  </sheetViews>
  <sheetFormatPr defaultRowHeight="12.75" x14ac:dyDescent="0.2"/>
  <cols>
    <col min="1" max="1" width="2.85546875" style="5" customWidth="1"/>
    <col min="2" max="2" width="14" style="5" bestFit="1" customWidth="1"/>
    <col min="3" max="3" width="105.85546875" style="5" bestFit="1" customWidth="1"/>
    <col min="4" max="16384" width="9.140625" style="5"/>
  </cols>
  <sheetData>
    <row r="1" spans="2:3" ht="13.5" thickBot="1" x14ac:dyDescent="0.25"/>
    <row r="2" spans="2:3" x14ac:dyDescent="0.2">
      <c r="B2" s="18" t="s">
        <v>877</v>
      </c>
      <c r="C2" s="29" t="s">
        <v>880</v>
      </c>
    </row>
    <row r="3" spans="2:3" ht="13.5" thickBot="1" x14ac:dyDescent="0.25">
      <c r="B3" s="19"/>
      <c r="C3" s="38"/>
    </row>
    <row r="4" spans="2:3" x14ac:dyDescent="0.2">
      <c r="B4" s="40">
        <f>IF(EXACT(SEED!$F4, ""), "", SEED!$J4)</f>
        <v>286000000000001</v>
      </c>
      <c r="C4" s="3" t="str">
        <f>IF(EXACT($B4, ""), "", CONCATENATE(SUBSTITUTE(SEED!$F4, "-", ""), " (", SEED!$E4, IF(EXACT(SEED!$C4, ""), "", CONCATENATE(" ►", SEED!$C4)), ")"))</f>
        <v>+62 87877923708 (Mobile Phone ►Person - Khafid Fahrurrozi)</v>
      </c>
    </row>
    <row r="5" spans="2:3" x14ac:dyDescent="0.2">
      <c r="B5" s="40">
        <f>IF(EXACT(SEED!$F5, ""), "", SEED!$J5)</f>
        <v>286000000000002</v>
      </c>
      <c r="C5" s="4" t="str">
        <f>IF(EXACT($B5, ""), "", CONCATENATE(SUBSTITUTE(SEED!$F5, "-", ""), " (", SEED!$E5, IF(EXACT(SEED!$C5, ""), "", CONCATENATE(" ►", SEED!$C5)), ")"))</f>
        <v>+62 81293974227 (Mobile Phone)</v>
      </c>
    </row>
    <row r="6" spans="2:3" x14ac:dyDescent="0.2">
      <c r="B6" s="40">
        <f>IF(EXACT(SEED!$F6, ""), "", SEED!$J6)</f>
        <v>286000000000003</v>
      </c>
      <c r="C6" s="4" t="str">
        <f>IF(EXACT($B6, ""), "", CONCATENATE(SUBSTITUTE(SEED!$F6, "-", ""), " (", SEED!$E6, IF(EXACT(SEED!$C6, ""), "", CONCATENATE(" ►", SEED!$C6)), ")"))</f>
        <v>+62 85694010438 (Mobile Phone ►Person - Rian Yushak)</v>
      </c>
    </row>
    <row r="7" spans="2:3" x14ac:dyDescent="0.2">
      <c r="B7" s="40">
        <f>IF(EXACT(SEED!$F7, ""), "", SEED!$J7)</f>
        <v>286000000000004</v>
      </c>
      <c r="C7" s="4" t="str">
        <f>IF(EXACT($B7, ""), "", CONCATENATE(SUBSTITUTE(SEED!$F7, "-", ""), " (", SEED!$E7, IF(EXACT(SEED!$C7, ""), "", CONCATENATE(" ►", SEED!$C7)), ")"))</f>
        <v>+62 89682261128 (Mobile Phone)</v>
      </c>
    </row>
    <row r="8" spans="2:3" x14ac:dyDescent="0.2">
      <c r="B8" s="40">
        <f>IF(EXACT(SEED!$F8, ""), "", SEED!$J8)</f>
        <v>286000000000005</v>
      </c>
      <c r="C8" s="4" t="str">
        <f>IF(EXACT($B8, ""), "", CONCATENATE(SUBSTITUTE(SEED!$F8, "-", ""), " (", SEED!$E8, IF(EXACT(SEED!$C8, ""), "", CONCATENATE(" ►", SEED!$C8)), ")"))</f>
        <v>+62 83870090020 (Mobile Phone)</v>
      </c>
    </row>
    <row r="9" spans="2:3" x14ac:dyDescent="0.2">
      <c r="B9" s="40">
        <f>IF(EXACT(SEED!$F9, ""), "", SEED!$J9)</f>
        <v>286000000000006</v>
      </c>
      <c r="C9" s="4" t="str">
        <f>IF(EXACT($B9, ""), "", CONCATENATE(SUBSTITUTE(SEED!$F9, "-", ""), " (", SEED!$E9, IF(EXACT(SEED!$C9, ""), "", CONCATENATE(" ►", SEED!$C9)), ")"))</f>
        <v>+62 81295924499 (Mobile Phone ►Person - Ardi)</v>
      </c>
    </row>
    <row r="10" spans="2:3" x14ac:dyDescent="0.2">
      <c r="B10" s="40">
        <f>IF(EXACT(SEED!$F10, ""), "", SEED!$J10)</f>
        <v>286000000000007</v>
      </c>
      <c r="C10" s="4" t="str">
        <f>IF(EXACT($B10, ""), "", CONCATENATE(SUBSTITUTE(SEED!$F10, "-", ""), " (", SEED!$E10, IF(EXACT(SEED!$C10, ""), "", CONCATENATE(" ►", SEED!$C10)), ")"))</f>
        <v>+62 85721623338 (Mobile Phone ►Person - Erwin Firmansyah)</v>
      </c>
    </row>
    <row r="11" spans="2:3" x14ac:dyDescent="0.2">
      <c r="B11" s="40">
        <f>IF(EXACT(SEED!$F11, ""), "", SEED!$J11)</f>
        <v>286000000000008</v>
      </c>
      <c r="C11" s="4" t="str">
        <f>IF(EXACT($B11, ""), "", CONCATENATE(SUBSTITUTE(SEED!$F11, "-", ""), " (", SEED!$E11, IF(EXACT(SEED!$C11, ""), "", CONCATENATE(" ►", SEED!$C11)), ")"))</f>
        <v>+62 81384284951 (Mobile Phone ►Person - Paryanto)</v>
      </c>
    </row>
    <row r="12" spans="2:3" x14ac:dyDescent="0.2">
      <c r="B12" s="40">
        <f>IF(EXACT(SEED!$F12, ""), "", SEED!$J12)</f>
        <v>286000000000009</v>
      </c>
      <c r="C12" s="4" t="str">
        <f>IF(EXACT($B12, ""), "", CONCATENATE(SUBSTITUTE(SEED!$F12, "-", ""), " (", SEED!$E12, IF(EXACT(SEED!$C12, ""), "", CONCATENATE(" ►", SEED!$C12)), ")"))</f>
        <v>+62 83873752989 (Mobile Phone)</v>
      </c>
    </row>
    <row r="13" spans="2:3" x14ac:dyDescent="0.2">
      <c r="B13" s="40">
        <f>IF(EXACT(SEED!$F13, ""), "", SEED!$J13)</f>
        <v>286000000000010</v>
      </c>
      <c r="C13" s="4" t="str">
        <f>IF(EXACT($B13, ""), "", CONCATENATE(SUBSTITUTE(SEED!$F13, "-", ""), " (", SEED!$E13, IF(EXACT(SEED!$C13, ""), "", CONCATENATE(" ►", SEED!$C13)), ")"))</f>
        <v>+62 82260920555 (Mobile Phone)</v>
      </c>
    </row>
    <row r="14" spans="2:3" x14ac:dyDescent="0.2">
      <c r="B14" s="40">
        <f>IF(EXACT(SEED!$F14, ""), "", SEED!$J14)</f>
        <v>286000000000011</v>
      </c>
      <c r="C14" s="4" t="str">
        <f>IF(EXACT($B14, ""), "", CONCATENATE(SUBSTITUTE(SEED!$F14, "-", ""), " (", SEED!$E14, IF(EXACT(SEED!$C14, ""), "", CONCATENATE(" ►", SEED!$C14)), ")"))</f>
        <v>+62 82251313575 (Mobile Phone ►Person - Anggit Ismiyanto)</v>
      </c>
    </row>
    <row r="15" spans="2:3" x14ac:dyDescent="0.2">
      <c r="B15" s="40">
        <f>IF(EXACT(SEED!$F15, ""), "", SEED!$J15)</f>
        <v>286000000000012</v>
      </c>
      <c r="C15" s="4" t="str">
        <f>IF(EXACT($B15, ""), "", CONCATENATE(SUBSTITUTE(SEED!$F15, "-", ""), " (", SEED!$E15, IF(EXACT(SEED!$C15, ""), "", CONCATENATE(" ►", SEED!$C15)), ")"))</f>
        <v>+62 81245192298 (Mobile Phone ►Person - Firman Akbar)</v>
      </c>
    </row>
    <row r="16" spans="2:3" x14ac:dyDescent="0.2">
      <c r="B16" s="40">
        <f>IF(EXACT(SEED!$F16, ""), "", SEED!$J16)</f>
        <v>286000000000013</v>
      </c>
      <c r="C16" s="4" t="str">
        <f>IF(EXACT($B16, ""), "", CONCATENATE(SUBSTITUTE(SEED!$F16, "-", ""), " (", SEED!$E16, IF(EXACT(SEED!$C16, ""), "", CONCATENATE(" ►", SEED!$C16)), ")"))</f>
        <v>+62 81314228295 (Mobile Phone ►Person - Fuad Febrian)</v>
      </c>
    </row>
    <row r="17" spans="2:3" x14ac:dyDescent="0.2">
      <c r="B17" s="40">
        <f>IF(EXACT(SEED!$F17, ""), "", SEED!$J17)</f>
        <v>286000000000014</v>
      </c>
      <c r="C17" s="4" t="str">
        <f>IF(EXACT($B17, ""), "", CONCATENATE(SUBSTITUTE(SEED!$F17, "-", ""), " (", SEED!$E17, IF(EXACT(SEED!$C17, ""), "", CONCATENATE(" ►", SEED!$C17)), ")"))</f>
        <v>+62 85728818103 (Mobile Phone ►Person - Sulih)</v>
      </c>
    </row>
    <row r="18" spans="2:3" x14ac:dyDescent="0.2">
      <c r="B18" s="40">
        <f>IF(EXACT(SEED!$F18, ""), "", SEED!$J18)</f>
        <v>286000000000015</v>
      </c>
      <c r="C18" s="4" t="str">
        <f>IF(EXACT($B18, ""), "", CONCATENATE(SUBSTITUTE(SEED!$F18, "-", ""), " (", SEED!$E18, IF(EXACT(SEED!$C18, ""), "", CONCATENATE(" ►", SEED!$C18)), ")"))</f>
        <v>+62 81224910322 (Mobile Phone ►Person - Heru Sugiri)</v>
      </c>
    </row>
    <row r="19" spans="2:3" x14ac:dyDescent="0.2">
      <c r="B19" s="40">
        <f>IF(EXACT(SEED!$F19, ""), "", SEED!$J19)</f>
        <v>286000000000016</v>
      </c>
      <c r="C19" s="4" t="str">
        <f>IF(EXACT($B19, ""), "", CONCATENATE(SUBSTITUTE(SEED!$F19, "-", ""), " (", SEED!$E19, IF(EXACT(SEED!$C19, ""), "", CONCATENATE(" ►", SEED!$C19)), ")"))</f>
        <v>+62 81806919844 (Mobile Phone ►Person - Rinaldi Asrin)</v>
      </c>
    </row>
    <row r="20" spans="2:3" x14ac:dyDescent="0.2">
      <c r="B20" s="40">
        <f>IF(EXACT(SEED!$F20, ""), "", SEED!$J20)</f>
        <v>286000000000017</v>
      </c>
      <c r="C20" s="4" t="str">
        <f>IF(EXACT($B20, ""), "", CONCATENATE(SUBSTITUTE(SEED!$F20, "-", ""), " (", SEED!$E20, IF(EXACT(SEED!$C20, ""), "", CONCATENATE(" ►", SEED!$C20)), ")"))</f>
        <v>+62 85760211355 (Mobile Phone ►Person - Rafi Firman Saputra)</v>
      </c>
    </row>
    <row r="21" spans="2:3" x14ac:dyDescent="0.2">
      <c r="B21" s="40">
        <f>IF(EXACT(SEED!$F21, ""), "", SEED!$J21)</f>
        <v>286000000000018</v>
      </c>
      <c r="C21" s="4" t="str">
        <f>IF(EXACT($B21, ""), "", CONCATENATE(SUBSTITUTE(SEED!$F21, "-", ""), " (", SEED!$E21, IF(EXACT(SEED!$C21, ""), "", CONCATENATE(" ►", SEED!$C21)), ")"))</f>
        <v>+62 81288844266 (Mobile Phone ►Person - Putra Perdana Tirtomoyo)</v>
      </c>
    </row>
    <row r="22" spans="2:3" x14ac:dyDescent="0.2">
      <c r="B22" s="40">
        <f>IF(EXACT(SEED!$F22, ""), "", SEED!$J22)</f>
        <v>286000000000019</v>
      </c>
      <c r="C22" s="4" t="str">
        <f>IF(EXACT($B22, ""), "", CONCATENATE(SUBSTITUTE(SEED!$F22, "-", ""), " (", SEED!$E22, IF(EXACT(SEED!$C22, ""), "", CONCATENATE(" ►", SEED!$C22)), ")"))</f>
        <v>+62 8567124030 (Mobile Phone ►Person - Rizak Tri Septian)</v>
      </c>
    </row>
    <row r="23" spans="2:3" x14ac:dyDescent="0.2">
      <c r="B23" s="40">
        <f>IF(EXACT(SEED!$F23, ""), "", SEED!$J23)</f>
        <v>286000000000020</v>
      </c>
      <c r="C23" s="4" t="str">
        <f>IF(EXACT($B23, ""), "", CONCATENATE(SUBSTITUTE(SEED!$F23, "-", ""), " (", SEED!$E23, IF(EXACT(SEED!$C23, ""), "", CONCATENATE(" ►", SEED!$C23)), ")"))</f>
        <v>+62 82113951375 (Mobile Phone ►Person - Zam Roji)</v>
      </c>
    </row>
    <row r="24" spans="2:3" x14ac:dyDescent="0.2">
      <c r="B24" s="40">
        <f>IF(EXACT(SEED!$F24, ""), "", SEED!$J24)</f>
        <v>286000000000021</v>
      </c>
      <c r="C24" s="4" t="str">
        <f>IF(EXACT($B24, ""), "", CONCATENATE(SUBSTITUTE(SEED!$F24, "-", ""), " (", SEED!$E24, IF(EXACT(SEED!$C24, ""), "", CONCATENATE(" ►", SEED!$C24)), ")"))</f>
        <v>+62 85295000042 (Mobile Phone ►Person - Rendy Prananta Purba)</v>
      </c>
    </row>
    <row r="25" spans="2:3" x14ac:dyDescent="0.2">
      <c r="B25" s="40">
        <f>IF(EXACT(SEED!$F25, ""), "", SEED!$J25)</f>
        <v>286000000000022</v>
      </c>
      <c r="C25" s="4" t="str">
        <f>IF(EXACT($B25, ""), "", CONCATENATE(SUBSTITUTE(SEED!$F25, "-", ""), " (", SEED!$E25, IF(EXACT(SEED!$C25, ""), "", CONCATENATE(" ►", SEED!$C25)), ")"))</f>
        <v>+62 81210213789 (Mobile Phone ►Person - Otong Bustori)</v>
      </c>
    </row>
    <row r="26" spans="2:3" x14ac:dyDescent="0.2">
      <c r="B26" s="40">
        <f>IF(EXACT(SEED!$F26, ""), "", SEED!$J26)</f>
        <v>286000000000023</v>
      </c>
      <c r="C26" s="4" t="str">
        <f>IF(EXACT($B26, ""), "", CONCATENATE(SUBSTITUTE(SEED!$F26, "-", ""), " (", SEED!$E26, IF(EXACT(SEED!$C26, ""), "", CONCATENATE(" ►", SEED!$C26)), ")"))</f>
        <v>+62 81376953133 (Mobile Phone ►Person - Muklis)</v>
      </c>
    </row>
    <row r="27" spans="2:3" x14ac:dyDescent="0.2">
      <c r="B27" s="40">
        <f>IF(EXACT(SEED!$F27, ""), "", SEED!$J27)</f>
        <v>286000000000024</v>
      </c>
      <c r="C27" s="4" t="str">
        <f>IF(EXACT($B27, ""), "", CONCATENATE(SUBSTITUTE(SEED!$F27, "-", ""), " (", SEED!$E27, IF(EXACT(SEED!$C27, ""), "", CONCATENATE(" ►", SEED!$C27)), ")"))</f>
        <v>+62 811644913 (Mobile Phone ►Person - Susilawati)</v>
      </c>
    </row>
    <row r="28" spans="2:3" x14ac:dyDescent="0.2">
      <c r="B28" s="40">
        <f>IF(EXACT(SEED!$F28, ""), "", SEED!$J28)</f>
        <v>286000000000025</v>
      </c>
      <c r="C28" s="4" t="str">
        <f>IF(EXACT($B28, ""), "", CONCATENATE(SUBSTITUTE(SEED!$F28, "-", ""), " (", SEED!$E28, IF(EXACT(SEED!$C28, ""), "", CONCATENATE(" ►", SEED!$C28)), ")"))</f>
        <v>+62 81319207116 (Mobile Phone ►Person - Herlin Juli Asri)</v>
      </c>
    </row>
    <row r="29" spans="2:3" x14ac:dyDescent="0.2">
      <c r="B29" s="40">
        <f>IF(EXACT(SEED!$F29, ""), "", SEED!$J29)</f>
        <v>286000000000026</v>
      </c>
      <c r="C29" s="4" t="str">
        <f>IF(EXACT($B29, ""), "", CONCATENATE(SUBSTITUTE(SEED!$F29, "-", ""), " (", SEED!$E29, IF(EXACT(SEED!$C29, ""), "", CONCATENATE(" ►", SEED!$C29)), ")"))</f>
        <v>+62 8119568886 (Mobile Phone)</v>
      </c>
    </row>
    <row r="30" spans="2:3" x14ac:dyDescent="0.2">
      <c r="B30" s="40">
        <f>IF(EXACT(SEED!$F30, ""), "", SEED!$J30)</f>
        <v>286000000000027</v>
      </c>
      <c r="C30" s="4" t="str">
        <f>IF(EXACT($B30, ""), "", CONCATENATE(SUBSTITUTE(SEED!$F30, "-", ""), " (", SEED!$E30, IF(EXACT(SEED!$C30, ""), "", CONCATENATE(" ►", SEED!$C30)), ")"))</f>
        <v>+62 81282230665 (Mobile Phone)</v>
      </c>
    </row>
    <row r="31" spans="2:3" x14ac:dyDescent="0.2">
      <c r="B31" s="40">
        <f>IF(EXACT(SEED!$F31, ""), "", SEED!$J31)</f>
        <v>286000000000028</v>
      </c>
      <c r="C31" s="4" t="str">
        <f>IF(EXACT($B31, ""), "", CONCATENATE(SUBSTITUTE(SEED!$F31, "-", ""), " (", SEED!$E31, IF(EXACT(SEED!$C31, ""), "", CONCATENATE(" ►", SEED!$C31)), ")"))</f>
        <v>+62 81287441774 (Mobile Phone ►Person - Muhammad Khadafy)</v>
      </c>
    </row>
    <row r="32" spans="2:3" x14ac:dyDescent="0.2">
      <c r="B32" s="40">
        <f>IF(EXACT(SEED!$F32, ""), "", SEED!$J32)</f>
        <v>286000000000029</v>
      </c>
      <c r="C32" s="4" t="str">
        <f>IF(EXACT($B32, ""), "", CONCATENATE(SUBSTITUTE(SEED!$F32, "-", ""), " (", SEED!$E32, IF(EXACT(SEED!$C32, ""), "", CONCATENATE(" ►", SEED!$C32)), ")"))</f>
        <v>+62 85770481711 (Mobile Phone)</v>
      </c>
    </row>
    <row r="33" spans="2:3" x14ac:dyDescent="0.2">
      <c r="B33" s="40">
        <f>IF(EXACT(SEED!$F33, ""), "", SEED!$J33)</f>
        <v>286000000000030</v>
      </c>
      <c r="C33" s="4" t="str">
        <f>IF(EXACT($B33, ""), "", CONCATENATE(SUBSTITUTE(SEED!$F33, "-", ""), " (", SEED!$E33, IF(EXACT(SEED!$C33, ""), "", CONCATENATE(" ►", SEED!$C33)), ")"))</f>
        <v>+62 81316906639 (Mobile Phone ►Person - Amir Sofyan Hadi)</v>
      </c>
    </row>
    <row r="34" spans="2:3" x14ac:dyDescent="0.2">
      <c r="B34" s="40">
        <f>IF(EXACT(SEED!$F34, ""), "", SEED!$J34)</f>
        <v>286000000000031</v>
      </c>
      <c r="C34" s="4" t="str">
        <f>IF(EXACT($B34, ""), "", CONCATENATE(SUBSTITUTE(SEED!$F34, "-", ""), " (", SEED!$E34, IF(EXACT(SEED!$C34, ""), "", CONCATENATE(" ►", SEED!$C34)), ")"))</f>
        <v>+62 85715199050 (Mobile Phone ►Person - Bani Mustazeni)</v>
      </c>
    </row>
    <row r="35" spans="2:3" x14ac:dyDescent="0.2">
      <c r="B35" s="40">
        <f>IF(EXACT(SEED!$F35, ""), "", SEED!$J35)</f>
        <v>286000000000032</v>
      </c>
      <c r="C35" s="4" t="str">
        <f>IF(EXACT($B35, ""), "", CONCATENATE(SUBSTITUTE(SEED!$F35, "-", ""), " (", SEED!$E35, IF(EXACT(SEED!$C35, ""), "", CONCATENATE(" ►", SEED!$C35)), ")"))</f>
        <v>+62 85945619900 (Mobile Phone)</v>
      </c>
    </row>
    <row r="36" spans="2:3" x14ac:dyDescent="0.2">
      <c r="B36" s="40">
        <f>IF(EXACT(SEED!$F36, ""), "", SEED!$J36)</f>
        <v>286000000000033</v>
      </c>
      <c r="C36" s="4" t="str">
        <f>IF(EXACT($B36, ""), "", CONCATENATE(SUBSTITUTE(SEED!$F36, "-", ""), " (", SEED!$E36, IF(EXACT(SEED!$C36, ""), "", CONCATENATE(" ►", SEED!$C36)), ")"))</f>
        <v>+62 81299020267 (Mobile Phone ►Person - Fani Dwi Astutik)</v>
      </c>
    </row>
    <row r="37" spans="2:3" x14ac:dyDescent="0.2">
      <c r="B37" s="40">
        <f>IF(EXACT(SEED!$F37, ""), "", SEED!$J37)</f>
        <v>286000000000034</v>
      </c>
      <c r="C37" s="4" t="str">
        <f>IF(EXACT($B37, ""), "", CONCATENATE(SUBSTITUTE(SEED!$F37, "-", ""), " (", SEED!$E37, IF(EXACT(SEED!$C37, ""), "", CONCATENATE(" ►", SEED!$C37)), ")"))</f>
        <v>+62 85641568410 (Mobile Phone)</v>
      </c>
    </row>
    <row r="38" spans="2:3" x14ac:dyDescent="0.2">
      <c r="B38" s="40">
        <f>IF(EXACT(SEED!$F38, ""), "", SEED!$J38)</f>
        <v>286000000000035</v>
      </c>
      <c r="C38" s="4" t="str">
        <f>IF(EXACT($B38, ""), "", CONCATENATE(SUBSTITUTE(SEED!$F38, "-", ""), " (", SEED!$E38, IF(EXACT(SEED!$C38, ""), "", CONCATENATE(" ►", SEED!$C38)), ")"))</f>
        <v>+62 81362919395 (Mobile Phone)</v>
      </c>
    </row>
    <row r="39" spans="2:3" x14ac:dyDescent="0.2">
      <c r="B39" s="40">
        <f>IF(EXACT(SEED!$F39, ""), "", SEED!$J39)</f>
        <v>286000000000036</v>
      </c>
      <c r="C39" s="4" t="str">
        <f>IF(EXACT($B39, ""), "", CONCATENATE(SUBSTITUTE(SEED!$F39, "-", ""), " (", SEED!$E39, IF(EXACT(SEED!$C39, ""), "", CONCATENATE(" ►", SEED!$C39)), ")"))</f>
        <v>+62 81361930878 (Mobile Phone ►Person - Martimbul Rahman)</v>
      </c>
    </row>
    <row r="40" spans="2:3" x14ac:dyDescent="0.2">
      <c r="B40" s="40">
        <f>IF(EXACT(SEED!$F40, ""), "", SEED!$J40)</f>
        <v>286000000000037</v>
      </c>
      <c r="C40" s="4" t="str">
        <f>IF(EXACT($B40, ""), "", CONCATENATE(SUBSTITUTE(SEED!$F40, "-", ""), " (", SEED!$E40, IF(EXACT(SEED!$C40, ""), "", CONCATENATE(" ►", SEED!$C40)), ")"))</f>
        <v>+62 81291025349 (Mobile Phone ►Person - Zaire Dite Biscaya)</v>
      </c>
    </row>
    <row r="41" spans="2:3" x14ac:dyDescent="0.2">
      <c r="B41" s="40">
        <f>IF(EXACT(SEED!$F41, ""), "", SEED!$J41)</f>
        <v>286000000000038</v>
      </c>
      <c r="C41" s="4" t="str">
        <f>IF(EXACT($B41, ""), "", CONCATENATE(SUBSTITUTE(SEED!$F41, "-", ""), " (", SEED!$E41, IF(EXACT(SEED!$C41, ""), "", CONCATENATE(" ►", SEED!$C41)), ")"))</f>
        <v>+62 81318187318 (Mobile Phone ►Person - Imam Basuki)</v>
      </c>
    </row>
    <row r="42" spans="2:3" x14ac:dyDescent="0.2">
      <c r="B42" s="40">
        <f>IF(EXACT(SEED!$F42, ""), "", SEED!$J42)</f>
        <v>286000000000039</v>
      </c>
      <c r="C42" s="4" t="str">
        <f>IF(EXACT($B42, ""), "", CONCATENATE(SUBSTITUTE(SEED!$F42, "-", ""), " (", SEED!$E42, IF(EXACT(SEED!$C42, ""), "", CONCATENATE(" ►", SEED!$C42)), ")"))</f>
        <v>+62 87784190978 (Mobile Phone ►Person - Wisnu Andra Isdianto)</v>
      </c>
    </row>
    <row r="43" spans="2:3" x14ac:dyDescent="0.2">
      <c r="B43" s="40">
        <f>IF(EXACT(SEED!$F43, ""), "", SEED!$J43)</f>
        <v>286000000000040</v>
      </c>
      <c r="C43" s="4" t="str">
        <f>IF(EXACT($B43, ""), "", CONCATENATE(SUBSTITUTE(SEED!$F43, "-", ""), " (", SEED!$E43, IF(EXACT(SEED!$C43, ""), "", CONCATENATE(" ►", SEED!$C43)), ")"))</f>
        <v>+62 85741188449 (Mobile Phone ►Person - Rafi Artman Siddiq)</v>
      </c>
    </row>
    <row r="44" spans="2:3" x14ac:dyDescent="0.2">
      <c r="B44" s="40">
        <f>IF(EXACT(SEED!$F44, ""), "", SEED!$J44)</f>
        <v>286000000000041</v>
      </c>
      <c r="C44" s="4" t="str">
        <f>IF(EXACT($B44, ""), "", CONCATENATE(SUBSTITUTE(SEED!$F44, "-", ""), " (", SEED!$E44, IF(EXACT(SEED!$C44, ""), "", CONCATENATE(" ►", SEED!$C44)), ")"))</f>
        <v>+62 81318460405 (Mobile Phone ►Person - Deny Adi Purnama)</v>
      </c>
    </row>
    <row r="45" spans="2:3" x14ac:dyDescent="0.2">
      <c r="B45" s="40">
        <f>IF(EXACT(SEED!$F45, ""), "", SEED!$J45)</f>
        <v>286000000000042</v>
      </c>
      <c r="C45" s="4" t="str">
        <f>IF(EXACT($B45, ""), "", CONCATENATE(SUBSTITUTE(SEED!$F45, "-", ""), " (", SEED!$E45, IF(EXACT(SEED!$C45, ""), "", CONCATENATE(" ►", SEED!$C45)), ")"))</f>
        <v>+62 81295866677 (Mobile Phone ►Person - Nopitasari)</v>
      </c>
    </row>
    <row r="46" spans="2:3" x14ac:dyDescent="0.2">
      <c r="B46" s="40">
        <f>IF(EXACT(SEED!$F46, ""), "", SEED!$J46)</f>
        <v>286000000000043</v>
      </c>
      <c r="C46" s="4" t="str">
        <f>IF(EXACT($B46, ""), "", CONCATENATE(SUBSTITUTE(SEED!$F46, "-", ""), " (", SEED!$E46, IF(EXACT(SEED!$C46, ""), "", CONCATENATE(" ►", SEED!$C46)), ")"))</f>
        <v>+62 82121444989 (Mobile Phone ►Person - Agus Budi Setiawan)</v>
      </c>
    </row>
    <row r="47" spans="2:3" x14ac:dyDescent="0.2">
      <c r="B47" s="40">
        <f>IF(EXACT(SEED!$F47, ""), "", SEED!$J47)</f>
        <v>286000000000044</v>
      </c>
      <c r="C47" s="4" t="str">
        <f>IF(EXACT($B47, ""), "", CONCATENATE(SUBSTITUTE(SEED!$F47, "-", ""), " (", SEED!$E47, IF(EXACT(SEED!$C47, ""), "", CONCATENATE(" ►", SEED!$C47)), ")"))</f>
        <v>+62 83806643866 (Mobile Phone ►Person - Wendy Septiyan)</v>
      </c>
    </row>
    <row r="48" spans="2:3" x14ac:dyDescent="0.2">
      <c r="B48" s="40">
        <f>IF(EXACT(SEED!$F48, ""), "", SEED!$J48)</f>
        <v>286000000000045</v>
      </c>
      <c r="C48" s="4" t="str">
        <f>IF(EXACT($B48, ""), "", CONCATENATE(SUBSTITUTE(SEED!$F48, "-", ""), " (", SEED!$E48, IF(EXACT(SEED!$C48, ""), "", CONCATENATE(" ►", SEED!$C48)), ")"))</f>
        <v>+62 85694387250 (Mobile Phone ►Person - R. Lar Kumalaning Tresno)</v>
      </c>
    </row>
    <row r="49" spans="2:3" x14ac:dyDescent="0.2">
      <c r="B49" s="40">
        <f>IF(EXACT(SEED!$F49, ""), "", SEED!$J49)</f>
        <v>286000000000046</v>
      </c>
      <c r="C49" s="4" t="str">
        <f>IF(EXACT($B49, ""), "", CONCATENATE(SUBSTITUTE(SEED!$F49, "-", ""), " (", SEED!$E49, IF(EXACT(SEED!$C49, ""), "", CONCATENATE(" ►", SEED!$C49)), ")"))</f>
        <v>+62 81384329270 (Mobile Phone ►Person - Hendri Kustian)</v>
      </c>
    </row>
    <row r="50" spans="2:3" x14ac:dyDescent="0.2">
      <c r="B50" s="40">
        <f>IF(EXACT(SEED!$F50, ""), "", SEED!$J50)</f>
        <v>286000000000047</v>
      </c>
      <c r="C50" s="4" t="str">
        <f>IF(EXACT($B50, ""), "", CONCATENATE(SUBSTITUTE(SEED!$F50, "-", ""), " (", SEED!$E50, IF(EXACT(SEED!$C50, ""), "", CONCATENATE(" ►", SEED!$C50)), ")"))</f>
        <v>+62 81299129011 (Mobile Phone ►Person - Sarif Hidayatul Umah)</v>
      </c>
    </row>
    <row r="51" spans="2:3" x14ac:dyDescent="0.2">
      <c r="B51" s="40">
        <f>IF(EXACT(SEED!$F51, ""), "", SEED!$J51)</f>
        <v>286000000000048</v>
      </c>
      <c r="C51" s="4" t="str">
        <f>IF(EXACT($B51, ""), "", CONCATENATE(SUBSTITUTE(SEED!$F51, "-", ""), " (", SEED!$E51, IF(EXACT(SEED!$C51, ""), "", CONCATENATE(" ►", SEED!$C51)), ")"))</f>
        <v>+62 82173087816 (Mobile Phone ►Person - Vingky Hendriek Yomerlin)</v>
      </c>
    </row>
    <row r="52" spans="2:3" x14ac:dyDescent="0.2">
      <c r="B52" s="40">
        <f>IF(EXACT(SEED!$F52, ""), "", SEED!$J52)</f>
        <v>286000000000049</v>
      </c>
      <c r="C52" s="4" t="str">
        <f>IF(EXACT($B52, ""), "", CONCATENATE(SUBSTITUTE(SEED!$F52, "-", ""), " (", SEED!$E52, IF(EXACT(SEED!$C52, ""), "", CONCATENATE(" ►", SEED!$C52)), ")"))</f>
        <v>+62 81318863471 (Mobile Phone ►Person - Masimin)</v>
      </c>
    </row>
    <row r="53" spans="2:3" x14ac:dyDescent="0.2">
      <c r="B53" s="40">
        <f>IF(EXACT(SEED!$F53, ""), "", SEED!$J53)</f>
        <v>286000000000050</v>
      </c>
      <c r="C53" s="4" t="str">
        <f>IF(EXACT($B53, ""), "", CONCATENATE(SUBSTITUTE(SEED!$F53, "-", ""), " (", SEED!$E53, IF(EXACT(SEED!$C53, ""), "", CONCATENATE(" ►", SEED!$C53)), ")"))</f>
        <v>+62 85773261575 (Mobile Phone ►Person - Adietya Dharmawan)</v>
      </c>
    </row>
    <row r="54" spans="2:3" x14ac:dyDescent="0.2">
      <c r="B54" s="40">
        <f>IF(EXACT(SEED!$F54, ""), "", SEED!$J54)</f>
        <v>286000000000051</v>
      </c>
      <c r="C54" s="4" t="str">
        <f>IF(EXACT($B54, ""), "", CONCATENATE(SUBSTITUTE(SEED!$F54, "-", ""), " (", SEED!$E54, IF(EXACT(SEED!$C54, ""), "", CONCATENATE(" ►", SEED!$C54)), ")"))</f>
        <v>+62 8129699123 (Mobile Phone ►Person - Sutarno)</v>
      </c>
    </row>
    <row r="55" spans="2:3" x14ac:dyDescent="0.2">
      <c r="B55" s="40">
        <f>IF(EXACT(SEED!$F55, ""), "", SEED!$J55)</f>
        <v>286000000000052</v>
      </c>
      <c r="C55" s="4" t="str">
        <f>IF(EXACT($B55, ""), "", CONCATENATE(SUBSTITUTE(SEED!$F55, "-", ""), " (", SEED!$E55, IF(EXACT(SEED!$C55, ""), "", CONCATENATE(" ►", SEED!$C55)), ")"))</f>
        <v>+62 895336896672 (Mobile Phone ►Person - Fuzi Mafrozi)</v>
      </c>
    </row>
    <row r="56" spans="2:3" x14ac:dyDescent="0.2">
      <c r="B56" s="40">
        <f>IF(EXACT(SEED!$F56, ""), "", SEED!$J56)</f>
        <v>286000000000053</v>
      </c>
      <c r="C56" s="4" t="str">
        <f>IF(EXACT($B56, ""), "", CONCATENATE(SUBSTITUTE(SEED!$F56, "-", ""), " (", SEED!$E56, IF(EXACT(SEED!$C56, ""), "", CONCATENATE(" ►", SEED!$C56)), ")"))</f>
        <v>+62 81221193402 (Mobile Phone ►Person - Sang Toga Sitompul)</v>
      </c>
    </row>
    <row r="57" spans="2:3" x14ac:dyDescent="0.2">
      <c r="B57" s="40">
        <f>IF(EXACT(SEED!$F57, ""), "", SEED!$J57)</f>
        <v>286000000000054</v>
      </c>
      <c r="C57" s="4" t="str">
        <f>IF(EXACT($B57, ""), "", CONCATENATE(SUBSTITUTE(SEED!$F57, "-", ""), " (", SEED!$E57, IF(EXACT(SEED!$C57, ""), "", CONCATENATE(" ►", SEED!$C57)), ")"))</f>
        <v>+62 87780389758 (Mobile Phone ►Person - Denny Achmad Ferlando)</v>
      </c>
    </row>
    <row r="58" spans="2:3" x14ac:dyDescent="0.2">
      <c r="B58" s="40">
        <f>IF(EXACT(SEED!$F58, ""), "", SEED!$J58)</f>
        <v>286000000000055</v>
      </c>
      <c r="C58" s="4" t="str">
        <f>IF(EXACT($B58, ""), "", CONCATENATE(SUBSTITUTE(SEED!$F58, "-", ""), " (", SEED!$E58, IF(EXACT(SEED!$C58, ""), "", CONCATENATE(" ►", SEED!$C58)), ")"))</f>
        <v>+62 82113991950 (Mobile Phone)</v>
      </c>
    </row>
    <row r="59" spans="2:3" x14ac:dyDescent="0.2">
      <c r="B59" s="40">
        <f>IF(EXACT(SEED!$F59, ""), "", SEED!$J59)</f>
        <v>286000000000056</v>
      </c>
      <c r="C59" s="4" t="str">
        <f>IF(EXACT($B59, ""), "", CONCATENATE(SUBSTITUTE(SEED!$F59, "-", ""), " (", SEED!$E59, IF(EXACT(SEED!$C59, ""), "", CONCATENATE(" ►", SEED!$C59)), ")"))</f>
        <v>+62 81386435585 (Mobile Phone ►Person - Panca Yudi Baskoro)</v>
      </c>
    </row>
    <row r="60" spans="2:3" x14ac:dyDescent="0.2">
      <c r="B60" s="40">
        <f>IF(EXACT(SEED!$F60, ""), "", SEED!$J60)</f>
        <v>286000000000057</v>
      </c>
      <c r="C60" s="4" t="str">
        <f>IF(EXACT($B60, ""), "", CONCATENATE(SUBSTITUTE(SEED!$F60, "-", ""), " (", SEED!$E60, IF(EXACT(SEED!$C60, ""), "", CONCATENATE(" ►", SEED!$C60)), ")"))</f>
        <v>+62 81386007788 (Mobile Phone ►Person - Wisnu Ardian)</v>
      </c>
    </row>
    <row r="61" spans="2:3" x14ac:dyDescent="0.2">
      <c r="B61" s="40">
        <f>IF(EXACT(SEED!$F61, ""), "", SEED!$J61)</f>
        <v>286000000000058</v>
      </c>
      <c r="C61" s="4" t="str">
        <f>IF(EXACT($B61, ""), "", CONCATENATE(SUBSTITUTE(SEED!$F61, "-", ""), " (", SEED!$E61, IF(EXACT(SEED!$C61, ""), "", CONCATENATE(" ►", SEED!$C61)), ")"))</f>
        <v>+62 81310167838 (Mobile Phone)</v>
      </c>
    </row>
    <row r="62" spans="2:3" x14ac:dyDescent="0.2">
      <c r="B62" s="40">
        <f>IF(EXACT(SEED!$F62, ""), "", SEED!$J62)</f>
        <v>286000000000059</v>
      </c>
      <c r="C62" s="4" t="str">
        <f>IF(EXACT($B62, ""), "", CONCATENATE(SUBSTITUTE(SEED!$F62, "-", ""), " (", SEED!$E62, IF(EXACT(SEED!$C62, ""), "", CONCATENATE(" ►", SEED!$C62)), ")"))</f>
        <v>+62 81224208139 (Mobile Phone ►Person - Rizal Amri)</v>
      </c>
    </row>
    <row r="63" spans="2:3" x14ac:dyDescent="0.2">
      <c r="B63" s="40">
        <f>IF(EXACT(SEED!$F63, ""), "", SEED!$J63)</f>
        <v>286000000000060</v>
      </c>
      <c r="C63" s="4" t="str">
        <f>IF(EXACT($B63, ""), "", CONCATENATE(SUBSTITUTE(SEED!$F63, "-", ""), " (", SEED!$E63, IF(EXACT(SEED!$C63, ""), "", CONCATENATE(" ►", SEED!$C63)), ")"))</f>
        <v>+62 81398557959 (Mobile Phone)</v>
      </c>
    </row>
    <row r="64" spans="2:3" x14ac:dyDescent="0.2">
      <c r="B64" s="40">
        <f>IF(EXACT(SEED!$F64, ""), "", SEED!$J64)</f>
        <v>286000000000061</v>
      </c>
      <c r="C64" s="4" t="str">
        <f>IF(EXACT($B64, ""), "", CONCATENATE(SUBSTITUTE(SEED!$F64, "-", ""), " (", SEED!$E64, IF(EXACT(SEED!$C64, ""), "", CONCATENATE(" ►", SEED!$C64)), ")"))</f>
        <v>+62 85371404163 (Mobile Phone ►Person - Frando Judi Siahaan)</v>
      </c>
    </row>
    <row r="65" spans="2:3" x14ac:dyDescent="0.2">
      <c r="B65" s="40">
        <f>IF(EXACT(SEED!$F65, ""), "", SEED!$J65)</f>
        <v>286000000000062</v>
      </c>
      <c r="C65" s="4" t="str">
        <f>IF(EXACT($B65, ""), "", CONCATENATE(SUBSTITUTE(SEED!$F65, "-", ""), " (", SEED!$E65, IF(EXACT(SEED!$C65, ""), "", CONCATENATE(" ►", SEED!$C65)), ")"))</f>
        <v>+62 81268074074 (Mobile Phone ►Person - Prayanti Dewi Anggraini)</v>
      </c>
    </row>
    <row r="66" spans="2:3" x14ac:dyDescent="0.2">
      <c r="B66" s="40">
        <f>IF(EXACT(SEED!$F66, ""), "", SEED!$J66)</f>
        <v>286000000000063</v>
      </c>
      <c r="C66" s="4" t="str">
        <f>IF(EXACT($B66, ""), "", CONCATENATE(SUBSTITUTE(SEED!$F66, "-", ""), " (", SEED!$E66, IF(EXACT(SEED!$C66, ""), "", CONCATENATE(" ►", SEED!$C66)), ")"))</f>
        <v>+62 85775987323 (Mobile Phone ►Person - Agus Salim)</v>
      </c>
    </row>
    <row r="67" spans="2:3" x14ac:dyDescent="0.2">
      <c r="B67" s="40">
        <f>IF(EXACT(SEED!$F67, ""), "", SEED!$J67)</f>
        <v>286000000000064</v>
      </c>
      <c r="C67" s="4" t="str">
        <f>IF(EXACT($B67, ""), "", CONCATENATE(SUBSTITUTE(SEED!$F67, "-", ""), " (", SEED!$E67, IF(EXACT(SEED!$C67, ""), "", CONCATENATE(" ►", SEED!$C67)), ")"))</f>
        <v>+62 82255385557 (Mobile Phone)</v>
      </c>
    </row>
    <row r="68" spans="2:3" x14ac:dyDescent="0.2">
      <c r="B68" s="40">
        <f>IF(EXACT(SEED!$F68, ""), "", SEED!$J68)</f>
        <v>286000000000065</v>
      </c>
      <c r="C68" s="4" t="str">
        <f>IF(EXACT($B68, ""), "", CONCATENATE(SUBSTITUTE(SEED!$F68, "-", ""), " (", SEED!$E68, IF(EXACT(SEED!$C68, ""), "", CONCATENATE(" ►", SEED!$C68)), ")"))</f>
        <v>+62 81299495209 (Mobile Phone ►Person - Annisa Dewi Arumsari)</v>
      </c>
    </row>
    <row r="69" spans="2:3" x14ac:dyDescent="0.2">
      <c r="B69" s="40">
        <f>IF(EXACT(SEED!$F69, ""), "", SEED!$J69)</f>
        <v>286000000000066</v>
      </c>
      <c r="C69" s="4" t="str">
        <f>IF(EXACT($B69, ""), "", CONCATENATE(SUBSTITUTE(SEED!$F69, "-", ""), " (", SEED!$E69, IF(EXACT(SEED!$C69, ""), "", CONCATENATE(" ►", SEED!$C69)), ")"))</f>
        <v>+62 81298494325 (Mobile Phone ►Person - Achmad Yunadi)</v>
      </c>
    </row>
    <row r="70" spans="2:3" x14ac:dyDescent="0.2">
      <c r="B70" s="40">
        <f>IF(EXACT(SEED!$F70, ""), "", SEED!$J70)</f>
        <v>286000000000067</v>
      </c>
      <c r="C70" s="4" t="str">
        <f>IF(EXACT($B70, ""), "", CONCATENATE(SUBSTITUTE(SEED!$F70, "-", ""), " (", SEED!$E70, IF(EXACT(SEED!$C70, ""), "", CONCATENATE(" ►", SEED!$C70)), ")"))</f>
        <v>+62 81289544005 (Mobile Phone ►Person - Wahyu Ramadhani)</v>
      </c>
    </row>
    <row r="71" spans="2:3" x14ac:dyDescent="0.2">
      <c r="B71" s="40">
        <f>IF(EXACT(SEED!$F71, ""), "", SEED!$J71)</f>
        <v>286000000000068</v>
      </c>
      <c r="C71" s="4" t="str">
        <f>IF(EXACT($B71, ""), "", CONCATENATE(SUBSTITUTE(SEED!$F71, "-", ""), " (", SEED!$E71, IF(EXACT(SEED!$C71, ""), "", CONCATENATE(" ►", SEED!$C71)), ")"))</f>
        <v>+62 82130295392 (Mobile Phone)</v>
      </c>
    </row>
    <row r="72" spans="2:3" x14ac:dyDescent="0.2">
      <c r="B72" s="40">
        <f>IF(EXACT(SEED!$F72, ""), "", SEED!$J72)</f>
        <v>286000000000069</v>
      </c>
      <c r="C72" s="4" t="str">
        <f>IF(EXACT($B72, ""), "", CONCATENATE(SUBSTITUTE(SEED!$F72, "-", ""), " (", SEED!$E72, IF(EXACT(SEED!$C72, ""), "", CONCATENATE(" ►", SEED!$C72)), ")"))</f>
        <v>+62 81332181409 (Mobile Phone)</v>
      </c>
    </row>
    <row r="73" spans="2:3" x14ac:dyDescent="0.2">
      <c r="B73" s="40">
        <f>IF(EXACT(SEED!$F73, ""), "", SEED!$J73)</f>
        <v>286000000000070</v>
      </c>
      <c r="C73" s="4" t="str">
        <f>IF(EXACT($B73, ""), "", CONCATENATE(SUBSTITUTE(SEED!$F73, "-", ""), " (", SEED!$E73, IF(EXACT(SEED!$C73, ""), "", CONCATENATE(" ►", SEED!$C73)), ")"))</f>
        <v>+62 81384255855 (Mobile Phone ►Person - Ahmad Syaifulloh)</v>
      </c>
    </row>
    <row r="74" spans="2:3" x14ac:dyDescent="0.2">
      <c r="B74" s="40">
        <f>IF(EXACT(SEED!$F74, ""), "", SEED!$J74)</f>
        <v>286000000000071</v>
      </c>
      <c r="C74" s="4" t="str">
        <f>IF(EXACT($B74, ""), "", CONCATENATE(SUBSTITUTE(SEED!$F74, "-", ""), " (", SEED!$E74, IF(EXACT(SEED!$C74, ""), "", CONCATENATE(" ►", SEED!$C74)), ")"))</f>
        <v>+62 821141000545 (Mobile Phone ►Person - Ferdian Kriswantoro)</v>
      </c>
    </row>
    <row r="75" spans="2:3" x14ac:dyDescent="0.2">
      <c r="B75" s="40">
        <f>IF(EXACT(SEED!$F75, ""), "", SEED!$J75)</f>
        <v>286000000000072</v>
      </c>
      <c r="C75" s="4" t="str">
        <f>IF(EXACT($B75, ""), "", CONCATENATE(SUBSTITUTE(SEED!$F75, "-", ""), " (", SEED!$E75, IF(EXACT(SEED!$C75, ""), "", CONCATENATE(" ►", SEED!$C75)), ")"))</f>
        <v>+62 85162751360 (Mobile Phone ►Person - Wulanraniasih)</v>
      </c>
    </row>
    <row r="76" spans="2:3" x14ac:dyDescent="0.2">
      <c r="B76" s="40">
        <f>IF(EXACT(SEED!$F76, ""), "", SEED!$J76)</f>
        <v>286000000000073</v>
      </c>
      <c r="C76" s="4" t="str">
        <f>IF(EXACT($B76, ""), "", CONCATENATE(SUBSTITUTE(SEED!$F76, "-", ""), " (", SEED!$E76, IF(EXACT(SEED!$C76, ""), "", CONCATENATE(" ►", SEED!$C76)), ")"))</f>
        <v>+62 8567500887 (Mobile Phone ►Person - Sufie Amalia)</v>
      </c>
    </row>
    <row r="77" spans="2:3" x14ac:dyDescent="0.2">
      <c r="B77" s="40">
        <f>IF(EXACT(SEED!$F77, ""), "", SEED!$J77)</f>
        <v>286000000000074</v>
      </c>
      <c r="C77" s="4" t="str">
        <f>IF(EXACT($B77, ""), "", CONCATENATE(SUBSTITUTE(SEED!$F77, "-", ""), " (", SEED!$E77, IF(EXACT(SEED!$C77, ""), "", CONCATENATE(" ►", SEED!$C77)), ")"))</f>
        <v>+62 85959822621 (Mobile Phone)</v>
      </c>
    </row>
    <row r="78" spans="2:3" x14ac:dyDescent="0.2">
      <c r="B78" s="40">
        <f>IF(EXACT(SEED!$F78, ""), "", SEED!$J78)</f>
        <v>286000000000075</v>
      </c>
      <c r="C78" s="4" t="str">
        <f>IF(EXACT($B78, ""), "", CONCATENATE(SUBSTITUTE(SEED!$F78, "-", ""), " (", SEED!$E78, IF(EXACT(SEED!$C78, ""), "", CONCATENATE(" ►", SEED!$C78)), ")"))</f>
        <v>+62 83112505824 (Mobile Phone ►Person - Aldi Mulyadi)</v>
      </c>
    </row>
    <row r="79" spans="2:3" x14ac:dyDescent="0.2">
      <c r="B79" s="40">
        <f>IF(EXACT(SEED!$F79, ""), "", SEED!$J79)</f>
        <v>286000000000076</v>
      </c>
      <c r="C79" s="4" t="str">
        <f>IF(EXACT($B79, ""), "", CONCATENATE(SUBSTITUTE(SEED!$F79, "-", ""), " (", SEED!$E79, IF(EXACT(SEED!$C79, ""), "", CONCATENATE(" ►", SEED!$C79)), ")"))</f>
        <v>+62 8980269288 (Mobile Phone)</v>
      </c>
    </row>
    <row r="80" spans="2:3" x14ac:dyDescent="0.2">
      <c r="B80" s="40">
        <f>IF(EXACT(SEED!$F80, ""), "", SEED!$J80)</f>
        <v>286000000000077</v>
      </c>
      <c r="C80" s="4" t="str">
        <f>IF(EXACT($B80, ""), "", CONCATENATE(SUBSTITUTE(SEED!$F80, "-", ""), " (", SEED!$E80, IF(EXACT(SEED!$C80, ""), "", CONCATENATE(" ►", SEED!$C80)), ")"))</f>
        <v>+62 81111939034 (Mobile Phone)</v>
      </c>
    </row>
    <row r="81" spans="2:3" x14ac:dyDescent="0.2">
      <c r="B81" s="40">
        <f>IF(EXACT(SEED!$F81, ""), "", SEED!$J81)</f>
        <v>286000000000078</v>
      </c>
      <c r="C81" s="4" t="str">
        <f>IF(EXACT($B81, ""), "", CONCATENATE(SUBSTITUTE(SEED!$F81, "-", ""), " (", SEED!$E81, IF(EXACT(SEED!$C81, ""), "", CONCATENATE(" ►", SEED!$C81)), ")"))</f>
        <v>+62 87748329110 (Mobile Phone ►Person - Muhammad Ramadani)</v>
      </c>
    </row>
    <row r="82" spans="2:3" x14ac:dyDescent="0.2">
      <c r="B82" s="40">
        <f>IF(EXACT(SEED!$F82, ""), "", SEED!$J82)</f>
        <v>286000000000079</v>
      </c>
      <c r="C82" s="4" t="str">
        <f>IF(EXACT($B82, ""), "", CONCATENATE(SUBSTITUTE(SEED!$F82, "-", ""), " (", SEED!$E82, IF(EXACT(SEED!$C82, ""), "", CONCATENATE(" ►", SEED!$C82)), ")"))</f>
        <v>+62 81280840848 (Mobile Phone ►Person - Zeinurani)</v>
      </c>
    </row>
    <row r="83" spans="2:3" x14ac:dyDescent="0.2">
      <c r="B83" s="40">
        <f>IF(EXACT(SEED!$F83, ""), "", SEED!$J83)</f>
        <v>286000000000080</v>
      </c>
      <c r="C83" s="4" t="str">
        <f>IF(EXACT($B83, ""), "", CONCATENATE(SUBSTITUTE(SEED!$F83, "-", ""), " (", SEED!$E83, IF(EXACT(SEED!$C83, ""), "", CONCATENATE(" ►", SEED!$C83)), ")"))</f>
        <v>+62 82335461142 (Mobile Phone)</v>
      </c>
    </row>
    <row r="84" spans="2:3" x14ac:dyDescent="0.2">
      <c r="B84" s="40">
        <f>IF(EXACT(SEED!$F84, ""), "", SEED!$J84)</f>
        <v>286000000000081</v>
      </c>
      <c r="C84" s="4" t="str">
        <f>IF(EXACT($B84, ""), "", CONCATENATE(SUBSTITUTE(SEED!$F84, "-", ""), " (", SEED!$E84, IF(EXACT(SEED!$C84, ""), "", CONCATENATE(" ►", SEED!$C84)), ")"))</f>
        <v>+62 85743825555 (Mobile Phone ►Person - Anugerah Januariansyah)</v>
      </c>
    </row>
    <row r="85" spans="2:3" x14ac:dyDescent="0.2">
      <c r="B85" s="40">
        <f>IF(EXACT(SEED!$F85, ""), "", SEED!$J85)</f>
        <v>286000000000082</v>
      </c>
      <c r="C85" s="4" t="str">
        <f>IF(EXACT($B85, ""), "", CONCATENATE(SUBSTITUTE(SEED!$F85, "-", ""), " (", SEED!$E85, IF(EXACT(SEED!$C85, ""), "", CONCATENATE(" ►", SEED!$C85)), ")"))</f>
        <v>+62 8121015216 (Mobile Phone ►Person - Kiki Prasetyo)</v>
      </c>
    </row>
    <row r="86" spans="2:3" x14ac:dyDescent="0.2">
      <c r="B86" s="40">
        <f>IF(EXACT(SEED!$F86, ""), "", SEED!$J86)</f>
        <v>286000000000083</v>
      </c>
      <c r="C86" s="4" t="str">
        <f>IF(EXACT($B86, ""), "", CONCATENATE(SUBSTITUTE(SEED!$F86, "-", ""), " (", SEED!$E86, IF(EXACT(SEED!$C86, ""), "", CONCATENATE(" ►", SEED!$C86)), ")"))</f>
        <v>+62 81375440999 (Mobile Phone ►Person - Pantas Banjarnahor Marbun)</v>
      </c>
    </row>
    <row r="87" spans="2:3" x14ac:dyDescent="0.2">
      <c r="B87" s="40">
        <f>IF(EXACT(SEED!$F87, ""), "", SEED!$J87)</f>
        <v>286000000000084</v>
      </c>
      <c r="C87" s="4" t="str">
        <f>IF(EXACT($B87, ""), "", CONCATENATE(SUBSTITUTE(SEED!$F87, "-", ""), " (", SEED!$E87, IF(EXACT(SEED!$C87, ""), "", CONCATENATE(" ►", SEED!$C87)), ")"))</f>
        <v>+62 81213205160 (Mobile Phone ►Person - Firmansyah Awaludin)</v>
      </c>
    </row>
    <row r="88" spans="2:3" x14ac:dyDescent="0.2">
      <c r="B88" s="40">
        <f>IF(EXACT(SEED!$F88, ""), "", SEED!$J88)</f>
        <v>286000000000085</v>
      </c>
      <c r="C88" s="4" t="str">
        <f>IF(EXACT($B88, ""), "", CONCATENATE(SUBSTITUTE(SEED!$F88, "-", ""), " (", SEED!$E88, IF(EXACT(SEED!$C88, ""), "", CONCATENATE(" ►", SEED!$C88)), ")"))</f>
        <v>+62 81368061116 (Mobile Phone ►Person - Muhammad Irfan Alfikri Rayana)</v>
      </c>
    </row>
    <row r="89" spans="2:3" x14ac:dyDescent="0.2">
      <c r="B89" s="40">
        <f>IF(EXACT(SEED!$F89, ""), "", SEED!$J89)</f>
        <v>286000000000086</v>
      </c>
      <c r="C89" s="4" t="str">
        <f>IF(EXACT($B89, ""), "", CONCATENATE(SUBSTITUTE(SEED!$F89, "-", ""), " (", SEED!$E89, IF(EXACT(SEED!$C89, ""), "", CONCATENATE(" ►", SEED!$C89)), ")"))</f>
        <v>+62 83823296661 (Mobile Phone ►Person - Suyanto)</v>
      </c>
    </row>
    <row r="90" spans="2:3" x14ac:dyDescent="0.2">
      <c r="B90" s="40">
        <f>IF(EXACT(SEED!$F90, ""), "", SEED!$J90)</f>
        <v>286000000000087</v>
      </c>
      <c r="C90" s="4" t="str">
        <f>IF(EXACT($B90, ""), "", CONCATENATE(SUBSTITUTE(SEED!$F90, "-", ""), " (", SEED!$E90, IF(EXACT(SEED!$C90, ""), "", CONCATENATE(" ►", SEED!$C90)), ")"))</f>
        <v>+62 8174941066 (Mobile Phone)</v>
      </c>
    </row>
    <row r="91" spans="2:3" x14ac:dyDescent="0.2">
      <c r="B91" s="40">
        <f>IF(EXACT(SEED!$F91, ""), "", SEED!$J91)</f>
        <v>286000000000088</v>
      </c>
      <c r="C91" s="4" t="str">
        <f>IF(EXACT($B91, ""), "", CONCATENATE(SUBSTITUTE(SEED!$F91, "-", ""), " (", SEED!$E91, IF(EXACT(SEED!$C91, ""), "", CONCATENATE(" ►", SEED!$C91)), ")"))</f>
        <v>+62 81514200068 (Mobile Phone ►Person - Kiki Mustikawati)</v>
      </c>
    </row>
    <row r="92" spans="2:3" x14ac:dyDescent="0.2">
      <c r="B92" s="40">
        <f>IF(EXACT(SEED!$F92, ""), "", SEED!$J92)</f>
        <v>286000000000089</v>
      </c>
      <c r="C92" s="4" t="str">
        <f>IF(EXACT($B92, ""), "", CONCATENATE(SUBSTITUTE(SEED!$F92, "-", ""), " (", SEED!$E92, IF(EXACT(SEED!$C92, ""), "", CONCATENATE(" ►", SEED!$C92)), ")"))</f>
        <v>+62 89694700522 (Mobile Phone ►Person - Joko Wiyono)</v>
      </c>
    </row>
    <row r="93" spans="2:3" x14ac:dyDescent="0.2">
      <c r="B93" s="40">
        <f>IF(EXACT(SEED!$F93, ""), "", SEED!$J93)</f>
        <v>286000000000090</v>
      </c>
      <c r="C93" s="4" t="str">
        <f>IF(EXACT($B93, ""), "", CONCATENATE(SUBSTITUTE(SEED!$F93, "-", ""), " (", SEED!$E93, IF(EXACT(SEED!$C93, ""), "", CONCATENATE(" ►", SEED!$C93)), ")"))</f>
        <v>+62 85777884428 (Mobile Phone ►Person - Mochamad Samman)</v>
      </c>
    </row>
    <row r="94" spans="2:3" x14ac:dyDescent="0.2">
      <c r="B94" s="40">
        <f>IF(EXACT(SEED!$F94, ""), "", SEED!$J94)</f>
        <v>286000000000091</v>
      </c>
      <c r="C94" s="4" t="str">
        <f>IF(EXACT($B94, ""), "", CONCATENATE(SUBSTITUTE(SEED!$F94, "-", ""), " (", SEED!$E94, IF(EXACT(SEED!$C94, ""), "", CONCATENATE(" ►", SEED!$C94)), ")"))</f>
        <v>+62 81213612811 (Mobile Phone ►Person - Abdul Karim)</v>
      </c>
    </row>
    <row r="95" spans="2:3" x14ac:dyDescent="0.2">
      <c r="B95" s="40">
        <f>IF(EXACT(SEED!$F95, ""), "", SEED!$J95)</f>
        <v>286000000000092</v>
      </c>
      <c r="C95" s="4" t="str">
        <f>IF(EXACT($B95, ""), "", CONCATENATE(SUBSTITUTE(SEED!$F95, "-", ""), " (", SEED!$E95, IF(EXACT(SEED!$C95, ""), "", CONCATENATE(" ►", SEED!$C95)), ")"))</f>
        <v>+62 89510780429 (Mobile Phone ►Person - Rangga Darmawan)</v>
      </c>
    </row>
    <row r="96" spans="2:3" x14ac:dyDescent="0.2">
      <c r="B96" s="40">
        <f>IF(EXACT(SEED!$F96, ""), "", SEED!$J96)</f>
        <v>286000000000093</v>
      </c>
      <c r="C96" s="4" t="str">
        <f>IF(EXACT($B96, ""), "", CONCATENATE(SUBSTITUTE(SEED!$F96, "-", ""), " (", SEED!$E96, IF(EXACT(SEED!$C96, ""), "", CONCATENATE(" ►", SEED!$C96)), ")"))</f>
        <v>+62 81317131650 (Mobile Phone)</v>
      </c>
    </row>
    <row r="97" spans="2:3" x14ac:dyDescent="0.2">
      <c r="B97" s="40">
        <f>IF(EXACT(SEED!$F97, ""), "", SEED!$J97)</f>
        <v>286000000000094</v>
      </c>
      <c r="C97" s="4" t="str">
        <f>IF(EXACT($B97, ""), "", CONCATENATE(SUBSTITUTE(SEED!$F97, "-", ""), " (", SEED!$E97, IF(EXACT(SEED!$C97, ""), "", CONCATENATE(" ►", SEED!$C97)), ")"))</f>
        <v>+62 81361913004 (Mobile Phone)</v>
      </c>
    </row>
    <row r="98" spans="2:3" x14ac:dyDescent="0.2">
      <c r="B98" s="40">
        <f>IF(EXACT(SEED!$F98, ""), "", SEED!$J98)</f>
        <v>286000000000095</v>
      </c>
      <c r="C98" s="4" t="str">
        <f>IF(EXACT($B98, ""), "", CONCATENATE(SUBSTITUTE(SEED!$F98, "-", ""), " (", SEED!$E98, IF(EXACT(SEED!$C98, ""), "", CONCATENATE(" ►", SEED!$C98)), ")"))</f>
        <v>+62 81319426812 (Mobile Phone)</v>
      </c>
    </row>
    <row r="99" spans="2:3" x14ac:dyDescent="0.2">
      <c r="B99" s="40">
        <f>IF(EXACT(SEED!$F99, ""), "", SEED!$J99)</f>
        <v>286000000000096</v>
      </c>
      <c r="C99" s="4" t="str">
        <f>IF(EXACT($B99, ""), "", CONCATENATE(SUBSTITUTE(SEED!$F99, "-", ""), " (", SEED!$E99, IF(EXACT(SEED!$C99, ""), "", CONCATENATE(" ►", SEED!$C99)), ")"))</f>
        <v>+62 82162213821 (Mobile Phone ►Person - Mhd Syahputra)</v>
      </c>
    </row>
    <row r="100" spans="2:3" x14ac:dyDescent="0.2">
      <c r="B100" s="40">
        <f>IF(EXACT(SEED!$F100, ""), "", SEED!$J100)</f>
        <v>286000000000097</v>
      </c>
      <c r="C100" s="4" t="str">
        <f>IF(EXACT($B100, ""), "", CONCATENATE(SUBSTITUTE(SEED!$F100, "-", ""), " (", SEED!$E100, IF(EXACT(SEED!$C100, ""), "", CONCATENATE(" ►", SEED!$C100)), ")"))</f>
        <v>+62 82369428777 (Mobile Phone ►Person - Harlen Amudi Purba)</v>
      </c>
    </row>
    <row r="101" spans="2:3" x14ac:dyDescent="0.2">
      <c r="B101" s="40">
        <f>IF(EXACT(SEED!$F101, ""), "", SEED!$J101)</f>
        <v>286000000000098</v>
      </c>
      <c r="C101" s="4" t="str">
        <f>IF(EXACT($B101, ""), "", CONCATENATE(SUBSTITUTE(SEED!$F101, "-", ""), " (", SEED!$E101, IF(EXACT(SEED!$C101, ""), "", CONCATENATE(" ►", SEED!$C101)), ")"))</f>
        <v>+62 85609334286 (Mobile Phone)</v>
      </c>
    </row>
    <row r="102" spans="2:3" x14ac:dyDescent="0.2">
      <c r="B102" s="40">
        <f>IF(EXACT(SEED!$F102, ""), "", SEED!$J102)</f>
        <v>286000000000099</v>
      </c>
      <c r="C102" s="4" t="str">
        <f>IF(EXACT($B102, ""), "", CONCATENATE(SUBSTITUTE(SEED!$F102, "-", ""), " (", SEED!$E102, IF(EXACT(SEED!$C102, ""), "", CONCATENATE(" ►", SEED!$C102)), ")"))</f>
        <v>+62 87881674480 (Mobile Phone ►Person - Eka Purwanti)</v>
      </c>
    </row>
    <row r="103" spans="2:3" x14ac:dyDescent="0.2">
      <c r="B103" s="40">
        <f>IF(EXACT(SEED!$F103, ""), "", SEED!$J103)</f>
        <v>286000000000100</v>
      </c>
      <c r="C103" s="4" t="str">
        <f>IF(EXACT($B103, ""), "", CONCATENATE(SUBSTITUTE(SEED!$F103, "-", ""), " (", SEED!$E103, IF(EXACT(SEED!$C103, ""), "", CONCATENATE(" ►", SEED!$C103)), ")"))</f>
        <v>+62 811133616 (Mobile Phone ►Person - Krisnawan)</v>
      </c>
    </row>
    <row r="104" spans="2:3" x14ac:dyDescent="0.2">
      <c r="B104" s="40">
        <f>IF(EXACT(SEED!$F104, ""), "", SEED!$J104)</f>
        <v>286000000000101</v>
      </c>
      <c r="C104" s="4" t="str">
        <f>IF(EXACT($B104, ""), "", CONCATENATE(SUBSTITUTE(SEED!$F104, "-", ""), " (", SEED!$E104, IF(EXACT(SEED!$C104, ""), "", CONCATENATE(" ►", SEED!$C104)), ")"))</f>
        <v>+62 89502107482 (Mobile Phone ►Person - Febryan Mahsyar)</v>
      </c>
    </row>
    <row r="105" spans="2:3" x14ac:dyDescent="0.2">
      <c r="B105" s="40">
        <f>IF(EXACT(SEED!$F105, ""), "", SEED!$J105)</f>
        <v>286000000000102</v>
      </c>
      <c r="C105" s="4" t="str">
        <f>IF(EXACT($B105, ""), "", CONCATENATE(SUBSTITUTE(SEED!$F105, "-", ""), " (", SEED!$E105, IF(EXACT(SEED!$C105, ""), "", CONCATENATE(" ►", SEED!$C105)), ")"))</f>
        <v>+62 81384264004 (Mobile Phone ►Person - Khamim Taryono)</v>
      </c>
    </row>
    <row r="106" spans="2:3" x14ac:dyDescent="0.2">
      <c r="B106" s="40">
        <f>IF(EXACT(SEED!$F106, ""), "", SEED!$J106)</f>
        <v>286000000000103</v>
      </c>
      <c r="C106" s="4" t="str">
        <f>IF(EXACT($B106, ""), "", CONCATENATE(SUBSTITUTE(SEED!$F106, "-", ""), " (", SEED!$E106, IF(EXACT(SEED!$C106, ""), "", CONCATENATE(" ►", SEED!$C106)), ")"))</f>
        <v>+62 8567861993 (Mobile Phone ►Person - Desi Herawati)</v>
      </c>
    </row>
    <row r="107" spans="2:3" x14ac:dyDescent="0.2">
      <c r="B107" s="40">
        <f>IF(EXACT(SEED!$F107, ""), "", SEED!$J107)</f>
        <v>286000000000104</v>
      </c>
      <c r="C107" s="4" t="str">
        <f>IF(EXACT($B107, ""), "", CONCATENATE(SUBSTITUTE(SEED!$F107, "-", ""), " (", SEED!$E107, IF(EXACT(SEED!$C107, ""), "", CONCATENATE(" ►", SEED!$C107)), ")"))</f>
        <v>+62 81310951811 (Mobile Phone ►Person - Aldi Rizaldi)</v>
      </c>
    </row>
    <row r="108" spans="2:3" x14ac:dyDescent="0.2">
      <c r="B108" s="40">
        <f>IF(EXACT(SEED!$F108, ""), "", SEED!$J108)</f>
        <v>286000000000105</v>
      </c>
      <c r="C108" s="4" t="str">
        <f>IF(EXACT($B108, ""), "", CONCATENATE(SUBSTITUTE(SEED!$F108, "-", ""), " (", SEED!$E108, IF(EXACT(SEED!$C108, ""), "", CONCATENATE(" ►", SEED!$C108)), ")"))</f>
        <v>+62 81573005652 (Mobile Phone)</v>
      </c>
    </row>
    <row r="109" spans="2:3" x14ac:dyDescent="0.2">
      <c r="B109" s="40">
        <f>IF(EXACT(SEED!$F109, ""), "", SEED!$J109)</f>
        <v>286000000000106</v>
      </c>
      <c r="C109" s="4" t="str">
        <f>IF(EXACT($B109, ""), "", CONCATENATE(SUBSTITUTE(SEED!$F109, "-", ""), " (", SEED!$E109, IF(EXACT(SEED!$C109, ""), "", CONCATENATE(" ►", SEED!$C109)), ")"))</f>
        <v>+62 81280987170 (Mobile Phone ►Person - Abdul Risan)</v>
      </c>
    </row>
    <row r="110" spans="2:3" x14ac:dyDescent="0.2">
      <c r="B110" s="40">
        <f>IF(EXACT(SEED!$F110, ""), "", SEED!$J110)</f>
        <v>286000000000107</v>
      </c>
      <c r="C110" s="4" t="str">
        <f>IF(EXACT($B110, ""), "", CONCATENATE(SUBSTITUTE(SEED!$F110, "-", ""), " (", SEED!$E110, IF(EXACT(SEED!$C110, ""), "", CONCATENATE(" ►", SEED!$C110)), ")"))</f>
        <v>+62 81396237010 (Mobile Phone ►Person - Rommel Hutapea)</v>
      </c>
    </row>
    <row r="111" spans="2:3" x14ac:dyDescent="0.2">
      <c r="B111" s="40">
        <f>IF(EXACT(SEED!$F111, ""), "", SEED!$J111)</f>
        <v>286000000000108</v>
      </c>
      <c r="C111" s="4" t="str">
        <f>IF(EXACT($B111, ""), "", CONCATENATE(SUBSTITUTE(SEED!$F111, "-", ""), " (", SEED!$E111, IF(EXACT(SEED!$C111, ""), "", CONCATENATE(" ►", SEED!$C111)), ")"))</f>
        <v>+62 85359983177 (Mobile Phone ►Person - Edy Syahputra Situmeang)</v>
      </c>
    </row>
    <row r="112" spans="2:3" x14ac:dyDescent="0.2">
      <c r="B112" s="40">
        <f>IF(EXACT(SEED!$F112, ""), "", SEED!$J112)</f>
        <v>286000000000109</v>
      </c>
      <c r="C112" s="4" t="str">
        <f>IF(EXACT($B112, ""), "", CONCATENATE(SUBSTITUTE(SEED!$F112, "-", ""), " (", SEED!$E112, IF(EXACT(SEED!$C112, ""), "", CONCATENATE(" ►", SEED!$C112)), ")"))</f>
        <v>+62 81397223311 (Mobile Phone)</v>
      </c>
    </row>
    <row r="113" spans="2:3" x14ac:dyDescent="0.2">
      <c r="B113" s="40">
        <f>IF(EXACT(SEED!$F113, ""), "", SEED!$J113)</f>
        <v>286000000000110</v>
      </c>
      <c r="C113" s="4" t="str">
        <f>IF(EXACT($B113, ""), "", CONCATENATE(SUBSTITUTE(SEED!$F113, "-", ""), " (", SEED!$E113, IF(EXACT(SEED!$C113, ""), "", CONCATENATE(" ►", SEED!$C113)), ")"))</f>
        <v>+62 85261293614 (Mobile Phone)</v>
      </c>
    </row>
    <row r="114" spans="2:3" x14ac:dyDescent="0.2">
      <c r="B114" s="40">
        <f>IF(EXACT(SEED!$F114, ""), "", SEED!$J114)</f>
        <v>286000000000111</v>
      </c>
      <c r="C114" s="4" t="str">
        <f>IF(EXACT($B114, ""), "", CONCATENATE(SUBSTITUTE(SEED!$F114, "-", ""), " (", SEED!$E114, IF(EXACT(SEED!$C114, ""), "", CONCATENATE(" ►", SEED!$C114)), ")"))</f>
        <v>+62 82114811419 (Mobile Phone)</v>
      </c>
    </row>
    <row r="115" spans="2:3" x14ac:dyDescent="0.2">
      <c r="B115" s="40">
        <f>IF(EXACT(SEED!$F115, ""), "", SEED!$J115)</f>
        <v>286000000000112</v>
      </c>
      <c r="C115" s="4" t="str">
        <f>IF(EXACT($B115, ""), "", CONCATENATE(SUBSTITUTE(SEED!$F115, "-", ""), " (", SEED!$E115, IF(EXACT(SEED!$C115, ""), "", CONCATENATE(" ►", SEED!$C115)), ")"))</f>
        <v>+62 81213873885 (Mobile Phone)</v>
      </c>
    </row>
    <row r="116" spans="2:3" x14ac:dyDescent="0.2">
      <c r="B116" s="40">
        <f>IF(EXACT(SEED!$F116, ""), "", SEED!$J116)</f>
        <v>286000000000113</v>
      </c>
      <c r="C116" s="4" t="str">
        <f>IF(EXACT($B116, ""), "", CONCATENATE(SUBSTITUTE(SEED!$F116, "-", ""), " (", SEED!$E116, IF(EXACT(SEED!$C116, ""), "", CONCATENATE(" ►", SEED!$C116)), ")"))</f>
        <v>+62 81285881212 (Mobile Phone ►Person - Dwi Joko Setio Tjaroko)</v>
      </c>
    </row>
    <row r="117" spans="2:3" x14ac:dyDescent="0.2">
      <c r="B117" s="40">
        <f>IF(EXACT(SEED!$F117, ""), "", SEED!$J117)</f>
        <v>286000000000114</v>
      </c>
      <c r="C117" s="4" t="str">
        <f>IF(EXACT($B117, ""), "", CONCATENATE(SUBSTITUTE(SEED!$F117, "-", ""), " (", SEED!$E117, IF(EXACT(SEED!$C117, ""), "", CONCATENATE(" ►", SEED!$C117)), ")"))</f>
        <v>+62 89632128775 (Mobile Phone ►Person - Irvan Agus Dharma Eka Putra)</v>
      </c>
    </row>
    <row r="118" spans="2:3" x14ac:dyDescent="0.2">
      <c r="B118" s="40">
        <f>IF(EXACT(SEED!$F118, ""), "", SEED!$J118)</f>
        <v>286000000000115</v>
      </c>
      <c r="C118" s="4" t="str">
        <f>IF(EXACT($B118, ""), "", CONCATENATE(SUBSTITUTE(SEED!$F118, "-", ""), " (", SEED!$E118, IF(EXACT(SEED!$C118, ""), "", CONCATENATE(" ►", SEED!$C118)), ")"))</f>
        <v>+62 81338200412 (Mobile Phone ►Person - Taufik Aminudin)</v>
      </c>
    </row>
    <row r="119" spans="2:3" x14ac:dyDescent="0.2">
      <c r="B119" s="40">
        <f>IF(EXACT(SEED!$F119, ""), "", SEED!$J119)</f>
        <v>286000000000116</v>
      </c>
      <c r="C119" s="4" t="str">
        <f>IF(EXACT($B119, ""), "", CONCATENATE(SUBSTITUTE(SEED!$F119, "-", ""), " (", SEED!$E119, IF(EXACT(SEED!$C119, ""), "", CONCATENATE(" ►", SEED!$C119)), ")"))</f>
        <v>+62 82219158804 (Mobile Phone)</v>
      </c>
    </row>
    <row r="120" spans="2:3" x14ac:dyDescent="0.2">
      <c r="B120" s="40">
        <f>IF(EXACT(SEED!$F120, ""), "", SEED!$J120)</f>
        <v>286000000000117</v>
      </c>
      <c r="C120" s="4" t="str">
        <f>IF(EXACT($B120, ""), "", CONCATENATE(SUBSTITUTE(SEED!$F120, "-", ""), " (", SEED!$E120, IF(EXACT(SEED!$C120, ""), "", CONCATENATE(" ►", SEED!$C120)), ")"))</f>
        <v>+62 82299814132 (Mobile Phone ►Person - Faiz Horifal)</v>
      </c>
    </row>
    <row r="121" spans="2:3" x14ac:dyDescent="0.2">
      <c r="B121" s="40">
        <f>IF(EXACT(SEED!$F121, ""), "", SEED!$J121)</f>
        <v>286000000000118</v>
      </c>
      <c r="C121" s="4" t="str">
        <f>IF(EXACT($B121, ""), "", CONCATENATE(SUBSTITUTE(SEED!$F121, "-", ""), " (", SEED!$E121, IF(EXACT(SEED!$C121, ""), "", CONCATENATE(" ►", SEED!$C121)), ")"))</f>
        <v>+62 85881675581 (Mobile Phone)</v>
      </c>
    </row>
    <row r="122" spans="2:3" x14ac:dyDescent="0.2">
      <c r="B122" s="40">
        <f>IF(EXACT(SEED!$F122, ""), "", SEED!$J122)</f>
        <v>286000000000119</v>
      </c>
      <c r="C122" s="4" t="str">
        <f>IF(EXACT($B122, ""), "", CONCATENATE(SUBSTITUTE(SEED!$F122, "-", ""), " (", SEED!$E122, IF(EXACT(SEED!$C122, ""), "", CONCATENATE(" ►", SEED!$C122)), ")"))</f>
        <v>+62 81225285555 (Mobile Phone ►Person - Idian)</v>
      </c>
    </row>
    <row r="123" spans="2:3" x14ac:dyDescent="0.2">
      <c r="B123" s="40">
        <f>IF(EXACT(SEED!$F123, ""), "", SEED!$J123)</f>
        <v>286000000000120</v>
      </c>
      <c r="C123" s="4" t="str">
        <f>IF(EXACT($B123, ""), "", CONCATENATE(SUBSTITUTE(SEED!$F123, "-", ""), " (", SEED!$E123, IF(EXACT(SEED!$C123, ""), "", CONCATENATE(" ►", SEED!$C123)), ")"))</f>
        <v>+62 81389851877 (Mobile Phone ►Person - Andi Mapasoro)</v>
      </c>
    </row>
    <row r="124" spans="2:3" x14ac:dyDescent="0.2">
      <c r="B124" s="40">
        <f>IF(EXACT(SEED!$F124, ""), "", SEED!$J124)</f>
        <v>286000000000121</v>
      </c>
      <c r="C124" s="4" t="str">
        <f>IF(EXACT($B124, ""), "", CONCATENATE(SUBSTITUTE(SEED!$F124, "-", ""), " (", SEED!$E124, IF(EXACT(SEED!$C124, ""), "", CONCATENATE(" ►", SEED!$C124)), ")"))</f>
        <v>+62 87788980659 (Mobile Phone ►Person - Ahmad Sandi Asyuri)</v>
      </c>
    </row>
    <row r="125" spans="2:3" x14ac:dyDescent="0.2">
      <c r="B125" s="40">
        <f>IF(EXACT(SEED!$F125, ""), "", SEED!$J125)</f>
        <v>286000000000122</v>
      </c>
      <c r="C125" s="4" t="str">
        <f>IF(EXACT($B125, ""), "", CONCATENATE(SUBSTITUTE(SEED!$F125, "-", ""), " (", SEED!$E125, IF(EXACT(SEED!$C125, ""), "", CONCATENATE(" ►", SEED!$C125)), ")"))</f>
        <v>+62 81317897764 (Mobile Phone ►Person - Agnes Sutedja)</v>
      </c>
    </row>
    <row r="126" spans="2:3" x14ac:dyDescent="0.2">
      <c r="B126" s="40">
        <f>IF(EXACT(SEED!$F126, ""), "", SEED!$J126)</f>
        <v>286000000000123</v>
      </c>
      <c r="C126" s="4" t="str">
        <f>IF(EXACT($B126, ""), "", CONCATENATE(SUBSTITUTE(SEED!$F126, "-", ""), " (", SEED!$E126, IF(EXACT(SEED!$C126, ""), "", CONCATENATE(" ►", SEED!$C126)), ")"))</f>
        <v>+62 85782786571 (Mobile Phone ►Person - Ahmad Choerul)</v>
      </c>
    </row>
    <row r="127" spans="2:3" x14ac:dyDescent="0.2">
      <c r="B127" s="40">
        <f>IF(EXACT(SEED!$F127, ""), "", SEED!$J127)</f>
        <v>286000000000124</v>
      </c>
      <c r="C127" s="4" t="str">
        <f>IF(EXACT($B127, ""), "", CONCATENATE(SUBSTITUTE(SEED!$F127, "-", ""), " (", SEED!$E127, IF(EXACT(SEED!$C127, ""), "", CONCATENATE(" ►", SEED!$C127)), ")"))</f>
        <v>+62 82225708799 (Mobile Phone ►Person - Belina Lindarwani)</v>
      </c>
    </row>
    <row r="128" spans="2:3" x14ac:dyDescent="0.2">
      <c r="B128" s="40">
        <f>IF(EXACT(SEED!$F128, ""), "", SEED!$J128)</f>
        <v>286000000000125</v>
      </c>
      <c r="C128" s="4" t="str">
        <f>IF(EXACT($B128, ""), "", CONCATENATE(SUBSTITUTE(SEED!$F128, "-", ""), " (", SEED!$E128, IF(EXACT(SEED!$C128, ""), "", CONCATENATE(" ►", SEED!$C128)), ")"))</f>
        <v>+62 81282356976 (Mobile Phone ►Person - Budianto)</v>
      </c>
    </row>
    <row r="129" spans="2:3" x14ac:dyDescent="0.2">
      <c r="B129" s="40">
        <f>IF(EXACT(SEED!$F129, ""), "", SEED!$J129)</f>
        <v>286000000000126</v>
      </c>
      <c r="C129" s="4" t="str">
        <f>IF(EXACT($B129, ""), "", CONCATENATE(SUBSTITUTE(SEED!$F129, "-", ""), " (", SEED!$E129, IF(EXACT(SEED!$C129, ""), "", CONCATENATE(" ►", SEED!$C129)), ")"))</f>
        <v>+62 81236949841 (Mobile Phone ►Person - Darsito)</v>
      </c>
    </row>
    <row r="130" spans="2:3" x14ac:dyDescent="0.2">
      <c r="B130" s="40">
        <f>IF(EXACT(SEED!$F130, ""), "", SEED!$J130)</f>
        <v>286000000000127</v>
      </c>
      <c r="C130" s="4" t="str">
        <f>IF(EXACT($B130, ""), "", CONCATENATE(SUBSTITUTE(SEED!$F130, "-", ""), " (", SEED!$E130, IF(EXACT(SEED!$C130, ""), "", CONCATENATE(" ►", SEED!$C130)), ")"))</f>
        <v>+62 81298311976 (Mobile Phone ►Person - Dionesius Sostenist Duka)</v>
      </c>
    </row>
    <row r="131" spans="2:3" x14ac:dyDescent="0.2">
      <c r="B131" s="40">
        <f>IF(EXACT(SEED!$F131, ""), "", SEED!$J131)</f>
        <v>286000000000128</v>
      </c>
      <c r="C131" s="4" t="str">
        <f>IF(EXACT($B131, ""), "", CONCATENATE(SUBSTITUTE(SEED!$F131, "-", ""), " (", SEED!$E131, IF(EXACT(SEED!$C131, ""), "", CONCATENATE(" ►", SEED!$C131)), ")"))</f>
        <v>+62 81233868624 (Mobile Phone ►Person - Edi Waluyo)</v>
      </c>
    </row>
    <row r="132" spans="2:3" x14ac:dyDescent="0.2">
      <c r="B132" s="40">
        <f>IF(EXACT(SEED!$F132, ""), "", SEED!$J132)</f>
        <v>286000000000129</v>
      </c>
      <c r="C132" s="4" t="str">
        <f>IF(EXACT($B132, ""), "", CONCATENATE(SUBSTITUTE(SEED!$F132, "-", ""), " (", SEED!$E132, IF(EXACT(SEED!$C132, ""), "", CONCATENATE(" ►", SEED!$C132)), ")"))</f>
        <v>+62 85719607726 (Mobile Phone ►Person - Eka Bagus Dwi Putra)</v>
      </c>
    </row>
    <row r="133" spans="2:3" x14ac:dyDescent="0.2">
      <c r="B133" s="40">
        <f>IF(EXACT(SEED!$F133, ""), "", SEED!$J133)</f>
        <v>286000000000130</v>
      </c>
      <c r="C133" s="4" t="str">
        <f>IF(EXACT($B133, ""), "", CONCATENATE(SUBSTITUTE(SEED!$F133, "-", ""), " (", SEED!$E133, IF(EXACT(SEED!$C133, ""), "", CONCATENATE(" ►", SEED!$C133)), ")"))</f>
        <v>+62 81218759198 (Mobile Phone ►Person - Eka Kurniawan Hidayatullah)</v>
      </c>
    </row>
    <row r="134" spans="2:3" x14ac:dyDescent="0.2">
      <c r="B134" s="40">
        <f>IF(EXACT(SEED!$F134, ""), "", SEED!$J134)</f>
        <v>286000000000131</v>
      </c>
      <c r="C134" s="4" t="str">
        <f>IF(EXACT($B134, ""), "", CONCATENATE(SUBSTITUTE(SEED!$F134, "-", ""), " (", SEED!$E134, IF(EXACT(SEED!$C134, ""), "", CONCATENATE(" ►", SEED!$C134)), ")"))</f>
        <v>+62 81999945447 (Mobile Phone ►Person - Endang Sutrisna)</v>
      </c>
    </row>
    <row r="135" spans="2:3" x14ac:dyDescent="0.2">
      <c r="B135" s="40">
        <f>IF(EXACT(SEED!$F135, ""), "", SEED!$J135)</f>
        <v>286000000000132</v>
      </c>
      <c r="C135" s="4" t="str">
        <f>IF(EXACT($B135, ""), "", CONCATENATE(SUBSTITUTE(SEED!$F135, "-", ""), " (", SEED!$E135, IF(EXACT(SEED!$C135, ""), "", CONCATENATE(" ►", SEED!$C135)), ")"))</f>
        <v>+62 8129294620 (Mobile Phone ►Person - Gunawan)</v>
      </c>
    </row>
    <row r="136" spans="2:3" x14ac:dyDescent="0.2">
      <c r="B136" s="40">
        <f>IF(EXACT(SEED!$F136, ""), "", SEED!$J136)</f>
        <v>286000000000133</v>
      </c>
      <c r="C136" s="4" t="str">
        <f>IF(EXACT($B136, ""), "", CONCATENATE(SUBSTITUTE(SEED!$F136, "-", ""), " (", SEED!$E136, IF(EXACT(SEED!$C136, ""), "", CONCATENATE(" ►", SEED!$C136)), ")"))</f>
        <v>+62 87882221308 (Mobile Phone ►Person - Icha Mailinda Syamsoedin)</v>
      </c>
    </row>
    <row r="137" spans="2:3" x14ac:dyDescent="0.2">
      <c r="B137" s="40">
        <f>IF(EXACT(SEED!$F137, ""), "", SEED!$J137)</f>
        <v>286000000000134</v>
      </c>
      <c r="C137" s="4" t="str">
        <f>IF(EXACT($B137, ""), "", CONCATENATE(SUBSTITUTE(SEED!$F137, "-", ""), " (", SEED!$E137, IF(EXACT(SEED!$C137, ""), "", CONCATENATE(" ►", SEED!$C137)), ")"))</f>
        <v>+62 87884014359 (Mobile Phone ►Person - Irma Maulidawati)</v>
      </c>
    </row>
    <row r="138" spans="2:3" x14ac:dyDescent="0.2">
      <c r="B138" s="40">
        <f>IF(EXACT(SEED!$F138, ""), "", SEED!$J138)</f>
        <v>286000000000135</v>
      </c>
      <c r="C138" s="4" t="str">
        <f>IF(EXACT($B138, ""), "", CONCATENATE(SUBSTITUTE(SEED!$F138, "-", ""), " (", SEED!$E138, IF(EXACT(SEED!$C138, ""), "", CONCATENATE(" ►", SEED!$C138)), ")"))</f>
        <v>+62 8977449206 (Mobile Phone ►Person - Istikaro Fauziah)</v>
      </c>
    </row>
    <row r="139" spans="2:3" x14ac:dyDescent="0.2">
      <c r="B139" s="40">
        <f>IF(EXACT(SEED!$F139, ""), "", SEED!$J139)</f>
        <v>286000000000136</v>
      </c>
      <c r="C139" s="4" t="str">
        <f>IF(EXACT($B139, ""), "", CONCATENATE(SUBSTITUTE(SEED!$F139, "-", ""), " (", SEED!$E139, IF(EXACT(SEED!$C139, ""), "", CONCATENATE(" ►", SEED!$C139)), ")"))</f>
        <v>+62 81311322014 (Mobile Phone ►Person - Jimmywal)</v>
      </c>
    </row>
    <row r="140" spans="2:3" x14ac:dyDescent="0.2">
      <c r="B140" s="40">
        <f>IF(EXACT(SEED!$F140, ""), "", SEED!$J140)</f>
        <v>286000000000137</v>
      </c>
      <c r="C140" s="4" t="str">
        <f>IF(EXACT($B140, ""), "", CONCATENATE(SUBSTITUTE(SEED!$F140, "-", ""), " (", SEED!$E140, IF(EXACT(SEED!$C140, ""), "", CONCATENATE(" ►", SEED!$C140)), ")"))</f>
        <v>+62 81280020551 (Mobile Phone ►Person - Kornelius Sakan)</v>
      </c>
    </row>
    <row r="141" spans="2:3" x14ac:dyDescent="0.2">
      <c r="B141" s="40">
        <f>IF(EXACT(SEED!$F141, ""), "", SEED!$J141)</f>
        <v>286000000000138</v>
      </c>
      <c r="C141" s="4" t="str">
        <f>IF(EXACT($B141, ""), "", CONCATENATE(SUBSTITUTE(SEED!$F141, "-", ""), " (", SEED!$E141, IF(EXACT(SEED!$C141, ""), "", CONCATENATE(" ►", SEED!$C141)), ")"))</f>
        <v>+62 8119728227 (Mobile Phone ►Person - Lisma Natalia)</v>
      </c>
    </row>
    <row r="142" spans="2:3" x14ac:dyDescent="0.2">
      <c r="B142" s="40">
        <f>IF(EXACT(SEED!$F142, ""), "", SEED!$J142)</f>
        <v>286000000000139</v>
      </c>
      <c r="C142" s="4" t="str">
        <f>IF(EXACT($B142, ""), "", CONCATENATE(SUBSTITUTE(SEED!$F142, "-", ""), " (", SEED!$E142, IF(EXACT(SEED!$C142, ""), "", CONCATENATE(" ►", SEED!$C142)), ")"))</f>
        <v>+62 81262939221 (Mobile Phone ►Person - M. Fikri Caesarandi Hasibuan)</v>
      </c>
    </row>
    <row r="143" spans="2:3" x14ac:dyDescent="0.2">
      <c r="B143" s="40">
        <f>IF(EXACT(SEED!$F143, ""), "", SEED!$J143)</f>
        <v>286000000000140</v>
      </c>
      <c r="C143" s="4" t="str">
        <f>IF(EXACT($B143, ""), "", CONCATENATE(SUBSTITUTE(SEED!$F143, "-", ""), " (", SEED!$E143, IF(EXACT(SEED!$C143, ""), "", CONCATENATE(" ►", SEED!$C143)), ")"))</f>
        <v>+62 85280805771 (Mobile Phone ►Person - Marten Tabun)</v>
      </c>
    </row>
    <row r="144" spans="2:3" x14ac:dyDescent="0.2">
      <c r="B144" s="40">
        <f>IF(EXACT(SEED!$F144, ""), "", SEED!$J144)</f>
        <v>286000000000141</v>
      </c>
      <c r="C144" s="4" t="str">
        <f>IF(EXACT($B144, ""), "", CONCATENATE(SUBSTITUTE(SEED!$F144, "-", ""), " (", SEED!$E144, IF(EXACT(SEED!$C144, ""), "", CONCATENATE(" ►", SEED!$C144)), ")"))</f>
        <v>+62 81285802247 (Mobile Phone ►Person - Mochamad Ulul Azmi Wira Utama)</v>
      </c>
    </row>
    <row r="145" spans="2:3" x14ac:dyDescent="0.2">
      <c r="B145" s="40">
        <f>IF(EXACT(SEED!$F145, ""), "", SEED!$J145)</f>
        <v>286000000000142</v>
      </c>
      <c r="C145" s="4" t="str">
        <f>IF(EXACT($B145, ""), "", CONCATENATE(SUBSTITUTE(SEED!$F145, "-", ""), " (", SEED!$E145, IF(EXACT(SEED!$C145, ""), "", CONCATENATE(" ►", SEED!$C145)), ")"))</f>
        <v>+62 81228975977 (Mobile Phone ►Person - Muhammad Rizal)</v>
      </c>
    </row>
    <row r="146" spans="2:3" x14ac:dyDescent="0.2">
      <c r="B146" s="40">
        <f>IF(EXACT(SEED!$F146, ""), "", SEED!$J146)</f>
        <v>286000000000143</v>
      </c>
      <c r="C146" s="4" t="str">
        <f>IF(EXACT($B146, ""), "", CONCATENATE(SUBSTITUTE(SEED!$F146, "-", ""), " (", SEED!$E146, IF(EXACT(SEED!$C146, ""), "", CONCATENATE(" ►", SEED!$C146)), ")"))</f>
        <v>+62 8158884838 (Mobile Phone ►Person - Mullan Tresna)</v>
      </c>
    </row>
    <row r="147" spans="2:3" x14ac:dyDescent="0.2">
      <c r="B147" s="40">
        <f>IF(EXACT(SEED!$F147, ""), "", SEED!$J147)</f>
        <v>286000000000144</v>
      </c>
      <c r="C147" s="4" t="str">
        <f>IF(EXACT($B147, ""), "", CONCATENATE(SUBSTITUTE(SEED!$F147, "-", ""), " (", SEED!$E147, IF(EXACT(SEED!$C147, ""), "", CONCATENATE(" ►", SEED!$C147)), ")"))</f>
        <v>+62 81241521262 (Mobile Phone ►Person - Nandang Effendi)</v>
      </c>
    </row>
    <row r="148" spans="2:3" x14ac:dyDescent="0.2">
      <c r="B148" s="40">
        <f>IF(EXACT(SEED!$F148, ""), "", SEED!$J148)</f>
        <v>286000000000145</v>
      </c>
      <c r="C148" s="4" t="str">
        <f>IF(EXACT($B148, ""), "", CONCATENATE(SUBSTITUTE(SEED!$F148, "-", ""), " (", SEED!$E148, IF(EXACT(SEED!$C148, ""), "", CONCATENATE(" ►", SEED!$C148)), ")"))</f>
        <v>+62 85602100410 (Mobile Phone ►Person - Rahmata Novanisa)</v>
      </c>
    </row>
    <row r="149" spans="2:3" x14ac:dyDescent="0.2">
      <c r="B149" s="40">
        <f>IF(EXACT(SEED!$F149, ""), "", SEED!$J149)</f>
        <v>286000000000146</v>
      </c>
      <c r="C149" s="4" t="str">
        <f>IF(EXACT($B149, ""), "", CONCATENATE(SUBSTITUTE(SEED!$F149, "-", ""), " (", SEED!$E149, IF(EXACT(SEED!$C149, ""), "", CONCATENATE(" ►", SEED!$C149)), ")"))</f>
        <v>+62 82288653239 (Mobile Phone ►Person - Rahmad Dwifar)</v>
      </c>
    </row>
    <row r="150" spans="2:3" x14ac:dyDescent="0.2">
      <c r="B150" s="40">
        <f>IF(EXACT(SEED!$F150, ""), "", SEED!$J150)</f>
        <v>286000000000147</v>
      </c>
      <c r="C150" s="4" t="str">
        <f>IF(EXACT($B150, ""), "", CONCATENATE(SUBSTITUTE(SEED!$F150, "-", ""), " (", SEED!$E150, IF(EXACT(SEED!$C150, ""), "", CONCATENATE(" ►", SEED!$C150)), ")"))</f>
        <v>+62 81513948537 (Mobile Phone ►Person - Restu Dwi Anjayani)</v>
      </c>
    </row>
    <row r="151" spans="2:3" x14ac:dyDescent="0.2">
      <c r="B151" s="40">
        <f>IF(EXACT(SEED!$F151, ""), "", SEED!$J151)</f>
        <v>286000000000148</v>
      </c>
      <c r="C151" s="4" t="str">
        <f>IF(EXACT($B151, ""), "", CONCATENATE(SUBSTITUTE(SEED!$F151, "-", ""), " (", SEED!$E151, IF(EXACT(SEED!$C151, ""), "", CONCATENATE(" ►", SEED!$C151)), ")"))</f>
        <v>+62 81330683991 (Mobile Phone ►Person - Ridwan Nur Muttaqin)</v>
      </c>
    </row>
    <row r="152" spans="2:3" x14ac:dyDescent="0.2">
      <c r="B152" s="40">
        <f>IF(EXACT(SEED!$F152, ""), "", SEED!$J152)</f>
        <v>286000000000149</v>
      </c>
      <c r="C152" s="4" t="str">
        <f>IF(EXACT($B152, ""), "", CONCATENATE(SUBSTITUTE(SEED!$F152, "-", ""), " (", SEED!$E152, IF(EXACT(SEED!$C152, ""), "", CONCATENATE(" ►", SEED!$C152)), ")"))</f>
        <v>+62 81318940491 (Mobile Phone ►Person - Rhino Priawan)</v>
      </c>
    </row>
    <row r="153" spans="2:3" x14ac:dyDescent="0.2">
      <c r="B153" s="40">
        <f>IF(EXACT(SEED!$F153, ""), "", SEED!$J153)</f>
        <v>286000000000150</v>
      </c>
      <c r="C153" s="4" t="str">
        <f>IF(EXACT($B153, ""), "", CONCATENATE(SUBSTITUTE(SEED!$F153, "-", ""), " (", SEED!$E153, IF(EXACT(SEED!$C153, ""), "", CONCATENATE(" ►", SEED!$C153)), ")"))</f>
        <v>+62 85692965294 (Mobile Phone ►Person - Seftiyan Hadi Maulana)</v>
      </c>
    </row>
    <row r="154" spans="2:3" x14ac:dyDescent="0.2">
      <c r="B154" s="40">
        <f>IF(EXACT(SEED!$F154, ""), "", SEED!$J154)</f>
        <v>286000000000151</v>
      </c>
      <c r="C154" s="4" t="str">
        <f>IF(EXACT($B154, ""), "", CONCATENATE(SUBSTITUTE(SEED!$F154, "-", ""), " (", SEED!$E154, IF(EXACT(SEED!$C154, ""), "", CONCATENATE(" ►", SEED!$C154)), ")"))</f>
        <v>+62 87869832081 (Mobile Phone ►Person - Setiadi)</v>
      </c>
    </row>
    <row r="155" spans="2:3" x14ac:dyDescent="0.2">
      <c r="B155" s="40">
        <f>IF(EXACT(SEED!$F155, ""), "", SEED!$J155)</f>
        <v>286000000000152</v>
      </c>
      <c r="C155" s="4" t="str">
        <f>IF(EXACT($B155, ""), "", CONCATENATE(SUBSTITUTE(SEED!$F155, "-", ""), " (", SEED!$E155, IF(EXACT(SEED!$C155, ""), "", CONCATENATE(" ►", SEED!$C155)), ")"))</f>
        <v>+62 89624746190 (Mobile Phone ►Person - Sholehah)</v>
      </c>
    </row>
    <row r="156" spans="2:3" x14ac:dyDescent="0.2">
      <c r="B156" s="40">
        <f>IF(EXACT(SEED!$F156, ""), "", SEED!$J156)</f>
        <v>286000000000153</v>
      </c>
      <c r="C156" s="4" t="str">
        <f>IF(EXACT($B156, ""), "", CONCATENATE(SUBSTITUTE(SEED!$F156, "-", ""), " (", SEED!$E156, IF(EXACT(SEED!$C156, ""), "", CONCATENATE(" ►", SEED!$C156)), ")"))</f>
        <v>+62 81314205669 (Mobile Phone ►Person - Sudarlan)</v>
      </c>
    </row>
    <row r="157" spans="2:3" x14ac:dyDescent="0.2">
      <c r="B157" s="40">
        <f>IF(EXACT(SEED!$F157, ""), "", SEED!$J157)</f>
        <v>286000000000154</v>
      </c>
      <c r="C157" s="4" t="str">
        <f>IF(EXACT($B157, ""), "", CONCATENATE(SUBSTITUTE(SEED!$F157, "-", ""), " (", SEED!$E157, IF(EXACT(SEED!$C157, ""), "", CONCATENATE(" ►", SEED!$C157)), ")"))</f>
        <v>+62 81373075210 (Mobile Phone ►Person - T. Marungkil U. S. Sagala)</v>
      </c>
    </row>
    <row r="158" spans="2:3" x14ac:dyDescent="0.2">
      <c r="B158" s="40">
        <f>IF(EXACT(SEED!$F158, ""), "", SEED!$J158)</f>
        <v>286000000000155</v>
      </c>
      <c r="C158" s="4" t="str">
        <f>IF(EXACT($B158, ""), "", CONCATENATE(SUBSTITUTE(SEED!$F158, "-", ""), " (", SEED!$E158, IF(EXACT(SEED!$C158, ""), "", CONCATENATE(" ►", SEED!$C158)), ")"))</f>
        <v>+62 82310555988 (Mobile Phone ►Person - Tegar Hersaputra)</v>
      </c>
    </row>
    <row r="159" spans="2:3" x14ac:dyDescent="0.2">
      <c r="B159" s="40">
        <f>IF(EXACT(SEED!$F159, ""), "", SEED!$J159)</f>
        <v>286000000000156</v>
      </c>
      <c r="C159" s="4" t="str">
        <f>IF(EXACT($B159, ""), "", CONCATENATE(SUBSTITUTE(SEED!$F159, "-", ""), " (", SEED!$E159, IF(EXACT(SEED!$C159, ""), "", CONCATENATE(" ►", SEED!$C159)), ")"))</f>
        <v>+62 818216674 (Mobile Phone ►Person - Teguh Pratama Januzir Sukin)</v>
      </c>
    </row>
    <row r="160" spans="2:3" x14ac:dyDescent="0.2">
      <c r="B160" s="40">
        <f>IF(EXACT(SEED!$F160, ""), "", SEED!$J160)</f>
        <v>286000000000157</v>
      </c>
      <c r="C160" s="4" t="str">
        <f>IF(EXACT($B160, ""), "", CONCATENATE(SUBSTITUTE(SEED!$F160, "-", ""), " (", SEED!$E160, IF(EXACT(SEED!$C160, ""), "", CONCATENATE(" ►", SEED!$C160)), ")"))</f>
        <v>+62 82114800364 (Mobile Phone ►Person - Teguh Pratama Januzir Sukin)</v>
      </c>
    </row>
    <row r="161" spans="2:3" x14ac:dyDescent="0.2">
      <c r="B161" s="40">
        <f>IF(EXACT(SEED!$F161, ""), "", SEED!$J161)</f>
        <v>286000000000158</v>
      </c>
      <c r="C161" s="4" t="str">
        <f>IF(EXACT($B161, ""), "", CONCATENATE(SUBSTITUTE(SEED!$F161, "-", ""), " (", SEED!$E161, IF(EXACT(SEED!$C161, ""), "", CONCATENATE(" ►", SEED!$C161)), ")"))</f>
        <v>+62 (021) 7821769 (Home Phone ►Person - Teguh Pratama Januzir Sukin)</v>
      </c>
    </row>
    <row r="162" spans="2:3" x14ac:dyDescent="0.2">
      <c r="B162" s="40">
        <f>IF(EXACT(SEED!$F162, ""), "", SEED!$J162)</f>
        <v>286000000000159</v>
      </c>
      <c r="C162" s="4" t="str">
        <f>IF(EXACT($B162, ""), "", CONCATENATE(SUBSTITUTE(SEED!$F162, "-", ""), " (", SEED!$E162, IF(EXACT(SEED!$C162, ""), "", CONCATENATE(" ►", SEED!$C162)), ")"))</f>
        <v>+62 82243439555 (Mobile Phone ►Person - Turita Pramuning Marantina)</v>
      </c>
    </row>
    <row r="163" spans="2:3" x14ac:dyDescent="0.2">
      <c r="B163" s="40">
        <f>IF(EXACT(SEED!$F163, ""), "", SEED!$J163)</f>
        <v>286000000000160</v>
      </c>
      <c r="C163" s="4" t="str">
        <f>IF(EXACT($B163, ""), "", CONCATENATE(SUBSTITUTE(SEED!$F163, "-", ""), " (", SEED!$E163, IF(EXACT(SEED!$C163, ""), "", CONCATENATE(" ►", SEED!$C163)), ")"))</f>
        <v>+62 85693694287 (Mobile Phone ►Person - Wardah Laily Khoiriyah)</v>
      </c>
    </row>
    <row r="164" spans="2:3" x14ac:dyDescent="0.2">
      <c r="B164" s="40">
        <f>IF(EXACT(SEED!$F164, ""), "", SEED!$J164)</f>
        <v>286000000000161</v>
      </c>
      <c r="C164" s="4" t="str">
        <f>IF(EXACT($B164, ""), "", CONCATENATE(SUBSTITUTE(SEED!$F164, "-", ""), " (", SEED!$E164, IF(EXACT(SEED!$C164, ""), "", CONCATENATE(" ►", SEED!$C164)), ")"))</f>
        <v>+62 89666151134 (Mobile Phone ►Person - Wisnu Trenggono Wirayuda)</v>
      </c>
    </row>
    <row r="165" spans="2:3" x14ac:dyDescent="0.2">
      <c r="B165" s="40">
        <f>IF(EXACT(SEED!$F165, ""), "", SEED!$J165)</f>
        <v>286000000000162</v>
      </c>
      <c r="C165" s="4" t="str">
        <f>IF(EXACT($B165, ""), "", CONCATENATE(SUBSTITUTE(SEED!$F165, "-", ""), " (", SEED!$E165, IF(EXACT(SEED!$C165, ""), "", CONCATENATE(" ►", SEED!$C165)), ")"))</f>
        <v>+62 81289349170 (Mobile Phone ►Person - Yogi Perbangkara)</v>
      </c>
    </row>
    <row r="166" spans="2:3" x14ac:dyDescent="0.2">
      <c r="B166" s="40">
        <f>IF(EXACT(SEED!$F166, ""), "", SEED!$J166)</f>
        <v>286000000000163</v>
      </c>
      <c r="C166" s="4" t="str">
        <f>IF(EXACT($B166, ""), "", CONCATENATE(SUBSTITUTE(SEED!$F166, "-", ""), " (", SEED!$E166, IF(EXACT(SEED!$C166, ""), "", CONCATENATE(" ►", SEED!$C166)), ")"))</f>
        <v>+62 85920707074 (Mobile Phone ►Person - Yuliandaru Suryoatmodjo)</v>
      </c>
    </row>
    <row r="167" spans="2:3" x14ac:dyDescent="0.2">
      <c r="B167" s="40">
        <f>IF(EXACT(SEED!$F167, ""), "", SEED!$J167)</f>
        <v>286000000000164</v>
      </c>
      <c r="C167" s="4" t="str">
        <f>IF(EXACT($B167, ""), "", CONCATENATE(SUBSTITUTE(SEED!$F167, "-", ""), " (", SEED!$E167, IF(EXACT(SEED!$C167, ""), "", CONCATENATE(" ►", SEED!$C167)), ")"))</f>
        <v>+62 89630117006 (Mobile Phone ►Person - Zainudin Anwar)</v>
      </c>
    </row>
    <row r="168" spans="2:3" x14ac:dyDescent="0.2">
      <c r="B168" s="40">
        <f>IF(EXACT(SEED!$F168, ""), "", SEED!$J168)</f>
        <v>286000000000165</v>
      </c>
      <c r="C168" s="4" t="str">
        <f>IF(EXACT($B168, ""), "", CONCATENATE(SUBSTITUTE(SEED!$F168, "-", ""), " (", SEED!$E168, IF(EXACT(SEED!$C168, ""), "", CONCATENATE(" ►", SEED!$C168)), ")"))</f>
        <v>+62 85296248470 (Mobile Phone ►Person - Zulfikar K. Siregar)</v>
      </c>
    </row>
    <row r="169" spans="2:3" x14ac:dyDescent="0.2">
      <c r="B169" s="40">
        <f>IF(EXACT(SEED!$F169, ""), "", SEED!$J169)</f>
        <v>286000000000166</v>
      </c>
      <c r="C169" s="4" t="str">
        <f>IF(EXACT($B169, ""), "", CONCATENATE(SUBSTITUTE(SEED!$F169, "-", ""), " (", SEED!$E169, IF(EXACT(SEED!$C169, ""), "", CONCATENATE(" ►", SEED!$C169)), ")"))</f>
        <v>+62 8121080840 (Mobile Phone ►Person - Redi Subekti)</v>
      </c>
    </row>
    <row r="170" spans="2:3" x14ac:dyDescent="0.2">
      <c r="B170" s="40">
        <f>IF(EXACT(SEED!$F170, ""), "", SEED!$J170)</f>
        <v>286000000000167</v>
      </c>
      <c r="C170" s="4" t="str">
        <f>IF(EXACT($B170, ""), "", CONCATENATE(SUBSTITUTE(SEED!$F170, "-", ""), " (", SEED!$E170, IF(EXACT(SEED!$C170, ""), "", CONCATENATE(" ►", SEED!$C170)), ")"))</f>
        <v>+62 816880840 (Mobile Phone ►Person - Redi Subekti)</v>
      </c>
    </row>
    <row r="171" spans="2:3" x14ac:dyDescent="0.2">
      <c r="B171" s="40">
        <f>IF(EXACT(SEED!$F171, ""), "", SEED!$J171)</f>
        <v>286000000000168</v>
      </c>
      <c r="C171" s="4" t="str">
        <f>IF(EXACT($B171, ""), "", CONCATENATE(SUBSTITUTE(SEED!$F171, "-", ""), " (", SEED!$E171, IF(EXACT(SEED!$C171, ""), "", CONCATENATE(" ►", SEED!$C171)), ")"))</f>
        <v>+62 8111975696 (Mobile Phone ►Person - Grace Kurniawan)</v>
      </c>
    </row>
    <row r="172" spans="2:3" x14ac:dyDescent="0.2">
      <c r="B172" s="40">
        <f>IF(EXACT(SEED!$F172, ""), "", SEED!$J172)</f>
        <v>286000000000169</v>
      </c>
      <c r="C172" s="4" t="str">
        <f>IF(EXACT($B172, ""), "", CONCATENATE(SUBSTITUTE(SEED!$F172, "-", ""), " (", SEED!$E172, IF(EXACT(SEED!$C172, ""), "", CONCATENATE(" ►", SEED!$C172)), ")"))</f>
        <v>+62 81284254284 (Mobile Phone ►Person - Adhe Kurniawan)</v>
      </c>
    </row>
    <row r="173" spans="2:3" x14ac:dyDescent="0.2">
      <c r="B173" s="40">
        <f>IF(EXACT(SEED!$F173, ""), "", SEED!$J173)</f>
        <v>286000000000170</v>
      </c>
      <c r="C173" s="4" t="str">
        <f>IF(EXACT($B173, ""), "", CONCATENATE(SUBSTITUTE(SEED!$F173, "-", ""), " (", SEED!$E173, IF(EXACT(SEED!$C173, ""), "", CONCATENATE(" ►", SEED!$C173)), ")"))</f>
        <v>+62 8126338284 (Mobile Phone ►Person - Adhe Kurniawan)</v>
      </c>
    </row>
    <row r="174" spans="2:3" x14ac:dyDescent="0.2">
      <c r="B174" s="40">
        <f>IF(EXACT(SEED!$F174, ""), "", SEED!$J174)</f>
        <v>286000000000171</v>
      </c>
      <c r="C174" s="4" t="str">
        <f>IF(EXACT($B174, ""), "", CONCATENATE(SUBSTITUTE(SEED!$F174, "-", ""), " (", SEED!$E174, IF(EXACT(SEED!$C174, ""), "", CONCATENATE(" ►", SEED!$C174)), ")"))</f>
        <v>+62 81314589939 (Mobile Phone ►Person - Ahmad Faiz Haems Muda)</v>
      </c>
    </row>
    <row r="175" spans="2:3" x14ac:dyDescent="0.2">
      <c r="B175" s="40">
        <f>IF(EXACT(SEED!$F175, ""), "", SEED!$J175)</f>
        <v>286000000000172</v>
      </c>
      <c r="C175" s="4" t="str">
        <f>IF(EXACT($B175, ""), "", CONCATENATE(SUBSTITUTE(SEED!$F175, "-", ""), " (", SEED!$E175, IF(EXACT(SEED!$C175, ""), "", CONCATENATE(" ►", SEED!$C175)), ")"))</f>
        <v>+62 8111137275 (Mobile Phone ►Person - Riza Emir Subekti)</v>
      </c>
    </row>
    <row r="176" spans="2:3" x14ac:dyDescent="0.2">
      <c r="B176" s="40">
        <f>IF(EXACT(SEED!$F176, ""), "", SEED!$J176)</f>
        <v>286000000000173</v>
      </c>
      <c r="C176" s="4" t="str">
        <f>IF(EXACT($B176, ""), "", CONCATENATE(SUBSTITUTE(SEED!$F176, "-", ""), " (", SEED!$E176, IF(EXACT(SEED!$C176, ""), "", CONCATENATE(" ►", SEED!$C176)), ")"))</f>
        <v>+62 81283264959 (Mobile Phone ►Person - Ares S. Mauboi)</v>
      </c>
    </row>
    <row r="177" spans="2:3" x14ac:dyDescent="0.2">
      <c r="B177" s="40">
        <f>IF(EXACT(SEED!$F177, ""), "", SEED!$J177)</f>
        <v>286000000000174</v>
      </c>
      <c r="C177" s="4" t="str">
        <f>IF(EXACT($B177, ""), "", CONCATENATE(SUBSTITUTE(SEED!$F177, "-", ""), " (", SEED!$E177, IF(EXACT(SEED!$C177, ""), "", CONCATENATE(" ►", SEED!$C177)), ")"))</f>
        <v>+62 85770067607 (Mobile Phone ►Person - Arief Yulianto)</v>
      </c>
    </row>
    <row r="178" spans="2:3" x14ac:dyDescent="0.2">
      <c r="B178" s="40">
        <f>IF(EXACT(SEED!$F178, ""), "", SEED!$J178)</f>
        <v>286000000000175</v>
      </c>
      <c r="C178" s="4" t="str">
        <f>IF(EXACT($B178, ""), "", CONCATENATE(SUBSTITUTE(SEED!$F178, "-", ""), " (", SEED!$E178, IF(EXACT(SEED!$C178, ""), "", CONCATENATE(" ►", SEED!$C178)), ")"))</f>
        <v>+62 87784355937 (Mobile Phone ►Person - Burhan)</v>
      </c>
    </row>
    <row r="179" spans="2:3" x14ac:dyDescent="0.2">
      <c r="B179" s="40">
        <f>IF(EXACT(SEED!$F179, ""), "", SEED!$J179)</f>
        <v>286000000000176</v>
      </c>
      <c r="C179" s="4" t="str">
        <f>IF(EXACT($B179, ""), "", CONCATENATE(SUBSTITUTE(SEED!$F179, "-", ""), " (", SEED!$E179, IF(EXACT(SEED!$C179, ""), "", CONCATENATE(" ►", SEED!$C179)), ")"))</f>
        <v>+62 81218555661 (Mobile Phone ►Person - Cahyana)</v>
      </c>
    </row>
    <row r="180" spans="2:3" x14ac:dyDescent="0.2">
      <c r="B180" s="40">
        <f>IF(EXACT(SEED!$F180, ""), "", SEED!$J180)</f>
        <v>286000000000177</v>
      </c>
      <c r="C180" s="4" t="str">
        <f>IF(EXACT($B180, ""), "", CONCATENATE(SUBSTITUTE(SEED!$F180, "-", ""), " (", SEED!$E180, IF(EXACT(SEED!$C180, ""), "", CONCATENATE(" ►", SEED!$C180)), ")"))</f>
        <v>+62 82273985841 (Mobile Phone ►Person - Davit Lumban Gaol)</v>
      </c>
    </row>
    <row r="181" spans="2:3" x14ac:dyDescent="0.2">
      <c r="B181" s="40">
        <f>IF(EXACT(SEED!$F181, ""), "", SEED!$J181)</f>
        <v>286000000000178</v>
      </c>
      <c r="C181" s="4" t="str">
        <f>IF(EXACT($B181, ""), "", CONCATENATE(SUBSTITUTE(SEED!$F181, "-", ""), " (", SEED!$E181, IF(EXACT(SEED!$C181, ""), "", CONCATENATE(" ►", SEED!$C181)), ")"))</f>
        <v>+62 81294657916 (Mobile Phone ►Person - Dian Tri Rahmawati)</v>
      </c>
    </row>
    <row r="182" spans="2:3" x14ac:dyDescent="0.2">
      <c r="B182" s="40">
        <f>IF(EXACT(SEED!$F182, ""), "", SEED!$J182)</f>
        <v>286000000000179</v>
      </c>
      <c r="C182" s="4" t="str">
        <f>IF(EXACT($B182, ""), "", CONCATENATE(SUBSTITUTE(SEED!$F182, "-", ""), " (", SEED!$E182, IF(EXACT(SEED!$C182, ""), "", CONCATENATE(" ►", SEED!$C182)), ")"))</f>
        <v>+62 82213859070 (Mobile Phone ►Person - Fabrian Danang Destiyara)</v>
      </c>
    </row>
    <row r="183" spans="2:3" x14ac:dyDescent="0.2">
      <c r="B183" s="40">
        <f>IF(EXACT(SEED!$F183, ""), "", SEED!$J183)</f>
        <v>286000000000180</v>
      </c>
      <c r="C183" s="4" t="str">
        <f>IF(EXACT($B183, ""), "", CONCATENATE(SUBSTITUTE(SEED!$F183, "-", ""), " (", SEED!$E183, IF(EXACT(SEED!$C183, ""), "", CONCATENATE(" ►", SEED!$C183)), ")"))</f>
        <v>+62 8568100752 (Mobile Phone ►Person - Iman Faisal Abdurahman)</v>
      </c>
    </row>
    <row r="184" spans="2:3" x14ac:dyDescent="0.2">
      <c r="B184" s="40">
        <f>IF(EXACT(SEED!$F184, ""), "", SEED!$J184)</f>
        <v>286000000000181</v>
      </c>
      <c r="C184" s="4" t="str">
        <f>IF(EXACT($B184, ""), "", CONCATENATE(SUBSTITUTE(SEED!$F184, "-", ""), " (", SEED!$E184, IF(EXACT(SEED!$C184, ""), "", CONCATENATE(" ►", SEED!$C184)), ")"))</f>
        <v>+62 83806004470 (Mobile Phone ►Person - Langgeng Eko Dwiantoro)</v>
      </c>
    </row>
    <row r="185" spans="2:3" x14ac:dyDescent="0.2">
      <c r="B185" s="40">
        <f>IF(EXACT(SEED!$F185, ""), "", SEED!$J185)</f>
        <v>286000000000182</v>
      </c>
      <c r="C185" s="4" t="str">
        <f>IF(EXACT($B185, ""), "", CONCATENATE(SUBSTITUTE(SEED!$F185, "-", ""), " (", SEED!$E185, IF(EXACT(SEED!$C185, ""), "", CONCATENATE(" ►", SEED!$C185)), ")"))</f>
        <v>+62 83143182038 (Mobile Phone ►Person - Langgeng Eko Dwiantoro)</v>
      </c>
    </row>
    <row r="186" spans="2:3" x14ac:dyDescent="0.2">
      <c r="B186" s="40">
        <f>IF(EXACT(SEED!$F186, ""), "", SEED!$J186)</f>
        <v>286000000000183</v>
      </c>
      <c r="C186" s="4" t="str">
        <f>IF(EXACT($B186, ""), "", CONCATENATE(SUBSTITUTE(SEED!$F186, "-", ""), " (", SEED!$E186, IF(EXACT(SEED!$C186, ""), "", CONCATENATE(" ►", SEED!$C186)), ")"))</f>
        <v>+62 81932798900 (Mobile Phone ►Person - Roy Aditya)</v>
      </c>
    </row>
    <row r="187" spans="2:3" x14ac:dyDescent="0.2">
      <c r="B187" s="40">
        <f>IF(EXACT(SEED!$F187, ""), "", SEED!$J187)</f>
        <v>286000000000184</v>
      </c>
      <c r="C187" s="4" t="str">
        <f>IF(EXACT($B187, ""), "", CONCATENATE(SUBSTITUTE(SEED!$F187, "-", ""), " (", SEED!$E187, IF(EXACT(SEED!$C187, ""), "", CONCATENATE(" ►", SEED!$C187)), ")"))</f>
        <v>+62 89630294828 (Mobile Phone ►Person - Rustono)</v>
      </c>
    </row>
    <row r="188" spans="2:3" x14ac:dyDescent="0.2">
      <c r="B188" s="40">
        <f>IF(EXACT(SEED!$F188, ""), "", SEED!$J188)</f>
        <v>286000000000185</v>
      </c>
      <c r="C188" s="4" t="str">
        <f>IF(EXACT($B188, ""), "", CONCATENATE(SUBSTITUTE(SEED!$F188, "-", ""), " (", SEED!$E188, IF(EXACT(SEED!$C188, ""), "", CONCATENATE(" ►", SEED!$C188)), ")"))</f>
        <v>+62 85811128435 (Mobile Phone ►Person - Solihin)</v>
      </c>
    </row>
    <row r="189" spans="2:3" x14ac:dyDescent="0.2">
      <c r="B189" s="40">
        <f>IF(EXACT(SEED!$F189, ""), "", SEED!$J189)</f>
        <v>286000000000186</v>
      </c>
      <c r="C189" s="4" t="str">
        <f>IF(EXACT($B189, ""), "", CONCATENATE(SUBSTITUTE(SEED!$F189, "-", ""), " (", SEED!$E189, IF(EXACT(SEED!$C189, ""), "", CONCATENATE(" ►", SEED!$C189)), ")"))</f>
        <v>+62 89644219358 (Mobile Phone ►Person - Sugiarto)</v>
      </c>
    </row>
    <row r="190" spans="2:3" x14ac:dyDescent="0.2">
      <c r="B190" s="40">
        <f>IF(EXACT(SEED!$F190, ""), "", SEED!$J190)</f>
        <v>286000000000187</v>
      </c>
      <c r="C190" s="4" t="str">
        <f>IF(EXACT($B190, ""), "", CONCATENATE(SUBSTITUTE(SEED!$F190, "-", ""), " (", SEED!$E190, IF(EXACT(SEED!$C190, ""), "", CONCATENATE(" ►", SEED!$C190)), ")"))</f>
        <v>+62 85714072656 (Mobile Phone ►Person - Sulaeman)</v>
      </c>
    </row>
    <row r="191" spans="2:3" x14ac:dyDescent="0.2">
      <c r="B191" s="40">
        <f>IF(EXACT(SEED!$F191, ""), "", SEED!$J191)</f>
        <v>286000000000188</v>
      </c>
      <c r="C191" s="4" t="str">
        <f>IF(EXACT($B191, ""), "", CONCATENATE(SUBSTITUTE(SEED!$F191, "-", ""), " (", SEED!$E191, IF(EXACT(SEED!$C191, ""), "", CONCATENATE(" ►", SEED!$C191)), ")"))</f>
        <v>+62 81296257489 (Mobile Phone ►Person - Supriatna)</v>
      </c>
    </row>
    <row r="192" spans="2:3" x14ac:dyDescent="0.2">
      <c r="B192" s="40">
        <f>IF(EXACT(SEED!$F192, ""), "", SEED!$J192)</f>
        <v>286000000000189</v>
      </c>
      <c r="C192" s="4" t="str">
        <f>IF(EXACT($B192, ""), "", CONCATENATE(SUBSTITUTE(SEED!$F192, "-", ""), " (", SEED!$E192, IF(EXACT(SEED!$C192, ""), "", CONCATENATE(" ►", SEED!$C192)), ")"))</f>
        <v>+62 81282684357 (Mobile Phone ►Person - Timotius Tabun)</v>
      </c>
    </row>
    <row r="193" spans="2:3" x14ac:dyDescent="0.2">
      <c r="B193" s="40">
        <f>IF(EXACT(SEED!$F193, ""), "", SEED!$J193)</f>
        <v>286000000000190</v>
      </c>
      <c r="C193" s="4" t="str">
        <f>IF(EXACT($B193, ""), "", CONCATENATE(SUBSTITUTE(SEED!$F193, "-", ""), " (", SEED!$E193, IF(EXACT(SEED!$C193, ""), "", CONCATENATE(" ►", SEED!$C193)), ")"))</f>
        <v>+62 82148152759 (Mobile Phone ►Person - Urbanus Boimau)</v>
      </c>
    </row>
    <row r="194" spans="2:3" x14ac:dyDescent="0.2">
      <c r="B194" s="40">
        <f>IF(EXACT(SEED!$F194, ""), "", SEED!$J194)</f>
        <v>286000000000191</v>
      </c>
      <c r="C194" s="4" t="str">
        <f>IF(EXACT($B194, ""), "", CONCATENATE(SUBSTITUTE(SEED!$F194, "-", ""), " (", SEED!$E194, IF(EXACT(SEED!$C194, ""), "", CONCATENATE(" ►", SEED!$C194)), ")"))</f>
        <v>+62 81289675850 (Mobile Phone ►Person - Adi)</v>
      </c>
    </row>
    <row r="195" spans="2:3" x14ac:dyDescent="0.2">
      <c r="B195" s="40">
        <f>IF(EXACT(SEED!$F195, ""), "", SEED!$J195)</f>
        <v>286000000000192</v>
      </c>
      <c r="C195" s="4" t="str">
        <f>IF(EXACT($B195, ""), "", CONCATENATE(SUBSTITUTE(SEED!$F195, "-", ""), " (", SEED!$E195, IF(EXACT(SEED!$C195, ""), "", CONCATENATE(" ►", SEED!$C195)), ")"))</f>
        <v>+62 82166770677 (Mobile Phone ►Person - Risty Alawiyah)</v>
      </c>
    </row>
    <row r="196" spans="2:3" x14ac:dyDescent="0.2">
      <c r="B196" s="40">
        <f>IF(EXACT(SEED!$F196, ""), "", SEED!$J196)</f>
        <v>286000000000193</v>
      </c>
      <c r="C196" s="4" t="str">
        <f>IF(EXACT($B196, ""), "", CONCATENATE(SUBSTITUTE(SEED!$F196, "-", ""), " (", SEED!$E196, IF(EXACT(SEED!$C196, ""), "", CONCATENATE(" ►", SEED!$C196)), ")"))</f>
        <v>+62 (021) 79191234 (Office Phone ►Institution - PT. QDC Technologies)</v>
      </c>
    </row>
    <row r="197" spans="2:3" x14ac:dyDescent="0.2">
      <c r="B197" s="40">
        <f>IF(EXACT(SEED!$F197, ""), "", SEED!$J197)</f>
        <v>286000000000194</v>
      </c>
      <c r="C197" s="4" t="str">
        <f>IF(EXACT($B197, ""), "", CONCATENATE(SUBSTITUTE(SEED!$F197, "-", ""), " (", SEED!$E197, IF(EXACT(SEED!$C197, ""), "", CONCATENATE(" ►", SEED!$C197)), ")"))</f>
        <v>+62 (021) 79193333 (Faximile ►Institution - PT. QDC Technologies)</v>
      </c>
    </row>
    <row r="198" spans="2:3" x14ac:dyDescent="0.2">
      <c r="B198" s="40" t="str">
        <f>IF(EXACT(SEED!$F198, ""), "", SEED!$J198)</f>
        <v/>
      </c>
      <c r="C198" s="4" t="str">
        <f>IF(EXACT($B198, ""), "", CONCATENATE(SUBSTITUTE(SEED!$F198, "-", ""), " (", SEED!$E198, IF(EXACT(SEED!$C198, ""), "", CONCATENATE(" ►", SEED!$C198)), ")"))</f>
        <v/>
      </c>
    </row>
    <row r="199" spans="2:3" x14ac:dyDescent="0.2">
      <c r="B199" s="40" t="str">
        <f>IF(EXACT(SEED!$F199, ""), "", SEED!$J199)</f>
        <v/>
      </c>
      <c r="C199" s="4" t="str">
        <f>IF(EXACT($B199, ""), "", CONCATENATE(SUBSTITUTE(SEED!$F199, "-", ""), " (", SEED!$E199, IF(EXACT(SEED!$C199, ""), "", CONCATENATE(" ►", SEED!$C199)), ")"))</f>
        <v/>
      </c>
    </row>
    <row r="200" spans="2:3" x14ac:dyDescent="0.2">
      <c r="B200" s="40">
        <f>IF(EXACT(SEED!$F200, ""), "", SEED!$J200)</f>
        <v>286000000000195</v>
      </c>
      <c r="C200" s="4" t="str">
        <f>IF(EXACT($B200, ""), "", CONCATENATE(SUBSTITUTE(SEED!$F200, "-", ""), " (", SEED!$E200, IF(EXACT(SEED!$C200, ""), "", CONCATENATE(" ►", SEED!$C200)), ")"))</f>
        <v>+62 (021) 5212552 (Office Phone ►Institution - PT. Energi Mekar Lestari)</v>
      </c>
    </row>
    <row r="201" spans="2:3" x14ac:dyDescent="0.2">
      <c r="B201" s="40">
        <f>IF(EXACT(SEED!$F201, ""), "", SEED!$J201)</f>
        <v>286000000000196</v>
      </c>
      <c r="C201" s="4" t="str">
        <f>IF(EXACT($B201, ""), "", CONCATENATE(SUBSTITUTE(SEED!$F201, "-", ""), " (", SEED!$E201, IF(EXACT(SEED!$C201, ""), "", CONCATENATE(" ►", SEED!$C201)), ")"))</f>
        <v>+62 (021) 5212900 (Faximile ►Institution - PT. Energi Mekar Lestari)</v>
      </c>
    </row>
    <row r="202" spans="2:3" x14ac:dyDescent="0.2">
      <c r="B202" s="40" t="str">
        <f>IF(EXACT(SEED!$F202, ""), "", SEED!$J202)</f>
        <v/>
      </c>
      <c r="C202" s="4" t="str">
        <f>IF(EXACT($B202, ""), "", CONCATENATE(SUBSTITUTE(SEED!$F202, "-", ""), " (", SEED!$E202, IF(EXACT(SEED!$C202, ""), "", CONCATENATE(" ►", SEED!$C202)), ")"))</f>
        <v/>
      </c>
    </row>
    <row r="203" spans="2:3" x14ac:dyDescent="0.2">
      <c r="B203" s="40">
        <f>IF(EXACT(SEED!$F203, ""), "", SEED!$J203)</f>
        <v>286000000000197</v>
      </c>
      <c r="C203" s="4" t="str">
        <f>IF(EXACT($B203, ""), "", CONCATENATE(SUBSTITUTE(SEED!$F203, "-", ""), " (", SEED!$E203, IF(EXACT(SEED!$C203, ""), "", CONCATENATE(" ►", SEED!$C203)), ")"))</f>
        <v>+62 (021) 57930304 (Office Phone ►Institution - PT. Abhitama Citra Abadi)</v>
      </c>
    </row>
    <row r="204" spans="2:3" x14ac:dyDescent="0.2">
      <c r="B204" s="40">
        <f>IF(EXACT(SEED!$F204, ""), "", SEED!$J204)</f>
        <v>286000000000198</v>
      </c>
      <c r="C204" s="4" t="str">
        <f>IF(EXACT($B204, ""), "", CONCATENATE(SUBSTITUTE(SEED!$F204, "-", ""), " (", SEED!$E204, IF(EXACT(SEED!$C204, ""), "", CONCATENATE(" ►", SEED!$C204)), ")"))</f>
        <v>+62 (021) 57930311 (Faximile ►Institution - PT. Abhitama Citra Abadi)</v>
      </c>
    </row>
    <row r="205" spans="2:3" x14ac:dyDescent="0.2">
      <c r="B205" s="40" t="str">
        <f>IF(EXACT(SEED!$F205, ""), "", SEED!$J205)</f>
        <v/>
      </c>
      <c r="C205" s="4" t="str">
        <f>IF(EXACT($B205, ""), "", CONCATENATE(SUBSTITUTE(SEED!$F205, "-", ""), " (", SEED!$E205, IF(EXACT(SEED!$C205, ""), "", CONCATENATE(" ►", SEED!$C205)), ")"))</f>
        <v/>
      </c>
    </row>
    <row r="206" spans="2:3" x14ac:dyDescent="0.2">
      <c r="B206" s="40">
        <f>IF(EXACT(SEED!$F206, ""), "", SEED!$J206)</f>
        <v>286000000000199</v>
      </c>
      <c r="C206" s="4" t="str">
        <f>IF(EXACT($B206, ""), "", CONCATENATE(SUBSTITUTE(SEED!$F206, "-", ""), " (", SEED!$E206, IF(EXACT(SEED!$C206, ""), "", CONCATENATE(" ►", SEED!$C206)), ")"))</f>
        <v>+62 (021) 2302345 (Office Phone ►Institution - PT. Aplika Nusa Lintas Arta)</v>
      </c>
    </row>
    <row r="207" spans="2:3" x14ac:dyDescent="0.2">
      <c r="B207" s="40">
        <f>IF(EXACT(SEED!$F207, ""), "", SEED!$J207)</f>
        <v>286000000000200</v>
      </c>
      <c r="C207" s="4" t="str">
        <f>IF(EXACT($B207, ""), "", CONCATENATE(SUBSTITUTE(SEED!$F207, "-", ""), " (", SEED!$E207, IF(EXACT(SEED!$C207, ""), "", CONCATENATE(" ►", SEED!$C207)), ")"))</f>
        <v>+62 (021) 2303171 (Faximile ►Institution - PT. Aplika Nusa Lintas Arta)</v>
      </c>
    </row>
    <row r="208" spans="2:3" x14ac:dyDescent="0.2">
      <c r="B208" s="40">
        <f>IF(EXACT(SEED!$F208, ""), "", SEED!$J208)</f>
        <v>286000000000201</v>
      </c>
      <c r="C208" s="4" t="str">
        <f>IF(EXACT($B208, ""), "", CONCATENATE(SUBSTITUTE(SEED!$F208, "-", ""), " (", SEED!$E208, IF(EXACT(SEED!$C208, ""), "", CONCATENATE(" ►", SEED!$C208)), ")"))</f>
        <v>+62 (021) 910111 (Office Phone ►Institution - PT. Bakrie Telecom, Tbk)</v>
      </c>
    </row>
    <row r="209" spans="2:3" x14ac:dyDescent="0.2">
      <c r="B209" s="40">
        <f>IF(EXACT(SEED!$F209, ""), "", SEED!$J209)</f>
        <v>286000000000202</v>
      </c>
      <c r="C209" s="4" t="str">
        <f>IF(EXACT($B209, ""), "", CONCATENATE(SUBSTITUTE(SEED!$F209, "-", ""), " (", SEED!$E209, IF(EXACT(SEED!$C209, ""), "", CONCATENATE(" ►", SEED!$C209)), ")"))</f>
        <v>+62 (021) 914980 (Faximile ►Institution - PT. Bakrie Telecom, Tbk)</v>
      </c>
    </row>
    <row r="210" spans="2:3" x14ac:dyDescent="0.2">
      <c r="B210" s="40">
        <f>IF(EXACT(SEED!$F210, ""), "", SEED!$J210)</f>
        <v>286000000000203</v>
      </c>
      <c r="C210" s="4" t="str">
        <f>IF(EXACT($B210, ""), "", CONCATENATE(SUBSTITUTE(SEED!$F210, "-", ""), " (", SEED!$E210, IF(EXACT(SEED!$C210, ""), "", CONCATENATE(" ►", SEED!$C210)), ")"))</f>
        <v>+62 (021) 8232323 (Office Phone ►Institution - PT. Bukaka Teknik Utama, Tbk)</v>
      </c>
    </row>
    <row r="211" spans="2:3" x14ac:dyDescent="0.2">
      <c r="B211" s="40">
        <f>IF(EXACT(SEED!$F211, ""), "", SEED!$J211)</f>
        <v>286000000000204</v>
      </c>
      <c r="C211" s="4" t="str">
        <f>IF(EXACT($B211, ""), "", CONCATENATE(SUBSTITUTE(SEED!$F211, "-", ""), " (", SEED!$E211, IF(EXACT(SEED!$C211, ""), "", CONCATENATE(" ►", SEED!$C211)), ")"))</f>
        <v>+62 (021) 8231767 (Faximile ►Institution - PT. Bukaka Teknik Utama, Tbk)</v>
      </c>
    </row>
    <row r="212" spans="2:3" x14ac:dyDescent="0.2">
      <c r="B212" s="40">
        <f>IF(EXACT(SEED!$F212, ""), "", SEED!$J212)</f>
        <v>286000000000205</v>
      </c>
      <c r="C212" s="4" t="str">
        <f>IF(EXACT($B212, ""), "", CONCATENATE(SUBSTITUTE(SEED!$F212, "-", ""), " (", SEED!$E212, IF(EXACT(SEED!$C212, ""), "", CONCATENATE(" ►", SEED!$C212)), ")"))</f>
        <v>+62 (021) 7653723 (Office Phone ►Institution - PT. Citra Panji Manunggal)</v>
      </c>
    </row>
    <row r="213" spans="2:3" x14ac:dyDescent="0.2">
      <c r="B213" s="40">
        <f>IF(EXACT(SEED!$F213, ""), "", SEED!$J213)</f>
        <v>286000000000206</v>
      </c>
      <c r="C213" s="4" t="str">
        <f>IF(EXACT($B213, ""), "", CONCATENATE(SUBSTITUTE(SEED!$F213, "-", ""), " (", SEED!$E213, IF(EXACT(SEED!$C213, ""), "", CONCATENATE(" ►", SEED!$C213)), ")"))</f>
        <v>+62 (021) 7658806 (Faximile ►Institution - PT. Citra Panji Manunggal)</v>
      </c>
    </row>
    <row r="214" spans="2:3" x14ac:dyDescent="0.2">
      <c r="B214" s="40" t="str">
        <f>IF(EXACT(SEED!$F214, ""), "", SEED!$J214)</f>
        <v/>
      </c>
      <c r="C214" s="4" t="str">
        <f>IF(EXACT($B214, ""), "", CONCATENATE(SUBSTITUTE(SEED!$F214, "-", ""), " (", SEED!$E214, IF(EXACT(SEED!$C214, ""), "", CONCATENATE(" ►", SEED!$C214)), ")"))</f>
        <v/>
      </c>
    </row>
    <row r="215" spans="2:3" x14ac:dyDescent="0.2">
      <c r="B215" s="40">
        <f>IF(EXACT(SEED!$F215, ""), "", SEED!$J215)</f>
        <v>286000000000207</v>
      </c>
      <c r="C215" s="4" t="str">
        <f>IF(EXACT($B215, ""), "", CONCATENATE(SUBSTITUTE(SEED!$F215, "-", ""), " (", SEED!$E215, IF(EXACT(SEED!$C215, ""), "", CONCATENATE(" ►", SEED!$C215)), ")"))</f>
        <v>+62 (021) 345005 (Office Phone ►Institution - Departemen Dalam Negeri)</v>
      </c>
    </row>
    <row r="216" spans="2:3" x14ac:dyDescent="0.2">
      <c r="B216" s="40">
        <f>IF(EXACT(SEED!$F216, ""), "", SEED!$J216)</f>
        <v>286000000000208</v>
      </c>
      <c r="C216" s="4" t="str">
        <f>IF(EXACT($B216, ""), "", CONCATENATE(SUBSTITUTE(SEED!$F216, "-", ""), " (", SEED!$E216, IF(EXACT(SEED!$C216, ""), "", CONCATENATE(" ►", SEED!$C216)), ")"))</f>
        <v>+62 (021) 383119 (Faximile ►Institution - Departemen Dalam Negeri)</v>
      </c>
    </row>
    <row r="217" spans="2:3" x14ac:dyDescent="0.2">
      <c r="B217" s="40">
        <f>IF(EXACT(SEED!$F217, ""), "", SEED!$J217)</f>
        <v>286000000000209</v>
      </c>
      <c r="C217" s="4" t="str">
        <f>IF(EXACT($B217, ""), "", CONCATENATE(SUBSTITUTE(SEED!$F217, "-", ""), " (", SEED!$E217, IF(EXACT(SEED!$C217, ""), "", CONCATENATE(" ►", SEED!$C217)), ")"))</f>
        <v>+62 81213944868 (Mobile Phone ►Institution - PT. Duta Hita Jaya)</v>
      </c>
    </row>
    <row r="218" spans="2:3" x14ac:dyDescent="0.2">
      <c r="B218" s="40">
        <f>IF(EXACT(SEED!$F218, ""), "", SEED!$J218)</f>
        <v>286000000000210</v>
      </c>
      <c r="C218" s="4" t="str">
        <f>IF(EXACT($B218, ""), "", CONCATENATE(SUBSTITUTE(SEED!$F218, "-", ""), " (", SEED!$E218, IF(EXACT(SEED!$C218, ""), "", CONCATENATE(" ►", SEED!$C218)), ")"))</f>
        <v>+62 (021) 4601088 (Office Phone ►Institution - PT. Duta Hita Jaya)</v>
      </c>
    </row>
    <row r="219" spans="2:3" x14ac:dyDescent="0.2">
      <c r="B219" s="40">
        <f>IF(EXACT(SEED!$F219, ""), "", SEED!$J219)</f>
        <v>286000000000211</v>
      </c>
      <c r="C219" s="4" t="str">
        <f>IF(EXACT($B219, ""), "", CONCATENATE(SUBSTITUTE(SEED!$F219, "-", ""), " (", SEED!$E219, IF(EXACT(SEED!$C219, ""), "", CONCATENATE(" ►", SEED!$C219)), ")"))</f>
        <v>+62 (021) 46823636 (Faximile ►Institution - PT. Duta Hita Jaya)</v>
      </c>
    </row>
    <row r="220" spans="2:3" x14ac:dyDescent="0.2">
      <c r="B220" s="40">
        <f>IF(EXACT(SEED!$F220, ""), "", SEED!$J220)</f>
        <v>286000000000212</v>
      </c>
      <c r="C220" s="4" t="str">
        <f>IF(EXACT($B220, ""), "", CONCATENATE(SUBSTITUTE(SEED!$F220, "-", ""), " (", SEED!$E220, IF(EXACT(SEED!$C220, ""), "", CONCATENATE(" ►", SEED!$C220)), ")"))</f>
        <v>+62 (021) 46823646 (Faximile ►Institution - PT. Duta Hita Jaya)</v>
      </c>
    </row>
    <row r="221" spans="2:3" x14ac:dyDescent="0.2">
      <c r="B221" s="40">
        <f>IF(EXACT(SEED!$F221, ""), "", SEED!$J221)</f>
        <v>286000000000213</v>
      </c>
      <c r="C221" s="4" t="str">
        <f>IF(EXACT($B221, ""), "", CONCATENATE(SUBSTITUTE(SEED!$F221, "-", ""), " (", SEED!$E221, IF(EXACT(SEED!$C221, ""), "", CONCATENATE(" ►", SEED!$C221)), ")"))</f>
        <v>+62 (031) 8437777 (Office Phone ►Institution - PT. Duta Pertiwi, Tbk)</v>
      </c>
    </row>
    <row r="222" spans="2:3" x14ac:dyDescent="0.2">
      <c r="B222" s="40">
        <f>IF(EXACT(SEED!$F222, ""), "", SEED!$J222)</f>
        <v>286000000000214</v>
      </c>
      <c r="C222" s="4" t="str">
        <f>IF(EXACT($B222, ""), "", CONCATENATE(SUBSTITUTE(SEED!$F222, "-", ""), " (", SEED!$E222, IF(EXACT(SEED!$C222, ""), "", CONCATENATE(" ►", SEED!$C222)), ")"))</f>
        <v>+62 (031) 8411377 (Faximile ►Institution - PT. Duta Pertiwi, Tbk)</v>
      </c>
    </row>
    <row r="223" spans="2:3" x14ac:dyDescent="0.2">
      <c r="B223" s="40">
        <f>IF(EXACT(SEED!$F223, ""), "", SEED!$J223)</f>
        <v>286000000000215</v>
      </c>
      <c r="C223" s="4" t="str">
        <f>IF(EXACT($B223, ""), "", CONCATENATE(SUBSTITUTE(SEED!$F223, "-", ""), " (", SEED!$E223, IF(EXACT(SEED!$C223, ""), "", CONCATENATE(" ►", SEED!$C223)), ")"))</f>
        <v>+62 81290034845 (Mobile Phone ►Institution - PT. Duta Realtindo Perkasa)</v>
      </c>
    </row>
    <row r="224" spans="2:3" x14ac:dyDescent="0.2">
      <c r="B224" s="40" t="str">
        <f>IF(EXACT(SEED!$F224, ""), "", SEED!$J224)</f>
        <v/>
      </c>
      <c r="C224" s="4" t="str">
        <f>IF(EXACT($B224, ""), "", CONCATENATE(SUBSTITUTE(SEED!$F224, "-", ""), " (", SEED!$E224, IF(EXACT(SEED!$C224, ""), "", CONCATENATE(" ►", SEED!$C224)), ")"))</f>
        <v/>
      </c>
    </row>
    <row r="225" spans="2:3" x14ac:dyDescent="0.2">
      <c r="B225" s="40" t="str">
        <f>IF(EXACT(SEED!$F225, ""), "", SEED!$J225)</f>
        <v/>
      </c>
      <c r="C225" s="4" t="str">
        <f>IF(EXACT($B225, ""), "", CONCATENATE(SUBSTITUTE(SEED!$F225, "-", ""), " (", SEED!$E225, IF(EXACT(SEED!$C225, ""), "", CONCATENATE(" ►", SEED!$C225)), ")"))</f>
        <v/>
      </c>
    </row>
    <row r="226" spans="2:3" x14ac:dyDescent="0.2">
      <c r="B226" s="40">
        <f>IF(EXACT(SEED!$F226, ""), "", SEED!$J226)</f>
        <v>286000000000216</v>
      </c>
      <c r="C226" s="4" t="str">
        <f>IF(EXACT($B226, ""), "", CONCATENATE(SUBSTITUTE(SEED!$F226, "-", ""), " (", SEED!$E226, IF(EXACT(SEED!$C226, ""), "", CONCATENATE(" ►", SEED!$C226)), ")"))</f>
        <v>+62 (021) 456789 (Office Phone ►Institution - PT. Esa Mitra Teknologi)</v>
      </c>
    </row>
    <row r="227" spans="2:3" x14ac:dyDescent="0.2">
      <c r="B227" s="40">
        <f>IF(EXACT(SEED!$F227, ""), "", SEED!$J227)</f>
        <v>286000000000217</v>
      </c>
      <c r="C227" s="4" t="str">
        <f>IF(EXACT($B227, ""), "", CONCATENATE(SUBSTITUTE(SEED!$F227, "-", ""), " (", SEED!$E227, IF(EXACT(SEED!$C227, ""), "", CONCATENATE(" ►", SEED!$C227)), ")"))</f>
        <v>+62 (021) 456790 (Faximile ►Institution - PT. Esa Mitra Teknologi)</v>
      </c>
    </row>
    <row r="228" spans="2:3" x14ac:dyDescent="0.2">
      <c r="B228" s="40" t="str">
        <f>IF(EXACT(SEED!$F228, ""), "", SEED!$J228)</f>
        <v/>
      </c>
      <c r="C228" s="4" t="str">
        <f>IF(EXACT($B228, ""), "", CONCATENATE(SUBSTITUTE(SEED!$F228, "-", ""), " (", SEED!$E228, IF(EXACT(SEED!$C228, ""), "", CONCATENATE(" ►", SEED!$C228)), ")"))</f>
        <v/>
      </c>
    </row>
    <row r="229" spans="2:3" x14ac:dyDescent="0.2">
      <c r="B229" s="40" t="str">
        <f>IF(EXACT(SEED!$F229, ""), "", SEED!$J229)</f>
        <v/>
      </c>
      <c r="C229" s="4" t="str">
        <f>IF(EXACT($B229, ""), "", CONCATENATE(SUBSTITUTE(SEED!$F229, "-", ""), " (", SEED!$E229, IF(EXACT(SEED!$C229, ""), "", CONCATENATE(" ►", SEED!$C229)), ")"))</f>
        <v/>
      </c>
    </row>
    <row r="230" spans="2:3" x14ac:dyDescent="0.2">
      <c r="B230" s="40" t="str">
        <f>IF(EXACT(SEED!$F230, ""), "", SEED!$J230)</f>
        <v/>
      </c>
      <c r="C230" s="4" t="str">
        <f>IF(EXACT($B230, ""), "", CONCATENATE(SUBSTITUTE(SEED!$F230, "-", ""), " (", SEED!$E230, IF(EXACT(SEED!$C230, ""), "", CONCATENATE(" ►", SEED!$C230)), ")"))</f>
        <v/>
      </c>
    </row>
    <row r="231" spans="2:3" x14ac:dyDescent="0.2">
      <c r="B231" s="40" t="str">
        <f>IF(EXACT(SEED!$F231, ""), "", SEED!$J231)</f>
        <v/>
      </c>
      <c r="C231" s="4" t="str">
        <f>IF(EXACT($B231, ""), "", CONCATENATE(SUBSTITUTE(SEED!$F231, "-", ""), " (", SEED!$E231, IF(EXACT(SEED!$C231, ""), "", CONCATENATE(" ►", SEED!$C231)), ")"))</f>
        <v/>
      </c>
    </row>
    <row r="232" spans="2:3" x14ac:dyDescent="0.2">
      <c r="B232" s="40" t="str">
        <f>IF(EXACT(SEED!$F232, ""), "", SEED!$J232)</f>
        <v/>
      </c>
      <c r="C232" s="4" t="str">
        <f>IF(EXACT($B232, ""), "", CONCATENATE(SUBSTITUTE(SEED!$F232, "-", ""), " (", SEED!$E232, IF(EXACT(SEED!$C232, ""), "", CONCATENATE(" ►", SEED!$C232)), ")"))</f>
        <v/>
      </c>
    </row>
    <row r="233" spans="2:3" x14ac:dyDescent="0.2">
      <c r="B233" s="40" t="str">
        <f>IF(EXACT(SEED!$F233, ""), "", SEED!$J233)</f>
        <v/>
      </c>
      <c r="C233" s="4" t="str">
        <f>IF(EXACT($B233, ""), "", CONCATENATE(SUBSTITUTE(SEED!$F233, "-", ""), " (", SEED!$E233, IF(EXACT(SEED!$C233, ""), "", CONCATENATE(" ►", SEED!$C233)), ")"))</f>
        <v/>
      </c>
    </row>
    <row r="234" spans="2:3" x14ac:dyDescent="0.2">
      <c r="B234" s="40" t="str">
        <f>IF(EXACT(SEED!$F234, ""), "", SEED!$J234)</f>
        <v/>
      </c>
      <c r="C234" s="4" t="str">
        <f>IF(EXACT($B234, ""), "", CONCATENATE(SUBSTITUTE(SEED!$F234, "-", ""), " (", SEED!$E234, IF(EXACT(SEED!$C234, ""), "", CONCATENATE(" ►", SEED!$C234)), ")"))</f>
        <v/>
      </c>
    </row>
    <row r="235" spans="2:3" x14ac:dyDescent="0.2">
      <c r="B235" s="40">
        <f>IF(EXACT(SEED!$F235, ""), "", SEED!$J235)</f>
        <v>286000000000218</v>
      </c>
      <c r="C235" s="4" t="str">
        <f>IF(EXACT($B235, ""), "", CONCATENATE(SUBSTITUTE(SEED!$F235, "-", ""), " (", SEED!$E235, IF(EXACT(SEED!$C235, ""), "", CONCATENATE(" ►", SEED!$C235)), ")"))</f>
        <v>+62 (022) 5201501 (Office Phone ►Institution - PT. Industri Telekomunikasi Indonesia (Persero) [a.k.a : INTI])</v>
      </c>
    </row>
    <row r="236" spans="2:3" x14ac:dyDescent="0.2">
      <c r="B236" s="40">
        <f>IF(EXACT(SEED!$F236, ""), "", SEED!$J236)</f>
        <v>286000000000219</v>
      </c>
      <c r="C236" s="4" t="str">
        <f>IF(EXACT($B236, ""), "", CONCATENATE(SUBSTITUTE(SEED!$F236, "-", ""), " (", SEED!$E236, IF(EXACT(SEED!$C236, ""), "", CONCATENATE(" ►", SEED!$C236)), ")"))</f>
        <v>+62 (022) 5202444  (Faximile ►Institution - PT. Industri Telekomunikasi Indonesia (Persero) [a.k.a : INTI])</v>
      </c>
    </row>
    <row r="237" spans="2:3" x14ac:dyDescent="0.2">
      <c r="B237" s="40">
        <f>IF(EXACT(SEED!$F237, ""), "", SEED!$J237)</f>
        <v>286000000000220</v>
      </c>
      <c r="C237" s="4" t="str">
        <f>IF(EXACT($B237, ""), "", CONCATENATE(SUBSTITUTE(SEED!$F237, "-", ""), " (", SEED!$E237, IF(EXACT(SEED!$C237, ""), "", CONCATENATE(" ►", SEED!$C237)), ")"))</f>
        <v>+62 (021) 837095 (Office Phone ►Institution - PT. Infrastruktur Bisnis Sejahtera)</v>
      </c>
    </row>
    <row r="238" spans="2:3" x14ac:dyDescent="0.2">
      <c r="B238" s="40">
        <f>IF(EXACT(SEED!$F238, ""), "", SEED!$J238)</f>
        <v>286000000000221</v>
      </c>
      <c r="C238" s="4" t="str">
        <f>IF(EXACT($B238, ""), "", CONCATENATE(SUBSTITUTE(SEED!$F238, "-", ""), " (", SEED!$E238, IF(EXACT(SEED!$C238, ""), "", CONCATENATE(" ►", SEED!$C238)), ")"))</f>
        <v>+62 (021) 30013001 (Office Phone ►Institution - PT. Intershop Prima Center)</v>
      </c>
    </row>
    <row r="239" spans="2:3" x14ac:dyDescent="0.2">
      <c r="B239" s="40">
        <f>IF(EXACT(SEED!$F239, ""), "", SEED!$J239)</f>
        <v>286000000000222</v>
      </c>
      <c r="C239" s="4" t="str">
        <f>IF(EXACT($B239, ""), "", CONCATENATE(SUBSTITUTE(SEED!$F239, "-", ""), " (", SEED!$E239, IF(EXACT(SEED!$C239, ""), "", CONCATENATE(" ►", SEED!$C239)), ")"))</f>
        <v>+62 (021) 30013002 (Faximile ►Institution - PT. Intershop Prima Center)</v>
      </c>
    </row>
    <row r="240" spans="2:3" x14ac:dyDescent="0.2">
      <c r="B240" s="40" t="str">
        <f>IF(EXACT(SEED!$F240, ""), "", SEED!$J240)</f>
        <v/>
      </c>
      <c r="C240" s="4" t="str">
        <f>IF(EXACT($B240, ""), "", CONCATENATE(SUBSTITUTE(SEED!$F240, "-", ""), " (", SEED!$E240, IF(EXACT(SEED!$C240, ""), "", CONCATENATE(" ►", SEED!$C240)), ")"))</f>
        <v/>
      </c>
    </row>
    <row r="241" spans="2:3" x14ac:dyDescent="0.2">
      <c r="B241" s="40">
        <f>IF(EXACT(SEED!$F241, ""), "", SEED!$J241)</f>
        <v>286000000000223</v>
      </c>
      <c r="C241" s="4" t="str">
        <f>IF(EXACT($B241, ""), "", CONCATENATE(SUBSTITUTE(SEED!$F241, "-", ""), " (", SEED!$E241, IF(EXACT(SEED!$C241, ""), "", CONCATENATE(" ►", SEED!$C241)), ")"))</f>
        <v>+62 (024) 8457070 (Office Phone ►Institution - PT. Karya Mitra Nugraha)</v>
      </c>
    </row>
    <row r="242" spans="2:3" x14ac:dyDescent="0.2">
      <c r="B242" s="40">
        <f>IF(EXACT(SEED!$F242, ""), "", SEED!$J242)</f>
        <v>286000000000224</v>
      </c>
      <c r="C242" s="4" t="str">
        <f>IF(EXACT($B242, ""), "", CONCATENATE(SUBSTITUTE(SEED!$F242, "-", ""), " (", SEED!$E242, IF(EXACT(SEED!$C242, ""), "", CONCATENATE(" ►", SEED!$C242)), ")"))</f>
        <v>+62 (024) 8446145 (Faximile ►Institution - PT. Karya Mitra Nugraha)</v>
      </c>
    </row>
    <row r="243" spans="2:3" x14ac:dyDescent="0.2">
      <c r="B243" s="40">
        <f>IF(EXACT(SEED!$F243, ""), "", SEED!$J243)</f>
        <v>286000000000225</v>
      </c>
      <c r="C243" s="4" t="str">
        <f>IF(EXACT($B243, ""), "", CONCATENATE(SUBSTITUTE(SEED!$F243, "-", ""), " (", SEED!$E243, IF(EXACT(SEED!$C243, ""), "", CONCATENATE(" ►", SEED!$C243)), ")"))</f>
        <v>+62 (021) 7501915 (Office Phone ►Institution - PT. Lektrika Karyatama)</v>
      </c>
    </row>
    <row r="244" spans="2:3" x14ac:dyDescent="0.2">
      <c r="B244" s="40">
        <f>IF(EXACT(SEED!$F244, ""), "", SEED!$J244)</f>
        <v>286000000000226</v>
      </c>
      <c r="C244" s="4" t="str">
        <f>IF(EXACT($B244, ""), "", CONCATENATE(SUBSTITUTE(SEED!$F244, "-", ""), " (", SEED!$E244, IF(EXACT(SEED!$C244, ""), "", CONCATENATE(" ►", SEED!$C244)), ")"))</f>
        <v>+62 (021) 7660986 (Faximile ►Institution - PT. Lektrika Karyatama)</v>
      </c>
    </row>
    <row r="245" spans="2:3" x14ac:dyDescent="0.2">
      <c r="B245" s="40">
        <f>IF(EXACT(SEED!$F245, ""), "", SEED!$J245)</f>
        <v>286000000000227</v>
      </c>
      <c r="C245" s="4" t="str">
        <f>IF(EXACT($B245, ""), "", CONCATENATE(SUBSTITUTE(SEED!$F245, "-", ""), " (", SEED!$E245, IF(EXACT(SEED!$C245, ""), "", CONCATENATE(" ►", SEED!$C245)), ")"))</f>
        <v>+62 (021) 5577775 (Office Phone ►Institution - PT. Link Net)</v>
      </c>
    </row>
    <row r="246" spans="2:3" x14ac:dyDescent="0.2">
      <c r="B246" s="40">
        <f>IF(EXACT(SEED!$F246, ""), "", SEED!$J246)</f>
        <v>286000000000228</v>
      </c>
      <c r="C246" s="4" t="str">
        <f>IF(EXACT($B246, ""), "", CONCATENATE(SUBSTITUTE(SEED!$F246, "-", ""), " (", SEED!$E246, IF(EXACT(SEED!$C246, ""), "", CONCATENATE(" ►", SEED!$C246)), ")"))</f>
        <v>+62 (021) 83780000 (Office Phone ►Institution - PT. Lintas Teknologi Indonesia)</v>
      </c>
    </row>
    <row r="247" spans="2:3" x14ac:dyDescent="0.2">
      <c r="B247" s="40">
        <f>IF(EXACT(SEED!$F247, ""), "", SEED!$J247)</f>
        <v>286000000000229</v>
      </c>
      <c r="C247" s="4" t="str">
        <f>IF(EXACT($B247, ""), "", CONCATENATE(SUBSTITUTE(SEED!$F247, "-", ""), " (", SEED!$E247, IF(EXACT(SEED!$C247, ""), "", CONCATENATE(" ►", SEED!$C247)), ")"))</f>
        <v>+62 (021) 83780001 (Faximile ►Institution - PT. Lintas Teknologi Indonesia)</v>
      </c>
    </row>
    <row r="248" spans="2:3" x14ac:dyDescent="0.2">
      <c r="B248" s="40" t="str">
        <f>IF(EXACT(SEED!$F248, ""), "", SEED!$J248)</f>
        <v/>
      </c>
      <c r="C248" s="4" t="str">
        <f>IF(EXACT($B248, ""), "", CONCATENATE(SUBSTITUTE(SEED!$F248, "-", ""), " (", SEED!$E248, IF(EXACT(SEED!$C248, ""), "", CONCATENATE(" ►", SEED!$C248)), ")"))</f>
        <v/>
      </c>
    </row>
    <row r="249" spans="2:3" x14ac:dyDescent="0.2">
      <c r="B249" s="40" t="str">
        <f>IF(EXACT(SEED!$F249, ""), "", SEED!$J249)</f>
        <v/>
      </c>
      <c r="C249" s="4" t="str">
        <f>IF(EXACT($B249, ""), "", CONCATENATE(SUBSTITUTE(SEED!$F249, "-", ""), " (", SEED!$E249, IF(EXACT(SEED!$C249, ""), "", CONCATENATE(" ►", SEED!$C249)), ")"))</f>
        <v/>
      </c>
    </row>
    <row r="250" spans="2:3" x14ac:dyDescent="0.2">
      <c r="B250" s="40" t="str">
        <f>IF(EXACT(SEED!$F250, ""), "", SEED!$J250)</f>
        <v/>
      </c>
      <c r="C250" s="4" t="str">
        <f>IF(EXACT($B250, ""), "", CONCATENATE(SUBSTITUTE(SEED!$F250, "-", ""), " (", SEED!$E250, IF(EXACT(SEED!$C250, ""), "", CONCATENATE(" ►", SEED!$C250)), ")"))</f>
        <v/>
      </c>
    </row>
    <row r="251" spans="2:3" x14ac:dyDescent="0.2">
      <c r="B251" s="40" t="str">
        <f>IF(EXACT(SEED!$F251, ""), "", SEED!$J251)</f>
        <v/>
      </c>
      <c r="C251" s="4" t="str">
        <f>IF(EXACT($B251, ""), "", CONCATENATE(SUBSTITUTE(SEED!$F251, "-", ""), " (", SEED!$E251, IF(EXACT(SEED!$C251, ""), "", CONCATENATE(" ►", SEED!$C251)), ")"))</f>
        <v/>
      </c>
    </row>
    <row r="252" spans="2:3" x14ac:dyDescent="0.2">
      <c r="B252" s="40">
        <f>IF(EXACT(SEED!$F252, ""), "", SEED!$J252)</f>
        <v>286000000000230</v>
      </c>
      <c r="C252" s="4" t="str">
        <f>IF(EXACT($B252, ""), "", CONCATENATE(SUBSTITUTE(SEED!$F252, "-", ""), " (", SEED!$E252, IF(EXACT(SEED!$C252, ""), "", CONCATENATE(" ►", SEED!$C252)), ")"))</f>
        <v>+62 (021) 39833222 (Office Phone ►Institution - PT. Pertamina Geothermal Energy)</v>
      </c>
    </row>
    <row r="253" spans="2:3" x14ac:dyDescent="0.2">
      <c r="B253" s="40">
        <f>IF(EXACT(SEED!$F253, ""), "", SEED!$J253)</f>
        <v>286000000000231</v>
      </c>
      <c r="C253" s="4" t="str">
        <f>IF(EXACT($B253, ""), "", CONCATENATE(SUBSTITUTE(SEED!$F253, "-", ""), " (", SEED!$E253, IF(EXACT(SEED!$C253, ""), "", CONCATENATE(" ►", SEED!$C253)), ")"))</f>
        <v>+62 (021) 39833150 (Office Phone ►Institution - PT. Pertamina Geothermal Energy)</v>
      </c>
    </row>
    <row r="254" spans="2:3" x14ac:dyDescent="0.2">
      <c r="B254" s="40">
        <f>IF(EXACT(SEED!$F254, ""), "", SEED!$J254)</f>
        <v>286000000000232</v>
      </c>
      <c r="C254" s="4" t="str">
        <f>IF(EXACT($B254, ""), "", CONCATENATE(SUBSTITUTE(SEED!$F254, "-", ""), " (", SEED!$E254, IF(EXACT(SEED!$C254, ""), "", CONCATENATE(" ►", SEED!$C254)), ")"))</f>
        <v>+62 (021) 39833230 (Faximile ►Institution - PT. Pertamina Geothermal Energy)</v>
      </c>
    </row>
    <row r="255" spans="2:3" x14ac:dyDescent="0.2">
      <c r="B255" s="40" t="str">
        <f>IF(EXACT(SEED!$F255, ""), "", SEED!$J255)</f>
        <v/>
      </c>
      <c r="C255" s="4" t="str">
        <f>IF(EXACT($B255, ""), "", CONCATENATE(SUBSTITUTE(SEED!$F255, "-", ""), " (", SEED!$E255, IF(EXACT(SEED!$C255, ""), "", CONCATENATE(" ►", SEED!$C255)), ")"))</f>
        <v/>
      </c>
    </row>
    <row r="256" spans="2:3" x14ac:dyDescent="0.2">
      <c r="B256" s="40" t="str">
        <f>IF(EXACT(SEED!$F256, ""), "", SEED!$J256)</f>
        <v/>
      </c>
      <c r="C256" s="4" t="str">
        <f>IF(EXACT($B256, ""), "", CONCATENATE(SUBSTITUTE(SEED!$F256, "-", ""), " (", SEED!$E256, IF(EXACT(SEED!$C256, ""), "", CONCATENATE(" ►", SEED!$C256)), ")"))</f>
        <v/>
      </c>
    </row>
    <row r="257" spans="2:3" x14ac:dyDescent="0.2">
      <c r="B257" s="40" t="str">
        <f>IF(EXACT(SEED!$F257, ""), "", SEED!$J257)</f>
        <v/>
      </c>
      <c r="C257" s="4" t="str">
        <f>IF(EXACT($B257, ""), "", CONCATENATE(SUBSTITUTE(SEED!$F257, "-", ""), " (", SEED!$E257, IF(EXACT(SEED!$C257, ""), "", CONCATENATE(" ►", SEED!$C257)), ")"))</f>
        <v/>
      </c>
    </row>
    <row r="258" spans="2:3" x14ac:dyDescent="0.2">
      <c r="B258" s="40" t="str">
        <f>IF(EXACT(SEED!$F258, ""), "", SEED!$J258)</f>
        <v/>
      </c>
      <c r="C258" s="4" t="str">
        <f>IF(EXACT($B258, ""), "", CONCATENATE(SUBSTITUTE(SEED!$F258, "-", ""), " (", SEED!$E258, IF(EXACT(SEED!$C258, ""), "", CONCATENATE(" ►", SEED!$C258)), ")"))</f>
        <v/>
      </c>
    </row>
    <row r="259" spans="2:3" x14ac:dyDescent="0.2">
      <c r="B259" s="40">
        <f>IF(EXACT(SEED!$F259, ""), "", SEED!$J259)</f>
        <v>286000000000233</v>
      </c>
      <c r="C259" s="4" t="str">
        <f>IF(EXACT($B259, ""), "", CONCATENATE(SUBSTITUTE(SEED!$F259, "-", ""), " (", SEED!$E259, IF(EXACT(SEED!$C259, ""), "", CONCATENATE(" ►", SEED!$C259)), ")"))</f>
        <v>+62 (0370) 638884 (Office Phone ►Institution - PT. Pelayanan Listrik Nasional (Persero) - Unit Induk Pembangunan Nusa Tenggara)</v>
      </c>
    </row>
    <row r="260" spans="2:3" x14ac:dyDescent="0.2">
      <c r="B260" s="40">
        <f>IF(EXACT(SEED!$F260, ""), "", SEED!$J260)</f>
        <v>286000000000234</v>
      </c>
      <c r="C260" s="4" t="str">
        <f>IF(EXACT($B260, ""), "", CONCATENATE(SUBSTITUTE(SEED!$F260, "-", ""), " (", SEED!$E260, IF(EXACT(SEED!$C260, ""), "", CONCATENATE(" ►", SEED!$C260)), ")"))</f>
        <v>+62 (0370) 627631 (Faximile ►Institution - PT. Pelayanan Listrik Nasional (Persero) - Unit Induk Pembangunan Nusa Tenggara)</v>
      </c>
    </row>
    <row r="261" spans="2:3" x14ac:dyDescent="0.2">
      <c r="B261" s="40" t="str">
        <f>IF(EXACT(SEED!$F261, ""), "", SEED!$J261)</f>
        <v/>
      </c>
      <c r="C261" s="4" t="str">
        <f>IF(EXACT($B261, ""), "", CONCATENATE(SUBSTITUTE(SEED!$F261, "-", ""), " (", SEED!$E261, IF(EXACT(SEED!$C261, ""), "", CONCATENATE(" ►", SEED!$C261)), ")"))</f>
        <v/>
      </c>
    </row>
    <row r="262" spans="2:3" x14ac:dyDescent="0.2">
      <c r="B262" s="40">
        <f>IF(EXACT(SEED!$F262, ""), "", SEED!$J262)</f>
        <v>286000000000235</v>
      </c>
      <c r="C262" s="4" t="str">
        <f>IF(EXACT($B262, ""), "", CONCATENATE(SUBSTITUTE(SEED!$F262, "-", ""), " (", SEED!$E262, IF(EXACT(SEED!$C262, ""), "", CONCATENATE(" ►", SEED!$C262)), ")"))</f>
        <v>+62 (021) 6921209 (Office Phone ►Institution - PT. Pelayanan Listrik Nasional (Persero) - P2B Jawa Bali APB Jawa Tengah &amp; DIY)</v>
      </c>
    </row>
    <row r="263" spans="2:3" x14ac:dyDescent="0.2">
      <c r="B263" s="40">
        <f>IF(EXACT(SEED!$F263, ""), "", SEED!$J263)</f>
        <v>286000000000236</v>
      </c>
      <c r="C263" s="4" t="str">
        <f>IF(EXACT($B263, ""), "", CONCATENATE(SUBSTITUTE(SEED!$F263, "-", ""), " (", SEED!$E263, IF(EXACT(SEED!$C263, ""), "", CONCATENATE(" ►", SEED!$C263)), ")"))</f>
        <v>+62 (021) 6922402 (Faximile ►Institution - PT. Pelayanan Listrik Nasional (Persero) - P2B Jawa Bali APB Jawa Tengah &amp; DIY)</v>
      </c>
    </row>
    <row r="264" spans="2:3" x14ac:dyDescent="0.2">
      <c r="B264" s="40" t="str">
        <f>IF(EXACT(SEED!$F264, ""), "", SEED!$J264)</f>
        <v/>
      </c>
      <c r="C264" s="4" t="str">
        <f>IF(EXACT($B264, ""), "", CONCATENATE(SUBSTITUTE(SEED!$F264, "-", ""), " (", SEED!$E264, IF(EXACT(SEED!$C264, ""), "", CONCATENATE(" ►", SEED!$C264)), ")"))</f>
        <v/>
      </c>
    </row>
    <row r="265" spans="2:3" x14ac:dyDescent="0.2">
      <c r="B265" s="40">
        <f>IF(EXACT(SEED!$F265, ""), "", SEED!$J265)</f>
        <v>286000000000237</v>
      </c>
      <c r="C265" s="4" t="str">
        <f>IF(EXACT($B265, ""), "", CONCATENATE(SUBSTITUTE(SEED!$F265, "-", ""), " (", SEED!$E265, IF(EXACT(SEED!$C265, ""), "", CONCATENATE(" ►", SEED!$C265)), ")"))</f>
        <v>+62 (021) 56950412 (Office Phone ►Institution - PT. Pelayanan Listrik Nasional (Persero) - Unit Induk Pembangunan Interkoneksi Sumatera Jawa)</v>
      </c>
    </row>
    <row r="266" spans="2:3" x14ac:dyDescent="0.2">
      <c r="B266" s="40">
        <f>IF(EXACT(SEED!$F266, ""), "", SEED!$J266)</f>
        <v>286000000000238</v>
      </c>
      <c r="C266" s="4" t="str">
        <f>IF(EXACT($B266, ""), "", CONCATENATE(SUBSTITUTE(SEED!$F266, "-", ""), " (", SEED!$E266, IF(EXACT(SEED!$C266, ""), "", CONCATENATE(" ►", SEED!$C266)), ")"))</f>
        <v>+62 (021) 56950413 (Faximile ►Institution - PT. Pelayanan Listrik Nasional (Persero) - Unit Induk Pembangunan Interkoneksi Sumatera Jawa)</v>
      </c>
    </row>
    <row r="267" spans="2:3" x14ac:dyDescent="0.2">
      <c r="B267" s="40" t="str">
        <f>IF(EXACT(SEED!$F267, ""), "", SEED!$J267)</f>
        <v/>
      </c>
      <c r="C267" s="4" t="str">
        <f>IF(EXACT($B267, ""), "", CONCATENATE(SUBSTITUTE(SEED!$F267, "-", ""), " (", SEED!$E267, IF(EXACT(SEED!$C267, ""), "", CONCATENATE(" ►", SEED!$C267)), ")"))</f>
        <v/>
      </c>
    </row>
    <row r="268" spans="2:3" x14ac:dyDescent="0.2">
      <c r="B268" s="40" t="str">
        <f>IF(EXACT(SEED!$F268, ""), "", SEED!$J268)</f>
        <v/>
      </c>
      <c r="C268" s="4" t="str">
        <f>IF(EXACT($B268, ""), "", CONCATENATE(SUBSTITUTE(SEED!$F268, "-", ""), " (", SEED!$E268, IF(EXACT(SEED!$C268, ""), "", CONCATENATE(" ►", SEED!$C268)), ")"))</f>
        <v/>
      </c>
    </row>
    <row r="269" spans="2:3" x14ac:dyDescent="0.2">
      <c r="B269" s="40">
        <f>IF(EXACT(SEED!$F269, ""), "", SEED!$J269)</f>
        <v>286000000000239</v>
      </c>
      <c r="C269" s="4" t="str">
        <f>IF(EXACT($B269, ""), "", CONCATENATE(SUBSTITUTE(SEED!$F269, "-", ""), " (", SEED!$E269, IF(EXACT(SEED!$C269, ""), "", CONCATENATE(" ►", SEED!$C269)), ")"))</f>
        <v>+62 (021) 23585500 (Office Phone ►Institution - PT. Protelindo [a.k.a : PLN])</v>
      </c>
    </row>
    <row r="270" spans="2:3" x14ac:dyDescent="0.2">
      <c r="B270" s="40">
        <f>IF(EXACT(SEED!$F270, ""), "", SEED!$J270)</f>
        <v>286000000000240</v>
      </c>
      <c r="C270" s="4" t="str">
        <f>IF(EXACT($B270, ""), "", CONCATENATE(SUBSTITUTE(SEED!$F270, "-", ""), " (", SEED!$E270, IF(EXACT(SEED!$C270, ""), "", CONCATENATE(" ►", SEED!$C270)), ")"))</f>
        <v>+62 (021) 23586446 (Faximile ►Institution - PT. Protelindo [a.k.a : PLN])</v>
      </c>
    </row>
    <row r="271" spans="2:3" x14ac:dyDescent="0.2">
      <c r="B271" s="40" t="str">
        <f>IF(EXACT(SEED!$F271, ""), "", SEED!$J271)</f>
        <v/>
      </c>
      <c r="C271" s="4" t="str">
        <f>IF(EXACT($B271, ""), "", CONCATENATE(SUBSTITUTE(SEED!$F271, "-", ""), " (", SEED!$E271, IF(EXACT(SEED!$C271, ""), "", CONCATENATE(" ►", SEED!$C271)), ")"))</f>
        <v/>
      </c>
    </row>
    <row r="272" spans="2:3" x14ac:dyDescent="0.2">
      <c r="B272" s="40">
        <f>IF(EXACT(SEED!$F272, ""), "", SEED!$J272)</f>
        <v>286000000000241</v>
      </c>
      <c r="C272" s="4" t="str">
        <f>IF(EXACT($B272, ""), "", CONCATENATE(SUBSTITUTE(SEED!$F272, "-", ""), " (", SEED!$E272, IF(EXACT(SEED!$C272, ""), "", CONCATENATE(" ►", SEED!$C272)), ")"))</f>
        <v>+62 (021) 39838929 (Office Phone ►Institution - PT. Rekadaya Elektrika)</v>
      </c>
    </row>
    <row r="273" spans="2:3" x14ac:dyDescent="0.2">
      <c r="B273" s="40">
        <f>IF(EXACT(SEED!$F273, ""), "", SEED!$J273)</f>
        <v>286000000000242</v>
      </c>
      <c r="C273" s="4" t="str">
        <f>IF(EXACT($B273, ""), "", CONCATENATE(SUBSTITUTE(SEED!$F273, "-", ""), " (", SEED!$E273, IF(EXACT(SEED!$C273, ""), "", CONCATENATE(" ►", SEED!$C273)), ")"))</f>
        <v>+62 (021) 39838930 (Faximile ►Institution - PT. Rekadaya Elektrika)</v>
      </c>
    </row>
    <row r="274" spans="2:3" x14ac:dyDescent="0.2">
      <c r="B274" s="40">
        <f>IF(EXACT(SEED!$F274, ""), "", SEED!$J274)</f>
        <v>286000000000243</v>
      </c>
      <c r="C274" s="4" t="str">
        <f>IF(EXACT($B274, ""), "", CONCATENATE(SUBSTITUTE(SEED!$F274, "-", ""), " (", SEED!$E274, IF(EXACT(SEED!$C274, ""), "", CONCATENATE(" ►", SEED!$C274)), ")"))</f>
        <v>+62 (029) 54790002 (Office Phone ►Institution - CV. Sejahtera Mandiri)</v>
      </c>
    </row>
    <row r="275" spans="2:3" x14ac:dyDescent="0.2">
      <c r="B275" s="40">
        <f>IF(EXACT(SEED!$F275, ""), "", SEED!$J275)</f>
        <v>286000000000244</v>
      </c>
      <c r="C275" s="4" t="str">
        <f>IF(EXACT($B275, ""), "", CONCATENATE(SUBSTITUTE(SEED!$F275, "-", ""), " (", SEED!$E275, IF(EXACT(SEED!$C275, ""), "", CONCATENATE(" ►", SEED!$C275)), ")"))</f>
        <v>+62 (029) 55516767 (Faximile ►Institution - CV. Sejahtera Mandiri)</v>
      </c>
    </row>
    <row r="276" spans="2:3" x14ac:dyDescent="0.2">
      <c r="B276" s="40" t="str">
        <f>IF(EXACT(SEED!$F276, ""), "", SEED!$J276)</f>
        <v/>
      </c>
      <c r="C276" s="4" t="str">
        <f>IF(EXACT($B276, ""), "", CONCATENATE(SUBSTITUTE(SEED!$F276, "-", ""), " (", SEED!$E276, IF(EXACT(SEED!$C276, ""), "", CONCATENATE(" ►", SEED!$C276)), ")"))</f>
        <v/>
      </c>
    </row>
    <row r="277" spans="2:3" x14ac:dyDescent="0.2">
      <c r="B277" s="40" t="str">
        <f>IF(EXACT(SEED!$F277, ""), "", SEED!$J277)</f>
        <v/>
      </c>
      <c r="C277" s="4" t="str">
        <f>IF(EXACT($B277, ""), "", CONCATENATE(SUBSTITUTE(SEED!$F277, "-", ""), " (", SEED!$E277, IF(EXACT(SEED!$C277, ""), "", CONCATENATE(" ►", SEED!$C277)), ")"))</f>
        <v/>
      </c>
    </row>
    <row r="278" spans="2:3" x14ac:dyDescent="0.2">
      <c r="B278" s="40" t="str">
        <f>IF(EXACT(SEED!$F278, ""), "", SEED!$J278)</f>
        <v/>
      </c>
      <c r="C278" s="4" t="str">
        <f>IF(EXACT($B278, ""), "", CONCATENATE(SUBSTITUTE(SEED!$F278, "-", ""), " (", SEED!$E278, IF(EXACT(SEED!$C278, ""), "", CONCATENATE(" ►", SEED!$C278)), ")"))</f>
        <v/>
      </c>
    </row>
    <row r="279" spans="2:3" x14ac:dyDescent="0.2">
      <c r="B279" s="40" t="str">
        <f>IF(EXACT(SEED!$F279, ""), "", SEED!$J279)</f>
        <v/>
      </c>
      <c r="C279" s="4" t="str">
        <f>IF(EXACT($B279, ""), "", CONCATENATE(SUBSTITUTE(SEED!$F279, "-", ""), " (", SEED!$E279, IF(EXACT(SEED!$C279, ""), "", CONCATENATE(" ►", SEED!$C279)), ")"))</f>
        <v/>
      </c>
    </row>
    <row r="280" spans="2:3" x14ac:dyDescent="0.2">
      <c r="B280" s="40">
        <f>IF(EXACT(SEED!$F280, ""), "", SEED!$J280)</f>
        <v>286000000000245</v>
      </c>
      <c r="C280" s="4" t="str">
        <f>IF(EXACT($B280, ""), "", CONCATENATE(SUBSTITUTE(SEED!$F280, "-", ""), " (", SEED!$E280, IF(EXACT(SEED!$C280, ""), "", CONCATENATE(" ►", SEED!$C280)), ")"))</f>
        <v>+62 (021) 29337000 (Office Phone ►Institution - PT. Telkom Akses)</v>
      </c>
    </row>
    <row r="281" spans="2:3" x14ac:dyDescent="0.2">
      <c r="B281" s="40">
        <f>IF(EXACT(SEED!$F281, ""), "", SEED!$J281)</f>
        <v>286000000000246</v>
      </c>
      <c r="C281" s="4" t="str">
        <f>IF(EXACT($B281, ""), "", CONCATENATE(SUBSTITUTE(SEED!$F281, "-", ""), " (", SEED!$E281, IF(EXACT(SEED!$C281, ""), "", CONCATENATE(" ►", SEED!$C281)), ")"))</f>
        <v>+62 (021) 29336000 (Faximile ►Institution - PT. Telkom Akses)</v>
      </c>
    </row>
    <row r="282" spans="2:3" x14ac:dyDescent="0.2">
      <c r="B282" s="40" t="str">
        <f>IF(EXACT(SEED!$F282, ""), "", SEED!$J282)</f>
        <v/>
      </c>
      <c r="C282" s="4" t="str">
        <f>IF(EXACT($B282, ""), "", CONCATENATE(SUBSTITUTE(SEED!$F282, "-", ""), " (", SEED!$E282, IF(EXACT(SEED!$C282, ""), "", CONCATENATE(" ►", SEED!$C282)), ")"))</f>
        <v/>
      </c>
    </row>
    <row r="283" spans="2:3" x14ac:dyDescent="0.2">
      <c r="B283" s="40" t="str">
        <f>IF(EXACT(SEED!$F283, ""), "", SEED!$J283)</f>
        <v/>
      </c>
      <c r="C283" s="4" t="str">
        <f>IF(EXACT($B283, ""), "", CONCATENATE(SUBSTITUTE(SEED!$F283, "-", ""), " (", SEED!$E283, IF(EXACT(SEED!$C283, ""), "", CONCATENATE(" ►", SEED!$C283)), ")"))</f>
        <v/>
      </c>
    </row>
    <row r="284" spans="2:3" x14ac:dyDescent="0.2">
      <c r="B284" s="40">
        <f>IF(EXACT(SEED!$F284, ""), "", SEED!$J284)</f>
        <v>286000000000247</v>
      </c>
      <c r="C284" s="4" t="str">
        <f>IF(EXACT($B284, ""), "", CONCATENATE(SUBSTITUTE(SEED!$F284, "-", ""), " (", SEED!$E284, IF(EXACT(SEED!$C284, ""), "", CONCATENATE(" ►", SEED!$C284)), ")"))</f>
        <v>+62 (021) 8515550 (Office Phone ►Institution - PT. Waskita Karya (Persero), Tbk)</v>
      </c>
    </row>
    <row r="285" spans="2:3" x14ac:dyDescent="0.2">
      <c r="B285" s="40">
        <f>IF(EXACT(SEED!$F285, ""), "", SEED!$J285)</f>
        <v>286000000000248</v>
      </c>
      <c r="C285" s="4" t="str">
        <f>IF(EXACT($B285, ""), "", CONCATENATE(SUBSTITUTE(SEED!$F285, "-", ""), " (", SEED!$E285, IF(EXACT(SEED!$C285, ""), "", CONCATENATE(" ►", SEED!$C285)), ")"))</f>
        <v>+62 (021) 8515510 (Faximile ►Institution - PT. Waskita Karya (Persero), Tbk)</v>
      </c>
    </row>
    <row r="286" spans="2:3" x14ac:dyDescent="0.2">
      <c r="B286" s="40">
        <f>IF(EXACT(SEED!$F286, ""), "", SEED!$J286)</f>
        <v>286000000000249</v>
      </c>
      <c r="C286" s="4" t="str">
        <f>IF(EXACT($B286, ""), "", CONCATENATE(SUBSTITUTE(SEED!$F286, "-", ""), " (", SEED!$E286, IF(EXACT(SEED!$C286, ""), "", CONCATENATE(" ►", SEED!$C286)), ")"))</f>
        <v>+62 (0295) 4790002  (Office Phone ►Institution - PT. Widodo Karya Sejahtera)</v>
      </c>
    </row>
    <row r="287" spans="2:3" x14ac:dyDescent="0.2">
      <c r="B287" s="40">
        <f>IF(EXACT(SEED!$F287, ""), "", SEED!$J287)</f>
        <v>286000000000250</v>
      </c>
      <c r="C287" s="4" t="str">
        <f>IF(EXACT($B287, ""), "", CONCATENATE(SUBSTITUTE(SEED!$F287, "-", ""), " (", SEED!$E287, IF(EXACT(SEED!$C287, ""), "", CONCATENATE(" ►", SEED!$C287)), ")"))</f>
        <v>+62 (0295) 4790011 (Faximile ►Institution - PT. Widodo Karya Sejahtera)</v>
      </c>
    </row>
    <row r="288" spans="2:3" x14ac:dyDescent="0.2">
      <c r="B288" s="40" t="str">
        <f>IF(EXACT(SEED!$F288, ""), "", SEED!$J288)</f>
        <v/>
      </c>
      <c r="C288" s="4" t="str">
        <f>IF(EXACT($B288, ""), "", CONCATENATE(SUBSTITUTE(SEED!$F288, "-", ""), " (", SEED!$E288, IF(EXACT(SEED!$C288, ""), "", CONCATENATE(" ►", SEED!$C288)), ")"))</f>
        <v/>
      </c>
    </row>
    <row r="289" spans="2:3" x14ac:dyDescent="0.2">
      <c r="B289" s="40" t="str">
        <f>IF(EXACT(SEED!$F289, ""), "", SEED!$J289)</f>
        <v/>
      </c>
      <c r="C289" s="4" t="str">
        <f>IF(EXACT($B289, ""), "", CONCATENATE(SUBSTITUTE(SEED!$F289, "-", ""), " (", SEED!$E289, IF(EXACT(SEED!$C289, ""), "", CONCATENATE(" ►", SEED!$C289)), ")"))</f>
        <v/>
      </c>
    </row>
    <row r="290" spans="2:3" x14ac:dyDescent="0.2">
      <c r="B290" s="40">
        <f>IF(EXACT(SEED!$F290, ""), "", SEED!$J290)</f>
        <v>286000000000251</v>
      </c>
      <c r="C290" s="4" t="str">
        <f>IF(EXACT($B290, ""), "", CONCATENATE(SUBSTITUTE(SEED!$F290, "-", ""), " (", SEED!$E290, IF(EXACT(SEED!$C290, ""), "", CONCATENATE(" ►", SEED!$C290)), ")"))</f>
        <v>+62 (021) 5292248 (Office Phone ►Institution - PT. ZTE Indonesia)</v>
      </c>
    </row>
    <row r="291" spans="2:3" x14ac:dyDescent="0.2">
      <c r="B291" s="40">
        <f>IF(EXACT(SEED!$F291, ""), "", SEED!$J291)</f>
        <v>286000000000252</v>
      </c>
      <c r="C291" s="4" t="str">
        <f>IF(EXACT($B291, ""), "", CONCATENATE(SUBSTITUTE(SEED!$F291, "-", ""), " (", SEED!$E291, IF(EXACT(SEED!$C291, ""), "", CONCATENATE(" ►", SEED!$C291)), ")"))</f>
        <v>+62 (021) 83708877 (Office Phone ►Institution - PT. Sansaine Exindo)</v>
      </c>
    </row>
    <row r="292" spans="2:3" x14ac:dyDescent="0.2">
      <c r="B292" s="40">
        <f>IF(EXACT(SEED!$F292, ""), "", SEED!$J292)</f>
        <v>286000000000253</v>
      </c>
      <c r="C292" s="4" t="str">
        <f>IF(EXACT($B292, ""), "", CONCATENATE(SUBSTITUTE(SEED!$F292, "-", ""), " (", SEED!$E292, IF(EXACT(SEED!$C292, ""), "", CONCATENATE(" ►", SEED!$C292)), ")"))</f>
        <v>+62 (021) 83780487 (Faximile ►Institution - PT. Sansaine Exindo)</v>
      </c>
    </row>
    <row r="293" spans="2:3" x14ac:dyDescent="0.2">
      <c r="B293" s="40">
        <f>IF(EXACT(SEED!$F293, ""), "", SEED!$J293)</f>
        <v>286000000000254</v>
      </c>
      <c r="C293" s="4" t="str">
        <f>IF(EXACT($B293, ""), "", CONCATENATE(SUBSTITUTE(SEED!$F293, "-", ""), " (", SEED!$E293, IF(EXACT(SEED!$C293, ""), "", CONCATENATE(" ►", SEED!$C293)), ")"))</f>
        <v>+62 82137999898 (Mobile Phone ►Institution - Indo Jaya Scaffolding)</v>
      </c>
    </row>
    <row r="294" spans="2:3" x14ac:dyDescent="0.2">
      <c r="B294" s="40">
        <f>IF(EXACT(SEED!$F294, ""), "", SEED!$J294)</f>
        <v>286000000000255</v>
      </c>
      <c r="C294" s="4" t="str">
        <f>IF(EXACT($B294, ""), "", CONCATENATE(SUBSTITUTE(SEED!$F294, "-", ""), " (", SEED!$E294, IF(EXACT(SEED!$C294, ""), "", CONCATENATE(" ►", SEED!$C294)), ")"))</f>
        <v>+62 (021) 8403883 (Office Phone ►Institution - PT. Pembangunan Perumahan (Persero), Tbk [a.k.a : PP])</v>
      </c>
    </row>
    <row r="295" spans="2:3" x14ac:dyDescent="0.2">
      <c r="B295" s="40">
        <f>IF(EXACT(SEED!$F295, ""), "", SEED!$J295)</f>
        <v>286000000000256</v>
      </c>
      <c r="C295" s="4" t="str">
        <f>IF(EXACT($B295, ""), "", CONCATENATE(SUBSTITUTE(SEED!$F295, "-", ""), " (", SEED!$E295, IF(EXACT(SEED!$C295, ""), "", CONCATENATE(" ►", SEED!$C295)), ")"))</f>
        <v>+62 (021) 8403936 (Faximile ►Institution - PT. Pembangunan Perumahan (Persero), Tbk [a.k.a : PP])</v>
      </c>
    </row>
    <row r="296" spans="2:3" x14ac:dyDescent="0.2">
      <c r="B296" s="40">
        <f>IF(EXACT(SEED!$F296, ""), "", SEED!$J296)</f>
        <v>286000000000257</v>
      </c>
      <c r="C296" s="4" t="str">
        <f>IF(EXACT($B296, ""), "", CONCATENATE(SUBSTITUTE(SEED!$F296, "-", ""), " (", SEED!$E296, IF(EXACT(SEED!$C296, ""), "", CONCATENATE(" ►", SEED!$C296)), ")"))</f>
        <v>+62 8118771506 (Mobile Phone ►Institution - Linus Nusa Express)</v>
      </c>
    </row>
    <row r="297" spans="2:3" x14ac:dyDescent="0.2">
      <c r="B297" s="40">
        <f>IF(EXACT(SEED!$F297, ""), "", SEED!$J297)</f>
        <v>286000000000258</v>
      </c>
      <c r="C297" s="4" t="str">
        <f>IF(EXACT($B297, ""), "", CONCATENATE(SUBSTITUTE(SEED!$F297, "-", ""), " (", SEED!$E297, IF(EXACT(SEED!$C297, ""), "", CONCATENATE(" ►", SEED!$C297)), ")"))</f>
        <v>+62 (021) 827667731 (Faximile ►Institution - Linus Nusa Express)</v>
      </c>
    </row>
    <row r="298" spans="2:3" x14ac:dyDescent="0.2">
      <c r="B298" s="40">
        <f>IF(EXACT(SEED!$F298, ""), "", SEED!$J298)</f>
        <v>286000000000259</v>
      </c>
      <c r="C298" s="4" t="str">
        <f>IF(EXACT($B298, ""), "", CONCATENATE(SUBSTITUTE(SEED!$F298, "-", ""), " (", SEED!$E298, IF(EXACT(SEED!$C298, ""), "", CONCATENATE(" ►", SEED!$C298)), ")"))</f>
        <v>+62 (021) 21242777 (Office Phone ►Institution - PT. Penjaminan Jamkrindo Syariah)</v>
      </c>
    </row>
    <row r="299" spans="2:3" x14ac:dyDescent="0.2">
      <c r="B299" s="40">
        <f>IF(EXACT(SEED!$F299, ""), "", SEED!$J299)</f>
        <v>286000000000260</v>
      </c>
      <c r="C299" s="4" t="str">
        <f>IF(EXACT($B299, ""), "", CONCATENATE(SUBSTITUTE(SEED!$F299, "-", ""), " (", SEED!$E299, IF(EXACT(SEED!$C299, ""), "", CONCATENATE(" ►", SEED!$C299)), ")"))</f>
        <v>+62 (021) 50870370 (Office Phone ►Institution - PT. Larsen And Tourbo)</v>
      </c>
    </row>
    <row r="300" spans="2:3" x14ac:dyDescent="0.2">
      <c r="B300" s="40">
        <f>IF(EXACT(SEED!$F300, ""), "", SEED!$J300)</f>
        <v>286000000000261</v>
      </c>
      <c r="C300" s="4" t="str">
        <f>IF(EXACT($B300, ""), "", CONCATENATE(SUBSTITUTE(SEED!$F300, "-", ""), " (", SEED!$E300, IF(EXACT(SEED!$C300, ""), "", CONCATENATE(" ►", SEED!$C300)), ")"))</f>
        <v>+62 (0561) 762580 (Office Phone ►Institution - PT. Pelayanan Listrik Nasional (Persero) - Unit Induk Pembangunan Kalimantan Bagian Barat)</v>
      </c>
    </row>
    <row r="301" spans="2:3" x14ac:dyDescent="0.2">
      <c r="B301" s="40">
        <f>IF(EXACT(SEED!$F301, ""), "", SEED!$J301)</f>
        <v>286000000000262</v>
      </c>
      <c r="C301" s="4" t="str">
        <f>IF(EXACT($B301, ""), "", CONCATENATE(SUBSTITUTE(SEED!$F301, "-", ""), " (", SEED!$E301, IF(EXACT(SEED!$C301, ""), "", CONCATENATE(" ►", SEED!$C301)), ")"))</f>
        <v>+62 (0561) 762579 (Faximile ►Institution - PT. Pelayanan Listrik Nasional (Persero) - Unit Induk Pembangunan Kalimantan Bagian Barat)</v>
      </c>
    </row>
    <row r="302" spans="2:3" x14ac:dyDescent="0.2">
      <c r="B302" s="40">
        <f>IF(EXACT(SEED!$F302, ""), "", SEED!$J302)</f>
        <v>286000000000263</v>
      </c>
      <c r="C302" s="4" t="str">
        <f>IF(EXACT($B302, ""), "", CONCATENATE(SUBSTITUTE(SEED!$F302, "-", ""), " (", SEED!$E302, IF(EXACT(SEED!$C302, ""), "", CONCATENATE(" ►", SEED!$C302)), ")"))</f>
        <v>+62 (0761) 6704881 (Office Phone ►Institution - PT. Pelayanan Listrik Nasional (Persero) - Unit Induk Pembangunan Sumatera Bagian Tengah)</v>
      </c>
    </row>
    <row r="303" spans="2:3" x14ac:dyDescent="0.2">
      <c r="B303" s="40">
        <f>IF(EXACT(SEED!$F303, ""), "", SEED!$J303)</f>
        <v>286000000000264</v>
      </c>
      <c r="C303" s="4" t="str">
        <f>IF(EXACT($B303, ""), "", CONCATENATE(SUBSTITUTE(SEED!$F303, "-", ""), " (", SEED!$E303, IF(EXACT(SEED!$C303, ""), "", CONCATENATE(" ►", SEED!$C303)), ")"))</f>
        <v>+62 (0761) 6704882 (Faximile ►Institution - PT. Pelayanan Listrik Nasional (Persero) - Unit Induk Pembangunan Sumatera Bagian Tengah)</v>
      </c>
    </row>
    <row r="304" spans="2:3" x14ac:dyDescent="0.2">
      <c r="B304" s="40">
        <f>IF(EXACT(SEED!$F304, ""), "", SEED!$J304)</f>
        <v>286000000000265</v>
      </c>
      <c r="C304" s="4" t="str">
        <f>IF(EXACT($B304, ""), "", CONCATENATE(SUBSTITUTE(SEED!$F304, "-", ""), " (", SEED!$E304, IF(EXACT(SEED!$C304, ""), "", CONCATENATE(" ►", SEED!$C304)), ")"))</f>
        <v>+62 (021) 50509888 (Office Phone ►Institution - PT. Asuransi Sinar Mas )</v>
      </c>
    </row>
    <row r="305" spans="2:3" x14ac:dyDescent="0.2">
      <c r="B305" s="40">
        <f>IF(EXACT(SEED!$F305, ""), "", SEED!$J305)</f>
        <v>286000000000266</v>
      </c>
      <c r="C305" s="4" t="str">
        <f>IF(EXACT($B305, ""), "", CONCATENATE(SUBSTITUTE(SEED!$F305, "-", ""), " (", SEED!$E305, IF(EXACT(SEED!$C305, ""), "", CONCATENATE(" ►", SEED!$C305)), ")"))</f>
        <v>+62 (021) 29189999 (Faximile ►Institution - PT. Asuransi Sinar Mas )</v>
      </c>
    </row>
    <row r="306" spans="2:3" x14ac:dyDescent="0.2">
      <c r="B306" s="40" t="str">
        <f>IF(EXACT(SEED!$F306, ""), "", SEED!$J306)</f>
        <v/>
      </c>
      <c r="C306" s="4" t="str">
        <f>IF(EXACT($B306, ""), "", CONCATENATE(SUBSTITUTE(SEED!$F306, "-", ""), " (", SEED!$E306, IF(EXACT(SEED!$C306, ""), "", CONCATENATE(" ►", SEED!$C306)), ")"))</f>
        <v/>
      </c>
    </row>
    <row r="307" spans="2:3" x14ac:dyDescent="0.2">
      <c r="B307" s="40" t="str">
        <f>IF(EXACT(SEED!$F307, ""), "", SEED!$J307)</f>
        <v/>
      </c>
      <c r="C307" s="4" t="str">
        <f>IF(EXACT($B307, ""), "", CONCATENATE(SUBSTITUTE(SEED!$F307, "-", ""), " (", SEED!$E307, IF(EXACT(SEED!$C307, ""), "", CONCATENATE(" ►", SEED!$C307)), ")"))</f>
        <v/>
      </c>
    </row>
    <row r="308" spans="2:3" x14ac:dyDescent="0.2">
      <c r="B308" s="40" t="str">
        <f>IF(EXACT(SEED!$F308, ""), "", SEED!$J308)</f>
        <v/>
      </c>
      <c r="C308" s="4" t="str">
        <f>IF(EXACT($B308, ""), "", CONCATENATE(SUBSTITUTE(SEED!$F308, "-", ""), " (", SEED!$E308, IF(EXACT(SEED!$C308, ""), "", CONCATENATE(" ►", SEED!$C308)), ")"))</f>
        <v/>
      </c>
    </row>
    <row r="309" spans="2:3" x14ac:dyDescent="0.2">
      <c r="B309" s="40" t="str">
        <f>IF(EXACT(SEED!$F309, ""), "", SEED!$J309)</f>
        <v/>
      </c>
      <c r="C309" s="4" t="str">
        <f>IF(EXACT($B309, ""), "", CONCATENATE(SUBSTITUTE(SEED!$F309, "-", ""), " (", SEED!$E309, IF(EXACT(SEED!$C309, ""), "", CONCATENATE(" ►", SEED!$C309)), ")"))</f>
        <v/>
      </c>
    </row>
    <row r="310" spans="2:3" x14ac:dyDescent="0.2">
      <c r="B310" s="40" t="str">
        <f>IF(EXACT(SEED!$F310, ""), "", SEED!$J310)</f>
        <v/>
      </c>
      <c r="C310" s="4" t="str">
        <f>IF(EXACT($B310, ""), "", CONCATENATE(SUBSTITUTE(SEED!$F310, "-", ""), " (", SEED!$E310, IF(EXACT(SEED!$C310, ""), "", CONCATENATE(" ►", SEED!$C310)), ")"))</f>
        <v/>
      </c>
    </row>
    <row r="311" spans="2:3" x14ac:dyDescent="0.2">
      <c r="B311" s="40">
        <f>IF(EXACT(SEED!$F311, ""), "", SEED!$J311)</f>
        <v>286000000000267</v>
      </c>
      <c r="C311" s="4" t="str">
        <f>IF(EXACT($B311, ""), "", CONCATENATE(SUBSTITUTE(SEED!$F311, "-", ""), " (", SEED!$E311, IF(EXACT(SEED!$C311, ""), "", CONCATENATE(" ►", SEED!$C311)), ")"))</f>
        <v>+62 81121100020 (Mobile Phone ►Institution - PT. Karawang Dinamika Lestari)</v>
      </c>
    </row>
    <row r="312" spans="2:3" x14ac:dyDescent="0.2">
      <c r="B312" s="40">
        <f>IF(EXACT(SEED!$F312, ""), "", SEED!$J312)</f>
        <v>286000000000268</v>
      </c>
      <c r="C312" s="4" t="str">
        <f>IF(EXACT($B312, ""), "", CONCATENATE(SUBSTITUTE(SEED!$F312, "-", ""), " (", SEED!$E312, IF(EXACT(SEED!$C312, ""), "", CONCATENATE(" ►", SEED!$C312)), ")"))</f>
        <v>+62 (021) 45850933 (Office Phone ►Institution - KSO WST-QDC)</v>
      </c>
    </row>
    <row r="313" spans="2:3" x14ac:dyDescent="0.2">
      <c r="B313" s="40">
        <f>IF(EXACT(SEED!$F313, ""), "", SEED!$J313)</f>
        <v>286000000000269</v>
      </c>
      <c r="C313" s="4" t="str">
        <f>IF(EXACT($B313, ""), "", CONCATENATE(SUBSTITUTE(SEED!$F313, "-", ""), " (", SEED!$E313, IF(EXACT(SEED!$C313, ""), "", CONCATENATE(" ►", SEED!$C313)), ")"))</f>
        <v>+62 (021) 45850932 (Faximile ►Institution - KSO WST-QDC)</v>
      </c>
    </row>
    <row r="314" spans="2:3" x14ac:dyDescent="0.2">
      <c r="B314" s="40">
        <f>IF(EXACT(SEED!$F314, ""), "", SEED!$J314)</f>
        <v>286000000000270</v>
      </c>
      <c r="C314" s="4" t="str">
        <f>IF(EXACT($B314, ""), "", CONCATENATE(SUBSTITUTE(SEED!$F314, "-", ""), " (", SEED!$E314, IF(EXACT(SEED!$C314, ""), "", CONCATENATE(" ►", SEED!$C314)), ")"))</f>
        <v>+62 (021) 22822980 (Office Phone ►Institution - PT. Adhi Commuter Properti)</v>
      </c>
    </row>
    <row r="315" spans="2:3" x14ac:dyDescent="0.2">
      <c r="B315" s="40">
        <f>IF(EXACT(SEED!$F315, ""), "", SEED!$J315)</f>
        <v>286000000000271</v>
      </c>
      <c r="C315" s="4" t="str">
        <f>IF(EXACT($B315, ""), "", CONCATENATE(SUBSTITUTE(SEED!$F315, "-", ""), " (", SEED!$E315, IF(EXACT(SEED!$C315, ""), "", CONCATENATE(" ►", SEED!$C315)), ")"))</f>
        <v>+62 (021) 22822081 (Faximile ►Institution - PT. Adhi Commuter Properti)</v>
      </c>
    </row>
    <row r="316" spans="2:3" x14ac:dyDescent="0.2">
      <c r="B316" s="40">
        <f>IF(EXACT(SEED!$F316, ""), "", SEED!$J316)</f>
        <v>286000000000272</v>
      </c>
      <c r="C316" s="4" t="str">
        <f>IF(EXACT($B316, ""), "", CONCATENATE(SUBSTITUTE(SEED!$F316, "-", ""), " (", SEED!$E316, IF(EXACT(SEED!$C316, ""), "", CONCATENATE(" ►", SEED!$C316)), ")"))</f>
        <v>+62 (024) 6922402 (Office Phone ►Institution - PT. Pelayanan Listrik Nasional (Persero) - Penyaluran dan Pusat Pengaturan )</v>
      </c>
    </row>
    <row r="317" spans="2:3" x14ac:dyDescent="0.2">
      <c r="B317" s="40">
        <f>IF(EXACT(SEED!$F317, ""), "", SEED!$J317)</f>
        <v>286000000000273</v>
      </c>
      <c r="C317" s="4" t="str">
        <f>IF(EXACT($B317, ""), "", CONCATENATE(SUBSTITUTE(SEED!$F317, "-", ""), " (", SEED!$E317, IF(EXACT(SEED!$C317, ""), "", CONCATENATE(" ►", SEED!$C317)), ")"))</f>
        <v>+62 (024) 6921223 (Faximile ►Institution - PT. Pelayanan Listrik Nasional (Persero) - Penyaluran dan Pusat Pengaturan )</v>
      </c>
    </row>
    <row r="318" spans="2:3" x14ac:dyDescent="0.2">
      <c r="B318" s="40">
        <f>IF(EXACT(SEED!$F318, ""), "", SEED!$J318)</f>
        <v>286000000000274</v>
      </c>
      <c r="C318" s="4" t="str">
        <f>IF(EXACT($B318, ""), "", CONCATENATE(SUBSTITUTE(SEED!$F318, "-", ""), " (", SEED!$E318, IF(EXACT(SEED!$C318, ""), "", CONCATENATE(" ►", SEED!$C318)), ")"))</f>
        <v>+62 81299000537 (Mobile Phone ►Institution - CV. Alfa Link Mandiri)</v>
      </c>
    </row>
    <row r="319" spans="2:3" x14ac:dyDescent="0.2">
      <c r="B319" s="40">
        <f>IF(EXACT(SEED!$F319, ""), "", SEED!$J319)</f>
        <v>286000000000275</v>
      </c>
      <c r="C319" s="4" t="str">
        <f>IF(EXACT($B319, ""), "", CONCATENATE(SUBSTITUTE(SEED!$F319, "-", ""), " (", SEED!$E319, IF(EXACT(SEED!$C319, ""), "", CONCATENATE(" ►", SEED!$C319)), ")"))</f>
        <v>+62 81356000488 (Mobile Phone ►Institution - CV. Alodia Makmur Abadi)</v>
      </c>
    </row>
    <row r="320" spans="2:3" x14ac:dyDescent="0.2">
      <c r="B320" s="40">
        <f>IF(EXACT(SEED!$F320, ""), "", SEED!$J320)</f>
        <v>286000000000276</v>
      </c>
      <c r="C320" s="4" t="str">
        <f>IF(EXACT($B320, ""), "", CONCATENATE(SUBSTITUTE(SEED!$F320, "-", ""), " (", SEED!$E320, IF(EXACT(SEED!$C320, ""), "", CONCATENATE(" ►", SEED!$C320)), ")"))</f>
        <v>+62 8114129780 (Mobile Phone ►Institution - CV. Anugerah Karya Magantha)</v>
      </c>
    </row>
    <row r="321" spans="2:3" x14ac:dyDescent="0.2">
      <c r="B321" s="40">
        <f>IF(EXACT(SEED!$F321, ""), "", SEED!$J321)</f>
        <v>286000000000277</v>
      </c>
      <c r="C321" s="4" t="str">
        <f>IF(EXACT($B321, ""), "", CONCATENATE(SUBSTITUTE(SEED!$F321, "-", ""), " (", SEED!$E321, IF(EXACT(SEED!$C321, ""), "", CONCATENATE(" ►", SEED!$C321)), ")"))</f>
        <v>+62 81378334428 (Mobile Phone ►Institution - CV. Artha Jaya Mulya)</v>
      </c>
    </row>
    <row r="322" spans="2:3" x14ac:dyDescent="0.2">
      <c r="B322" s="40">
        <f>IF(EXACT(SEED!$F322, ""), "", SEED!$J322)</f>
        <v>286000000000278</v>
      </c>
      <c r="C322" s="4" t="str">
        <f>IF(EXACT($B322, ""), "", CONCATENATE(SUBSTITUTE(SEED!$F322, "-", ""), " (", SEED!$E322, IF(EXACT(SEED!$C322, ""), "", CONCATENATE(" ►", SEED!$C322)), ")"))</f>
        <v>+62 81256415655 (Mobile Phone ►Institution - CV. Borneo Geotec Engginering)</v>
      </c>
    </row>
    <row r="323" spans="2:3" x14ac:dyDescent="0.2">
      <c r="B323" s="40">
        <f>IF(EXACT(SEED!$F323, ""), "", SEED!$J323)</f>
        <v>286000000000279</v>
      </c>
      <c r="C323" s="4" t="str">
        <f>IF(EXACT($B323, ""), "", CONCATENATE(SUBSTITUTE(SEED!$F323, "-", ""), " (", SEED!$E323, IF(EXACT(SEED!$C323, ""), "", CONCATENATE(" ►", SEED!$C323)), ")"))</f>
        <v>+62 (0401) 3192000 (Office Phone ►Institution - CV. Cipta Aneka Sarana)</v>
      </c>
    </row>
    <row r="324" spans="2:3" x14ac:dyDescent="0.2">
      <c r="B324" s="40">
        <f>IF(EXACT(SEED!$F324, ""), "", SEED!$J324)</f>
        <v>286000000000280</v>
      </c>
      <c r="C324" s="4" t="str">
        <f>IF(EXACT($B324, ""), "", CONCATENATE(SUBSTITUTE(SEED!$F324, "-", ""), " (", SEED!$E324, IF(EXACT(SEED!$C324, ""), "", CONCATENATE(" ►", SEED!$C324)), ")"))</f>
        <v>+62 82116167001 (Mobile Phone ►Institution - CV. Didi Dan Darwis Survey )</v>
      </c>
    </row>
    <row r="325" spans="2:3" x14ac:dyDescent="0.2">
      <c r="B325" s="40">
        <f>IF(EXACT(SEED!$F325, ""), "", SEED!$J325)</f>
        <v>286000000000281</v>
      </c>
      <c r="C325" s="4" t="str">
        <f>IF(EXACT($B325, ""), "", CONCATENATE(SUBSTITUTE(SEED!$F325, "-", ""), " (", SEED!$E325, IF(EXACT(SEED!$C325, ""), "", CONCATENATE(" ►", SEED!$C325)), ")"))</f>
        <v>+62 82129900025 (Mobile Phone ►Institution - CV. Didi Dan Darwis Survey )</v>
      </c>
    </row>
    <row r="326" spans="2:3" x14ac:dyDescent="0.2">
      <c r="B326" s="40">
        <f>IF(EXACT(SEED!$F326, ""), "", SEED!$J326)</f>
        <v>286000000000282</v>
      </c>
      <c r="C326" s="4" t="str">
        <f>IF(EXACT($B326, ""), "", CONCATENATE(SUBSTITUTE(SEED!$F326, "-", ""), " (", SEED!$E326, IF(EXACT(SEED!$C326, ""), "", CONCATENATE(" ►", SEED!$C326)), ")"))</f>
        <v>+62 8222026666 (Mobile Phone ►Institution - CV. Dinargeo Survey)</v>
      </c>
    </row>
    <row r="327" spans="2:3" x14ac:dyDescent="0.2">
      <c r="B327" s="40">
        <f>IF(EXACT(SEED!$F327, ""), "", SEED!$J327)</f>
        <v>286000000000283</v>
      </c>
      <c r="C327" s="4" t="str">
        <f>IF(EXACT($B327, ""), "", CONCATENATE(SUBSTITUTE(SEED!$F327, "-", ""), " (", SEED!$E327, IF(EXACT(SEED!$C327, ""), "", CONCATENATE(" ►", SEED!$C327)), ")"))</f>
        <v>+62 85218325540 (Mobile Phone ►Institution - CV. Direct Linus Logistik)</v>
      </c>
    </row>
    <row r="328" spans="2:3" x14ac:dyDescent="0.2">
      <c r="B328" s="40">
        <f>IF(EXACT(SEED!$F328, ""), "", SEED!$J328)</f>
        <v>286000000000284</v>
      </c>
      <c r="C328" s="4" t="str">
        <f>IF(EXACT($B328, ""), "", CONCATENATE(SUBSTITUTE(SEED!$F328, "-", ""), " (", SEED!$E328, IF(EXACT(SEED!$C328, ""), "", CONCATENATE(" ►", SEED!$C328)), ")"))</f>
        <v>+62 81349703982 (Mobile Phone ►Institution - CV. Edi Jaya Bangunan)</v>
      </c>
    </row>
    <row r="329" spans="2:3" x14ac:dyDescent="0.2">
      <c r="B329" s="40">
        <f>IF(EXACT(SEED!$F329, ""), "", SEED!$J329)</f>
        <v>286000000000285</v>
      </c>
      <c r="C329" s="4" t="str">
        <f>IF(EXACT($B329, ""), "", CONCATENATE(SUBSTITUTE(SEED!$F329, "-", ""), " (", SEED!$E329, IF(EXACT(SEED!$C329, ""), "", CONCATENATE(" ►", SEED!$C329)), ")"))</f>
        <v>+62 81349246427 (Mobile Phone ►Institution - CV. Elang Sega)</v>
      </c>
    </row>
    <row r="330" spans="2:3" x14ac:dyDescent="0.2">
      <c r="B330" s="40">
        <f>IF(EXACT(SEED!$F330, ""), "", SEED!$J330)</f>
        <v>286000000000286</v>
      </c>
      <c r="C330" s="4" t="str">
        <f>IF(EXACT($B330, ""), "", CONCATENATE(SUBSTITUTE(SEED!$F330, "-", ""), " (", SEED!$E330, IF(EXACT(SEED!$C330, ""), "", CONCATENATE(" ►", SEED!$C330)), ")"))</f>
        <v>+62 83891165959 (Mobile Phone ►Institution - CV. Gallazka Teknik)</v>
      </c>
    </row>
    <row r="331" spans="2:3" x14ac:dyDescent="0.2">
      <c r="B331" s="40">
        <f>IF(EXACT(SEED!$F331, ""), "", SEED!$J331)</f>
        <v>286000000000287</v>
      </c>
      <c r="C331" s="4" t="str">
        <f>IF(EXACT($B331, ""), "", CONCATENATE(SUBSTITUTE(SEED!$F331, "-", ""), " (", SEED!$E331, IF(EXACT(SEED!$C331, ""), "", CONCATENATE(" ►", SEED!$C331)), ")"))</f>
        <v>+62 81219345800 (Mobile Phone ►Institution - CV. Ghania Mandiri)</v>
      </c>
    </row>
    <row r="332" spans="2:3" x14ac:dyDescent="0.2">
      <c r="B332" s="40">
        <f>IF(EXACT(SEED!$F332, ""), "", SEED!$J332)</f>
        <v>286000000000288</v>
      </c>
      <c r="C332" s="4" t="str">
        <f>IF(EXACT($B332, ""), "", CONCATENATE(SUBSTITUTE(SEED!$F332, "-", ""), " (", SEED!$E332, IF(EXACT(SEED!$C332, ""), "", CONCATENATE(" ►", SEED!$C332)), ")"))</f>
        <v>+62 82254016520 (Mobile Phone ►Institution - CV. Istana Gemilang Mandiri)</v>
      </c>
    </row>
    <row r="333" spans="2:3" x14ac:dyDescent="0.2">
      <c r="B333" s="40">
        <f>IF(EXACT(SEED!$F333, ""), "", SEED!$J333)</f>
        <v>286000000000289</v>
      </c>
      <c r="C333" s="4" t="str">
        <f>IF(EXACT($B333, ""), "", CONCATENATE(SUBSTITUTE(SEED!$F333, "-", ""), " (", SEED!$E333, IF(EXACT(SEED!$C333, ""), "", CONCATENATE(" ►", SEED!$C333)), ")"))</f>
        <v>+62 85215866584 (Mobile Phone ►Institution - CV. Jember Elektrindo Gemilang)</v>
      </c>
    </row>
    <row r="334" spans="2:3" x14ac:dyDescent="0.2">
      <c r="B334" s="40">
        <f>IF(EXACT(SEED!$F334, ""), "", SEED!$J334)</f>
        <v>286000000000290</v>
      </c>
      <c r="C334" s="4" t="str">
        <f>IF(EXACT($B334, ""), "", CONCATENATE(SUBSTITUTE(SEED!$F334, "-", ""), " (", SEED!$E334, IF(EXACT(SEED!$C334, ""), "", CONCATENATE(" ►", SEED!$C334)), ")"))</f>
        <v>+62 (021) 3158970 (Office Phone ►Institution - CV. Jember Elektrindo Gemilang)</v>
      </c>
    </row>
    <row r="335" spans="2:3" x14ac:dyDescent="0.2">
      <c r="B335" s="40">
        <f>IF(EXACT(SEED!$F335, ""), "", SEED!$J335)</f>
        <v>286000000000291</v>
      </c>
      <c r="C335" s="4" t="str">
        <f>IF(EXACT($B335, ""), "", CONCATENATE(SUBSTITUTE(SEED!$F335, "-", ""), " (", SEED!$E335, IF(EXACT(SEED!$C335, ""), "", CONCATENATE(" ►", SEED!$C335)), ")"))</f>
        <v>+62 81256404650 (Mobile Phone ►Institution - CV. Karya Baru)</v>
      </c>
    </row>
    <row r="336" spans="2:3" x14ac:dyDescent="0.2">
      <c r="B336" s="40">
        <f>IF(EXACT(SEED!$F336, ""), "", SEED!$J336)</f>
        <v>286000000000292</v>
      </c>
      <c r="C336" s="4" t="str">
        <f>IF(EXACT($B336, ""), "", CONCATENATE(SUBSTITUTE(SEED!$F336, "-", ""), " (", SEED!$E336, IF(EXACT(SEED!$C336, ""), "", CONCATENATE(" ►", SEED!$C336)), ")"))</f>
        <v>+62 (053) 223788 (Office Phone ►Institution - CV. Karya Baru)</v>
      </c>
    </row>
    <row r="337" spans="2:3" x14ac:dyDescent="0.2">
      <c r="B337" s="40">
        <f>IF(EXACT(SEED!$F337, ""), "", SEED!$J337)</f>
        <v>286000000000293</v>
      </c>
      <c r="C337" s="4" t="str">
        <f>IF(EXACT($B337, ""), "", CONCATENATE(SUBSTITUTE(SEED!$F337, "-", ""), " (", SEED!$E337, IF(EXACT(SEED!$C337, ""), "", CONCATENATE(" ►", SEED!$C337)), ")"))</f>
        <v>+62 85217718198 (Mobile Phone ►Institution - CV. Kawan Inti Jaya)</v>
      </c>
    </row>
    <row r="338" spans="2:3" x14ac:dyDescent="0.2">
      <c r="B338" s="40">
        <f>IF(EXACT(SEED!$F338, ""), "", SEED!$J338)</f>
        <v>286000000000294</v>
      </c>
      <c r="C338" s="4" t="str">
        <f>IF(EXACT($B338, ""), "", CONCATENATE(SUBSTITUTE(SEED!$F338, "-", ""), " (", SEED!$E338, IF(EXACT(SEED!$C338, ""), "", CONCATENATE(" ►", SEED!$C338)), ")"))</f>
        <v>+62 (021) 22301673 (Office Phone ►Institution - CV. Kawan Inti Jaya)</v>
      </c>
    </row>
    <row r="339" spans="2:3" x14ac:dyDescent="0.2">
      <c r="B339" s="40">
        <f>IF(EXACT(SEED!$F339, ""), "", SEED!$J339)</f>
        <v>286000000000295</v>
      </c>
      <c r="C339" s="4" t="str">
        <f>IF(EXACT($B339, ""), "", CONCATENATE(SUBSTITUTE(SEED!$F339, "-", ""), " (", SEED!$E339, IF(EXACT(SEED!$C339, ""), "", CONCATENATE(" ►", SEED!$C339)), ")"))</f>
        <v>+62 82187739295 (Mobile Phone ►Institution - CV. Laba Mandiri Lapaopao)</v>
      </c>
    </row>
    <row r="340" spans="2:3" x14ac:dyDescent="0.2">
      <c r="B340" s="40">
        <f>IF(EXACT(SEED!$F340, ""), "", SEED!$J340)</f>
        <v>286000000000296</v>
      </c>
      <c r="C340" s="4" t="str">
        <f>IF(EXACT($B340, ""), "", CONCATENATE(SUBSTITUTE(SEED!$F340, "-", ""), " (", SEED!$E340, IF(EXACT(SEED!$C340, ""), "", CONCATENATE(" ►", SEED!$C340)), ")"))</f>
        <v>+62 8115230808 (Mobile Phone ►Institution - CV. Mitra Bengawan Trans)</v>
      </c>
    </row>
    <row r="341" spans="2:3" x14ac:dyDescent="0.2">
      <c r="B341" s="40">
        <f>IF(EXACT(SEED!$F341, ""), "", SEED!$J341)</f>
        <v>286000000000297</v>
      </c>
      <c r="C341" s="4" t="str">
        <f>IF(EXACT($B341, ""), "", CONCATENATE(SUBSTITUTE(SEED!$F341, "-", ""), " (", SEED!$E341, IF(EXACT(SEED!$C341, ""), "", CONCATENATE(" ►", SEED!$C341)), ")"))</f>
        <v>+62 81341905779 (Mobile Phone ►Institution - CV. Mulia Jaya Steel)</v>
      </c>
    </row>
    <row r="342" spans="2:3" x14ac:dyDescent="0.2">
      <c r="B342" s="40">
        <f>IF(EXACT(SEED!$F342, ""), "", SEED!$J342)</f>
        <v>286000000000298</v>
      </c>
      <c r="C342" s="4" t="str">
        <f>IF(EXACT($B342, ""), "", CONCATENATE(SUBSTITUTE(SEED!$F342, "-", ""), " (", SEED!$E342, IF(EXACT(SEED!$C342, ""), "", CONCATENATE(" ►", SEED!$C342)), ")"))</f>
        <v>+62 8114099189 (Mobile Phone ►Institution - CV. Mulia Jaya Steel)</v>
      </c>
    </row>
    <row r="343" spans="2:3" x14ac:dyDescent="0.2">
      <c r="B343" s="40">
        <f>IF(EXACT(SEED!$F343, ""), "", SEED!$J343)</f>
        <v>286000000000299</v>
      </c>
      <c r="C343" s="4" t="str">
        <f>IF(EXACT($B343, ""), "", CONCATENATE(SUBSTITUTE(SEED!$F343, "-", ""), " (", SEED!$E343, IF(EXACT(SEED!$C343, ""), "", CONCATENATE(" ►", SEED!$C343)), ")"))</f>
        <v>+62 81295709029 (Mobile Phone ►Institution - CV. Muzima)</v>
      </c>
    </row>
    <row r="344" spans="2:3" x14ac:dyDescent="0.2">
      <c r="B344" s="40">
        <f>IF(EXACT(SEED!$F344, ""), "", SEED!$J344)</f>
        <v>286000000000300</v>
      </c>
      <c r="C344" s="4" t="str">
        <f>IF(EXACT($B344, ""), "", CONCATENATE(SUBSTITUTE(SEED!$F344, "-", ""), " (", SEED!$E344, IF(EXACT(SEED!$C344, ""), "", CONCATENATE(" ►", SEED!$C344)), ")"))</f>
        <v>+62 (024) 76634217 (Office Phone ►Institution - CV. Punokawan)</v>
      </c>
    </row>
    <row r="345" spans="2:3" x14ac:dyDescent="0.2">
      <c r="B345" s="40">
        <f>IF(EXACT(SEED!$F345, ""), "", SEED!$J345)</f>
        <v>286000000000301</v>
      </c>
      <c r="C345" s="4" t="str">
        <f>IF(EXACT($B345, ""), "", CONCATENATE(SUBSTITUTE(SEED!$F345, "-", ""), " (", SEED!$E345, IF(EXACT(SEED!$C345, ""), "", CONCATENATE(" ►", SEED!$C345)), ")"))</f>
        <v>+62 (053) 224793 (Office Phone ►Institution - CV. Putra Bintang Api)</v>
      </c>
    </row>
    <row r="346" spans="2:3" x14ac:dyDescent="0.2">
      <c r="B346" s="40">
        <f>IF(EXACT(SEED!$F346, ""), "", SEED!$J346)</f>
        <v>286000000000302</v>
      </c>
      <c r="C346" s="4" t="str">
        <f>IF(EXACT($B346, ""), "", CONCATENATE(SUBSTITUTE(SEED!$F346, "-", ""), " (", SEED!$E346, IF(EXACT(SEED!$C346, ""), "", CONCATENATE(" ►", SEED!$C346)), ")"))</f>
        <v>+62 81222631116 (Mobile Phone ►Institution - CV. Sangiang Teknik Perkasa)</v>
      </c>
    </row>
    <row r="347" spans="2:3" x14ac:dyDescent="0.2">
      <c r="B347" s="40">
        <f>IF(EXACT(SEED!$F347, ""), "", SEED!$J347)</f>
        <v>286000000000303</v>
      </c>
      <c r="C347" s="4" t="str">
        <f>IF(EXACT($B347, ""), "", CONCATENATE(SUBSTITUTE(SEED!$F347, "-", ""), " (", SEED!$E347, IF(EXACT(SEED!$C347, ""), "", CONCATENATE(" ►", SEED!$C347)), ")"))</f>
        <v>+62 82119799987 (Mobile Phone ►Institution - CV. Siliwangi jaya)</v>
      </c>
    </row>
    <row r="348" spans="2:3" x14ac:dyDescent="0.2">
      <c r="B348" s="40">
        <f>IF(EXACT(SEED!$F348, ""), "", SEED!$J348)</f>
        <v>286000000000304</v>
      </c>
      <c r="C348" s="4" t="str">
        <f>IF(EXACT($B348, ""), "", CONCATENATE(SUBSTITUTE(SEED!$F348, "-", ""), " (", SEED!$E348, IF(EXACT(SEED!$C348, ""), "", CONCATENATE(" ►", SEED!$C348)), ")"))</f>
        <v>+62 81119094011 (Mobile Phone ►Institution - CV. Sukses Indo Pratama)</v>
      </c>
    </row>
    <row r="349" spans="2:3" x14ac:dyDescent="0.2">
      <c r="B349" s="40">
        <f>IF(EXACT(SEED!$F349, ""), "", SEED!$J349)</f>
        <v>286000000000305</v>
      </c>
      <c r="C349" s="4" t="str">
        <f>IF(EXACT($B349, ""), "", CONCATENATE(SUBSTITUTE(SEED!$F349, "-", ""), " (", SEED!$E349, IF(EXACT(SEED!$C349, ""), "", CONCATENATE(" ►", SEED!$C349)), ")"))</f>
        <v>+62 81196503201 (Mobile Phone ►Institution - CV. Sumber Rezeki)</v>
      </c>
    </row>
    <row r="350" spans="2:3" x14ac:dyDescent="0.2">
      <c r="B350" s="40">
        <f>IF(EXACT(SEED!$F350, ""), "", SEED!$J350)</f>
        <v>286000000000306</v>
      </c>
      <c r="C350" s="4" t="str">
        <f>IF(EXACT($B350, ""), "", CONCATENATE(SUBSTITUTE(SEED!$F350, "-", ""), " (", SEED!$E350, IF(EXACT(SEED!$C350, ""), "", CONCATENATE(" ►", SEED!$C350)), ")"))</f>
        <v>+62 (021) 43931292 (Office Phone ►Institution - CV. Sumber Rezeki)</v>
      </c>
    </row>
    <row r="351" spans="2:3" x14ac:dyDescent="0.2">
      <c r="B351" s="40">
        <f>IF(EXACT(SEED!$F351, ""), "", SEED!$J351)</f>
        <v>286000000000307</v>
      </c>
      <c r="C351" s="4" t="str">
        <f>IF(EXACT($B351, ""), "", CONCATENATE(SUBSTITUTE(SEED!$F351, "-", ""), " (", SEED!$E351, IF(EXACT(SEED!$C351, ""), "", CONCATENATE(" ►", SEED!$C351)), ")"))</f>
        <v>+62 (053) 223788 (Office Phone ►Institution - CV. Sumber Sarana Karya)</v>
      </c>
    </row>
    <row r="352" spans="2:3" x14ac:dyDescent="0.2">
      <c r="B352" s="40">
        <f>IF(EXACT(SEED!$F352, ""), "", SEED!$J352)</f>
        <v>286000000000308</v>
      </c>
      <c r="C352" s="4" t="str">
        <f>IF(EXACT($B352, ""), "", CONCATENATE(SUBSTITUTE(SEED!$F352, "-", ""), " (", SEED!$E352, IF(EXACT(SEED!$C352, ""), "", CONCATENATE(" ►", SEED!$C352)), ")"))</f>
        <v>+62 81314800075 (Mobile Phone ►Institution - CV. Surya Pandawa Nusa)</v>
      </c>
    </row>
    <row r="353" spans="2:3" x14ac:dyDescent="0.2">
      <c r="B353" s="40">
        <f>IF(EXACT(SEED!$F353, ""), "", SEED!$J353)</f>
        <v>286000000000309</v>
      </c>
      <c r="C353" s="4" t="str">
        <f>IF(EXACT($B353, ""), "", CONCATENATE(SUBSTITUTE(SEED!$F353, "-", ""), " (", SEED!$E353, IF(EXACT(SEED!$C353, ""), "", CONCATENATE(" ►", SEED!$C353)), ")"))</f>
        <v>+62 81289956068 (Mobile Phone ►Institution - PT. Abadi Rajawali Semesta)</v>
      </c>
    </row>
    <row r="354" spans="2:3" x14ac:dyDescent="0.2">
      <c r="B354" s="40">
        <f>IF(EXACT(SEED!$F354, ""), "", SEED!$J354)</f>
        <v>286000000000310</v>
      </c>
      <c r="C354" s="4" t="str">
        <f>IF(EXACT($B354, ""), "", CONCATENATE(SUBSTITUTE(SEED!$F354, "-", ""), " (", SEED!$E354, IF(EXACT(SEED!$C354, ""), "", CONCATENATE(" ►", SEED!$C354)), ")"))</f>
        <v>+62 85779225532 (Mobile Phone ►Institution - PT. Adibrata Graha)</v>
      </c>
    </row>
    <row r="355" spans="2:3" x14ac:dyDescent="0.2">
      <c r="B355" s="40">
        <f>IF(EXACT(SEED!$F355, ""), "", SEED!$J355)</f>
        <v>286000000000311</v>
      </c>
      <c r="C355" s="4" t="str">
        <f>IF(EXACT($B355, ""), "", CONCATENATE(SUBSTITUTE(SEED!$F355, "-", ""), " (", SEED!$E355, IF(EXACT(SEED!$C355, ""), "", CONCATENATE(" ►", SEED!$C355)), ")"))</f>
        <v>+62 82299888008 (Mobile Phone ►Institution - PT. Aegisindo Mitra Sejati)</v>
      </c>
    </row>
    <row r="356" spans="2:3" x14ac:dyDescent="0.2">
      <c r="B356" s="40">
        <f>IF(EXACT(SEED!$F356, ""), "", SEED!$J356)</f>
        <v>286000000000312</v>
      </c>
      <c r="C356" s="4" t="str">
        <f>IF(EXACT($B356, ""), "", CONCATENATE(SUBSTITUTE(SEED!$F356, "-", ""), " (", SEED!$E356, IF(EXACT(SEED!$C356, ""), "", CONCATENATE(" ►", SEED!$C356)), ")"))</f>
        <v>+62 (021) 89976688 (Office Phone ►Institution - PT. Aegisindo Mitra Sejati)</v>
      </c>
    </row>
    <row r="357" spans="2:3" x14ac:dyDescent="0.2">
      <c r="B357" s="40">
        <f>IF(EXACT(SEED!$F357, ""), "", SEED!$J357)</f>
        <v>286000000000313</v>
      </c>
      <c r="C357" s="4" t="str">
        <f>IF(EXACT($B357, ""), "", CONCATENATE(SUBSTITUTE(SEED!$F357, "-", ""), " (", SEED!$E357, IF(EXACT(SEED!$C357, ""), "", CONCATENATE(" ►", SEED!$C357)), ")"))</f>
        <v>+62 8118600123 (Mobile Phone ►Institution - PT. Agape Biomedi Investama)</v>
      </c>
    </row>
    <row r="358" spans="2:3" x14ac:dyDescent="0.2">
      <c r="B358" s="40">
        <f>IF(EXACT(SEED!$F358, ""), "", SEED!$J358)</f>
        <v>286000000000314</v>
      </c>
      <c r="C358" s="4" t="str">
        <f>IF(EXACT($B358, ""), "", CONCATENATE(SUBSTITUTE(SEED!$F358, "-", ""), " (", SEED!$E358, IF(EXACT(SEED!$C358, ""), "", CONCATENATE(" ►", SEED!$C358)), ")"))</f>
        <v>+62 (021) 46619470 (Office Phone ►Institution - PT. Ali Sejahtera)</v>
      </c>
    </row>
    <row r="359" spans="2:3" x14ac:dyDescent="0.2">
      <c r="B359" s="40">
        <f>IF(EXACT(SEED!$F359, ""), "", SEED!$J359)</f>
        <v>286000000000315</v>
      </c>
      <c r="C359" s="4" t="str">
        <f>IF(EXACT($B359, ""), "", CONCATENATE(SUBSTITUTE(SEED!$F359, "-", ""), " (", SEED!$E359, IF(EXACT(SEED!$C359, ""), "", CONCATENATE(" ►", SEED!$C359)), ")"))</f>
        <v>+62 81287725891 (Mobile Phone ►Institution - PT. Andalan Dinamika Konstrukindo)</v>
      </c>
    </row>
    <row r="360" spans="2:3" x14ac:dyDescent="0.2">
      <c r="B360" s="40">
        <f>IF(EXACT(SEED!$F360, ""), "", SEED!$J360)</f>
        <v>286000000000316</v>
      </c>
      <c r="C360" s="4" t="str">
        <f>IF(EXACT($B360, ""), "", CONCATENATE(SUBSTITUTE(SEED!$F360, "-", ""), " (", SEED!$E360, IF(EXACT(SEED!$C360, ""), "", CONCATENATE(" ►", SEED!$C360)), ")"))</f>
        <v>+62 81257382550 (Mobile Phone ►Institution - PT. Aneza Persada Abadi)</v>
      </c>
    </row>
    <row r="361" spans="2:3" x14ac:dyDescent="0.2">
      <c r="B361" s="40">
        <f>IF(EXACT(SEED!$F361, ""), "", SEED!$J361)</f>
        <v>286000000000317</v>
      </c>
      <c r="C361" s="4" t="str">
        <f>IF(EXACT($B361, ""), "", CONCATENATE(SUBSTITUTE(SEED!$F361, "-", ""), " (", SEED!$E361, IF(EXACT(SEED!$C361, ""), "", CONCATENATE(" ►", SEED!$C361)), ")"))</f>
        <v>+62 81280000630 (Mobile Phone ►Institution - PT. Asiatronic Indo Makmur)</v>
      </c>
    </row>
    <row r="362" spans="2:3" x14ac:dyDescent="0.2">
      <c r="B362" s="40">
        <f>IF(EXACT(SEED!$F362, ""), "", SEED!$J362)</f>
        <v>286000000000318</v>
      </c>
      <c r="C362" s="4" t="str">
        <f>IF(EXACT($B362, ""), "", CONCATENATE(SUBSTITUTE(SEED!$F362, "-", ""), " (", SEED!$E362, IF(EXACT(SEED!$C362, ""), "", CONCATENATE(" ►", SEED!$C362)), ")"))</f>
        <v>+62 (021) 6333538 (Faximile ►Institution - PT. Asiatronic Indo Makmur)</v>
      </c>
    </row>
    <row r="363" spans="2:3" x14ac:dyDescent="0.2">
      <c r="B363" s="40">
        <f>IF(EXACT(SEED!$F363, ""), "", SEED!$J363)</f>
        <v>286000000000319</v>
      </c>
      <c r="C363" s="4" t="str">
        <f>IF(EXACT($B363, ""), "", CONCATENATE(SUBSTITUTE(SEED!$F363, "-", ""), " (", SEED!$E363, IF(EXACT(SEED!$C363, ""), "", CONCATENATE(" ►", SEED!$C363)), ")"))</f>
        <v>+62 (021) 57903535  (Office Phone ►Institution - PT. Asuransi Asei Indonesia)</v>
      </c>
    </row>
    <row r="364" spans="2:3" x14ac:dyDescent="0.2">
      <c r="B364" s="40">
        <f>IF(EXACT(SEED!$F364, ""), "", SEED!$J364)</f>
        <v>286000000000320</v>
      </c>
      <c r="C364" s="4" t="str">
        <f>IF(EXACT($B364, ""), "", CONCATENATE(SUBSTITUTE(SEED!$F364, "-", ""), " (", SEED!$E364, IF(EXACT(SEED!$C364, ""), "", CONCATENATE(" ►", SEED!$C364)), ")"))</f>
        <v>+62 82119541973 (Mobile Phone ►Institution - PT. Asuransi Multi Artha Guna)</v>
      </c>
    </row>
    <row r="365" spans="2:3" x14ac:dyDescent="0.2">
      <c r="B365" s="40">
        <f>IF(EXACT(SEED!$F365, ""), "", SEED!$J365)</f>
        <v>286000000000321</v>
      </c>
      <c r="C365" s="4" t="str">
        <f>IF(EXACT($B365, ""), "", CONCATENATE(SUBSTITUTE(SEED!$F365, "-", ""), " (", SEED!$E365, IF(EXACT(SEED!$C365, ""), "", CONCATENATE(" ►", SEED!$C365)), ")"))</f>
        <v>+62 (021) 5480669 (Office Phone ►Institution - PT. Asuransi Multi Artha Guna)</v>
      </c>
    </row>
    <row r="366" spans="2:3" x14ac:dyDescent="0.2">
      <c r="B366" s="40">
        <f>IF(EXACT(SEED!$F366, ""), "", SEED!$J366)</f>
        <v>286000000000322</v>
      </c>
      <c r="C366" s="4" t="str">
        <f>IF(EXACT($B366, ""), "", CONCATENATE(SUBSTITUTE(SEED!$F366, "-", ""), " (", SEED!$E366, IF(EXACT(SEED!$C366, ""), "", CONCATENATE(" ►", SEED!$C366)), ")"))</f>
        <v>+62 81211492770 (Mobile Phone ►Institution - PT. Asuransi Perisai Listrik Nasional)</v>
      </c>
    </row>
    <row r="367" spans="2:3" x14ac:dyDescent="0.2">
      <c r="B367" s="40">
        <f>IF(EXACT(SEED!$F367, ""), "", SEED!$J367)</f>
        <v>286000000000323</v>
      </c>
      <c r="C367" s="4" t="str">
        <f>IF(EXACT($B367, ""), "", CONCATENATE(SUBSTITUTE(SEED!$F367, "-", ""), " (", SEED!$E367, IF(EXACT(SEED!$C367, ""), "", CONCATENATE(" ►", SEED!$C367)), ")"))</f>
        <v>+62 8111881313 (Mobile Phone ►Institution - PT. Bangun Rancang Indonesia Kita)</v>
      </c>
    </row>
    <row r="368" spans="2:3" x14ac:dyDescent="0.2">
      <c r="B368" s="40">
        <f>IF(EXACT(SEED!$F368, ""), "", SEED!$J368)</f>
        <v>286000000000324</v>
      </c>
      <c r="C368" s="4" t="str">
        <f>IF(EXACT($B368, ""), "", CONCATENATE(SUBSTITUTE(SEED!$F368, "-", ""), " (", SEED!$E368, IF(EXACT(SEED!$C368, ""), "", CONCATENATE(" ►", SEED!$C368)), ")"))</f>
        <v>+62 81528588393 (Mobile Phone ►Institution - PT. Bangun Rancang Indonesia Kita)</v>
      </c>
    </row>
    <row r="369" spans="2:3" x14ac:dyDescent="0.2">
      <c r="B369" s="40">
        <f>IF(EXACT(SEED!$F369, ""), "", SEED!$J369)</f>
        <v>286000000000325</v>
      </c>
      <c r="C369" s="4" t="str">
        <f>IF(EXACT($B369, ""), "", CONCATENATE(SUBSTITUTE(SEED!$F369, "-", ""), " (", SEED!$E369, IF(EXACT(SEED!$C369, ""), "", CONCATENATE(" ►", SEED!$C369)), ")"))</f>
        <v>+62 89665729507 (Mobile Phone ►Institution - PT. Beringin Floratama Megah)</v>
      </c>
    </row>
    <row r="370" spans="2:3" x14ac:dyDescent="0.2">
      <c r="B370" s="40">
        <f>IF(EXACT(SEED!$F370, ""), "", SEED!$J370)</f>
        <v>286000000000326</v>
      </c>
      <c r="C370" s="4" t="str">
        <f>IF(EXACT($B370, ""), "", CONCATENATE(SUBSTITUTE(SEED!$F370, "-", ""), " (", SEED!$E370, IF(EXACT(SEED!$C370, ""), "", CONCATENATE(" ►", SEED!$C370)), ")"))</f>
        <v>+62 (021) 7198000 (Office Phone ►Institution - PT. Beringin Floratama Megah)</v>
      </c>
    </row>
    <row r="371" spans="2:3" x14ac:dyDescent="0.2">
      <c r="B371" s="40">
        <f>IF(EXACT(SEED!$F371, ""), "", SEED!$J371)</f>
        <v>286000000000327</v>
      </c>
      <c r="C371" s="4" t="str">
        <f>IF(EXACT($B371, ""), "", CONCATENATE(SUBSTITUTE(SEED!$F371, "-", ""), " (", SEED!$E371, IF(EXACT(SEED!$C371, ""), "", CONCATENATE(" ►", SEED!$C371)), ")"))</f>
        <v>+62 81270806138 (Mobile Phone ►Institution - PT. Berkah Tirta Wahana)</v>
      </c>
    </row>
    <row r="372" spans="2:3" x14ac:dyDescent="0.2">
      <c r="B372" s="40">
        <f>IF(EXACT(SEED!$F372, ""), "", SEED!$J372)</f>
        <v>286000000000328</v>
      </c>
      <c r="C372" s="4" t="str">
        <f>IF(EXACT($B372, ""), "", CONCATENATE(SUBSTITUTE(SEED!$F372, "-", ""), " (", SEED!$E372, IF(EXACT(SEED!$C372, ""), "", CONCATENATE(" ►", SEED!$C372)), ")"))</f>
        <v>+62 82391372798 (Mobile Phone ►Institution - PT. Berkah Tirta Wahana)</v>
      </c>
    </row>
    <row r="373" spans="2:3" x14ac:dyDescent="0.2">
      <c r="B373" s="40">
        <f>IF(EXACT(SEED!$F373, ""), "", SEED!$J373)</f>
        <v>286000000000329</v>
      </c>
      <c r="C373" s="4" t="str">
        <f>IF(EXACT($B373, ""), "", CONCATENATE(SUBSTITUTE(SEED!$F373, "-", ""), " (", SEED!$E373, IF(EXACT(SEED!$C373, ""), "", CONCATENATE(" ►", SEED!$C373)), ")"))</f>
        <v>+62 (021) 4713864 (Mobile Phone ►Institution - PT. Berkat Sahabat Sejati)</v>
      </c>
    </row>
    <row r="374" spans="2:3" x14ac:dyDescent="0.2">
      <c r="B374" s="40">
        <f>IF(EXACT(SEED!$F374, ""), "", SEED!$J374)</f>
        <v>286000000000330</v>
      </c>
      <c r="C374" s="4" t="str">
        <f>IF(EXACT($B374, ""), "", CONCATENATE(SUBSTITUTE(SEED!$F374, "-", ""), " (", SEED!$E374, IF(EXACT(SEED!$C374, ""), "", CONCATENATE(" ►", SEED!$C374)), ")"))</f>
        <v>+62 (021) 4701610 (Faximile ►Institution - PT. Berkat Sahabat Sejati)</v>
      </c>
    </row>
    <row r="375" spans="2:3" x14ac:dyDescent="0.2">
      <c r="B375" s="40">
        <f>IF(EXACT(SEED!$F375, ""), "", SEED!$J375)</f>
        <v>286000000000331</v>
      </c>
      <c r="C375" s="4" t="str">
        <f>IF(EXACT($B375, ""), "", CONCATENATE(SUBSTITUTE(SEED!$F375, "-", ""), " (", SEED!$E375, IF(EXACT(SEED!$C375, ""), "", CONCATENATE(" ►", SEED!$C375)), ")"))</f>
        <v>+62 81296557850 (Mobile Phone ►Institution - PT. Best Energy System)</v>
      </c>
    </row>
    <row r="376" spans="2:3" x14ac:dyDescent="0.2">
      <c r="B376" s="40">
        <f>IF(EXACT(SEED!$F376, ""), "", SEED!$J376)</f>
        <v>286000000000332</v>
      </c>
      <c r="C376" s="4" t="str">
        <f>IF(EXACT($B376, ""), "", CONCATENATE(SUBSTITUTE(SEED!$F376, "-", ""), " (", SEED!$E376, IF(EXACT(SEED!$C376, ""), "", CONCATENATE(" ►", SEED!$C376)), ")"))</f>
        <v>+62 (021) 45854029 (Office Phone ►Institution - PT. Best Energy System)</v>
      </c>
    </row>
    <row r="377" spans="2:3" x14ac:dyDescent="0.2">
      <c r="B377" s="40">
        <f>IF(EXACT(SEED!$F377, ""), "", SEED!$J377)</f>
        <v>286000000000333</v>
      </c>
      <c r="C377" s="4" t="str">
        <f>IF(EXACT($B377, ""), "", CONCATENATE(SUBSTITUTE(SEED!$F377, "-", ""), " (", SEED!$E377, IF(EXACT(SEED!$C377, ""), "", CONCATENATE(" ►", SEED!$C377)), ")"))</f>
        <v>+62 (021) 5712644 (Mobile Phone ►Institution - PT. Beton Perkasa Wijaksana)</v>
      </c>
    </row>
    <row r="378" spans="2:3" x14ac:dyDescent="0.2">
      <c r="B378" s="40">
        <f>IF(EXACT(SEED!$F378, ""), "", SEED!$J378)</f>
        <v>286000000000334</v>
      </c>
      <c r="C378" s="4" t="str">
        <f>IF(EXACT($B378, ""), "", CONCATENATE(SUBSTITUTE(SEED!$F378, "-", ""), " (", SEED!$E378, IF(EXACT(SEED!$C378, ""), "", CONCATENATE(" ►", SEED!$C378)), ")"))</f>
        <v>+62 82114780437 (Mobile Phone ►Institution - PT. Bhirawa Metal Mandiri)</v>
      </c>
    </row>
    <row r="379" spans="2:3" x14ac:dyDescent="0.2">
      <c r="B379" s="40">
        <f>IF(EXACT(SEED!$F379, ""), "", SEED!$J379)</f>
        <v>286000000000335</v>
      </c>
      <c r="C379" s="4" t="str">
        <f>IF(EXACT($B379, ""), "", CONCATENATE(SUBSTITUTE(SEED!$F379, "-", ""), " (", SEED!$E379, IF(EXACT(SEED!$C379, ""), "", CONCATENATE(" ►", SEED!$C379)), ")"))</f>
        <v>+62 82113350950 (Mobile Phone ►Institution - PT. Bigi Multi Internasional)</v>
      </c>
    </row>
    <row r="380" spans="2:3" x14ac:dyDescent="0.2">
      <c r="B380" s="40">
        <f>IF(EXACT(SEED!$F380, ""), "", SEED!$J380)</f>
        <v>286000000000336</v>
      </c>
      <c r="C380" s="4" t="str">
        <f>IF(EXACT($B380, ""), "", CONCATENATE(SUBSTITUTE(SEED!$F380, "-", ""), " (", SEED!$E380, IF(EXACT(SEED!$C380, ""), "", CONCATENATE(" ►", SEED!$C380)), ")"))</f>
        <v>+62 (021) 56958462 (Mobile Phone ►Institution - PT. Bintang Indah Persada )</v>
      </c>
    </row>
    <row r="381" spans="2:3" x14ac:dyDescent="0.2">
      <c r="B381" s="40">
        <f>IF(EXACT(SEED!$F381, ""), "", SEED!$J381)</f>
        <v>286000000000337</v>
      </c>
      <c r="C381" s="4" t="str">
        <f>IF(EXACT($B381, ""), "", CONCATENATE(SUBSTITUTE(SEED!$F381, "-", ""), " (", SEED!$E381, IF(EXACT(SEED!$C381, ""), "", CONCATENATE(" ►", SEED!$C381)), ")"))</f>
        <v>+62 81216667883 (Mobile Phone ►Institution - PT. Bintang Virgo Utama)</v>
      </c>
    </row>
    <row r="382" spans="2:3" x14ac:dyDescent="0.2">
      <c r="B382" s="40">
        <f>IF(EXACT(SEED!$F382, ""), "", SEED!$J382)</f>
        <v>286000000000338</v>
      </c>
      <c r="C382" s="4" t="str">
        <f>IF(EXACT($B382, ""), "", CONCATENATE(SUBSTITUTE(SEED!$F382, "-", ""), " (", SEED!$E382, IF(EXACT(SEED!$C382, ""), "", CONCATENATE(" ►", SEED!$C382)), ")"))</f>
        <v>+62 8125433771 (Mobile Phone ►Institution - PT. Biro Klasifikasi Indonesia)</v>
      </c>
    </row>
    <row r="383" spans="2:3" x14ac:dyDescent="0.2">
      <c r="B383" s="40">
        <f>IF(EXACT(SEED!$F383, ""), "", SEED!$J383)</f>
        <v>286000000000339</v>
      </c>
      <c r="C383" s="4" t="str">
        <f>IF(EXACT($B383, ""), "", CONCATENATE(SUBSTITUTE(SEED!$F383, "-", ""), " (", SEED!$E383, IF(EXACT(SEED!$C383, ""), "", CONCATENATE(" ►", SEED!$C383)), ")"))</f>
        <v>+62 (021) 4300932 (Office Phone ►Institution - PT. Biro Klasifikasi Indonesia)</v>
      </c>
    </row>
    <row r="384" spans="2:3" x14ac:dyDescent="0.2">
      <c r="B384" s="40">
        <f>IF(EXACT(SEED!$F384, ""), "", SEED!$J384)</f>
        <v>286000000000340</v>
      </c>
      <c r="C384" s="4" t="str">
        <f>IF(EXACT($B384, ""), "", CONCATENATE(SUBSTITUTE(SEED!$F384, "-", ""), " (", SEED!$E384, IF(EXACT(SEED!$C384, ""), "", CONCATENATE(" ►", SEED!$C384)), ")"))</f>
        <v>+62 811941041 (Mobile Phone ►Institution - PT. Blue Power International)</v>
      </c>
    </row>
    <row r="385" spans="2:3" x14ac:dyDescent="0.2">
      <c r="B385" s="40">
        <f>IF(EXACT(SEED!$F385, ""), "", SEED!$J385)</f>
        <v>286000000000341</v>
      </c>
      <c r="C385" s="4" t="str">
        <f>IF(EXACT($B385, ""), "", CONCATENATE(SUBSTITUTE(SEED!$F385, "-", ""), " (", SEED!$E385, IF(EXACT(SEED!$C385, ""), "", CONCATENATE(" ►", SEED!$C385)), ")"))</f>
        <v>+62 (021) 39730203 (Office Phone ►Institution - PT. Bosowa Asuransi)</v>
      </c>
    </row>
    <row r="386" spans="2:3" x14ac:dyDescent="0.2">
      <c r="B386" s="40">
        <f>IF(EXACT(SEED!$F386, ""), "", SEED!$J386)</f>
        <v>286000000000342</v>
      </c>
      <c r="C386" s="4" t="str">
        <f>IF(EXACT($B386, ""), "", CONCATENATE(SUBSTITUTE(SEED!$F386, "-", ""), " (", SEED!$E386, IF(EXACT(SEED!$C386, ""), "", CONCATENATE(" ►", SEED!$C386)), ")"))</f>
        <v>+62 85888813384 (Mobile Phone ►Institution - PT. Buana Tirta Semesta)</v>
      </c>
    </row>
    <row r="387" spans="2:3" x14ac:dyDescent="0.2">
      <c r="B387" s="40">
        <f>IF(EXACT(SEED!$F387, ""), "", SEED!$J387)</f>
        <v>286000000000343</v>
      </c>
      <c r="C387" s="4" t="str">
        <f>IF(EXACT($B387, ""), "", CONCATENATE(SUBSTITUTE(SEED!$F387, "-", ""), " (", SEED!$E387, IF(EXACT(SEED!$C387, ""), "", CONCATENATE(" ►", SEED!$C387)), ")"))</f>
        <v>+62 (021) 5942281 (Office Phone ►Institution - PT. Cahaya Mentari Cemerlang)</v>
      </c>
    </row>
    <row r="388" spans="2:3" x14ac:dyDescent="0.2">
      <c r="B388" s="40">
        <f>IF(EXACT(SEED!$F388, ""), "", SEED!$J388)</f>
        <v>286000000000344</v>
      </c>
      <c r="C388" s="4" t="str">
        <f>IF(EXACT($B388, ""), "", CONCATENATE(SUBSTITUTE(SEED!$F388, "-", ""), " (", SEED!$E388, IF(EXACT(SEED!$C388, ""), "", CONCATENATE(" ►", SEED!$C388)), ")"))</f>
        <v>+62 818411633 (Mobile Phone ►Institution - PT. Cakrawala Persada Internasional)</v>
      </c>
    </row>
    <row r="389" spans="2:3" x14ac:dyDescent="0.2">
      <c r="B389" s="40">
        <f>IF(EXACT(SEED!$F389, ""), "", SEED!$J389)</f>
        <v>286000000000345</v>
      </c>
      <c r="C389" s="4" t="str">
        <f>IF(EXACT($B389, ""), "", CONCATENATE(SUBSTITUTE(SEED!$F389, "-", ""), " (", SEED!$E389, IF(EXACT(SEED!$C389, ""), "", CONCATENATE(" ►", SEED!$C389)), ")"))</f>
        <v>+62 (021) 84305043 (Office Phone ►Institution - PT. Caroline Trans Mandiri )</v>
      </c>
    </row>
    <row r="390" spans="2:3" x14ac:dyDescent="0.2">
      <c r="B390" s="40">
        <f>IF(EXACT(SEED!$F390, ""), "", SEED!$J390)</f>
        <v>286000000000346</v>
      </c>
      <c r="C390" s="4" t="str">
        <f>IF(EXACT($B390, ""), "", CONCATENATE(SUBSTITUTE(SEED!$F390, "-", ""), " (", SEED!$E390, IF(EXACT(SEED!$C390, ""), "", CONCATENATE(" ►", SEED!$C390)), ")"))</f>
        <v>+62 (021) 84305046 (Office Phone ►Institution - PT. Caroline Trans Mandiri )</v>
      </c>
    </row>
    <row r="391" spans="2:3" x14ac:dyDescent="0.2">
      <c r="B391" s="40">
        <f>IF(EXACT(SEED!$F391, ""), "", SEED!$J391)</f>
        <v>286000000000347</v>
      </c>
      <c r="C391" s="4" t="str">
        <f>IF(EXACT($B391, ""), "", CONCATENATE(SUBSTITUTE(SEED!$F391, "-", ""), " (", SEED!$E391, IF(EXACT(SEED!$C391, ""), "", CONCATENATE(" ►", SEED!$C391)), ")"))</f>
        <v>+62 (021) 5500986 (Mobile Phone ►Institution - PT. Cita Baja )</v>
      </c>
    </row>
    <row r="392" spans="2:3" x14ac:dyDescent="0.2">
      <c r="B392" s="40">
        <f>IF(EXACT(SEED!$F392, ""), "", SEED!$J392)</f>
        <v>286000000000348</v>
      </c>
      <c r="C392" s="4" t="str">
        <f>IF(EXACT($B392, ""), "", CONCATENATE(SUBSTITUTE(SEED!$F392, "-", ""), " (", SEED!$E392, IF(EXACT(SEED!$C392, ""), "", CONCATENATE(" ►", SEED!$C392)), ")"))</f>
        <v>+62 (021) 5500677 (Faximile ►Institution - PT. Cita Baja )</v>
      </c>
    </row>
    <row r="393" spans="2:3" x14ac:dyDescent="0.2">
      <c r="B393" s="40">
        <f>IF(EXACT(SEED!$F393, ""), "", SEED!$J393)</f>
        <v>286000000000349</v>
      </c>
      <c r="C393" s="4" t="str">
        <f>IF(EXACT($B393, ""), "", CONCATENATE(SUBSTITUTE(SEED!$F393, "-", ""), " (", SEED!$E393, IF(EXACT(SEED!$C393, ""), "", CONCATENATE(" ►", SEED!$C393)), ")"))</f>
        <v>+62 81315631589 (Mobile Phone ►Institution - PT. Citra Banjar Abadi)</v>
      </c>
    </row>
    <row r="394" spans="2:3" x14ac:dyDescent="0.2">
      <c r="B394" s="40">
        <f>IF(EXACT(SEED!$F394, ""), "", SEED!$J394)</f>
        <v>286000000000350</v>
      </c>
      <c r="C394" s="4" t="str">
        <f>IF(EXACT($B394, ""), "", CONCATENATE(SUBSTITUTE(SEED!$F394, "-", ""), " (", SEED!$E394, IF(EXACT(SEED!$C394, ""), "", CONCATENATE(" ►", SEED!$C394)), ")"))</f>
        <v>+62 (021) 6544515 (Office Phone ►Institution - PT. Datascrip )</v>
      </c>
    </row>
    <row r="395" spans="2:3" x14ac:dyDescent="0.2">
      <c r="B395" s="40">
        <f>IF(EXACT(SEED!$F395, ""), "", SEED!$J395)</f>
        <v>286000000000351</v>
      </c>
      <c r="C395" s="4" t="str">
        <f>IF(EXACT($B395, ""), "", CONCATENATE(SUBSTITUTE(SEED!$F395, "-", ""), " (", SEED!$E395, IF(EXACT(SEED!$C395, ""), "", CONCATENATE(" ►", SEED!$C395)), ")"))</f>
        <v>+62 (021) 6544811 (Faximile ►Institution - PT. Datascrip )</v>
      </c>
    </row>
    <row r="396" spans="2:3" x14ac:dyDescent="0.2">
      <c r="B396" s="40">
        <f>IF(EXACT(SEED!$F396, ""), "", SEED!$J396)</f>
        <v>286000000000352</v>
      </c>
      <c r="C396" s="4" t="str">
        <f>IF(EXACT($B396, ""), "", CONCATENATE(SUBSTITUTE(SEED!$F396, "-", ""), " (", SEED!$E396, IF(EXACT(SEED!$C396, ""), "", CONCATENATE(" ►", SEED!$C396)), ")"))</f>
        <v>+62 8161190727 (Mobile Phone ►Institution - PT. Denko Wahana Sakti )</v>
      </c>
    </row>
    <row r="397" spans="2:3" x14ac:dyDescent="0.2">
      <c r="B397" s="40">
        <f>IF(EXACT(SEED!$F397, ""), "", SEED!$J397)</f>
        <v>286000000000353</v>
      </c>
      <c r="C397" s="4" t="str">
        <f>IF(EXACT($B397, ""), "", CONCATENATE(SUBSTITUTE(SEED!$F397, "-", ""), " (", SEED!$E397, IF(EXACT(SEED!$C397, ""), "", CONCATENATE(" ►", SEED!$C397)), ")"))</f>
        <v>+62 (021) 63865199 (Office Phone ►Institution - PT. Denko Wahana Sakti )</v>
      </c>
    </row>
    <row r="398" spans="2:3" x14ac:dyDescent="0.2">
      <c r="B398" s="40">
        <f>IF(EXACT(SEED!$F398, ""), "", SEED!$J398)</f>
        <v>286000000000354</v>
      </c>
      <c r="C398" s="4" t="str">
        <f>IF(EXACT($B398, ""), "", CONCATENATE(SUBSTITUTE(SEED!$F398, "-", ""), " (", SEED!$E398, IF(EXACT(SEED!$C398, ""), "", CONCATENATE(" ►", SEED!$C398)), ")"))</f>
        <v>+62 (021) 63865152 (Faximile ►Institution - PT. Denko Wahana Sakti )</v>
      </c>
    </row>
    <row r="399" spans="2:3" x14ac:dyDescent="0.2">
      <c r="B399" s="40">
        <f>IF(EXACT(SEED!$F399, ""), "", SEED!$J399)</f>
        <v>286000000000355</v>
      </c>
      <c r="C399" s="4" t="str">
        <f>IF(EXACT($B399, ""), "", CONCATENATE(SUBSTITUTE(SEED!$F399, "-", ""), " (", SEED!$E399, IF(EXACT(SEED!$C399, ""), "", CONCATENATE(" ►", SEED!$C399)), ")"))</f>
        <v>+62 85230666608 (Mobile Phone ►Institution - PT. Detech Profesional Indonesia)</v>
      </c>
    </row>
    <row r="400" spans="2:3" x14ac:dyDescent="0.2">
      <c r="B400" s="40">
        <f>IF(EXACT(SEED!$F400, ""), "", SEED!$J400)</f>
        <v>286000000000356</v>
      </c>
      <c r="C400" s="4" t="str">
        <f>IF(EXACT($B400, ""), "", CONCATENATE(SUBSTITUTE(SEED!$F400, "-", ""), " (", SEED!$E400, IF(EXACT(SEED!$C400, ""), "", CONCATENATE(" ►", SEED!$C400)), ")"))</f>
        <v>+62 82133600500 (Mobile Phone ►Institution - PT. Dharma Lautan Utama)</v>
      </c>
    </row>
    <row r="401" spans="2:3" x14ac:dyDescent="0.2">
      <c r="B401" s="40">
        <f>IF(EXACT(SEED!$F401, ""), "", SEED!$J401)</f>
        <v>286000000000357</v>
      </c>
      <c r="C401" s="4" t="str">
        <f>IF(EXACT($B401, ""), "", CONCATENATE(SUBSTITUTE(SEED!$F401, "-", ""), " (", SEED!$E401, IF(EXACT(SEED!$C401, ""), "", CONCATENATE(" ►", SEED!$C401)), ")"))</f>
        <v>+62 (024) 3584600 (Office Phone ►Institution - PT. Dharma Lautan Utama)</v>
      </c>
    </row>
    <row r="402" spans="2:3" x14ac:dyDescent="0.2">
      <c r="B402" s="40">
        <f>IF(EXACT(SEED!$F402, ""), "", SEED!$J402)</f>
        <v>286000000000358</v>
      </c>
      <c r="C402" s="4" t="str">
        <f>IF(EXACT($B402, ""), "", CONCATENATE(SUBSTITUTE(SEED!$F402, "-", ""), " (", SEED!$E402, IF(EXACT(SEED!$C402, ""), "", CONCATENATE(" ►", SEED!$C402)), ")"))</f>
        <v>+62 81345354141 (Mobile Phone ►Institution - PT. Dinar Energi Utama)</v>
      </c>
    </row>
    <row r="403" spans="2:3" x14ac:dyDescent="0.2">
      <c r="B403" s="40">
        <f>IF(EXACT(SEED!$F403, ""), "", SEED!$J403)</f>
        <v>286000000000359</v>
      </c>
      <c r="C403" s="4" t="str">
        <f>IF(EXACT($B403, ""), "", CONCATENATE(SUBSTITUTE(SEED!$F403, "-", ""), " (", SEED!$E403, IF(EXACT(SEED!$C403, ""), "", CONCATENATE(" ►", SEED!$C403)), ")"))</f>
        <v>+62 811193696 (Mobile Phone ►Institution - PT. Dirgatz Indonesia)</v>
      </c>
    </row>
    <row r="404" spans="2:3" x14ac:dyDescent="0.2">
      <c r="B404" s="40">
        <f>IF(EXACT(SEED!$F404, ""), "", SEED!$J404)</f>
        <v>286000000000360</v>
      </c>
      <c r="C404" s="4" t="str">
        <f>IF(EXACT($B404, ""), "", CONCATENATE(SUBSTITUTE(SEED!$F404, "-", ""), " (", SEED!$E404, IF(EXACT(SEED!$C404, ""), "", CONCATENATE(" ►", SEED!$C404)), ")"))</f>
        <v>+62 (021) 7807990 (Office Phone ►Institution - PT. Dirgatz Indonesia)</v>
      </c>
    </row>
    <row r="405" spans="2:3" x14ac:dyDescent="0.2">
      <c r="B405" s="40">
        <f>IF(EXACT(SEED!$F405, ""), "", SEED!$J405)</f>
        <v>286000000000361</v>
      </c>
      <c r="C405" s="4" t="str">
        <f>IF(EXACT($B405, ""), "", CONCATENATE(SUBSTITUTE(SEED!$F405, "-", ""), " (", SEED!$E405, IF(EXACT(SEED!$C405, ""), "", CONCATENATE(" ►", SEED!$C405)), ")"))</f>
        <v>+62 87777707997 (Mobile Phone ►Institution - PT. Duta Realtindo Perkasa)</v>
      </c>
    </row>
    <row r="406" spans="2:3" x14ac:dyDescent="0.2">
      <c r="B406" s="40">
        <f>IF(EXACT(SEED!$F406, ""), "", SEED!$J406)</f>
        <v>286000000000362</v>
      </c>
      <c r="C406" s="4" t="str">
        <f>IF(EXACT($B406, ""), "", CONCATENATE(SUBSTITUTE(SEED!$F406, "-", ""), " (", SEED!$E406, IF(EXACT(SEED!$C406, ""), "", CONCATENATE(" ►", SEED!$C406)), ")"))</f>
        <v>+62 (021) 64701999 (Office Phone ►Institution - PT. Dwimitra Sejahtera Bersama)</v>
      </c>
    </row>
    <row r="407" spans="2:3" x14ac:dyDescent="0.2">
      <c r="B407" s="40">
        <f>IF(EXACT(SEED!$F407, ""), "", SEED!$J407)</f>
        <v>286000000000363</v>
      </c>
      <c r="C407" s="4" t="str">
        <f>IF(EXACT($B407, ""), "", CONCATENATE(SUBSTITUTE(SEED!$F407, "-", ""), " (", SEED!$E407, IF(EXACT(SEED!$C407, ""), "", CONCATENATE(" ►", SEED!$C407)), ")"))</f>
        <v>+62 (021) 64715999 (Faximile ►Institution - PT. Dwimitra Sejahtera Bersama)</v>
      </c>
    </row>
    <row r="408" spans="2:3" x14ac:dyDescent="0.2">
      <c r="B408" s="40">
        <f>IF(EXACT(SEED!$F408, ""), "", SEED!$J408)</f>
        <v>286000000000364</v>
      </c>
      <c r="C408" s="4" t="str">
        <f>IF(EXACT($B408, ""), "", CONCATENATE(SUBSTITUTE(SEED!$F408, "-", ""), " (", SEED!$E408, IF(EXACT(SEED!$C408, ""), "", CONCATENATE(" ►", SEED!$C408)), ")"))</f>
        <v>+62 8161113595 (Mobile Phone ►Institution - PT. Elbion Karya Solusi)</v>
      </c>
    </row>
    <row r="409" spans="2:3" x14ac:dyDescent="0.2">
      <c r="B409" s="40">
        <f>IF(EXACT(SEED!$F409, ""), "", SEED!$J409)</f>
        <v>286000000000365</v>
      </c>
      <c r="C409" s="4" t="str">
        <f>IF(EXACT($B409, ""), "", CONCATENATE(SUBSTITUTE(SEED!$F409, "-", ""), " (", SEED!$E409, IF(EXACT(SEED!$C409, ""), "", CONCATENATE(" ►", SEED!$C409)), ")"))</f>
        <v>+62 (021) 6010146 (Office Phone ►Institution - PT. Elbion Karya Solusi)</v>
      </c>
    </row>
    <row r="410" spans="2:3" x14ac:dyDescent="0.2">
      <c r="B410" s="40">
        <f>IF(EXACT(SEED!$F410, ""), "", SEED!$J410)</f>
        <v>286000000000366</v>
      </c>
      <c r="C410" s="4" t="str">
        <f>IF(EXACT($B410, ""), "", CONCATENATE(SUBSTITUTE(SEED!$F410, "-", ""), " (", SEED!$E410, IF(EXACT(SEED!$C410, ""), "", CONCATENATE(" ►", SEED!$C410)), ")"))</f>
        <v>+62 81288004099 (Mobile Phone ►Institution - PT. Fortindo Maju Bersama )</v>
      </c>
    </row>
    <row r="411" spans="2:3" x14ac:dyDescent="0.2">
      <c r="B411" s="40">
        <f>IF(EXACT(SEED!$F411, ""), "", SEED!$J411)</f>
        <v>286000000000367</v>
      </c>
      <c r="C411" s="4" t="str">
        <f>IF(EXACT($B411, ""), "", CONCATENATE(SUBSTITUTE(SEED!$F411, "-", ""), " (", SEED!$E411, IF(EXACT(SEED!$C411, ""), "", CONCATENATE(" ►", SEED!$C411)), ")"))</f>
        <v>+62 81910008660 (Mobile Phone ►Institution - PT. Fortindo Maju Bersama )</v>
      </c>
    </row>
    <row r="412" spans="2:3" x14ac:dyDescent="0.2">
      <c r="B412" s="40">
        <f>IF(EXACT(SEED!$F412, ""), "", SEED!$J412)</f>
        <v>286000000000368</v>
      </c>
      <c r="C412" s="4" t="str">
        <f>IF(EXACT($B412, ""), "", CONCATENATE(SUBSTITUTE(SEED!$F412, "-", ""), " (", SEED!$E412, IF(EXACT(SEED!$C412, ""), "", CONCATENATE(" ►", SEED!$C412)), ")"))</f>
        <v>+62 81213789796 (Mobile Phone ►Institution - PT. Gateway Container Line Indonesia)</v>
      </c>
    </row>
    <row r="413" spans="2:3" x14ac:dyDescent="0.2">
      <c r="B413" s="40">
        <f>IF(EXACT(SEED!$F413, ""), "", SEED!$J413)</f>
        <v>286000000000369</v>
      </c>
      <c r="C413" s="4" t="str">
        <f>IF(EXACT($B413, ""), "", CONCATENATE(SUBSTITUTE(SEED!$F413, "-", ""), " (", SEED!$E413, IF(EXACT(SEED!$C413, ""), "", CONCATENATE(" ►", SEED!$C413)), ")"))</f>
        <v>+62 (021) 85918669 (Office Phone ►Institution - PT. Gateway Container Line Indonesia)</v>
      </c>
    </row>
    <row r="414" spans="2:3" x14ac:dyDescent="0.2">
      <c r="B414" s="40">
        <f>IF(EXACT(SEED!$F414, ""), "", SEED!$J414)</f>
        <v>286000000000370</v>
      </c>
      <c r="C414" s="4" t="str">
        <f>IF(EXACT($B414, ""), "", CONCATENATE(SUBSTITUTE(SEED!$F414, "-", ""), " (", SEED!$E414, IF(EXACT(SEED!$C414, ""), "", CONCATENATE(" ►", SEED!$C414)), ")"))</f>
        <v>+62 (021) 8598664 (Faximile ►Institution - PT. Gateway Container Line Indonesia)</v>
      </c>
    </row>
    <row r="415" spans="2:3" x14ac:dyDescent="0.2">
      <c r="B415" s="40">
        <f>IF(EXACT(SEED!$F415, ""), "", SEED!$J415)</f>
        <v>286000000000371</v>
      </c>
      <c r="C415" s="4" t="str">
        <f>IF(EXACT($B415, ""), "", CONCATENATE(SUBSTITUTE(SEED!$F415, "-", ""), " (", SEED!$E415, IF(EXACT(SEED!$C415, ""), "", CONCATENATE(" ►", SEED!$C415)), ")"))</f>
        <v>+62 85271815421 (Mobile Phone ►Institution - PT. Geo Cipta Bangun)</v>
      </c>
    </row>
    <row r="416" spans="2:3" x14ac:dyDescent="0.2">
      <c r="B416" s="40">
        <f>IF(EXACT(SEED!$F416, ""), "", SEED!$J416)</f>
        <v>286000000000372</v>
      </c>
      <c r="C416" s="4" t="str">
        <f>IF(EXACT($B416, ""), "", CONCATENATE(SUBSTITUTE(SEED!$F416, "-", ""), " (", SEED!$E416, IF(EXACT(SEED!$C416, ""), "", CONCATENATE(" ►", SEED!$C416)), ")"))</f>
        <v>+62 81373378718 (Mobile Phone ►Institution - PT. Geo Metri Indonesia)</v>
      </c>
    </row>
    <row r="417" spans="2:3" x14ac:dyDescent="0.2">
      <c r="B417" s="40">
        <f>IF(EXACT(SEED!$F417, ""), "", SEED!$J417)</f>
        <v>286000000000373</v>
      </c>
      <c r="C417" s="4" t="str">
        <f>IF(EXACT($B417, ""), "", CONCATENATE(SUBSTITUTE(SEED!$F417, "-", ""), " (", SEED!$E417, IF(EXACT(SEED!$C417, ""), "", CONCATENATE(" ►", SEED!$C417)), ")"))</f>
        <v>+62 8119780844 (Mobile Phone ►Institution - PT. Geotechnical Systemindo)</v>
      </c>
    </row>
    <row r="418" spans="2:3" x14ac:dyDescent="0.2">
      <c r="B418" s="40">
        <f>IF(EXACT(SEED!$F418, ""), "", SEED!$J418)</f>
        <v>286000000000374</v>
      </c>
      <c r="C418" s="4" t="str">
        <f>IF(EXACT($B418, ""), "", CONCATENATE(SUBSTITUTE(SEED!$F418, "-", ""), " (", SEED!$E418, IF(EXACT(SEED!$C418, ""), "", CONCATENATE(" ►", SEED!$C418)), ")"))</f>
        <v>+62 (021) 54381268 (Office Phone ►Institution - PT. Gerindo Tehnik)</v>
      </c>
    </row>
    <row r="419" spans="2:3" x14ac:dyDescent="0.2">
      <c r="B419" s="40">
        <f>IF(EXACT(SEED!$F419, ""), "", SEED!$J419)</f>
        <v>286000000000375</v>
      </c>
      <c r="C419" s="4" t="str">
        <f>IF(EXACT($B419, ""), "", CONCATENATE(SUBSTITUTE(SEED!$F419, "-", ""), " (", SEED!$E419, IF(EXACT(SEED!$C419, ""), "", CONCATENATE(" ►", SEED!$C419)), ")"))</f>
        <v>+62 (021) 54381270 (Faximile ►Institution - PT. Gerindo Tehnik)</v>
      </c>
    </row>
    <row r="420" spans="2:3" x14ac:dyDescent="0.2">
      <c r="B420" s="40">
        <f>IF(EXACT(SEED!$F420, ""), "", SEED!$J420)</f>
        <v>286000000000376</v>
      </c>
      <c r="C420" s="4" t="str">
        <f>IF(EXACT($B420, ""), "", CONCATENATE(SUBSTITUTE(SEED!$F420, "-", ""), " (", SEED!$E420, IF(EXACT(SEED!$C420, ""), "", CONCATENATE(" ►", SEED!$C420)), ")"))</f>
        <v>+62 81350216066 (Mobile Phone ►Institution - PT. Giapindo King Stone)</v>
      </c>
    </row>
    <row r="421" spans="2:3" x14ac:dyDescent="0.2">
      <c r="B421" s="40">
        <f>IF(EXACT(SEED!$F421, ""), "", SEED!$J421)</f>
        <v>286000000000377</v>
      </c>
      <c r="C421" s="4" t="str">
        <f>IF(EXACT($B421, ""), "", CONCATENATE(SUBSTITUTE(SEED!$F421, "-", ""), " (", SEED!$E421, IF(EXACT(SEED!$C421, ""), "", CONCATENATE(" ►", SEED!$C421)), ")"))</f>
        <v>+62 8118889065 (Mobile Phone ►Institution - PT. Givro Multi Teknik Perkasa)</v>
      </c>
    </row>
    <row r="422" spans="2:3" x14ac:dyDescent="0.2">
      <c r="B422" s="40">
        <f>IF(EXACT(SEED!$F422, ""), "", SEED!$J422)</f>
        <v>286000000000378</v>
      </c>
      <c r="C422" s="4" t="str">
        <f>IF(EXACT($B422, ""), "", CONCATENATE(SUBSTITUTE(SEED!$F422, "-", ""), " (", SEED!$E422, IF(EXACT(SEED!$C422, ""), "", CONCATENATE(" ►", SEED!$C422)), ")"))</f>
        <v>+62 (021) 29483795 (Office Phone ►Institution - PT. Givro Multi Teknik Perkasa)</v>
      </c>
    </row>
    <row r="423" spans="2:3" x14ac:dyDescent="0.2">
      <c r="B423" s="40">
        <f>IF(EXACT(SEED!$F423, ""), "", SEED!$J423)</f>
        <v>286000000000379</v>
      </c>
      <c r="C423" s="4" t="str">
        <f>IF(EXACT($B423, ""), "", CONCATENATE(SUBSTITUTE(SEED!$F423, "-", ""), " (", SEED!$E423, IF(EXACT(SEED!$C423, ""), "", CONCATENATE(" ►", SEED!$C423)), ")"))</f>
        <v>+62 81249900056 (Mobile Phone ►Institution - PT. Harapan Mitra Pengusaha Nusantara)</v>
      </c>
    </row>
    <row r="424" spans="2:3" x14ac:dyDescent="0.2">
      <c r="B424" s="40">
        <f>IF(EXACT(SEED!$F424, ""), "", SEED!$J424)</f>
        <v>286000000000380</v>
      </c>
      <c r="C424" s="4" t="str">
        <f>IF(EXACT($B424, ""), "", CONCATENATE(SUBSTITUTE(SEED!$F424, "-", ""), " (", SEED!$E424, IF(EXACT(SEED!$C424, ""), "", CONCATENATE(" ►", SEED!$C424)), ")"))</f>
        <v>+62 81311777617 (Mobile Phone ►Institution - PT. Hartelindo Telco Utama)</v>
      </c>
    </row>
    <row r="425" spans="2:3" x14ac:dyDescent="0.2">
      <c r="B425" s="40">
        <f>IF(EXACT(SEED!$F425, ""), "", SEED!$J425)</f>
        <v>286000000000381</v>
      </c>
      <c r="C425" s="4" t="str">
        <f>IF(EXACT($B425, ""), "", CONCATENATE(SUBSTITUTE(SEED!$F425, "-", ""), " (", SEED!$E425, IF(EXACT(SEED!$C425, ""), "", CONCATENATE(" ►", SEED!$C425)), ")"))</f>
        <v>+62 87870859703 (Mobile Phone ►Institution - PT. Hesindo Karya Pratama)</v>
      </c>
    </row>
    <row r="426" spans="2:3" x14ac:dyDescent="0.2">
      <c r="B426" s="40">
        <f>IF(EXACT(SEED!$F426, ""), "", SEED!$J426)</f>
        <v>286000000000382</v>
      </c>
      <c r="C426" s="4" t="str">
        <f>IF(EXACT($B426, ""), "", CONCATENATE(SUBSTITUTE(SEED!$F426, "-", ""), " (", SEED!$E426, IF(EXACT(SEED!$C426, ""), "", CONCATENATE(" ►", SEED!$C426)), ")"))</f>
        <v>+62 8227222 (Mobile Phone ►Institution - PT. Hijrah Insan Karima)</v>
      </c>
    </row>
    <row r="427" spans="2:3" x14ac:dyDescent="0.2">
      <c r="B427" s="40">
        <f>IF(EXACT(SEED!$F427, ""), "", SEED!$J427)</f>
        <v>286000000000383</v>
      </c>
      <c r="C427" s="4" t="str">
        <f>IF(EXACT($B427, ""), "", CONCATENATE(SUBSTITUTE(SEED!$F427, "-", ""), " (", SEED!$E427, IF(EXACT(SEED!$C427, ""), "", CONCATENATE(" ►", SEED!$C427)), ")"))</f>
        <v>+62 81281071111 (Mobile Phone ►Institution - PT. Hijrah Insan Karima)</v>
      </c>
    </row>
    <row r="428" spans="2:3" x14ac:dyDescent="0.2">
      <c r="B428" s="40">
        <f>IF(EXACT(SEED!$F428, ""), "", SEED!$J428)</f>
        <v>286000000000384</v>
      </c>
      <c r="C428" s="4" t="str">
        <f>IF(EXACT($B428, ""), "", CONCATENATE(SUBSTITUTE(SEED!$F428, "-", ""), " (", SEED!$E428, IF(EXACT(SEED!$C428, ""), "", CONCATENATE(" ►", SEED!$C428)), ")"))</f>
        <v>+62 81285881212 (Mobile Phone ►Institution - PT. Infra Media Dinamika )</v>
      </c>
    </row>
    <row r="429" spans="2:3" x14ac:dyDescent="0.2">
      <c r="B429" s="40">
        <f>IF(EXACT(SEED!$F429, ""), "", SEED!$J429)</f>
        <v>286000000000385</v>
      </c>
      <c r="C429" s="4" t="str">
        <f>IF(EXACT($B429, ""), "", CONCATENATE(SUBSTITUTE(SEED!$F429, "-", ""), " (", SEED!$E429, IF(EXACT(SEED!$C429, ""), "", CONCATENATE(" ►", SEED!$C429)), ")"))</f>
        <v>+62 81382875435 (Mobile Phone ►Institution - PT. Inti Teknologi Indonesia Utama)</v>
      </c>
    </row>
    <row r="430" spans="2:3" x14ac:dyDescent="0.2">
      <c r="B430" s="40">
        <f>IF(EXACT(SEED!$F430, ""), "", SEED!$J430)</f>
        <v>286000000000386</v>
      </c>
      <c r="C430" s="4" t="str">
        <f>IF(EXACT($B430, ""), "", CONCATENATE(SUBSTITUTE(SEED!$F430, "-", ""), " (", SEED!$E430, IF(EXACT(SEED!$C430, ""), "", CONCATENATE(" ►", SEED!$C430)), ")"))</f>
        <v>+62 (021) 83782213 (Office Phone ►Institution - PT. Iradat Aman Globalindo)</v>
      </c>
    </row>
    <row r="431" spans="2:3" x14ac:dyDescent="0.2">
      <c r="B431" s="40">
        <f>IF(EXACT(SEED!$F431, ""), "", SEED!$J431)</f>
        <v>286000000000387</v>
      </c>
      <c r="C431" s="4" t="str">
        <f>IF(EXACT($B431, ""), "", CONCATENATE(SUBSTITUTE(SEED!$F431, "-", ""), " (", SEED!$E431, IF(EXACT(SEED!$C431, ""), "", CONCATENATE(" ►", SEED!$C431)), ")"))</f>
        <v>+62 (021) 83782214 (Office Phone ►Institution - PT. Iradat Aman Globalindo)</v>
      </c>
    </row>
    <row r="432" spans="2:3" x14ac:dyDescent="0.2">
      <c r="B432" s="40">
        <f>IF(EXACT(SEED!$F432, ""), "", SEED!$J432)</f>
        <v>286000000000388</v>
      </c>
      <c r="C432" s="4" t="str">
        <f>IF(EXACT($B432, ""), "", CONCATENATE(SUBSTITUTE(SEED!$F432, "-", ""), " (", SEED!$E432, IF(EXACT(SEED!$C432, ""), "", CONCATENATE(" ►", SEED!$C432)), ")"))</f>
        <v>+62 (021) 83782215 (Office Phone ►Institution - PT. Iradat Aman Globalindo)</v>
      </c>
    </row>
    <row r="433" spans="2:3" x14ac:dyDescent="0.2">
      <c r="B433" s="40">
        <f>IF(EXACT(SEED!$F433, ""), "", SEED!$J433)</f>
        <v>286000000000389</v>
      </c>
      <c r="C433" s="4" t="str">
        <f>IF(EXACT($B433, ""), "", CONCATENATE(SUBSTITUTE(SEED!$F433, "-", ""), " (", SEED!$E433, IF(EXACT(SEED!$C433, ""), "", CONCATENATE(" ►", SEED!$C433)), ")"))</f>
        <v>+62 (021) 83782216 (Faximile ►Institution - PT. Iradat Aman Globalindo)</v>
      </c>
    </row>
    <row r="434" spans="2:3" x14ac:dyDescent="0.2">
      <c r="B434" s="40">
        <f>IF(EXACT(SEED!$F434, ""), "", SEED!$J434)</f>
        <v>286000000000390</v>
      </c>
      <c r="C434" s="4" t="str">
        <f>IF(EXACT($B434, ""), "", CONCATENATE(SUBSTITUTE(SEED!$F434, "-", ""), " (", SEED!$E434, IF(EXACT(SEED!$C434, ""), "", CONCATENATE(" ►", SEED!$C434)), ")"))</f>
        <v>+62 81219406158 (Mobile Phone ►Institution - PT. Jaring Permata Samudra)</v>
      </c>
    </row>
    <row r="435" spans="2:3" x14ac:dyDescent="0.2">
      <c r="B435" s="40">
        <f>IF(EXACT(SEED!$F435, ""), "", SEED!$J435)</f>
        <v>286000000000391</v>
      </c>
      <c r="C435" s="4" t="str">
        <f>IF(EXACT($B435, ""), "", CONCATENATE(SUBSTITUTE(SEED!$F435, "-", ""), " (", SEED!$E435, IF(EXACT(SEED!$C435, ""), "", CONCATENATE(" ►", SEED!$C435)), ")"))</f>
        <v>+62 (021) 29021445 (Faximile ►Institution - PT. Jaring Permata Samudra)</v>
      </c>
    </row>
    <row r="436" spans="2:3" x14ac:dyDescent="0.2">
      <c r="B436" s="40">
        <f>IF(EXACT(SEED!$F436, ""), "", SEED!$J436)</f>
        <v>286000000000392</v>
      </c>
      <c r="C436" s="4" t="str">
        <f>IF(EXACT($B436, ""), "", CONCATENATE(SUBSTITUTE(SEED!$F436, "-", ""), " (", SEED!$E436, IF(EXACT(SEED!$C436, ""), "", CONCATENATE(" ►", SEED!$C436)), ")"))</f>
        <v>+62 (021) 82741010 (Mobile Phone ►Institution - PT. Jaring Telekomunikasi Indonesia)</v>
      </c>
    </row>
    <row r="437" spans="2:3" x14ac:dyDescent="0.2">
      <c r="B437" s="40">
        <f>IF(EXACT(SEED!$F437, ""), "", SEED!$J437)</f>
        <v>286000000000393</v>
      </c>
      <c r="C437" s="4" t="str">
        <f>IF(EXACT($B437, ""), "", CONCATENATE(SUBSTITUTE(SEED!$F437, "-", ""), " (", SEED!$E437, IF(EXACT(SEED!$C437, ""), "", CONCATENATE(" ►", SEED!$C437)), ")"))</f>
        <v>+62 (021) 5304023 (Office Phone ►Institution - PT. Jaya Beton Indonesia)</v>
      </c>
    </row>
    <row r="438" spans="2:3" x14ac:dyDescent="0.2">
      <c r="B438" s="40">
        <f>IF(EXACT(SEED!$F438, ""), "", SEED!$J438)</f>
        <v>286000000000394</v>
      </c>
      <c r="C438" s="4" t="str">
        <f>IF(EXACT($B438, ""), "", CONCATENATE(SUBSTITUTE(SEED!$F438, "-", ""), " (", SEED!$E438, IF(EXACT(SEED!$C438, ""), "", CONCATENATE(" ►", SEED!$C438)), ")"))</f>
        <v>+62 82329996669 (Mobile Phone ►Institution - PT. Jogatama Mandauputra)</v>
      </c>
    </row>
    <row r="439" spans="2:3" x14ac:dyDescent="0.2">
      <c r="B439" s="40">
        <f>IF(EXACT(SEED!$F439, ""), "", SEED!$J439)</f>
        <v>286000000000395</v>
      </c>
      <c r="C439" s="4" t="str">
        <f>IF(EXACT($B439, ""), "", CONCATENATE(SUBSTITUTE(SEED!$F439, "-", ""), " (", SEED!$E439, IF(EXACT(SEED!$C439, ""), "", CONCATENATE(" ►", SEED!$C439)), ")"))</f>
        <v>+62 81280090998 (Mobile Phone ►Institution - PT. Joko Mas Pancang)</v>
      </c>
    </row>
    <row r="440" spans="2:3" x14ac:dyDescent="0.2">
      <c r="B440" s="40">
        <f>IF(EXACT(SEED!$F440, ""), "", SEED!$J440)</f>
        <v>286000000000396</v>
      </c>
      <c r="C440" s="4" t="str">
        <f>IF(EXACT($B440, ""), "", CONCATENATE(SUBSTITUTE(SEED!$F440, "-", ""), " (", SEED!$E440, IF(EXACT(SEED!$C440, ""), "", CONCATENATE(" ►", SEED!$C440)), ")"))</f>
        <v>+62 85235575758 (Mobile Phone ►Institution - PT. Kalimantan Beton Perkasa)</v>
      </c>
    </row>
    <row r="441" spans="2:3" x14ac:dyDescent="0.2">
      <c r="B441" s="40">
        <f>IF(EXACT(SEED!$F441, ""), "", SEED!$J441)</f>
        <v>286000000000397</v>
      </c>
      <c r="C441" s="4" t="str">
        <f>IF(EXACT($B441, ""), "", CONCATENATE(SUBSTITUTE(SEED!$F441, "-", ""), " (", SEED!$E441, IF(EXACT(SEED!$C441, ""), "", CONCATENATE(" ►", SEED!$C441)), ")"))</f>
        <v>+62 (021) 4610588 (Office Phone ►Institution - PT. Kalimantan Beton Perkasa)</v>
      </c>
    </row>
    <row r="442" spans="2:3" x14ac:dyDescent="0.2">
      <c r="B442" s="40">
        <f>IF(EXACT(SEED!$F442, ""), "", SEED!$J442)</f>
        <v>286000000000398</v>
      </c>
      <c r="C442" s="4" t="str">
        <f>IF(EXACT($B442, ""), "", CONCATENATE(SUBSTITUTE(SEED!$F442, "-", ""), " (", SEED!$E442, IF(EXACT(SEED!$C442, ""), "", CONCATENATE(" ►", SEED!$C442)), ")"))</f>
        <v>+62 811522345 (Mobile Phone ►Institution - PT. Kalimantan Prakarsa Mandiri)</v>
      </c>
    </row>
    <row r="443" spans="2:3" x14ac:dyDescent="0.2">
      <c r="B443" s="40">
        <f>IF(EXACT(SEED!$F443, ""), "", SEED!$J443)</f>
        <v>286000000000399</v>
      </c>
      <c r="C443" s="4" t="str">
        <f>IF(EXACT($B443, ""), "", CONCATENATE(SUBSTITUTE(SEED!$F443, "-", ""), " (", SEED!$E443, IF(EXACT(SEED!$C443, ""), "", CONCATENATE(" ►", SEED!$C443)), ")"))</f>
        <v>+62 82254991429 (Mobile Phone ►Institution - PT. Kalimantan Prakarsa Mandiri)</v>
      </c>
    </row>
    <row r="444" spans="2:3" x14ac:dyDescent="0.2">
      <c r="B444" s="40">
        <f>IF(EXACT(SEED!$F444, ""), "", SEED!$J444)</f>
        <v>286000000000400</v>
      </c>
      <c r="C444" s="4" t="str">
        <f>IF(EXACT($B444, ""), "", CONCATENATE(SUBSTITUTE(SEED!$F444, "-", ""), " (", SEED!$E444, IF(EXACT(SEED!$C444, ""), "", CONCATENATE(" ►", SEED!$C444)), ")"))</f>
        <v>+62 (021) 31118067 (Office Phone ►Institution - PT. Karya Mega Sarana)</v>
      </c>
    </row>
    <row r="445" spans="2:3" x14ac:dyDescent="0.2">
      <c r="B445" s="40">
        <f>IF(EXACT(SEED!$F445, ""), "", SEED!$J445)</f>
        <v>286000000000401</v>
      </c>
      <c r="C445" s="4" t="str">
        <f>IF(EXACT($B445, ""), "", CONCATENATE(SUBSTITUTE(SEED!$F445, "-", ""), " (", SEED!$E445, IF(EXACT(SEED!$C445, ""), "", CONCATENATE(" ►", SEED!$C445)), ")"))</f>
        <v>+62 (031) 3520189 (Office Phone ►Institution - PT. Kawan Kita Anugerah Makmur)</v>
      </c>
    </row>
    <row r="446" spans="2:3" x14ac:dyDescent="0.2">
      <c r="B446" s="40">
        <f>IF(EXACT(SEED!$F446, ""), "", SEED!$J446)</f>
        <v>286000000000402</v>
      </c>
      <c r="C446" s="4" t="str">
        <f>IF(EXACT($B446, ""), "", CONCATENATE(SUBSTITUTE(SEED!$F446, "-", ""), " (", SEED!$E446, IF(EXACT(SEED!$C446, ""), "", CONCATENATE(" ►", SEED!$C446)), ")"))</f>
        <v>+62 (021) 75917538  (Office Phone ►Institution - PT. Kesuma  )</v>
      </c>
    </row>
    <row r="447" spans="2:3" x14ac:dyDescent="0.2">
      <c r="B447" s="40">
        <f>IF(EXACT(SEED!$F447, ""), "", SEED!$J447)</f>
        <v>286000000000403</v>
      </c>
      <c r="C447" s="4" t="str">
        <f>IF(EXACT($B447, ""), "", CONCATENATE(SUBSTITUTE(SEED!$F447, "-", ""), " (", SEED!$E447, IF(EXACT(SEED!$C447, ""), "", CONCATENATE(" ►", SEED!$C447)), ")"))</f>
        <v>+62 8119111296 (Mobile Phone ►Institution - PT. Kirana Purnama)</v>
      </c>
    </row>
    <row r="448" spans="2:3" x14ac:dyDescent="0.2">
      <c r="B448" s="40">
        <f>IF(EXACT(SEED!$F448, ""), "", SEED!$J448)</f>
        <v>286000000000404</v>
      </c>
      <c r="C448" s="4" t="str">
        <f>IF(EXACT($B448, ""), "", CONCATENATE(SUBSTITUTE(SEED!$F448, "-", ""), " (", SEED!$E448, IF(EXACT(SEED!$C448, ""), "", CONCATENATE(" ►", SEED!$C448)), ")"))</f>
        <v>+62 (021) 89510031 (Office Phone ►Institution - PT. Kirana Purnama)</v>
      </c>
    </row>
    <row r="449" spans="2:3" x14ac:dyDescent="0.2">
      <c r="B449" s="40">
        <f>IF(EXACT(SEED!$F449, ""), "", SEED!$J449)</f>
        <v>286000000000405</v>
      </c>
      <c r="C449" s="4" t="str">
        <f>IF(EXACT($B449, ""), "", CONCATENATE(SUBSTITUTE(SEED!$F449, "-", ""), " (", SEED!$E449, IF(EXACT(SEED!$C449, ""), "", CONCATENATE(" ►", SEED!$C449)), ")"))</f>
        <v>+62 (021) 75917537 (Faximile ►Institution - PT. Kirana Purnama)</v>
      </c>
    </row>
    <row r="450" spans="2:3" x14ac:dyDescent="0.2">
      <c r="B450" s="40">
        <f>IF(EXACT(SEED!$F450, ""), "", SEED!$J450)</f>
        <v>286000000000406</v>
      </c>
      <c r="C450" s="4" t="str">
        <f>IF(EXACT($B450, ""), "", CONCATENATE(SUBSTITUTE(SEED!$F450, "-", ""), " (", SEED!$E450, IF(EXACT(SEED!$C450, ""), "", CONCATENATE(" ►", SEED!$C450)), ")"))</f>
        <v>+62 (021) 75917470  (Faximile ►Institution - PT. Kirana Purnama)</v>
      </c>
    </row>
    <row r="451" spans="2:3" x14ac:dyDescent="0.2">
      <c r="B451" s="40">
        <f>IF(EXACT(SEED!$F451, ""), "", SEED!$J451)</f>
        <v>286000000000407</v>
      </c>
      <c r="C451" s="4" t="str">
        <f>IF(EXACT($B451, ""), "", CONCATENATE(SUBSTITUTE(SEED!$F451, "-", ""), " (", SEED!$E451, IF(EXACT(SEED!$C451, ""), "", CONCATENATE(" ►", SEED!$C451)), ")"))</f>
        <v>+62 81228018107  (Mobile Phone ►Institution - PT. Macika Indo Sarana Transport)</v>
      </c>
    </row>
    <row r="452" spans="2:3" x14ac:dyDescent="0.2">
      <c r="B452" s="40">
        <f>IF(EXACT(SEED!$F452, ""), "", SEED!$J452)</f>
        <v>286000000000408</v>
      </c>
      <c r="C452" s="4" t="str">
        <f>IF(EXACT($B452, ""), "", CONCATENATE(SUBSTITUTE(SEED!$F452, "-", ""), " (", SEED!$E452, IF(EXACT(SEED!$C452, ""), "", CONCATENATE(" ►", SEED!$C452)), ")"))</f>
        <v>+62 (024) 3566769  (Office Phone ►Institution - PT. Macika Indo Sarana Transport)</v>
      </c>
    </row>
    <row r="453" spans="2:3" x14ac:dyDescent="0.2">
      <c r="B453" s="40">
        <f>IF(EXACT(SEED!$F453, ""), "", SEED!$J453)</f>
        <v>286000000000409</v>
      </c>
      <c r="C453" s="4" t="str">
        <f>IF(EXACT($B453, ""), "", CONCATENATE(SUBSTITUTE(SEED!$F453, "-", ""), " (", SEED!$E453, IF(EXACT(SEED!$C453, ""), "", CONCATENATE(" ►", SEED!$C453)), ")"))</f>
        <v>+62 (021) 59984180 (Office Phone ►Institution - PT. Magna Beton Indonesia)</v>
      </c>
    </row>
    <row r="454" spans="2:3" x14ac:dyDescent="0.2">
      <c r="B454" s="40">
        <f>IF(EXACT(SEED!$F454, ""), "", SEED!$J454)</f>
        <v>286000000000410</v>
      </c>
      <c r="C454" s="4" t="str">
        <f>IF(EXACT($B454, ""), "", CONCATENATE(SUBSTITUTE(SEED!$F454, "-", ""), " (", SEED!$E454, IF(EXACT(SEED!$C454, ""), "", CONCATENATE(" ►", SEED!$C454)), ")"))</f>
        <v>+62 81298202296 (Mobile Phone ►Institution - PT. Mandiri Maha Daya)</v>
      </c>
    </row>
    <row r="455" spans="2:3" x14ac:dyDescent="0.2">
      <c r="B455" s="40">
        <f>IF(EXACT(SEED!$F455, ""), "", SEED!$J455)</f>
        <v>286000000000411</v>
      </c>
      <c r="C455" s="4" t="str">
        <f>IF(EXACT($B455, ""), "", CONCATENATE(SUBSTITUTE(SEED!$F455, "-", ""), " (", SEED!$E455, IF(EXACT(SEED!$C455, ""), "", CONCATENATE(" ►", SEED!$C455)), ")"))</f>
        <v>+62 (021) 88393746 (Office Phone ►Institution - PT. Markoen Engineering Indonesia)</v>
      </c>
    </row>
    <row r="456" spans="2:3" x14ac:dyDescent="0.2">
      <c r="B456" s="40">
        <f>IF(EXACT(SEED!$F456, ""), "", SEED!$J456)</f>
        <v>286000000000412</v>
      </c>
      <c r="C456" s="4" t="str">
        <f>IF(EXACT($B456, ""), "", CONCATENATE(SUBSTITUTE(SEED!$F456, "-", ""), " (", SEED!$E456, IF(EXACT(SEED!$C456, ""), "", CONCATENATE(" ►", SEED!$C456)), ")"))</f>
        <v>+62 88212100952 (Mobile Phone ►Institution - PT. Mediantara General Sistemindo)</v>
      </c>
    </row>
    <row r="457" spans="2:3" x14ac:dyDescent="0.2">
      <c r="B457" s="40">
        <f>IF(EXACT(SEED!$F457, ""), "", SEED!$J457)</f>
        <v>286000000000413</v>
      </c>
      <c r="C457" s="4" t="str">
        <f>IF(EXACT($B457, ""), "", CONCATENATE(SUBSTITUTE(SEED!$F457, "-", ""), " (", SEED!$E457, IF(EXACT(SEED!$C457, ""), "", CONCATENATE(" ►", SEED!$C457)), ")"))</f>
        <v>+62 (021) 22874107 (Office Phone ►Institution - PT. Mediantara General Sistemindo)</v>
      </c>
    </row>
    <row r="458" spans="2:3" x14ac:dyDescent="0.2">
      <c r="B458" s="40">
        <f>IF(EXACT(SEED!$F458, ""), "", SEED!$J458)</f>
        <v>286000000000414</v>
      </c>
      <c r="C458" s="4" t="str">
        <f>IF(EXACT($B458, ""), "", CONCATENATE(SUBSTITUTE(SEED!$F458, "-", ""), " (", SEED!$E458, IF(EXACT(SEED!$C458, ""), "", CONCATENATE(" ►", SEED!$C458)), ")"))</f>
        <v>+62 8118883592 (Mobile Phone ►Institution - PT. Mega Perkakas Abadi)</v>
      </c>
    </row>
    <row r="459" spans="2:3" x14ac:dyDescent="0.2">
      <c r="B459" s="40">
        <f>IF(EXACT(SEED!$F459, ""), "", SEED!$J459)</f>
        <v>286000000000415</v>
      </c>
      <c r="C459" s="4" t="str">
        <f>IF(EXACT($B459, ""), "", CONCATENATE(SUBSTITUTE(SEED!$F459, "-", ""), " (", SEED!$E459, IF(EXACT(SEED!$C459, ""), "", CONCATENATE(" ►", SEED!$C459)), ")"))</f>
        <v>+62 (031) 33371000 (Office Phone ►Institution - PT. Meratus Line )</v>
      </c>
    </row>
    <row r="460" spans="2:3" x14ac:dyDescent="0.2">
      <c r="B460" s="40">
        <f>IF(EXACT(SEED!$F460, ""), "", SEED!$J460)</f>
        <v>286000000000416</v>
      </c>
      <c r="C460" s="4" t="str">
        <f>IF(EXACT($B460, ""), "", CONCATENATE(SUBSTITUTE(SEED!$F460, "-", ""), " (", SEED!$E460, IF(EXACT(SEED!$C460, ""), "", CONCATENATE(" ►", SEED!$C460)), ")"))</f>
        <v>+62 81908672652 (Mobile Phone ►Institution - PT. Mitra Abadi Hanafindo)</v>
      </c>
    </row>
    <row r="461" spans="2:3" x14ac:dyDescent="0.2">
      <c r="B461" s="40">
        <f>IF(EXACT(SEED!$F461, ""), "", SEED!$J461)</f>
        <v>286000000000417</v>
      </c>
      <c r="C461" s="4" t="str">
        <f>IF(EXACT($B461, ""), "", CONCATENATE(SUBSTITUTE(SEED!$F461, "-", ""), " (", SEED!$E461, IF(EXACT(SEED!$C461, ""), "", CONCATENATE(" ►", SEED!$C461)), ")"))</f>
        <v>+62 (021) 62200710 (Office Phone ►Institution - PT. Mitra Abadi Hanafindo)</v>
      </c>
    </row>
    <row r="462" spans="2:3" x14ac:dyDescent="0.2">
      <c r="B462" s="40">
        <f>IF(EXACT(SEED!$F462, ""), "", SEED!$J462)</f>
        <v>286000000000418</v>
      </c>
      <c r="C462" s="4" t="str">
        <f>IF(EXACT($B462, ""), "", CONCATENATE(SUBSTITUTE(SEED!$F462, "-", ""), " (", SEED!$E462, IF(EXACT(SEED!$C462, ""), "", CONCATENATE(" ►", SEED!$C462)), ")"))</f>
        <v>+62 (0536) 3233311 (Office Phone ►Institution - PT. Mitra Putra Profitamas)</v>
      </c>
    </row>
    <row r="463" spans="2:3" x14ac:dyDescent="0.2">
      <c r="B463" s="40">
        <f>IF(EXACT(SEED!$F463, ""), "", SEED!$J463)</f>
        <v>286000000000419</v>
      </c>
      <c r="C463" s="4" t="str">
        <f>IF(EXACT($B463, ""), "", CONCATENATE(SUBSTITUTE(SEED!$F463, "-", ""), " (", SEED!$E463, IF(EXACT(SEED!$C463, ""), "", CONCATENATE(" ►", SEED!$C463)), ")"))</f>
        <v>+62 (021) 276598 (Office Phone ►Institution - PT. Mixindo Abadi Karya)</v>
      </c>
    </row>
    <row r="464" spans="2:3" x14ac:dyDescent="0.2">
      <c r="B464" s="40">
        <f>IF(EXACT(SEED!$F464, ""), "", SEED!$J464)</f>
        <v>286000000000420</v>
      </c>
      <c r="C464" s="4" t="str">
        <f>IF(EXACT($B464, ""), "", CONCATENATE(SUBSTITUTE(SEED!$F464, "-", ""), " (", SEED!$E464, IF(EXACT(SEED!$C464, ""), "", CONCATENATE(" ►", SEED!$C464)), ")"))</f>
        <v>+62 (021) 54398746 (Office Phone ►Institution - PT. Mollindo Cipta Mandiri )</v>
      </c>
    </row>
    <row r="465" spans="2:3" x14ac:dyDescent="0.2">
      <c r="B465" s="40">
        <f>IF(EXACT(SEED!$F465, ""), "", SEED!$J465)</f>
        <v>286000000000421</v>
      </c>
      <c r="C465" s="4" t="str">
        <f>IF(EXACT($B465, ""), "", CONCATENATE(SUBSTITUTE(SEED!$F465, "-", ""), " (", SEED!$E465, IF(EXACT(SEED!$C465, ""), "", CONCATENATE(" ►", SEED!$C465)), ")"))</f>
        <v>+62 85281084519 (Mobile Phone ►Institution - PT. Multi Guna Trans Energi)</v>
      </c>
    </row>
    <row r="466" spans="2:3" x14ac:dyDescent="0.2">
      <c r="B466" s="40">
        <f>IF(EXACT(SEED!$F466, ""), "", SEED!$J466)</f>
        <v>286000000000422</v>
      </c>
      <c r="C466" s="4" t="str">
        <f>IF(EXACT($B466, ""), "", CONCATENATE(SUBSTITUTE(SEED!$F466, "-", ""), " (", SEED!$E466, IF(EXACT(SEED!$C466, ""), "", CONCATENATE(" ►", SEED!$C466)), ")"))</f>
        <v>+62 81284030286 (Mobile Phone ►Institution - PT. Multi Kencana Niagatama)</v>
      </c>
    </row>
    <row r="467" spans="2:3" x14ac:dyDescent="0.2">
      <c r="B467" s="40">
        <f>IF(EXACT(SEED!$F467, ""), "", SEED!$J467)</f>
        <v>286000000000423</v>
      </c>
      <c r="C467" s="4" t="str">
        <f>IF(EXACT($B467, ""), "", CONCATENATE(SUBSTITUTE(SEED!$F467, "-", ""), " (", SEED!$E467, IF(EXACT(SEED!$C467, ""), "", CONCATENATE(" ►", SEED!$C467)), ")"))</f>
        <v>+62 (021) 58902510 (Office Phone ►Institution - PT. Multi Kencana Niagatama)</v>
      </c>
    </row>
    <row r="468" spans="2:3" x14ac:dyDescent="0.2">
      <c r="B468" s="40">
        <f>IF(EXACT(SEED!$F468, ""), "", SEED!$J468)</f>
        <v>286000000000424</v>
      </c>
      <c r="C468" s="4" t="str">
        <f>IF(EXACT($B468, ""), "", CONCATENATE(SUBSTITUTE(SEED!$F468, "-", ""), " (", SEED!$E468, IF(EXACT(SEED!$C468, ""), "", CONCATENATE(" ►", SEED!$C468)), ")"))</f>
        <v>+62 8974123298 (Mobile Phone ►Institution - PT. Mutiara Timur Truss)</v>
      </c>
    </row>
    <row r="469" spans="2:3" x14ac:dyDescent="0.2">
      <c r="B469" s="40">
        <f>IF(EXACT(SEED!$F469, ""), "", SEED!$J469)</f>
        <v>286000000000425</v>
      </c>
      <c r="C469" s="4" t="str">
        <f>IF(EXACT($B469, ""), "", CONCATENATE(SUBSTITUTE(SEED!$F469, "-", ""), " (", SEED!$E469, IF(EXACT(SEED!$C469, ""), "", CONCATENATE(" ►", SEED!$C469)), ")"))</f>
        <v>+62 (021) 58900189 (Faximile ►Institution - PT. Mutiara Timur Truss)</v>
      </c>
    </row>
    <row r="470" spans="2:3" x14ac:dyDescent="0.2">
      <c r="B470" s="40">
        <f>IF(EXACT(SEED!$F470, ""), "", SEED!$J470)</f>
        <v>286000000000426</v>
      </c>
      <c r="C470" s="4" t="str">
        <f>IF(EXACT($B470, ""), "", CONCATENATE(SUBSTITUTE(SEED!$F470, "-", ""), " (", SEED!$E470, IF(EXACT(SEED!$C470, ""), "", CONCATENATE(" ►", SEED!$C470)), ")"))</f>
        <v>+62 (021) 28536244 (Office Phone ►Institution - PT. Nariza Teknik Inspeksi)</v>
      </c>
    </row>
    <row r="471" spans="2:3" x14ac:dyDescent="0.2">
      <c r="B471" s="40">
        <f>IF(EXACT(SEED!$F471, ""), "", SEED!$J471)</f>
        <v>286000000000427</v>
      </c>
      <c r="C471" s="4" t="str">
        <f>IF(EXACT($B471, ""), "", CONCATENATE(SUBSTITUTE(SEED!$F471, "-", ""), " (", SEED!$E471, IF(EXACT(SEED!$C471, ""), "", CONCATENATE(" ►", SEED!$C471)), ")"))</f>
        <v>+62 817890354 (Mobile Phone ►Institution - PT. Netcom Technology)</v>
      </c>
    </row>
    <row r="472" spans="2:3" x14ac:dyDescent="0.2">
      <c r="B472" s="40">
        <f>IF(EXACT(SEED!$F472, ""), "", SEED!$J472)</f>
        <v>286000000000428</v>
      </c>
      <c r="C472" s="4" t="str">
        <f>IF(EXACT($B472, ""), "", CONCATENATE(SUBSTITUTE(SEED!$F472, "-", ""), " (", SEED!$E472, IF(EXACT(SEED!$C472, ""), "", CONCATENATE(" ►", SEED!$C472)), ")"))</f>
        <v>+62 (021) 29030969 (Office Phone ►Institution - PT. Netcom Technology)</v>
      </c>
    </row>
    <row r="473" spans="2:3" x14ac:dyDescent="0.2">
      <c r="B473" s="40">
        <f>IF(EXACT(SEED!$F473, ""), "", SEED!$J473)</f>
        <v>286000000000429</v>
      </c>
      <c r="C473" s="4" t="str">
        <f>IF(EXACT($B473, ""), "", CONCATENATE(SUBSTITUTE(SEED!$F473, "-", ""), " (", SEED!$E473, IF(EXACT(SEED!$C473, ""), "", CONCATENATE(" ►", SEED!$C473)), ")"))</f>
        <v>+62 (021) 75672445 (Office Phone ►Institution - PT. NR Electric Jakarta)</v>
      </c>
    </row>
    <row r="474" spans="2:3" x14ac:dyDescent="0.2">
      <c r="B474" s="40">
        <f>IF(EXACT(SEED!$F474, ""), "", SEED!$J474)</f>
        <v>286000000000430</v>
      </c>
      <c r="C474" s="4" t="str">
        <f>IF(EXACT($B474, ""), "", CONCATENATE(SUBSTITUTE(SEED!$F474, "-", ""), " (", SEED!$E474, IF(EXACT(SEED!$C474, ""), "", CONCATENATE(" ►", SEED!$C474)), ")"))</f>
        <v>+62 85845232634 (Mobile Phone ►Institution - PT. Nuansa Dharma Cipta)</v>
      </c>
    </row>
    <row r="475" spans="2:3" x14ac:dyDescent="0.2">
      <c r="B475" s="40">
        <f>IF(EXACT(SEED!$F475, ""), "", SEED!$J475)</f>
        <v>286000000000431</v>
      </c>
      <c r="C475" s="4" t="str">
        <f>IF(EXACT($B475, ""), "", CONCATENATE(SUBSTITUTE(SEED!$F475, "-", ""), " (", SEED!$E475, IF(EXACT(SEED!$C475, ""), "", CONCATENATE(" ►", SEED!$C475)), ")"))</f>
        <v>+62 85770089850 (Mobile Phone ►Institution - PT. Orion Teknik Solusindo)</v>
      </c>
    </row>
    <row r="476" spans="2:3" x14ac:dyDescent="0.2">
      <c r="B476" s="40">
        <f>IF(EXACT(SEED!$F476, ""), "", SEED!$J476)</f>
        <v>286000000000432</v>
      </c>
      <c r="C476" s="4" t="str">
        <f>IF(EXACT($B476, ""), "", CONCATENATE(SUBSTITUTE(SEED!$F476, "-", ""), " (", SEED!$E476, IF(EXACT(SEED!$C476, ""), "", CONCATENATE(" ►", SEED!$C476)), ")"))</f>
        <v>+62 (021) 5723041 (Office Phone ►Institution - PT. Orix Indonesia Finance)</v>
      </c>
    </row>
    <row r="477" spans="2:3" x14ac:dyDescent="0.2">
      <c r="B477" s="40">
        <f>IF(EXACT(SEED!$F477, ""), "", SEED!$J477)</f>
        <v>286000000000433</v>
      </c>
      <c r="C477" s="4" t="str">
        <f>IF(EXACT($B477, ""), "", CONCATENATE(SUBSTITUTE(SEED!$F477, "-", ""), " (", SEED!$E477, IF(EXACT(SEED!$C477, ""), "", CONCATENATE(" ►", SEED!$C477)), ")"))</f>
        <v>+62 (021) 5724191 (Faximile ►Institution - PT. Orix Indonesia Finance)</v>
      </c>
    </row>
    <row r="478" spans="2:3" x14ac:dyDescent="0.2">
      <c r="B478" s="40">
        <f>IF(EXACT(SEED!$F478, ""), "", SEED!$J478)</f>
        <v>286000000000434</v>
      </c>
      <c r="C478" s="4" t="str">
        <f>IF(EXACT($B478, ""), "", CONCATENATE(SUBSTITUTE(SEED!$F478, "-", ""), " (", SEED!$E478, IF(EXACT(SEED!$C478, ""), "", CONCATENATE(" ►", SEED!$C478)), ")"))</f>
        <v>+62 (021) 53158901 (Office Phone ►Institution - PT. Pacific Prestress Indonesia)</v>
      </c>
    </row>
    <row r="479" spans="2:3" x14ac:dyDescent="0.2">
      <c r="B479" s="40">
        <f>IF(EXACT(SEED!$F479, ""), "", SEED!$J479)</f>
        <v>286000000000435</v>
      </c>
      <c r="C479" s="4" t="str">
        <f>IF(EXACT($B479, ""), "", CONCATENATE(SUBSTITUTE(SEED!$F479, "-", ""), " (", SEED!$E479, IF(EXACT(SEED!$C479, ""), "", CONCATENATE(" ►", SEED!$C479)), ")"))</f>
        <v>+62 (021) 53158902 (Office Phone ►Institution - PT. Pacific Prestress Indonesia)</v>
      </c>
    </row>
    <row r="480" spans="2:3" x14ac:dyDescent="0.2">
      <c r="B480" s="40">
        <f>IF(EXACT(SEED!$F480, ""), "", SEED!$J480)</f>
        <v>286000000000436</v>
      </c>
      <c r="C480" s="4" t="str">
        <f>IF(EXACT($B480, ""), "", CONCATENATE(SUBSTITUTE(SEED!$F480, "-", ""), " (", SEED!$E480, IF(EXACT(SEED!$C480, ""), "", CONCATENATE(" ►", SEED!$C480)), ")"))</f>
        <v>+62 85283768373 (Mobile Phone ►Institution - PT. Panah Perdana Logisindo)</v>
      </c>
    </row>
    <row r="481" spans="2:3" x14ac:dyDescent="0.2">
      <c r="B481" s="40">
        <f>IF(EXACT(SEED!$F481, ""), "", SEED!$J481)</f>
        <v>286000000000437</v>
      </c>
      <c r="C481" s="4" t="str">
        <f>IF(EXACT($B481, ""), "", CONCATENATE(SUBSTITUTE(SEED!$F481, "-", ""), " (", SEED!$E481, IF(EXACT(SEED!$C481, ""), "", CONCATENATE(" ►", SEED!$C481)), ")"))</f>
        <v>+62 (021) 29866160 (Office Phone ►Institution - PT. Panah Perdana Logisindo)</v>
      </c>
    </row>
    <row r="482" spans="2:3" x14ac:dyDescent="0.2">
      <c r="B482" s="40">
        <f>IF(EXACT(SEED!$F482, ""), "", SEED!$J482)</f>
        <v>286000000000438</v>
      </c>
      <c r="C482" s="4" t="str">
        <f>IF(EXACT($B482, ""), "", CONCATENATE(SUBSTITUTE(SEED!$F482, "-", ""), " (", SEED!$E482, IF(EXACT(SEED!$C482, ""), "", CONCATENATE(" ►", SEED!$C482)), ")"))</f>
        <v>+62 81284002688 (Mobile Phone ►Institution - PT. Panca Infosoft Pionir Indonesia)</v>
      </c>
    </row>
    <row r="483" spans="2:3" x14ac:dyDescent="0.2">
      <c r="B483" s="40">
        <f>IF(EXACT(SEED!$F483, ""), "", SEED!$J483)</f>
        <v>286000000000439</v>
      </c>
      <c r="C483" s="4" t="str">
        <f>IF(EXACT($B483, ""), "", CONCATENATE(SUBSTITUTE(SEED!$F483, "-", ""), " (", SEED!$E483, IF(EXACT(SEED!$C483, ""), "", CONCATENATE(" ►", SEED!$C483)), ")"))</f>
        <v>+62 (021) 6413888  (Office Phone ►Institution - PT. Panca Infosoft Pionir Indonesia)</v>
      </c>
    </row>
    <row r="484" spans="2:3" x14ac:dyDescent="0.2">
      <c r="B484" s="40">
        <f>IF(EXACT(SEED!$F484, ""), "", SEED!$J484)</f>
        <v>286000000000440</v>
      </c>
      <c r="C484" s="4" t="str">
        <f>IF(EXACT($B484, ""), "", CONCATENATE(SUBSTITUTE(SEED!$F484, "-", ""), " (", SEED!$E484, IF(EXACT(SEED!$C484, ""), "", CONCATENATE(" ►", SEED!$C484)), ")"))</f>
        <v>+62 85225251202 (Mobile Phone ►Institution - PT. Panca Logam Sukses Mandiri)</v>
      </c>
    </row>
    <row r="485" spans="2:3" x14ac:dyDescent="0.2">
      <c r="B485" s="40">
        <f>IF(EXACT(SEED!$F485, ""), "", SEED!$J485)</f>
        <v>286000000000441</v>
      </c>
      <c r="C485" s="4" t="str">
        <f>IF(EXACT($B485, ""), "", CONCATENATE(SUBSTITUTE(SEED!$F485, "-", ""), " (", SEED!$E485, IF(EXACT(SEED!$C485, ""), "", CONCATENATE(" ►", SEED!$C485)), ")"))</f>
        <v>+62 85888675152 (Mobile Phone ►Institution - PT. Panca Utama Selaras)</v>
      </c>
    </row>
    <row r="486" spans="2:3" x14ac:dyDescent="0.2">
      <c r="B486" s="40">
        <f>IF(EXACT(SEED!$F486, ""), "", SEED!$J486)</f>
        <v>286000000000442</v>
      </c>
      <c r="C486" s="4" t="str">
        <f>IF(EXACT($B486, ""), "", CONCATENATE(SUBSTITUTE(SEED!$F486, "-", ""), " (", SEED!$E486, IF(EXACT(SEED!$C486, ""), "", CONCATENATE(" ►", SEED!$C486)), ")"))</f>
        <v>+62 81329075563 (Mobile Phone ►Institution - PT. Panca Utama Selaras)</v>
      </c>
    </row>
    <row r="487" spans="2:3" x14ac:dyDescent="0.2">
      <c r="B487" s="40">
        <f>IF(EXACT(SEED!$F487, ""), "", SEED!$J487)</f>
        <v>286000000000443</v>
      </c>
      <c r="C487" s="4" t="str">
        <f>IF(EXACT($B487, ""), "", CONCATENATE(SUBSTITUTE(SEED!$F487, "-", ""), " (", SEED!$E487, IF(EXACT(SEED!$C487, ""), "", CONCATENATE(" ►", SEED!$C487)), ")"))</f>
        <v>+62 8122345756 (Mobile Phone ►Institution - PT. Panghegar Mitra Utama   )</v>
      </c>
    </row>
    <row r="488" spans="2:3" x14ac:dyDescent="0.2">
      <c r="B488" s="40">
        <f>IF(EXACT(SEED!$F488, ""), "", SEED!$J488)</f>
        <v>286000000000444</v>
      </c>
      <c r="C488" s="4" t="str">
        <f>IF(EXACT($B488, ""), "", CONCATENATE(SUBSTITUTE(SEED!$F488, "-", ""), " (", SEED!$E488, IF(EXACT(SEED!$C488, ""), "", CONCATENATE(" ►", SEED!$C488)), ")"))</f>
        <v>+62 81280599598 (Mobile Phone ►Institution - PT. Pas Jaya Mandiri)</v>
      </c>
    </row>
    <row r="489" spans="2:3" x14ac:dyDescent="0.2">
      <c r="B489" s="40">
        <f>IF(EXACT(SEED!$F489, ""), "", SEED!$J489)</f>
        <v>286000000000445</v>
      </c>
      <c r="C489" s="4" t="str">
        <f>IF(EXACT($B489, ""), "", CONCATENATE(SUBSTITUTE(SEED!$F489, "-", ""), " (", SEED!$E489, IF(EXACT(SEED!$C489, ""), "", CONCATENATE(" ►", SEED!$C489)), ")"))</f>
        <v>+62 (021) 22861689 (Office Phone ►Institution - PT. Pelangi Teknik Indonesia)</v>
      </c>
    </row>
    <row r="490" spans="2:3" x14ac:dyDescent="0.2">
      <c r="B490" s="40">
        <f>IF(EXACT(SEED!$F490, ""), "", SEED!$J490)</f>
        <v>286000000000446</v>
      </c>
      <c r="C490" s="4" t="str">
        <f>IF(EXACT($B490, ""), "", CONCATENATE(SUBSTITUTE(SEED!$F490, "-", ""), " (", SEED!$E490, IF(EXACT(SEED!$C490, ""), "", CONCATENATE(" ►", SEED!$C490)), ")"))</f>
        <v>+62 8118755330 (Mobile Phone ►Institution - PT. Petromas Kencana (Ottoban Indonesia))</v>
      </c>
    </row>
    <row r="491" spans="2:3" x14ac:dyDescent="0.2">
      <c r="B491" s="40">
        <f>IF(EXACT(SEED!$F491, ""), "", SEED!$J491)</f>
        <v>286000000000447</v>
      </c>
      <c r="C491" s="4" t="str">
        <f>IF(EXACT($B491, ""), "", CONCATENATE(SUBSTITUTE(SEED!$F491, "-", ""), " (", SEED!$E491, IF(EXACT(SEED!$C491, ""), "", CONCATENATE(" ►", SEED!$C491)), ")"))</f>
        <v>+62 8115701102 (Mobile Phone ►Institution - PT. Ponti Suri Group)</v>
      </c>
    </row>
    <row r="492" spans="2:3" x14ac:dyDescent="0.2">
      <c r="B492" s="40">
        <f>IF(EXACT(SEED!$F492, ""), "", SEED!$J492)</f>
        <v>286000000000448</v>
      </c>
      <c r="C492" s="4" t="str">
        <f>IF(EXACT($B492, ""), "", CONCATENATE(SUBSTITUTE(SEED!$F492, "-", ""), " (", SEED!$E492, IF(EXACT(SEED!$C492, ""), "", CONCATENATE(" ►", SEED!$C492)), ")"))</f>
        <v>+62 (053) 2274840 (Office Phone ►Institution - PT. Ponti Suri Group)</v>
      </c>
    </row>
    <row r="493" spans="2:3" x14ac:dyDescent="0.2">
      <c r="B493" s="40">
        <f>IF(EXACT(SEED!$F493, ""), "", SEED!$J493)</f>
        <v>286000000000449</v>
      </c>
      <c r="C493" s="4" t="str">
        <f>IF(EXACT($B493, ""), "", CONCATENATE(SUBSTITUTE(SEED!$F493, "-", ""), " (", SEED!$E493, IF(EXACT(SEED!$C493, ""), "", CONCATENATE(" ►", SEED!$C493)), ")"))</f>
        <v>+62 81519376974 (Mobile Phone ►Institution - PT. Powerindo Prima Perkasa)</v>
      </c>
    </row>
    <row r="494" spans="2:3" x14ac:dyDescent="0.2">
      <c r="B494" s="40">
        <f>IF(EXACT(SEED!$F494, ""), "", SEED!$J494)</f>
        <v>286000000000450</v>
      </c>
      <c r="C494" s="4" t="str">
        <f>IF(EXACT($B494, ""), "", CONCATENATE(SUBSTITUTE(SEED!$F494, "-", ""), " (", SEED!$E494, IF(EXACT(SEED!$C494, ""), "", CONCATENATE(" ►", SEED!$C494)), ")"))</f>
        <v>+62 82210971880 (Mobile Phone ►Institution - PT. Pratama Prima Bajatama)</v>
      </c>
    </row>
    <row r="495" spans="2:3" x14ac:dyDescent="0.2">
      <c r="B495" s="40">
        <f>IF(EXACT(SEED!$F495, ""), "", SEED!$J495)</f>
        <v>286000000000451</v>
      </c>
      <c r="C495" s="4" t="str">
        <f>IF(EXACT($B495, ""), "", CONCATENATE(SUBSTITUTE(SEED!$F495, "-", ""), " (", SEED!$E495, IF(EXACT(SEED!$C495, ""), "", CONCATENATE(" ►", SEED!$C495)), ")"))</f>
        <v>+62 82114709818 (Mobile Phone ►Institution - PT. PRI Indonesia)</v>
      </c>
    </row>
    <row r="496" spans="2:3" x14ac:dyDescent="0.2">
      <c r="B496" s="40">
        <f>IF(EXACT(SEED!$F496, ""), "", SEED!$J496)</f>
        <v>286000000000452</v>
      </c>
      <c r="C496" s="4" t="str">
        <f>IF(EXACT($B496, ""), "", CONCATENATE(SUBSTITUTE(SEED!$F496, "-", ""), " (", SEED!$E496, IF(EXACT(SEED!$C496, ""), "", CONCATENATE(" ►", SEED!$C496)), ")"))</f>
        <v>+62 81288991180 (Mobile Phone ►Institution - PT. Prima Indah Lestari)</v>
      </c>
    </row>
    <row r="497" spans="2:3" x14ac:dyDescent="0.2">
      <c r="B497" s="40">
        <f>IF(EXACT(SEED!$F497, ""), "", SEED!$J497)</f>
        <v>286000000000453</v>
      </c>
      <c r="C497" s="4" t="str">
        <f>IF(EXACT($B497, ""), "", CONCATENATE(SUBSTITUTE(SEED!$F497, "-", ""), " (", SEED!$E497, IF(EXACT(SEED!$C497, ""), "", CONCATENATE(" ►", SEED!$C497)), ")"))</f>
        <v>+62 (021) 5550861 (Office Phone ►Institution - PT. Prima Indah Lestari)</v>
      </c>
    </row>
    <row r="498" spans="2:3" x14ac:dyDescent="0.2">
      <c r="B498" s="40">
        <f>IF(EXACT(SEED!$F498, ""), "", SEED!$J498)</f>
        <v>286000000000454</v>
      </c>
      <c r="C498" s="4" t="str">
        <f>IF(EXACT($B498, ""), "", CONCATENATE(SUBSTITUTE(SEED!$F498, "-", ""), " (", SEED!$E498, IF(EXACT(SEED!$C498, ""), "", CONCATENATE(" ►", SEED!$C498)), ")"))</f>
        <v>+62 (021) 22853137 (Office Phone ►Institution - PT. Prima Mitra Elektrindo )</v>
      </c>
    </row>
    <row r="499" spans="2:3" x14ac:dyDescent="0.2">
      <c r="B499" s="40">
        <f>IF(EXACT(SEED!$F499, ""), "", SEED!$J499)</f>
        <v>286000000000455</v>
      </c>
      <c r="C499" s="4" t="str">
        <f>IF(EXACT($B499, ""), "", CONCATENATE(SUBSTITUTE(SEED!$F499, "-", ""), " (", SEED!$E499, IF(EXACT(SEED!$C499, ""), "", CONCATENATE(" ►", SEED!$C499)), ")"))</f>
        <v>+62 81298280909 (Mobile Phone ►Institution - PT. Primatech Jaya Abadi)</v>
      </c>
    </row>
    <row r="500" spans="2:3" x14ac:dyDescent="0.2">
      <c r="B500" s="40">
        <f>IF(EXACT(SEED!$F500, ""), "", SEED!$J500)</f>
        <v>286000000000456</v>
      </c>
      <c r="C500" s="4" t="str">
        <f>IF(EXACT($B500, ""), "", CONCATENATE(SUBSTITUTE(SEED!$F500, "-", ""), " (", SEED!$E500, IF(EXACT(SEED!$C500, ""), "", CONCATENATE(" ►", SEED!$C500)), ")"))</f>
        <v>+62 8111167898 (Mobile Phone ►Institution - PT. Primatech Jaya Abadi)</v>
      </c>
    </row>
    <row r="501" spans="2:3" x14ac:dyDescent="0.2">
      <c r="B501" s="40">
        <f>IF(EXACT(SEED!$F501, ""), "", SEED!$J501)</f>
        <v>286000000000457</v>
      </c>
      <c r="C501" s="4" t="str">
        <f>IF(EXACT($B501, ""), "", CONCATENATE(SUBSTITUTE(SEED!$F501, "-", ""), " (", SEED!$E501, IF(EXACT(SEED!$C501, ""), "", CONCATENATE(" ►", SEED!$C501)), ")"))</f>
        <v>+62 (021) 22853139 (Faximile ►Institution - PT. Primatech Jaya Abadi)</v>
      </c>
    </row>
    <row r="502" spans="2:3" x14ac:dyDescent="0.2">
      <c r="B502" s="40">
        <f>IF(EXACT(SEED!$F502, ""), "", SEED!$J502)</f>
        <v>286000000000458</v>
      </c>
      <c r="C502" s="4" t="str">
        <f>IF(EXACT($B502, ""), "", CONCATENATE(SUBSTITUTE(SEED!$F502, "-", ""), " (", SEED!$E502, IF(EXACT(SEED!$C502, ""), "", CONCATENATE(" ►", SEED!$C502)), ")"))</f>
        <v>+62 82287074561 (Mobile Phone ►Institution - PT. Putraguna Jayamulia)</v>
      </c>
    </row>
    <row r="503" spans="2:3" x14ac:dyDescent="0.2">
      <c r="B503" s="40">
        <f>IF(EXACT(SEED!$F503, ""), "", SEED!$J503)</f>
        <v>286000000000459</v>
      </c>
      <c r="C503" s="4" t="str">
        <f>IF(EXACT($B503, ""), "", CONCATENATE(SUBSTITUTE(SEED!$F503, "-", ""), " (", SEED!$E503, IF(EXACT(SEED!$C503, ""), "", CONCATENATE(" ►", SEED!$C503)), ")"))</f>
        <v>+62 (031) 7497330 (Office Phone ►Institution - PT. Putraguna Jayamulia)</v>
      </c>
    </row>
    <row r="504" spans="2:3" x14ac:dyDescent="0.2">
      <c r="B504" s="40">
        <f>IF(EXACT(SEED!$F504, ""), "", SEED!$J504)</f>
        <v>286000000000460</v>
      </c>
      <c r="C504" s="4" t="str">
        <f>IF(EXACT($B504, ""), "", CONCATENATE(SUBSTITUTE(SEED!$F504, "-", ""), " (", SEED!$E504, IF(EXACT(SEED!$C504, ""), "", CONCATENATE(" ►", SEED!$C504)), ")"))</f>
        <v>+62 811977381 (Mobile Phone ►Institution - PT. Putratel Andalan Sukses)</v>
      </c>
    </row>
    <row r="505" spans="2:3" x14ac:dyDescent="0.2">
      <c r="B505" s="40">
        <f>IF(EXACT(SEED!$F505, ""), "", SEED!$J505)</f>
        <v>286000000000461</v>
      </c>
      <c r="C505" s="4" t="str">
        <f>IF(EXACT($B505, ""), "", CONCATENATE(SUBSTITUTE(SEED!$F505, "-", ""), " (", SEED!$E505, IF(EXACT(SEED!$C505, ""), "", CONCATENATE(" ►", SEED!$C505)), ")"))</f>
        <v>+62 (021) 22235000 (Office Phone ►Institution - PT. Raj Prima)</v>
      </c>
    </row>
    <row r="506" spans="2:3" x14ac:dyDescent="0.2">
      <c r="B506" s="40">
        <f>IF(EXACT(SEED!$F506, ""), "", SEED!$J506)</f>
        <v>286000000000462</v>
      </c>
      <c r="C506" s="4" t="str">
        <f>IF(EXACT($B506, ""), "", CONCATENATE(SUBSTITUTE(SEED!$F506, "-", ""), " (", SEED!$E506, IF(EXACT(SEED!$C506, ""), "", CONCATENATE(" ►", SEED!$C506)), ")"))</f>
        <v>+62 81131151888 (Mobile Phone ►Institution - PT. Rangka Raya)</v>
      </c>
    </row>
    <row r="507" spans="2:3" x14ac:dyDescent="0.2">
      <c r="B507" s="40">
        <f>IF(EXACT(SEED!$F507, ""), "", SEED!$J507)</f>
        <v>286000000000463</v>
      </c>
      <c r="C507" s="4" t="str">
        <f>IF(EXACT($B507, ""), "", CONCATENATE(SUBSTITUTE(SEED!$F507, "-", ""), " (", SEED!$E507, IF(EXACT(SEED!$C507, ""), "", CONCATENATE(" ►", SEED!$C507)), ")"))</f>
        <v>+62 81332676091  (Mobile Phone ►Institution - PT. Rangka Raya)</v>
      </c>
    </row>
    <row r="508" spans="2:3" x14ac:dyDescent="0.2">
      <c r="B508" s="40">
        <f>IF(EXACT(SEED!$F508, ""), "", SEED!$J508)</f>
        <v>286000000000464</v>
      </c>
      <c r="C508" s="4" t="str">
        <f>IF(EXACT($B508, ""), "", CONCATENATE(SUBSTITUTE(SEED!$F508, "-", ""), " (", SEED!$E508, IF(EXACT(SEED!$C508, ""), "", CONCATENATE(" ►", SEED!$C508)), ")"))</f>
        <v>+62 81277732510 (Mobile Phone ►Institution - PT. Riau Crane Perkasa)</v>
      </c>
    </row>
    <row r="509" spans="2:3" x14ac:dyDescent="0.2">
      <c r="B509" s="40">
        <f>IF(EXACT(SEED!$F509, ""), "", SEED!$J509)</f>
        <v>286000000000465</v>
      </c>
      <c r="C509" s="4" t="str">
        <f>IF(EXACT($B509, ""), "", CONCATENATE(SUBSTITUTE(SEED!$F509, "-", ""), " (", SEED!$E509, IF(EXACT(SEED!$C509, ""), "", CONCATENATE(" ►", SEED!$C509)), ")"))</f>
        <v>+62 8126804676 (Mobile Phone ►Institution - PT. Riau Crane Perkasa)</v>
      </c>
    </row>
    <row r="510" spans="2:3" x14ac:dyDescent="0.2">
      <c r="B510" s="40">
        <f>IF(EXACT(SEED!$F510, ""), "", SEED!$J510)</f>
        <v>286000000000466</v>
      </c>
      <c r="C510" s="4" t="str">
        <f>IF(EXACT($B510, ""), "", CONCATENATE(SUBSTITUTE(SEED!$F510, "-", ""), " (", SEED!$E510, IF(EXACT(SEED!$C510, ""), "", CONCATENATE(" ►", SEED!$C510)), ")"))</f>
        <v>+62 81113504001 (Mobile Phone ►Institution - PT. Royal Madani Persada)</v>
      </c>
    </row>
    <row r="511" spans="2:3" x14ac:dyDescent="0.2">
      <c r="B511" s="40">
        <f>IF(EXACT(SEED!$F511, ""), "", SEED!$J511)</f>
        <v>286000000000467</v>
      </c>
      <c r="C511" s="4" t="str">
        <f>IF(EXACT($B511, ""), "", CONCATENATE(SUBSTITUTE(SEED!$F511, "-", ""), " (", SEED!$E511, IF(EXACT(SEED!$C511, ""), "", CONCATENATE(" ►", SEED!$C511)), ")"))</f>
        <v>+62 81213819639 (Mobile Phone ►Institution - PT. Salaeurih Muda Perkasa)</v>
      </c>
    </row>
    <row r="512" spans="2:3" x14ac:dyDescent="0.2">
      <c r="B512" s="40">
        <f>IF(EXACT(SEED!$F512, ""), "", SEED!$J512)</f>
        <v>286000000000468</v>
      </c>
      <c r="C512" s="4" t="str">
        <f>IF(EXACT($B512, ""), "", CONCATENATE(SUBSTITUTE(SEED!$F512, "-", ""), " (", SEED!$E512, IF(EXACT(SEED!$C512, ""), "", CONCATENATE(" ►", SEED!$C512)), ")"))</f>
        <v>+62 811333799 (Mobile Phone ►Institution - PT. Salam Pacific Indonesia Lines)</v>
      </c>
    </row>
    <row r="513" spans="2:3" x14ac:dyDescent="0.2">
      <c r="B513" s="40">
        <f>IF(EXACT(SEED!$F513, ""), "", SEED!$J513)</f>
        <v>286000000000469</v>
      </c>
      <c r="C513" s="4" t="str">
        <f>IF(EXACT($B513, ""), "", CONCATENATE(SUBSTITUTE(SEED!$F513, "-", ""), " (", SEED!$E513, IF(EXACT(SEED!$C513, ""), "", CONCATENATE(" ►", SEED!$C513)), ")"))</f>
        <v>+62 81284962128 (Mobile Phone ►Institution - PT. Schneider Indonesia)</v>
      </c>
    </row>
    <row r="514" spans="2:3" x14ac:dyDescent="0.2">
      <c r="B514" s="40">
        <f>IF(EXACT(SEED!$F514, ""), "", SEED!$J514)</f>
        <v>286000000000470</v>
      </c>
      <c r="C514" s="4" t="str">
        <f>IF(EXACT($B514, ""), "", CONCATENATE(SUBSTITUTE(SEED!$F514, "-", ""), " (", SEED!$E514, IF(EXACT(SEED!$C514, ""), "", CONCATENATE(" ►", SEED!$C514)), ")"))</f>
        <v>+62 (021) 7504406 (Office Phone ►Institution - PT. Schneider Indonesia)</v>
      </c>
    </row>
    <row r="515" spans="2:3" x14ac:dyDescent="0.2">
      <c r="B515" s="40">
        <f>IF(EXACT(SEED!$F515, ""), "", SEED!$J515)</f>
        <v>286000000000471</v>
      </c>
      <c r="C515" s="4" t="str">
        <f>IF(EXACT($B515, ""), "", CONCATENATE(SUBSTITUTE(SEED!$F515, "-", ""), " (", SEED!$E515, IF(EXACT(SEED!$C515, ""), "", CONCATENATE(" ►", SEED!$C515)), ")"))</f>
        <v>+62 (021) 7504415 (Faximile ►Institution - PT. Schneider Indonesia)</v>
      </c>
    </row>
    <row r="516" spans="2:3" x14ac:dyDescent="0.2">
      <c r="B516" s="40">
        <f>IF(EXACT(SEED!$F516, ""), "", SEED!$J516)</f>
        <v>286000000000472</v>
      </c>
      <c r="C516" s="4" t="str">
        <f>IF(EXACT($B516, ""), "", CONCATENATE(SUBSTITUTE(SEED!$F516, "-", ""), " (", SEED!$E516, IF(EXACT(SEED!$C516, ""), "", CONCATENATE(" ►", SEED!$C516)), ")"))</f>
        <v>+62 (021) 7504416 (Faximile ►Institution - PT. Schneider Indonesia)</v>
      </c>
    </row>
    <row r="517" spans="2:3" x14ac:dyDescent="0.2">
      <c r="B517" s="40">
        <f>IF(EXACT(SEED!$F517, ""), "", SEED!$J517)</f>
        <v>286000000000473</v>
      </c>
      <c r="C517" s="4" t="str">
        <f>IF(EXACT($B517, ""), "", CONCATENATE(SUBSTITUTE(SEED!$F517, "-", ""), " (", SEED!$E517, IF(EXACT(SEED!$C517, ""), "", CONCATENATE(" ►", SEED!$C517)), ")"))</f>
        <v>+62 82123510899 (Mobile Phone ►Institution - PT. Sentosa Prima Mandiri)</v>
      </c>
    </row>
    <row r="518" spans="2:3" x14ac:dyDescent="0.2">
      <c r="B518" s="40">
        <f>IF(EXACT(SEED!$F518, ""), "", SEED!$J518)</f>
        <v>286000000000474</v>
      </c>
      <c r="C518" s="4" t="str">
        <f>IF(EXACT($B518, ""), "", CONCATENATE(SUBSTITUTE(SEED!$F518, "-", ""), " (", SEED!$E518, IF(EXACT(SEED!$C518, ""), "", CONCATENATE(" ►", SEED!$C518)), ")"))</f>
        <v>+62 (021) 24555100 (Office Phone ►Institution - PT. Siemens Indonesia )</v>
      </c>
    </row>
    <row r="519" spans="2:3" x14ac:dyDescent="0.2">
      <c r="B519" s="40">
        <f>IF(EXACT(SEED!$F519, ""), "", SEED!$J519)</f>
        <v>286000000000475</v>
      </c>
      <c r="C519" s="4" t="str">
        <f>IF(EXACT($B519, ""), "", CONCATENATE(SUBSTITUTE(SEED!$F519, "-", ""), " (", SEED!$E519, IF(EXACT(SEED!$C519, ""), "", CONCATENATE(" ►", SEED!$C519)), ")"))</f>
        <v>+62 (021) 24555244 (Faximile ►Institution - PT. Siemens Indonesia )</v>
      </c>
    </row>
    <row r="520" spans="2:3" x14ac:dyDescent="0.2">
      <c r="B520" s="40">
        <f>IF(EXACT(SEED!$F520, ""), "", SEED!$J520)</f>
        <v>286000000000476</v>
      </c>
      <c r="C520" s="4" t="str">
        <f>IF(EXACT($B520, ""), "", CONCATENATE(SUBSTITUTE(SEED!$F520, "-", ""), " (", SEED!$E520, IF(EXACT(SEED!$C520, ""), "", CONCATENATE(" ►", SEED!$C520)), ")"))</f>
        <v>+62 85787412872 (Mobile Phone ►Institution - PT. Siemon Damai Jaya Abadi)</v>
      </c>
    </row>
    <row r="521" spans="2:3" x14ac:dyDescent="0.2">
      <c r="B521" s="40">
        <f>IF(EXACT(SEED!$F521, ""), "", SEED!$J521)</f>
        <v>286000000000477</v>
      </c>
      <c r="C521" s="4" t="str">
        <f>IF(EXACT($B521, ""), "", CONCATENATE(SUBSTITUTE(SEED!$F521, "-", ""), " (", SEED!$E521, IF(EXACT(SEED!$C521, ""), "", CONCATENATE(" ►", SEED!$C521)), ")"))</f>
        <v>+62 82253360516 (Mobile Phone ►Institution - PT. Silica Central Asia)</v>
      </c>
    </row>
    <row r="522" spans="2:3" x14ac:dyDescent="0.2">
      <c r="B522" s="40">
        <f>IF(EXACT(SEED!$F522, ""), "", SEED!$J522)</f>
        <v>286000000000478</v>
      </c>
      <c r="C522" s="4" t="str">
        <f>IF(EXACT($B522, ""), "", CONCATENATE(SUBSTITUTE(SEED!$F522, "-", ""), " (", SEED!$E522, IF(EXACT(SEED!$C522, ""), "", CONCATENATE(" ►", SEED!$C522)), ")"))</f>
        <v>+62 81352778784 (Mobile Phone ►Institution - PT. Silica Central Asia)</v>
      </c>
    </row>
    <row r="523" spans="2:3" x14ac:dyDescent="0.2">
      <c r="B523" s="40">
        <f>IF(EXACT(SEED!$F523, ""), "", SEED!$J523)</f>
        <v>286000000000479</v>
      </c>
      <c r="C523" s="4" t="str">
        <f>IF(EXACT($B523, ""), "", CONCATENATE(SUBSTITUTE(SEED!$F523, "-", ""), " (", SEED!$E523, IF(EXACT(SEED!$C523, ""), "", CONCATENATE(" ►", SEED!$C523)), ")"))</f>
        <v>+62 817721213 (Mobile Phone ►Institution - PT. Simetrik Integrasi)</v>
      </c>
    </row>
    <row r="524" spans="2:3" x14ac:dyDescent="0.2">
      <c r="B524" s="40">
        <f>IF(EXACT(SEED!$F524, ""), "", SEED!$J524)</f>
        <v>286000000000480</v>
      </c>
      <c r="C524" s="4" t="str">
        <f>IF(EXACT($B524, ""), "", CONCATENATE(SUBSTITUTE(SEED!$F524, "-", ""), " (", SEED!$E524, IF(EXACT(SEED!$C524, ""), "", CONCATENATE(" ►", SEED!$C524)), ")"))</f>
        <v>+62 87780117878 (Mobile Phone ►Institution - PT. Sinar Laut Mandiri)</v>
      </c>
    </row>
    <row r="525" spans="2:3" x14ac:dyDescent="0.2">
      <c r="B525" s="40">
        <f>IF(EXACT(SEED!$F525, ""), "", SEED!$J525)</f>
        <v>286000000000481</v>
      </c>
      <c r="C525" s="4" t="str">
        <f>IF(EXACT($B525, ""), "", CONCATENATE(SUBSTITUTE(SEED!$F525, "-", ""), " (", SEED!$E525, IF(EXACT(SEED!$C525, ""), "", CONCATENATE(" ►", SEED!$C525)), ")"))</f>
        <v>+62 81212252501 (Mobile Phone ►Institution - PT. Sinergi Garuda Nusantara)</v>
      </c>
    </row>
    <row r="526" spans="2:3" x14ac:dyDescent="0.2">
      <c r="B526" s="40">
        <f>IF(EXACT(SEED!$F526, ""), "", SEED!$J526)</f>
        <v>286000000000482</v>
      </c>
      <c r="C526" s="4" t="str">
        <f>IF(EXACT($B526, ""), "", CONCATENATE(SUBSTITUTE(SEED!$F526, "-", ""), " (", SEED!$E526, IF(EXACT(SEED!$C526, ""), "", CONCATENATE(" ►", SEED!$C526)), ")"))</f>
        <v>+62 8537777022 (Mobile Phone ►Institution - PT. Sinergi Karsa Utama)</v>
      </c>
    </row>
    <row r="527" spans="2:3" x14ac:dyDescent="0.2">
      <c r="B527" s="40">
        <f>IF(EXACT(SEED!$F527, ""), "", SEED!$J527)</f>
        <v>286000000000483</v>
      </c>
      <c r="C527" s="4" t="str">
        <f>IF(EXACT($B527, ""), "", CONCATENATE(SUBSTITUTE(SEED!$F527, "-", ""), " (", SEED!$E527, IF(EXACT(SEED!$C527, ""), "", CONCATENATE(" ►", SEED!$C527)), ")"))</f>
        <v>+62 81586558899 (Mobile Phone ►Institution - PT. Sintra Sinarindo Elektrik)</v>
      </c>
    </row>
    <row r="528" spans="2:3" x14ac:dyDescent="0.2">
      <c r="B528" s="40">
        <f>IF(EXACT(SEED!$F528, ""), "", SEED!$J528)</f>
        <v>286000000000484</v>
      </c>
      <c r="C528" s="4" t="str">
        <f>IF(EXACT($B528, ""), "", CONCATENATE(SUBSTITUTE(SEED!$F528, "-", ""), " (", SEED!$E528, IF(EXACT(SEED!$C528, ""), "", CONCATENATE(" ►", SEED!$C528)), ")"))</f>
        <v>+62 (021) 897489 (Office Phone ►Institution - PT. Sintra Sinarindo Elektrik)</v>
      </c>
    </row>
    <row r="529" spans="2:3" x14ac:dyDescent="0.2">
      <c r="B529" s="40">
        <f>IF(EXACT(SEED!$F529, ""), "", SEED!$J529)</f>
        <v>286000000000485</v>
      </c>
      <c r="C529" s="4" t="str">
        <f>IF(EXACT($B529, ""), "", CONCATENATE(SUBSTITUTE(SEED!$F529, "-", ""), " (", SEED!$E529, IF(EXACT(SEED!$C529, ""), "", CONCATENATE(" ►", SEED!$C529)), ")"))</f>
        <v>+62 8119210031 (Mobile Phone ►Institution - PT. Siscom Technologies)</v>
      </c>
    </row>
    <row r="530" spans="2:3" x14ac:dyDescent="0.2">
      <c r="B530" s="40">
        <f>IF(EXACT(SEED!$F530, ""), "", SEED!$J530)</f>
        <v>286000000000486</v>
      </c>
      <c r="C530" s="4" t="str">
        <f>IF(EXACT($B530, ""), "", CONCATENATE(SUBSTITUTE(SEED!$F530, "-", ""), " (", SEED!$E530, IF(EXACT(SEED!$C530, ""), "", CONCATENATE(" ►", SEED!$C530)), ")"))</f>
        <v>+62 (021) 29053595 (Office Phone ►Institution - PT. Siscom Technologies)</v>
      </c>
    </row>
    <row r="531" spans="2:3" x14ac:dyDescent="0.2">
      <c r="B531" s="40">
        <f>IF(EXACT(SEED!$F531, ""), "", SEED!$J531)</f>
        <v>286000000000487</v>
      </c>
      <c r="C531" s="4" t="str">
        <f>IF(EXACT($B531, ""), "", CONCATENATE(SUBSTITUTE(SEED!$F531, "-", ""), " (", SEED!$E531, IF(EXACT(SEED!$C531, ""), "", CONCATENATE(" ►", SEED!$C531)), ")"))</f>
        <v>+62 (031) 7491125 (Office Phone ►Institution - PT. Subur Buana Raya)</v>
      </c>
    </row>
    <row r="532" spans="2:3" x14ac:dyDescent="0.2">
      <c r="B532" s="40">
        <f>IF(EXACT(SEED!$F532, ""), "", SEED!$J532)</f>
        <v>286000000000488</v>
      </c>
      <c r="C532" s="4" t="str">
        <f>IF(EXACT($B532, ""), "", CONCATENATE(SUBSTITUTE(SEED!$F532, "-", ""), " (", SEED!$E532, IF(EXACT(SEED!$C532, ""), "", CONCATENATE(" ►", SEED!$C532)), ")"))</f>
        <v>+62 (031) 7482568 (Office Phone ►Institution - PT. Sukses Perkasa Forestama )</v>
      </c>
    </row>
    <row r="533" spans="2:3" x14ac:dyDescent="0.2">
      <c r="B533" s="40">
        <f>IF(EXACT(SEED!$F533, ""), "", SEED!$J533)</f>
        <v>286000000000489</v>
      </c>
      <c r="C533" s="4" t="str">
        <f>IF(EXACT($B533, ""), "", CONCATENATE(SUBSTITUTE(SEED!$F533, "-", ""), " (", SEED!$E533, IF(EXACT(SEED!$C533, ""), "", CONCATENATE(" ►", SEED!$C533)), ")"))</f>
        <v>+62 (021) 5854077 (Office Phone ►Institution - PT. Suryamas Elsindo Primatama )</v>
      </c>
    </row>
    <row r="534" spans="2:3" x14ac:dyDescent="0.2">
      <c r="B534" s="40">
        <f>IF(EXACT(SEED!$F534, ""), "", SEED!$J534)</f>
        <v>286000000000490</v>
      </c>
      <c r="C534" s="4" t="str">
        <f>IF(EXACT($B534, ""), "", CONCATENATE(SUBSTITUTE(SEED!$F534, "-", ""), " (", SEED!$E534, IF(EXACT(SEED!$C534, ""), "", CONCATENATE(" ►", SEED!$C534)), ")"))</f>
        <v>+62 (021) 5855064 (Office Phone ►Institution - PT. Suryamas Elsindo Primatama )</v>
      </c>
    </row>
    <row r="535" spans="2:3" x14ac:dyDescent="0.2">
      <c r="B535" s="40">
        <f>IF(EXACT(SEED!$F535, ""), "", SEED!$J535)</f>
        <v>286000000000491</v>
      </c>
      <c r="C535" s="4" t="str">
        <f>IF(EXACT($B535, ""), "", CONCATENATE(SUBSTITUTE(SEED!$F535, "-", ""), " (", SEED!$E535, IF(EXACT(SEED!$C535, ""), "", CONCATENATE(" ►", SEED!$C535)), ")"))</f>
        <v>+62 (021) 5874532 (Faximile ►Institution - PT. Suryamas Elsindo Primatama )</v>
      </c>
    </row>
    <row r="536" spans="2:3" x14ac:dyDescent="0.2">
      <c r="B536" s="40">
        <f>IF(EXACT(SEED!$F536, ""), "", SEED!$J536)</f>
        <v>286000000000492</v>
      </c>
      <c r="C536" s="4" t="str">
        <f>IF(EXACT($B536, ""), "", CONCATENATE(SUBSTITUTE(SEED!$F536, "-", ""), " (", SEED!$E536, IF(EXACT(SEED!$C536, ""), "", CONCATENATE(" ►", SEED!$C536)), ")"))</f>
        <v>+62 (021) 4302388 (Office Phone ►Institution - PT. Temas Tbk)</v>
      </c>
    </row>
    <row r="537" spans="2:3" x14ac:dyDescent="0.2">
      <c r="B537" s="40">
        <f>IF(EXACT(SEED!$F537, ""), "", SEED!$J537)</f>
        <v>286000000000493</v>
      </c>
      <c r="C537" s="4" t="str">
        <f>IF(EXACT($B537, ""), "", CONCATENATE(SUBSTITUTE(SEED!$F537, "-", ""), " (", SEED!$E537, IF(EXACT(SEED!$C537, ""), "", CONCATENATE(" ►", SEED!$C537)), ")"))</f>
        <v>+62 85939276314 (Mobile Phone ►Institution - PT. Tirtakencana Tatawarna)</v>
      </c>
    </row>
    <row r="538" spans="2:3" x14ac:dyDescent="0.2">
      <c r="B538" s="40">
        <f>IF(EXACT(SEED!$F538, ""), "", SEED!$J538)</f>
        <v>286000000000494</v>
      </c>
      <c r="C538" s="4" t="str">
        <f>IF(EXACT($B538, ""), "", CONCATENATE(SUBSTITUTE(SEED!$F538, "-", ""), " (", SEED!$E538, IF(EXACT(SEED!$C538, ""), "", CONCATENATE(" ►", SEED!$C538)), ")"))</f>
        <v>+62 81315263086 (Mobile Phone ►Institution - PT. Tri Artha Manunggal)</v>
      </c>
    </row>
    <row r="539" spans="2:3" x14ac:dyDescent="0.2">
      <c r="B539" s="40">
        <f>IF(EXACT(SEED!$F539, ""), "", SEED!$J539)</f>
        <v>286000000000495</v>
      </c>
      <c r="C539" s="4" t="str">
        <f>IF(EXACT($B539, ""), "", CONCATENATE(SUBSTITUTE(SEED!$F539, "-", ""), " (", SEED!$E539, IF(EXACT(SEED!$C539, ""), "", CONCATENATE(" ►", SEED!$C539)), ")"))</f>
        <v>+62 (021) 25546700 (Office Phone ►Institution - PT. Tri Karya Teslatama)</v>
      </c>
    </row>
    <row r="540" spans="2:3" x14ac:dyDescent="0.2">
      <c r="B540" s="40">
        <f>IF(EXACT(SEED!$F540, ""), "", SEED!$J540)</f>
        <v>286000000000496</v>
      </c>
      <c r="C540" s="4" t="str">
        <f>IF(EXACT($B540, ""), "", CONCATENATE(SUBSTITUTE(SEED!$F540, "-", ""), " (", SEED!$E540, IF(EXACT(SEED!$C540, ""), "", CONCATENATE(" ►", SEED!$C540)), ")"))</f>
        <v>+62 85697147754 (Mobile Phone ►Institution - PT. Tribaja Karya Sejahtera)</v>
      </c>
    </row>
    <row r="541" spans="2:3" x14ac:dyDescent="0.2">
      <c r="B541" s="40">
        <f>IF(EXACT(SEED!$F541, ""), "", SEED!$J541)</f>
        <v>286000000000497</v>
      </c>
      <c r="C541" s="4" t="str">
        <f>IF(EXACT($B541, ""), "", CONCATENATE(SUBSTITUTE(SEED!$F541, "-", ""), " (", SEED!$E541, IF(EXACT(SEED!$C541, ""), "", CONCATENATE(" ►", SEED!$C541)), ")"))</f>
        <v>+62 81586558899 (Mobile Phone ►Institution - PT. Triotama Toya Energi)</v>
      </c>
    </row>
    <row r="542" spans="2:3" x14ac:dyDescent="0.2">
      <c r="B542" s="40">
        <f>IF(EXACT(SEED!$F542, ""), "", SEED!$J542)</f>
        <v>286000000000498</v>
      </c>
      <c r="C542" s="4" t="str">
        <f>IF(EXACT($B542, ""), "", CONCATENATE(SUBSTITUTE(SEED!$F542, "-", ""), " (", SEED!$E542, IF(EXACT(SEED!$C542, ""), "", CONCATENATE(" ►", SEED!$C542)), ")"))</f>
        <v>+62 (021) 6684848 (Office Phone ►Institution - PT. Triotama Toya Energi)</v>
      </c>
    </row>
    <row r="543" spans="2:3" x14ac:dyDescent="0.2">
      <c r="B543" s="40">
        <f>IF(EXACT(SEED!$F543, ""), "", SEED!$J543)</f>
        <v>286000000000499</v>
      </c>
      <c r="C543" s="4" t="str">
        <f>IF(EXACT($B543, ""), "", CONCATENATE(SUBSTITUTE(SEED!$F543, "-", ""), " (", SEED!$E543, IF(EXACT(SEED!$C543, ""), "", CONCATENATE(" ►", SEED!$C543)), ")"))</f>
        <v>+62 (021) 7900088 (Office Phone ►Institution - PT. Twink Indonesia )</v>
      </c>
    </row>
    <row r="544" spans="2:3" x14ac:dyDescent="0.2">
      <c r="B544" s="40">
        <f>IF(EXACT(SEED!$F544, ""), "", SEED!$J544)</f>
        <v>286000000000500</v>
      </c>
      <c r="C544" s="4" t="str">
        <f>IF(EXACT($B544, ""), "", CONCATENATE(SUBSTITUTE(SEED!$F544, "-", ""), " (", SEED!$E544, IF(EXACT(SEED!$C544, ""), "", CONCATENATE(" ►", SEED!$C544)), ")"))</f>
        <v>+62 85359936053 (Mobile Phone ►Institution - PT. Vector Info Technologies )</v>
      </c>
    </row>
    <row r="545" spans="2:3" x14ac:dyDescent="0.2">
      <c r="B545" s="40">
        <f>IF(EXACT(SEED!$F545, ""), "", SEED!$J545)</f>
        <v>286000000000501</v>
      </c>
      <c r="C545" s="4" t="str">
        <f>IF(EXACT($B545, ""), "", CONCATENATE(SUBSTITUTE(SEED!$F545, "-", ""), " (", SEED!$E545, IF(EXACT(SEED!$C545, ""), "", CONCATENATE(" ►", SEED!$C545)), ")"))</f>
        <v>+62 (021) 8230525 (Office Phone ►Institution - PT. Voksel Electric Tbk )</v>
      </c>
    </row>
    <row r="546" spans="2:3" x14ac:dyDescent="0.2">
      <c r="B546" s="40">
        <f>IF(EXACT(SEED!$F546, ""), "", SEED!$J546)</f>
        <v>286000000000502</v>
      </c>
      <c r="C546" s="4" t="str">
        <f>IF(EXACT($B546, ""), "", CONCATENATE(SUBSTITUTE(SEED!$F546, "-", ""), " (", SEED!$E546, IF(EXACT(SEED!$C546, ""), "", CONCATENATE(" ►", SEED!$C546)), ")"))</f>
        <v>+62 (021) 8230526 (Faximile ►Institution - PT. Voksel Electric Tbk )</v>
      </c>
    </row>
    <row r="547" spans="2:3" x14ac:dyDescent="0.2">
      <c r="B547" s="40">
        <f>IF(EXACT(SEED!$F547, ""), "", SEED!$J547)</f>
        <v>286000000000503</v>
      </c>
      <c r="C547" s="4" t="str">
        <f>IF(EXACT($B547, ""), "", CONCATENATE(SUBSTITUTE(SEED!$F547, "-", ""), " (", SEED!$E547, IF(EXACT(SEED!$C547, ""), "", CONCATENATE(" ►", SEED!$C547)), ")"))</f>
        <v>+62 8562515327 (Mobile Phone ►Institution - PT. Widya Prima Utama)</v>
      </c>
    </row>
    <row r="548" spans="2:3" x14ac:dyDescent="0.2">
      <c r="B548" s="40">
        <f>IF(EXACT(SEED!$F548, ""), "", SEED!$J548)</f>
        <v>286000000000504</v>
      </c>
      <c r="C548" s="4" t="str">
        <f>IF(EXACT($B548, ""), "", CONCATENATE(SUBSTITUTE(SEED!$F548, "-", ""), " (", SEED!$E548, IF(EXACT(SEED!$C548, ""), "", CONCATENATE(" ►", SEED!$C548)), ")"))</f>
        <v>+62 (0761) 44000 (Office Phone ►Institution - PT. Yanmarindo Perkasa )</v>
      </c>
    </row>
    <row r="549" spans="2:3" x14ac:dyDescent="0.2">
      <c r="B549" s="40">
        <f>IF(EXACT(SEED!$F549, ""), "", SEED!$J549)</f>
        <v>286000000000505</v>
      </c>
      <c r="C549" s="4" t="str">
        <f>IF(EXACT($B549, ""), "", CONCATENATE(SUBSTITUTE(SEED!$F549, "-", ""), " (", SEED!$E549, IF(EXACT(SEED!$C549, ""), "", CONCATENATE(" ►", SEED!$C549)), ")"))</f>
        <v>+62 (0761) 44155 (Faximile ►Institution - PT. Yanmarindo Perkasa )</v>
      </c>
    </row>
    <row r="550" spans="2:3" x14ac:dyDescent="0.2">
      <c r="B550" s="40">
        <f>IF(EXACT(SEED!$F550, ""), "", SEED!$J550)</f>
        <v>286000000000506</v>
      </c>
      <c r="C550" s="4" t="str">
        <f>IF(EXACT($B550, ""), "", CONCATENATE(SUBSTITUTE(SEED!$F550, "-", ""), " (", SEED!$E550, IF(EXACT(SEED!$C550, ""), "", CONCATENATE(" ►", SEED!$C550)), ")"))</f>
        <v>+62 818735222 (Mobile Phone ►Institution - PT. Yudha Berkat Layana)</v>
      </c>
    </row>
    <row r="551" spans="2:3" x14ac:dyDescent="0.2">
      <c r="B551" s="40">
        <f>IF(EXACT(SEED!$F551, ""), "", SEED!$J551)</f>
        <v>286000000000507</v>
      </c>
      <c r="C551" s="4" t="str">
        <f>IF(EXACT($B551, ""), "", CONCATENATE(SUBSTITUTE(SEED!$F551, "-", ""), " (", SEED!$E551, IF(EXACT(SEED!$C551, ""), "", CONCATENATE(" ►", SEED!$C551)), ")"))</f>
        <v>+62 811895789      (Mobile Phone ►Institution - PT. ZTT Cable Indonesia     )</v>
      </c>
    </row>
    <row r="552" spans="2:3" x14ac:dyDescent="0.2">
      <c r="B552" s="40">
        <f>IF(EXACT(SEED!$F552, ""), "", SEED!$J552)</f>
        <v>286000000000508</v>
      </c>
      <c r="C552" s="4" t="str">
        <f>IF(EXACT($B552, ""), "", CONCATENATE(SUBSTITUTE(SEED!$F552, "-", ""), " (", SEED!$E552, IF(EXACT(SEED!$C552, ""), "", CONCATENATE(" ►", SEED!$C552)), ")"))</f>
        <v>+62 (021) 4601733 (Office Phone ►Institution - PT. KMI Wire and Cable, Tbk [a.k.a : Kabel Metal Indonesia])</v>
      </c>
    </row>
    <row r="553" spans="2:3" x14ac:dyDescent="0.2">
      <c r="B553" s="40">
        <f>IF(EXACT(SEED!$F553, ""), "", SEED!$J553)</f>
        <v>286000000000509</v>
      </c>
      <c r="C553" s="4" t="str">
        <f>IF(EXACT($B553, ""), "", CONCATENATE(SUBSTITUTE(SEED!$F553, "-", ""), " (", SEED!$E553, IF(EXACT(SEED!$C553, ""), "", CONCATENATE(" ►", SEED!$C553)), ")"))</f>
        <v>+62 (021) 4610588 (Faximile ►Institution - PT. KMI Wire and Cable, Tbk [a.k.a : Kabel Metal Indonesia])</v>
      </c>
    </row>
    <row r="554" spans="2:3" x14ac:dyDescent="0.2">
      <c r="B554" s="40">
        <f>IF(EXACT(SEED!$F554, ""), "", SEED!$J554)</f>
        <v>286000000000510</v>
      </c>
      <c r="C554" s="4" t="str">
        <f>IF(EXACT($B554, ""), "", CONCATENATE(SUBSTITUTE(SEED!$F554, "-", ""), " (", SEED!$E554, IF(EXACT(SEED!$C554, ""), "", CONCATENATE(" ►", SEED!$C554)), ")"))</f>
        <v>+62 81225055287 (Mobile Phone ►Institution - PT. Kokoh Inti Arebama, Tbk)</v>
      </c>
    </row>
    <row r="555" spans="2:3" x14ac:dyDescent="0.2">
      <c r="B555" s="40">
        <f>IF(EXACT(SEED!$F555, ""), "", SEED!$J555)</f>
        <v>286000000000511</v>
      </c>
      <c r="C555" s="4" t="str">
        <f>IF(EXACT($B555, ""), "", CONCATENATE(SUBSTITUTE(SEED!$F555, "-", ""), " (", SEED!$E555, IF(EXACT(SEED!$C555, ""), "", CONCATENATE(" ►", SEED!$C555)), ")"))</f>
        <v>+62 (021) 7971153 (Office Phone ►Institution - PT. Kokoh Inti Arebama, Tbk)</v>
      </c>
    </row>
    <row r="556" spans="2:3" x14ac:dyDescent="0.2">
      <c r="B556" s="40">
        <f>IF(EXACT(SEED!$F556, ""), "", SEED!$J556)</f>
        <v>286000000000512</v>
      </c>
      <c r="C556" s="4" t="str">
        <f>IF(EXACT($B556, ""), "", CONCATENATE(SUBSTITUTE(SEED!$F556, "-", ""), " (", SEED!$E556, IF(EXACT(SEED!$C556, ""), "", CONCATENATE(" ►", SEED!$C556)), ")"))</f>
        <v>+62 (021) 7971190 (Office Phone ►Institution - PT. Kokoh Inti Arebama, Tbk)</v>
      </c>
    </row>
    <row r="557" spans="2:3" x14ac:dyDescent="0.2">
      <c r="B557" s="40">
        <f>IF(EXACT(SEED!$F557, ""), "", SEED!$J557)</f>
        <v>286000000000513</v>
      </c>
      <c r="C557" s="4" t="str">
        <f>IF(EXACT($B557, ""), "", CONCATENATE(SUBSTITUTE(SEED!$F557, "-", ""), " (", SEED!$E557, IF(EXACT(SEED!$C557, ""), "", CONCATENATE(" ►", SEED!$C557)), ")"))</f>
        <v>+62 (021) 5279318 (Office Phone ►Institution - BPJS Ketenagakerjaan)</v>
      </c>
    </row>
    <row r="558" spans="2:3" x14ac:dyDescent="0.2">
      <c r="B558" s="40">
        <f>IF(EXACT(SEED!$F558, ""), "", SEED!$J558)</f>
        <v>286000000000514</v>
      </c>
      <c r="C558" s="4" t="str">
        <f>IF(EXACT($B558, ""), "", CONCATENATE(SUBSTITUTE(SEED!$F558, "-", ""), " (", SEED!$E558, IF(EXACT(SEED!$C558, ""), "", CONCATENATE(" ►", SEED!$C558)), ")"))</f>
        <v>+62 (021) 5279319 (Office Phone ►Institution - BPJS Ketenagakerjaan)</v>
      </c>
    </row>
    <row r="559" spans="2:3" x14ac:dyDescent="0.2">
      <c r="B559" s="40">
        <f>IF(EXACT(SEED!$F559, ""), "", SEED!$J559)</f>
        <v>286000000000515</v>
      </c>
      <c r="C559" s="4" t="str">
        <f>IF(EXACT($B559, ""), "", CONCATENATE(SUBSTITUTE(SEED!$F559, "-", ""), " (", SEED!$E559, IF(EXACT(SEED!$C559, ""), "", CONCATENATE(" ►", SEED!$C559)), ")"))</f>
        <v>+62 (021) 5279320 (Office Phone ►Institution - BPJS Ketenagakerjaan)</v>
      </c>
    </row>
    <row r="560" spans="2:3" x14ac:dyDescent="0.2">
      <c r="B560" s="40">
        <f>IF(EXACT(SEED!$F560, ""), "", SEED!$J560)</f>
        <v>286000000000516</v>
      </c>
      <c r="C560" s="4" t="str">
        <f>IF(EXACT($B560, ""), "", CONCATENATE(SUBSTITUTE(SEED!$F560, "-", ""), " (", SEED!$E560, IF(EXACT(SEED!$C560, ""), "", CONCATENATE(" ►", SEED!$C560)), ")"))</f>
        <v>+62 (021) 5279321 (Office Phone ►Institution - BPJS Ketenagakerjaan)</v>
      </c>
    </row>
    <row r="561" spans="2:3" x14ac:dyDescent="0.2">
      <c r="B561" s="40">
        <f>IF(EXACT(SEED!$F561, ""), "", SEED!$J561)</f>
        <v>286000000000517</v>
      </c>
      <c r="C561" s="4" t="str">
        <f>IF(EXACT($B561, ""), "", CONCATENATE(SUBSTITUTE(SEED!$F561, "-", ""), " (", SEED!$E561, IF(EXACT(SEED!$C561, ""), "", CONCATENATE(" ►", SEED!$C561)), ")"))</f>
        <v>+62 (021) 5279322 (Office Phone ►Institution - BPJS Ketenagakerjaan)</v>
      </c>
    </row>
    <row r="562" spans="2:3" x14ac:dyDescent="0.2">
      <c r="B562" s="40">
        <f>IF(EXACT(SEED!$F562, ""), "", SEED!$J562)</f>
        <v>286000000000518</v>
      </c>
      <c r="C562" s="4" t="str">
        <f>IF(EXACT($B562, ""), "", CONCATENATE(SUBSTITUTE(SEED!$F562, "-", ""), " (", SEED!$E562, IF(EXACT(SEED!$C562, ""), "", CONCATENATE(" ►", SEED!$C562)), ")"))</f>
        <v>+62 (021) 5279323 (Office Phone ►Institution - BPJS Ketenagakerjaan)</v>
      </c>
    </row>
    <row r="563" spans="2:3" x14ac:dyDescent="0.2">
      <c r="B563" s="40">
        <f>IF(EXACT(SEED!$F563, ""), "", SEED!$J563)</f>
        <v>286000000000519</v>
      </c>
      <c r="C563" s="4" t="str">
        <f>IF(EXACT($B563, ""), "", CONCATENATE(SUBSTITUTE(SEED!$F563, "-", ""), " (", SEED!$E563, IF(EXACT(SEED!$C563, ""), "", CONCATENATE(" ►", SEED!$C563)), ")"))</f>
        <v>+62 (021) 5279324 (Faximile ►Institution - BPJS Ketenagakerjaan)</v>
      </c>
    </row>
    <row r="564" spans="2:3" x14ac:dyDescent="0.2">
      <c r="B564" s="40">
        <f>IF(EXACT(SEED!$F564, ""), "", SEED!$J564)</f>
        <v>286000000000520</v>
      </c>
      <c r="C564" s="4" t="str">
        <f>IF(EXACT($B564, ""), "", CONCATENATE(SUBSTITUTE(SEED!$F564, "-", ""), " (", SEED!$E564, IF(EXACT(SEED!$C564, ""), "", CONCATENATE(" ►", SEED!$C564)), ")"))</f>
        <v>+62 (021) 5279325 (Faximile ►Institution - BPJS Ketenagakerjaan)</v>
      </c>
    </row>
    <row r="565" spans="2:3" x14ac:dyDescent="0.2">
      <c r="B565" s="40">
        <f>IF(EXACT(SEED!$F565, ""), "", SEED!$J565)</f>
        <v>286000000000521</v>
      </c>
      <c r="C565" s="4" t="str">
        <f>IF(EXACT($B565, ""), "", CONCATENATE(SUBSTITUTE(SEED!$F565, "-", ""), " (", SEED!$E565, IF(EXACT(SEED!$C565, ""), "", CONCATENATE(" ►", SEED!$C565)), ")"))</f>
        <v>+62 8128415148 (Mobile Phone ►Institution - BPJS Kesehatan)</v>
      </c>
    </row>
    <row r="566" spans="2:3" x14ac:dyDescent="0.2">
      <c r="B566" s="40">
        <f>IF(EXACT(SEED!$F566, ""), "", SEED!$J566)</f>
        <v>286000000000522</v>
      </c>
      <c r="C566" s="4" t="str">
        <f>IF(EXACT($B566, ""), "", CONCATENATE(SUBSTITUTE(SEED!$F566, "-", ""), " (", SEED!$E566, IF(EXACT(SEED!$C566, ""), "", CONCATENATE(" ►", SEED!$C566)), ")"))</f>
        <v>+62 (021) 7946321 (Office Phone ►Institution - BPJS Kesehatan)</v>
      </c>
    </row>
    <row r="567" spans="2:3" x14ac:dyDescent="0.2">
      <c r="B567" s="40">
        <f>IF(EXACT(SEED!$F567, ""), "", SEED!$J567)</f>
        <v>286000000000523</v>
      </c>
      <c r="C567" s="4" t="str">
        <f>IF(EXACT($B567, ""), "", CONCATENATE(SUBSTITUTE(SEED!$F567, "-", ""), " (", SEED!$E567, IF(EXACT(SEED!$C567, ""), "", CONCATENATE(" ►", SEED!$C567)), ")"))</f>
        <v>+62 82124355468 (Mobile Phone ►Institution - PT. Bank Rakyat Indonesia (Persero), Tbk)</v>
      </c>
    </row>
    <row r="568" spans="2:3" x14ac:dyDescent="0.2">
      <c r="B568" s="40">
        <f>IF(EXACT(SEED!$F568, ""), "", SEED!$J568)</f>
        <v>286000000000524</v>
      </c>
      <c r="C568" s="4" t="str">
        <f>IF(EXACT($B568, ""), "", CONCATENATE(SUBSTITUTE(SEED!$F568, "-", ""), " (", SEED!$E568, IF(EXACT(SEED!$C568, ""), "", CONCATENATE(" ►", SEED!$C568)), ")"))</f>
        <v>+62 (021) 7255924 (Office Phone ►Institution - PT. Bank Rakyat Indonesia (Persero), Tbk)</v>
      </c>
    </row>
    <row r="569" spans="2:3" x14ac:dyDescent="0.2">
      <c r="B569" s="40">
        <f>IF(EXACT(SEED!$F569, ""), "", SEED!$J569)</f>
        <v>286000000000525</v>
      </c>
      <c r="C569" s="4" t="str">
        <f>IF(EXACT($B569, ""), "", CONCATENATE(SUBSTITUTE(SEED!$F569, "-", ""), " (", SEED!$E569, IF(EXACT(SEED!$C569, ""), "", CONCATENATE(" ►", SEED!$C569)), ")"))</f>
        <v>+62 (021) 7255968 (Faximile ►Institution - PT. Bank Rakyat Indonesia (Persero), Tbk)</v>
      </c>
    </row>
    <row r="570" spans="2:3" x14ac:dyDescent="0.2">
      <c r="B570" s="40">
        <f>IF(EXACT(SEED!$F570, ""), "", SEED!$J570)</f>
        <v>286000000000526</v>
      </c>
      <c r="C570" s="4" t="str">
        <f>IF(EXACT($B570, ""), "", CONCATENATE(SUBSTITUTE(SEED!$F570, "-", ""), " (", SEED!$E570, IF(EXACT(SEED!$C570, ""), "", CONCATENATE(" ►", SEED!$C570)), ")"))</f>
        <v>+62 82258803066 (Mobile Phone ►Institution - Koperasi Mekar - Jakarta Selatan )</v>
      </c>
    </row>
    <row r="571" spans="2:3" x14ac:dyDescent="0.2">
      <c r="B571" s="40">
        <f>IF(EXACT(SEED!$F571, ""), "", SEED!$J571)</f>
        <v>286000000000527</v>
      </c>
      <c r="C571" s="4" t="str">
        <f>IF(EXACT($B571, ""), "", CONCATENATE(SUBSTITUTE(SEED!$F571, "-", ""), " (", SEED!$E571, IF(EXACT(SEED!$C571, ""), "", CONCATENATE(" ►", SEED!$C571)), ")"))</f>
        <v>+62 (021) 7900034 (Office Phone ►Institution - PT. Pelayanan Listrik Nasional (Persero) - Pusat Sertifikasi)</v>
      </c>
    </row>
    <row r="572" spans="2:3" x14ac:dyDescent="0.2">
      <c r="B572" s="40">
        <f>IF(EXACT(SEED!$F572, ""), "", SEED!$J572)</f>
        <v>286000000000528</v>
      </c>
      <c r="C572" s="4" t="str">
        <f>IF(EXACT($B572, ""), "", CONCATENATE(SUBSTITUTE(SEED!$F572, "-", ""), " (", SEED!$E572, IF(EXACT(SEED!$C572, ""), "", CONCATENATE(" ►", SEED!$C572)), ")"))</f>
        <v>+62 (021) 7982034 (Faximile ►Institution - PT. Pelayanan Listrik Nasional (Persero) - Pusat Sertifikasi)</v>
      </c>
    </row>
    <row r="573" spans="2:3" x14ac:dyDescent="0.2">
      <c r="B573" s="40">
        <f>IF(EXACT(SEED!$F573, ""), "", SEED!$J573)</f>
        <v>286000000000529</v>
      </c>
      <c r="C573" s="4" t="str">
        <f>IF(EXACT($B573, ""), "", CONCATENATE(SUBSTITUTE(SEED!$F573, "-", ""), " (", SEED!$E573, IF(EXACT(SEED!$C573, ""), "", CONCATENATE(" ►", SEED!$C573)), ")"))</f>
        <v>+62 81275660605 (Mobile Phone ►Institution - UD. Athar Marzuki Plywood)</v>
      </c>
    </row>
    <row r="574" spans="2:3" x14ac:dyDescent="0.2">
      <c r="B574" s="40">
        <f>IF(EXACT(SEED!$F574, ""), "", SEED!$J574)</f>
        <v>286000000000530</v>
      </c>
      <c r="C574" s="4" t="str">
        <f>IF(EXACT($B574, ""), "", CONCATENATE(SUBSTITUTE(SEED!$F574, "-", ""), " (", SEED!$E574, IF(EXACT(SEED!$C574, ""), "", CONCATENATE(" ►", SEED!$C574)), ")"))</f>
        <v>+62 8125074883 (Mobile Phone ►Institution - UD. Gajah Mungkur)</v>
      </c>
    </row>
    <row r="575" spans="2:3" x14ac:dyDescent="0.2">
      <c r="B575" s="40">
        <f>IF(EXACT(SEED!$F575, ""), "", SEED!$J575)</f>
        <v>286000000000531</v>
      </c>
      <c r="C575" s="4" t="str">
        <f>IF(EXACT($B575, ""), "", CONCATENATE(SUBSTITUTE(SEED!$F575, "-", ""), " (", SEED!$E575, IF(EXACT(SEED!$C575, ""), "", CONCATENATE(" ►", SEED!$C575)), ")"))</f>
        <v>+62 81349140290 (Mobile Phone ►Institution - UD. Gajah Mungkur)</v>
      </c>
    </row>
    <row r="576" spans="2:3" x14ac:dyDescent="0.2">
      <c r="B576" s="40">
        <f>IF(EXACT(SEED!$F576, ""), "", SEED!$J576)</f>
        <v>286000000000532</v>
      </c>
      <c r="C576" s="4" t="str">
        <f>IF(EXACT($B576, ""), "", CONCATENATE(SUBSTITUTE(SEED!$F576, "-", ""), " (", SEED!$E576, IF(EXACT(SEED!$C576, ""), "", CONCATENATE(" ►", SEED!$C576)), ")"))</f>
        <v>+62 (0401) 3122812 (Office Phone ►Institution - UD. Kalam Hidup kendari)</v>
      </c>
    </row>
    <row r="577" spans="2:3" x14ac:dyDescent="0.2">
      <c r="B577" s="40">
        <f>IF(EXACT(SEED!$F577, ""), "", SEED!$J577)</f>
        <v>286000000000533</v>
      </c>
      <c r="C577" s="4" t="str">
        <f>IF(EXACT($B577, ""), "", CONCATENATE(SUBSTITUTE(SEED!$F577, "-", ""), " (", SEED!$E577, IF(EXACT(SEED!$C577, ""), "", CONCATENATE(" ►", SEED!$C577)), ")"))</f>
        <v>+62 81218996521 (Mobile Phone ►Institution - UD. Mandiri Jaya)</v>
      </c>
    </row>
    <row r="578" spans="2:3" x14ac:dyDescent="0.2">
      <c r="B578" s="40">
        <f>IF(EXACT(SEED!$F578, ""), "", SEED!$J578)</f>
        <v>286000000000534</v>
      </c>
      <c r="C578" s="4" t="str">
        <f>IF(EXACT($B578, ""), "", CONCATENATE(SUBSTITUTE(SEED!$F578, "-", ""), " (", SEED!$E578, IF(EXACT(SEED!$C578, ""), "", CONCATENATE(" ►", SEED!$C578)), ")"))</f>
        <v>+62 85249286029 (Mobile Phone ►Institution - UD. Subur)</v>
      </c>
    </row>
    <row r="579" spans="2:3" x14ac:dyDescent="0.2">
      <c r="B579" s="40">
        <f>IF(EXACT(SEED!$F579, ""), "", SEED!$J579)</f>
        <v>286000000000535</v>
      </c>
      <c r="C579" s="4" t="str">
        <f>IF(EXACT($B579, ""), "", CONCATENATE(SUBSTITUTE(SEED!$F579, "-", ""), " (", SEED!$E579, IF(EXACT(SEED!$C579, ""), "", CONCATENATE(" ►", SEED!$C579)), ")"))</f>
        <v>+62 85242316821 (Mobile Phone ►Institution - UD. Thufail)</v>
      </c>
    </row>
    <row r="580" spans="2:3" x14ac:dyDescent="0.2">
      <c r="B580" s="40">
        <f>IF(EXACT(SEED!$F580, ""), "", SEED!$J580)</f>
        <v>286000000000536</v>
      </c>
      <c r="C580" s="4" t="str">
        <f>IF(EXACT($B580, ""), "", CONCATENATE(SUBSTITUTE(SEED!$F580, "-", ""), " (", SEED!$E580, IF(EXACT(SEED!$C580, ""), "", CONCATENATE(" ►", SEED!$C580)), ")"))</f>
        <v>+62 85222294833 (Mobile Phone ►Institution - TB. Asep Saprudin)</v>
      </c>
    </row>
    <row r="581" spans="2:3" x14ac:dyDescent="0.2">
      <c r="B581" s="40">
        <f>IF(EXACT(SEED!$F581, ""), "", SEED!$J581)</f>
        <v>286000000000537</v>
      </c>
      <c r="C581" s="4" t="str">
        <f>IF(EXACT($B581, ""), "", CONCATENATE(SUBSTITUTE(SEED!$F581, "-", ""), " (", SEED!$E581, IF(EXACT(SEED!$C581, ""), "", CONCATENATE(" ►", SEED!$C581)), ")"))</f>
        <v>+62 82391372798 (Mobile Phone ►Institution - TB. Berkah Sentosa)</v>
      </c>
    </row>
    <row r="582" spans="2:3" x14ac:dyDescent="0.2">
      <c r="B582" s="40">
        <f>IF(EXACT(SEED!$F582, ""), "", SEED!$J582)</f>
        <v>286000000000538</v>
      </c>
      <c r="C582" s="4" t="str">
        <f>IF(EXACT($B582, ""), "", CONCATENATE(SUBSTITUTE(SEED!$F582, "-", ""), " (", SEED!$E582, IF(EXACT(SEED!$C582, ""), "", CONCATENATE(" ►", SEED!$C582)), ")"))</f>
        <v>+62 85654931726 (Mobile Phone ►Institution - TB. Berkat Orang Tua)</v>
      </c>
    </row>
    <row r="583" spans="2:3" x14ac:dyDescent="0.2">
      <c r="B583" s="40">
        <f>IF(EXACT(SEED!$F583, ""), "", SEED!$J583)</f>
        <v>286000000000539</v>
      </c>
      <c r="C583" s="4" t="str">
        <f>IF(EXACT($B583, ""), "", CONCATENATE(SUBSTITUTE(SEED!$F583, "-", ""), " (", SEED!$E583, IF(EXACT(SEED!$C583, ""), "", CONCATENATE(" ►", SEED!$C583)), ")"))</f>
        <v>+62 81266399939 (Mobile Phone ►Institution - TB. Cipta Bangun)</v>
      </c>
    </row>
    <row r="584" spans="2:3" x14ac:dyDescent="0.2">
      <c r="B584" s="40">
        <f>IF(EXACT(SEED!$F584, ""), "", SEED!$J584)</f>
        <v>286000000000540</v>
      </c>
      <c r="C584" s="4" t="str">
        <f>IF(EXACT($B584, ""), "", CONCATENATE(SUBSTITUTE(SEED!$F584, "-", ""), " (", SEED!$E584, IF(EXACT(SEED!$C584, ""), "", CONCATENATE(" ►", SEED!$C584)), ")"))</f>
        <v>+62 87839408562 (Mobile Phone ►Institution - TB. Karta Jaya)</v>
      </c>
    </row>
    <row r="585" spans="2:3" x14ac:dyDescent="0.2">
      <c r="B585" s="40">
        <f>IF(EXACT(SEED!$F585, ""), "", SEED!$J585)</f>
        <v>286000000000541</v>
      </c>
      <c r="C585" s="4" t="str">
        <f>IF(EXACT($B585, ""), "", CONCATENATE(SUBSTITUTE(SEED!$F585, "-", ""), " (", SEED!$E585, IF(EXACT(SEED!$C585, ""), "", CONCATENATE(" ►", SEED!$C585)), ")"))</f>
        <v>+62 82121215018 (Mobile Phone ►Institution - TB. Roma Bangunan)</v>
      </c>
    </row>
    <row r="586" spans="2:3" x14ac:dyDescent="0.2">
      <c r="B586" s="40">
        <f>IF(EXACT(SEED!$F586, ""), "", SEED!$J586)</f>
        <v>286000000000542</v>
      </c>
      <c r="C586" s="4" t="str">
        <f>IF(EXACT($B586, ""), "", CONCATENATE(SUBSTITUTE(SEED!$F586, "-", ""), " (", SEED!$E586, IF(EXACT(SEED!$C586, ""), "", CONCATENATE(" ►", SEED!$C586)), ")"))</f>
        <v>+62 87824045968 (Mobile Phone ►Institution - TB. Sumber Jaya Bangunan)</v>
      </c>
    </row>
    <row r="587" spans="2:3" x14ac:dyDescent="0.2">
      <c r="B587" s="40">
        <f>IF(EXACT(SEED!$F587, ""), "", SEED!$J587)</f>
        <v>286000000000543</v>
      </c>
      <c r="C587" s="4" t="str">
        <f>IF(EXACT($B587, ""), "", CONCATENATE(SUBSTITUTE(SEED!$F587, "-", ""), " (", SEED!$E587, IF(EXACT(SEED!$C587, ""), "", CONCATENATE(" ►", SEED!$C587)), ")"))</f>
        <v>+62 82159329476 (Mobile Phone ►Institution - Toko Agen Kaca Kita Yakin)</v>
      </c>
    </row>
    <row r="588" spans="2:3" x14ac:dyDescent="0.2">
      <c r="B588" s="40">
        <f>IF(EXACT(SEED!$F588, ""), "", SEED!$J588)</f>
        <v>286000000000544</v>
      </c>
      <c r="C588" s="4" t="str">
        <f>IF(EXACT($B588, ""), "", CONCATENATE(SUBSTITUTE(SEED!$F588, "-", ""), " (", SEED!$E588, IF(EXACT(SEED!$C588, ""), "", CONCATENATE(" ►", SEED!$C588)), ")"))</f>
        <v>+62 82165588600 (Mobile Phone ►Institution - Toko Akbar Seng)</v>
      </c>
    </row>
    <row r="589" spans="2:3" x14ac:dyDescent="0.2">
      <c r="B589" s="40">
        <f>IF(EXACT(SEED!$F589, ""), "", SEED!$J589)</f>
        <v>286000000000545</v>
      </c>
      <c r="C589" s="4" t="str">
        <f>IF(EXACT($B589, ""), "", CONCATENATE(SUBSTITUTE(SEED!$F589, "-", ""), " (", SEED!$E589, IF(EXACT(SEED!$C589, ""), "", CONCATENATE(" ►", SEED!$C589)), ")"))</f>
        <v>+62 85643756205 (Mobile Phone ►Institution - Toko Berkah)</v>
      </c>
    </row>
    <row r="590" spans="2:3" x14ac:dyDescent="0.2">
      <c r="B590" s="40">
        <f>IF(EXACT(SEED!$F590, ""), "", SEED!$J590)</f>
        <v>286000000000546</v>
      </c>
      <c r="C590" s="4" t="str">
        <f>IF(EXACT($B590, ""), "", CONCATENATE(SUBSTITUTE(SEED!$F590, "-", ""), " (", SEED!$E590, IF(EXACT(SEED!$C590, ""), "", CONCATENATE(" ►", SEED!$C590)), ")"))</f>
        <v>+62 (021) 3160282 (Office Phone ►Institution - Toko Berkah)</v>
      </c>
    </row>
    <row r="591" spans="2:3" x14ac:dyDescent="0.2">
      <c r="B591" s="40">
        <f>IF(EXACT(SEED!$F591, ""), "", SEED!$J591)</f>
        <v>286000000000547</v>
      </c>
      <c r="C591" s="4" t="str">
        <f>IF(EXACT($B591, ""), "", CONCATENATE(SUBSTITUTE(SEED!$F591, "-", ""), " (", SEED!$E591, IF(EXACT(SEED!$C591, ""), "", CONCATENATE(" ►", SEED!$C591)), ")"))</f>
        <v>+62 81913012150 (Mobile Phone ►Institution - Toko Buana Tunggal)</v>
      </c>
    </row>
    <row r="592" spans="2:3" x14ac:dyDescent="0.2">
      <c r="B592" s="40">
        <f>IF(EXACT(SEED!$F592, ""), "", SEED!$J592)</f>
        <v>286000000000548</v>
      </c>
      <c r="C592" s="4" t="str">
        <f>IF(EXACT($B592, ""), "", CONCATENATE(SUBSTITUTE(SEED!$F592, "-", ""), " (", SEED!$E592, IF(EXACT(SEED!$C592, ""), "", CONCATENATE(" ►", SEED!$C592)), ")"))</f>
        <v>+62 (021) 62201083 (Office Phone ►Institution - Toko Buana Tunggal)</v>
      </c>
    </row>
    <row r="593" spans="2:3" x14ac:dyDescent="0.2">
      <c r="B593" s="40">
        <f>IF(EXACT(SEED!$F593, ""), "", SEED!$J593)</f>
        <v>286000000000549</v>
      </c>
      <c r="C593" s="4" t="str">
        <f>IF(EXACT($B593, ""), "", CONCATENATE(SUBSTITUTE(SEED!$F593, "-", ""), " (", SEED!$E593, IF(EXACT(SEED!$C593, ""), "", CONCATENATE(" ►", SEED!$C593)), ")"))</f>
        <v>+62 85100351415 (Mobile Phone ►Institution - Toko Dunia Elektronik)</v>
      </c>
    </row>
    <row r="594" spans="2:3" x14ac:dyDescent="0.2">
      <c r="B594" s="40">
        <f>IF(EXACT(SEED!$F594, ""), "", SEED!$J594)</f>
        <v>286000000000550</v>
      </c>
      <c r="C594" s="4" t="str">
        <f>IF(EXACT($B594, ""), "", CONCATENATE(SUBSTITUTE(SEED!$F594, "-", ""), " (", SEED!$E594, IF(EXACT(SEED!$C594, ""), "", CONCATENATE(" ►", SEED!$C594)), ")"))</f>
        <v>+62 87885080973 (Mobile Phone ►Institution - Toko Fajar Timur Motor)</v>
      </c>
    </row>
    <row r="595" spans="2:3" x14ac:dyDescent="0.2">
      <c r="B595" s="40">
        <f>IF(EXACT(SEED!$F595, ""), "", SEED!$J595)</f>
        <v>286000000000551</v>
      </c>
      <c r="C595" s="4" t="str">
        <f>IF(EXACT($B595, ""), "", CONCATENATE(SUBSTITUTE(SEED!$F595, "-", ""), " (", SEED!$E595, IF(EXACT(SEED!$C595, ""), "", CONCATENATE(" ►", SEED!$C595)), ")"))</f>
        <v>+62 (021) 6121292        (Office Phone ►Institution - Toko Global Teknik     )</v>
      </c>
    </row>
    <row r="596" spans="2:3" x14ac:dyDescent="0.2">
      <c r="B596" s="40">
        <f>IF(EXACT(SEED!$F596, ""), "", SEED!$J596)</f>
        <v>286000000000552</v>
      </c>
      <c r="C596" s="4" t="str">
        <f>IF(EXACT($B596, ""), "", CONCATENATE(SUBSTITUTE(SEED!$F596, "-", ""), " (", SEED!$E596, IF(EXACT(SEED!$C596, ""), "", CONCATENATE(" ►", SEED!$C596)), ")"))</f>
        <v>+62 (021) 6121293  (Faximile ►Institution - Toko Global Teknik     )</v>
      </c>
    </row>
    <row r="597" spans="2:3" x14ac:dyDescent="0.2">
      <c r="B597" s="40">
        <f>IF(EXACT(SEED!$F597, ""), "", SEED!$J597)</f>
        <v>286000000000553</v>
      </c>
      <c r="C597" s="4" t="str">
        <f>IF(EXACT($B597, ""), "", CONCATENATE(SUBSTITUTE(SEED!$F597, "-", ""), " (", SEED!$E597, IF(EXACT(SEED!$C597, ""), "", CONCATENATE(" ►", SEED!$C597)), ")"))</f>
        <v>+62 87885690291 (Mobile Phone ►Institution - Toko Glodok Teknik Diesel)</v>
      </c>
    </row>
    <row r="598" spans="2:3" x14ac:dyDescent="0.2">
      <c r="B598" s="40">
        <f>IF(EXACT(SEED!$F598, ""), "", SEED!$J598)</f>
        <v>286000000000554</v>
      </c>
      <c r="C598" s="4" t="str">
        <f>IF(EXACT($B598, ""), "", CONCATENATE(SUBSTITUTE(SEED!$F598, "-", ""), " (", SEED!$E598, IF(EXACT(SEED!$C598, ""), "", CONCATENATE(" ►", SEED!$C598)), ")"))</f>
        <v>+62 81229255561 (Mobile Phone ►Institution - Toko GLX - Ariyati)</v>
      </c>
    </row>
    <row r="599" spans="2:3" x14ac:dyDescent="0.2">
      <c r="B599" s="40">
        <f>IF(EXACT(SEED!$F599, ""), "", SEED!$J599)</f>
        <v>286000000000555</v>
      </c>
      <c r="C599" s="4" t="str">
        <f>IF(EXACT($B599, ""), "", CONCATENATE(SUBSTITUTE(SEED!$F599, "-", ""), " (", SEED!$E599, IF(EXACT(SEED!$C599, ""), "", CONCATENATE(" ►", SEED!$C599)), ")"))</f>
        <v>+62 81365071396 (Mobile Phone ►Institution - Toko Inpaco)</v>
      </c>
    </row>
    <row r="600" spans="2:3" x14ac:dyDescent="0.2">
      <c r="B600" s="40">
        <f>IF(EXACT(SEED!$F600, ""), "", SEED!$J600)</f>
        <v>286000000000556</v>
      </c>
      <c r="C600" s="4" t="str">
        <f>IF(EXACT($B600, ""), "", CONCATENATE(SUBSTITUTE(SEED!$F600, "-", ""), " (", SEED!$E600, IF(EXACT(SEED!$C600, ""), "", CONCATENATE(" ►", SEED!$C600)), ")"))</f>
        <v>+62 82349444545 (Mobile Phone ►Institution - Toko Intan Bangunan )</v>
      </c>
    </row>
    <row r="601" spans="2:3" x14ac:dyDescent="0.2">
      <c r="B601" s="40">
        <f>IF(EXACT(SEED!$F601, ""), "", SEED!$J601)</f>
        <v>286000000000557</v>
      </c>
      <c r="C601" s="4" t="str">
        <f>IF(EXACT($B601, ""), "", CONCATENATE(SUBSTITUTE(SEED!$F601, "-", ""), " (", SEED!$E601, IF(EXACT(SEED!$C601, ""), "", CONCATENATE(" ►", SEED!$C601)), ")"))</f>
        <v>+62 82349444545 (Mobile Phone ►Institution - Toko Intan Motor)</v>
      </c>
    </row>
    <row r="602" spans="2:3" x14ac:dyDescent="0.2">
      <c r="B602" s="40">
        <f>IF(EXACT(SEED!$F602, ""), "", SEED!$J602)</f>
        <v>286000000000558</v>
      </c>
      <c r="C602" s="4" t="str">
        <f>IF(EXACT($B602, ""), "", CONCATENATE(SUBSTITUTE(SEED!$F602, "-", ""), " (", SEED!$E602, IF(EXACT(SEED!$C602, ""), "", CONCATENATE(" ►", SEED!$C602)), ")"))</f>
        <v>+62 82113032738 (Mobile Phone ►Institution - Toko Jalajah Karya Teknik)</v>
      </c>
    </row>
    <row r="603" spans="2:3" x14ac:dyDescent="0.2">
      <c r="B603" s="40">
        <f>IF(EXACT(SEED!$F603, ""), "", SEED!$J603)</f>
        <v>286000000000559</v>
      </c>
      <c r="C603" s="4" t="str">
        <f>IF(EXACT($B603, ""), "", CONCATENATE(SUBSTITUTE(SEED!$F603, "-", ""), " (", SEED!$E603, IF(EXACT(SEED!$C603, ""), "", CONCATENATE(" ►", SEED!$C603)), ")"))</f>
        <v>+62 85218595053 (Mobile Phone ►Institution - Toko JualWaterStop.NET)</v>
      </c>
    </row>
    <row r="604" spans="2:3" x14ac:dyDescent="0.2">
      <c r="B604" s="40">
        <f>IF(EXACT(SEED!$F604, ""), "", SEED!$J604)</f>
        <v>286000000000560</v>
      </c>
      <c r="C604" s="4" t="str">
        <f>IF(EXACT($B604, ""), "", CONCATENATE(SUBSTITUTE(SEED!$F604, "-", ""), " (", SEED!$E604, IF(EXACT(SEED!$C604, ""), "", CONCATENATE(" ►", SEED!$C604)), ")"))</f>
        <v>+62 82386118522 (Mobile Phone ►Institution - Toko Marpoyan Teknik Diesel)</v>
      </c>
    </row>
    <row r="605" spans="2:3" x14ac:dyDescent="0.2">
      <c r="B605" s="40">
        <f>IF(EXACT(SEED!$F605, ""), "", SEED!$J605)</f>
        <v>286000000000561</v>
      </c>
      <c r="C605" s="4" t="str">
        <f>IF(EXACT($B605, ""), "", CONCATENATE(SUBSTITUTE(SEED!$F605, "-", ""), " (", SEED!$E605, IF(EXACT(SEED!$C605, ""), "", CONCATENATE(" ►", SEED!$C605)), ")"))</f>
        <v>+62 81372747194 (Mobile Phone ►Institution - Toko Mega Diesel)</v>
      </c>
    </row>
    <row r="606" spans="2:3" x14ac:dyDescent="0.2">
      <c r="B606" s="40">
        <f>IF(EXACT(SEED!$F606, ""), "", SEED!$J606)</f>
        <v>286000000000562</v>
      </c>
      <c r="C606" s="4" t="str">
        <f>IF(EXACT($B606, ""), "", CONCATENATE(SUBSTITUTE(SEED!$F606, "-", ""), " (", SEED!$E606, IF(EXACT(SEED!$C606, ""), "", CONCATENATE(" ►", SEED!$C606)), ")"))</f>
        <v>+62 (021) 62307196 (Office Phone ►Institution - Toko Mega Jaya )</v>
      </c>
    </row>
    <row r="607" spans="2:3" x14ac:dyDescent="0.2">
      <c r="B607" s="40">
        <f>IF(EXACT(SEED!$F607, ""), "", SEED!$J607)</f>
        <v>286000000000563</v>
      </c>
      <c r="C607" s="4" t="str">
        <f>IF(EXACT($B607, ""), "", CONCATENATE(SUBSTITUTE(SEED!$F607, "-", ""), " (", SEED!$E607, IF(EXACT(SEED!$C607, ""), "", CONCATENATE(" ►", SEED!$C607)), ")"))</f>
        <v>+62 81254432465 (Mobile Phone ►Institution - Toko Meubel Dani)</v>
      </c>
    </row>
    <row r="608" spans="2:3" x14ac:dyDescent="0.2">
      <c r="B608" s="40">
        <f>IF(EXACT(SEED!$F608, ""), "", SEED!$J608)</f>
        <v>286000000000564</v>
      </c>
      <c r="C608" s="4" t="str">
        <f>IF(EXACT($B608, ""), "", CONCATENATE(SUBSTITUTE(SEED!$F608, "-", ""), " (", SEED!$E608, IF(EXACT(SEED!$C608, ""), "", CONCATENATE(" ►", SEED!$C608)), ")"))</f>
        <v>+62 85251838177 (Mobile Phone ►Institution - Toko Murah Rezeki)</v>
      </c>
    </row>
    <row r="609" spans="2:3" x14ac:dyDescent="0.2">
      <c r="B609" s="40">
        <f>IF(EXACT(SEED!$F609, ""), "", SEED!$J609)</f>
        <v>286000000000565</v>
      </c>
      <c r="C609" s="4" t="str">
        <f>IF(EXACT($B609, ""), "", CONCATENATE(SUBSTITUTE(SEED!$F609, "-", ""), " (", SEED!$E609, IF(EXACT(SEED!$C609, ""), "", CONCATENATE(" ►", SEED!$C609)), ")"))</f>
        <v>+62 81374966558 (Mobile Phone ►Institution - Toko Ocu Intan)</v>
      </c>
    </row>
    <row r="610" spans="2:3" x14ac:dyDescent="0.2">
      <c r="B610" s="40">
        <f>IF(EXACT(SEED!$F610, ""), "", SEED!$J610)</f>
        <v>286000000000566</v>
      </c>
      <c r="C610" s="4" t="str">
        <f>IF(EXACT($B610, ""), "", CONCATENATE(SUBSTITUTE(SEED!$F610, "-", ""), " (", SEED!$E610, IF(EXACT(SEED!$C610, ""), "", CONCATENATE(" ►", SEED!$C610)), ")"))</f>
        <v>+62 8128408041 (Mobile Phone ►Institution - Toko Pasar Minggu Tehnik)</v>
      </c>
    </row>
    <row r="611" spans="2:3" x14ac:dyDescent="0.2">
      <c r="B611" s="40">
        <f>IF(EXACT(SEED!$F611, ""), "", SEED!$J611)</f>
        <v>286000000000567</v>
      </c>
      <c r="C611" s="4" t="str">
        <f>IF(EXACT($B611, ""), "", CONCATENATE(SUBSTITUTE(SEED!$F611, "-", ""), " (", SEED!$E611, IF(EXACT(SEED!$C611, ""), "", CONCATENATE(" ►", SEED!$C611)), ")"))</f>
        <v>+62 (021) 7806415 (Office Phone ►Institution - Toko Pasar Minggu Tehnik)</v>
      </c>
    </row>
    <row r="612" spans="2:3" x14ac:dyDescent="0.2">
      <c r="B612" s="40">
        <f>IF(EXACT(SEED!$F612, ""), "", SEED!$J612)</f>
        <v>286000000000568</v>
      </c>
      <c r="C612" s="4" t="str">
        <f>IF(EXACT($B612, ""), "", CONCATENATE(SUBSTITUTE(SEED!$F612, "-", ""), " (", SEED!$E612, IF(EXACT(SEED!$C612, ""), "", CONCATENATE(" ►", SEED!$C612)), ")"))</f>
        <v>+62 8126868360 (Mobile Phone ►Institution - Toko Restia)</v>
      </c>
    </row>
    <row r="613" spans="2:3" x14ac:dyDescent="0.2">
      <c r="B613" s="40">
        <f>IF(EXACT(SEED!$F613, ""), "", SEED!$J613)</f>
        <v>286000000000569</v>
      </c>
      <c r="C613" s="4" t="str">
        <f>IF(EXACT($B613, ""), "", CONCATENATE(SUBSTITUTE(SEED!$F613, "-", ""), " (", SEED!$E613, IF(EXACT(SEED!$C613, ""), "", CONCATENATE(" ►", SEED!$C613)), ")"))</f>
        <v>+62 81338376453 (Mobile Phone ►Institution - Toko S Three Sane Security System)</v>
      </c>
    </row>
    <row r="614" spans="2:3" x14ac:dyDescent="0.2">
      <c r="B614" s="40">
        <f>IF(EXACT(SEED!$F614, ""), "", SEED!$J614)</f>
        <v>286000000000570</v>
      </c>
      <c r="C614" s="4" t="str">
        <f>IF(EXACT($B614, ""), "", CONCATENATE(SUBSTITUTE(SEED!$F614, "-", ""), " (", SEED!$E614, IF(EXACT(SEED!$C614, ""), "", CONCATENATE(" ►", SEED!$C614)), ")"))</f>
        <v>+62 81386987295 (Mobile Phone ►Institution - Toko Sarana Jaya Abadi)</v>
      </c>
    </row>
    <row r="615" spans="2:3" x14ac:dyDescent="0.2">
      <c r="B615" s="40">
        <f>IF(EXACT(SEED!$F615, ""), "", SEED!$J615)</f>
        <v>286000000000571</v>
      </c>
      <c r="C615" s="4" t="str">
        <f>IF(EXACT($B615, ""), "", CONCATENATE(SUBSTITUTE(SEED!$F615, "-", ""), " (", SEED!$E615, IF(EXACT(SEED!$C615, ""), "", CONCATENATE(" ►", SEED!$C615)), ")"))</f>
        <v>+62 81322007288 (Mobile Phone ►Institution - Toko Sekawan Jaya Safety)</v>
      </c>
    </row>
    <row r="616" spans="2:3" x14ac:dyDescent="0.2">
      <c r="B616" s="40">
        <f>IF(EXACT(SEED!$F616, ""), "", SEED!$J616)</f>
        <v>286000000000572</v>
      </c>
      <c r="C616" s="4" t="str">
        <f>IF(EXACT($B616, ""), "", CONCATENATE(SUBSTITUTE(SEED!$F616, "-", ""), " (", SEED!$E616, IF(EXACT(SEED!$C616, ""), "", CONCATENATE(" ►", SEED!$C616)), ")"))</f>
        <v>+62 82171725995 (Mobile Phone ►Institution - Toko Sentral Elektronik)</v>
      </c>
    </row>
    <row r="617" spans="2:3" x14ac:dyDescent="0.2">
      <c r="B617" s="40">
        <f>IF(EXACT(SEED!$F617, ""), "", SEED!$J617)</f>
        <v>286000000000573</v>
      </c>
      <c r="C617" s="4" t="str">
        <f>IF(EXACT($B617, ""), "", CONCATENATE(SUBSTITUTE(SEED!$F617, "-", ""), " (", SEED!$E617, IF(EXACT(SEED!$C617, ""), "", CONCATENATE(" ►", SEED!$C617)), ")"))</f>
        <v>+62 82190751789 (Mobile Phone ►Institution - Toko Sinar Baja qq Syafir Ottong)</v>
      </c>
    </row>
    <row r="618" spans="2:3" x14ac:dyDescent="0.2">
      <c r="B618" s="40">
        <f>IF(EXACT(SEED!$F618, ""), "", SEED!$J618)</f>
        <v>286000000000574</v>
      </c>
      <c r="C618" s="4" t="str">
        <f>IF(EXACT($B618, ""), "", CONCATENATE(SUBSTITUTE(SEED!$F618, "-", ""), " (", SEED!$E618, IF(EXACT(SEED!$C618, ""), "", CONCATENATE(" ►", SEED!$C618)), ")"))</f>
        <v>+62 85241808527 (Mobile Phone ►Institution - Toko Sinar Baut )</v>
      </c>
    </row>
    <row r="619" spans="2:3" x14ac:dyDescent="0.2">
      <c r="B619" s="40">
        <f>IF(EXACT(SEED!$F619, ""), "", SEED!$J619)</f>
        <v>286000000000575</v>
      </c>
      <c r="C619" s="4" t="str">
        <f>IF(EXACT($B619, ""), "", CONCATENATE(SUBSTITUTE(SEED!$F619, "-", ""), " (", SEED!$E619, IF(EXACT(SEED!$C619, ""), "", CONCATENATE(" ►", SEED!$C619)), ")"))</f>
        <v>+62 85227504400 (Mobile Phone ►Institution - Toko Sinar Listrik)</v>
      </c>
    </row>
    <row r="620" spans="2:3" x14ac:dyDescent="0.2">
      <c r="B620" s="40">
        <f>IF(EXACT(SEED!$F620, ""), "", SEED!$J620)</f>
        <v>286000000000576</v>
      </c>
      <c r="C620" s="4" t="str">
        <f>IF(EXACT($B620, ""), "", CONCATENATE(SUBSTITUTE(SEED!$F620, "-", ""), " (", SEED!$E620, IF(EXACT(SEED!$C620, ""), "", CONCATENATE(" ►", SEED!$C620)), ")"))</f>
        <v>+62 81372882518 (Mobile Phone ►Institution - Toko SKCR)</v>
      </c>
    </row>
    <row r="621" spans="2:3" x14ac:dyDescent="0.2">
      <c r="B621" s="40">
        <f>IF(EXACT(SEED!$F621, ""), "", SEED!$J621)</f>
        <v>286000000000577</v>
      </c>
      <c r="C621" s="4" t="str">
        <f>IF(EXACT($B621, ""), "", CONCATENATE(SUBSTITUTE(SEED!$F621, "-", ""), " (", SEED!$E621, IF(EXACT(SEED!$C621, ""), "", CONCATENATE(" ►", SEED!$C621)), ")"))</f>
        <v>+62 82190751388 (Mobile Phone ►Institution - Toko Sumber Makmur)</v>
      </c>
    </row>
    <row r="622" spans="2:3" x14ac:dyDescent="0.2">
      <c r="B622" s="40">
        <f>IF(EXACT(SEED!$F622, ""), "", SEED!$J622)</f>
        <v>286000000000578</v>
      </c>
      <c r="C622" s="4" t="str">
        <f>IF(EXACT($B622, ""), "", CONCATENATE(SUBSTITUTE(SEED!$F622, "-", ""), " (", SEED!$E622, IF(EXACT(SEED!$C622, ""), "", CONCATENATE(" ►", SEED!$C622)), ")"))</f>
        <v>+62 82389922255 (Mobile Phone ►Institution - Toko Sumber Terang)</v>
      </c>
    </row>
    <row r="623" spans="2:3" x14ac:dyDescent="0.2">
      <c r="B623" s="40">
        <f>IF(EXACT(SEED!$F623, ""), "", SEED!$J623)</f>
        <v>286000000000579</v>
      </c>
      <c r="C623" s="4" t="str">
        <f>IF(EXACT($B623, ""), "", CONCATENATE(SUBSTITUTE(SEED!$F623, "-", ""), " (", SEED!$E623, IF(EXACT(SEED!$C623, ""), "", CONCATENATE(" ►", SEED!$C623)), ")"))</f>
        <v>+62 82158787635 (Mobile Phone ►Institution - Toko Suroto Motor)</v>
      </c>
    </row>
    <row r="624" spans="2:3" x14ac:dyDescent="0.2">
      <c r="B624" s="40">
        <f>IF(EXACT(SEED!$F624, ""), "", SEED!$J624)</f>
        <v>286000000000580</v>
      </c>
      <c r="C624" s="4" t="str">
        <f>IF(EXACT($B624, ""), "", CONCATENATE(SUBSTITUTE(SEED!$F624, "-", ""), " (", SEED!$E624, IF(EXACT(SEED!$C624, ""), "", CONCATENATE(" ►", SEED!$C624)), ")"))</f>
        <v>+62 85233191162 (Mobile Phone ►Institution - Toko Top Listrik)</v>
      </c>
    </row>
    <row r="625" spans="2:3" x14ac:dyDescent="0.2">
      <c r="B625" s="40">
        <f>IF(EXACT(SEED!$F625, ""), "", SEED!$J625)</f>
        <v>286000000000581</v>
      </c>
      <c r="C625" s="4" t="str">
        <f>IF(EXACT($B625, ""), "", CONCATENATE(SUBSTITUTE(SEED!$F625, "-", ""), " (", SEED!$E625, IF(EXACT(SEED!$C625, ""), "", CONCATENATE(" ►", SEED!$C625)), ")"))</f>
        <v>+62 82347453535 (Mobile Phone ►Institution - Toko Top Swalayan)</v>
      </c>
    </row>
    <row r="626" spans="2:3" x14ac:dyDescent="0.2">
      <c r="B626" s="40">
        <f>IF(EXACT(SEED!$F626, ""), "", SEED!$J626)</f>
        <v>286000000000582</v>
      </c>
      <c r="C626" s="4" t="str">
        <f>IF(EXACT($B626, ""), "", CONCATENATE(SUBSTITUTE(SEED!$F626, "-", ""), " (", SEED!$E626, IF(EXACT(SEED!$C626, ""), "", CONCATENATE(" ►", SEED!$C626)), ")"))</f>
        <v>+62 8119897820 (Mobile Phone ►Institution - Toko Usaha Teknik Bersama)</v>
      </c>
    </row>
    <row r="627" spans="2:3" x14ac:dyDescent="0.2">
      <c r="B627" s="40">
        <f>IF(EXACT(SEED!$F627, ""), "", SEED!$J627)</f>
        <v>286000000000583</v>
      </c>
      <c r="C627" s="4" t="str">
        <f>IF(EXACT($B627, ""), "", CONCATENATE(SUBSTITUTE(SEED!$F627, "-", ""), " (", SEED!$E627, IF(EXACT(SEED!$C627, ""), "", CONCATENATE(" ►", SEED!$C627)), ")"))</f>
        <v>+62 87885690291 (Mobile Phone ►Institution - Toko Online Tokopedia - Glodok Diesel)</v>
      </c>
    </row>
    <row r="628" spans="2:3" x14ac:dyDescent="0.2">
      <c r="B628" s="40">
        <f>IF(EXACT(SEED!$F628, ""), "", SEED!$J628)</f>
        <v>286000000000584</v>
      </c>
      <c r="C628" s="4" t="str">
        <f>IF(EXACT($B628, ""), "", CONCATENATE(SUBSTITUTE(SEED!$F628, "-", ""), " (", SEED!$E628, IF(EXACT(SEED!$C628, ""), "", CONCATENATE(" ►", SEED!$C628)), ")"))</f>
        <v>+62 8111581199 (Mobile Phone ►Institution - Toko Online Tokopedia - MM Teknindo)</v>
      </c>
    </row>
    <row r="629" spans="2:3" x14ac:dyDescent="0.2">
      <c r="B629" s="40">
        <f>IF(EXACT(SEED!$F629, ""), "", SEED!$J629)</f>
        <v>286000000000585</v>
      </c>
      <c r="C629" s="4" t="str">
        <f>IF(EXACT($B629, ""), "", CONCATENATE(SUBSTITUTE(SEED!$F629, "-", ""), " (", SEED!$E629, IF(EXACT(SEED!$C629, ""), "", CONCATENATE(" ►", SEED!$C629)), ")"))</f>
        <v>+62 (021) 6242341 (Office Phone ►Institution - Toko Online Tokopedia - MM Teknindo)</v>
      </c>
    </row>
    <row r="630" spans="2:3" x14ac:dyDescent="0.2">
      <c r="B630" s="40">
        <f>IF(EXACT(SEED!$F630, ""), "", SEED!$J630)</f>
        <v>286000000000586</v>
      </c>
      <c r="C630" s="4" t="str">
        <f>IF(EXACT($B630, ""), "", CONCATENATE(SUBSTITUTE(SEED!$F630, "-", ""), " (", SEED!$E630, IF(EXACT(SEED!$C630, ""), "", CONCATENATE(" ►", SEED!$C630)), ")"))</f>
        <v>+62 85249859628 (Mobile Phone ►Institution - Mandor Abd Karim)</v>
      </c>
    </row>
    <row r="631" spans="2:3" x14ac:dyDescent="0.2">
      <c r="B631" s="40">
        <f>IF(EXACT(SEED!$F631, ""), "", SEED!$J631)</f>
        <v>286000000000587</v>
      </c>
      <c r="C631" s="4" t="str">
        <f>IF(EXACT($B631, ""), "", CONCATENATE(SUBSTITUTE(SEED!$F631, "-", ""), " (", SEED!$E631, IF(EXACT(SEED!$C631, ""), "", CONCATENATE(" ►", SEED!$C631)), ")"))</f>
        <v>+62 821571923000 (Mobile Phone ►Institution - Mandor Adi Sutrisno)</v>
      </c>
    </row>
    <row r="632" spans="2:3" x14ac:dyDescent="0.2">
      <c r="B632" s="40">
        <f>IF(EXACT(SEED!$F632, ""), "", SEED!$J632)</f>
        <v>286000000000588</v>
      </c>
      <c r="C632" s="4" t="str">
        <f>IF(EXACT($B632, ""), "", CONCATENATE(SUBSTITUTE(SEED!$F632, "-", ""), " (", SEED!$E632, IF(EXACT(SEED!$C632, ""), "", CONCATENATE(" ►", SEED!$C632)), ")"))</f>
        <v>+62 81268652373 (Mobile Phone ►Institution - Mandor Afrizal)</v>
      </c>
    </row>
    <row r="633" spans="2:3" x14ac:dyDescent="0.2">
      <c r="B633" s="40">
        <f>IF(EXACT(SEED!$F633, ""), "", SEED!$J633)</f>
        <v>286000000000589</v>
      </c>
      <c r="C633" s="4" t="str">
        <f>IF(EXACT($B633, ""), "", CONCATENATE(SUBSTITUTE(SEED!$F633, "-", ""), " (", SEED!$E633, IF(EXACT(SEED!$C633, ""), "", CONCATENATE(" ►", SEED!$C633)), ")"))</f>
        <v>+62 87754475373 (Mobile Phone ►Institution - Mandor Ahmad Sholeh)</v>
      </c>
    </row>
    <row r="634" spans="2:3" x14ac:dyDescent="0.2">
      <c r="B634" s="40">
        <f>IF(EXACT(SEED!$F634, ""), "", SEED!$J634)</f>
        <v>286000000000590</v>
      </c>
      <c r="C634" s="4" t="str">
        <f>IF(EXACT($B634, ""), "", CONCATENATE(SUBSTITUTE(SEED!$F634, "-", ""), " (", SEED!$E634, IF(EXACT(SEED!$C634, ""), "", CONCATENATE(" ►", SEED!$C634)), ")"))</f>
        <v>+62 81236949841 (Mobile Phone ►Institution - Mandor Ahmad Syamsudin)</v>
      </c>
    </row>
    <row r="635" spans="2:3" x14ac:dyDescent="0.2">
      <c r="B635" s="40">
        <f>IF(EXACT(SEED!$F635, ""), "", SEED!$J635)</f>
        <v>286000000000591</v>
      </c>
      <c r="C635" s="4" t="str">
        <f>IF(EXACT($B635, ""), "", CONCATENATE(SUBSTITUTE(SEED!$F635, "-", ""), " (", SEED!$E635, IF(EXACT(SEED!$C635, ""), "", CONCATENATE(" ►", SEED!$C635)), ")"))</f>
        <v>+62 87778930682 (Mobile Phone ►Institution - Mandor Ajay)</v>
      </c>
    </row>
    <row r="636" spans="2:3" x14ac:dyDescent="0.2">
      <c r="B636" s="40">
        <f>IF(EXACT(SEED!$F636, ""), "", SEED!$J636)</f>
        <v>286000000000592</v>
      </c>
      <c r="C636" s="4" t="str">
        <f>IF(EXACT($B636, ""), "", CONCATENATE(SUBSTITUTE(SEED!$F636, "-", ""), " (", SEED!$E636, IF(EXACT(SEED!$C636, ""), "", CONCATENATE(" ►", SEED!$C636)), ")"))</f>
        <v>+62 85126199395 (Mobile Phone ►Institution - Mandor Alfian Dani)</v>
      </c>
    </row>
    <row r="637" spans="2:3" x14ac:dyDescent="0.2">
      <c r="B637" s="40">
        <f>IF(EXACT(SEED!$F637, ""), "", SEED!$J637)</f>
        <v>286000000000593</v>
      </c>
      <c r="C637" s="4" t="str">
        <f>IF(EXACT($B637, ""), "", CONCATENATE(SUBSTITUTE(SEED!$F637, "-", ""), " (", SEED!$E637, IF(EXACT(SEED!$C637, ""), "", CONCATENATE(" ►", SEED!$C637)), ")"))</f>
        <v>+62 81931448554 (Mobile Phone ►Institution - Mandor Alimuddin)</v>
      </c>
    </row>
    <row r="638" spans="2:3" x14ac:dyDescent="0.2">
      <c r="B638" s="40">
        <f>IF(EXACT(SEED!$F638, ""), "", SEED!$J638)</f>
        <v>286000000000594</v>
      </c>
      <c r="C638" s="4" t="str">
        <f>IF(EXACT($B638, ""), "", CONCATENATE(SUBSTITUTE(SEED!$F638, "-", ""), " (", SEED!$E638, IF(EXACT(SEED!$C638, ""), "", CONCATENATE(" ►", SEED!$C638)), ")"))</f>
        <v>+62 85975973027 (Mobile Phone ►Institution - Mandor Ari Setiawan)</v>
      </c>
    </row>
    <row r="639" spans="2:3" x14ac:dyDescent="0.2">
      <c r="B639" s="40">
        <f>IF(EXACT(SEED!$F639, ""), "", SEED!$J639)</f>
        <v>286000000000595</v>
      </c>
      <c r="C639" s="4" t="str">
        <f>IF(EXACT($B639, ""), "", CONCATENATE(SUBSTITUTE(SEED!$F639, "-", ""), " (", SEED!$E639, IF(EXACT(SEED!$C639, ""), "", CONCATENATE(" ►", SEED!$C639)), ")"))</f>
        <v>+62 82141000545 (Mobile Phone ►Institution - Mandor Baharuddin)</v>
      </c>
    </row>
    <row r="640" spans="2:3" x14ac:dyDescent="0.2">
      <c r="B640" s="40">
        <f>IF(EXACT(SEED!$F640, ""), "", SEED!$J640)</f>
        <v>286000000000596</v>
      </c>
      <c r="C640" s="4" t="str">
        <f>IF(EXACT($B640, ""), "", CONCATENATE(SUBSTITUTE(SEED!$F640, "-", ""), " (", SEED!$E640, IF(EXACT(SEED!$C640, ""), "", CONCATENATE(" ►", SEED!$C640)), ")"))</f>
        <v>+62 81319614973 (Mobile Phone ►Institution - Mandor Balduin Situmorang)</v>
      </c>
    </row>
    <row r="641" spans="2:3" x14ac:dyDescent="0.2">
      <c r="B641" s="40">
        <f>IF(EXACT(SEED!$F641, ""), "", SEED!$J641)</f>
        <v>286000000000597</v>
      </c>
      <c r="C641" s="4" t="str">
        <f>IF(EXACT($B641, ""), "", CONCATENATE(SUBSTITUTE(SEED!$F641, "-", ""), " (", SEED!$E641, IF(EXACT(SEED!$C641, ""), "", CONCATENATE(" ►", SEED!$C641)), ")"))</f>
        <v>+62 85759447668 (Mobile Phone ►Institution - Mandor Budi Prihatin)</v>
      </c>
    </row>
    <row r="642" spans="2:3" x14ac:dyDescent="0.2">
      <c r="B642" s="40">
        <f>IF(EXACT(SEED!$F642, ""), "", SEED!$J642)</f>
        <v>286000000000598</v>
      </c>
      <c r="C642" s="4" t="str">
        <f>IF(EXACT($B642, ""), "", CONCATENATE(SUBSTITUTE(SEED!$F642, "-", ""), " (", SEED!$E642, IF(EXACT(SEED!$C642, ""), "", CONCATENATE(" ►", SEED!$C642)), ")"))</f>
        <v>+62 81310677754 (Mobile Phone ►Institution - Mandor Burhanudin)</v>
      </c>
    </row>
    <row r="643" spans="2:3" x14ac:dyDescent="0.2">
      <c r="B643" s="40">
        <f>IF(EXACT(SEED!$F643, ""), "", SEED!$J643)</f>
        <v>286000000000599</v>
      </c>
      <c r="C643" s="4" t="str">
        <f>IF(EXACT($B643, ""), "", CONCATENATE(SUBSTITUTE(SEED!$F643, "-", ""), " (", SEED!$E643, IF(EXACT(SEED!$C643, ""), "", CONCATENATE(" ►", SEED!$C643)), ")"))</f>
        <v>+62 87820020484 (Mobile Phone ►Institution - Mandor Dian Effendi)</v>
      </c>
    </row>
    <row r="644" spans="2:3" x14ac:dyDescent="0.2">
      <c r="B644" s="40">
        <f>IF(EXACT(SEED!$F644, ""), "", SEED!$J644)</f>
        <v>286000000000600</v>
      </c>
      <c r="C644" s="4" t="str">
        <f>IF(EXACT($B644, ""), "", CONCATENATE(SUBSTITUTE(SEED!$F644, "-", ""), " (", SEED!$E644, IF(EXACT(SEED!$C644, ""), "", CONCATENATE(" ►", SEED!$C644)), ")"))</f>
        <v>+62 85894327516 (Mobile Phone ►Institution - Mandor Dwi Trisno Utomo)</v>
      </c>
    </row>
    <row r="645" spans="2:3" x14ac:dyDescent="0.2">
      <c r="B645" s="40">
        <f>IF(EXACT(SEED!$F645, ""), "", SEED!$J645)</f>
        <v>286000000000601</v>
      </c>
      <c r="C645" s="4" t="str">
        <f>IF(EXACT($B645, ""), "", CONCATENATE(SUBSTITUTE(SEED!$F645, "-", ""), " (", SEED!$E645, IF(EXACT(SEED!$C645, ""), "", CONCATENATE(" ►", SEED!$C645)), ")"))</f>
        <v>+62 882015386047 (Mobile Phone ►Institution - Mandor Erizal)</v>
      </c>
    </row>
    <row r="646" spans="2:3" x14ac:dyDescent="0.2">
      <c r="B646" s="40">
        <f>IF(EXACT(SEED!$F646, ""), "", SEED!$J646)</f>
        <v>286000000000602</v>
      </c>
      <c r="C646" s="4" t="str">
        <f>IF(EXACT($B646, ""), "", CONCATENATE(SUBSTITUTE(SEED!$F646, "-", ""), " (", SEED!$E646, IF(EXACT(SEED!$C646, ""), "", CONCATENATE(" ►", SEED!$C646)), ")"))</f>
        <v>+62 82123089655 (Mobile Phone ►Institution - Mandor Galih Ramadhan)</v>
      </c>
    </row>
    <row r="647" spans="2:3" x14ac:dyDescent="0.2">
      <c r="B647" s="40">
        <f>IF(EXACT(SEED!$F647, ""), "", SEED!$J647)</f>
        <v>286000000000603</v>
      </c>
      <c r="C647" s="4" t="str">
        <f>IF(EXACT($B647, ""), "", CONCATENATE(SUBSTITUTE(SEED!$F647, "-", ""), " (", SEED!$E647, IF(EXACT(SEED!$C647, ""), "", CONCATENATE(" ►", SEED!$C647)), ")"))</f>
        <v>+62 85338573116 (Mobile Phone ►Institution - Mandor Haerul Gunawan)</v>
      </c>
    </row>
    <row r="648" spans="2:3" x14ac:dyDescent="0.2">
      <c r="B648" s="40">
        <f>IF(EXACT(SEED!$F648, ""), "", SEED!$J648)</f>
        <v>286000000000604</v>
      </c>
      <c r="C648" s="4" t="str">
        <f>IF(EXACT($B648, ""), "", CONCATENATE(SUBSTITUTE(SEED!$F648, "-", ""), " (", SEED!$E648, IF(EXACT(SEED!$C648, ""), "", CONCATENATE(" ►", SEED!$C648)), ")"))</f>
        <v>+62 81227026200 (Mobile Phone ►Institution - Mandor Harno)</v>
      </c>
    </row>
    <row r="649" spans="2:3" x14ac:dyDescent="0.2">
      <c r="B649" s="40">
        <f>IF(EXACT(SEED!$F649, ""), "", SEED!$J649)</f>
        <v>286000000000605</v>
      </c>
      <c r="C649" s="4" t="str">
        <f>IF(EXACT($B649, ""), "", CONCATENATE(SUBSTITUTE(SEED!$F649, "-", ""), " (", SEED!$E649, IF(EXACT(SEED!$C649, ""), "", CONCATENATE(" ►", SEED!$C649)), ")"))</f>
        <v>+62 85242771124 (Mobile Phone ►Institution - Mandor Haswanuddin)</v>
      </c>
    </row>
    <row r="650" spans="2:3" x14ac:dyDescent="0.2">
      <c r="B650" s="40">
        <f>IF(EXACT(SEED!$F650, ""), "", SEED!$J650)</f>
        <v>286000000000606</v>
      </c>
      <c r="C650" s="4" t="str">
        <f>IF(EXACT($B650, ""), "", CONCATENATE(SUBSTITUTE(SEED!$F650, "-", ""), " (", SEED!$E650, IF(EXACT(SEED!$C650, ""), "", CONCATENATE(" ►", SEED!$C650)), ")"))</f>
        <v>+62 85255160961 (Mobile Phone ►Institution - Mandor Heryanto Tanjong)</v>
      </c>
    </row>
    <row r="651" spans="2:3" x14ac:dyDescent="0.2">
      <c r="B651" s="40">
        <f>IF(EXACT(SEED!$F651, ""), "", SEED!$J651)</f>
        <v>286000000000607</v>
      </c>
      <c r="C651" s="4" t="str">
        <f>IF(EXACT($B651, ""), "", CONCATENATE(SUBSTITUTE(SEED!$F651, "-", ""), " (", SEED!$E651, IF(EXACT(SEED!$C651, ""), "", CONCATENATE(" ►", SEED!$C651)), ")"))</f>
        <v>+62 85317962234 (Mobile Phone ►Institution - Mandor Iwan Risnawan)</v>
      </c>
    </row>
    <row r="652" spans="2:3" x14ac:dyDescent="0.2">
      <c r="B652" s="40">
        <f>IF(EXACT(SEED!$F652, ""), "", SEED!$J652)</f>
        <v>286000000000608</v>
      </c>
      <c r="C652" s="4" t="str">
        <f>IF(EXACT($B652, ""), "", CONCATENATE(SUBSTITUTE(SEED!$F652, "-", ""), " (", SEED!$E652, IF(EXACT(SEED!$C652, ""), "", CONCATENATE(" ►", SEED!$C652)), ")"))</f>
        <v>+62 82142424216 (Mobile Phone ►Institution - Mandor Jaelani W)</v>
      </c>
    </row>
    <row r="653" spans="2:3" x14ac:dyDescent="0.2">
      <c r="B653" s="40">
        <f>IF(EXACT(SEED!$F653, ""), "", SEED!$J653)</f>
        <v>286000000000609</v>
      </c>
      <c r="C653" s="4" t="str">
        <f>IF(EXACT($B653, ""), "", CONCATENATE(SUBSTITUTE(SEED!$F653, "-", ""), " (", SEED!$E653, IF(EXACT(SEED!$C653, ""), "", CONCATENATE(" ►", SEED!$C653)), ")"))</f>
        <v>+62 81365559618 (Mobile Phone ►Institution - Mandor Jusrial)</v>
      </c>
    </row>
    <row r="654" spans="2:3" x14ac:dyDescent="0.2">
      <c r="B654" s="40">
        <f>IF(EXACT(SEED!$F654, ""), "", SEED!$J654)</f>
        <v>286000000000610</v>
      </c>
      <c r="C654" s="4" t="str">
        <f>IF(EXACT($B654, ""), "", CONCATENATE(SUBSTITUTE(SEED!$F654, "-", ""), " (", SEED!$E654, IF(EXACT(SEED!$C654, ""), "", CONCATENATE(" ►", SEED!$C654)), ")"))</f>
        <v>+62 82323816333 (Mobile Phone ►Institution - Mandor Kasiyono)</v>
      </c>
    </row>
    <row r="655" spans="2:3" x14ac:dyDescent="0.2">
      <c r="B655" s="40">
        <f>IF(EXACT(SEED!$F655, ""), "", SEED!$J655)</f>
        <v>286000000000611</v>
      </c>
      <c r="C655" s="4" t="str">
        <f>IF(EXACT($B655, ""), "", CONCATENATE(SUBSTITUTE(SEED!$F655, "-", ""), " (", SEED!$E655, IF(EXACT(SEED!$C655, ""), "", CONCATENATE(" ►", SEED!$C655)), ")"))</f>
        <v>+62 88294684138 (Mobile Phone ►Institution - Mandor Lulus Pastiono)</v>
      </c>
    </row>
    <row r="656" spans="2:3" x14ac:dyDescent="0.2">
      <c r="B656" s="40">
        <f>IF(EXACT(SEED!$F656, ""), "", SEED!$J656)</f>
        <v>286000000000612</v>
      </c>
      <c r="C656" s="4" t="str">
        <f>IF(EXACT($B656, ""), "", CONCATENATE(SUBSTITUTE(SEED!$F656, "-", ""), " (", SEED!$E656, IF(EXACT(SEED!$C656, ""), "", CONCATENATE(" ►", SEED!$C656)), ")"))</f>
        <v>+62 81266523419 (Mobile Phone ►Institution - Mandor M. Nasir)</v>
      </c>
    </row>
    <row r="657" spans="2:3" x14ac:dyDescent="0.2">
      <c r="B657" s="40">
        <f>IF(EXACT(SEED!$F657, ""), "", SEED!$J657)</f>
        <v>286000000000613</v>
      </c>
      <c r="C657" s="4" t="str">
        <f>IF(EXACT($B657, ""), "", CONCATENATE(SUBSTITUTE(SEED!$F657, "-", ""), " (", SEED!$E657, IF(EXACT(SEED!$C657, ""), "", CONCATENATE(" ►", SEED!$C657)), ")"))</f>
        <v>+62 82138703832 (Mobile Phone ►Institution - Mandor Maikel)</v>
      </c>
    </row>
    <row r="658" spans="2:3" x14ac:dyDescent="0.2">
      <c r="B658" s="40">
        <f>IF(EXACT(SEED!$F658, ""), "", SEED!$J658)</f>
        <v>286000000000614</v>
      </c>
      <c r="C658" s="4" t="str">
        <f>IF(EXACT($B658, ""), "", CONCATENATE(SUBSTITUTE(SEED!$F658, "-", ""), " (", SEED!$E658, IF(EXACT(SEED!$C658, ""), "", CONCATENATE(" ►", SEED!$C658)), ")"))</f>
        <v>+62 81317883839 (Mobile Phone ►Institution - Mandor Moh Agus Muslimin)</v>
      </c>
    </row>
    <row r="659" spans="2:3" x14ac:dyDescent="0.2">
      <c r="B659" s="40">
        <f>IF(EXACT(SEED!$F659, ""), "", SEED!$J659)</f>
        <v>286000000000615</v>
      </c>
      <c r="C659" s="4" t="str">
        <f>IF(EXACT($B659, ""), "", CONCATENATE(SUBSTITUTE(SEED!$F659, "-", ""), " (", SEED!$E659, IF(EXACT(SEED!$C659, ""), "", CONCATENATE(" ►", SEED!$C659)), ")"))</f>
        <v>+62 81350276481 (Mobile Phone ►Institution - Mandor Muchribian Novianto)</v>
      </c>
    </row>
    <row r="660" spans="2:3" x14ac:dyDescent="0.2">
      <c r="B660" s="40">
        <f>IF(EXACT(SEED!$F660, ""), "", SEED!$J660)</f>
        <v>286000000000616</v>
      </c>
      <c r="C660" s="4" t="str">
        <f>IF(EXACT($B660, ""), "", CONCATENATE(SUBSTITUTE(SEED!$F660, "-", ""), " (", SEED!$E660, IF(EXACT(SEED!$C660, ""), "", CONCATENATE(" ►", SEED!$C660)), ")"))</f>
        <v>+62 81931448554 (Mobile Phone ►Institution - Mandor Muh Amir Pasang)</v>
      </c>
    </row>
    <row r="661" spans="2:3" x14ac:dyDescent="0.2">
      <c r="B661" s="40">
        <f>IF(EXACT(SEED!$F661, ""), "", SEED!$J661)</f>
        <v>286000000000617</v>
      </c>
      <c r="C661" s="4" t="str">
        <f>IF(EXACT($B661, ""), "", CONCATENATE(SUBSTITUTE(SEED!$F661, "-", ""), " (", SEED!$E661, IF(EXACT(SEED!$C661, ""), "", CONCATENATE(" ►", SEED!$C661)), ")"))</f>
        <v>+62 82149999290 (Mobile Phone ►Institution - Mandor Muntaji)</v>
      </c>
    </row>
    <row r="662" spans="2:3" x14ac:dyDescent="0.2">
      <c r="B662" s="40">
        <f>IF(EXACT(SEED!$F662, ""), "", SEED!$J662)</f>
        <v>286000000000618</v>
      </c>
      <c r="C662" s="4" t="str">
        <f>IF(EXACT($B662, ""), "", CONCATENATE(SUBSTITUTE(SEED!$F662, "-", ""), " (", SEED!$E662, IF(EXACT(SEED!$C662, ""), "", CONCATENATE(" ►", SEED!$C662)), ")"))</f>
        <v>+62 81251162446 (Mobile Phone ►Institution - Mandor Nanda Arista)</v>
      </c>
    </row>
    <row r="663" spans="2:3" x14ac:dyDescent="0.2">
      <c r="B663" s="40">
        <f>IF(EXACT(SEED!$F663, ""), "", SEED!$J663)</f>
        <v>286000000000619</v>
      </c>
      <c r="C663" s="4" t="str">
        <f>IF(EXACT($B663, ""), "", CONCATENATE(SUBSTITUTE(SEED!$F663, "-", ""), " (", SEED!$E663, IF(EXACT(SEED!$C663, ""), "", CONCATENATE(" ►", SEED!$C663)), ")"))</f>
        <v>+62 81294435775 (Mobile Phone ►Institution - Mandor Nardi Bin Suwirto)</v>
      </c>
    </row>
    <row r="664" spans="2:3" x14ac:dyDescent="0.2">
      <c r="B664" s="40">
        <f>IF(EXACT(SEED!$F664, ""), "", SEED!$J664)</f>
        <v>286000000000620</v>
      </c>
      <c r="C664" s="4" t="str">
        <f>IF(EXACT($B664, ""), "", CONCATENATE(SUBSTITUTE(SEED!$F664, "-", ""), " (", SEED!$E664, IF(EXACT(SEED!$C664, ""), "", CONCATENATE(" ►", SEED!$C664)), ")"))</f>
        <v>+62 83873143615 (Mobile Phone ►Institution - Mandor Pirmansyah)</v>
      </c>
    </row>
    <row r="665" spans="2:3" x14ac:dyDescent="0.2">
      <c r="B665" s="40">
        <f>IF(EXACT(SEED!$F665, ""), "", SEED!$J665)</f>
        <v>286000000000621</v>
      </c>
      <c r="C665" s="4" t="str">
        <f>IF(EXACT($B665, ""), "", CONCATENATE(SUBSTITUTE(SEED!$F665, "-", ""), " (", SEED!$E665, IF(EXACT(SEED!$C665, ""), "", CONCATENATE(" ►", SEED!$C665)), ")"))</f>
        <v>+62 81291228186 (Mobile Phone ►Institution - Mandor Pristianda Erwin Pauzi)</v>
      </c>
    </row>
    <row r="666" spans="2:3" x14ac:dyDescent="0.2">
      <c r="B666" s="40">
        <f>IF(EXACT(SEED!$F666, ""), "", SEED!$J666)</f>
        <v>286000000000622</v>
      </c>
      <c r="C666" s="4" t="str">
        <f>IF(EXACT($B666, ""), "", CONCATENATE(SUBSTITUTE(SEED!$F666, "-", ""), " (", SEED!$E666, IF(EXACT(SEED!$C666, ""), "", CONCATENATE(" ►", SEED!$C666)), ")"))</f>
        <v>+62 81349246427 (Mobile Phone ►Institution - Mandor Priyo Handoko)</v>
      </c>
    </row>
    <row r="667" spans="2:3" x14ac:dyDescent="0.2">
      <c r="B667" s="40">
        <f>IF(EXACT(SEED!$F667, ""), "", SEED!$J667)</f>
        <v>286000000000623</v>
      </c>
      <c r="C667" s="4" t="str">
        <f>IF(EXACT($B667, ""), "", CONCATENATE(SUBSTITUTE(SEED!$F667, "-", ""), " (", SEED!$E667, IF(EXACT(SEED!$C667, ""), "", CONCATENATE(" ►", SEED!$C667)), ")"))</f>
        <v>+62 87865313633 (Mobile Phone ►Institution - Mandor Ricardo Manurung)</v>
      </c>
    </row>
    <row r="668" spans="2:3" x14ac:dyDescent="0.2">
      <c r="B668" s="40">
        <f>IF(EXACT(SEED!$F668, ""), "", SEED!$J668)</f>
        <v>286000000000624</v>
      </c>
      <c r="C668" s="4" t="str">
        <f>IF(EXACT($B668, ""), "", CONCATENATE(SUBSTITUTE(SEED!$F668, "-", ""), " (", SEED!$E668, IF(EXACT(SEED!$C668, ""), "", CONCATENATE(" ►", SEED!$C668)), ")"))</f>
        <v>+62 81293950080 (Mobile Phone ►Institution - Mandor Ryan Prasetyo)</v>
      </c>
    </row>
    <row r="669" spans="2:3" x14ac:dyDescent="0.2">
      <c r="B669" s="40">
        <f>IF(EXACT(SEED!$F669, ""), "", SEED!$J669)</f>
        <v>286000000000625</v>
      </c>
      <c r="C669" s="4" t="str">
        <f>IF(EXACT($B669, ""), "", CONCATENATE(SUBSTITUTE(SEED!$F669, "-", ""), " (", SEED!$E669, IF(EXACT(SEED!$C669, ""), "", CONCATENATE(" ►", SEED!$C669)), ")"))</f>
        <v>+62 85260657666 (Mobile Phone ►Institution - Mandor Sattria)</v>
      </c>
    </row>
    <row r="670" spans="2:3" x14ac:dyDescent="0.2">
      <c r="B670" s="40">
        <f>IF(EXACT(SEED!$F670, ""), "", SEED!$J670)</f>
        <v>286000000000626</v>
      </c>
      <c r="C670" s="4" t="str">
        <f>IF(EXACT($B670, ""), "", CONCATENATE(SUBSTITUTE(SEED!$F670, "-", ""), " (", SEED!$E670, IF(EXACT(SEED!$C670, ""), "", CONCATENATE(" ►", SEED!$C670)), ")"))</f>
        <v>+62 822940606686 (Mobile Phone ►Institution - Mandor Solikhin)</v>
      </c>
    </row>
    <row r="671" spans="2:3" x14ac:dyDescent="0.2">
      <c r="B671" s="40">
        <f>IF(EXACT(SEED!$F671, ""), "", SEED!$J671)</f>
        <v>286000000000627</v>
      </c>
      <c r="C671" s="4" t="str">
        <f>IF(EXACT($B671, ""), "", CONCATENATE(SUBSTITUTE(SEED!$F671, "-", ""), " (", SEED!$E671, IF(EXACT(SEED!$C671, ""), "", CONCATENATE(" ►", SEED!$C671)), ")"))</f>
        <v>+62 81314130158 (Mobile Phone ►Institution - Mandor Suhendri)</v>
      </c>
    </row>
    <row r="672" spans="2:3" x14ac:dyDescent="0.2">
      <c r="B672" s="40">
        <f>IF(EXACT(SEED!$F672, ""), "", SEED!$J672)</f>
        <v>286000000000628</v>
      </c>
      <c r="C672" s="4" t="str">
        <f>IF(EXACT($B672, ""), "", CONCATENATE(SUBSTITUTE(SEED!$F672, "-", ""), " (", SEED!$E672, IF(EXACT(SEED!$C672, ""), "", CONCATENATE(" ►", SEED!$C672)), ")"))</f>
        <v>+62 82317074886 (Mobile Phone ►Institution - Mandor Sunardi )</v>
      </c>
    </row>
    <row r="673" spans="2:3" x14ac:dyDescent="0.2">
      <c r="B673" s="40">
        <f>IF(EXACT(SEED!$F673, ""), "", SEED!$J673)</f>
        <v>286000000000629</v>
      </c>
      <c r="C673" s="4" t="str">
        <f>IF(EXACT($B673, ""), "", CONCATENATE(SUBSTITUTE(SEED!$F673, "-", ""), " (", SEED!$E673, IF(EXACT(SEED!$C673, ""), "", CONCATENATE(" ►", SEED!$C673)), ")"))</f>
        <v>+62 85277115058 (Mobile Phone ►Institution - Mandor Suprianto)</v>
      </c>
    </row>
    <row r="674" spans="2:3" x14ac:dyDescent="0.2">
      <c r="B674" s="40">
        <f>IF(EXACT(SEED!$F674, ""), "", SEED!$J674)</f>
        <v>286000000000630</v>
      </c>
      <c r="C674" s="4" t="str">
        <f>IF(EXACT($B674, ""), "", CONCATENATE(SUBSTITUTE(SEED!$F674, "-", ""), " (", SEED!$E674, IF(EXACT(SEED!$C674, ""), "", CONCATENATE(" ►", SEED!$C674)), ")"))</f>
        <v>+62 85966344195 (Mobile Phone ►Institution - Mandor Susanto)</v>
      </c>
    </row>
    <row r="675" spans="2:3" x14ac:dyDescent="0.2">
      <c r="B675" s="40">
        <f>IF(EXACT(SEED!$F675, ""), "", SEED!$J675)</f>
        <v>286000000000631</v>
      </c>
      <c r="C675" s="4" t="str">
        <f>IF(EXACT($B675, ""), "", CONCATENATE(SUBSTITUTE(SEED!$F675, "-", ""), " (", SEED!$E675, IF(EXACT(SEED!$C675, ""), "", CONCATENATE(" ►", SEED!$C675)), ")"))</f>
        <v>+62 85212119241 (Mobile Phone ►Institution - Mandor Sutikno)</v>
      </c>
    </row>
    <row r="676" spans="2:3" x14ac:dyDescent="0.2">
      <c r="B676" s="40">
        <f>IF(EXACT(SEED!$F676, ""), "", SEED!$J676)</f>
        <v>286000000000632</v>
      </c>
      <c r="C676" s="4" t="str">
        <f>IF(EXACT($B676, ""), "", CONCATENATE(SUBSTITUTE(SEED!$F676, "-", ""), " (", SEED!$E676, IF(EXACT(SEED!$C676, ""), "", CONCATENATE(" ►", SEED!$C676)), ")"))</f>
        <v>+62 81388063146 (Mobile Phone ►Institution - Mandor Sutoyo Bin Durajak)</v>
      </c>
    </row>
    <row r="677" spans="2:3" x14ac:dyDescent="0.2">
      <c r="B677" s="40">
        <f>IF(EXACT(SEED!$F677, ""), "", SEED!$J677)</f>
        <v>286000000000633</v>
      </c>
      <c r="C677" s="4" t="str">
        <f>IF(EXACT($B677, ""), "", CONCATENATE(SUBSTITUTE(SEED!$F677, "-", ""), " (", SEED!$E677, IF(EXACT(SEED!$C677, ""), "", CONCATENATE(" ►", SEED!$C677)), ")"))</f>
        <v>+62 85313125585 (Mobile Phone ►Institution - Mandor Suwarjono)</v>
      </c>
    </row>
    <row r="678" spans="2:3" x14ac:dyDescent="0.2">
      <c r="B678" s="40">
        <f>IF(EXACT(SEED!$F678, ""), "", SEED!$J678)</f>
        <v>286000000000634</v>
      </c>
      <c r="C678" s="4" t="str">
        <f>IF(EXACT($B678, ""), "", CONCATENATE(SUBSTITUTE(SEED!$F678, "-", ""), " (", SEED!$E678, IF(EXACT(SEED!$C678, ""), "", CONCATENATE(" ►", SEED!$C678)), ")"))</f>
        <v>+62 81268788809 (Mobile Phone ►Institution - Mandor Suyoto)</v>
      </c>
    </row>
    <row r="679" spans="2:3" x14ac:dyDescent="0.2">
      <c r="B679" s="40">
        <f>IF(EXACT(SEED!$F679, ""), "", SEED!$J679)</f>
        <v>286000000000635</v>
      </c>
      <c r="C679" s="4" t="str">
        <f>IF(EXACT($B679, ""), "", CONCATENATE(SUBSTITUTE(SEED!$F679, "-", ""), " (", SEED!$E679, IF(EXACT(SEED!$C679, ""), "", CONCATENATE(" ►", SEED!$C679)), ")"))</f>
        <v>+62 895324841841 (Mobile Phone ►Institution - Mandor Teguh Ari Wibowo)</v>
      </c>
    </row>
    <row r="680" spans="2:3" x14ac:dyDescent="0.2">
      <c r="B680" s="40">
        <f>IF(EXACT(SEED!$F680, ""), "", SEED!$J680)</f>
        <v>286000000000636</v>
      </c>
      <c r="C680" s="4" t="str">
        <f>IF(EXACT($B680, ""), "", CONCATENATE(SUBSTITUTE(SEED!$F680, "-", ""), " (", SEED!$E680, IF(EXACT(SEED!$C680, ""), "", CONCATENATE(" ►", SEED!$C680)), ")"))</f>
        <v>+62 82249700074 (Mobile Phone ►Institution - Mandor Tengku Wahyudi)</v>
      </c>
    </row>
    <row r="681" spans="2:3" x14ac:dyDescent="0.2">
      <c r="B681" s="40">
        <f>IF(EXACT(SEED!$F681, ""), "", SEED!$J681)</f>
        <v>286000000000637</v>
      </c>
      <c r="C681" s="4" t="str">
        <f>IF(EXACT($B681, ""), "", CONCATENATE(SUBSTITUTE(SEED!$F681, "-", ""), " (", SEED!$E681, IF(EXACT(SEED!$C681, ""), "", CONCATENATE(" ►", SEED!$C681)), ")"))</f>
        <v>+62 85359891916 (Mobile Phone ►Institution - Mandor Usman)</v>
      </c>
    </row>
    <row r="682" spans="2:3" x14ac:dyDescent="0.2">
      <c r="B682" s="40">
        <f>IF(EXACT(SEED!$F682, ""), "", SEED!$J682)</f>
        <v>286000000000638</v>
      </c>
      <c r="C682" s="4" t="str">
        <f>IF(EXACT($B682, ""), "", CONCATENATE(SUBSTITUTE(SEED!$F682, "-", ""), " (", SEED!$E682, IF(EXACT(SEED!$C682, ""), "", CONCATENATE(" ►", SEED!$C682)), ")"))</f>
        <v>+62 81314712177 (Mobile Phone ►Institution - Mandor Yeyet Abdulrahman)</v>
      </c>
    </row>
    <row r="683" spans="2:3" x14ac:dyDescent="0.2">
      <c r="B683" s="40">
        <f>IF(EXACT(SEED!$F683, ""), "", SEED!$J683)</f>
        <v>286000000000639</v>
      </c>
      <c r="C683" s="4" t="str">
        <f>IF(EXACT($B683, ""), "", CONCATENATE(SUBSTITUTE(SEED!$F683, "-", ""), " (", SEED!$E683, IF(EXACT(SEED!$C683, ""), "", CONCATENATE(" ►", SEED!$C683)), ")"))</f>
        <v>+62 81298280909 (Mobile Phone ►Institution - Mandor Yosefa Trisna Aroma Furi)</v>
      </c>
    </row>
    <row r="684" spans="2:3" x14ac:dyDescent="0.2">
      <c r="B684" s="40">
        <f>IF(EXACT(SEED!$F684, ""), "", SEED!$J684)</f>
        <v>286000000000640</v>
      </c>
      <c r="C684" s="4" t="str">
        <f>IF(EXACT($B684, ""), "", CONCATENATE(SUBSTITUTE(SEED!$F684, "-", ""), " (", SEED!$E684, IF(EXACT(SEED!$C684, ""), "", CONCATENATE(" ►", SEED!$C684)), ")"))</f>
        <v>+62 81380536580 (Mobile Phone ►Institution - Mandor Zepridani M K)</v>
      </c>
    </row>
    <row r="685" spans="2:3" x14ac:dyDescent="0.2">
      <c r="B685" s="40">
        <f>IF(EXACT(SEED!$F685, ""), "", SEED!$J685)</f>
        <v>286000000000641</v>
      </c>
      <c r="C685" s="4" t="str">
        <f>IF(EXACT($B685, ""), "", CONCATENATE(SUBSTITUTE(SEED!$F685, "-", ""), " (", SEED!$E685, IF(EXACT(SEED!$C685, ""), "", CONCATENATE(" ►", SEED!$C685)), ")"))</f>
        <v>+62 82285557077 (Mobile Phone ►Institution - Ade Saputra)</v>
      </c>
    </row>
    <row r="686" spans="2:3" x14ac:dyDescent="0.2">
      <c r="B686" s="40">
        <f>IF(EXACT(SEED!$F686, ""), "", SEED!$J686)</f>
        <v>286000000000642</v>
      </c>
      <c r="C686" s="4" t="str">
        <f>IF(EXACT($B686, ""), "", CONCATENATE(SUBSTITUTE(SEED!$F686, "-", ""), " (", SEED!$E686, IF(EXACT(SEED!$C686, ""), "", CONCATENATE(" ►", SEED!$C686)), ")"))</f>
        <v>+62 81311873910 (Mobile Phone ►Institution - Aef Sugihartono)</v>
      </c>
    </row>
    <row r="687" spans="2:3" x14ac:dyDescent="0.2">
      <c r="B687" s="40">
        <f>IF(EXACT(SEED!$F687, ""), "", SEED!$J687)</f>
        <v>286000000000643</v>
      </c>
      <c r="C687" s="4" t="str">
        <f>IF(EXACT($B687, ""), "", CONCATENATE(SUBSTITUTE(SEED!$F687, "-", ""), " (", SEED!$E687, IF(EXACT(SEED!$C687, ""), "", CONCATENATE(" ►", SEED!$C687)), ")"))</f>
        <v>+62 81371428400 (Mobile Phone ►Institution - Agung Pranata)</v>
      </c>
    </row>
    <row r="688" spans="2:3" x14ac:dyDescent="0.2">
      <c r="B688" s="40">
        <f>IF(EXACT(SEED!$F688, ""), "", SEED!$J688)</f>
        <v>286000000000644</v>
      </c>
      <c r="C688" s="4" t="str">
        <f>IF(EXACT($B688, ""), "", CONCATENATE(SUBSTITUTE(SEED!$F688, "-", ""), " (", SEED!$E688, IF(EXACT(SEED!$C688, ""), "", CONCATENATE(" ►", SEED!$C688)), ")"))</f>
        <v>+62 81277178717 (Mobile Phone ►Institution - Ahmad Hamidi)</v>
      </c>
    </row>
    <row r="689" spans="2:3" x14ac:dyDescent="0.2">
      <c r="B689" s="40">
        <f>IF(EXACT(SEED!$F689, ""), "", SEED!$J689)</f>
        <v>286000000000645</v>
      </c>
      <c r="C689" s="4" t="str">
        <f>IF(EXACT($B689, ""), "", CONCATENATE(SUBSTITUTE(SEED!$F689, "-", ""), " (", SEED!$E689, IF(EXACT(SEED!$C689, ""), "", CONCATENATE(" ►", SEED!$C689)), ")"))</f>
        <v>+62 82252748523 (Mobile Phone ►Institution - Ahmad Suhadi)</v>
      </c>
    </row>
    <row r="690" spans="2:3" x14ac:dyDescent="0.2">
      <c r="B690" s="40">
        <f>IF(EXACT(SEED!$F690, ""), "", SEED!$J690)</f>
        <v>286000000000646</v>
      </c>
      <c r="C690" s="4" t="str">
        <f>IF(EXACT($B690, ""), "", CONCATENATE(SUBSTITUTE(SEED!$F690, "-", ""), " (", SEED!$E690, IF(EXACT(SEED!$C690, ""), "", CONCATENATE(" ►", SEED!$C690)), ")"))</f>
        <v>+62 85350334280 (Mobile Phone ►Institution - Ali Mufti Wardhani)</v>
      </c>
    </row>
    <row r="691" spans="2:3" x14ac:dyDescent="0.2">
      <c r="B691" s="40">
        <f>IF(EXACT(SEED!$F691, ""), "", SEED!$J691)</f>
        <v>286000000000647</v>
      </c>
      <c r="C691" s="4" t="str">
        <f>IF(EXACT($B691, ""), "", CONCATENATE(SUBSTITUTE(SEED!$F691, "-", ""), " (", SEED!$E691, IF(EXACT(SEED!$C691, ""), "", CONCATENATE(" ►", SEED!$C691)), ")"))</f>
        <v>+62 81381828537 (Mobile Phone ►Institution - Ali Sopandi)</v>
      </c>
    </row>
    <row r="692" spans="2:3" x14ac:dyDescent="0.2">
      <c r="B692" s="40">
        <f>IF(EXACT(SEED!$F692, ""), "", SEED!$J692)</f>
        <v>286000000000648</v>
      </c>
      <c r="C692" s="4" t="str">
        <f>IF(EXACT($B692, ""), "", CONCATENATE(SUBSTITUTE(SEED!$F692, "-", ""), " (", SEED!$E692, IF(EXACT(SEED!$C692, ""), "", CONCATENATE(" ►", SEED!$C692)), ")"))</f>
        <v>+62 81388272713 (Mobile Phone ►Institution - Ardhis Collection)</v>
      </c>
    </row>
    <row r="693" spans="2:3" x14ac:dyDescent="0.2">
      <c r="B693" s="40">
        <f>IF(EXACT(SEED!$F693, ""), "", SEED!$J693)</f>
        <v>286000000000649</v>
      </c>
      <c r="C693" s="4" t="str">
        <f>IF(EXACT($B693, ""), "", CONCATENATE(SUBSTITUTE(SEED!$F693, "-", ""), " (", SEED!$E693, IF(EXACT(SEED!$C693, ""), "", CONCATENATE(" ►", SEED!$C693)), ")"))</f>
        <v>+62 (021) 88865032 (Office Phone ►Institution - Ardhis Collection)</v>
      </c>
    </row>
    <row r="694" spans="2:3" x14ac:dyDescent="0.2">
      <c r="B694" s="40">
        <f>IF(EXACT(SEED!$F694, ""), "", SEED!$J694)</f>
        <v>286000000000650</v>
      </c>
      <c r="C694" s="4" t="str">
        <f>IF(EXACT($B694, ""), "", CONCATENATE(SUBSTITUTE(SEED!$F694, "-", ""), " (", SEED!$E694, IF(EXACT(SEED!$C694, ""), "", CONCATENATE(" ►", SEED!$C694)), ")"))</f>
        <v>+62 81230371112  (Mobile Phone ►Institution - Arsyad)</v>
      </c>
    </row>
    <row r="695" spans="2:3" x14ac:dyDescent="0.2">
      <c r="B695" s="40">
        <f>IF(EXACT(SEED!$F695, ""), "", SEED!$J695)</f>
        <v>286000000000651</v>
      </c>
      <c r="C695" s="4" t="str">
        <f>IF(EXACT($B695, ""), "", CONCATENATE(SUBSTITUTE(SEED!$F695, "-", ""), " (", SEED!$E695, IF(EXACT(SEED!$C695, ""), "", CONCATENATE(" ►", SEED!$C695)), ")"))</f>
        <v>+62 (021) 31937148 (Office Phone ►Institution - Asuransi Ramayana )</v>
      </c>
    </row>
    <row r="696" spans="2:3" x14ac:dyDescent="0.2">
      <c r="B696" s="40">
        <f>IF(EXACT(SEED!$F696, ""), "", SEED!$J696)</f>
        <v>286000000000652</v>
      </c>
      <c r="C696" s="4" t="str">
        <f>IF(EXACT($B696, ""), "", CONCATENATE(SUBSTITUTE(SEED!$F696, "-", ""), " (", SEED!$E696, IF(EXACT(SEED!$C696, ""), "", CONCATENATE(" ►", SEED!$C696)), ")"))</f>
        <v>+62 (021) 31934825 (Faximile ►Institution - Asuransi Ramayana )</v>
      </c>
    </row>
    <row r="697" spans="2:3" x14ac:dyDescent="0.2">
      <c r="B697" s="40">
        <f>IF(EXACT(SEED!$F697, ""), "", SEED!$J697)</f>
        <v>286000000000653</v>
      </c>
      <c r="C697" s="4" t="str">
        <f>IF(EXACT($B697, ""), "", CONCATENATE(SUBSTITUTE(SEED!$F697, "-", ""), " (", SEED!$E697, IF(EXACT(SEED!$C697, ""), "", CONCATENATE(" ►", SEED!$C697)), ")"))</f>
        <v>+62 81528995211 (Mobile Phone ►Institution - Barokah Bengkel Las)</v>
      </c>
    </row>
    <row r="698" spans="2:3" x14ac:dyDescent="0.2">
      <c r="B698" s="40">
        <f>IF(EXACT(SEED!$F698, ""), "", SEED!$J698)</f>
        <v>286000000000654</v>
      </c>
      <c r="C698" s="4" t="str">
        <f>IF(EXACT($B698, ""), "", CONCATENATE(SUBSTITUTE(SEED!$F698, "-", ""), " (", SEED!$E698, IF(EXACT(SEED!$C698, ""), "", CONCATENATE(" ►", SEED!$C698)), ")"))</f>
        <v>+62 82292852219 (Mobile Phone ►Institution - Bengkel Mobil dan Las Heri)</v>
      </c>
    </row>
    <row r="699" spans="2:3" x14ac:dyDescent="0.2">
      <c r="B699" s="40">
        <f>IF(EXACT(SEED!$F699, ""), "", SEED!$J699)</f>
        <v>286000000000655</v>
      </c>
      <c r="C699" s="4" t="str">
        <f>IF(EXACT($B699, ""), "", CONCATENATE(SUBSTITUTE(SEED!$F699, "-", ""), " (", SEED!$E699, IF(EXACT(SEED!$C699, ""), "", CONCATENATE(" ►", SEED!$C699)), ")"))</f>
        <v>+62 85288897838 (Mobile Phone ►Institution - Bustami)</v>
      </c>
    </row>
    <row r="700" spans="2:3" x14ac:dyDescent="0.2">
      <c r="B700" s="40">
        <f>IF(EXACT(SEED!$F700, ""), "", SEED!$J700)</f>
        <v>286000000000656</v>
      </c>
      <c r="C700" s="4" t="str">
        <f>IF(EXACT($B700, ""), "", CONCATENATE(SUBSTITUTE(SEED!$F700, "-", ""), " (", SEED!$E700, IF(EXACT(SEED!$C700, ""), "", CONCATENATE(" ►", SEED!$C700)), ")"))</f>
        <v>+62 817115233 (Mobile Phone ►Institution - Cargo Nusantara Express)</v>
      </c>
    </row>
    <row r="701" spans="2:3" x14ac:dyDescent="0.2">
      <c r="B701" s="40">
        <f>IF(EXACT(SEED!$F701, ""), "", SEED!$J701)</f>
        <v>286000000000657</v>
      </c>
      <c r="C701" s="4" t="str">
        <f>IF(EXACT($B701, ""), "", CONCATENATE(SUBSTITUTE(SEED!$F701, "-", ""), " (", SEED!$E701, IF(EXACT(SEED!$C701, ""), "", CONCATENATE(" ►", SEED!$C701)), ")"))</f>
        <v>+62 81221572668 (Mobile Phone ►Institution - Damarra Rezza)</v>
      </c>
    </row>
    <row r="702" spans="2:3" x14ac:dyDescent="0.2">
      <c r="B702" s="40">
        <f>IF(EXACT(SEED!$F702, ""), "", SEED!$J702)</f>
        <v>286000000000658</v>
      </c>
      <c r="C702" s="4" t="str">
        <f>IF(EXACT($B702, ""), "", CONCATENATE(SUBSTITUTE(SEED!$F702, "-", ""), " (", SEED!$E702, IF(EXACT(SEED!$C702, ""), "", CONCATENATE(" ►", SEED!$C702)), ")"))</f>
        <v>+62 8988054747 (Mobile Phone ►Institution - Darmawan Dwi Sanjaya)</v>
      </c>
    </row>
    <row r="703" spans="2:3" x14ac:dyDescent="0.2">
      <c r="B703" s="40">
        <f>IF(EXACT(SEED!$F703, ""), "", SEED!$J703)</f>
        <v>286000000000659</v>
      </c>
      <c r="C703" s="4" t="str">
        <f>IF(EXACT($B703, ""), "", CONCATENATE(SUBSTITUTE(SEED!$F703, "-", ""), " (", SEED!$E703, IF(EXACT(SEED!$C703, ""), "", CONCATENATE(" ►", SEED!$C703)), ")"))</f>
        <v>+62 82382235945 (Mobile Phone ►Institution - Devit Kustianto)</v>
      </c>
    </row>
    <row r="704" spans="2:3" x14ac:dyDescent="0.2">
      <c r="B704" s="40">
        <f>IF(EXACT(SEED!$F704, ""), "", SEED!$J704)</f>
        <v>286000000000660</v>
      </c>
      <c r="C704" s="4" t="str">
        <f>IF(EXACT($B704, ""), "", CONCATENATE(SUBSTITUTE(SEED!$F704, "-", ""), " (", SEED!$E704, IF(EXACT(SEED!$C704, ""), "", CONCATENATE(" ►", SEED!$C704)), ")"))</f>
        <v>+62 8156729483 (Mobile Phone ►Institution - Didik Haryadi)</v>
      </c>
    </row>
    <row r="705" spans="2:3" x14ac:dyDescent="0.2">
      <c r="B705" s="40">
        <f>IF(EXACT(SEED!$F705, ""), "", SEED!$J705)</f>
        <v>286000000000661</v>
      </c>
      <c r="C705" s="4" t="str">
        <f>IF(EXACT($B705, ""), "", CONCATENATE(SUBSTITUTE(SEED!$F705, "-", ""), " (", SEED!$E705, IF(EXACT(SEED!$C705, ""), "", CONCATENATE(" ►", SEED!$C705)), ")"))</f>
        <v>+62 85312904492 (Mobile Phone ►Institution - Didin)</v>
      </c>
    </row>
    <row r="706" spans="2:3" x14ac:dyDescent="0.2">
      <c r="B706" s="40">
        <f>IF(EXACT(SEED!$F706, ""), "", SEED!$J706)</f>
        <v>286000000000662</v>
      </c>
      <c r="C706" s="4" t="str">
        <f>IF(EXACT($B706, ""), "", CONCATENATE(SUBSTITUTE(SEED!$F706, "-", ""), " (", SEED!$E706, IF(EXACT(SEED!$C706, ""), "", CONCATENATE(" ►", SEED!$C706)), ")"))</f>
        <v>+62 87754475373 (Mobile Phone ►Institution - Djumsadi)</v>
      </c>
    </row>
    <row r="707" spans="2:3" x14ac:dyDescent="0.2">
      <c r="B707" s="40">
        <f>IF(EXACT(SEED!$F707, ""), "", SEED!$J707)</f>
        <v>286000000000663</v>
      </c>
      <c r="C707" s="4" t="str">
        <f>IF(EXACT($B707, ""), "", CONCATENATE(SUBSTITUTE(SEED!$F707, "-", ""), " (", SEED!$E707, IF(EXACT(SEED!$C707, ""), "", CONCATENATE(" ►", SEED!$C707)), ")"))</f>
        <v>+62 81314904159  (Mobile Phone ►Institution - Dodi Tri Prasetyo         )</v>
      </c>
    </row>
    <row r="708" spans="2:3" x14ac:dyDescent="0.2">
      <c r="B708" s="40">
        <f>IF(EXACT(SEED!$F708, ""), "", SEED!$J708)</f>
        <v>286000000000664</v>
      </c>
      <c r="C708" s="4" t="str">
        <f>IF(EXACT($B708, ""), "", CONCATENATE(SUBSTITUTE(SEED!$F708, "-", ""), " (", SEED!$E708, IF(EXACT(SEED!$C708, ""), "", CONCATENATE(" ►", SEED!$C708)), ")"))</f>
        <v>+62 82125237484 (Mobile Phone ►Institution - Dwi Hariyanto)</v>
      </c>
    </row>
    <row r="709" spans="2:3" x14ac:dyDescent="0.2">
      <c r="B709" s="40">
        <f>IF(EXACT(SEED!$F709, ""), "", SEED!$J709)</f>
        <v>286000000000665</v>
      </c>
      <c r="C709" s="4" t="str">
        <f>IF(EXACT($B709, ""), "", CONCATENATE(SUBSTITUTE(SEED!$F709, "-", ""), " (", SEED!$E709, IF(EXACT(SEED!$C709, ""), "", CONCATENATE(" ►", SEED!$C709)), ")"))</f>
        <v>+62 85255241523 (Mobile Phone ►Institution - Eda Hartini)</v>
      </c>
    </row>
    <row r="710" spans="2:3" x14ac:dyDescent="0.2">
      <c r="B710" s="40">
        <f>IF(EXACT(SEED!$F710, ""), "", SEED!$J710)</f>
        <v>286000000000666</v>
      </c>
      <c r="C710" s="4" t="str">
        <f>IF(EXACT($B710, ""), "", CONCATENATE(SUBSTITUTE(SEED!$F710, "-", ""), " (", SEED!$E710, IF(EXACT(SEED!$C710, ""), "", CONCATENATE(" ►", SEED!$C710)), ")"))</f>
        <v>+62 81905054148 (Mobile Phone ►Institution - Efo Akmal)</v>
      </c>
    </row>
    <row r="711" spans="2:3" x14ac:dyDescent="0.2">
      <c r="B711" s="40">
        <f>IF(EXACT(SEED!$F711, ""), "", SEED!$J711)</f>
        <v>286000000000667</v>
      </c>
      <c r="C711" s="4" t="str">
        <f>IF(EXACT($B711, ""), "", CONCATENATE(SUBSTITUTE(SEED!$F711, "-", ""), " (", SEED!$E711, IF(EXACT(SEED!$C711, ""), "", CONCATENATE(" ►", SEED!$C711)), ")"))</f>
        <v>+62 87871360918 (Mobile Phone ►Institution - Erie Herliana)</v>
      </c>
    </row>
    <row r="712" spans="2:3" x14ac:dyDescent="0.2">
      <c r="B712" s="40">
        <f>IF(EXACT(SEED!$F712, ""), "", SEED!$J712)</f>
        <v>286000000000668</v>
      </c>
      <c r="C712" s="4" t="str">
        <f>IF(EXACT($B712, ""), "", CONCATENATE(SUBSTITUTE(SEED!$F712, "-", ""), " (", SEED!$E712, IF(EXACT(SEED!$C712, ""), "", CONCATENATE(" ►", SEED!$C712)), ")"))</f>
        <v>+62 82119799987 (Mobile Phone ►Institution - Etty Irawaty)</v>
      </c>
    </row>
    <row r="713" spans="2:3" x14ac:dyDescent="0.2">
      <c r="B713" s="40">
        <f>IF(EXACT(SEED!$F713, ""), "", SEED!$J713)</f>
        <v>286000000000669</v>
      </c>
      <c r="C713" s="4" t="str">
        <f>IF(EXACT($B713, ""), "", CONCATENATE(SUBSTITUTE(SEED!$F713, "-", ""), " (", SEED!$E713, IF(EXACT(SEED!$C713, ""), "", CONCATENATE(" ►", SEED!$C713)), ")"))</f>
        <v>+62 81282874422 (Mobile Phone ►Institution - Finus Arifin)</v>
      </c>
    </row>
    <row r="714" spans="2:3" x14ac:dyDescent="0.2">
      <c r="B714" s="40">
        <f>IF(EXACT(SEED!$F714, ""), "", SEED!$J714)</f>
        <v>286000000000670</v>
      </c>
      <c r="C714" s="4" t="str">
        <f>IF(EXACT($B714, ""), "", CONCATENATE(SUBSTITUTE(SEED!$F714, "-", ""), " (", SEED!$E714, IF(EXACT(SEED!$C714, ""), "", CONCATENATE(" ►", SEED!$C714)), ")"))</f>
        <v>+62 82153241982 (Mobile Phone ►Institution - H. Juhriyanto)</v>
      </c>
    </row>
    <row r="715" spans="2:3" x14ac:dyDescent="0.2">
      <c r="B715" s="40">
        <f>IF(EXACT(SEED!$F715, ""), "", SEED!$J715)</f>
        <v>286000000000671</v>
      </c>
      <c r="C715" s="4" t="str">
        <f>IF(EXACT($B715, ""), "", CONCATENATE(SUBSTITUTE(SEED!$F715, "-", ""), " (", SEED!$E715, IF(EXACT(SEED!$C715, ""), "", CONCATENATE(" ►", SEED!$C715)), ")"))</f>
        <v>+62 87771547377 (Mobile Phone ►Institution - Haerudin)</v>
      </c>
    </row>
    <row r="716" spans="2:3" x14ac:dyDescent="0.2">
      <c r="B716" s="40">
        <f>IF(EXACT(SEED!$F716, ""), "", SEED!$J716)</f>
        <v>286000000000672</v>
      </c>
      <c r="C716" s="4" t="str">
        <f>IF(EXACT($B716, ""), "", CONCATENATE(SUBSTITUTE(SEED!$F716, "-", ""), " (", SEED!$E716, IF(EXACT(SEED!$C716, ""), "", CONCATENATE(" ►", SEED!$C716)), ")"))</f>
        <v>+62 82191862038 (Mobile Phone ►Institution - Hajaratul Aswad)</v>
      </c>
    </row>
    <row r="717" spans="2:3" x14ac:dyDescent="0.2">
      <c r="B717" s="40">
        <f>IF(EXACT(SEED!$F717, ""), "", SEED!$J717)</f>
        <v>286000000000673</v>
      </c>
      <c r="C717" s="4" t="str">
        <f>IF(EXACT($B717, ""), "", CONCATENATE(SUBSTITUTE(SEED!$F717, "-", ""), " (", SEED!$E717, IF(EXACT(SEED!$C717, ""), "", CONCATENATE(" ►", SEED!$C717)), ")"))</f>
        <v>+62 82363366104 (Mobile Phone ►Institution - Hajrawati)</v>
      </c>
    </row>
    <row r="718" spans="2:3" x14ac:dyDescent="0.2">
      <c r="B718" s="40">
        <f>IF(EXACT(SEED!$F718, ""), "", SEED!$J718)</f>
        <v>286000000000674</v>
      </c>
      <c r="C718" s="4" t="str">
        <f>IF(EXACT($B718, ""), "", CONCATENATE(SUBSTITUTE(SEED!$F718, "-", ""), " (", SEED!$E718, IF(EXACT(SEED!$C718, ""), "", CONCATENATE(" ►", SEED!$C718)), ")"))</f>
        <v>+62 81285441428 (Mobile Phone ►Institution - Hanafi Surya)</v>
      </c>
    </row>
    <row r="719" spans="2:3" x14ac:dyDescent="0.2">
      <c r="B719" s="40">
        <f>IF(EXACT(SEED!$F719, ""), "", SEED!$J719)</f>
        <v>286000000000675</v>
      </c>
      <c r="C719" s="4" t="str">
        <f>IF(EXACT($B719, ""), "", CONCATENATE(SUBSTITUTE(SEED!$F719, "-", ""), " (", SEED!$E719, IF(EXACT(SEED!$C719, ""), "", CONCATENATE(" ►", SEED!$C719)), ")"))</f>
        <v>+62 811753790 (Mobile Phone ►Institution - Harun Nur Rasyid)</v>
      </c>
    </row>
    <row r="720" spans="2:3" x14ac:dyDescent="0.2">
      <c r="B720" s="40">
        <f>IF(EXACT(SEED!$F720, ""), "", SEED!$J720)</f>
        <v>286000000000676</v>
      </c>
      <c r="C720" s="4" t="str">
        <f>IF(EXACT($B720, ""), "", CONCATENATE(SUBSTITUTE(SEED!$F720, "-", ""), " (", SEED!$E720, IF(EXACT(SEED!$C720, ""), "", CONCATENATE(" ►", SEED!$C720)), ")"))</f>
        <v>+62 82259679591 (Mobile Phone ►Institution - Hasnida)</v>
      </c>
    </row>
    <row r="721" spans="2:3" x14ac:dyDescent="0.2">
      <c r="B721" s="40">
        <f>IF(EXACT(SEED!$F721, ""), "", SEED!$J721)</f>
        <v>286000000000677</v>
      </c>
      <c r="C721" s="4" t="str">
        <f>IF(EXACT($B721, ""), "", CONCATENATE(SUBSTITUTE(SEED!$F721, "-", ""), " (", SEED!$E721, IF(EXACT(SEED!$C721, ""), "", CONCATENATE(" ►", SEED!$C721)), ")"))</f>
        <v>+62 82268463939 (Mobile Phone ►Institution - Hendri Rahmat - Kepala Lab. Univ. Lancang Kuning)</v>
      </c>
    </row>
    <row r="722" spans="2:3" x14ac:dyDescent="0.2">
      <c r="B722" s="40">
        <f>IF(EXACT(SEED!$F722, ""), "", SEED!$J722)</f>
        <v>286000000000678</v>
      </c>
      <c r="C722" s="4" t="str">
        <f>IF(EXACT($B722, ""), "", CONCATENATE(SUBSTITUTE(SEED!$F722, "-", ""), " (", SEED!$E722, IF(EXACT(SEED!$C722, ""), "", CONCATENATE(" ►", SEED!$C722)), ")"))</f>
        <v>+62 85280888411 (Mobile Phone ►Institution - Herdi Riawan)</v>
      </c>
    </row>
    <row r="723" spans="2:3" x14ac:dyDescent="0.2">
      <c r="B723" s="40">
        <f>IF(EXACT(SEED!$F723, ""), "", SEED!$J723)</f>
        <v>286000000000679</v>
      </c>
      <c r="C723" s="4" t="str">
        <f>IF(EXACT($B723, ""), "", CONCATENATE(SUBSTITUTE(SEED!$F723, "-", ""), " (", SEED!$E723, IF(EXACT(SEED!$C723, ""), "", CONCATENATE(" ►", SEED!$C723)), ")"))</f>
        <v>+62 82249684303 (Mobile Phone ►Institution - Holid Gilpani)</v>
      </c>
    </row>
    <row r="724" spans="2:3" x14ac:dyDescent="0.2">
      <c r="B724" s="40">
        <f>IF(EXACT(SEED!$F724, ""), "", SEED!$J724)</f>
        <v>286000000000680</v>
      </c>
      <c r="C724" s="4" t="str">
        <f>IF(EXACT($B724, ""), "", CONCATENATE(SUBSTITUTE(SEED!$F724, "-", ""), " (", SEED!$E724, IF(EXACT(SEED!$C724, ""), "", CONCATENATE(" ►", SEED!$C724)), ")"))</f>
        <v>+86 (133) 97499864 (Office Phone ►Institution - Hunan Lingte Technology Co., Ltd)</v>
      </c>
    </row>
    <row r="725" spans="2:3" x14ac:dyDescent="0.2">
      <c r="B725" s="40">
        <f>IF(EXACT(SEED!$F725, ""), "", SEED!$J725)</f>
        <v>286000000000681</v>
      </c>
      <c r="C725" s="4" t="str">
        <f>IF(EXACT($B725, ""), "", CONCATENATE(SUBSTITUTE(SEED!$F725, "-", ""), " (", SEED!$E725, IF(EXACT(SEED!$C725, ""), "", CONCATENATE(" ►", SEED!$C725)), ")"))</f>
        <v>+62 81210374952 (Mobile Phone ►Institution - Ikhwan Nauli Lubis)</v>
      </c>
    </row>
    <row r="726" spans="2:3" x14ac:dyDescent="0.2">
      <c r="B726" s="40">
        <f>IF(EXACT(SEED!$F726, ""), "", SEED!$J726)</f>
        <v>286000000000682</v>
      </c>
      <c r="C726" s="4" t="str">
        <f>IF(EXACT($B726, ""), "", CONCATENATE(SUBSTITUTE(SEED!$F726, "-", ""), " (", SEED!$E726, IF(EXACT(SEED!$C726, ""), "", CONCATENATE(" ►", SEED!$C726)), ")"))</f>
        <v>+62 85271196661 (Mobile Phone ►Institution - Irhamsyah Purba)</v>
      </c>
    </row>
    <row r="727" spans="2:3" x14ac:dyDescent="0.2">
      <c r="B727" s="40">
        <f>IF(EXACT(SEED!$F727, ""), "", SEED!$J727)</f>
        <v>286000000000683</v>
      </c>
      <c r="C727" s="4" t="str">
        <f>IF(EXACT($B727, ""), "", CONCATENATE(SUBSTITUTE(SEED!$F727, "-", ""), " (", SEED!$E727, IF(EXACT(SEED!$C727, ""), "", CONCATENATE(" ►", SEED!$C727)), ")"))</f>
        <v>+62 81242618199 (Mobile Phone ►Institution - Irma)</v>
      </c>
    </row>
    <row r="728" spans="2:3" x14ac:dyDescent="0.2">
      <c r="B728" s="40">
        <f>IF(EXACT(SEED!$F728, ""), "", SEED!$J728)</f>
        <v>286000000000684</v>
      </c>
      <c r="C728" s="4" t="str">
        <f>IF(EXACT($B728, ""), "", CONCATENATE(SUBSTITUTE(SEED!$F728, "-", ""), " (", SEED!$E728, IF(EXACT(SEED!$C728, ""), "", CONCATENATE(" ►", SEED!$C728)), ")"))</f>
        <v>+62 82351215392 (Mobile Phone ►Institution - Istanto)</v>
      </c>
    </row>
    <row r="729" spans="2:3" x14ac:dyDescent="0.2">
      <c r="B729" s="40">
        <f>IF(EXACT(SEED!$F729, ""), "", SEED!$J729)</f>
        <v>286000000000685</v>
      </c>
      <c r="C729" s="4" t="str">
        <f>IF(EXACT($B729, ""), "", CONCATENATE(SUBSTITUTE(SEED!$F729, "-", ""), " (", SEED!$E729, IF(EXACT(SEED!$C729, ""), "", CONCATENATE(" ►", SEED!$C729)), ")"))</f>
        <v>+62 81340345555 (Mobile Phone ►Institution - Kamil)</v>
      </c>
    </row>
    <row r="730" spans="2:3" x14ac:dyDescent="0.2">
      <c r="B730" s="40">
        <f>IF(EXACT(SEED!$F730, ""), "", SEED!$J730)</f>
        <v>286000000000686</v>
      </c>
      <c r="C730" s="4" t="str">
        <f>IF(EXACT($B730, ""), "", CONCATENATE(SUBSTITUTE(SEED!$F730, "-", ""), " (", SEED!$E730, IF(EXACT(SEED!$C730, ""), "", CONCATENATE(" ►", SEED!$C730)), ")"))</f>
        <v>+62 (0292) 421397 (Office Phone ►Institution - Klinik Pratama Simpang Lima Husada)</v>
      </c>
    </row>
    <row r="731" spans="2:3" x14ac:dyDescent="0.2">
      <c r="B731" s="40">
        <f>IF(EXACT(SEED!$F731, ""), "", SEED!$J731)</f>
        <v>286000000000687</v>
      </c>
      <c r="C731" s="4" t="str">
        <f>IF(EXACT($B731, ""), "", CONCATENATE(SUBSTITUTE(SEED!$F731, "-", ""), " (", SEED!$E731, IF(EXACT(SEED!$C731, ""), "", CONCATENATE(" ►", SEED!$C731)), ")"))</f>
        <v>+62 81316202066 (Mobile Phone ►Institution - KSO.Sucofindo-Surveyor Indonesia)</v>
      </c>
    </row>
    <row r="732" spans="2:3" x14ac:dyDescent="0.2">
      <c r="B732" s="40">
        <f>IF(EXACT(SEED!$F732, ""), "", SEED!$J732)</f>
        <v>286000000000688</v>
      </c>
      <c r="C732" s="4" t="str">
        <f>IF(EXACT($B732, ""), "", CONCATENATE(SUBSTITUTE(SEED!$F732, "-", ""), " (", SEED!$E732, IF(EXACT(SEED!$C732, ""), "", CONCATENATE(" ►", SEED!$C732)), ")"))</f>
        <v>+62 8811508382 (Mobile Phone ►Institution - Laboratorium Unit Pengelola Penilaian Kesesuaian Bahan dan Barang Teknik)</v>
      </c>
    </row>
    <row r="733" spans="2:3" x14ac:dyDescent="0.2">
      <c r="B733" s="40">
        <f>IF(EXACT(SEED!$F733, ""), "", SEED!$J733)</f>
        <v>286000000000689</v>
      </c>
      <c r="C733" s="4" t="str">
        <f>IF(EXACT($B733, ""), "", CONCATENATE(SUBSTITUTE(SEED!$F733, "-", ""), " (", SEED!$E733, IF(EXACT(SEED!$C733, ""), "", CONCATENATE(" ►", SEED!$C733)), ")"))</f>
        <v>+62 85399152090 (Mobile Phone ►Institution - Marhaeni)</v>
      </c>
    </row>
    <row r="734" spans="2:3" x14ac:dyDescent="0.2">
      <c r="B734" s="40">
        <f>IF(EXACT(SEED!$F734, ""), "", SEED!$J734)</f>
        <v>286000000000690</v>
      </c>
      <c r="C734" s="4" t="str">
        <f>IF(EXACT($B734, ""), "", CONCATENATE(SUBSTITUTE(SEED!$F734, "-", ""), " (", SEED!$E734, IF(EXACT(SEED!$C734, ""), "", CONCATENATE(" ►", SEED!$C734)), ")"))</f>
        <v>+62 81399482959 (Mobile Phone ►Institution - Mudji Irmawan Arkani)</v>
      </c>
    </row>
    <row r="735" spans="2:3" x14ac:dyDescent="0.2">
      <c r="B735" s="40">
        <f>IF(EXACT(SEED!$F735, ""), "", SEED!$J735)</f>
        <v>286000000000691</v>
      </c>
      <c r="C735" s="4" t="str">
        <f>IF(EXACT($B735, ""), "", CONCATENATE(SUBSTITUTE(SEED!$F735, "-", ""), " (", SEED!$E735, IF(EXACT(SEED!$C735, ""), "", CONCATENATE(" ►", SEED!$C735)), ")"))</f>
        <v>+62 85375522377 (Mobile Phone ►Institution - Mukhlas. A)</v>
      </c>
    </row>
    <row r="736" spans="2:3" x14ac:dyDescent="0.2">
      <c r="B736" s="40">
        <f>IF(EXACT(SEED!$F736, ""), "", SEED!$J736)</f>
        <v>286000000000692</v>
      </c>
      <c r="C736" s="4" t="str">
        <f>IF(EXACT($B736, ""), "", CONCATENATE(SUBSTITUTE(SEED!$F736, "-", ""), " (", SEED!$E736, IF(EXACT(SEED!$C736, ""), "", CONCATENATE(" ►", SEED!$C736)), ")"))</f>
        <v>+62 85341111177 (Mobile Phone ►Institution - Musdawaty)</v>
      </c>
    </row>
    <row r="737" spans="2:3" x14ac:dyDescent="0.2">
      <c r="B737" s="40">
        <f>IF(EXACT(SEED!$F737, ""), "", SEED!$J737)</f>
        <v>286000000000693</v>
      </c>
      <c r="C737" s="4" t="str">
        <f>IF(EXACT($B737, ""), "", CONCATENATE(SUBSTITUTE(SEED!$F737, "-", ""), " (", SEED!$E737, IF(EXACT(SEED!$C737, ""), "", CONCATENATE(" ►", SEED!$C737)), ")"))</f>
        <v>+62 81245850679 (Mobile Phone ►Institution - Mustakim )</v>
      </c>
    </row>
    <row r="738" spans="2:3" x14ac:dyDescent="0.2">
      <c r="B738" s="40">
        <f>IF(EXACT(SEED!$F738, ""), "", SEED!$J738)</f>
        <v>286000000000694</v>
      </c>
      <c r="C738" s="4" t="str">
        <f>IF(EXACT($B738, ""), "", CONCATENATE(SUBSTITUTE(SEED!$F738, "-", ""), " (", SEED!$E738, IF(EXACT(SEED!$C738, ""), "", CONCATENATE(" ►", SEED!$C738)), ")"))</f>
        <v>+62 85348002680 (Mobile Phone ►Institution - Mustari)</v>
      </c>
    </row>
    <row r="739" spans="2:3" x14ac:dyDescent="0.2">
      <c r="B739" s="40">
        <f>IF(EXACT(SEED!$F739, ""), "", SEED!$J739)</f>
        <v>286000000000695</v>
      </c>
      <c r="C739" s="4" t="str">
        <f>IF(EXACT($B739, ""), "", CONCATENATE(SUBSTITUTE(SEED!$F739, "-", ""), " (", SEED!$E739, IF(EXACT(SEED!$C739, ""), "", CONCATENATE(" ►", SEED!$C739)), ")"))</f>
        <v>+62 85217413909 (Mobile Phone ►Institution - Narkum)</v>
      </c>
    </row>
    <row r="740" spans="2:3" x14ac:dyDescent="0.2">
      <c r="B740" s="40">
        <f>IF(EXACT(SEED!$F740, ""), "", SEED!$J740)</f>
        <v>286000000000696</v>
      </c>
      <c r="C740" s="4" t="str">
        <f>IF(EXACT($B740, ""), "", CONCATENATE(SUBSTITUTE(SEED!$F740, "-", ""), " (", SEED!$E740, IF(EXACT(SEED!$C740, ""), "", CONCATENATE(" ►", SEED!$C740)), ")"))</f>
        <v>+62 81215608000 (Mobile Phone ►Institution - Neny Suissa Sitorus)</v>
      </c>
    </row>
    <row r="741" spans="2:3" x14ac:dyDescent="0.2">
      <c r="B741" s="40">
        <f>IF(EXACT(SEED!$F741, ""), "", SEED!$J741)</f>
        <v>286000000000697</v>
      </c>
      <c r="C741" s="4" t="str">
        <f>IF(EXACT($B741, ""), "", CONCATENATE(SUBSTITUTE(SEED!$F741, "-", ""), " (", SEED!$E741, IF(EXACT(SEED!$C741, ""), "", CONCATENATE(" ►", SEED!$C741)), ")"))</f>
        <v>+62 85974731474 (Mobile Phone ►Institution - Oscar)</v>
      </c>
    </row>
    <row r="742" spans="2:3" x14ac:dyDescent="0.2">
      <c r="B742" s="40">
        <f>IF(EXACT(SEED!$F742, ""), "", SEED!$J742)</f>
        <v>286000000000698</v>
      </c>
      <c r="C742" s="4" t="str">
        <f>IF(EXACT($B742, ""), "", CONCATENATE(SUBSTITUTE(SEED!$F742, "-", ""), " (", SEED!$E742, IF(EXACT(SEED!$C742, ""), "", CONCATENATE(" ►", SEED!$C742)), ")"))</f>
        <v>+62 85341464279 (Mobile Phone ►Institution - Pardi)</v>
      </c>
    </row>
    <row r="743" spans="2:3" x14ac:dyDescent="0.2">
      <c r="B743" s="40">
        <f>IF(EXACT(SEED!$F743, ""), "", SEED!$J743)</f>
        <v>286000000000699</v>
      </c>
      <c r="C743" s="4" t="str">
        <f>IF(EXACT($B743, ""), "", CONCATENATE(SUBSTITUTE(SEED!$F743, "-", ""), " (", SEED!$E743, IF(EXACT(SEED!$C743, ""), "", CONCATENATE(" ►", SEED!$C743)), ")"))</f>
        <v>+62 82158621819 (Mobile Phone ►Institution - Raminto)</v>
      </c>
    </row>
    <row r="744" spans="2:3" x14ac:dyDescent="0.2">
      <c r="B744" s="40">
        <f>IF(EXACT(SEED!$F744, ""), "", SEED!$J744)</f>
        <v>286000000000700</v>
      </c>
      <c r="C744" s="4" t="str">
        <f>IF(EXACT($B744, ""), "", CONCATENATE(SUBSTITUTE(SEED!$F744, "-", ""), " (", SEED!$E744, IF(EXACT(SEED!$C744, ""), "", CONCATENATE(" ►", SEED!$C744)), ")"))</f>
        <v>+62 81365307579 (Mobile Phone ►Institution - Rocki Sitepu)</v>
      </c>
    </row>
    <row r="745" spans="2:3" x14ac:dyDescent="0.2">
      <c r="B745" s="40">
        <f>IF(EXACT(SEED!$F745, ""), "", SEED!$J745)</f>
        <v>286000000000701</v>
      </c>
      <c r="C745" s="4" t="str">
        <f>IF(EXACT($B745, ""), "", CONCATENATE(SUBSTITUTE(SEED!$F745, "-", ""), " (", SEED!$E745, IF(EXACT(SEED!$C745, ""), "", CONCATENATE(" ►", SEED!$C745)), ")"))</f>
        <v>+62 (0405) 2321042 (Office Phone ►Institution - RS Benyamin Guluh)</v>
      </c>
    </row>
    <row r="746" spans="2:3" x14ac:dyDescent="0.2">
      <c r="B746" s="40">
        <f>IF(EXACT(SEED!$F746, ""), "", SEED!$J746)</f>
        <v>286000000000702</v>
      </c>
      <c r="C746" s="4" t="str">
        <f>IF(EXACT($B746, ""), "", CONCATENATE(SUBSTITUTE(SEED!$F746, "-", ""), " (", SEED!$E746, IF(EXACT(SEED!$C746, ""), "", CONCATENATE(" ►", SEED!$C746)), ")"))</f>
        <v>+62 (0778) 4804597 (Office Phone ►Institution - RS Keluarga Husada )</v>
      </c>
    </row>
    <row r="747" spans="2:3" x14ac:dyDescent="0.2">
      <c r="B747" s="40">
        <f>IF(EXACT(SEED!$F747, ""), "", SEED!$J747)</f>
        <v>286000000000703</v>
      </c>
      <c r="C747" s="4" t="str">
        <f>IF(EXACT($B747, ""), "", CONCATENATE(SUBSTITUTE(SEED!$F747, "-", ""), " (", SEED!$E747, IF(EXACT(SEED!$C747, ""), "", CONCATENATE(" ►", SEED!$C747)), ")"))</f>
        <v>+62 (0292) 421004 (Office Phone ►Institution - RSUD Dr. R. Soedjati)</v>
      </c>
    </row>
    <row r="748" spans="2:3" x14ac:dyDescent="0.2">
      <c r="B748" s="40">
        <f>IF(EXACT(SEED!$F748, ""), "", SEED!$J748)</f>
        <v>286000000000704</v>
      </c>
      <c r="C748" s="4" t="str">
        <f>IF(EXACT($B748, ""), "", CONCATENATE(SUBSTITUTE(SEED!$F748, "-", ""), " (", SEED!$E748, IF(EXACT(SEED!$C748, ""), "", CONCATENATE(" ►", SEED!$C748)), ")"))</f>
        <v>+62 8127683597 (Mobile Phone ►Institution - Rudi Hardianto)</v>
      </c>
    </row>
    <row r="749" spans="2:3" x14ac:dyDescent="0.2">
      <c r="B749" s="40">
        <f>IF(EXACT(SEED!$F749, ""), "", SEED!$J749)</f>
        <v>286000000000705</v>
      </c>
      <c r="C749" s="4" t="str">
        <f>IF(EXACT($B749, ""), "", CONCATENATE(SUBSTITUTE(SEED!$F749, "-", ""), " (", SEED!$E749, IF(EXACT(SEED!$C749, ""), "", CONCATENATE(" ►", SEED!$C749)), ")"))</f>
        <v>+62 81223520000 (Mobile Phone ►Institution - Siemens Energy Global GmbH &amp; Co. KG - SE GT S TSE AR Departement)</v>
      </c>
    </row>
    <row r="750" spans="2:3" x14ac:dyDescent="0.2">
      <c r="B750" s="40">
        <f>IF(EXACT(SEED!$F750, ""), "", SEED!$J750)</f>
        <v>286000000000706</v>
      </c>
      <c r="C750" s="4" t="str">
        <f>IF(EXACT($B750, ""), "", CONCATENATE(SUBSTITUTE(SEED!$F750, "-", ""), " (", SEED!$E750, IF(EXACT(SEED!$C750, ""), "", CONCATENATE(" ►", SEED!$C750)), ")"))</f>
        <v>+62 85377775752 (Mobile Phone ►Institution - Suci Nurul Utami Putri)</v>
      </c>
    </row>
    <row r="751" spans="2:3" x14ac:dyDescent="0.2">
      <c r="B751" s="40">
        <f>IF(EXACT(SEED!$F751, ""), "", SEED!$J751)</f>
        <v>286000000000707</v>
      </c>
      <c r="C751" s="4" t="str">
        <f>IF(EXACT($B751, ""), "", CONCATENATE(SUBSTITUTE(SEED!$F751, "-", ""), " (", SEED!$E751, IF(EXACT(SEED!$C751, ""), "", CONCATENATE(" ►", SEED!$C751)), ")"))</f>
        <v>+62 82154641078 (Mobile Phone ►Institution - Suparno)</v>
      </c>
    </row>
    <row r="752" spans="2:3" x14ac:dyDescent="0.2">
      <c r="B752" s="40">
        <f>IF(EXACT(SEED!$F752, ""), "", SEED!$J752)</f>
        <v>286000000000708</v>
      </c>
      <c r="C752" s="4" t="str">
        <f>IF(EXACT($B752, ""), "", CONCATENATE(SUBSTITUTE(SEED!$F752, "-", ""), " (", SEED!$E752, IF(EXACT(SEED!$C752, ""), "", CONCATENATE(" ►", SEED!$C752)), ")"))</f>
        <v>+62 82217399469 (Mobile Phone ►Institution - Surnadi )</v>
      </c>
    </row>
    <row r="753" spans="2:3" x14ac:dyDescent="0.2">
      <c r="B753" s="40">
        <f>IF(EXACT(SEED!$F753, ""), "", SEED!$J753)</f>
        <v>286000000000709</v>
      </c>
      <c r="C753" s="4" t="str">
        <f>IF(EXACT($B753, ""), "", CONCATENATE(SUBSTITUTE(SEED!$F753, "-", ""), " (", SEED!$E753, IF(EXACT(SEED!$C753, ""), "", CONCATENATE(" ►", SEED!$C753)), ")"))</f>
        <v>+62 81257300560 (Mobile Phone ►Institution - Suroto)</v>
      </c>
    </row>
    <row r="754" spans="2:3" x14ac:dyDescent="0.2">
      <c r="B754" s="40">
        <f>IF(EXACT(SEED!$F754, ""), "", SEED!$J754)</f>
        <v>286000000000710</v>
      </c>
      <c r="C754" s="4" t="str">
        <f>IF(EXACT($B754, ""), "", CONCATENATE(SUBSTITUTE(SEED!$F754, "-", ""), " (", SEED!$E754, IF(EXACT(SEED!$C754, ""), "", CONCATENATE(" ►", SEED!$C754)), ")"))</f>
        <v>+62 82133055222 (Mobile Phone ►Institution - Syafir Ottong)</v>
      </c>
    </row>
    <row r="755" spans="2:3" x14ac:dyDescent="0.2">
      <c r="B755" s="40">
        <f>IF(EXACT(SEED!$F755, ""), "", SEED!$J755)</f>
        <v>286000000000711</v>
      </c>
      <c r="C755" s="4" t="str">
        <f>IF(EXACT($B755, ""), "", CONCATENATE(SUBSTITUTE(SEED!$F755, "-", ""), " (", SEED!$E755, IF(EXACT(SEED!$C755, ""), "", CONCATENATE(" ►", SEED!$C755)), ")"))</f>
        <v>+62 85822096026 (Mobile Phone ►Institution - Syahrian)</v>
      </c>
    </row>
    <row r="756" spans="2:3" x14ac:dyDescent="0.2">
      <c r="B756" s="40">
        <f>IF(EXACT(SEED!$F756, ""), "", SEED!$J756)</f>
        <v>286000000000712</v>
      </c>
      <c r="C756" s="4" t="str">
        <f>IF(EXACT($B756, ""), "", CONCATENATE(SUBSTITUTE(SEED!$F756, "-", ""), " (", SEED!$E756, IF(EXACT(SEED!$C756, ""), "", CONCATENATE(" ►", SEED!$C756)), ")"))</f>
        <v>+62 (021) 6292368 (Office Phone ►Institution - Tjoe Tjhoen Song)</v>
      </c>
    </row>
    <row r="757" spans="2:3" x14ac:dyDescent="0.2">
      <c r="B757" s="40" t="str">
        <f>IF(EXACT(SEED!$F757, ""), "", SEED!$J757)</f>
        <v/>
      </c>
      <c r="C757" s="4" t="str">
        <f>IF(EXACT($B757, ""), "", CONCATENATE(SUBSTITUTE(SEED!$F757, "-", ""), " (", SEED!$E757, IF(EXACT(SEED!$C757, ""), "", CONCATENATE(" ►", SEED!$C757)), ")"))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B1:C10"/>
  <sheetViews>
    <sheetView workbookViewId="0">
      <selection activeCell="F15" sqref="F15"/>
    </sheetView>
  </sheetViews>
  <sheetFormatPr defaultRowHeight="12.75" x14ac:dyDescent="0.2"/>
  <cols>
    <col min="1" max="1" width="9.140625" style="5"/>
    <col min="2" max="2" width="16.140625" style="1" bestFit="1" customWidth="1"/>
    <col min="3" max="3" width="10.28515625" style="5" bestFit="1" customWidth="1"/>
    <col min="4" max="16384" width="9.140625" style="5"/>
  </cols>
  <sheetData>
    <row r="1" spans="2:3" ht="13.5" thickBot="1" x14ac:dyDescent="0.25"/>
    <row r="2" spans="2:3" x14ac:dyDescent="0.2">
      <c r="B2" s="12" t="s">
        <v>877</v>
      </c>
      <c r="C2" s="13" t="s">
        <v>878</v>
      </c>
    </row>
    <row r="3" spans="2:3" ht="13.5" thickBot="1" x14ac:dyDescent="0.25">
      <c r="B3" s="14"/>
      <c r="C3" s="15"/>
    </row>
    <row r="4" spans="2:3" x14ac:dyDescent="0.2">
      <c r="B4" s="8">
        <v>223000000000001</v>
      </c>
      <c r="C4" s="9" t="s">
        <v>871</v>
      </c>
    </row>
    <row r="5" spans="2:3" x14ac:dyDescent="0.2">
      <c r="B5" s="8">
        <v>223000000000002</v>
      </c>
      <c r="C5" s="9" t="s">
        <v>872</v>
      </c>
    </row>
    <row r="6" spans="2:3" x14ac:dyDescent="0.2">
      <c r="B6" s="8">
        <v>223000000000003</v>
      </c>
      <c r="C6" s="9" t="s">
        <v>873</v>
      </c>
    </row>
    <row r="7" spans="2:3" x14ac:dyDescent="0.2">
      <c r="B7" s="8">
        <v>223000000000004</v>
      </c>
      <c r="C7" s="9" t="s">
        <v>874</v>
      </c>
    </row>
    <row r="8" spans="2:3" x14ac:dyDescent="0.2">
      <c r="B8" s="8">
        <v>223000000000005</v>
      </c>
      <c r="C8" s="9" t="s">
        <v>875</v>
      </c>
    </row>
    <row r="9" spans="2:3" x14ac:dyDescent="0.2">
      <c r="B9" s="8">
        <v>223000000000006</v>
      </c>
      <c r="C9" s="9" t="s">
        <v>876</v>
      </c>
    </row>
    <row r="10" spans="2:3" x14ac:dyDescent="0.2">
      <c r="B10" s="10"/>
      <c r="C10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617"/>
  <sheetViews>
    <sheetView topLeftCell="A16" workbookViewId="0">
      <selection activeCell="D8" sqref="D8"/>
    </sheetView>
  </sheetViews>
  <sheetFormatPr defaultRowHeight="12.75" x14ac:dyDescent="0.2"/>
  <cols>
    <col min="1" max="1" width="9.140625" style="5"/>
    <col min="2" max="2" width="15.140625" style="2" bestFit="1" customWidth="1"/>
    <col min="3" max="3" width="31.28515625" style="5" bestFit="1" customWidth="1"/>
    <col min="4" max="16384" width="9.140625" style="5"/>
  </cols>
  <sheetData>
    <row r="4" spans="2:3" x14ac:dyDescent="0.2">
      <c r="B4" s="2">
        <v>25000000000001</v>
      </c>
      <c r="C4" s="5" t="s">
        <v>0</v>
      </c>
    </row>
    <row r="5" spans="2:3" x14ac:dyDescent="0.2">
      <c r="B5" s="2">
        <v>25000000000002</v>
      </c>
      <c r="C5" s="5" t="s">
        <v>1</v>
      </c>
    </row>
    <row r="6" spans="2:3" x14ac:dyDescent="0.2">
      <c r="B6" s="2">
        <v>25000000000003</v>
      </c>
      <c r="C6" s="5" t="s">
        <v>2</v>
      </c>
    </row>
    <row r="7" spans="2:3" x14ac:dyDescent="0.2">
      <c r="B7" s="2">
        <v>25000000000004</v>
      </c>
      <c r="C7" s="5" t="s">
        <v>3</v>
      </c>
    </row>
    <row r="8" spans="2:3" x14ac:dyDescent="0.2">
      <c r="B8" s="2">
        <v>25000000000005</v>
      </c>
      <c r="C8" s="5" t="s">
        <v>4</v>
      </c>
    </row>
    <row r="9" spans="2:3" x14ac:dyDescent="0.2">
      <c r="B9" s="2">
        <v>25000000000006</v>
      </c>
      <c r="C9" s="5" t="s">
        <v>5</v>
      </c>
    </row>
    <row r="10" spans="2:3" x14ac:dyDescent="0.2">
      <c r="B10" s="2">
        <v>25000000000007</v>
      </c>
      <c r="C10" s="5" t="s">
        <v>6</v>
      </c>
    </row>
    <row r="11" spans="2:3" x14ac:dyDescent="0.2">
      <c r="B11" s="2">
        <v>25000000000008</v>
      </c>
      <c r="C11" s="5" t="s">
        <v>7</v>
      </c>
    </row>
    <row r="12" spans="2:3" x14ac:dyDescent="0.2">
      <c r="B12" s="2">
        <v>25000000000009</v>
      </c>
      <c r="C12" s="5" t="s">
        <v>8</v>
      </c>
    </row>
    <row r="13" spans="2:3" x14ac:dyDescent="0.2">
      <c r="B13" s="2">
        <v>25000000000010</v>
      </c>
      <c r="C13" s="5" t="s">
        <v>9</v>
      </c>
    </row>
    <row r="14" spans="2:3" x14ac:dyDescent="0.2">
      <c r="B14" s="2">
        <v>25000000000011</v>
      </c>
      <c r="C14" s="5" t="s">
        <v>10</v>
      </c>
    </row>
    <row r="15" spans="2:3" x14ac:dyDescent="0.2">
      <c r="B15" s="2">
        <v>25000000000012</v>
      </c>
      <c r="C15" s="5" t="s">
        <v>11</v>
      </c>
    </row>
    <row r="16" spans="2:3" x14ac:dyDescent="0.2">
      <c r="B16" s="2">
        <v>25000000000013</v>
      </c>
      <c r="C16" s="5" t="s">
        <v>12</v>
      </c>
    </row>
    <row r="17" spans="2:3" x14ac:dyDescent="0.2">
      <c r="B17" s="2">
        <v>25000000000014</v>
      </c>
      <c r="C17" s="5" t="s">
        <v>13</v>
      </c>
    </row>
    <row r="18" spans="2:3" x14ac:dyDescent="0.2">
      <c r="B18" s="2">
        <v>25000000000015</v>
      </c>
      <c r="C18" s="5" t="s">
        <v>14</v>
      </c>
    </row>
    <row r="19" spans="2:3" x14ac:dyDescent="0.2">
      <c r="B19" s="2">
        <v>25000000000016</v>
      </c>
      <c r="C19" s="5" t="s">
        <v>15</v>
      </c>
    </row>
    <row r="20" spans="2:3" x14ac:dyDescent="0.2">
      <c r="B20" s="2">
        <v>25000000000017</v>
      </c>
      <c r="C20" s="5" t="s">
        <v>16</v>
      </c>
    </row>
    <row r="21" spans="2:3" x14ac:dyDescent="0.2">
      <c r="B21" s="2">
        <v>25000000000018</v>
      </c>
      <c r="C21" s="5" t="s">
        <v>17</v>
      </c>
    </row>
    <row r="22" spans="2:3" x14ac:dyDescent="0.2">
      <c r="B22" s="2">
        <v>25000000000019</v>
      </c>
      <c r="C22" s="5" t="s">
        <v>18</v>
      </c>
    </row>
    <row r="23" spans="2:3" x14ac:dyDescent="0.2">
      <c r="B23" s="2">
        <v>25000000000020</v>
      </c>
      <c r="C23" s="5" t="s">
        <v>19</v>
      </c>
    </row>
    <row r="24" spans="2:3" x14ac:dyDescent="0.2">
      <c r="B24" s="2">
        <v>25000000000021</v>
      </c>
      <c r="C24" s="5" t="s">
        <v>20</v>
      </c>
    </row>
    <row r="25" spans="2:3" x14ac:dyDescent="0.2">
      <c r="B25" s="2">
        <v>25000000000022</v>
      </c>
      <c r="C25" s="5" t="s">
        <v>21</v>
      </c>
    </row>
    <row r="26" spans="2:3" x14ac:dyDescent="0.2">
      <c r="B26" s="2">
        <v>25000000000023</v>
      </c>
      <c r="C26" s="5" t="s">
        <v>22</v>
      </c>
    </row>
    <row r="27" spans="2:3" x14ac:dyDescent="0.2">
      <c r="B27" s="2">
        <v>25000000000024</v>
      </c>
      <c r="C27" s="5" t="s">
        <v>23</v>
      </c>
    </row>
    <row r="28" spans="2:3" x14ac:dyDescent="0.2">
      <c r="B28" s="2">
        <v>25000000000025</v>
      </c>
      <c r="C28" s="5" t="s">
        <v>24</v>
      </c>
    </row>
    <row r="29" spans="2:3" x14ac:dyDescent="0.2">
      <c r="B29" s="2">
        <v>25000000000026</v>
      </c>
      <c r="C29" s="5" t="s">
        <v>25</v>
      </c>
    </row>
    <row r="30" spans="2:3" x14ac:dyDescent="0.2">
      <c r="B30" s="2">
        <v>25000000000027</v>
      </c>
      <c r="C30" s="5" t="s">
        <v>26</v>
      </c>
    </row>
    <row r="31" spans="2:3" x14ac:dyDescent="0.2">
      <c r="B31" s="2">
        <v>25000000000028</v>
      </c>
      <c r="C31" s="5" t="s">
        <v>27</v>
      </c>
    </row>
    <row r="32" spans="2:3" x14ac:dyDescent="0.2">
      <c r="B32" s="2">
        <v>25000000000029</v>
      </c>
      <c r="C32" s="5" t="s">
        <v>28</v>
      </c>
    </row>
    <row r="33" spans="2:3" x14ac:dyDescent="0.2">
      <c r="B33" s="2">
        <v>25000000000030</v>
      </c>
      <c r="C33" s="5" t="s">
        <v>29</v>
      </c>
    </row>
    <row r="34" spans="2:3" x14ac:dyDescent="0.2">
      <c r="B34" s="2">
        <v>25000000000031</v>
      </c>
      <c r="C34" s="5" t="s">
        <v>30</v>
      </c>
    </row>
    <row r="35" spans="2:3" x14ac:dyDescent="0.2">
      <c r="B35" s="2">
        <v>25000000000032</v>
      </c>
      <c r="C35" s="5" t="s">
        <v>31</v>
      </c>
    </row>
    <row r="36" spans="2:3" x14ac:dyDescent="0.2">
      <c r="B36" s="2">
        <v>25000000000033</v>
      </c>
      <c r="C36" s="5" t="s">
        <v>32</v>
      </c>
    </row>
    <row r="37" spans="2:3" x14ac:dyDescent="0.2">
      <c r="B37" s="2">
        <v>25000000000034</v>
      </c>
      <c r="C37" s="5" t="s">
        <v>33</v>
      </c>
    </row>
    <row r="38" spans="2:3" x14ac:dyDescent="0.2">
      <c r="B38" s="2">
        <v>25000000000035</v>
      </c>
      <c r="C38" s="5" t="s">
        <v>34</v>
      </c>
    </row>
    <row r="39" spans="2:3" x14ac:dyDescent="0.2">
      <c r="B39" s="2">
        <v>25000000000036</v>
      </c>
      <c r="C39" s="5" t="s">
        <v>35</v>
      </c>
    </row>
    <row r="40" spans="2:3" x14ac:dyDescent="0.2">
      <c r="B40" s="2">
        <v>25000000000037</v>
      </c>
      <c r="C40" s="5" t="s">
        <v>36</v>
      </c>
    </row>
    <row r="41" spans="2:3" x14ac:dyDescent="0.2">
      <c r="B41" s="2">
        <v>25000000000038</v>
      </c>
      <c r="C41" s="5" t="s">
        <v>37</v>
      </c>
    </row>
    <row r="42" spans="2:3" x14ac:dyDescent="0.2">
      <c r="B42" s="2">
        <v>25000000000039</v>
      </c>
      <c r="C42" s="5" t="s">
        <v>38</v>
      </c>
    </row>
    <row r="43" spans="2:3" x14ac:dyDescent="0.2">
      <c r="B43" s="2">
        <v>25000000000040</v>
      </c>
      <c r="C43" s="5" t="s">
        <v>39</v>
      </c>
    </row>
    <row r="44" spans="2:3" x14ac:dyDescent="0.2">
      <c r="B44" s="2">
        <v>25000000000041</v>
      </c>
      <c r="C44" s="5" t="s">
        <v>40</v>
      </c>
    </row>
    <row r="45" spans="2:3" x14ac:dyDescent="0.2">
      <c r="B45" s="2">
        <v>25000000000042</v>
      </c>
      <c r="C45" s="5" t="s">
        <v>41</v>
      </c>
    </row>
    <row r="46" spans="2:3" x14ac:dyDescent="0.2">
      <c r="B46" s="2">
        <v>25000000000043</v>
      </c>
      <c r="C46" s="5" t="s">
        <v>42</v>
      </c>
    </row>
    <row r="47" spans="2:3" x14ac:dyDescent="0.2">
      <c r="B47" s="2">
        <v>25000000000044</v>
      </c>
      <c r="C47" s="5" t="s">
        <v>43</v>
      </c>
    </row>
    <row r="48" spans="2:3" x14ac:dyDescent="0.2">
      <c r="B48" s="2">
        <v>25000000000045</v>
      </c>
      <c r="C48" s="5" t="s">
        <v>44</v>
      </c>
    </row>
    <row r="49" spans="2:3" x14ac:dyDescent="0.2">
      <c r="B49" s="2">
        <v>25000000000046</v>
      </c>
      <c r="C49" s="5" t="s">
        <v>45</v>
      </c>
    </row>
    <row r="50" spans="2:3" x14ac:dyDescent="0.2">
      <c r="B50" s="2">
        <v>25000000000047</v>
      </c>
      <c r="C50" s="5" t="s">
        <v>46</v>
      </c>
    </row>
    <row r="51" spans="2:3" x14ac:dyDescent="0.2">
      <c r="B51" s="2">
        <v>25000000000048</v>
      </c>
      <c r="C51" s="5" t="s">
        <v>47</v>
      </c>
    </row>
    <row r="52" spans="2:3" x14ac:dyDescent="0.2">
      <c r="B52" s="2">
        <v>25000000000049</v>
      </c>
      <c r="C52" s="5" t="s">
        <v>48</v>
      </c>
    </row>
    <row r="53" spans="2:3" x14ac:dyDescent="0.2">
      <c r="B53" s="2">
        <v>25000000000050</v>
      </c>
      <c r="C53" s="5" t="s">
        <v>49</v>
      </c>
    </row>
    <row r="54" spans="2:3" x14ac:dyDescent="0.2">
      <c r="B54" s="2">
        <v>25000000000051</v>
      </c>
      <c r="C54" s="5" t="s">
        <v>50</v>
      </c>
    </row>
    <row r="55" spans="2:3" x14ac:dyDescent="0.2">
      <c r="B55" s="2">
        <v>25000000000052</v>
      </c>
      <c r="C55" s="5" t="s">
        <v>51</v>
      </c>
    </row>
    <row r="56" spans="2:3" x14ac:dyDescent="0.2">
      <c r="B56" s="2">
        <v>25000000000053</v>
      </c>
      <c r="C56" s="5" t="s">
        <v>52</v>
      </c>
    </row>
    <row r="57" spans="2:3" x14ac:dyDescent="0.2">
      <c r="B57" s="2">
        <v>25000000000054</v>
      </c>
      <c r="C57" s="5" t="s">
        <v>53</v>
      </c>
    </row>
    <row r="58" spans="2:3" x14ac:dyDescent="0.2">
      <c r="B58" s="2">
        <v>25000000000055</v>
      </c>
      <c r="C58" s="5" t="s">
        <v>54</v>
      </c>
    </row>
    <row r="59" spans="2:3" x14ac:dyDescent="0.2">
      <c r="B59" s="2">
        <v>25000000000056</v>
      </c>
      <c r="C59" s="5" t="s">
        <v>55</v>
      </c>
    </row>
    <row r="60" spans="2:3" x14ac:dyDescent="0.2">
      <c r="B60" s="2">
        <v>25000000000057</v>
      </c>
      <c r="C60" s="5" t="s">
        <v>56</v>
      </c>
    </row>
    <row r="61" spans="2:3" x14ac:dyDescent="0.2">
      <c r="B61" s="2">
        <v>25000000000058</v>
      </c>
      <c r="C61" s="5" t="s">
        <v>57</v>
      </c>
    </row>
    <row r="62" spans="2:3" x14ac:dyDescent="0.2">
      <c r="B62" s="2">
        <v>25000000000059</v>
      </c>
      <c r="C62" s="5" t="s">
        <v>58</v>
      </c>
    </row>
    <row r="63" spans="2:3" x14ac:dyDescent="0.2">
      <c r="B63" s="2">
        <v>25000000000060</v>
      </c>
      <c r="C63" s="5" t="s">
        <v>59</v>
      </c>
    </row>
    <row r="64" spans="2:3" x14ac:dyDescent="0.2">
      <c r="B64" s="2">
        <v>25000000000061</v>
      </c>
      <c r="C64" s="5" t="s">
        <v>60</v>
      </c>
    </row>
    <row r="65" spans="2:3" x14ac:dyDescent="0.2">
      <c r="B65" s="2">
        <v>25000000000062</v>
      </c>
      <c r="C65" s="5" t="s">
        <v>61</v>
      </c>
    </row>
    <row r="66" spans="2:3" x14ac:dyDescent="0.2">
      <c r="B66" s="2">
        <v>25000000000063</v>
      </c>
      <c r="C66" s="5" t="s">
        <v>62</v>
      </c>
    </row>
    <row r="67" spans="2:3" x14ac:dyDescent="0.2">
      <c r="B67" s="2">
        <v>25000000000064</v>
      </c>
      <c r="C67" s="5" t="s">
        <v>63</v>
      </c>
    </row>
    <row r="68" spans="2:3" x14ac:dyDescent="0.2">
      <c r="B68" s="2">
        <v>25000000000065</v>
      </c>
      <c r="C68" s="5" t="s">
        <v>64</v>
      </c>
    </row>
    <row r="69" spans="2:3" x14ac:dyDescent="0.2">
      <c r="B69" s="2">
        <v>25000000000066</v>
      </c>
      <c r="C69" s="5" t="s">
        <v>65</v>
      </c>
    </row>
    <row r="70" spans="2:3" x14ac:dyDescent="0.2">
      <c r="B70" s="2">
        <v>25000000000067</v>
      </c>
      <c r="C70" s="5" t="s">
        <v>66</v>
      </c>
    </row>
    <row r="71" spans="2:3" x14ac:dyDescent="0.2">
      <c r="B71" s="2">
        <v>25000000000068</v>
      </c>
      <c r="C71" s="5" t="s">
        <v>67</v>
      </c>
    </row>
    <row r="72" spans="2:3" x14ac:dyDescent="0.2">
      <c r="B72" s="2">
        <v>25000000000069</v>
      </c>
      <c r="C72" s="5" t="s">
        <v>68</v>
      </c>
    </row>
    <row r="73" spans="2:3" x14ac:dyDescent="0.2">
      <c r="B73" s="2">
        <v>25000000000070</v>
      </c>
      <c r="C73" s="5" t="s">
        <v>69</v>
      </c>
    </row>
    <row r="74" spans="2:3" x14ac:dyDescent="0.2">
      <c r="B74" s="2">
        <v>25000000000071</v>
      </c>
      <c r="C74" s="5" t="s">
        <v>70</v>
      </c>
    </row>
    <row r="75" spans="2:3" x14ac:dyDescent="0.2">
      <c r="B75" s="2">
        <v>25000000000072</v>
      </c>
      <c r="C75" s="5" t="s">
        <v>71</v>
      </c>
    </row>
    <row r="76" spans="2:3" x14ac:dyDescent="0.2">
      <c r="B76" s="2">
        <v>25000000000073</v>
      </c>
      <c r="C76" s="5" t="s">
        <v>72</v>
      </c>
    </row>
    <row r="77" spans="2:3" x14ac:dyDescent="0.2">
      <c r="B77" s="2">
        <v>25000000000074</v>
      </c>
      <c r="C77" s="5" t="s">
        <v>73</v>
      </c>
    </row>
    <row r="78" spans="2:3" x14ac:dyDescent="0.2">
      <c r="B78" s="2">
        <v>25000000000075</v>
      </c>
      <c r="C78" s="5" t="s">
        <v>74</v>
      </c>
    </row>
    <row r="79" spans="2:3" x14ac:dyDescent="0.2">
      <c r="B79" s="2">
        <v>25000000000076</v>
      </c>
      <c r="C79" s="5" t="s">
        <v>75</v>
      </c>
    </row>
    <row r="80" spans="2:3" x14ac:dyDescent="0.2">
      <c r="B80" s="2">
        <v>25000000000077</v>
      </c>
      <c r="C80" s="5" t="s">
        <v>76</v>
      </c>
    </row>
    <row r="81" spans="2:3" x14ac:dyDescent="0.2">
      <c r="B81" s="2">
        <v>25000000000078</v>
      </c>
      <c r="C81" s="5" t="s">
        <v>77</v>
      </c>
    </row>
    <row r="82" spans="2:3" x14ac:dyDescent="0.2">
      <c r="B82" s="2">
        <v>25000000000079</v>
      </c>
      <c r="C82" s="5" t="s">
        <v>78</v>
      </c>
    </row>
    <row r="83" spans="2:3" x14ac:dyDescent="0.2">
      <c r="B83" s="2">
        <v>25000000000080</v>
      </c>
      <c r="C83" s="5" t="s">
        <v>79</v>
      </c>
    </row>
    <row r="84" spans="2:3" x14ac:dyDescent="0.2">
      <c r="B84" s="2">
        <v>25000000000081</v>
      </c>
      <c r="C84" s="5" t="s">
        <v>80</v>
      </c>
    </row>
    <row r="85" spans="2:3" x14ac:dyDescent="0.2">
      <c r="B85" s="2">
        <v>25000000000082</v>
      </c>
      <c r="C85" s="5" t="s">
        <v>81</v>
      </c>
    </row>
    <row r="86" spans="2:3" x14ac:dyDescent="0.2">
      <c r="B86" s="2">
        <v>25000000000083</v>
      </c>
      <c r="C86" s="5" t="s">
        <v>82</v>
      </c>
    </row>
    <row r="87" spans="2:3" x14ac:dyDescent="0.2">
      <c r="B87" s="2">
        <v>25000000000084</v>
      </c>
      <c r="C87" s="5" t="s">
        <v>83</v>
      </c>
    </row>
    <row r="88" spans="2:3" x14ac:dyDescent="0.2">
      <c r="B88" s="2">
        <v>25000000000085</v>
      </c>
      <c r="C88" s="5" t="s">
        <v>84</v>
      </c>
    </row>
    <row r="89" spans="2:3" x14ac:dyDescent="0.2">
      <c r="B89" s="2">
        <v>25000000000086</v>
      </c>
      <c r="C89" s="5" t="s">
        <v>85</v>
      </c>
    </row>
    <row r="90" spans="2:3" x14ac:dyDescent="0.2">
      <c r="B90" s="2">
        <v>25000000000087</v>
      </c>
      <c r="C90" s="5" t="s">
        <v>86</v>
      </c>
    </row>
    <row r="91" spans="2:3" x14ac:dyDescent="0.2">
      <c r="B91" s="2">
        <v>25000000000088</v>
      </c>
      <c r="C91" s="5" t="s">
        <v>87</v>
      </c>
    </row>
    <row r="92" spans="2:3" x14ac:dyDescent="0.2">
      <c r="B92" s="2">
        <v>25000000000089</v>
      </c>
      <c r="C92" s="5" t="s">
        <v>88</v>
      </c>
    </row>
    <row r="93" spans="2:3" x14ac:dyDescent="0.2">
      <c r="B93" s="2">
        <v>25000000000090</v>
      </c>
      <c r="C93" s="5" t="s">
        <v>89</v>
      </c>
    </row>
    <row r="94" spans="2:3" x14ac:dyDescent="0.2">
      <c r="B94" s="2">
        <v>25000000000091</v>
      </c>
      <c r="C94" s="5" t="s">
        <v>90</v>
      </c>
    </row>
    <row r="95" spans="2:3" x14ac:dyDescent="0.2">
      <c r="B95" s="2">
        <v>25000000000092</v>
      </c>
      <c r="C95" s="5" t="s">
        <v>91</v>
      </c>
    </row>
    <row r="96" spans="2:3" x14ac:dyDescent="0.2">
      <c r="B96" s="2">
        <v>25000000000093</v>
      </c>
      <c r="C96" s="5" t="s">
        <v>92</v>
      </c>
    </row>
    <row r="97" spans="2:3" x14ac:dyDescent="0.2">
      <c r="B97" s="2">
        <v>25000000000094</v>
      </c>
      <c r="C97" s="5" t="s">
        <v>93</v>
      </c>
    </row>
    <row r="98" spans="2:3" x14ac:dyDescent="0.2">
      <c r="B98" s="2">
        <v>25000000000095</v>
      </c>
      <c r="C98" s="5" t="s">
        <v>94</v>
      </c>
    </row>
    <row r="99" spans="2:3" x14ac:dyDescent="0.2">
      <c r="B99" s="2">
        <v>25000000000096</v>
      </c>
      <c r="C99" s="5" t="s">
        <v>95</v>
      </c>
    </row>
    <row r="100" spans="2:3" x14ac:dyDescent="0.2">
      <c r="B100" s="2">
        <v>25000000000097</v>
      </c>
      <c r="C100" s="5" t="s">
        <v>96</v>
      </c>
    </row>
    <row r="101" spans="2:3" x14ac:dyDescent="0.2">
      <c r="B101" s="2">
        <v>25000000000098</v>
      </c>
      <c r="C101" s="5" t="s">
        <v>97</v>
      </c>
    </row>
    <row r="102" spans="2:3" x14ac:dyDescent="0.2">
      <c r="B102" s="2">
        <v>25000000000099</v>
      </c>
      <c r="C102" s="5" t="s">
        <v>98</v>
      </c>
    </row>
    <row r="103" spans="2:3" x14ac:dyDescent="0.2">
      <c r="B103" s="2">
        <v>25000000000100</v>
      </c>
      <c r="C103" s="5" t="s">
        <v>99</v>
      </c>
    </row>
    <row r="104" spans="2:3" x14ac:dyDescent="0.2">
      <c r="B104" s="2">
        <v>25000000000101</v>
      </c>
      <c r="C104" s="5" t="s">
        <v>100</v>
      </c>
    </row>
    <row r="105" spans="2:3" x14ac:dyDescent="0.2">
      <c r="B105" s="2">
        <v>25000000000102</v>
      </c>
      <c r="C105" s="5" t="s">
        <v>101</v>
      </c>
    </row>
    <row r="106" spans="2:3" x14ac:dyDescent="0.2">
      <c r="B106" s="2">
        <v>25000000000103</v>
      </c>
      <c r="C106" s="5" t="s">
        <v>102</v>
      </c>
    </row>
    <row r="107" spans="2:3" x14ac:dyDescent="0.2">
      <c r="B107" s="2">
        <v>25000000000104</v>
      </c>
      <c r="C107" s="5" t="s">
        <v>103</v>
      </c>
    </row>
    <row r="108" spans="2:3" x14ac:dyDescent="0.2">
      <c r="B108" s="2">
        <v>25000000000105</v>
      </c>
      <c r="C108" s="5" t="s">
        <v>104</v>
      </c>
    </row>
    <row r="109" spans="2:3" x14ac:dyDescent="0.2">
      <c r="B109" s="2">
        <v>25000000000106</v>
      </c>
      <c r="C109" s="5" t="s">
        <v>105</v>
      </c>
    </row>
    <row r="110" spans="2:3" x14ac:dyDescent="0.2">
      <c r="B110" s="2">
        <v>25000000000107</v>
      </c>
      <c r="C110" s="5" t="s">
        <v>106</v>
      </c>
    </row>
    <row r="111" spans="2:3" x14ac:dyDescent="0.2">
      <c r="B111" s="2">
        <v>25000000000108</v>
      </c>
      <c r="C111" s="5" t="s">
        <v>107</v>
      </c>
    </row>
    <row r="112" spans="2:3" x14ac:dyDescent="0.2">
      <c r="B112" s="2">
        <v>25000000000109</v>
      </c>
      <c r="C112" s="5" t="s">
        <v>108</v>
      </c>
    </row>
    <row r="113" spans="2:3" x14ac:dyDescent="0.2">
      <c r="B113" s="2">
        <v>25000000000110</v>
      </c>
      <c r="C113" s="5" t="s">
        <v>109</v>
      </c>
    </row>
    <row r="114" spans="2:3" x14ac:dyDescent="0.2">
      <c r="B114" s="2">
        <v>25000000000111</v>
      </c>
      <c r="C114" s="5" t="s">
        <v>110</v>
      </c>
    </row>
    <row r="115" spans="2:3" x14ac:dyDescent="0.2">
      <c r="B115" s="2">
        <v>25000000000112</v>
      </c>
      <c r="C115" s="5" t="s">
        <v>111</v>
      </c>
    </row>
    <row r="116" spans="2:3" x14ac:dyDescent="0.2">
      <c r="B116" s="2">
        <v>25000000000113</v>
      </c>
      <c r="C116" s="5" t="s">
        <v>112</v>
      </c>
    </row>
    <row r="117" spans="2:3" x14ac:dyDescent="0.2">
      <c r="B117" s="2">
        <v>25000000000114</v>
      </c>
      <c r="C117" s="5" t="s">
        <v>113</v>
      </c>
    </row>
    <row r="118" spans="2:3" x14ac:dyDescent="0.2">
      <c r="B118" s="2">
        <v>25000000000115</v>
      </c>
      <c r="C118" s="5" t="s">
        <v>114</v>
      </c>
    </row>
    <row r="119" spans="2:3" x14ac:dyDescent="0.2">
      <c r="B119" s="2">
        <v>25000000000116</v>
      </c>
      <c r="C119" s="5" t="s">
        <v>115</v>
      </c>
    </row>
    <row r="120" spans="2:3" x14ac:dyDescent="0.2">
      <c r="B120" s="2">
        <v>25000000000117</v>
      </c>
      <c r="C120" s="5" t="s">
        <v>116</v>
      </c>
    </row>
    <row r="121" spans="2:3" x14ac:dyDescent="0.2">
      <c r="B121" s="2">
        <v>25000000000118</v>
      </c>
      <c r="C121" s="5" t="s">
        <v>117</v>
      </c>
    </row>
    <row r="122" spans="2:3" x14ac:dyDescent="0.2">
      <c r="B122" s="2">
        <v>25000000000119</v>
      </c>
      <c r="C122" s="5" t="s">
        <v>118</v>
      </c>
    </row>
    <row r="123" spans="2:3" x14ac:dyDescent="0.2">
      <c r="B123" s="2">
        <v>25000000000120</v>
      </c>
      <c r="C123" s="5" t="s">
        <v>119</v>
      </c>
    </row>
    <row r="124" spans="2:3" x14ac:dyDescent="0.2">
      <c r="B124" s="2">
        <v>25000000000121</v>
      </c>
      <c r="C124" s="5" t="s">
        <v>120</v>
      </c>
    </row>
    <row r="125" spans="2:3" x14ac:dyDescent="0.2">
      <c r="B125" s="2">
        <v>25000000000122</v>
      </c>
      <c r="C125" s="5" t="s">
        <v>121</v>
      </c>
    </row>
    <row r="126" spans="2:3" x14ac:dyDescent="0.2">
      <c r="B126" s="2">
        <v>25000000000123</v>
      </c>
      <c r="C126" s="5" t="s">
        <v>122</v>
      </c>
    </row>
    <row r="127" spans="2:3" x14ac:dyDescent="0.2">
      <c r="B127" s="2">
        <v>25000000000124</v>
      </c>
      <c r="C127" s="5" t="s">
        <v>123</v>
      </c>
    </row>
    <row r="128" spans="2:3" x14ac:dyDescent="0.2">
      <c r="B128" s="2">
        <v>25000000000125</v>
      </c>
      <c r="C128" s="5" t="s">
        <v>124</v>
      </c>
    </row>
    <row r="129" spans="2:3" x14ac:dyDescent="0.2">
      <c r="B129" s="2">
        <v>25000000000126</v>
      </c>
      <c r="C129" s="5" t="s">
        <v>125</v>
      </c>
    </row>
    <row r="130" spans="2:3" x14ac:dyDescent="0.2">
      <c r="B130" s="2">
        <v>25000000000127</v>
      </c>
      <c r="C130" s="5" t="s">
        <v>126</v>
      </c>
    </row>
    <row r="131" spans="2:3" x14ac:dyDescent="0.2">
      <c r="B131" s="2">
        <v>25000000000128</v>
      </c>
      <c r="C131" s="5" t="s">
        <v>127</v>
      </c>
    </row>
    <row r="132" spans="2:3" x14ac:dyDescent="0.2">
      <c r="B132" s="2">
        <v>25000000000129</v>
      </c>
      <c r="C132" s="5" t="s">
        <v>128</v>
      </c>
    </row>
    <row r="133" spans="2:3" x14ac:dyDescent="0.2">
      <c r="B133" s="2">
        <v>25000000000130</v>
      </c>
      <c r="C133" s="5" t="s">
        <v>129</v>
      </c>
    </row>
    <row r="134" spans="2:3" x14ac:dyDescent="0.2">
      <c r="B134" s="2">
        <v>25000000000131</v>
      </c>
      <c r="C134" s="5" t="s">
        <v>130</v>
      </c>
    </row>
    <row r="135" spans="2:3" x14ac:dyDescent="0.2">
      <c r="B135" s="2">
        <v>25000000000132</v>
      </c>
      <c r="C135" s="5" t="s">
        <v>131</v>
      </c>
    </row>
    <row r="136" spans="2:3" x14ac:dyDescent="0.2">
      <c r="B136" s="2">
        <v>25000000000133</v>
      </c>
      <c r="C136" s="5" t="s">
        <v>132</v>
      </c>
    </row>
    <row r="137" spans="2:3" x14ac:dyDescent="0.2">
      <c r="B137" s="2">
        <v>25000000000134</v>
      </c>
      <c r="C137" s="5" t="s">
        <v>133</v>
      </c>
    </row>
    <row r="138" spans="2:3" x14ac:dyDescent="0.2">
      <c r="B138" s="2">
        <v>25000000000135</v>
      </c>
      <c r="C138" s="5" t="s">
        <v>134</v>
      </c>
    </row>
    <row r="139" spans="2:3" x14ac:dyDescent="0.2">
      <c r="B139" s="2">
        <v>25000000000136</v>
      </c>
      <c r="C139" s="5" t="s">
        <v>135</v>
      </c>
    </row>
    <row r="140" spans="2:3" x14ac:dyDescent="0.2">
      <c r="B140" s="2">
        <v>25000000000137</v>
      </c>
      <c r="C140" s="5" t="s">
        <v>136</v>
      </c>
    </row>
    <row r="141" spans="2:3" x14ac:dyDescent="0.2">
      <c r="B141" s="2">
        <v>25000000000138</v>
      </c>
      <c r="C141" s="5" t="s">
        <v>137</v>
      </c>
    </row>
    <row r="142" spans="2:3" x14ac:dyDescent="0.2">
      <c r="B142" s="2">
        <v>25000000000139</v>
      </c>
      <c r="C142" s="5" t="s">
        <v>138</v>
      </c>
    </row>
    <row r="143" spans="2:3" x14ac:dyDescent="0.2">
      <c r="B143" s="2">
        <v>25000000000140</v>
      </c>
      <c r="C143" s="5" t="s">
        <v>139</v>
      </c>
    </row>
    <row r="144" spans="2:3" x14ac:dyDescent="0.2">
      <c r="B144" s="2">
        <v>25000000000141</v>
      </c>
      <c r="C144" s="5" t="s">
        <v>140</v>
      </c>
    </row>
    <row r="145" spans="2:3" x14ac:dyDescent="0.2">
      <c r="B145" s="2">
        <v>25000000000142</v>
      </c>
      <c r="C145" s="5" t="s">
        <v>141</v>
      </c>
    </row>
    <row r="146" spans="2:3" x14ac:dyDescent="0.2">
      <c r="B146" s="2">
        <v>25000000000143</v>
      </c>
      <c r="C146" s="5" t="s">
        <v>142</v>
      </c>
    </row>
    <row r="147" spans="2:3" x14ac:dyDescent="0.2">
      <c r="B147" s="2">
        <v>25000000000144</v>
      </c>
      <c r="C147" s="5" t="s">
        <v>143</v>
      </c>
    </row>
    <row r="148" spans="2:3" x14ac:dyDescent="0.2">
      <c r="B148" s="2">
        <v>25000000000145</v>
      </c>
      <c r="C148" s="5" t="s">
        <v>144</v>
      </c>
    </row>
    <row r="149" spans="2:3" x14ac:dyDescent="0.2">
      <c r="B149" s="2">
        <v>25000000000146</v>
      </c>
      <c r="C149" s="5" t="s">
        <v>145</v>
      </c>
    </row>
    <row r="150" spans="2:3" x14ac:dyDescent="0.2">
      <c r="B150" s="2">
        <v>25000000000147</v>
      </c>
      <c r="C150" s="5" t="s">
        <v>146</v>
      </c>
    </row>
    <row r="151" spans="2:3" x14ac:dyDescent="0.2">
      <c r="B151" s="2">
        <v>25000000000148</v>
      </c>
      <c r="C151" s="5" t="s">
        <v>147</v>
      </c>
    </row>
    <row r="152" spans="2:3" x14ac:dyDescent="0.2">
      <c r="B152" s="2">
        <v>25000000000149</v>
      </c>
      <c r="C152" s="5" t="s">
        <v>148</v>
      </c>
    </row>
    <row r="153" spans="2:3" x14ac:dyDescent="0.2">
      <c r="B153" s="2">
        <v>25000000000150</v>
      </c>
      <c r="C153" s="5" t="s">
        <v>149</v>
      </c>
    </row>
    <row r="154" spans="2:3" x14ac:dyDescent="0.2">
      <c r="B154" s="2">
        <v>25000000000151</v>
      </c>
      <c r="C154" s="5" t="s">
        <v>150</v>
      </c>
    </row>
    <row r="155" spans="2:3" x14ac:dyDescent="0.2">
      <c r="B155" s="2">
        <v>25000000000152</v>
      </c>
      <c r="C155" s="5" t="s">
        <v>151</v>
      </c>
    </row>
    <row r="156" spans="2:3" x14ac:dyDescent="0.2">
      <c r="B156" s="2">
        <v>25000000000153</v>
      </c>
      <c r="C156" s="5" t="s">
        <v>152</v>
      </c>
    </row>
    <row r="157" spans="2:3" x14ac:dyDescent="0.2">
      <c r="B157" s="2">
        <v>25000000000154</v>
      </c>
      <c r="C157" s="5" t="s">
        <v>153</v>
      </c>
    </row>
    <row r="158" spans="2:3" x14ac:dyDescent="0.2">
      <c r="B158" s="2">
        <v>25000000000155</v>
      </c>
      <c r="C158" s="5" t="s">
        <v>154</v>
      </c>
    </row>
    <row r="159" spans="2:3" x14ac:dyDescent="0.2">
      <c r="B159" s="2">
        <v>25000000000156</v>
      </c>
      <c r="C159" s="5" t="s">
        <v>155</v>
      </c>
    </row>
    <row r="160" spans="2:3" x14ac:dyDescent="0.2">
      <c r="B160" s="2">
        <v>25000000000157</v>
      </c>
      <c r="C160" s="5" t="s">
        <v>156</v>
      </c>
    </row>
    <row r="161" spans="2:3" x14ac:dyDescent="0.2">
      <c r="B161" s="2">
        <v>25000000000158</v>
      </c>
      <c r="C161" s="5" t="s">
        <v>157</v>
      </c>
    </row>
    <row r="162" spans="2:3" x14ac:dyDescent="0.2">
      <c r="B162" s="2">
        <v>25000000000159</v>
      </c>
      <c r="C162" s="5" t="s">
        <v>158</v>
      </c>
    </row>
    <row r="163" spans="2:3" x14ac:dyDescent="0.2">
      <c r="B163" s="2">
        <v>25000000000160</v>
      </c>
      <c r="C163" s="5" t="s">
        <v>159</v>
      </c>
    </row>
    <row r="164" spans="2:3" x14ac:dyDescent="0.2">
      <c r="B164" s="2">
        <v>25000000000161</v>
      </c>
      <c r="C164" s="5" t="s">
        <v>160</v>
      </c>
    </row>
    <row r="165" spans="2:3" x14ac:dyDescent="0.2">
      <c r="B165" s="2">
        <v>25000000000162</v>
      </c>
      <c r="C165" s="5" t="s">
        <v>161</v>
      </c>
    </row>
    <row r="166" spans="2:3" x14ac:dyDescent="0.2">
      <c r="B166" s="2">
        <v>25000000000163</v>
      </c>
      <c r="C166" s="5" t="s">
        <v>162</v>
      </c>
    </row>
    <row r="167" spans="2:3" x14ac:dyDescent="0.2">
      <c r="B167" s="2">
        <v>25000000000164</v>
      </c>
      <c r="C167" s="5" t="s">
        <v>163</v>
      </c>
    </row>
    <row r="168" spans="2:3" x14ac:dyDescent="0.2">
      <c r="B168" s="2">
        <v>25000000000165</v>
      </c>
      <c r="C168" s="5" t="s">
        <v>164</v>
      </c>
    </row>
    <row r="169" spans="2:3" x14ac:dyDescent="0.2">
      <c r="B169" s="2">
        <v>25000000000166</v>
      </c>
      <c r="C169" s="5" t="s">
        <v>165</v>
      </c>
    </row>
    <row r="170" spans="2:3" x14ac:dyDescent="0.2">
      <c r="B170" s="2">
        <v>25000000000167</v>
      </c>
      <c r="C170" s="5" t="s">
        <v>166</v>
      </c>
    </row>
    <row r="171" spans="2:3" x14ac:dyDescent="0.2">
      <c r="B171" s="2">
        <v>25000000000168</v>
      </c>
      <c r="C171" s="5" t="s">
        <v>167</v>
      </c>
    </row>
    <row r="172" spans="2:3" x14ac:dyDescent="0.2">
      <c r="B172" s="2">
        <v>25000000000169</v>
      </c>
      <c r="C172" s="5" t="s">
        <v>168</v>
      </c>
    </row>
    <row r="173" spans="2:3" x14ac:dyDescent="0.2">
      <c r="B173" s="2">
        <v>25000000000170</v>
      </c>
      <c r="C173" s="5" t="s">
        <v>169</v>
      </c>
    </row>
    <row r="174" spans="2:3" x14ac:dyDescent="0.2">
      <c r="B174" s="2">
        <v>25000000000171</v>
      </c>
      <c r="C174" s="5" t="s">
        <v>170</v>
      </c>
    </row>
    <row r="175" spans="2:3" x14ac:dyDescent="0.2">
      <c r="B175" s="2">
        <v>25000000000172</v>
      </c>
      <c r="C175" s="5" t="s">
        <v>171</v>
      </c>
    </row>
    <row r="176" spans="2:3" x14ac:dyDescent="0.2">
      <c r="B176" s="2">
        <v>25000000000173</v>
      </c>
      <c r="C176" s="5" t="s">
        <v>172</v>
      </c>
    </row>
    <row r="177" spans="2:3" x14ac:dyDescent="0.2">
      <c r="B177" s="2">
        <v>25000000000174</v>
      </c>
      <c r="C177" s="5" t="s">
        <v>173</v>
      </c>
    </row>
    <row r="178" spans="2:3" x14ac:dyDescent="0.2">
      <c r="B178" s="2">
        <v>25000000000175</v>
      </c>
      <c r="C178" s="5" t="s">
        <v>174</v>
      </c>
    </row>
    <row r="179" spans="2:3" x14ac:dyDescent="0.2">
      <c r="B179" s="2">
        <v>25000000000176</v>
      </c>
      <c r="C179" s="5" t="s">
        <v>175</v>
      </c>
    </row>
    <row r="180" spans="2:3" x14ac:dyDescent="0.2">
      <c r="B180" s="2">
        <v>25000000000177</v>
      </c>
      <c r="C180" s="5" t="s">
        <v>176</v>
      </c>
    </row>
    <row r="181" spans="2:3" x14ac:dyDescent="0.2">
      <c r="B181" s="2">
        <v>25000000000178</v>
      </c>
      <c r="C181" s="5" t="s">
        <v>177</v>
      </c>
    </row>
    <row r="182" spans="2:3" x14ac:dyDescent="0.2">
      <c r="B182" s="2">
        <v>25000000000179</v>
      </c>
      <c r="C182" s="5" t="s">
        <v>178</v>
      </c>
    </row>
    <row r="183" spans="2:3" x14ac:dyDescent="0.2">
      <c r="B183" s="2">
        <v>25000000000180</v>
      </c>
      <c r="C183" s="5" t="s">
        <v>179</v>
      </c>
    </row>
    <row r="184" spans="2:3" x14ac:dyDescent="0.2">
      <c r="B184" s="2">
        <v>25000000000181</v>
      </c>
      <c r="C184" s="5" t="s">
        <v>180</v>
      </c>
    </row>
    <row r="185" spans="2:3" x14ac:dyDescent="0.2">
      <c r="B185" s="2">
        <v>25000000000182</v>
      </c>
      <c r="C185" s="5" t="s">
        <v>181</v>
      </c>
    </row>
    <row r="186" spans="2:3" x14ac:dyDescent="0.2">
      <c r="B186" s="2">
        <v>25000000000183</v>
      </c>
      <c r="C186" s="5" t="s">
        <v>182</v>
      </c>
    </row>
    <row r="187" spans="2:3" x14ac:dyDescent="0.2">
      <c r="B187" s="2">
        <v>25000000000184</v>
      </c>
      <c r="C187" s="5" t="s">
        <v>183</v>
      </c>
    </row>
    <row r="188" spans="2:3" x14ac:dyDescent="0.2">
      <c r="B188" s="2">
        <v>25000000000185</v>
      </c>
      <c r="C188" s="5" t="s">
        <v>184</v>
      </c>
    </row>
    <row r="189" spans="2:3" x14ac:dyDescent="0.2">
      <c r="B189" s="2">
        <v>25000000000186</v>
      </c>
      <c r="C189" s="5" t="s">
        <v>185</v>
      </c>
    </row>
    <row r="190" spans="2:3" x14ac:dyDescent="0.2">
      <c r="B190" s="2">
        <v>25000000000187</v>
      </c>
      <c r="C190" s="5" t="s">
        <v>186</v>
      </c>
    </row>
    <row r="191" spans="2:3" x14ac:dyDescent="0.2">
      <c r="B191" s="2">
        <v>25000000000188</v>
      </c>
      <c r="C191" s="5" t="s">
        <v>187</v>
      </c>
    </row>
    <row r="192" spans="2:3" x14ac:dyDescent="0.2">
      <c r="B192" s="2">
        <v>25000000000189</v>
      </c>
      <c r="C192" s="5" t="s">
        <v>188</v>
      </c>
    </row>
    <row r="193" spans="2:3" x14ac:dyDescent="0.2">
      <c r="B193" s="2">
        <v>25000000000190</v>
      </c>
      <c r="C193" s="5" t="s">
        <v>189</v>
      </c>
    </row>
    <row r="194" spans="2:3" x14ac:dyDescent="0.2">
      <c r="B194" s="2">
        <v>25000000000191</v>
      </c>
      <c r="C194" s="5" t="s">
        <v>190</v>
      </c>
    </row>
    <row r="195" spans="2:3" x14ac:dyDescent="0.2">
      <c r="B195" s="2">
        <v>25000000000192</v>
      </c>
      <c r="C195" s="5" t="s">
        <v>191</v>
      </c>
    </row>
    <row r="196" spans="2:3" x14ac:dyDescent="0.2">
      <c r="B196" s="2">
        <v>25000000000193</v>
      </c>
      <c r="C196" s="5" t="s">
        <v>192</v>
      </c>
    </row>
    <row r="197" spans="2:3" x14ac:dyDescent="0.2">
      <c r="B197" s="2">
        <v>25000000000194</v>
      </c>
      <c r="C197" s="5" t="s">
        <v>193</v>
      </c>
    </row>
    <row r="198" spans="2:3" x14ac:dyDescent="0.2">
      <c r="B198" s="2">
        <v>25000000000195</v>
      </c>
      <c r="C198" s="5" t="s">
        <v>194</v>
      </c>
    </row>
    <row r="199" spans="2:3" x14ac:dyDescent="0.2">
      <c r="B199" s="2">
        <v>25000000000196</v>
      </c>
      <c r="C199" s="5" t="s">
        <v>195</v>
      </c>
    </row>
    <row r="200" spans="2:3" x14ac:dyDescent="0.2">
      <c r="B200" s="2">
        <v>25000000000197</v>
      </c>
      <c r="C200" s="5" t="s">
        <v>196</v>
      </c>
    </row>
    <row r="201" spans="2:3" x14ac:dyDescent="0.2">
      <c r="B201" s="2">
        <v>25000000000198</v>
      </c>
      <c r="C201" s="5" t="s">
        <v>197</v>
      </c>
    </row>
    <row r="202" spans="2:3" x14ac:dyDescent="0.2">
      <c r="B202" s="2">
        <v>25000000000199</v>
      </c>
      <c r="C202" s="5" t="s">
        <v>198</v>
      </c>
    </row>
    <row r="203" spans="2:3" x14ac:dyDescent="0.2">
      <c r="B203" s="2">
        <v>25000000000200</v>
      </c>
      <c r="C203" s="5" t="s">
        <v>199</v>
      </c>
    </row>
    <row r="204" spans="2:3" x14ac:dyDescent="0.2">
      <c r="B204" s="2">
        <v>25000000000201</v>
      </c>
      <c r="C204" s="5" t="s">
        <v>200</v>
      </c>
    </row>
    <row r="205" spans="2:3" x14ac:dyDescent="0.2">
      <c r="B205" s="2">
        <v>25000000000202</v>
      </c>
      <c r="C205" s="5" t="s">
        <v>201</v>
      </c>
    </row>
    <row r="206" spans="2:3" x14ac:dyDescent="0.2">
      <c r="B206" s="2">
        <v>25000000000203</v>
      </c>
      <c r="C206" s="5" t="s">
        <v>202</v>
      </c>
    </row>
    <row r="207" spans="2:3" x14ac:dyDescent="0.2">
      <c r="B207" s="2">
        <v>25000000000204</v>
      </c>
      <c r="C207" s="5" t="s">
        <v>203</v>
      </c>
    </row>
    <row r="208" spans="2:3" x14ac:dyDescent="0.2">
      <c r="B208" s="2">
        <v>25000000000205</v>
      </c>
      <c r="C208" s="5" t="s">
        <v>204</v>
      </c>
    </row>
    <row r="209" spans="2:3" x14ac:dyDescent="0.2">
      <c r="B209" s="2">
        <v>25000000000206</v>
      </c>
      <c r="C209" s="5" t="s">
        <v>205</v>
      </c>
    </row>
    <row r="210" spans="2:3" x14ac:dyDescent="0.2">
      <c r="B210" s="2">
        <v>25000000000207</v>
      </c>
      <c r="C210" s="5" t="s">
        <v>206</v>
      </c>
    </row>
    <row r="211" spans="2:3" x14ac:dyDescent="0.2">
      <c r="B211" s="2">
        <v>25000000000208</v>
      </c>
      <c r="C211" s="5" t="s">
        <v>207</v>
      </c>
    </row>
    <row r="212" spans="2:3" x14ac:dyDescent="0.2">
      <c r="B212" s="2">
        <v>25000000000209</v>
      </c>
      <c r="C212" s="5" t="s">
        <v>208</v>
      </c>
    </row>
    <row r="213" spans="2:3" x14ac:dyDescent="0.2">
      <c r="B213" s="2">
        <v>25000000000210</v>
      </c>
      <c r="C213" s="5" t="s">
        <v>209</v>
      </c>
    </row>
    <row r="214" spans="2:3" x14ac:dyDescent="0.2">
      <c r="B214" s="2">
        <v>25000000000211</v>
      </c>
      <c r="C214" s="5" t="s">
        <v>210</v>
      </c>
    </row>
    <row r="215" spans="2:3" x14ac:dyDescent="0.2">
      <c r="B215" s="2">
        <v>25000000000212</v>
      </c>
      <c r="C215" s="5" t="s">
        <v>211</v>
      </c>
    </row>
    <row r="216" spans="2:3" x14ac:dyDescent="0.2">
      <c r="B216" s="2">
        <v>25000000000213</v>
      </c>
      <c r="C216" s="5" t="s">
        <v>212</v>
      </c>
    </row>
    <row r="217" spans="2:3" x14ac:dyDescent="0.2">
      <c r="B217" s="2">
        <v>25000000000214</v>
      </c>
      <c r="C217" s="5" t="s">
        <v>213</v>
      </c>
    </row>
    <row r="218" spans="2:3" x14ac:dyDescent="0.2">
      <c r="B218" s="2">
        <v>25000000000215</v>
      </c>
      <c r="C218" s="5" t="s">
        <v>214</v>
      </c>
    </row>
    <row r="219" spans="2:3" x14ac:dyDescent="0.2">
      <c r="B219" s="2">
        <v>25000000000216</v>
      </c>
      <c r="C219" s="5" t="s">
        <v>215</v>
      </c>
    </row>
    <row r="220" spans="2:3" x14ac:dyDescent="0.2">
      <c r="B220" s="2">
        <v>25000000000217</v>
      </c>
      <c r="C220" s="5" t="s">
        <v>216</v>
      </c>
    </row>
    <row r="221" spans="2:3" x14ac:dyDescent="0.2">
      <c r="B221" s="2">
        <v>25000000000218</v>
      </c>
      <c r="C221" s="5" t="s">
        <v>217</v>
      </c>
    </row>
    <row r="222" spans="2:3" x14ac:dyDescent="0.2">
      <c r="B222" s="2">
        <v>25000000000219</v>
      </c>
      <c r="C222" s="5" t="s">
        <v>218</v>
      </c>
    </row>
    <row r="223" spans="2:3" x14ac:dyDescent="0.2">
      <c r="B223" s="2">
        <v>25000000000220</v>
      </c>
      <c r="C223" s="5" t="s">
        <v>219</v>
      </c>
    </row>
    <row r="224" spans="2:3" x14ac:dyDescent="0.2">
      <c r="B224" s="2">
        <v>25000000000221</v>
      </c>
      <c r="C224" s="5" t="s">
        <v>220</v>
      </c>
    </row>
    <row r="225" spans="2:3" x14ac:dyDescent="0.2">
      <c r="B225" s="2">
        <v>25000000000222</v>
      </c>
      <c r="C225" s="5" t="s">
        <v>221</v>
      </c>
    </row>
    <row r="226" spans="2:3" x14ac:dyDescent="0.2">
      <c r="B226" s="2">
        <v>25000000000223</v>
      </c>
      <c r="C226" s="5" t="s">
        <v>222</v>
      </c>
    </row>
    <row r="227" spans="2:3" x14ac:dyDescent="0.2">
      <c r="B227" s="2">
        <v>25000000000224</v>
      </c>
      <c r="C227" s="5" t="s">
        <v>223</v>
      </c>
    </row>
    <row r="228" spans="2:3" x14ac:dyDescent="0.2">
      <c r="B228" s="2">
        <v>25000000000225</v>
      </c>
      <c r="C228" s="5" t="s">
        <v>224</v>
      </c>
    </row>
    <row r="229" spans="2:3" x14ac:dyDescent="0.2">
      <c r="B229" s="2">
        <v>25000000000226</v>
      </c>
      <c r="C229" s="5" t="s">
        <v>225</v>
      </c>
    </row>
    <row r="230" spans="2:3" x14ac:dyDescent="0.2">
      <c r="B230" s="2">
        <v>25000000000227</v>
      </c>
      <c r="C230" s="5" t="s">
        <v>226</v>
      </c>
    </row>
    <row r="231" spans="2:3" x14ac:dyDescent="0.2">
      <c r="B231" s="2">
        <v>25000000000228</v>
      </c>
      <c r="C231" s="5" t="s">
        <v>227</v>
      </c>
    </row>
    <row r="232" spans="2:3" x14ac:dyDescent="0.2">
      <c r="B232" s="2">
        <v>25000000000229</v>
      </c>
      <c r="C232" s="5" t="s">
        <v>228</v>
      </c>
    </row>
    <row r="233" spans="2:3" x14ac:dyDescent="0.2">
      <c r="B233" s="2">
        <v>25000000000230</v>
      </c>
      <c r="C233" s="5" t="s">
        <v>229</v>
      </c>
    </row>
    <row r="234" spans="2:3" x14ac:dyDescent="0.2">
      <c r="B234" s="2">
        <v>25000000000231</v>
      </c>
      <c r="C234" s="5" t="s">
        <v>230</v>
      </c>
    </row>
    <row r="235" spans="2:3" x14ac:dyDescent="0.2">
      <c r="B235" s="2">
        <v>25000000000232</v>
      </c>
      <c r="C235" s="5" t="s">
        <v>231</v>
      </c>
    </row>
    <row r="236" spans="2:3" x14ac:dyDescent="0.2">
      <c r="B236" s="2">
        <v>25000000000233</v>
      </c>
      <c r="C236" s="5" t="s">
        <v>232</v>
      </c>
    </row>
    <row r="237" spans="2:3" x14ac:dyDescent="0.2">
      <c r="B237" s="2">
        <v>25000000000234</v>
      </c>
      <c r="C237" s="5" t="s">
        <v>233</v>
      </c>
    </row>
    <row r="238" spans="2:3" x14ac:dyDescent="0.2">
      <c r="B238" s="2">
        <v>25000000000235</v>
      </c>
      <c r="C238" s="5" t="s">
        <v>234</v>
      </c>
    </row>
    <row r="239" spans="2:3" x14ac:dyDescent="0.2">
      <c r="B239" s="2">
        <v>25000000000236</v>
      </c>
      <c r="C239" s="5" t="s">
        <v>235</v>
      </c>
    </row>
    <row r="240" spans="2:3" x14ac:dyDescent="0.2">
      <c r="B240" s="2">
        <v>25000000000237</v>
      </c>
      <c r="C240" s="5" t="s">
        <v>236</v>
      </c>
    </row>
    <row r="241" spans="2:3" x14ac:dyDescent="0.2">
      <c r="B241" s="2">
        <v>25000000000238</v>
      </c>
      <c r="C241" s="5" t="s">
        <v>237</v>
      </c>
    </row>
    <row r="242" spans="2:3" x14ac:dyDescent="0.2">
      <c r="B242" s="2">
        <v>25000000000239</v>
      </c>
      <c r="C242" s="5" t="s">
        <v>238</v>
      </c>
    </row>
    <row r="243" spans="2:3" x14ac:dyDescent="0.2">
      <c r="B243" s="2">
        <v>25000000000240</v>
      </c>
      <c r="C243" s="5" t="s">
        <v>239</v>
      </c>
    </row>
    <row r="244" spans="2:3" x14ac:dyDescent="0.2">
      <c r="B244" s="2">
        <v>25000000000241</v>
      </c>
      <c r="C244" s="5" t="s">
        <v>240</v>
      </c>
    </row>
    <row r="245" spans="2:3" x14ac:dyDescent="0.2">
      <c r="B245" s="2">
        <v>25000000000242</v>
      </c>
      <c r="C245" s="5" t="s">
        <v>241</v>
      </c>
    </row>
    <row r="246" spans="2:3" x14ac:dyDescent="0.2">
      <c r="B246" s="2">
        <v>25000000000243</v>
      </c>
      <c r="C246" s="5" t="s">
        <v>242</v>
      </c>
    </row>
    <row r="247" spans="2:3" x14ac:dyDescent="0.2">
      <c r="B247" s="2">
        <v>25000000000244</v>
      </c>
      <c r="C247" s="5" t="s">
        <v>243</v>
      </c>
    </row>
    <row r="248" spans="2:3" x14ac:dyDescent="0.2">
      <c r="B248" s="2">
        <v>25000000000245</v>
      </c>
      <c r="C248" s="5" t="s">
        <v>244</v>
      </c>
    </row>
    <row r="249" spans="2:3" x14ac:dyDescent="0.2">
      <c r="B249" s="2">
        <v>25000000000246</v>
      </c>
      <c r="C249" s="5" t="s">
        <v>245</v>
      </c>
    </row>
    <row r="250" spans="2:3" x14ac:dyDescent="0.2">
      <c r="B250" s="2">
        <v>25000000000247</v>
      </c>
      <c r="C250" s="5" t="s">
        <v>246</v>
      </c>
    </row>
    <row r="251" spans="2:3" x14ac:dyDescent="0.2">
      <c r="B251" s="2">
        <v>25000000000248</v>
      </c>
      <c r="C251" s="5" t="s">
        <v>247</v>
      </c>
    </row>
    <row r="252" spans="2:3" x14ac:dyDescent="0.2">
      <c r="B252" s="2">
        <v>25000000000249</v>
      </c>
      <c r="C252" s="5" t="s">
        <v>248</v>
      </c>
    </row>
    <row r="253" spans="2:3" x14ac:dyDescent="0.2">
      <c r="B253" s="2">
        <v>25000000000250</v>
      </c>
      <c r="C253" s="5" t="s">
        <v>249</v>
      </c>
    </row>
    <row r="254" spans="2:3" x14ac:dyDescent="0.2">
      <c r="B254" s="2">
        <v>25000000000251</v>
      </c>
      <c r="C254" s="5" t="s">
        <v>250</v>
      </c>
    </row>
    <row r="255" spans="2:3" x14ac:dyDescent="0.2">
      <c r="B255" s="2">
        <v>25000000000252</v>
      </c>
      <c r="C255" s="5" t="s">
        <v>251</v>
      </c>
    </row>
    <row r="256" spans="2:3" x14ac:dyDescent="0.2">
      <c r="B256" s="2">
        <v>25000000000253</v>
      </c>
      <c r="C256" s="5" t="s">
        <v>252</v>
      </c>
    </row>
    <row r="257" spans="2:3" x14ac:dyDescent="0.2">
      <c r="B257" s="2">
        <v>25000000000254</v>
      </c>
      <c r="C257" s="5" t="s">
        <v>253</v>
      </c>
    </row>
    <row r="258" spans="2:3" x14ac:dyDescent="0.2">
      <c r="B258" s="2">
        <v>25000000000255</v>
      </c>
      <c r="C258" s="5" t="s">
        <v>254</v>
      </c>
    </row>
    <row r="259" spans="2:3" x14ac:dyDescent="0.2">
      <c r="B259" s="2">
        <v>25000000000256</v>
      </c>
      <c r="C259" s="5" t="s">
        <v>255</v>
      </c>
    </row>
    <row r="260" spans="2:3" x14ac:dyDescent="0.2">
      <c r="B260" s="2">
        <v>25000000000257</v>
      </c>
      <c r="C260" s="5" t="s">
        <v>256</v>
      </c>
    </row>
    <row r="261" spans="2:3" x14ac:dyDescent="0.2">
      <c r="B261" s="2">
        <v>25000000000258</v>
      </c>
      <c r="C261" s="5" t="s">
        <v>257</v>
      </c>
    </row>
    <row r="262" spans="2:3" x14ac:dyDescent="0.2">
      <c r="B262" s="2">
        <v>25000000000259</v>
      </c>
      <c r="C262" s="5" t="s">
        <v>258</v>
      </c>
    </row>
    <row r="263" spans="2:3" x14ac:dyDescent="0.2">
      <c r="B263" s="2">
        <v>25000000000260</v>
      </c>
      <c r="C263" s="5" t="s">
        <v>259</v>
      </c>
    </row>
    <row r="264" spans="2:3" x14ac:dyDescent="0.2">
      <c r="B264" s="2">
        <v>25000000000261</v>
      </c>
      <c r="C264" s="5" t="s">
        <v>260</v>
      </c>
    </row>
    <row r="265" spans="2:3" x14ac:dyDescent="0.2">
      <c r="B265" s="2">
        <v>25000000000262</v>
      </c>
      <c r="C265" s="5" t="s">
        <v>261</v>
      </c>
    </row>
    <row r="266" spans="2:3" x14ac:dyDescent="0.2">
      <c r="B266" s="2">
        <v>25000000000263</v>
      </c>
      <c r="C266" s="5" t="s">
        <v>262</v>
      </c>
    </row>
    <row r="267" spans="2:3" x14ac:dyDescent="0.2">
      <c r="B267" s="2">
        <v>25000000000264</v>
      </c>
      <c r="C267" s="5" t="s">
        <v>263</v>
      </c>
    </row>
    <row r="268" spans="2:3" x14ac:dyDescent="0.2">
      <c r="B268" s="2">
        <v>25000000000265</v>
      </c>
      <c r="C268" s="5" t="s">
        <v>264</v>
      </c>
    </row>
    <row r="269" spans="2:3" x14ac:dyDescent="0.2">
      <c r="B269" s="2">
        <v>25000000000266</v>
      </c>
      <c r="C269" s="5" t="s">
        <v>265</v>
      </c>
    </row>
    <row r="270" spans="2:3" x14ac:dyDescent="0.2">
      <c r="B270" s="2">
        <v>25000000000267</v>
      </c>
      <c r="C270" s="5" t="s">
        <v>266</v>
      </c>
    </row>
    <row r="271" spans="2:3" x14ac:dyDescent="0.2">
      <c r="B271" s="2">
        <v>25000000000268</v>
      </c>
      <c r="C271" s="5" t="s">
        <v>267</v>
      </c>
    </row>
    <row r="272" spans="2:3" x14ac:dyDescent="0.2">
      <c r="B272" s="2">
        <v>25000000000269</v>
      </c>
      <c r="C272" s="5" t="s">
        <v>268</v>
      </c>
    </row>
    <row r="273" spans="2:3" x14ac:dyDescent="0.2">
      <c r="B273" s="2">
        <v>25000000000270</v>
      </c>
      <c r="C273" s="5" t="s">
        <v>269</v>
      </c>
    </row>
    <row r="274" spans="2:3" x14ac:dyDescent="0.2">
      <c r="B274" s="2">
        <v>25000000000271</v>
      </c>
      <c r="C274" s="5" t="s">
        <v>270</v>
      </c>
    </row>
    <row r="275" spans="2:3" x14ac:dyDescent="0.2">
      <c r="B275" s="2">
        <v>25000000000272</v>
      </c>
      <c r="C275" s="5" t="s">
        <v>271</v>
      </c>
    </row>
    <row r="276" spans="2:3" x14ac:dyDescent="0.2">
      <c r="B276" s="2">
        <v>25000000000273</v>
      </c>
      <c r="C276" s="5" t="s">
        <v>272</v>
      </c>
    </row>
    <row r="277" spans="2:3" x14ac:dyDescent="0.2">
      <c r="B277" s="2">
        <v>25000000000274</v>
      </c>
      <c r="C277" s="5" t="s">
        <v>273</v>
      </c>
    </row>
    <row r="278" spans="2:3" x14ac:dyDescent="0.2">
      <c r="B278" s="2">
        <v>25000000000275</v>
      </c>
      <c r="C278" s="5" t="s">
        <v>274</v>
      </c>
    </row>
    <row r="279" spans="2:3" x14ac:dyDescent="0.2">
      <c r="B279" s="2">
        <v>25000000000276</v>
      </c>
      <c r="C279" s="5" t="s">
        <v>275</v>
      </c>
    </row>
    <row r="280" spans="2:3" x14ac:dyDescent="0.2">
      <c r="B280" s="2">
        <v>25000000000277</v>
      </c>
      <c r="C280" s="5" t="s">
        <v>276</v>
      </c>
    </row>
    <row r="281" spans="2:3" x14ac:dyDescent="0.2">
      <c r="B281" s="2">
        <v>25000000000278</v>
      </c>
      <c r="C281" s="5" t="s">
        <v>277</v>
      </c>
    </row>
    <row r="282" spans="2:3" x14ac:dyDescent="0.2">
      <c r="B282" s="2">
        <v>25000000000279</v>
      </c>
      <c r="C282" s="5" t="s">
        <v>278</v>
      </c>
    </row>
    <row r="283" spans="2:3" x14ac:dyDescent="0.2">
      <c r="B283" s="2">
        <v>25000000000280</v>
      </c>
      <c r="C283" s="5" t="s">
        <v>279</v>
      </c>
    </row>
    <row r="284" spans="2:3" x14ac:dyDescent="0.2">
      <c r="B284" s="2">
        <v>25000000000281</v>
      </c>
      <c r="C284" s="5" t="s">
        <v>280</v>
      </c>
    </row>
    <row r="285" spans="2:3" x14ac:dyDescent="0.2">
      <c r="B285" s="2">
        <v>25000000000282</v>
      </c>
      <c r="C285" s="5" t="s">
        <v>281</v>
      </c>
    </row>
    <row r="286" spans="2:3" x14ac:dyDescent="0.2">
      <c r="B286" s="2">
        <v>25000000000283</v>
      </c>
      <c r="C286" s="5" t="s">
        <v>282</v>
      </c>
    </row>
    <row r="287" spans="2:3" x14ac:dyDescent="0.2">
      <c r="B287" s="2">
        <v>25000000000284</v>
      </c>
      <c r="C287" s="5" t="s">
        <v>283</v>
      </c>
    </row>
    <row r="288" spans="2:3" x14ac:dyDescent="0.2">
      <c r="B288" s="2">
        <v>25000000000285</v>
      </c>
      <c r="C288" s="5" t="s">
        <v>284</v>
      </c>
    </row>
    <row r="289" spans="2:3" x14ac:dyDescent="0.2">
      <c r="B289" s="2">
        <v>25000000000286</v>
      </c>
      <c r="C289" s="5" t="s">
        <v>285</v>
      </c>
    </row>
    <row r="290" spans="2:3" x14ac:dyDescent="0.2">
      <c r="B290" s="2">
        <v>25000000000287</v>
      </c>
      <c r="C290" s="5" t="s">
        <v>286</v>
      </c>
    </row>
    <row r="291" spans="2:3" x14ac:dyDescent="0.2">
      <c r="B291" s="2">
        <v>25000000000288</v>
      </c>
      <c r="C291" s="5" t="s">
        <v>287</v>
      </c>
    </row>
    <row r="292" spans="2:3" x14ac:dyDescent="0.2">
      <c r="B292" s="2">
        <v>25000000000289</v>
      </c>
      <c r="C292" s="5" t="s">
        <v>288</v>
      </c>
    </row>
    <row r="293" spans="2:3" x14ac:dyDescent="0.2">
      <c r="B293" s="2">
        <v>25000000000290</v>
      </c>
      <c r="C293" s="5" t="s">
        <v>289</v>
      </c>
    </row>
    <row r="294" spans="2:3" x14ac:dyDescent="0.2">
      <c r="B294" s="2">
        <v>25000000000291</v>
      </c>
      <c r="C294" s="5" t="s">
        <v>290</v>
      </c>
    </row>
    <row r="295" spans="2:3" x14ac:dyDescent="0.2">
      <c r="B295" s="2">
        <v>25000000000292</v>
      </c>
      <c r="C295" s="5" t="s">
        <v>291</v>
      </c>
    </row>
    <row r="296" spans="2:3" x14ac:dyDescent="0.2">
      <c r="B296" s="2">
        <v>25000000000293</v>
      </c>
      <c r="C296" s="5" t="s">
        <v>292</v>
      </c>
    </row>
    <row r="297" spans="2:3" x14ac:dyDescent="0.2">
      <c r="B297" s="2">
        <v>25000000000294</v>
      </c>
      <c r="C297" s="5" t="s">
        <v>293</v>
      </c>
    </row>
    <row r="298" spans="2:3" x14ac:dyDescent="0.2">
      <c r="B298" s="2">
        <v>25000000000295</v>
      </c>
      <c r="C298" s="5" t="s">
        <v>294</v>
      </c>
    </row>
    <row r="299" spans="2:3" x14ac:dyDescent="0.2">
      <c r="B299" s="2">
        <v>25000000000296</v>
      </c>
      <c r="C299" s="5" t="s">
        <v>295</v>
      </c>
    </row>
    <row r="300" spans="2:3" x14ac:dyDescent="0.2">
      <c r="B300" s="2">
        <v>25000000000297</v>
      </c>
      <c r="C300" s="5" t="s">
        <v>296</v>
      </c>
    </row>
    <row r="301" spans="2:3" x14ac:dyDescent="0.2">
      <c r="B301" s="2">
        <v>25000000000298</v>
      </c>
      <c r="C301" s="5" t="s">
        <v>297</v>
      </c>
    </row>
    <row r="302" spans="2:3" x14ac:dyDescent="0.2">
      <c r="B302" s="2">
        <v>25000000000299</v>
      </c>
      <c r="C302" s="5" t="s">
        <v>298</v>
      </c>
    </row>
    <row r="303" spans="2:3" x14ac:dyDescent="0.2">
      <c r="B303" s="2">
        <v>25000000000300</v>
      </c>
      <c r="C303" s="5" t="s">
        <v>299</v>
      </c>
    </row>
    <row r="304" spans="2:3" x14ac:dyDescent="0.2">
      <c r="B304" s="2">
        <v>25000000000301</v>
      </c>
      <c r="C304" s="5" t="s">
        <v>300</v>
      </c>
    </row>
    <row r="305" spans="2:3" x14ac:dyDescent="0.2">
      <c r="B305" s="2">
        <v>25000000000302</v>
      </c>
      <c r="C305" s="5" t="s">
        <v>301</v>
      </c>
    </row>
    <row r="306" spans="2:3" x14ac:dyDescent="0.2">
      <c r="B306" s="2">
        <v>25000000000303</v>
      </c>
      <c r="C306" s="5" t="s">
        <v>302</v>
      </c>
    </row>
    <row r="307" spans="2:3" x14ac:dyDescent="0.2">
      <c r="B307" s="2">
        <v>25000000000304</v>
      </c>
      <c r="C307" s="5" t="s">
        <v>303</v>
      </c>
    </row>
    <row r="308" spans="2:3" x14ac:dyDescent="0.2">
      <c r="B308" s="2">
        <v>25000000000305</v>
      </c>
      <c r="C308" s="5" t="s">
        <v>304</v>
      </c>
    </row>
    <row r="309" spans="2:3" x14ac:dyDescent="0.2">
      <c r="B309" s="2">
        <v>25000000000306</v>
      </c>
      <c r="C309" s="5" t="s">
        <v>305</v>
      </c>
    </row>
    <row r="310" spans="2:3" x14ac:dyDescent="0.2">
      <c r="B310" s="2">
        <v>25000000000307</v>
      </c>
      <c r="C310" s="5" t="s">
        <v>306</v>
      </c>
    </row>
    <row r="311" spans="2:3" x14ac:dyDescent="0.2">
      <c r="B311" s="2">
        <v>25000000000308</v>
      </c>
      <c r="C311" s="5" t="s">
        <v>307</v>
      </c>
    </row>
    <row r="312" spans="2:3" x14ac:dyDescent="0.2">
      <c r="B312" s="2">
        <v>25000000000309</v>
      </c>
      <c r="C312" s="5" t="s">
        <v>308</v>
      </c>
    </row>
    <row r="313" spans="2:3" x14ac:dyDescent="0.2">
      <c r="B313" s="2">
        <v>25000000000310</v>
      </c>
      <c r="C313" s="5" t="s">
        <v>309</v>
      </c>
    </row>
    <row r="314" spans="2:3" x14ac:dyDescent="0.2">
      <c r="B314" s="2">
        <v>25000000000311</v>
      </c>
      <c r="C314" s="5" t="s">
        <v>310</v>
      </c>
    </row>
    <row r="315" spans="2:3" x14ac:dyDescent="0.2">
      <c r="B315" s="2">
        <v>25000000000312</v>
      </c>
      <c r="C315" s="5" t="s">
        <v>311</v>
      </c>
    </row>
    <row r="316" spans="2:3" x14ac:dyDescent="0.2">
      <c r="B316" s="2">
        <v>25000000000313</v>
      </c>
      <c r="C316" s="5" t="s">
        <v>312</v>
      </c>
    </row>
    <row r="317" spans="2:3" x14ac:dyDescent="0.2">
      <c r="B317" s="2">
        <v>25000000000314</v>
      </c>
      <c r="C317" s="5" t="s">
        <v>313</v>
      </c>
    </row>
    <row r="318" spans="2:3" x14ac:dyDescent="0.2">
      <c r="B318" s="2">
        <v>25000000000315</v>
      </c>
      <c r="C318" s="5" t="s">
        <v>314</v>
      </c>
    </row>
    <row r="319" spans="2:3" x14ac:dyDescent="0.2">
      <c r="B319" s="2">
        <v>25000000000316</v>
      </c>
      <c r="C319" s="5" t="s">
        <v>315</v>
      </c>
    </row>
    <row r="320" spans="2:3" x14ac:dyDescent="0.2">
      <c r="B320" s="2">
        <v>25000000000317</v>
      </c>
      <c r="C320" s="5" t="s">
        <v>316</v>
      </c>
    </row>
    <row r="321" spans="2:3" x14ac:dyDescent="0.2">
      <c r="B321" s="2">
        <v>25000000000318</v>
      </c>
      <c r="C321" s="5" t="s">
        <v>317</v>
      </c>
    </row>
    <row r="322" spans="2:3" x14ac:dyDescent="0.2">
      <c r="B322" s="2">
        <v>25000000000319</v>
      </c>
      <c r="C322" s="5" t="s">
        <v>318</v>
      </c>
    </row>
    <row r="323" spans="2:3" x14ac:dyDescent="0.2">
      <c r="B323" s="2">
        <v>25000000000320</v>
      </c>
      <c r="C323" s="5" t="s">
        <v>319</v>
      </c>
    </row>
    <row r="324" spans="2:3" x14ac:dyDescent="0.2">
      <c r="B324" s="2">
        <v>25000000000321</v>
      </c>
      <c r="C324" s="5" t="s">
        <v>320</v>
      </c>
    </row>
    <row r="325" spans="2:3" x14ac:dyDescent="0.2">
      <c r="B325" s="2">
        <v>25000000000322</v>
      </c>
      <c r="C325" s="5" t="s">
        <v>321</v>
      </c>
    </row>
    <row r="326" spans="2:3" x14ac:dyDescent="0.2">
      <c r="B326" s="2">
        <v>25000000000323</v>
      </c>
      <c r="C326" s="5" t="s">
        <v>322</v>
      </c>
    </row>
    <row r="327" spans="2:3" x14ac:dyDescent="0.2">
      <c r="B327" s="2">
        <v>25000000000324</v>
      </c>
      <c r="C327" s="5" t="s">
        <v>323</v>
      </c>
    </row>
    <row r="328" spans="2:3" x14ac:dyDescent="0.2">
      <c r="B328" s="2">
        <v>25000000000325</v>
      </c>
      <c r="C328" s="5" t="s">
        <v>324</v>
      </c>
    </row>
    <row r="329" spans="2:3" x14ac:dyDescent="0.2">
      <c r="B329" s="2">
        <v>25000000000326</v>
      </c>
      <c r="C329" s="5" t="s">
        <v>325</v>
      </c>
    </row>
    <row r="330" spans="2:3" x14ac:dyDescent="0.2">
      <c r="B330" s="2">
        <v>25000000000327</v>
      </c>
      <c r="C330" s="5" t="s">
        <v>326</v>
      </c>
    </row>
    <row r="331" spans="2:3" x14ac:dyDescent="0.2">
      <c r="B331" s="2">
        <v>25000000000328</v>
      </c>
      <c r="C331" s="5" t="s">
        <v>327</v>
      </c>
    </row>
    <row r="332" spans="2:3" x14ac:dyDescent="0.2">
      <c r="B332" s="2">
        <v>25000000000329</v>
      </c>
      <c r="C332" s="5" t="s">
        <v>328</v>
      </c>
    </row>
    <row r="333" spans="2:3" x14ac:dyDescent="0.2">
      <c r="B333" s="2">
        <v>25000000000330</v>
      </c>
      <c r="C333" s="5" t="s">
        <v>329</v>
      </c>
    </row>
    <row r="334" spans="2:3" x14ac:dyDescent="0.2">
      <c r="B334" s="2">
        <v>25000000000331</v>
      </c>
      <c r="C334" s="5" t="s">
        <v>330</v>
      </c>
    </row>
    <row r="335" spans="2:3" x14ac:dyDescent="0.2">
      <c r="B335" s="2">
        <v>25000000000332</v>
      </c>
      <c r="C335" s="5" t="s">
        <v>331</v>
      </c>
    </row>
    <row r="336" spans="2:3" x14ac:dyDescent="0.2">
      <c r="B336" s="2">
        <v>25000000000333</v>
      </c>
      <c r="C336" s="5" t="s">
        <v>332</v>
      </c>
    </row>
    <row r="337" spans="2:3" x14ac:dyDescent="0.2">
      <c r="B337" s="2">
        <v>25000000000334</v>
      </c>
      <c r="C337" s="5" t="s">
        <v>333</v>
      </c>
    </row>
    <row r="338" spans="2:3" x14ac:dyDescent="0.2">
      <c r="B338" s="2">
        <v>25000000000335</v>
      </c>
      <c r="C338" s="5" t="s">
        <v>334</v>
      </c>
    </row>
    <row r="339" spans="2:3" x14ac:dyDescent="0.2">
      <c r="B339" s="2">
        <v>25000000000336</v>
      </c>
      <c r="C339" s="5" t="s">
        <v>335</v>
      </c>
    </row>
    <row r="340" spans="2:3" x14ac:dyDescent="0.2">
      <c r="B340" s="2">
        <v>25000000000337</v>
      </c>
      <c r="C340" s="5" t="s">
        <v>336</v>
      </c>
    </row>
    <row r="341" spans="2:3" x14ac:dyDescent="0.2">
      <c r="B341" s="2">
        <v>25000000000338</v>
      </c>
      <c r="C341" s="5" t="s">
        <v>337</v>
      </c>
    </row>
    <row r="342" spans="2:3" x14ac:dyDescent="0.2">
      <c r="B342" s="2">
        <v>25000000000339</v>
      </c>
      <c r="C342" s="5" t="s">
        <v>338</v>
      </c>
    </row>
    <row r="343" spans="2:3" x14ac:dyDescent="0.2">
      <c r="B343" s="2">
        <v>25000000000340</v>
      </c>
      <c r="C343" s="5" t="s">
        <v>339</v>
      </c>
    </row>
    <row r="344" spans="2:3" x14ac:dyDescent="0.2">
      <c r="B344" s="2">
        <v>25000000000341</v>
      </c>
      <c r="C344" s="5" t="s">
        <v>340</v>
      </c>
    </row>
    <row r="345" spans="2:3" x14ac:dyDescent="0.2">
      <c r="B345" s="2">
        <v>25000000000342</v>
      </c>
      <c r="C345" s="5" t="s">
        <v>341</v>
      </c>
    </row>
    <row r="346" spans="2:3" x14ac:dyDescent="0.2">
      <c r="B346" s="2">
        <v>25000000000343</v>
      </c>
      <c r="C346" s="5" t="s">
        <v>342</v>
      </c>
    </row>
    <row r="347" spans="2:3" x14ac:dyDescent="0.2">
      <c r="B347" s="2">
        <v>25000000000344</v>
      </c>
      <c r="C347" s="5" t="s">
        <v>343</v>
      </c>
    </row>
    <row r="348" spans="2:3" x14ac:dyDescent="0.2">
      <c r="B348" s="2">
        <v>25000000000345</v>
      </c>
      <c r="C348" s="5" t="s">
        <v>344</v>
      </c>
    </row>
    <row r="349" spans="2:3" x14ac:dyDescent="0.2">
      <c r="B349" s="2">
        <v>25000000000346</v>
      </c>
      <c r="C349" s="5" t="s">
        <v>345</v>
      </c>
    </row>
    <row r="350" spans="2:3" x14ac:dyDescent="0.2">
      <c r="B350" s="2">
        <v>25000000000347</v>
      </c>
      <c r="C350" s="5" t="s">
        <v>346</v>
      </c>
    </row>
    <row r="351" spans="2:3" x14ac:dyDescent="0.2">
      <c r="B351" s="2">
        <v>25000000000348</v>
      </c>
      <c r="C351" s="5" t="s">
        <v>347</v>
      </c>
    </row>
    <row r="352" spans="2:3" x14ac:dyDescent="0.2">
      <c r="B352" s="2">
        <v>25000000000349</v>
      </c>
      <c r="C352" s="5" t="s">
        <v>348</v>
      </c>
    </row>
    <row r="353" spans="2:3" x14ac:dyDescent="0.2">
      <c r="B353" s="2">
        <v>25000000000350</v>
      </c>
      <c r="C353" s="5" t="s">
        <v>349</v>
      </c>
    </row>
    <row r="354" spans="2:3" x14ac:dyDescent="0.2">
      <c r="B354" s="2">
        <v>25000000000351</v>
      </c>
      <c r="C354" s="5" t="s">
        <v>350</v>
      </c>
    </row>
    <row r="355" spans="2:3" x14ac:dyDescent="0.2">
      <c r="B355" s="2">
        <v>25000000000352</v>
      </c>
      <c r="C355" s="5" t="s">
        <v>351</v>
      </c>
    </row>
    <row r="356" spans="2:3" x14ac:dyDescent="0.2">
      <c r="B356" s="2">
        <v>25000000000353</v>
      </c>
      <c r="C356" s="5" t="s">
        <v>352</v>
      </c>
    </row>
    <row r="357" spans="2:3" x14ac:dyDescent="0.2">
      <c r="B357" s="2">
        <v>25000000000354</v>
      </c>
      <c r="C357" s="5" t="s">
        <v>353</v>
      </c>
    </row>
    <row r="358" spans="2:3" x14ac:dyDescent="0.2">
      <c r="B358" s="2">
        <v>25000000000355</v>
      </c>
      <c r="C358" s="5" t="s">
        <v>354</v>
      </c>
    </row>
    <row r="359" spans="2:3" x14ac:dyDescent="0.2">
      <c r="B359" s="2">
        <v>25000000000356</v>
      </c>
      <c r="C359" s="5" t="s">
        <v>355</v>
      </c>
    </row>
    <row r="360" spans="2:3" x14ac:dyDescent="0.2">
      <c r="B360" s="2">
        <v>25000000000357</v>
      </c>
      <c r="C360" s="5" t="s">
        <v>356</v>
      </c>
    </row>
    <row r="361" spans="2:3" x14ac:dyDescent="0.2">
      <c r="B361" s="2">
        <v>25000000000358</v>
      </c>
      <c r="C361" s="5" t="s">
        <v>357</v>
      </c>
    </row>
    <row r="362" spans="2:3" x14ac:dyDescent="0.2">
      <c r="B362" s="2">
        <v>25000000000359</v>
      </c>
      <c r="C362" s="5" t="s">
        <v>358</v>
      </c>
    </row>
    <row r="363" spans="2:3" x14ac:dyDescent="0.2">
      <c r="B363" s="2">
        <v>25000000000360</v>
      </c>
      <c r="C363" s="5" t="s">
        <v>359</v>
      </c>
    </row>
    <row r="364" spans="2:3" x14ac:dyDescent="0.2">
      <c r="B364" s="2">
        <v>25000000000361</v>
      </c>
      <c r="C364" s="5" t="s">
        <v>360</v>
      </c>
    </row>
    <row r="365" spans="2:3" x14ac:dyDescent="0.2">
      <c r="B365" s="2">
        <v>25000000000362</v>
      </c>
      <c r="C365" s="5" t="s">
        <v>361</v>
      </c>
    </row>
    <row r="366" spans="2:3" x14ac:dyDescent="0.2">
      <c r="B366" s="2">
        <v>25000000000363</v>
      </c>
      <c r="C366" s="5" t="s">
        <v>362</v>
      </c>
    </row>
    <row r="367" spans="2:3" x14ac:dyDescent="0.2">
      <c r="B367" s="2">
        <v>25000000000364</v>
      </c>
      <c r="C367" s="5" t="s">
        <v>363</v>
      </c>
    </row>
    <row r="368" spans="2:3" x14ac:dyDescent="0.2">
      <c r="B368" s="2">
        <v>25000000000365</v>
      </c>
      <c r="C368" s="5" t="s">
        <v>364</v>
      </c>
    </row>
    <row r="369" spans="2:3" x14ac:dyDescent="0.2">
      <c r="B369" s="2">
        <v>25000000000366</v>
      </c>
      <c r="C369" s="5" t="s">
        <v>365</v>
      </c>
    </row>
    <row r="370" spans="2:3" x14ac:dyDescent="0.2">
      <c r="B370" s="2">
        <v>25000000000367</v>
      </c>
      <c r="C370" s="5" t="s">
        <v>366</v>
      </c>
    </row>
    <row r="371" spans="2:3" x14ac:dyDescent="0.2">
      <c r="B371" s="2">
        <v>25000000000368</v>
      </c>
      <c r="C371" s="5" t="s">
        <v>367</v>
      </c>
    </row>
    <row r="372" spans="2:3" x14ac:dyDescent="0.2">
      <c r="B372" s="2">
        <v>25000000000369</v>
      </c>
      <c r="C372" s="5" t="s">
        <v>368</v>
      </c>
    </row>
    <row r="373" spans="2:3" x14ac:dyDescent="0.2">
      <c r="B373" s="2">
        <v>25000000000370</v>
      </c>
      <c r="C373" s="5" t="s">
        <v>369</v>
      </c>
    </row>
    <row r="374" spans="2:3" x14ac:dyDescent="0.2">
      <c r="B374" s="2">
        <v>25000000000371</v>
      </c>
      <c r="C374" s="5" t="s">
        <v>370</v>
      </c>
    </row>
    <row r="375" spans="2:3" x14ac:dyDescent="0.2">
      <c r="B375" s="2">
        <v>25000000000372</v>
      </c>
      <c r="C375" s="5" t="s">
        <v>371</v>
      </c>
    </row>
    <row r="376" spans="2:3" x14ac:dyDescent="0.2">
      <c r="B376" s="2">
        <v>25000000000373</v>
      </c>
      <c r="C376" s="5" t="s">
        <v>372</v>
      </c>
    </row>
    <row r="377" spans="2:3" x14ac:dyDescent="0.2">
      <c r="B377" s="2">
        <v>25000000000374</v>
      </c>
      <c r="C377" s="5" t="s">
        <v>373</v>
      </c>
    </row>
    <row r="378" spans="2:3" x14ac:dyDescent="0.2">
      <c r="B378" s="2">
        <v>25000000000375</v>
      </c>
      <c r="C378" s="5" t="s">
        <v>374</v>
      </c>
    </row>
    <row r="379" spans="2:3" x14ac:dyDescent="0.2">
      <c r="B379" s="2">
        <v>25000000000376</v>
      </c>
      <c r="C379" s="5" t="s">
        <v>375</v>
      </c>
    </row>
    <row r="380" spans="2:3" x14ac:dyDescent="0.2">
      <c r="B380" s="2">
        <v>25000000000377</v>
      </c>
      <c r="C380" s="5" t="s">
        <v>376</v>
      </c>
    </row>
    <row r="381" spans="2:3" x14ac:dyDescent="0.2">
      <c r="B381" s="2">
        <v>25000000000378</v>
      </c>
      <c r="C381" s="5" t="s">
        <v>377</v>
      </c>
    </row>
    <row r="382" spans="2:3" x14ac:dyDescent="0.2">
      <c r="B382" s="2">
        <v>25000000000379</v>
      </c>
      <c r="C382" s="5" t="s">
        <v>378</v>
      </c>
    </row>
    <row r="383" spans="2:3" x14ac:dyDescent="0.2">
      <c r="B383" s="2">
        <v>25000000000380</v>
      </c>
      <c r="C383" s="5" t="s">
        <v>379</v>
      </c>
    </row>
    <row r="384" spans="2:3" x14ac:dyDescent="0.2">
      <c r="B384" s="2">
        <v>25000000000381</v>
      </c>
      <c r="C384" s="5" t="s">
        <v>380</v>
      </c>
    </row>
    <row r="385" spans="2:3" x14ac:dyDescent="0.2">
      <c r="B385" s="2">
        <v>25000000000382</v>
      </c>
      <c r="C385" s="5" t="s">
        <v>381</v>
      </c>
    </row>
    <row r="386" spans="2:3" x14ac:dyDescent="0.2">
      <c r="B386" s="2">
        <v>25000000000383</v>
      </c>
      <c r="C386" s="5" t="s">
        <v>382</v>
      </c>
    </row>
    <row r="387" spans="2:3" x14ac:dyDescent="0.2">
      <c r="B387" s="2">
        <v>25000000000384</v>
      </c>
      <c r="C387" s="5" t="s">
        <v>383</v>
      </c>
    </row>
    <row r="388" spans="2:3" x14ac:dyDescent="0.2">
      <c r="B388" s="2">
        <v>25000000000385</v>
      </c>
      <c r="C388" s="5" t="s">
        <v>384</v>
      </c>
    </row>
    <row r="389" spans="2:3" x14ac:dyDescent="0.2">
      <c r="B389" s="2">
        <v>25000000000386</v>
      </c>
      <c r="C389" s="5" t="s">
        <v>385</v>
      </c>
    </row>
    <row r="390" spans="2:3" x14ac:dyDescent="0.2">
      <c r="B390" s="2">
        <v>25000000000387</v>
      </c>
      <c r="C390" s="5" t="s">
        <v>386</v>
      </c>
    </row>
    <row r="391" spans="2:3" x14ac:dyDescent="0.2">
      <c r="B391" s="2">
        <v>25000000000388</v>
      </c>
      <c r="C391" s="5" t="s">
        <v>387</v>
      </c>
    </row>
    <row r="392" spans="2:3" x14ac:dyDescent="0.2">
      <c r="B392" s="2">
        <v>25000000000389</v>
      </c>
      <c r="C392" s="5" t="s">
        <v>388</v>
      </c>
    </row>
    <row r="393" spans="2:3" x14ac:dyDescent="0.2">
      <c r="B393" s="2">
        <v>25000000000390</v>
      </c>
      <c r="C393" s="5" t="s">
        <v>389</v>
      </c>
    </row>
    <row r="394" spans="2:3" x14ac:dyDescent="0.2">
      <c r="B394" s="2">
        <v>25000000000391</v>
      </c>
      <c r="C394" s="5" t="s">
        <v>390</v>
      </c>
    </row>
    <row r="395" spans="2:3" x14ac:dyDescent="0.2">
      <c r="B395" s="2">
        <v>25000000000392</v>
      </c>
      <c r="C395" s="5" t="s">
        <v>391</v>
      </c>
    </row>
    <row r="396" spans="2:3" x14ac:dyDescent="0.2">
      <c r="B396" s="2">
        <v>25000000000393</v>
      </c>
      <c r="C396" s="5" t="s">
        <v>392</v>
      </c>
    </row>
    <row r="397" spans="2:3" x14ac:dyDescent="0.2">
      <c r="B397" s="2">
        <v>25000000000394</v>
      </c>
      <c r="C397" s="5" t="s">
        <v>393</v>
      </c>
    </row>
    <row r="398" spans="2:3" x14ac:dyDescent="0.2">
      <c r="B398" s="2">
        <v>25000000000395</v>
      </c>
      <c r="C398" s="5" t="s">
        <v>394</v>
      </c>
    </row>
    <row r="399" spans="2:3" x14ac:dyDescent="0.2">
      <c r="B399" s="2">
        <v>25000000000396</v>
      </c>
      <c r="C399" s="5" t="s">
        <v>395</v>
      </c>
    </row>
    <row r="400" spans="2:3" x14ac:dyDescent="0.2">
      <c r="B400" s="2">
        <v>25000000000397</v>
      </c>
      <c r="C400" s="5" t="s">
        <v>396</v>
      </c>
    </row>
    <row r="401" spans="2:3" x14ac:dyDescent="0.2">
      <c r="B401" s="2">
        <v>25000000000398</v>
      </c>
      <c r="C401" s="5" t="s">
        <v>397</v>
      </c>
    </row>
    <row r="402" spans="2:3" x14ac:dyDescent="0.2">
      <c r="B402" s="2">
        <v>25000000000399</v>
      </c>
      <c r="C402" s="5" t="s">
        <v>398</v>
      </c>
    </row>
    <row r="403" spans="2:3" x14ac:dyDescent="0.2">
      <c r="B403" s="2">
        <v>25000000000400</v>
      </c>
      <c r="C403" s="5" t="s">
        <v>399</v>
      </c>
    </row>
    <row r="404" spans="2:3" x14ac:dyDescent="0.2">
      <c r="B404" s="2">
        <v>25000000000401</v>
      </c>
      <c r="C404" s="5" t="s">
        <v>400</v>
      </c>
    </row>
    <row r="405" spans="2:3" x14ac:dyDescent="0.2">
      <c r="B405" s="2">
        <v>25000000000402</v>
      </c>
      <c r="C405" s="5" t="s">
        <v>401</v>
      </c>
    </row>
    <row r="406" spans="2:3" x14ac:dyDescent="0.2">
      <c r="B406" s="2">
        <v>25000000000403</v>
      </c>
      <c r="C406" s="5" t="s">
        <v>402</v>
      </c>
    </row>
    <row r="407" spans="2:3" x14ac:dyDescent="0.2">
      <c r="B407" s="2">
        <v>25000000000404</v>
      </c>
      <c r="C407" s="5" t="s">
        <v>403</v>
      </c>
    </row>
    <row r="408" spans="2:3" x14ac:dyDescent="0.2">
      <c r="B408" s="2">
        <v>25000000000405</v>
      </c>
      <c r="C408" s="5" t="s">
        <v>404</v>
      </c>
    </row>
    <row r="409" spans="2:3" x14ac:dyDescent="0.2">
      <c r="B409" s="2">
        <v>25000000000406</v>
      </c>
      <c r="C409" s="5" t="s">
        <v>405</v>
      </c>
    </row>
    <row r="410" spans="2:3" x14ac:dyDescent="0.2">
      <c r="B410" s="2">
        <v>25000000000407</v>
      </c>
      <c r="C410" s="5" t="s">
        <v>406</v>
      </c>
    </row>
    <row r="411" spans="2:3" x14ac:dyDescent="0.2">
      <c r="B411" s="2">
        <v>25000000000408</v>
      </c>
      <c r="C411" s="5" t="s">
        <v>407</v>
      </c>
    </row>
    <row r="412" spans="2:3" x14ac:dyDescent="0.2">
      <c r="B412" s="2">
        <v>25000000000409</v>
      </c>
      <c r="C412" s="5" t="s">
        <v>408</v>
      </c>
    </row>
    <row r="413" spans="2:3" x14ac:dyDescent="0.2">
      <c r="B413" s="2">
        <v>25000000000410</v>
      </c>
      <c r="C413" s="5" t="s">
        <v>409</v>
      </c>
    </row>
    <row r="414" spans="2:3" x14ac:dyDescent="0.2">
      <c r="B414" s="2">
        <v>25000000000411</v>
      </c>
      <c r="C414" s="5" t="s">
        <v>410</v>
      </c>
    </row>
    <row r="415" spans="2:3" x14ac:dyDescent="0.2">
      <c r="B415" s="2">
        <v>25000000000412</v>
      </c>
      <c r="C415" s="5" t="s">
        <v>411</v>
      </c>
    </row>
    <row r="416" spans="2:3" x14ac:dyDescent="0.2">
      <c r="B416" s="2">
        <v>25000000000413</v>
      </c>
      <c r="C416" s="5" t="s">
        <v>412</v>
      </c>
    </row>
    <row r="417" spans="2:3" x14ac:dyDescent="0.2">
      <c r="B417" s="2">
        <v>25000000000414</v>
      </c>
      <c r="C417" s="5" t="s">
        <v>413</v>
      </c>
    </row>
    <row r="418" spans="2:3" x14ac:dyDescent="0.2">
      <c r="B418" s="2">
        <v>25000000000415</v>
      </c>
      <c r="C418" s="5" t="s">
        <v>414</v>
      </c>
    </row>
    <row r="419" spans="2:3" x14ac:dyDescent="0.2">
      <c r="B419" s="2">
        <v>25000000000416</v>
      </c>
      <c r="C419" s="5" t="s">
        <v>415</v>
      </c>
    </row>
    <row r="420" spans="2:3" x14ac:dyDescent="0.2">
      <c r="B420" s="2">
        <v>25000000000417</v>
      </c>
      <c r="C420" s="5" t="s">
        <v>416</v>
      </c>
    </row>
    <row r="421" spans="2:3" x14ac:dyDescent="0.2">
      <c r="B421" s="2">
        <v>25000000000418</v>
      </c>
      <c r="C421" s="5" t="s">
        <v>417</v>
      </c>
    </row>
    <row r="422" spans="2:3" x14ac:dyDescent="0.2">
      <c r="B422" s="2">
        <v>25000000000419</v>
      </c>
      <c r="C422" s="5" t="s">
        <v>418</v>
      </c>
    </row>
    <row r="423" spans="2:3" x14ac:dyDescent="0.2">
      <c r="B423" s="2">
        <v>25000000000420</v>
      </c>
      <c r="C423" s="5" t="s">
        <v>419</v>
      </c>
    </row>
    <row r="424" spans="2:3" x14ac:dyDescent="0.2">
      <c r="B424" s="2">
        <v>25000000000421</v>
      </c>
      <c r="C424" s="5" t="s">
        <v>420</v>
      </c>
    </row>
    <row r="425" spans="2:3" x14ac:dyDescent="0.2">
      <c r="B425" s="2">
        <v>25000000000422</v>
      </c>
      <c r="C425" s="5" t="s">
        <v>421</v>
      </c>
    </row>
    <row r="426" spans="2:3" x14ac:dyDescent="0.2">
      <c r="B426" s="2">
        <v>25000000000423</v>
      </c>
      <c r="C426" s="5" t="s">
        <v>422</v>
      </c>
    </row>
    <row r="427" spans="2:3" x14ac:dyDescent="0.2">
      <c r="B427" s="2">
        <v>25000000000424</v>
      </c>
      <c r="C427" s="5" t="s">
        <v>423</v>
      </c>
    </row>
    <row r="428" spans="2:3" x14ac:dyDescent="0.2">
      <c r="B428" s="2">
        <v>25000000000425</v>
      </c>
      <c r="C428" s="5" t="s">
        <v>424</v>
      </c>
    </row>
    <row r="429" spans="2:3" x14ac:dyDescent="0.2">
      <c r="B429" s="2">
        <v>25000000000426</v>
      </c>
      <c r="C429" s="5" t="s">
        <v>425</v>
      </c>
    </row>
    <row r="430" spans="2:3" x14ac:dyDescent="0.2">
      <c r="B430" s="2">
        <v>25000000000427</v>
      </c>
      <c r="C430" s="5" t="s">
        <v>426</v>
      </c>
    </row>
    <row r="431" spans="2:3" x14ac:dyDescent="0.2">
      <c r="B431" s="2">
        <v>25000000000428</v>
      </c>
      <c r="C431" s="5" t="s">
        <v>427</v>
      </c>
    </row>
    <row r="432" spans="2:3" x14ac:dyDescent="0.2">
      <c r="B432" s="2">
        <v>25000000000429</v>
      </c>
      <c r="C432" s="5" t="s">
        <v>428</v>
      </c>
    </row>
    <row r="433" spans="2:3" x14ac:dyDescent="0.2">
      <c r="B433" s="2">
        <v>25000000000430</v>
      </c>
      <c r="C433" s="5" t="s">
        <v>429</v>
      </c>
    </row>
    <row r="434" spans="2:3" x14ac:dyDescent="0.2">
      <c r="B434" s="2">
        <v>25000000000431</v>
      </c>
      <c r="C434" s="5" t="s">
        <v>430</v>
      </c>
    </row>
    <row r="435" spans="2:3" x14ac:dyDescent="0.2">
      <c r="B435" s="2">
        <v>25000000000432</v>
      </c>
      <c r="C435" s="5" t="s">
        <v>431</v>
      </c>
    </row>
    <row r="436" spans="2:3" x14ac:dyDescent="0.2">
      <c r="B436" s="2">
        <v>25000000000433</v>
      </c>
      <c r="C436" s="5" t="s">
        <v>432</v>
      </c>
    </row>
    <row r="437" spans="2:3" x14ac:dyDescent="0.2">
      <c r="B437" s="2">
        <v>25000000000434</v>
      </c>
      <c r="C437" s="5" t="s">
        <v>433</v>
      </c>
    </row>
    <row r="438" spans="2:3" x14ac:dyDescent="0.2">
      <c r="B438" s="2">
        <v>25000000000435</v>
      </c>
      <c r="C438" s="5" t="s">
        <v>434</v>
      </c>
    </row>
    <row r="439" spans="2:3" x14ac:dyDescent="0.2">
      <c r="B439" s="2">
        <v>25000000000436</v>
      </c>
      <c r="C439" s="5" t="s">
        <v>435</v>
      </c>
    </row>
    <row r="440" spans="2:3" x14ac:dyDescent="0.2">
      <c r="B440" s="2">
        <v>25000000000437</v>
      </c>
      <c r="C440" s="5" t="s">
        <v>436</v>
      </c>
    </row>
    <row r="441" spans="2:3" x14ac:dyDescent="0.2">
      <c r="B441" s="2">
        <v>25000000000438</v>
      </c>
      <c r="C441" s="5" t="s">
        <v>437</v>
      </c>
    </row>
    <row r="442" spans="2:3" x14ac:dyDescent="0.2">
      <c r="B442" s="2">
        <v>25000000000439</v>
      </c>
      <c r="C442" s="5" t="s">
        <v>438</v>
      </c>
    </row>
    <row r="443" spans="2:3" x14ac:dyDescent="0.2">
      <c r="B443" s="2">
        <v>25000000000440</v>
      </c>
      <c r="C443" s="5" t="s">
        <v>439</v>
      </c>
    </row>
    <row r="444" spans="2:3" x14ac:dyDescent="0.2">
      <c r="B444" s="2">
        <v>25000000000441</v>
      </c>
      <c r="C444" s="5" t="s">
        <v>440</v>
      </c>
    </row>
    <row r="445" spans="2:3" x14ac:dyDescent="0.2">
      <c r="B445" s="2">
        <v>25000000000442</v>
      </c>
      <c r="C445" s="5" t="s">
        <v>441</v>
      </c>
    </row>
    <row r="446" spans="2:3" x14ac:dyDescent="0.2">
      <c r="B446" s="2">
        <v>25000000000443</v>
      </c>
      <c r="C446" s="5" t="s">
        <v>442</v>
      </c>
    </row>
    <row r="447" spans="2:3" x14ac:dyDescent="0.2">
      <c r="B447" s="2">
        <v>25000000000444</v>
      </c>
      <c r="C447" s="5" t="s">
        <v>443</v>
      </c>
    </row>
    <row r="448" spans="2:3" x14ac:dyDescent="0.2">
      <c r="B448" s="2">
        <v>25000000000445</v>
      </c>
      <c r="C448" s="5" t="s">
        <v>444</v>
      </c>
    </row>
    <row r="449" spans="2:3" x14ac:dyDescent="0.2">
      <c r="B449" s="2">
        <v>25000000000446</v>
      </c>
      <c r="C449" s="5" t="s">
        <v>445</v>
      </c>
    </row>
    <row r="450" spans="2:3" x14ac:dyDescent="0.2">
      <c r="B450" s="2">
        <v>25000000000447</v>
      </c>
      <c r="C450" s="5" t="s">
        <v>446</v>
      </c>
    </row>
    <row r="451" spans="2:3" x14ac:dyDescent="0.2">
      <c r="B451" s="2">
        <v>25000000000448</v>
      </c>
      <c r="C451" s="5" t="s">
        <v>447</v>
      </c>
    </row>
    <row r="452" spans="2:3" x14ac:dyDescent="0.2">
      <c r="B452" s="2">
        <v>25000000000449</v>
      </c>
      <c r="C452" s="5" t="s">
        <v>448</v>
      </c>
    </row>
    <row r="453" spans="2:3" x14ac:dyDescent="0.2">
      <c r="B453" s="2">
        <v>25000000000450</v>
      </c>
      <c r="C453" s="5" t="s">
        <v>449</v>
      </c>
    </row>
    <row r="454" spans="2:3" x14ac:dyDescent="0.2">
      <c r="B454" s="2">
        <v>25000000000451</v>
      </c>
      <c r="C454" s="5" t="s">
        <v>450</v>
      </c>
    </row>
    <row r="455" spans="2:3" x14ac:dyDescent="0.2">
      <c r="B455" s="2">
        <v>25000000000452</v>
      </c>
      <c r="C455" s="5" t="s">
        <v>451</v>
      </c>
    </row>
    <row r="456" spans="2:3" x14ac:dyDescent="0.2">
      <c r="B456" s="2">
        <v>25000000000453</v>
      </c>
      <c r="C456" s="5" t="s">
        <v>452</v>
      </c>
    </row>
    <row r="457" spans="2:3" x14ac:dyDescent="0.2">
      <c r="B457" s="2">
        <v>25000000000454</v>
      </c>
      <c r="C457" s="5" t="s">
        <v>453</v>
      </c>
    </row>
    <row r="458" spans="2:3" x14ac:dyDescent="0.2">
      <c r="B458" s="2">
        <v>25000000000455</v>
      </c>
      <c r="C458" s="5" t="s">
        <v>454</v>
      </c>
    </row>
    <row r="459" spans="2:3" x14ac:dyDescent="0.2">
      <c r="B459" s="2">
        <v>25000000000456</v>
      </c>
      <c r="C459" s="5" t="s">
        <v>455</v>
      </c>
    </row>
    <row r="460" spans="2:3" x14ac:dyDescent="0.2">
      <c r="B460" s="2">
        <v>25000000000457</v>
      </c>
      <c r="C460" s="5" t="s">
        <v>456</v>
      </c>
    </row>
    <row r="461" spans="2:3" x14ac:dyDescent="0.2">
      <c r="B461" s="2">
        <v>25000000000458</v>
      </c>
      <c r="C461" s="5" t="s">
        <v>457</v>
      </c>
    </row>
    <row r="462" spans="2:3" x14ac:dyDescent="0.2">
      <c r="B462" s="2">
        <v>25000000000459</v>
      </c>
      <c r="C462" s="5" t="s">
        <v>458</v>
      </c>
    </row>
    <row r="463" spans="2:3" x14ac:dyDescent="0.2">
      <c r="B463" s="2">
        <v>25000000000460</v>
      </c>
      <c r="C463" s="5" t="s">
        <v>459</v>
      </c>
    </row>
    <row r="464" spans="2:3" x14ac:dyDescent="0.2">
      <c r="B464" s="2">
        <v>25000000000461</v>
      </c>
      <c r="C464" s="5" t="s">
        <v>460</v>
      </c>
    </row>
    <row r="465" spans="2:3" x14ac:dyDescent="0.2">
      <c r="B465" s="2">
        <v>25000000000462</v>
      </c>
      <c r="C465" s="5" t="s">
        <v>461</v>
      </c>
    </row>
    <row r="466" spans="2:3" x14ac:dyDescent="0.2">
      <c r="B466" s="2">
        <v>25000000000463</v>
      </c>
      <c r="C466" s="5" t="s">
        <v>462</v>
      </c>
    </row>
    <row r="467" spans="2:3" x14ac:dyDescent="0.2">
      <c r="B467" s="2">
        <v>25000000000464</v>
      </c>
      <c r="C467" s="5" t="s">
        <v>463</v>
      </c>
    </row>
    <row r="468" spans="2:3" x14ac:dyDescent="0.2">
      <c r="B468" s="2">
        <v>25000000000465</v>
      </c>
      <c r="C468" s="5" t="s">
        <v>464</v>
      </c>
    </row>
    <row r="469" spans="2:3" x14ac:dyDescent="0.2">
      <c r="B469" s="2">
        <v>25000000000466</v>
      </c>
      <c r="C469" s="5" t="s">
        <v>465</v>
      </c>
    </row>
    <row r="470" spans="2:3" x14ac:dyDescent="0.2">
      <c r="B470" s="2">
        <v>25000000000467</v>
      </c>
      <c r="C470" s="5" t="s">
        <v>466</v>
      </c>
    </row>
    <row r="471" spans="2:3" x14ac:dyDescent="0.2">
      <c r="B471" s="2">
        <v>25000000000468</v>
      </c>
      <c r="C471" s="5" t="s">
        <v>467</v>
      </c>
    </row>
    <row r="472" spans="2:3" x14ac:dyDescent="0.2">
      <c r="B472" s="2">
        <v>25000000000469</v>
      </c>
      <c r="C472" s="5" t="s">
        <v>468</v>
      </c>
    </row>
    <row r="473" spans="2:3" x14ac:dyDescent="0.2">
      <c r="B473" s="2">
        <v>25000000000470</v>
      </c>
      <c r="C473" s="5" t="s">
        <v>469</v>
      </c>
    </row>
    <row r="474" spans="2:3" x14ac:dyDescent="0.2">
      <c r="B474" s="2">
        <v>25000000000471</v>
      </c>
      <c r="C474" s="5" t="s">
        <v>470</v>
      </c>
    </row>
    <row r="475" spans="2:3" x14ac:dyDescent="0.2">
      <c r="B475" s="2">
        <v>25000000000472</v>
      </c>
      <c r="C475" s="5" t="s">
        <v>471</v>
      </c>
    </row>
    <row r="476" spans="2:3" x14ac:dyDescent="0.2">
      <c r="B476" s="2">
        <v>25000000000473</v>
      </c>
      <c r="C476" s="5" t="s">
        <v>472</v>
      </c>
    </row>
    <row r="477" spans="2:3" x14ac:dyDescent="0.2">
      <c r="B477" s="2">
        <v>25000000000474</v>
      </c>
      <c r="C477" s="5" t="s">
        <v>473</v>
      </c>
    </row>
    <row r="478" spans="2:3" x14ac:dyDescent="0.2">
      <c r="B478" s="2">
        <v>25000000000475</v>
      </c>
      <c r="C478" s="5" t="s">
        <v>474</v>
      </c>
    </row>
    <row r="479" spans="2:3" x14ac:dyDescent="0.2">
      <c r="B479" s="2">
        <v>25000000000476</v>
      </c>
      <c r="C479" s="5" t="s">
        <v>475</v>
      </c>
    </row>
    <row r="480" spans="2:3" x14ac:dyDescent="0.2">
      <c r="B480" s="2">
        <v>25000000000477</v>
      </c>
      <c r="C480" s="5" t="s">
        <v>476</v>
      </c>
    </row>
    <row r="481" spans="2:3" x14ac:dyDescent="0.2">
      <c r="B481" s="2">
        <v>25000000000478</v>
      </c>
      <c r="C481" s="5" t="s">
        <v>477</v>
      </c>
    </row>
    <row r="482" spans="2:3" x14ac:dyDescent="0.2">
      <c r="B482" s="2">
        <v>25000000000479</v>
      </c>
      <c r="C482" s="5" t="s">
        <v>478</v>
      </c>
    </row>
    <row r="483" spans="2:3" x14ac:dyDescent="0.2">
      <c r="B483" s="2">
        <v>25000000000480</v>
      </c>
      <c r="C483" s="5" t="s">
        <v>479</v>
      </c>
    </row>
    <row r="484" spans="2:3" x14ac:dyDescent="0.2">
      <c r="B484" s="2">
        <v>25000000000481</v>
      </c>
      <c r="C484" s="5" t="s">
        <v>480</v>
      </c>
    </row>
    <row r="485" spans="2:3" x14ac:dyDescent="0.2">
      <c r="B485" s="2">
        <v>25000000000482</v>
      </c>
      <c r="C485" s="5" t="s">
        <v>481</v>
      </c>
    </row>
    <row r="486" spans="2:3" x14ac:dyDescent="0.2">
      <c r="B486" s="2">
        <v>25000000000483</v>
      </c>
      <c r="C486" s="5" t="s">
        <v>482</v>
      </c>
    </row>
    <row r="487" spans="2:3" x14ac:dyDescent="0.2">
      <c r="B487" s="2">
        <v>25000000000484</v>
      </c>
      <c r="C487" s="5" t="s">
        <v>483</v>
      </c>
    </row>
    <row r="488" spans="2:3" x14ac:dyDescent="0.2">
      <c r="B488" s="2">
        <v>25000000000485</v>
      </c>
      <c r="C488" s="5" t="s">
        <v>484</v>
      </c>
    </row>
    <row r="489" spans="2:3" x14ac:dyDescent="0.2">
      <c r="B489" s="2">
        <v>25000000000486</v>
      </c>
      <c r="C489" s="5" t="s">
        <v>485</v>
      </c>
    </row>
    <row r="490" spans="2:3" x14ac:dyDescent="0.2">
      <c r="B490" s="2">
        <v>25000000000487</v>
      </c>
      <c r="C490" s="5" t="s">
        <v>486</v>
      </c>
    </row>
    <row r="491" spans="2:3" x14ac:dyDescent="0.2">
      <c r="B491" s="2">
        <v>25000000000488</v>
      </c>
      <c r="C491" s="5" t="s">
        <v>487</v>
      </c>
    </row>
    <row r="492" spans="2:3" x14ac:dyDescent="0.2">
      <c r="B492" s="2">
        <v>25000000000489</v>
      </c>
      <c r="C492" s="5" t="s">
        <v>488</v>
      </c>
    </row>
    <row r="493" spans="2:3" x14ac:dyDescent="0.2">
      <c r="B493" s="2">
        <v>25000000000490</v>
      </c>
      <c r="C493" s="5" t="s">
        <v>489</v>
      </c>
    </row>
    <row r="494" spans="2:3" x14ac:dyDescent="0.2">
      <c r="B494" s="2">
        <v>25000000000491</v>
      </c>
      <c r="C494" s="5" t="s">
        <v>490</v>
      </c>
    </row>
    <row r="495" spans="2:3" x14ac:dyDescent="0.2">
      <c r="B495" s="2">
        <v>25000000000492</v>
      </c>
      <c r="C495" s="5" t="s">
        <v>491</v>
      </c>
    </row>
    <row r="496" spans="2:3" x14ac:dyDescent="0.2">
      <c r="B496" s="2">
        <v>25000000000493</v>
      </c>
      <c r="C496" s="5" t="s">
        <v>492</v>
      </c>
    </row>
    <row r="497" spans="2:3" x14ac:dyDescent="0.2">
      <c r="B497" s="2">
        <v>25000000000494</v>
      </c>
      <c r="C497" s="5" t="s">
        <v>493</v>
      </c>
    </row>
    <row r="498" spans="2:3" x14ac:dyDescent="0.2">
      <c r="B498" s="2">
        <v>25000000000495</v>
      </c>
      <c r="C498" s="5" t="s">
        <v>494</v>
      </c>
    </row>
    <row r="499" spans="2:3" x14ac:dyDescent="0.2">
      <c r="B499" s="2">
        <v>25000000000496</v>
      </c>
      <c r="C499" s="5" t="s">
        <v>495</v>
      </c>
    </row>
    <row r="500" spans="2:3" x14ac:dyDescent="0.2">
      <c r="B500" s="2">
        <v>25000000000497</v>
      </c>
      <c r="C500" s="5" t="s">
        <v>496</v>
      </c>
    </row>
    <row r="501" spans="2:3" x14ac:dyDescent="0.2">
      <c r="B501" s="2">
        <v>25000000000498</v>
      </c>
      <c r="C501" s="5" t="s">
        <v>497</v>
      </c>
    </row>
    <row r="502" spans="2:3" x14ac:dyDescent="0.2">
      <c r="B502" s="2">
        <v>25000000000499</v>
      </c>
      <c r="C502" s="5" t="s">
        <v>498</v>
      </c>
    </row>
    <row r="503" spans="2:3" x14ac:dyDescent="0.2">
      <c r="B503" s="2">
        <v>25000000000500</v>
      </c>
      <c r="C503" s="5" t="s">
        <v>499</v>
      </c>
    </row>
    <row r="504" spans="2:3" x14ac:dyDescent="0.2">
      <c r="B504" s="2">
        <v>25000000000501</v>
      </c>
      <c r="C504" s="5" t="s">
        <v>500</v>
      </c>
    </row>
    <row r="505" spans="2:3" x14ac:dyDescent="0.2">
      <c r="B505" s="2">
        <v>25000000000502</v>
      </c>
      <c r="C505" s="5" t="s">
        <v>501</v>
      </c>
    </row>
    <row r="506" spans="2:3" x14ac:dyDescent="0.2">
      <c r="B506" s="2">
        <v>25000000000503</v>
      </c>
      <c r="C506" s="5" t="s">
        <v>502</v>
      </c>
    </row>
    <row r="507" spans="2:3" x14ac:dyDescent="0.2">
      <c r="B507" s="2">
        <v>25000000000504</v>
      </c>
      <c r="C507" s="5" t="s">
        <v>503</v>
      </c>
    </row>
    <row r="508" spans="2:3" x14ac:dyDescent="0.2">
      <c r="B508" s="2">
        <v>25000000000505</v>
      </c>
      <c r="C508" s="5" t="s">
        <v>504</v>
      </c>
    </row>
    <row r="509" spans="2:3" x14ac:dyDescent="0.2">
      <c r="B509" s="2">
        <v>25000000000506</v>
      </c>
      <c r="C509" s="5" t="s">
        <v>505</v>
      </c>
    </row>
    <row r="510" spans="2:3" x14ac:dyDescent="0.2">
      <c r="B510" s="2">
        <v>25000000000507</v>
      </c>
      <c r="C510" s="5" t="s">
        <v>506</v>
      </c>
    </row>
    <row r="511" spans="2:3" x14ac:dyDescent="0.2">
      <c r="B511" s="2">
        <v>25000000000508</v>
      </c>
      <c r="C511" s="5" t="s">
        <v>507</v>
      </c>
    </row>
    <row r="512" spans="2:3" x14ac:dyDescent="0.2">
      <c r="B512" s="2">
        <v>25000000000509</v>
      </c>
      <c r="C512" s="5" t="s">
        <v>508</v>
      </c>
    </row>
    <row r="513" spans="2:3" x14ac:dyDescent="0.2">
      <c r="B513" s="2">
        <v>25000000000510</v>
      </c>
      <c r="C513" s="5" t="s">
        <v>509</v>
      </c>
    </row>
    <row r="514" spans="2:3" x14ac:dyDescent="0.2">
      <c r="B514" s="2">
        <v>25000000000511</v>
      </c>
      <c r="C514" s="5" t="s">
        <v>510</v>
      </c>
    </row>
    <row r="515" spans="2:3" x14ac:dyDescent="0.2">
      <c r="B515" s="2">
        <v>25000000000512</v>
      </c>
      <c r="C515" s="5" t="s">
        <v>511</v>
      </c>
    </row>
    <row r="516" spans="2:3" x14ac:dyDescent="0.2">
      <c r="B516" s="2">
        <v>25000000000513</v>
      </c>
      <c r="C516" s="5" t="s">
        <v>512</v>
      </c>
    </row>
    <row r="517" spans="2:3" x14ac:dyDescent="0.2">
      <c r="B517" s="2">
        <v>25000000000514</v>
      </c>
      <c r="C517" s="5" t="s">
        <v>513</v>
      </c>
    </row>
    <row r="518" spans="2:3" x14ac:dyDescent="0.2">
      <c r="B518" s="2">
        <v>25000000000515</v>
      </c>
      <c r="C518" s="5" t="s">
        <v>514</v>
      </c>
    </row>
    <row r="519" spans="2:3" x14ac:dyDescent="0.2">
      <c r="B519" s="2">
        <v>25000000000516</v>
      </c>
      <c r="C519" s="5" t="s">
        <v>515</v>
      </c>
    </row>
    <row r="520" spans="2:3" x14ac:dyDescent="0.2">
      <c r="B520" s="2">
        <v>25000000000517</v>
      </c>
      <c r="C520" s="5" t="s">
        <v>516</v>
      </c>
    </row>
    <row r="521" spans="2:3" x14ac:dyDescent="0.2">
      <c r="B521" s="2">
        <v>25000000000518</v>
      </c>
      <c r="C521" s="5" t="s">
        <v>517</v>
      </c>
    </row>
    <row r="522" spans="2:3" x14ac:dyDescent="0.2">
      <c r="B522" s="2">
        <v>25000000000519</v>
      </c>
      <c r="C522" s="5" t="s">
        <v>518</v>
      </c>
    </row>
    <row r="523" spans="2:3" x14ac:dyDescent="0.2">
      <c r="B523" s="2">
        <v>25000000000520</v>
      </c>
      <c r="C523" s="5" t="s">
        <v>519</v>
      </c>
    </row>
    <row r="524" spans="2:3" x14ac:dyDescent="0.2">
      <c r="B524" s="2">
        <v>25000000000521</v>
      </c>
      <c r="C524" s="5" t="s">
        <v>520</v>
      </c>
    </row>
    <row r="525" spans="2:3" x14ac:dyDescent="0.2">
      <c r="B525" s="2">
        <v>25000000000522</v>
      </c>
      <c r="C525" s="5" t="s">
        <v>521</v>
      </c>
    </row>
    <row r="526" spans="2:3" x14ac:dyDescent="0.2">
      <c r="B526" s="2">
        <v>25000000000523</v>
      </c>
      <c r="C526" s="5" t="s">
        <v>522</v>
      </c>
    </row>
    <row r="527" spans="2:3" x14ac:dyDescent="0.2">
      <c r="B527" s="2">
        <v>25000000000524</v>
      </c>
      <c r="C527" s="5" t="s">
        <v>523</v>
      </c>
    </row>
    <row r="528" spans="2:3" x14ac:dyDescent="0.2">
      <c r="B528" s="2">
        <v>25000000000525</v>
      </c>
      <c r="C528" s="5" t="s">
        <v>524</v>
      </c>
    </row>
    <row r="529" spans="2:3" x14ac:dyDescent="0.2">
      <c r="B529" s="2">
        <v>25000000000526</v>
      </c>
      <c r="C529" s="5" t="s">
        <v>525</v>
      </c>
    </row>
    <row r="530" spans="2:3" x14ac:dyDescent="0.2">
      <c r="B530" s="2">
        <v>25000000000527</v>
      </c>
      <c r="C530" s="5" t="s">
        <v>526</v>
      </c>
    </row>
    <row r="531" spans="2:3" x14ac:dyDescent="0.2">
      <c r="B531" s="2">
        <v>25000000000528</v>
      </c>
      <c r="C531" s="5" t="s">
        <v>527</v>
      </c>
    </row>
    <row r="532" spans="2:3" x14ac:dyDescent="0.2">
      <c r="B532" s="2">
        <v>25000000000529</v>
      </c>
      <c r="C532" s="5" t="s">
        <v>528</v>
      </c>
    </row>
    <row r="533" spans="2:3" x14ac:dyDescent="0.2">
      <c r="B533" s="2">
        <v>25000000000530</v>
      </c>
      <c r="C533" s="5" t="s">
        <v>529</v>
      </c>
    </row>
    <row r="534" spans="2:3" x14ac:dyDescent="0.2">
      <c r="B534" s="2">
        <v>25000000000531</v>
      </c>
      <c r="C534" s="5" t="s">
        <v>530</v>
      </c>
    </row>
    <row r="535" spans="2:3" x14ac:dyDescent="0.2">
      <c r="B535" s="2">
        <v>25000000000532</v>
      </c>
      <c r="C535" s="5" t="s">
        <v>531</v>
      </c>
    </row>
    <row r="536" spans="2:3" x14ac:dyDescent="0.2">
      <c r="B536" s="2">
        <v>25000000000533</v>
      </c>
      <c r="C536" s="5" t="s">
        <v>532</v>
      </c>
    </row>
    <row r="537" spans="2:3" x14ac:dyDescent="0.2">
      <c r="B537" s="2">
        <v>25000000000534</v>
      </c>
      <c r="C537" s="5" t="s">
        <v>533</v>
      </c>
    </row>
    <row r="538" spans="2:3" x14ac:dyDescent="0.2">
      <c r="B538" s="2">
        <v>25000000000535</v>
      </c>
      <c r="C538" s="5" t="s">
        <v>534</v>
      </c>
    </row>
    <row r="539" spans="2:3" x14ac:dyDescent="0.2">
      <c r="B539" s="2">
        <v>25000000000536</v>
      </c>
      <c r="C539" s="5" t="s">
        <v>535</v>
      </c>
    </row>
    <row r="540" spans="2:3" x14ac:dyDescent="0.2">
      <c r="B540" s="2">
        <v>25000000000537</v>
      </c>
      <c r="C540" s="5" t="s">
        <v>536</v>
      </c>
    </row>
    <row r="541" spans="2:3" x14ac:dyDescent="0.2">
      <c r="B541" s="2">
        <v>25000000000538</v>
      </c>
      <c r="C541" s="5" t="s">
        <v>537</v>
      </c>
    </row>
    <row r="542" spans="2:3" x14ac:dyDescent="0.2">
      <c r="B542" s="2">
        <v>25000000000539</v>
      </c>
      <c r="C542" s="5" t="s">
        <v>538</v>
      </c>
    </row>
    <row r="543" spans="2:3" x14ac:dyDescent="0.2">
      <c r="B543" s="2">
        <v>25000000000540</v>
      </c>
      <c r="C543" s="5" t="s">
        <v>539</v>
      </c>
    </row>
    <row r="544" spans="2:3" x14ac:dyDescent="0.2">
      <c r="B544" s="2">
        <v>25000000000541</v>
      </c>
      <c r="C544" s="5" t="s">
        <v>540</v>
      </c>
    </row>
    <row r="545" spans="2:3" x14ac:dyDescent="0.2">
      <c r="B545" s="2">
        <v>25000000000542</v>
      </c>
      <c r="C545" s="5" t="s">
        <v>541</v>
      </c>
    </row>
    <row r="546" spans="2:3" x14ac:dyDescent="0.2">
      <c r="B546" s="2">
        <v>25000000000543</v>
      </c>
      <c r="C546" s="5" t="s">
        <v>542</v>
      </c>
    </row>
    <row r="547" spans="2:3" x14ac:dyDescent="0.2">
      <c r="B547" s="2">
        <v>25000000000544</v>
      </c>
      <c r="C547" s="5" t="s">
        <v>543</v>
      </c>
    </row>
    <row r="548" spans="2:3" x14ac:dyDescent="0.2">
      <c r="B548" s="2">
        <v>25000000000545</v>
      </c>
      <c r="C548" s="5" t="s">
        <v>544</v>
      </c>
    </row>
    <row r="549" spans="2:3" x14ac:dyDescent="0.2">
      <c r="B549" s="2">
        <v>25000000000546</v>
      </c>
      <c r="C549" s="5" t="s">
        <v>545</v>
      </c>
    </row>
    <row r="550" spans="2:3" x14ac:dyDescent="0.2">
      <c r="B550" s="2">
        <v>25000000000547</v>
      </c>
      <c r="C550" s="5" t="s">
        <v>546</v>
      </c>
    </row>
    <row r="551" spans="2:3" x14ac:dyDescent="0.2">
      <c r="B551" s="2">
        <v>25000000000548</v>
      </c>
      <c r="C551" s="5" t="s">
        <v>547</v>
      </c>
    </row>
    <row r="552" spans="2:3" x14ac:dyDescent="0.2">
      <c r="B552" s="2">
        <v>25000000000549</v>
      </c>
      <c r="C552" s="5" t="s">
        <v>548</v>
      </c>
    </row>
    <row r="553" spans="2:3" x14ac:dyDescent="0.2">
      <c r="B553" s="2">
        <v>25000000000550</v>
      </c>
      <c r="C553" s="5" t="s">
        <v>549</v>
      </c>
    </row>
    <row r="554" spans="2:3" x14ac:dyDescent="0.2">
      <c r="B554" s="2">
        <v>25000000000551</v>
      </c>
      <c r="C554" s="5" t="s">
        <v>550</v>
      </c>
    </row>
    <row r="555" spans="2:3" x14ac:dyDescent="0.2">
      <c r="B555" s="2">
        <v>25000000000552</v>
      </c>
      <c r="C555" s="5" t="s">
        <v>551</v>
      </c>
    </row>
    <row r="556" spans="2:3" x14ac:dyDescent="0.2">
      <c r="B556" s="2">
        <v>25000000000553</v>
      </c>
      <c r="C556" s="5" t="s">
        <v>552</v>
      </c>
    </row>
    <row r="557" spans="2:3" x14ac:dyDescent="0.2">
      <c r="B557" s="2">
        <v>25000000000554</v>
      </c>
      <c r="C557" s="5" t="s">
        <v>553</v>
      </c>
    </row>
    <row r="558" spans="2:3" x14ac:dyDescent="0.2">
      <c r="B558" s="2">
        <v>25000000000555</v>
      </c>
      <c r="C558" s="5" t="s">
        <v>554</v>
      </c>
    </row>
    <row r="559" spans="2:3" x14ac:dyDescent="0.2">
      <c r="B559" s="2">
        <v>25000000000556</v>
      </c>
      <c r="C559" s="5" t="s">
        <v>555</v>
      </c>
    </row>
    <row r="560" spans="2:3" x14ac:dyDescent="0.2">
      <c r="B560" s="2">
        <v>25000000000557</v>
      </c>
      <c r="C560" s="5" t="s">
        <v>556</v>
      </c>
    </row>
    <row r="561" spans="2:3" x14ac:dyDescent="0.2">
      <c r="B561" s="2">
        <v>25000000000558</v>
      </c>
      <c r="C561" s="5" t="s">
        <v>557</v>
      </c>
    </row>
    <row r="562" spans="2:3" x14ac:dyDescent="0.2">
      <c r="B562" s="2">
        <v>25000000000559</v>
      </c>
      <c r="C562" s="5" t="s">
        <v>558</v>
      </c>
    </row>
    <row r="563" spans="2:3" x14ac:dyDescent="0.2">
      <c r="B563" s="2">
        <v>25000000000560</v>
      </c>
      <c r="C563" s="5" t="s">
        <v>559</v>
      </c>
    </row>
    <row r="564" spans="2:3" x14ac:dyDescent="0.2">
      <c r="B564" s="2">
        <v>25000000000561</v>
      </c>
      <c r="C564" s="5" t="s">
        <v>560</v>
      </c>
    </row>
    <row r="565" spans="2:3" x14ac:dyDescent="0.2">
      <c r="B565" s="2">
        <v>25000000000562</v>
      </c>
      <c r="C565" s="5" t="s">
        <v>561</v>
      </c>
    </row>
    <row r="566" spans="2:3" x14ac:dyDescent="0.2">
      <c r="B566" s="2">
        <v>25000000000563</v>
      </c>
      <c r="C566" s="5" t="s">
        <v>562</v>
      </c>
    </row>
    <row r="567" spans="2:3" x14ac:dyDescent="0.2">
      <c r="B567" s="2">
        <v>25000000000564</v>
      </c>
      <c r="C567" s="5" t="s">
        <v>563</v>
      </c>
    </row>
    <row r="568" spans="2:3" x14ac:dyDescent="0.2">
      <c r="B568" s="2">
        <v>25000000000565</v>
      </c>
      <c r="C568" s="5" t="s">
        <v>564</v>
      </c>
    </row>
    <row r="569" spans="2:3" x14ac:dyDescent="0.2">
      <c r="B569" s="2">
        <v>25000000000566</v>
      </c>
      <c r="C569" s="5" t="s">
        <v>565</v>
      </c>
    </row>
    <row r="570" spans="2:3" x14ac:dyDescent="0.2">
      <c r="B570" s="2">
        <v>25000000000567</v>
      </c>
      <c r="C570" s="5" t="s">
        <v>566</v>
      </c>
    </row>
    <row r="571" spans="2:3" x14ac:dyDescent="0.2">
      <c r="B571" s="2">
        <v>25000000000568</v>
      </c>
      <c r="C571" s="5" t="s">
        <v>567</v>
      </c>
    </row>
    <row r="572" spans="2:3" x14ac:dyDescent="0.2">
      <c r="B572" s="2">
        <v>25000000000569</v>
      </c>
      <c r="C572" s="5" t="s">
        <v>568</v>
      </c>
    </row>
    <row r="573" spans="2:3" x14ac:dyDescent="0.2">
      <c r="B573" s="2">
        <v>25000000000570</v>
      </c>
      <c r="C573" s="5" t="s">
        <v>569</v>
      </c>
    </row>
    <row r="574" spans="2:3" x14ac:dyDescent="0.2">
      <c r="B574" s="2">
        <v>25000000000571</v>
      </c>
      <c r="C574" s="5" t="s">
        <v>570</v>
      </c>
    </row>
    <row r="575" spans="2:3" x14ac:dyDescent="0.2">
      <c r="B575" s="2">
        <v>25000000000572</v>
      </c>
      <c r="C575" s="5" t="s">
        <v>571</v>
      </c>
    </row>
    <row r="576" spans="2:3" x14ac:dyDescent="0.2">
      <c r="B576" s="2">
        <v>25000000000573</v>
      </c>
      <c r="C576" s="5" t="s">
        <v>572</v>
      </c>
    </row>
    <row r="577" spans="2:3" x14ac:dyDescent="0.2">
      <c r="B577" s="2">
        <v>25000000000574</v>
      </c>
      <c r="C577" s="5" t="s">
        <v>573</v>
      </c>
    </row>
    <row r="578" spans="2:3" x14ac:dyDescent="0.2">
      <c r="B578" s="2">
        <v>25000000000575</v>
      </c>
      <c r="C578" s="5" t="s">
        <v>574</v>
      </c>
    </row>
    <row r="579" spans="2:3" x14ac:dyDescent="0.2">
      <c r="B579" s="2">
        <v>25000000000576</v>
      </c>
      <c r="C579" s="5" t="s">
        <v>575</v>
      </c>
    </row>
    <row r="580" spans="2:3" x14ac:dyDescent="0.2">
      <c r="B580" s="2">
        <v>25000000000577</v>
      </c>
      <c r="C580" s="5" t="s">
        <v>576</v>
      </c>
    </row>
    <row r="581" spans="2:3" x14ac:dyDescent="0.2">
      <c r="B581" s="2">
        <v>25000000000578</v>
      </c>
      <c r="C581" s="5" t="s">
        <v>577</v>
      </c>
    </row>
    <row r="582" spans="2:3" x14ac:dyDescent="0.2">
      <c r="B582" s="2">
        <v>25000000000579</v>
      </c>
      <c r="C582" s="5" t="s">
        <v>578</v>
      </c>
    </row>
    <row r="583" spans="2:3" x14ac:dyDescent="0.2">
      <c r="B583" s="2">
        <v>25000000000580</v>
      </c>
      <c r="C583" s="5" t="s">
        <v>579</v>
      </c>
    </row>
    <row r="584" spans="2:3" x14ac:dyDescent="0.2">
      <c r="B584" s="2">
        <v>25000000000581</v>
      </c>
      <c r="C584" s="5" t="s">
        <v>580</v>
      </c>
    </row>
    <row r="585" spans="2:3" x14ac:dyDescent="0.2">
      <c r="B585" s="2">
        <v>25000000000582</v>
      </c>
      <c r="C585" s="5" t="s">
        <v>581</v>
      </c>
    </row>
    <row r="586" spans="2:3" x14ac:dyDescent="0.2">
      <c r="B586" s="2">
        <v>25000000000583</v>
      </c>
      <c r="C586" s="5" t="s">
        <v>582</v>
      </c>
    </row>
    <row r="587" spans="2:3" x14ac:dyDescent="0.2">
      <c r="B587" s="2">
        <v>25000000000584</v>
      </c>
      <c r="C587" s="5" t="s">
        <v>583</v>
      </c>
    </row>
    <row r="588" spans="2:3" x14ac:dyDescent="0.2">
      <c r="B588" s="2">
        <v>25000000000585</v>
      </c>
      <c r="C588" s="5" t="s">
        <v>584</v>
      </c>
    </row>
    <row r="589" spans="2:3" x14ac:dyDescent="0.2">
      <c r="B589" s="2">
        <v>25000000000586</v>
      </c>
      <c r="C589" s="5" t="s">
        <v>585</v>
      </c>
    </row>
    <row r="590" spans="2:3" x14ac:dyDescent="0.2">
      <c r="B590" s="2">
        <v>25000000000587</v>
      </c>
      <c r="C590" s="5" t="s">
        <v>586</v>
      </c>
    </row>
    <row r="591" spans="2:3" x14ac:dyDescent="0.2">
      <c r="B591" s="2">
        <v>25000000000588</v>
      </c>
      <c r="C591" s="5" t="s">
        <v>587</v>
      </c>
    </row>
    <row r="592" spans="2:3" x14ac:dyDescent="0.2">
      <c r="B592" s="2">
        <v>25000000000589</v>
      </c>
      <c r="C592" s="5" t="s">
        <v>588</v>
      </c>
    </row>
    <row r="593" spans="2:3" x14ac:dyDescent="0.2">
      <c r="B593" s="2">
        <v>25000000000590</v>
      </c>
      <c r="C593" s="5" t="s">
        <v>589</v>
      </c>
    </row>
    <row r="594" spans="2:3" x14ac:dyDescent="0.2">
      <c r="B594" s="2">
        <v>25000000000591</v>
      </c>
      <c r="C594" s="5" t="s">
        <v>590</v>
      </c>
    </row>
    <row r="595" spans="2:3" x14ac:dyDescent="0.2">
      <c r="B595" s="2">
        <v>25000000000592</v>
      </c>
      <c r="C595" s="5" t="s">
        <v>591</v>
      </c>
    </row>
    <row r="596" spans="2:3" x14ac:dyDescent="0.2">
      <c r="B596" s="2">
        <v>25000000000593</v>
      </c>
      <c r="C596" s="5" t="s">
        <v>592</v>
      </c>
    </row>
    <row r="597" spans="2:3" x14ac:dyDescent="0.2">
      <c r="B597" s="2">
        <v>25000000000594</v>
      </c>
      <c r="C597" s="5" t="s">
        <v>593</v>
      </c>
    </row>
    <row r="598" spans="2:3" x14ac:dyDescent="0.2">
      <c r="B598" s="2">
        <v>25000000000595</v>
      </c>
      <c r="C598" s="5" t="s">
        <v>594</v>
      </c>
    </row>
    <row r="599" spans="2:3" x14ac:dyDescent="0.2">
      <c r="B599" s="2">
        <v>25000000000596</v>
      </c>
      <c r="C599" s="5" t="s">
        <v>595</v>
      </c>
    </row>
    <row r="600" spans="2:3" x14ac:dyDescent="0.2">
      <c r="B600" s="2">
        <v>25000000000597</v>
      </c>
      <c r="C600" s="5" t="s">
        <v>596</v>
      </c>
    </row>
    <row r="601" spans="2:3" x14ac:dyDescent="0.2">
      <c r="B601" s="2">
        <v>25000000000598</v>
      </c>
      <c r="C601" s="5" t="s">
        <v>597</v>
      </c>
    </row>
    <row r="602" spans="2:3" x14ac:dyDescent="0.2">
      <c r="B602" s="2">
        <v>25000000000599</v>
      </c>
      <c r="C602" s="5" t="s">
        <v>598</v>
      </c>
    </row>
    <row r="603" spans="2:3" x14ac:dyDescent="0.2">
      <c r="B603" s="2">
        <v>25000000000600</v>
      </c>
      <c r="C603" s="5" t="s">
        <v>599</v>
      </c>
    </row>
    <row r="604" spans="2:3" x14ac:dyDescent="0.2">
      <c r="B604" s="2">
        <v>25000000000601</v>
      </c>
      <c r="C604" s="5" t="s">
        <v>600</v>
      </c>
    </row>
    <row r="605" spans="2:3" x14ac:dyDescent="0.2">
      <c r="B605" s="2">
        <v>25000000000602</v>
      </c>
      <c r="C605" s="5" t="s">
        <v>601</v>
      </c>
    </row>
    <row r="606" spans="2:3" x14ac:dyDescent="0.2">
      <c r="B606" s="2">
        <v>25000000000603</v>
      </c>
      <c r="C606" s="5" t="s">
        <v>602</v>
      </c>
    </row>
    <row r="607" spans="2:3" x14ac:dyDescent="0.2">
      <c r="B607" s="2">
        <v>25000000000604</v>
      </c>
      <c r="C607" s="5" t="s">
        <v>603</v>
      </c>
    </row>
    <row r="608" spans="2:3" x14ac:dyDescent="0.2">
      <c r="B608" s="2">
        <v>25000000000605</v>
      </c>
      <c r="C608" s="5" t="s">
        <v>604</v>
      </c>
    </row>
    <row r="609" spans="2:3" x14ac:dyDescent="0.2">
      <c r="B609" s="2">
        <v>25000000000606</v>
      </c>
      <c r="C609" s="5" t="s">
        <v>605</v>
      </c>
    </row>
    <row r="610" spans="2:3" x14ac:dyDescent="0.2">
      <c r="B610" s="2">
        <v>25000000000607</v>
      </c>
      <c r="C610" s="5" t="s">
        <v>606</v>
      </c>
    </row>
    <row r="611" spans="2:3" x14ac:dyDescent="0.2">
      <c r="B611" s="2">
        <v>25000000000608</v>
      </c>
      <c r="C611" s="5" t="s">
        <v>607</v>
      </c>
    </row>
    <row r="612" spans="2:3" x14ac:dyDescent="0.2">
      <c r="B612" s="2">
        <v>25000000000609</v>
      </c>
      <c r="C612" s="5" t="s">
        <v>608</v>
      </c>
    </row>
    <row r="613" spans="2:3" x14ac:dyDescent="0.2">
      <c r="B613" s="2">
        <v>25000000000610</v>
      </c>
      <c r="C613" s="5" t="s">
        <v>609</v>
      </c>
    </row>
    <row r="614" spans="2:3" x14ac:dyDescent="0.2">
      <c r="B614" s="2">
        <v>25000000000611</v>
      </c>
      <c r="C614" s="5" t="s">
        <v>610</v>
      </c>
    </row>
    <row r="615" spans="2:3" x14ac:dyDescent="0.2">
      <c r="B615" s="2">
        <v>25000000000612</v>
      </c>
      <c r="C615" s="5" t="s">
        <v>611</v>
      </c>
    </row>
    <row r="616" spans="2:3" x14ac:dyDescent="0.2">
      <c r="B616" s="2">
        <v>25000000000613</v>
      </c>
      <c r="C616" s="5" t="s">
        <v>612</v>
      </c>
    </row>
    <row r="617" spans="2:3" x14ac:dyDescent="0.2">
      <c r="B617" s="2">
        <v>25000000000614</v>
      </c>
      <c r="C617" s="5" t="s">
        <v>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- HP</vt:lpstr>
      <vt:lpstr>SEED</vt:lpstr>
      <vt:lpstr>DataLookUp</vt:lpstr>
      <vt:lpstr>REF - ContactNumberType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2026-01-13T11:56:32Z</dcterms:modified>
</cp:coreProperties>
</file>