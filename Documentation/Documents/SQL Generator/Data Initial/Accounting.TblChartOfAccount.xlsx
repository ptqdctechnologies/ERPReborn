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6000"/>
  </bookViews>
  <sheets>
    <sheet name="SEED" sheetId="6" r:id="rId1"/>
    <sheet name="DataLookUp" sheetId="7" r:id="rId2"/>
    <sheet name="COA Baru" sheetId="5" r:id="rId3"/>
    <sheet name="QDC COA" sheetId="2" r:id="rId4"/>
    <sheet name="Auto Link" sheetId="3" r:id="rId5"/>
    <sheet name="Refer" sheetId="4" r:id="rId6"/>
  </sheets>
  <calcPr calcId="152511"/>
</workbook>
</file>

<file path=xl/calcChain.xml><?xml version="1.0" encoding="utf-8"?>
<calcChain xmlns="http://schemas.openxmlformats.org/spreadsheetml/2006/main">
  <c r="BB544" i="6" l="1"/>
  <c r="BB543" i="6"/>
  <c r="BB542" i="6"/>
  <c r="BB541" i="6"/>
  <c r="BB540" i="6"/>
  <c r="BB539" i="6"/>
  <c r="BB538" i="6"/>
  <c r="BB537" i="6"/>
  <c r="BB536" i="6"/>
  <c r="BB535" i="6"/>
  <c r="BB534" i="6"/>
  <c r="BB533" i="6"/>
  <c r="BB532" i="6"/>
  <c r="BB531" i="6"/>
  <c r="BB530" i="6"/>
  <c r="BB529" i="6"/>
  <c r="BB528" i="6"/>
  <c r="BB527" i="6"/>
  <c r="BB526" i="6"/>
  <c r="BB525" i="6"/>
  <c r="BB524" i="6"/>
  <c r="BB523" i="6"/>
  <c r="BB522" i="6"/>
  <c r="BB521" i="6"/>
  <c r="BB520" i="6"/>
  <c r="BB519" i="6"/>
  <c r="BB518" i="6"/>
  <c r="BB517" i="6"/>
  <c r="BB516" i="6"/>
  <c r="BB515" i="6"/>
  <c r="BB514" i="6"/>
  <c r="BB513" i="6"/>
  <c r="BB512" i="6"/>
  <c r="BB511" i="6"/>
  <c r="BB510" i="6"/>
  <c r="BB509" i="6"/>
  <c r="BB508" i="6"/>
  <c r="BB507" i="6"/>
  <c r="BB506" i="6"/>
  <c r="BB505" i="6"/>
  <c r="BB504" i="6"/>
  <c r="BB503" i="6"/>
  <c r="BB502" i="6"/>
  <c r="BB501" i="6"/>
  <c r="BB500" i="6"/>
  <c r="BB499" i="6"/>
  <c r="BB498" i="6"/>
  <c r="BB497" i="6"/>
  <c r="BB496" i="6"/>
  <c r="BB495" i="6"/>
  <c r="BB494" i="6"/>
  <c r="BB493" i="6"/>
  <c r="BB492" i="6"/>
  <c r="BB491" i="6"/>
  <c r="BB490" i="6"/>
  <c r="BB489" i="6"/>
  <c r="BB488" i="6"/>
  <c r="BB487" i="6"/>
  <c r="BB486" i="6"/>
  <c r="BB485" i="6"/>
  <c r="BB484" i="6"/>
  <c r="BB483" i="6"/>
  <c r="BB482" i="6"/>
  <c r="BB481" i="6"/>
  <c r="BB480" i="6"/>
  <c r="BB479" i="6"/>
  <c r="BB478" i="6"/>
  <c r="BB477" i="6"/>
  <c r="BB476" i="6"/>
  <c r="BB475" i="6"/>
  <c r="BB474" i="6"/>
  <c r="BB473" i="6"/>
  <c r="BB472" i="6"/>
  <c r="BB471" i="6"/>
  <c r="BB470" i="6"/>
  <c r="BB469" i="6"/>
  <c r="BB468" i="6"/>
  <c r="BB467" i="6"/>
  <c r="BB466" i="6"/>
  <c r="BB465" i="6"/>
  <c r="BB464" i="6"/>
  <c r="BB463" i="6"/>
  <c r="BB462" i="6"/>
  <c r="BB461" i="6"/>
  <c r="BB460" i="6"/>
  <c r="BB459" i="6"/>
  <c r="BB458" i="6"/>
  <c r="BB457" i="6"/>
  <c r="BB456" i="6"/>
  <c r="BB455" i="6"/>
  <c r="BB454" i="6"/>
  <c r="BB453" i="6"/>
  <c r="BB452" i="6"/>
  <c r="BB451" i="6"/>
  <c r="BB450" i="6"/>
  <c r="BB449" i="6"/>
  <c r="BB448" i="6"/>
  <c r="BB447" i="6"/>
  <c r="BB446" i="6"/>
  <c r="BB445" i="6"/>
  <c r="BB444" i="6"/>
  <c r="BB443" i="6"/>
  <c r="BB442" i="6"/>
  <c r="BB441" i="6"/>
  <c r="BB440" i="6"/>
  <c r="BB439" i="6"/>
  <c r="BB438" i="6"/>
  <c r="BB437" i="6"/>
  <c r="BB436" i="6"/>
  <c r="BB435" i="6"/>
  <c r="BB434" i="6"/>
  <c r="BB433" i="6"/>
  <c r="BB432" i="6"/>
  <c r="BB431" i="6"/>
  <c r="BB430" i="6"/>
  <c r="BB429" i="6"/>
  <c r="BB428" i="6"/>
  <c r="BB427" i="6"/>
  <c r="BB426" i="6"/>
  <c r="BB425" i="6"/>
  <c r="BB424" i="6"/>
  <c r="BB423" i="6"/>
  <c r="BB422" i="6"/>
  <c r="BB421" i="6"/>
  <c r="BB420" i="6"/>
  <c r="BB419" i="6"/>
  <c r="BB418" i="6"/>
  <c r="BB417" i="6"/>
  <c r="BB416" i="6"/>
  <c r="BB415" i="6"/>
  <c r="BB414" i="6"/>
  <c r="BB413" i="6"/>
  <c r="BB412" i="6"/>
  <c r="BB411" i="6"/>
  <c r="BB410" i="6"/>
  <c r="BB409" i="6"/>
  <c r="BB408" i="6"/>
  <c r="BB407" i="6"/>
  <c r="BB406" i="6"/>
  <c r="BB405" i="6"/>
  <c r="BB404" i="6"/>
  <c r="BB403" i="6"/>
  <c r="BB402" i="6"/>
  <c r="BB401" i="6"/>
  <c r="BB400" i="6"/>
  <c r="BB399" i="6"/>
  <c r="BB398" i="6"/>
  <c r="BB397" i="6"/>
  <c r="BB396" i="6"/>
  <c r="BB395" i="6"/>
  <c r="BB394" i="6"/>
  <c r="BB393" i="6"/>
  <c r="BB392" i="6"/>
  <c r="BB391" i="6"/>
  <c r="BB390" i="6"/>
  <c r="BB389" i="6"/>
  <c r="BB388" i="6"/>
  <c r="BB387" i="6"/>
  <c r="BB386" i="6"/>
  <c r="BB385" i="6"/>
  <c r="BB384" i="6"/>
  <c r="BB383" i="6"/>
  <c r="BB382" i="6"/>
  <c r="BB381" i="6"/>
  <c r="BB380" i="6"/>
  <c r="BB379" i="6"/>
  <c r="BB378" i="6"/>
  <c r="BB377" i="6"/>
  <c r="BB376" i="6"/>
  <c r="BB375" i="6"/>
  <c r="BB374" i="6"/>
  <c r="BB373" i="6"/>
  <c r="BB372" i="6"/>
  <c r="BB371" i="6"/>
  <c r="BB370" i="6"/>
  <c r="BB369" i="6"/>
  <c r="BB368" i="6"/>
  <c r="BB367" i="6"/>
  <c r="BB366" i="6"/>
  <c r="BB365" i="6"/>
  <c r="BB364" i="6"/>
  <c r="BB363" i="6"/>
  <c r="BB362" i="6"/>
  <c r="BB361" i="6"/>
  <c r="BB360" i="6"/>
  <c r="BB359" i="6"/>
  <c r="BB358" i="6"/>
  <c r="BB357" i="6"/>
  <c r="BB356" i="6"/>
  <c r="BB355" i="6"/>
  <c r="BB354" i="6"/>
  <c r="BB353" i="6"/>
  <c r="BB352" i="6"/>
  <c r="BB351" i="6"/>
  <c r="BB350" i="6"/>
  <c r="BB349" i="6"/>
  <c r="BB348" i="6"/>
  <c r="BB347" i="6"/>
  <c r="BB346" i="6"/>
  <c r="BB345" i="6"/>
  <c r="BB344" i="6"/>
  <c r="BB343" i="6"/>
  <c r="BB342" i="6"/>
  <c r="BB341" i="6"/>
  <c r="BB340" i="6"/>
  <c r="BB339" i="6"/>
  <c r="BB338" i="6"/>
  <c r="BB337" i="6"/>
  <c r="BB336" i="6"/>
  <c r="BB335" i="6"/>
  <c r="BB334" i="6"/>
  <c r="BB333" i="6"/>
  <c r="BB332" i="6"/>
  <c r="BB331" i="6"/>
  <c r="BB330" i="6"/>
  <c r="BB329" i="6"/>
  <c r="BB328" i="6"/>
  <c r="BB327" i="6"/>
  <c r="BB326" i="6"/>
  <c r="BB325" i="6"/>
  <c r="BB324" i="6"/>
  <c r="BB323" i="6"/>
  <c r="BB322" i="6"/>
  <c r="BB321" i="6"/>
  <c r="BB320" i="6"/>
  <c r="BB319" i="6"/>
  <c r="BB318" i="6"/>
  <c r="BB317" i="6"/>
  <c r="BB316" i="6"/>
  <c r="BB315" i="6"/>
  <c r="BB314" i="6"/>
  <c r="BB313" i="6"/>
  <c r="BB312" i="6"/>
  <c r="BB311" i="6"/>
  <c r="BB310" i="6"/>
  <c r="BB309" i="6"/>
  <c r="BB308" i="6"/>
  <c r="BB307" i="6"/>
  <c r="BB306" i="6"/>
  <c r="BB305" i="6"/>
  <c r="BB304" i="6"/>
  <c r="BB303" i="6"/>
  <c r="BB302" i="6"/>
  <c r="BB301" i="6"/>
  <c r="BB300" i="6"/>
  <c r="BB299" i="6"/>
  <c r="BB298" i="6"/>
  <c r="BB297" i="6"/>
  <c r="BB296" i="6"/>
  <c r="BB295" i="6"/>
  <c r="BB294" i="6"/>
  <c r="BB293" i="6"/>
  <c r="BB292" i="6"/>
  <c r="BB291" i="6"/>
  <c r="BB290" i="6"/>
  <c r="BB289" i="6"/>
  <c r="BB288" i="6"/>
  <c r="BB287" i="6"/>
  <c r="BB286" i="6"/>
  <c r="BB285" i="6"/>
  <c r="BB284" i="6"/>
  <c r="BB283" i="6"/>
  <c r="BB282" i="6"/>
  <c r="BB281" i="6"/>
  <c r="BB280" i="6"/>
  <c r="BB279" i="6"/>
  <c r="BB278" i="6"/>
  <c r="BB277" i="6"/>
  <c r="BB276" i="6"/>
  <c r="BB275" i="6"/>
  <c r="BB274" i="6"/>
  <c r="BB273" i="6"/>
  <c r="BB272" i="6"/>
  <c r="BB271" i="6"/>
  <c r="BB270" i="6"/>
  <c r="BB269" i="6"/>
  <c r="BB268" i="6"/>
  <c r="BB267" i="6"/>
  <c r="BB266" i="6"/>
  <c r="BB265" i="6"/>
  <c r="BB264" i="6"/>
  <c r="BB263" i="6"/>
  <c r="BB262" i="6"/>
  <c r="BB261" i="6"/>
  <c r="BB260" i="6"/>
  <c r="BB259" i="6"/>
  <c r="BB258" i="6"/>
  <c r="BB257" i="6"/>
  <c r="BB256" i="6"/>
  <c r="BB255" i="6"/>
  <c r="BB254" i="6"/>
  <c r="BB253" i="6"/>
  <c r="BB252" i="6"/>
  <c r="BB251" i="6"/>
  <c r="BB250" i="6"/>
  <c r="BB249" i="6"/>
  <c r="BB248" i="6"/>
  <c r="BB247" i="6"/>
  <c r="BB246" i="6"/>
  <c r="BB245" i="6"/>
  <c r="BB244" i="6"/>
  <c r="BB243" i="6"/>
  <c r="BB242" i="6"/>
  <c r="BB241" i="6"/>
  <c r="BB240" i="6"/>
  <c r="BB239" i="6"/>
  <c r="BB238" i="6"/>
  <c r="BB237" i="6"/>
  <c r="BB236" i="6"/>
  <c r="BB235" i="6"/>
  <c r="BB234" i="6"/>
  <c r="BB233" i="6"/>
  <c r="BB232" i="6"/>
  <c r="BB231" i="6"/>
  <c r="BB230" i="6"/>
  <c r="BB229" i="6"/>
  <c r="BB228" i="6"/>
  <c r="BB227" i="6"/>
  <c r="BB226" i="6"/>
  <c r="BB225" i="6"/>
  <c r="BB224" i="6"/>
  <c r="BB223" i="6"/>
  <c r="BB222" i="6"/>
  <c r="BB221" i="6"/>
  <c r="BB220" i="6"/>
  <c r="BB219" i="6"/>
  <c r="BB218" i="6"/>
  <c r="BB217" i="6"/>
  <c r="BB216" i="6"/>
  <c r="BB215" i="6"/>
  <c r="BB214" i="6"/>
  <c r="BB213" i="6"/>
  <c r="BB212" i="6"/>
  <c r="BB211" i="6"/>
  <c r="BB210" i="6"/>
  <c r="BB209" i="6"/>
  <c r="BB208" i="6"/>
  <c r="BB207" i="6"/>
  <c r="BB206" i="6"/>
  <c r="BB205" i="6"/>
  <c r="BB204" i="6"/>
  <c r="BB203" i="6"/>
  <c r="BB202" i="6"/>
  <c r="BB201" i="6"/>
  <c r="BB200" i="6"/>
  <c r="BB199" i="6"/>
  <c r="BB198" i="6"/>
  <c r="BB197" i="6"/>
  <c r="BB196" i="6"/>
  <c r="BB195" i="6"/>
  <c r="BB194" i="6"/>
  <c r="BB193" i="6"/>
  <c r="BB192" i="6"/>
  <c r="BB191" i="6"/>
  <c r="BB190" i="6"/>
  <c r="BB189" i="6"/>
  <c r="BB188" i="6"/>
  <c r="BB187" i="6"/>
  <c r="BB186" i="6"/>
  <c r="BB185" i="6"/>
  <c r="BB184" i="6"/>
  <c r="BB183" i="6"/>
  <c r="BB182" i="6"/>
  <c r="BB181" i="6"/>
  <c r="BB180" i="6"/>
  <c r="BB179" i="6"/>
  <c r="BB178" i="6"/>
  <c r="BB177" i="6"/>
  <c r="BB176" i="6"/>
  <c r="BB175" i="6"/>
  <c r="BB174" i="6"/>
  <c r="BB173" i="6"/>
  <c r="BB172" i="6"/>
  <c r="BB171" i="6"/>
  <c r="BB170" i="6"/>
  <c r="BB169" i="6"/>
  <c r="BB168" i="6"/>
  <c r="BB167" i="6"/>
  <c r="BB166" i="6"/>
  <c r="BB165" i="6"/>
  <c r="BB164" i="6"/>
  <c r="BB163" i="6"/>
  <c r="BB162" i="6"/>
  <c r="BB161" i="6"/>
  <c r="BB160" i="6"/>
  <c r="BB159" i="6"/>
  <c r="BB158" i="6"/>
  <c r="BB157" i="6"/>
  <c r="BB156" i="6"/>
  <c r="BB155" i="6"/>
  <c r="BB154" i="6"/>
  <c r="BB153" i="6"/>
  <c r="BB152" i="6"/>
  <c r="BB151" i="6"/>
  <c r="BB150" i="6"/>
  <c r="BB149" i="6"/>
  <c r="BB148" i="6"/>
  <c r="BB147" i="6"/>
  <c r="BB146" i="6"/>
  <c r="BB145" i="6"/>
  <c r="BB144" i="6"/>
  <c r="BB143" i="6"/>
  <c r="BB142" i="6"/>
  <c r="BB141" i="6"/>
  <c r="BB140" i="6"/>
  <c r="BB139" i="6"/>
  <c r="BB138" i="6"/>
  <c r="BB137" i="6"/>
  <c r="BB136" i="6"/>
  <c r="BB135" i="6"/>
  <c r="BB134" i="6"/>
  <c r="BB133" i="6"/>
  <c r="BB132" i="6"/>
  <c r="BB131" i="6"/>
  <c r="BB130" i="6"/>
  <c r="BB129" i="6"/>
  <c r="BB128" i="6"/>
  <c r="BB127" i="6"/>
  <c r="BB126" i="6"/>
  <c r="BB125" i="6"/>
  <c r="BB124" i="6"/>
  <c r="BB123" i="6"/>
  <c r="BB122" i="6"/>
  <c r="BB121" i="6"/>
  <c r="BB120" i="6"/>
  <c r="BB119" i="6"/>
  <c r="BB118" i="6"/>
  <c r="BB117" i="6"/>
  <c r="BB116" i="6"/>
  <c r="BB115" i="6"/>
  <c r="BB114" i="6"/>
  <c r="BB113" i="6"/>
  <c r="BB112" i="6"/>
  <c r="BB111" i="6"/>
  <c r="BB110" i="6"/>
  <c r="BB109" i="6"/>
  <c r="BB108" i="6"/>
  <c r="BB107" i="6"/>
  <c r="BB106" i="6"/>
  <c r="BB105" i="6"/>
  <c r="BB104" i="6"/>
  <c r="BB103" i="6"/>
  <c r="BB102" i="6"/>
  <c r="BB101" i="6"/>
  <c r="BB100" i="6"/>
  <c r="BB99" i="6"/>
  <c r="BB98" i="6"/>
  <c r="BB97" i="6"/>
  <c r="BB96" i="6"/>
  <c r="BB95" i="6"/>
  <c r="BB94" i="6"/>
  <c r="BB93" i="6"/>
  <c r="BB92" i="6"/>
  <c r="BB91" i="6"/>
  <c r="BB90" i="6"/>
  <c r="BB89" i="6"/>
  <c r="BB88" i="6"/>
  <c r="BB87" i="6"/>
  <c r="BB86" i="6"/>
  <c r="BB85" i="6"/>
  <c r="BB84" i="6"/>
  <c r="BB83" i="6"/>
  <c r="BB82" i="6"/>
  <c r="BB81" i="6"/>
  <c r="BB80" i="6"/>
  <c r="BB79" i="6"/>
  <c r="BB78" i="6"/>
  <c r="BB77" i="6"/>
  <c r="BB76" i="6"/>
  <c r="BB75" i="6"/>
  <c r="BB74" i="6"/>
  <c r="BB73" i="6"/>
  <c r="BB72" i="6"/>
  <c r="BB71" i="6"/>
  <c r="BB70" i="6"/>
  <c r="BB69" i="6"/>
  <c r="BB68" i="6"/>
  <c r="BB67" i="6"/>
  <c r="BB66" i="6"/>
  <c r="BB65" i="6"/>
  <c r="BB64" i="6"/>
  <c r="BB63" i="6"/>
  <c r="BB62" i="6"/>
  <c r="BB61" i="6"/>
  <c r="BB60" i="6"/>
  <c r="BB59" i="6"/>
  <c r="BB58" i="6"/>
  <c r="BB57" i="6"/>
  <c r="BB56" i="6"/>
  <c r="BB55" i="6"/>
  <c r="BB54" i="6"/>
  <c r="BB53" i="6"/>
  <c r="BB52" i="6"/>
  <c r="BB51" i="6"/>
  <c r="BB50" i="6"/>
  <c r="BB49" i="6"/>
  <c r="BB48" i="6"/>
  <c r="BB47" i="6"/>
  <c r="BB46" i="6"/>
  <c r="BB45" i="6"/>
  <c r="BB44" i="6"/>
  <c r="BB43" i="6"/>
  <c r="BB42" i="6"/>
  <c r="BB41" i="6"/>
  <c r="BB40" i="6"/>
  <c r="BB39" i="6"/>
  <c r="BB38" i="6"/>
  <c r="BB37" i="6"/>
  <c r="BB36" i="6"/>
  <c r="BB35" i="6"/>
  <c r="BB34" i="6"/>
  <c r="BB33" i="6"/>
  <c r="BB32" i="6"/>
  <c r="BB31" i="6"/>
  <c r="BB30" i="6"/>
  <c r="BB29" i="6"/>
  <c r="BB28" i="6"/>
  <c r="BB27" i="6"/>
  <c r="BB26" i="6"/>
  <c r="BB25" i="6"/>
  <c r="BB24" i="6"/>
  <c r="BB23" i="6"/>
  <c r="BB22" i="6"/>
  <c r="BB21" i="6"/>
  <c r="BB20" i="6"/>
  <c r="BB19" i="6"/>
  <c r="BB18" i="6"/>
  <c r="BB17" i="6"/>
  <c r="BB16" i="6"/>
  <c r="BB15" i="6"/>
  <c r="BB14" i="6"/>
  <c r="BB13" i="6"/>
  <c r="BB12" i="6"/>
  <c r="BB11" i="6"/>
  <c r="BB10" i="6"/>
  <c r="BB9" i="6"/>
  <c r="BB8" i="6"/>
  <c r="BB7" i="6"/>
  <c r="BB6" i="6"/>
  <c r="BB545" i="6"/>
  <c r="BB5" i="6"/>
  <c r="BC3" i="6"/>
  <c r="B545" i="7" l="1"/>
  <c r="C545" i="7"/>
  <c r="D545" i="7"/>
  <c r="B546" i="7"/>
  <c r="C546" i="7"/>
  <c r="D546" i="7"/>
  <c r="B547" i="7"/>
  <c r="C547" i="7"/>
  <c r="D547" i="7"/>
  <c r="B548" i="7"/>
  <c r="C548" i="7"/>
  <c r="D548" i="7"/>
  <c r="B549" i="7"/>
  <c r="C549" i="7"/>
  <c r="D549" i="7"/>
  <c r="B550" i="7"/>
  <c r="C550" i="7"/>
  <c r="D550" i="7"/>
  <c r="B551" i="7"/>
  <c r="C551" i="7"/>
  <c r="D551" i="7"/>
  <c r="B552" i="7"/>
  <c r="C552" i="7"/>
  <c r="D552" i="7"/>
  <c r="B553" i="7"/>
  <c r="C553" i="7"/>
  <c r="D553" i="7"/>
  <c r="B554" i="7"/>
  <c r="C554" i="7"/>
  <c r="D554" i="7"/>
  <c r="B555" i="7"/>
  <c r="C555" i="7"/>
  <c r="D555" i="7"/>
  <c r="B556" i="7"/>
  <c r="C556" i="7"/>
  <c r="D556" i="7"/>
  <c r="B557" i="7"/>
  <c r="C557" i="7"/>
  <c r="D557" i="7"/>
  <c r="B558" i="7"/>
  <c r="C558" i="7"/>
  <c r="D558" i="7"/>
  <c r="B559" i="7"/>
  <c r="C559" i="7"/>
  <c r="D559" i="7"/>
  <c r="B560" i="7"/>
  <c r="C560" i="7"/>
  <c r="D560" i="7"/>
  <c r="B561" i="7"/>
  <c r="C561" i="7"/>
  <c r="D561" i="7"/>
  <c r="B562" i="7"/>
  <c r="C562" i="7"/>
  <c r="D562" i="7"/>
  <c r="B563" i="7"/>
  <c r="C563" i="7"/>
  <c r="D563" i="7"/>
  <c r="B564" i="7"/>
  <c r="C564" i="7"/>
  <c r="D564" i="7"/>
  <c r="B565" i="7"/>
  <c r="C565" i="7"/>
  <c r="D565" i="7"/>
  <c r="B566" i="7"/>
  <c r="C566" i="7"/>
  <c r="D566" i="7"/>
  <c r="B567" i="7"/>
  <c r="C567" i="7"/>
  <c r="D567" i="7"/>
  <c r="B568" i="7"/>
  <c r="C568" i="7"/>
  <c r="D568" i="7"/>
  <c r="B569" i="7"/>
  <c r="C569" i="7"/>
  <c r="D569" i="7"/>
  <c r="B570" i="7"/>
  <c r="C570" i="7"/>
  <c r="D570" i="7"/>
  <c r="B571" i="7"/>
  <c r="C571" i="7"/>
  <c r="D571" i="7"/>
  <c r="B572" i="7"/>
  <c r="C572" i="7"/>
  <c r="D572" i="7"/>
  <c r="B573" i="7"/>
  <c r="C573" i="7"/>
  <c r="D573" i="7"/>
  <c r="B574" i="7"/>
  <c r="C574" i="7"/>
  <c r="D574" i="7"/>
  <c r="B575" i="7"/>
  <c r="C575" i="7"/>
  <c r="D575" i="7"/>
  <c r="B104" i="7"/>
  <c r="C104" i="7"/>
  <c r="D104" i="7"/>
  <c r="B115" i="7"/>
  <c r="C115" i="7"/>
  <c r="D115" i="7"/>
  <c r="B544" i="7"/>
  <c r="B194" i="7"/>
  <c r="B174" i="7"/>
  <c r="B164" i="7"/>
  <c r="B159" i="7"/>
  <c r="BA5" i="6"/>
  <c r="BA6" i="6" s="1"/>
  <c r="B5" i="7" s="1"/>
  <c r="D5" i="7" l="1"/>
  <c r="C5" i="7"/>
  <c r="BA7" i="6"/>
  <c r="B4" i="7"/>
  <c r="C159" i="7"/>
  <c r="D159" i="7"/>
  <c r="C164" i="7"/>
  <c r="D164" i="7"/>
  <c r="C174" i="7"/>
  <c r="D174" i="7"/>
  <c r="C194" i="7"/>
  <c r="D194" i="7"/>
  <c r="C544" i="7"/>
  <c r="D544" i="7"/>
  <c r="AU7" i="6"/>
  <c r="AU8" i="6"/>
  <c r="AU9" i="6"/>
  <c r="AU10" i="6"/>
  <c r="AU11" i="6"/>
  <c r="AU12" i="6"/>
  <c r="AU13" i="6"/>
  <c r="AU14" i="6"/>
  <c r="AU15" i="6"/>
  <c r="AU16" i="6"/>
  <c r="AU17" i="6"/>
  <c r="AU18" i="6"/>
  <c r="AU19" i="6"/>
  <c r="AU20" i="6"/>
  <c r="AU21" i="6"/>
  <c r="AU22" i="6"/>
  <c r="AU23" i="6"/>
  <c r="AU24" i="6"/>
  <c r="AU25" i="6"/>
  <c r="AU26" i="6"/>
  <c r="AU27" i="6"/>
  <c r="AU28" i="6"/>
  <c r="AU29" i="6"/>
  <c r="AU30" i="6"/>
  <c r="AU31" i="6"/>
  <c r="AU32" i="6"/>
  <c r="AU33" i="6"/>
  <c r="AU34" i="6"/>
  <c r="AU35" i="6"/>
  <c r="AU36" i="6"/>
  <c r="AU37" i="6"/>
  <c r="AU38" i="6"/>
  <c r="AU39" i="6"/>
  <c r="AU40" i="6"/>
  <c r="AU41" i="6"/>
  <c r="AU42" i="6"/>
  <c r="AU43" i="6"/>
  <c r="AU44" i="6"/>
  <c r="AU45" i="6"/>
  <c r="AU46" i="6"/>
  <c r="AU47" i="6"/>
  <c r="AU48" i="6"/>
  <c r="AU49" i="6"/>
  <c r="AU50" i="6"/>
  <c r="AU51" i="6"/>
  <c r="AU52" i="6"/>
  <c r="AU53" i="6"/>
  <c r="AU54" i="6"/>
  <c r="AU55" i="6"/>
  <c r="AU56" i="6"/>
  <c r="AU57" i="6"/>
  <c r="AU58" i="6"/>
  <c r="AU59" i="6"/>
  <c r="AU60" i="6"/>
  <c r="AU61" i="6"/>
  <c r="AU62" i="6"/>
  <c r="AU63" i="6"/>
  <c r="AU64" i="6"/>
  <c r="AU65" i="6"/>
  <c r="AU66" i="6"/>
  <c r="AU67" i="6"/>
  <c r="AU68" i="6"/>
  <c r="AU69" i="6"/>
  <c r="AU70" i="6"/>
  <c r="AU71" i="6"/>
  <c r="AU72" i="6"/>
  <c r="AU73" i="6"/>
  <c r="AU74" i="6"/>
  <c r="AU75" i="6"/>
  <c r="AU76" i="6"/>
  <c r="AU77" i="6"/>
  <c r="AU78" i="6"/>
  <c r="AU79" i="6"/>
  <c r="AU80" i="6"/>
  <c r="AU81" i="6"/>
  <c r="AU82" i="6"/>
  <c r="AU83" i="6"/>
  <c r="AU84" i="6"/>
  <c r="AU85" i="6"/>
  <c r="AU86" i="6"/>
  <c r="AU87" i="6"/>
  <c r="AU88" i="6"/>
  <c r="AU89" i="6"/>
  <c r="AU90" i="6"/>
  <c r="AU91" i="6"/>
  <c r="AU92" i="6"/>
  <c r="AU93" i="6"/>
  <c r="AU94" i="6"/>
  <c r="AU95" i="6"/>
  <c r="AU96" i="6"/>
  <c r="AU97" i="6"/>
  <c r="AU98" i="6"/>
  <c r="AU99" i="6"/>
  <c r="AU100" i="6"/>
  <c r="AU101" i="6"/>
  <c r="AU102" i="6"/>
  <c r="AU103" i="6"/>
  <c r="AU104" i="6"/>
  <c r="AU105" i="6"/>
  <c r="AU106" i="6"/>
  <c r="AU107" i="6"/>
  <c r="AU108" i="6"/>
  <c r="AU109" i="6"/>
  <c r="AU110" i="6"/>
  <c r="AU111" i="6"/>
  <c r="AU112" i="6"/>
  <c r="AU113" i="6"/>
  <c r="AU114" i="6"/>
  <c r="AU115" i="6"/>
  <c r="AU116" i="6"/>
  <c r="AU117" i="6"/>
  <c r="AU118" i="6"/>
  <c r="AU119" i="6"/>
  <c r="AU120" i="6"/>
  <c r="AU121" i="6"/>
  <c r="AU160" i="6"/>
  <c r="AU165" i="6"/>
  <c r="AU175" i="6"/>
  <c r="AU195" i="6"/>
  <c r="AU545" i="6"/>
  <c r="AU6" i="6"/>
  <c r="AW6" i="6"/>
  <c r="AU5" i="6"/>
  <c r="AW7" i="6"/>
  <c r="AW8" i="6"/>
  <c r="AW9" i="6"/>
  <c r="AW10" i="6"/>
  <c r="AW11" i="6"/>
  <c r="AW12" i="6"/>
  <c r="AW13" i="6"/>
  <c r="AW14" i="6"/>
  <c r="AW15" i="6"/>
  <c r="AW16" i="6"/>
  <c r="AW17" i="6"/>
  <c r="AW18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AW31" i="6"/>
  <c r="AW32" i="6"/>
  <c r="AW33" i="6"/>
  <c r="AW34" i="6"/>
  <c r="AW35" i="6"/>
  <c r="AW36" i="6"/>
  <c r="AW37" i="6"/>
  <c r="AW38" i="6"/>
  <c r="AW39" i="6"/>
  <c r="AW40" i="6"/>
  <c r="AW41" i="6"/>
  <c r="AW42" i="6"/>
  <c r="AW43" i="6"/>
  <c r="AW44" i="6"/>
  <c r="AW45" i="6"/>
  <c r="AW46" i="6"/>
  <c r="AW47" i="6"/>
  <c r="AW48" i="6"/>
  <c r="AW49" i="6"/>
  <c r="AW50" i="6"/>
  <c r="AW51" i="6"/>
  <c r="AW52" i="6"/>
  <c r="AW53" i="6"/>
  <c r="AW54" i="6"/>
  <c r="AW55" i="6"/>
  <c r="AW56" i="6"/>
  <c r="AW57" i="6"/>
  <c r="AW58" i="6"/>
  <c r="AW59" i="6"/>
  <c r="AW60" i="6"/>
  <c r="AW61" i="6"/>
  <c r="AW62" i="6"/>
  <c r="AW63" i="6"/>
  <c r="AW64" i="6"/>
  <c r="AW65" i="6"/>
  <c r="AW66" i="6"/>
  <c r="AW67" i="6"/>
  <c r="AW68" i="6"/>
  <c r="AW69" i="6"/>
  <c r="AW70" i="6"/>
  <c r="AW71" i="6"/>
  <c r="AW72" i="6"/>
  <c r="AW73" i="6"/>
  <c r="AW74" i="6"/>
  <c r="AW75" i="6"/>
  <c r="AW76" i="6"/>
  <c r="AW77" i="6"/>
  <c r="AW78" i="6"/>
  <c r="AW79" i="6"/>
  <c r="AW80" i="6"/>
  <c r="AW81" i="6"/>
  <c r="AW82" i="6"/>
  <c r="AW83" i="6"/>
  <c r="AW84" i="6"/>
  <c r="AW85" i="6"/>
  <c r="AW86" i="6"/>
  <c r="AW87" i="6"/>
  <c r="AW88" i="6"/>
  <c r="AW89" i="6"/>
  <c r="AW90" i="6"/>
  <c r="AW91" i="6"/>
  <c r="AW92" i="6"/>
  <c r="AW93" i="6"/>
  <c r="AW94" i="6"/>
  <c r="AW95" i="6"/>
  <c r="AW96" i="6"/>
  <c r="AW97" i="6"/>
  <c r="AW98" i="6"/>
  <c r="AW99" i="6"/>
  <c r="AW100" i="6"/>
  <c r="AW101" i="6"/>
  <c r="AW102" i="6"/>
  <c r="AW103" i="6"/>
  <c r="AW104" i="6"/>
  <c r="AW105" i="6"/>
  <c r="AW106" i="6"/>
  <c r="AW107" i="6"/>
  <c r="AW108" i="6"/>
  <c r="AW109" i="6"/>
  <c r="AW110" i="6"/>
  <c r="AW111" i="6"/>
  <c r="AW112" i="6"/>
  <c r="AW113" i="6"/>
  <c r="AW114" i="6"/>
  <c r="AW115" i="6"/>
  <c r="AW116" i="6"/>
  <c r="AW117" i="6"/>
  <c r="AW118" i="6"/>
  <c r="AW119" i="6"/>
  <c r="AW120" i="6"/>
  <c r="AW121" i="6"/>
  <c r="AW5" i="6"/>
  <c r="AQ5" i="6"/>
  <c r="AP5" i="6"/>
  <c r="AO5" i="6"/>
  <c r="AN5" i="6"/>
  <c r="D4" i="7" l="1"/>
  <c r="C4" i="7"/>
  <c r="BA8" i="6"/>
  <c r="B6" i="7"/>
  <c r="Q7" i="6"/>
  <c r="Q8" i="6"/>
  <c r="R8" i="6"/>
  <c r="Q9" i="6"/>
  <c r="R9" i="6"/>
  <c r="S9" i="6"/>
  <c r="Q10" i="6"/>
  <c r="R10" i="6"/>
  <c r="S10" i="6"/>
  <c r="Q11" i="6"/>
  <c r="R11" i="6"/>
  <c r="S11" i="6"/>
  <c r="Q12" i="6"/>
  <c r="R12" i="6"/>
  <c r="S12" i="6"/>
  <c r="Q13" i="6"/>
  <c r="R13" i="6"/>
  <c r="S13" i="6"/>
  <c r="Q14" i="6"/>
  <c r="R14" i="6"/>
  <c r="S14" i="6"/>
  <c r="Q15" i="6"/>
  <c r="R15" i="6"/>
  <c r="S15" i="6"/>
  <c r="Q16" i="6"/>
  <c r="R16" i="6"/>
  <c r="S16" i="6"/>
  <c r="Q17" i="6"/>
  <c r="R17" i="6"/>
  <c r="S17" i="6"/>
  <c r="Q18" i="6"/>
  <c r="R18" i="6"/>
  <c r="S18" i="6"/>
  <c r="Q19" i="6"/>
  <c r="R19" i="6"/>
  <c r="S19" i="6"/>
  <c r="Q20" i="6"/>
  <c r="R20" i="6"/>
  <c r="S20" i="6"/>
  <c r="Q21" i="6"/>
  <c r="R21" i="6"/>
  <c r="S21" i="6"/>
  <c r="Q22" i="6"/>
  <c r="R22" i="6"/>
  <c r="S22" i="6"/>
  <c r="Q23" i="6"/>
  <c r="R23" i="6"/>
  <c r="S23" i="6"/>
  <c r="Q24" i="6"/>
  <c r="R24" i="6"/>
  <c r="S24" i="6"/>
  <c r="Q25" i="6"/>
  <c r="R25" i="6"/>
  <c r="S25" i="6"/>
  <c r="Q26" i="6"/>
  <c r="R26" i="6"/>
  <c r="S26" i="6"/>
  <c r="Q27" i="6"/>
  <c r="R27" i="6"/>
  <c r="S27" i="6"/>
  <c r="Q28" i="6"/>
  <c r="R28" i="6"/>
  <c r="S28" i="6"/>
  <c r="Q29" i="6"/>
  <c r="R29" i="6"/>
  <c r="S29" i="6"/>
  <c r="Q30" i="6"/>
  <c r="R30" i="6"/>
  <c r="S30" i="6"/>
  <c r="Q31" i="6"/>
  <c r="R31" i="6"/>
  <c r="S31" i="6"/>
  <c r="Q32" i="6"/>
  <c r="R32" i="6"/>
  <c r="S32" i="6"/>
  <c r="Q33" i="6"/>
  <c r="R33" i="6"/>
  <c r="S33" i="6"/>
  <c r="Q34" i="6"/>
  <c r="R34" i="6"/>
  <c r="S34" i="6"/>
  <c r="Q35" i="6"/>
  <c r="R35" i="6"/>
  <c r="S35" i="6"/>
  <c r="Q36" i="6"/>
  <c r="R36" i="6"/>
  <c r="S36" i="6"/>
  <c r="Q37" i="6"/>
  <c r="R37" i="6"/>
  <c r="S37" i="6"/>
  <c r="Q38" i="6"/>
  <c r="R38" i="6"/>
  <c r="S38" i="6"/>
  <c r="Q39" i="6"/>
  <c r="R39" i="6"/>
  <c r="S39" i="6"/>
  <c r="Q40" i="6"/>
  <c r="R40" i="6"/>
  <c r="S40" i="6"/>
  <c r="Q41" i="6"/>
  <c r="R41" i="6"/>
  <c r="S41" i="6"/>
  <c r="Q42" i="6"/>
  <c r="R42" i="6"/>
  <c r="S42" i="6"/>
  <c r="Q43" i="6"/>
  <c r="R43" i="6"/>
  <c r="S43" i="6"/>
  <c r="Q44" i="6"/>
  <c r="R44" i="6"/>
  <c r="S44" i="6"/>
  <c r="Q45" i="6"/>
  <c r="R45" i="6"/>
  <c r="S45" i="6"/>
  <c r="Q46" i="6"/>
  <c r="R46" i="6"/>
  <c r="S46" i="6"/>
  <c r="Q47" i="6"/>
  <c r="R47" i="6"/>
  <c r="S47" i="6"/>
  <c r="Q48" i="6"/>
  <c r="R48" i="6"/>
  <c r="S48" i="6"/>
  <c r="Q49" i="6"/>
  <c r="R49" i="6"/>
  <c r="S49" i="6"/>
  <c r="Q50" i="6"/>
  <c r="R50" i="6"/>
  <c r="S50" i="6"/>
  <c r="Q51" i="6"/>
  <c r="R51" i="6"/>
  <c r="S51" i="6"/>
  <c r="Q52" i="6"/>
  <c r="R52" i="6"/>
  <c r="S52" i="6"/>
  <c r="Q53" i="6"/>
  <c r="R53" i="6"/>
  <c r="S53" i="6"/>
  <c r="Q54" i="6"/>
  <c r="R54" i="6"/>
  <c r="S54" i="6"/>
  <c r="Q55" i="6"/>
  <c r="R55" i="6"/>
  <c r="S55" i="6"/>
  <c r="Q56" i="6"/>
  <c r="R56" i="6"/>
  <c r="S56" i="6"/>
  <c r="P57" i="6"/>
  <c r="Q57" i="6"/>
  <c r="R57" i="6"/>
  <c r="S57" i="6"/>
  <c r="P58" i="6"/>
  <c r="Q58" i="6"/>
  <c r="R58" i="6"/>
  <c r="S58" i="6"/>
  <c r="P59" i="6"/>
  <c r="Q59" i="6"/>
  <c r="R59" i="6"/>
  <c r="S59" i="6"/>
  <c r="P60" i="6"/>
  <c r="Q60" i="6"/>
  <c r="R60" i="6"/>
  <c r="S60" i="6"/>
  <c r="P61" i="6"/>
  <c r="Q61" i="6"/>
  <c r="R61" i="6"/>
  <c r="S61" i="6"/>
  <c r="P62" i="6"/>
  <c r="Q62" i="6"/>
  <c r="R62" i="6"/>
  <c r="S62" i="6"/>
  <c r="P63" i="6"/>
  <c r="Q63" i="6"/>
  <c r="R63" i="6"/>
  <c r="S63" i="6"/>
  <c r="P64" i="6"/>
  <c r="Q64" i="6"/>
  <c r="R64" i="6"/>
  <c r="S64" i="6"/>
  <c r="P65" i="6"/>
  <c r="Q65" i="6"/>
  <c r="R65" i="6"/>
  <c r="S65" i="6"/>
  <c r="P66" i="6"/>
  <c r="Q66" i="6"/>
  <c r="R66" i="6"/>
  <c r="S66" i="6"/>
  <c r="P67" i="6"/>
  <c r="Q67" i="6"/>
  <c r="R67" i="6"/>
  <c r="S67" i="6"/>
  <c r="P68" i="6"/>
  <c r="Q68" i="6"/>
  <c r="R68" i="6"/>
  <c r="S68" i="6"/>
  <c r="P69" i="6"/>
  <c r="Q69" i="6"/>
  <c r="R69" i="6"/>
  <c r="S69" i="6"/>
  <c r="P70" i="6"/>
  <c r="Q70" i="6"/>
  <c r="R70" i="6"/>
  <c r="S70" i="6"/>
  <c r="P71" i="6"/>
  <c r="Q71" i="6"/>
  <c r="R71" i="6"/>
  <c r="S71" i="6"/>
  <c r="P72" i="6"/>
  <c r="Q72" i="6"/>
  <c r="R72" i="6"/>
  <c r="S72" i="6"/>
  <c r="P73" i="6"/>
  <c r="Q73" i="6"/>
  <c r="R73" i="6"/>
  <c r="S73" i="6"/>
  <c r="P74" i="6"/>
  <c r="Q74" i="6"/>
  <c r="R74" i="6"/>
  <c r="S74" i="6"/>
  <c r="P75" i="6"/>
  <c r="Q75" i="6"/>
  <c r="R75" i="6"/>
  <c r="S75" i="6"/>
  <c r="P76" i="6"/>
  <c r="Q76" i="6"/>
  <c r="R76" i="6"/>
  <c r="S76" i="6"/>
  <c r="P77" i="6"/>
  <c r="Q77" i="6"/>
  <c r="R77" i="6"/>
  <c r="S77" i="6"/>
  <c r="P78" i="6"/>
  <c r="Q78" i="6"/>
  <c r="R78" i="6"/>
  <c r="S78" i="6"/>
  <c r="P79" i="6"/>
  <c r="Q79" i="6"/>
  <c r="R79" i="6"/>
  <c r="S79" i="6"/>
  <c r="P80" i="6"/>
  <c r="Q80" i="6"/>
  <c r="R80" i="6"/>
  <c r="S80" i="6"/>
  <c r="P81" i="6"/>
  <c r="Q81" i="6"/>
  <c r="R81" i="6"/>
  <c r="S81" i="6"/>
  <c r="P82" i="6"/>
  <c r="Q82" i="6"/>
  <c r="R82" i="6"/>
  <c r="S82" i="6"/>
  <c r="P83" i="6"/>
  <c r="Q83" i="6"/>
  <c r="R83" i="6"/>
  <c r="S83" i="6"/>
  <c r="P84" i="6"/>
  <c r="Q84" i="6"/>
  <c r="R84" i="6"/>
  <c r="S84" i="6"/>
  <c r="P85" i="6"/>
  <c r="Q85" i="6"/>
  <c r="R85" i="6"/>
  <c r="S85" i="6"/>
  <c r="P86" i="6"/>
  <c r="Q86" i="6"/>
  <c r="R86" i="6"/>
  <c r="S86" i="6"/>
  <c r="P87" i="6"/>
  <c r="Q87" i="6"/>
  <c r="R87" i="6"/>
  <c r="S87" i="6"/>
  <c r="P88" i="6"/>
  <c r="Q88" i="6"/>
  <c r="R88" i="6"/>
  <c r="S88" i="6"/>
  <c r="P89" i="6"/>
  <c r="Q89" i="6"/>
  <c r="R89" i="6"/>
  <c r="S89" i="6"/>
  <c r="P90" i="6"/>
  <c r="Q90" i="6"/>
  <c r="R90" i="6"/>
  <c r="S90" i="6"/>
  <c r="P91" i="6"/>
  <c r="Q91" i="6"/>
  <c r="R91" i="6"/>
  <c r="S91" i="6"/>
  <c r="P92" i="6"/>
  <c r="Q92" i="6"/>
  <c r="R92" i="6"/>
  <c r="S92" i="6"/>
  <c r="P93" i="6"/>
  <c r="Q93" i="6"/>
  <c r="R93" i="6"/>
  <c r="S93" i="6"/>
  <c r="P94" i="6"/>
  <c r="Q94" i="6"/>
  <c r="R94" i="6"/>
  <c r="S94" i="6"/>
  <c r="P95" i="6"/>
  <c r="Q95" i="6"/>
  <c r="R95" i="6"/>
  <c r="S95" i="6"/>
  <c r="P96" i="6"/>
  <c r="Q96" i="6"/>
  <c r="R96" i="6"/>
  <c r="S96" i="6"/>
  <c r="P97" i="6"/>
  <c r="Q97" i="6"/>
  <c r="R97" i="6"/>
  <c r="S97" i="6"/>
  <c r="P98" i="6"/>
  <c r="Q98" i="6"/>
  <c r="R98" i="6"/>
  <c r="S98" i="6"/>
  <c r="P99" i="6"/>
  <c r="Q99" i="6"/>
  <c r="R99" i="6"/>
  <c r="S99" i="6"/>
  <c r="P100" i="6"/>
  <c r="Q100" i="6"/>
  <c r="R100" i="6"/>
  <c r="S100" i="6"/>
  <c r="P101" i="6"/>
  <c r="Q101" i="6"/>
  <c r="R101" i="6"/>
  <c r="S101" i="6"/>
  <c r="P102" i="6"/>
  <c r="Q102" i="6"/>
  <c r="R102" i="6"/>
  <c r="S102" i="6"/>
  <c r="P103" i="6"/>
  <c r="Q103" i="6"/>
  <c r="R103" i="6"/>
  <c r="S103" i="6"/>
  <c r="P104" i="6"/>
  <c r="Q104" i="6"/>
  <c r="R104" i="6"/>
  <c r="S104" i="6"/>
  <c r="P105" i="6"/>
  <c r="Q105" i="6"/>
  <c r="R105" i="6"/>
  <c r="S105" i="6"/>
  <c r="AV105" i="6"/>
  <c r="AY105" i="6"/>
  <c r="P106" i="6"/>
  <c r="Q106" i="6"/>
  <c r="R106" i="6"/>
  <c r="S106" i="6"/>
  <c r="P107" i="6"/>
  <c r="Q107" i="6"/>
  <c r="R107" i="6"/>
  <c r="S107" i="6"/>
  <c r="P108" i="6"/>
  <c r="Q108" i="6"/>
  <c r="R108" i="6"/>
  <c r="S108" i="6"/>
  <c r="P109" i="6"/>
  <c r="Q109" i="6"/>
  <c r="R109" i="6"/>
  <c r="S109" i="6"/>
  <c r="P110" i="6"/>
  <c r="Q110" i="6"/>
  <c r="R110" i="6"/>
  <c r="S110" i="6"/>
  <c r="P111" i="6"/>
  <c r="Q111" i="6"/>
  <c r="R111" i="6"/>
  <c r="S111" i="6"/>
  <c r="P112" i="6"/>
  <c r="Q112" i="6"/>
  <c r="R112" i="6"/>
  <c r="S112" i="6"/>
  <c r="P113" i="6"/>
  <c r="Q113" i="6"/>
  <c r="R113" i="6"/>
  <c r="S113" i="6"/>
  <c r="P114" i="6"/>
  <c r="Q114" i="6"/>
  <c r="R114" i="6"/>
  <c r="S114" i="6"/>
  <c r="P115" i="6"/>
  <c r="Q115" i="6"/>
  <c r="R115" i="6"/>
  <c r="S115" i="6"/>
  <c r="P116" i="6"/>
  <c r="Q116" i="6"/>
  <c r="R116" i="6"/>
  <c r="S116" i="6"/>
  <c r="AV116" i="6"/>
  <c r="AY116" i="6"/>
  <c r="O117" i="6"/>
  <c r="P117" i="6"/>
  <c r="Q117" i="6"/>
  <c r="R117" i="6"/>
  <c r="S117" i="6"/>
  <c r="AY117" i="6"/>
  <c r="O118" i="6"/>
  <c r="P118" i="6"/>
  <c r="Q118" i="6"/>
  <c r="R118" i="6"/>
  <c r="S118" i="6"/>
  <c r="O119" i="6"/>
  <c r="P119" i="6"/>
  <c r="Q119" i="6"/>
  <c r="R119" i="6"/>
  <c r="S119" i="6"/>
  <c r="O120" i="6"/>
  <c r="P120" i="6"/>
  <c r="Q120" i="6"/>
  <c r="R120" i="6"/>
  <c r="S120" i="6"/>
  <c r="O121" i="6"/>
  <c r="P121" i="6"/>
  <c r="Q121" i="6"/>
  <c r="R121" i="6"/>
  <c r="S121" i="6"/>
  <c r="O122" i="6"/>
  <c r="P122" i="6"/>
  <c r="Q122" i="6"/>
  <c r="R122" i="6"/>
  <c r="S122" i="6"/>
  <c r="O123" i="6"/>
  <c r="P123" i="6"/>
  <c r="Q123" i="6"/>
  <c r="R123" i="6"/>
  <c r="S123" i="6"/>
  <c r="O124" i="6"/>
  <c r="P124" i="6"/>
  <c r="Q124" i="6"/>
  <c r="R124" i="6"/>
  <c r="S124" i="6"/>
  <c r="O125" i="6"/>
  <c r="P125" i="6"/>
  <c r="Q125" i="6"/>
  <c r="R125" i="6"/>
  <c r="S125" i="6"/>
  <c r="O126" i="6"/>
  <c r="P126" i="6"/>
  <c r="Q126" i="6"/>
  <c r="R126" i="6"/>
  <c r="S126" i="6"/>
  <c r="O127" i="6"/>
  <c r="P127" i="6"/>
  <c r="Q127" i="6"/>
  <c r="R127" i="6"/>
  <c r="S127" i="6"/>
  <c r="O128" i="6"/>
  <c r="P128" i="6"/>
  <c r="Q128" i="6"/>
  <c r="R128" i="6"/>
  <c r="S128" i="6"/>
  <c r="O129" i="6"/>
  <c r="P129" i="6"/>
  <c r="Q129" i="6"/>
  <c r="R129" i="6"/>
  <c r="S129" i="6"/>
  <c r="O130" i="6"/>
  <c r="P130" i="6"/>
  <c r="Q130" i="6"/>
  <c r="R130" i="6"/>
  <c r="S130" i="6"/>
  <c r="O131" i="6"/>
  <c r="P131" i="6"/>
  <c r="Q131" i="6"/>
  <c r="R131" i="6"/>
  <c r="S131" i="6"/>
  <c r="O132" i="6"/>
  <c r="P132" i="6"/>
  <c r="Q132" i="6"/>
  <c r="R132" i="6"/>
  <c r="S132" i="6"/>
  <c r="O133" i="6"/>
  <c r="P133" i="6"/>
  <c r="Q133" i="6"/>
  <c r="R133" i="6"/>
  <c r="S133" i="6"/>
  <c r="O134" i="6"/>
  <c r="P134" i="6"/>
  <c r="Q134" i="6"/>
  <c r="R134" i="6"/>
  <c r="S134" i="6"/>
  <c r="O135" i="6"/>
  <c r="P135" i="6"/>
  <c r="Q135" i="6"/>
  <c r="R135" i="6"/>
  <c r="S135" i="6"/>
  <c r="O136" i="6"/>
  <c r="P136" i="6"/>
  <c r="Q136" i="6"/>
  <c r="R136" i="6"/>
  <c r="S136" i="6"/>
  <c r="O137" i="6"/>
  <c r="P137" i="6"/>
  <c r="Q137" i="6"/>
  <c r="R137" i="6"/>
  <c r="S137" i="6"/>
  <c r="O138" i="6"/>
  <c r="P138" i="6"/>
  <c r="Q138" i="6"/>
  <c r="R138" i="6"/>
  <c r="S138" i="6"/>
  <c r="O139" i="6"/>
  <c r="P139" i="6"/>
  <c r="Q139" i="6"/>
  <c r="R139" i="6"/>
  <c r="S139" i="6"/>
  <c r="O140" i="6"/>
  <c r="P140" i="6"/>
  <c r="Q140" i="6"/>
  <c r="R140" i="6"/>
  <c r="S140" i="6"/>
  <c r="O141" i="6"/>
  <c r="P141" i="6"/>
  <c r="Q141" i="6"/>
  <c r="R141" i="6"/>
  <c r="S141" i="6"/>
  <c r="O142" i="6"/>
  <c r="P142" i="6"/>
  <c r="Q142" i="6"/>
  <c r="R142" i="6"/>
  <c r="S142" i="6"/>
  <c r="O143" i="6"/>
  <c r="P143" i="6"/>
  <c r="Q143" i="6"/>
  <c r="R143" i="6"/>
  <c r="S143" i="6"/>
  <c r="O144" i="6"/>
  <c r="P144" i="6"/>
  <c r="Q144" i="6"/>
  <c r="R144" i="6"/>
  <c r="S144" i="6"/>
  <c r="O145" i="6"/>
  <c r="P145" i="6"/>
  <c r="Q145" i="6"/>
  <c r="R145" i="6"/>
  <c r="S145" i="6"/>
  <c r="O146" i="6"/>
  <c r="P146" i="6"/>
  <c r="Q146" i="6"/>
  <c r="R146" i="6"/>
  <c r="S146" i="6"/>
  <c r="O147" i="6"/>
  <c r="P147" i="6"/>
  <c r="Q147" i="6"/>
  <c r="R147" i="6"/>
  <c r="S147" i="6"/>
  <c r="O148" i="6"/>
  <c r="P148" i="6"/>
  <c r="Q148" i="6"/>
  <c r="R148" i="6"/>
  <c r="S148" i="6"/>
  <c r="O149" i="6"/>
  <c r="P149" i="6"/>
  <c r="Q149" i="6"/>
  <c r="R149" i="6"/>
  <c r="S149" i="6"/>
  <c r="O150" i="6"/>
  <c r="P150" i="6"/>
  <c r="Q150" i="6"/>
  <c r="R150" i="6"/>
  <c r="S150" i="6"/>
  <c r="O151" i="6"/>
  <c r="P151" i="6"/>
  <c r="Q151" i="6"/>
  <c r="R151" i="6"/>
  <c r="S151" i="6"/>
  <c r="O152" i="6"/>
  <c r="P152" i="6"/>
  <c r="Q152" i="6"/>
  <c r="R152" i="6"/>
  <c r="S152" i="6"/>
  <c r="O153" i="6"/>
  <c r="P153" i="6"/>
  <c r="Q153" i="6"/>
  <c r="R153" i="6"/>
  <c r="S153" i="6"/>
  <c r="O154" i="6"/>
  <c r="P154" i="6"/>
  <c r="Q154" i="6"/>
  <c r="R154" i="6"/>
  <c r="S154" i="6"/>
  <c r="O155" i="6"/>
  <c r="P155" i="6"/>
  <c r="Q155" i="6"/>
  <c r="R155" i="6"/>
  <c r="S155" i="6"/>
  <c r="O156" i="6"/>
  <c r="P156" i="6"/>
  <c r="Q156" i="6"/>
  <c r="R156" i="6"/>
  <c r="S156" i="6"/>
  <c r="O157" i="6"/>
  <c r="P157" i="6"/>
  <c r="Q157" i="6"/>
  <c r="R157" i="6"/>
  <c r="S157" i="6"/>
  <c r="O158" i="6"/>
  <c r="P158" i="6"/>
  <c r="Q158" i="6"/>
  <c r="R158" i="6"/>
  <c r="S158" i="6"/>
  <c r="O159" i="6"/>
  <c r="P159" i="6"/>
  <c r="Q159" i="6"/>
  <c r="R159" i="6"/>
  <c r="S159" i="6"/>
  <c r="O160" i="6"/>
  <c r="P160" i="6"/>
  <c r="Q160" i="6"/>
  <c r="R160" i="6"/>
  <c r="S160" i="6"/>
  <c r="AV160" i="6"/>
  <c r="AY160" i="6"/>
  <c r="O161" i="6"/>
  <c r="P161" i="6"/>
  <c r="Q161" i="6"/>
  <c r="R161" i="6"/>
  <c r="S161" i="6"/>
  <c r="O162" i="6"/>
  <c r="P162" i="6"/>
  <c r="Q162" i="6"/>
  <c r="R162" i="6"/>
  <c r="S162" i="6"/>
  <c r="O163" i="6"/>
  <c r="P163" i="6"/>
  <c r="Q163" i="6"/>
  <c r="R163" i="6"/>
  <c r="S163" i="6"/>
  <c r="O164" i="6"/>
  <c r="P164" i="6"/>
  <c r="Q164" i="6"/>
  <c r="R164" i="6"/>
  <c r="S164" i="6"/>
  <c r="O165" i="6"/>
  <c r="P165" i="6"/>
  <c r="Q165" i="6"/>
  <c r="R165" i="6"/>
  <c r="S165" i="6"/>
  <c r="AV165" i="6"/>
  <c r="AY165" i="6"/>
  <c r="O166" i="6"/>
  <c r="P166" i="6"/>
  <c r="Q166" i="6"/>
  <c r="R166" i="6"/>
  <c r="S166" i="6"/>
  <c r="AY166" i="6"/>
  <c r="O167" i="6"/>
  <c r="P167" i="6"/>
  <c r="Q167" i="6"/>
  <c r="R167" i="6"/>
  <c r="S167" i="6"/>
  <c r="O168" i="6"/>
  <c r="P168" i="6"/>
  <c r="Q168" i="6"/>
  <c r="R168" i="6"/>
  <c r="S168" i="6"/>
  <c r="O169" i="6"/>
  <c r="P169" i="6"/>
  <c r="Q169" i="6"/>
  <c r="R169" i="6"/>
  <c r="S169" i="6"/>
  <c r="O170" i="6"/>
  <c r="P170" i="6"/>
  <c r="Q170" i="6"/>
  <c r="R170" i="6"/>
  <c r="S170" i="6"/>
  <c r="O171" i="6"/>
  <c r="P171" i="6"/>
  <c r="Q171" i="6"/>
  <c r="R171" i="6"/>
  <c r="S171" i="6"/>
  <c r="O172" i="6"/>
  <c r="P172" i="6"/>
  <c r="Q172" i="6"/>
  <c r="R172" i="6"/>
  <c r="S172" i="6"/>
  <c r="O173" i="6"/>
  <c r="P173" i="6"/>
  <c r="Q173" i="6"/>
  <c r="R173" i="6"/>
  <c r="S173" i="6"/>
  <c r="O174" i="6"/>
  <c r="P174" i="6"/>
  <c r="Q174" i="6"/>
  <c r="R174" i="6"/>
  <c r="S174" i="6"/>
  <c r="O175" i="6"/>
  <c r="P175" i="6"/>
  <c r="Q175" i="6"/>
  <c r="R175" i="6"/>
  <c r="S175" i="6"/>
  <c r="AV175" i="6"/>
  <c r="AY175" i="6"/>
  <c r="O176" i="6"/>
  <c r="P176" i="6"/>
  <c r="Q176" i="6"/>
  <c r="R176" i="6"/>
  <c r="S176" i="6"/>
  <c r="AY176" i="6"/>
  <c r="O177" i="6"/>
  <c r="P177" i="6"/>
  <c r="Q177" i="6"/>
  <c r="R177" i="6"/>
  <c r="S177" i="6"/>
  <c r="O178" i="6"/>
  <c r="P178" i="6"/>
  <c r="Q178" i="6"/>
  <c r="R178" i="6"/>
  <c r="S178" i="6"/>
  <c r="O179" i="6"/>
  <c r="P179" i="6"/>
  <c r="Q179" i="6"/>
  <c r="R179" i="6"/>
  <c r="S179" i="6"/>
  <c r="O180" i="6"/>
  <c r="P180" i="6"/>
  <c r="Q180" i="6"/>
  <c r="R180" i="6"/>
  <c r="S180" i="6"/>
  <c r="O181" i="6"/>
  <c r="P181" i="6"/>
  <c r="Q181" i="6"/>
  <c r="R181" i="6"/>
  <c r="S181" i="6"/>
  <c r="O182" i="6"/>
  <c r="P182" i="6"/>
  <c r="Q182" i="6"/>
  <c r="R182" i="6"/>
  <c r="S182" i="6"/>
  <c r="O183" i="6"/>
  <c r="P183" i="6"/>
  <c r="Q183" i="6"/>
  <c r="R183" i="6"/>
  <c r="S183" i="6"/>
  <c r="O184" i="6"/>
  <c r="P184" i="6"/>
  <c r="Q184" i="6"/>
  <c r="R184" i="6"/>
  <c r="S184" i="6"/>
  <c r="O185" i="6"/>
  <c r="P185" i="6"/>
  <c r="Q185" i="6"/>
  <c r="R185" i="6"/>
  <c r="S185" i="6"/>
  <c r="O186" i="6"/>
  <c r="P186" i="6"/>
  <c r="Q186" i="6"/>
  <c r="R186" i="6"/>
  <c r="S186" i="6"/>
  <c r="O187" i="6"/>
  <c r="P187" i="6"/>
  <c r="Q187" i="6"/>
  <c r="R187" i="6"/>
  <c r="S187" i="6"/>
  <c r="O188" i="6"/>
  <c r="P188" i="6"/>
  <c r="Q188" i="6"/>
  <c r="R188" i="6"/>
  <c r="S188" i="6"/>
  <c r="O189" i="6"/>
  <c r="P189" i="6"/>
  <c r="Q189" i="6"/>
  <c r="R189" i="6"/>
  <c r="S189" i="6"/>
  <c r="O190" i="6"/>
  <c r="P190" i="6"/>
  <c r="Q190" i="6"/>
  <c r="R190" i="6"/>
  <c r="S190" i="6"/>
  <c r="O191" i="6"/>
  <c r="P191" i="6"/>
  <c r="Q191" i="6"/>
  <c r="R191" i="6"/>
  <c r="S191" i="6"/>
  <c r="O192" i="6"/>
  <c r="P192" i="6"/>
  <c r="Q192" i="6"/>
  <c r="R192" i="6"/>
  <c r="S192" i="6"/>
  <c r="O193" i="6"/>
  <c r="P193" i="6"/>
  <c r="Q193" i="6"/>
  <c r="R193" i="6"/>
  <c r="S193" i="6"/>
  <c r="O194" i="6"/>
  <c r="P194" i="6"/>
  <c r="Q194" i="6"/>
  <c r="R194" i="6"/>
  <c r="S194" i="6"/>
  <c r="O195" i="6"/>
  <c r="P195" i="6"/>
  <c r="Q195" i="6"/>
  <c r="R195" i="6"/>
  <c r="S195" i="6"/>
  <c r="AV195" i="6"/>
  <c r="AY195" i="6"/>
  <c r="O196" i="6"/>
  <c r="P196" i="6"/>
  <c r="Q196" i="6"/>
  <c r="R196" i="6"/>
  <c r="S196" i="6"/>
  <c r="AY196" i="6"/>
  <c r="O197" i="6"/>
  <c r="P197" i="6"/>
  <c r="Q197" i="6"/>
  <c r="R197" i="6"/>
  <c r="S197" i="6"/>
  <c r="O198" i="6"/>
  <c r="P198" i="6"/>
  <c r="Q198" i="6"/>
  <c r="R198" i="6"/>
  <c r="S198" i="6"/>
  <c r="O199" i="6"/>
  <c r="P199" i="6"/>
  <c r="Q199" i="6"/>
  <c r="R199" i="6"/>
  <c r="S199" i="6"/>
  <c r="O200" i="6"/>
  <c r="P200" i="6"/>
  <c r="Q200" i="6"/>
  <c r="R200" i="6"/>
  <c r="S200" i="6"/>
  <c r="O201" i="6"/>
  <c r="P201" i="6"/>
  <c r="Q201" i="6"/>
  <c r="R201" i="6"/>
  <c r="S201" i="6"/>
  <c r="O202" i="6"/>
  <c r="P202" i="6"/>
  <c r="Q202" i="6"/>
  <c r="R202" i="6"/>
  <c r="S202" i="6"/>
  <c r="O203" i="6"/>
  <c r="P203" i="6"/>
  <c r="Q203" i="6"/>
  <c r="R203" i="6"/>
  <c r="S203" i="6"/>
  <c r="O204" i="6"/>
  <c r="P204" i="6"/>
  <c r="Q204" i="6"/>
  <c r="R204" i="6"/>
  <c r="S204" i="6"/>
  <c r="O205" i="6"/>
  <c r="P205" i="6"/>
  <c r="Q205" i="6"/>
  <c r="R205" i="6"/>
  <c r="S205" i="6"/>
  <c r="O206" i="6"/>
  <c r="P206" i="6"/>
  <c r="Q206" i="6"/>
  <c r="R206" i="6"/>
  <c r="S206" i="6"/>
  <c r="O207" i="6"/>
  <c r="P207" i="6"/>
  <c r="Q207" i="6"/>
  <c r="R207" i="6"/>
  <c r="S207" i="6"/>
  <c r="O208" i="6"/>
  <c r="P208" i="6"/>
  <c r="Q208" i="6"/>
  <c r="R208" i="6"/>
  <c r="S208" i="6"/>
  <c r="O209" i="6"/>
  <c r="P209" i="6"/>
  <c r="Q209" i="6"/>
  <c r="R209" i="6"/>
  <c r="S209" i="6"/>
  <c r="O210" i="6"/>
  <c r="P210" i="6"/>
  <c r="Q210" i="6"/>
  <c r="R210" i="6"/>
  <c r="S210" i="6"/>
  <c r="O211" i="6"/>
  <c r="P211" i="6"/>
  <c r="Q211" i="6"/>
  <c r="R211" i="6"/>
  <c r="S211" i="6"/>
  <c r="O212" i="6"/>
  <c r="P212" i="6"/>
  <c r="Q212" i="6"/>
  <c r="R212" i="6"/>
  <c r="S212" i="6"/>
  <c r="O213" i="6"/>
  <c r="P213" i="6"/>
  <c r="Q213" i="6"/>
  <c r="R213" i="6"/>
  <c r="S213" i="6"/>
  <c r="O214" i="6"/>
  <c r="P214" i="6"/>
  <c r="Q214" i="6"/>
  <c r="R214" i="6"/>
  <c r="S214" i="6"/>
  <c r="O215" i="6"/>
  <c r="P215" i="6"/>
  <c r="Q215" i="6"/>
  <c r="R215" i="6"/>
  <c r="S215" i="6"/>
  <c r="O216" i="6"/>
  <c r="P216" i="6"/>
  <c r="Q216" i="6"/>
  <c r="R216" i="6"/>
  <c r="S216" i="6"/>
  <c r="O217" i="6"/>
  <c r="P217" i="6"/>
  <c r="Q217" i="6"/>
  <c r="R217" i="6"/>
  <c r="S217" i="6"/>
  <c r="O218" i="6"/>
  <c r="P218" i="6"/>
  <c r="Q218" i="6"/>
  <c r="R218" i="6"/>
  <c r="S218" i="6"/>
  <c r="O219" i="6"/>
  <c r="P219" i="6"/>
  <c r="Q219" i="6"/>
  <c r="R219" i="6"/>
  <c r="S219" i="6"/>
  <c r="O220" i="6"/>
  <c r="P220" i="6"/>
  <c r="Q220" i="6"/>
  <c r="R220" i="6"/>
  <c r="S220" i="6"/>
  <c r="O221" i="6"/>
  <c r="P221" i="6"/>
  <c r="Q221" i="6"/>
  <c r="R221" i="6"/>
  <c r="S221" i="6"/>
  <c r="O222" i="6"/>
  <c r="P222" i="6"/>
  <c r="Q222" i="6"/>
  <c r="R222" i="6"/>
  <c r="S222" i="6"/>
  <c r="O223" i="6"/>
  <c r="P223" i="6"/>
  <c r="Q223" i="6"/>
  <c r="R223" i="6"/>
  <c r="S223" i="6"/>
  <c r="O224" i="6"/>
  <c r="P224" i="6"/>
  <c r="Q224" i="6"/>
  <c r="R224" i="6"/>
  <c r="S224" i="6"/>
  <c r="O225" i="6"/>
  <c r="P225" i="6"/>
  <c r="Q225" i="6"/>
  <c r="R225" i="6"/>
  <c r="S225" i="6"/>
  <c r="O226" i="6"/>
  <c r="P226" i="6"/>
  <c r="Q226" i="6"/>
  <c r="R226" i="6"/>
  <c r="S226" i="6"/>
  <c r="O227" i="6"/>
  <c r="P227" i="6"/>
  <c r="Q227" i="6"/>
  <c r="R227" i="6"/>
  <c r="S227" i="6"/>
  <c r="O228" i="6"/>
  <c r="P228" i="6"/>
  <c r="Q228" i="6"/>
  <c r="R228" i="6"/>
  <c r="S228" i="6"/>
  <c r="O229" i="6"/>
  <c r="P229" i="6"/>
  <c r="Q229" i="6"/>
  <c r="R229" i="6"/>
  <c r="S229" i="6"/>
  <c r="O230" i="6"/>
  <c r="P230" i="6"/>
  <c r="Q230" i="6"/>
  <c r="R230" i="6"/>
  <c r="S230" i="6"/>
  <c r="O231" i="6"/>
  <c r="P231" i="6"/>
  <c r="Q231" i="6"/>
  <c r="R231" i="6"/>
  <c r="S231" i="6"/>
  <c r="O232" i="6"/>
  <c r="P232" i="6"/>
  <c r="Q232" i="6"/>
  <c r="R232" i="6"/>
  <c r="S232" i="6"/>
  <c r="O233" i="6"/>
  <c r="P233" i="6"/>
  <c r="Q233" i="6"/>
  <c r="R233" i="6"/>
  <c r="S233" i="6"/>
  <c r="O234" i="6"/>
  <c r="P234" i="6"/>
  <c r="Q234" i="6"/>
  <c r="R234" i="6"/>
  <c r="S234" i="6"/>
  <c r="O235" i="6"/>
  <c r="P235" i="6"/>
  <c r="Q235" i="6"/>
  <c r="R235" i="6"/>
  <c r="S235" i="6"/>
  <c r="O236" i="6"/>
  <c r="P236" i="6"/>
  <c r="Q236" i="6"/>
  <c r="R236" i="6"/>
  <c r="S236" i="6"/>
  <c r="O237" i="6"/>
  <c r="P237" i="6"/>
  <c r="Q237" i="6"/>
  <c r="R237" i="6"/>
  <c r="S237" i="6"/>
  <c r="O238" i="6"/>
  <c r="P238" i="6"/>
  <c r="Q238" i="6"/>
  <c r="R238" i="6"/>
  <c r="S238" i="6"/>
  <c r="O239" i="6"/>
  <c r="P239" i="6"/>
  <c r="Q239" i="6"/>
  <c r="R239" i="6"/>
  <c r="S239" i="6"/>
  <c r="O240" i="6"/>
  <c r="P240" i="6"/>
  <c r="Q240" i="6"/>
  <c r="R240" i="6"/>
  <c r="S240" i="6"/>
  <c r="O241" i="6"/>
  <c r="P241" i="6"/>
  <c r="Q241" i="6"/>
  <c r="R241" i="6"/>
  <c r="S241" i="6"/>
  <c r="O242" i="6"/>
  <c r="P242" i="6"/>
  <c r="Q242" i="6"/>
  <c r="R242" i="6"/>
  <c r="S242" i="6"/>
  <c r="O243" i="6"/>
  <c r="P243" i="6"/>
  <c r="Q243" i="6"/>
  <c r="R243" i="6"/>
  <c r="S243" i="6"/>
  <c r="O244" i="6"/>
  <c r="P244" i="6"/>
  <c r="Q244" i="6"/>
  <c r="R244" i="6"/>
  <c r="S244" i="6"/>
  <c r="O245" i="6"/>
  <c r="P245" i="6"/>
  <c r="Q245" i="6"/>
  <c r="R245" i="6"/>
  <c r="S245" i="6"/>
  <c r="O246" i="6"/>
  <c r="P246" i="6"/>
  <c r="Q246" i="6"/>
  <c r="R246" i="6"/>
  <c r="S246" i="6"/>
  <c r="O247" i="6"/>
  <c r="P247" i="6"/>
  <c r="Q247" i="6"/>
  <c r="R247" i="6"/>
  <c r="S247" i="6"/>
  <c r="O248" i="6"/>
  <c r="P248" i="6"/>
  <c r="Q248" i="6"/>
  <c r="R248" i="6"/>
  <c r="S248" i="6"/>
  <c r="O249" i="6"/>
  <c r="P249" i="6"/>
  <c r="Q249" i="6"/>
  <c r="R249" i="6"/>
  <c r="S249" i="6"/>
  <c r="O250" i="6"/>
  <c r="P250" i="6"/>
  <c r="Q250" i="6"/>
  <c r="R250" i="6"/>
  <c r="S250" i="6"/>
  <c r="O251" i="6"/>
  <c r="P251" i="6"/>
  <c r="Q251" i="6"/>
  <c r="R251" i="6"/>
  <c r="S251" i="6"/>
  <c r="O252" i="6"/>
  <c r="P252" i="6"/>
  <c r="Q252" i="6"/>
  <c r="R252" i="6"/>
  <c r="S252" i="6"/>
  <c r="O253" i="6"/>
  <c r="P253" i="6"/>
  <c r="Q253" i="6"/>
  <c r="R253" i="6"/>
  <c r="S253" i="6"/>
  <c r="O254" i="6"/>
  <c r="P254" i="6"/>
  <c r="Q254" i="6"/>
  <c r="R254" i="6"/>
  <c r="S254" i="6"/>
  <c r="O255" i="6"/>
  <c r="P255" i="6"/>
  <c r="Q255" i="6"/>
  <c r="R255" i="6"/>
  <c r="S255" i="6"/>
  <c r="O256" i="6"/>
  <c r="P256" i="6"/>
  <c r="Q256" i="6"/>
  <c r="R256" i="6"/>
  <c r="S256" i="6"/>
  <c r="O257" i="6"/>
  <c r="P257" i="6"/>
  <c r="Q257" i="6"/>
  <c r="R257" i="6"/>
  <c r="S257" i="6"/>
  <c r="O258" i="6"/>
  <c r="P258" i="6"/>
  <c r="Q258" i="6"/>
  <c r="R258" i="6"/>
  <c r="S258" i="6"/>
  <c r="O259" i="6"/>
  <c r="P259" i="6"/>
  <c r="Q259" i="6"/>
  <c r="R259" i="6"/>
  <c r="S259" i="6"/>
  <c r="O260" i="6"/>
  <c r="P260" i="6"/>
  <c r="Q260" i="6"/>
  <c r="R260" i="6"/>
  <c r="S260" i="6"/>
  <c r="O261" i="6"/>
  <c r="P261" i="6"/>
  <c r="Q261" i="6"/>
  <c r="R261" i="6"/>
  <c r="S261" i="6"/>
  <c r="O262" i="6"/>
  <c r="P262" i="6"/>
  <c r="Q262" i="6"/>
  <c r="R262" i="6"/>
  <c r="S262" i="6"/>
  <c r="O263" i="6"/>
  <c r="P263" i="6"/>
  <c r="Q263" i="6"/>
  <c r="R263" i="6"/>
  <c r="S263" i="6"/>
  <c r="O264" i="6"/>
  <c r="P264" i="6"/>
  <c r="Q264" i="6"/>
  <c r="R264" i="6"/>
  <c r="S264" i="6"/>
  <c r="O265" i="6"/>
  <c r="P265" i="6"/>
  <c r="Q265" i="6"/>
  <c r="R265" i="6"/>
  <c r="S265" i="6"/>
  <c r="O266" i="6"/>
  <c r="P266" i="6"/>
  <c r="Q266" i="6"/>
  <c r="R266" i="6"/>
  <c r="S266" i="6"/>
  <c r="O267" i="6"/>
  <c r="P267" i="6"/>
  <c r="Q267" i="6"/>
  <c r="R267" i="6"/>
  <c r="S267" i="6"/>
  <c r="O268" i="6"/>
  <c r="P268" i="6"/>
  <c r="Q268" i="6"/>
  <c r="R268" i="6"/>
  <c r="S268" i="6"/>
  <c r="O269" i="6"/>
  <c r="P269" i="6"/>
  <c r="Q269" i="6"/>
  <c r="R269" i="6"/>
  <c r="S269" i="6"/>
  <c r="O270" i="6"/>
  <c r="P270" i="6"/>
  <c r="Q270" i="6"/>
  <c r="R270" i="6"/>
  <c r="S270" i="6"/>
  <c r="O271" i="6"/>
  <c r="P271" i="6"/>
  <c r="Q271" i="6"/>
  <c r="R271" i="6"/>
  <c r="S271" i="6"/>
  <c r="O272" i="6"/>
  <c r="P272" i="6"/>
  <c r="Q272" i="6"/>
  <c r="R272" i="6"/>
  <c r="S272" i="6"/>
  <c r="O273" i="6"/>
  <c r="P273" i="6"/>
  <c r="Q273" i="6"/>
  <c r="R273" i="6"/>
  <c r="S273" i="6"/>
  <c r="O274" i="6"/>
  <c r="P274" i="6"/>
  <c r="Q274" i="6"/>
  <c r="R274" i="6"/>
  <c r="S274" i="6"/>
  <c r="O275" i="6"/>
  <c r="P275" i="6"/>
  <c r="Q275" i="6"/>
  <c r="R275" i="6"/>
  <c r="S275" i="6"/>
  <c r="O276" i="6"/>
  <c r="P276" i="6"/>
  <c r="Q276" i="6"/>
  <c r="R276" i="6"/>
  <c r="S276" i="6"/>
  <c r="O277" i="6"/>
  <c r="P277" i="6"/>
  <c r="Q277" i="6"/>
  <c r="R277" i="6"/>
  <c r="S277" i="6"/>
  <c r="O278" i="6"/>
  <c r="P278" i="6"/>
  <c r="Q278" i="6"/>
  <c r="R278" i="6"/>
  <c r="S278" i="6"/>
  <c r="O279" i="6"/>
  <c r="P279" i="6"/>
  <c r="Q279" i="6"/>
  <c r="R279" i="6"/>
  <c r="S279" i="6"/>
  <c r="O280" i="6"/>
  <c r="P280" i="6"/>
  <c r="Q280" i="6"/>
  <c r="R280" i="6"/>
  <c r="S280" i="6"/>
  <c r="O281" i="6"/>
  <c r="P281" i="6"/>
  <c r="Q281" i="6"/>
  <c r="R281" i="6"/>
  <c r="S281" i="6"/>
  <c r="O282" i="6"/>
  <c r="P282" i="6"/>
  <c r="Q282" i="6"/>
  <c r="R282" i="6"/>
  <c r="S282" i="6"/>
  <c r="O283" i="6"/>
  <c r="P283" i="6"/>
  <c r="Q283" i="6"/>
  <c r="R283" i="6"/>
  <c r="S283" i="6"/>
  <c r="O284" i="6"/>
  <c r="P284" i="6"/>
  <c r="Q284" i="6"/>
  <c r="R284" i="6"/>
  <c r="S284" i="6"/>
  <c r="O285" i="6"/>
  <c r="P285" i="6"/>
  <c r="Q285" i="6"/>
  <c r="R285" i="6"/>
  <c r="S285" i="6"/>
  <c r="O286" i="6"/>
  <c r="P286" i="6"/>
  <c r="Q286" i="6"/>
  <c r="R286" i="6"/>
  <c r="S286" i="6"/>
  <c r="O287" i="6"/>
  <c r="P287" i="6"/>
  <c r="Q287" i="6"/>
  <c r="R287" i="6"/>
  <c r="S287" i="6"/>
  <c r="O288" i="6"/>
  <c r="P288" i="6"/>
  <c r="Q288" i="6"/>
  <c r="R288" i="6"/>
  <c r="S288" i="6"/>
  <c r="O289" i="6"/>
  <c r="P289" i="6"/>
  <c r="Q289" i="6"/>
  <c r="R289" i="6"/>
  <c r="S289" i="6"/>
  <c r="O290" i="6"/>
  <c r="P290" i="6"/>
  <c r="Q290" i="6"/>
  <c r="R290" i="6"/>
  <c r="S290" i="6"/>
  <c r="O291" i="6"/>
  <c r="P291" i="6"/>
  <c r="Q291" i="6"/>
  <c r="R291" i="6"/>
  <c r="S291" i="6"/>
  <c r="O292" i="6"/>
  <c r="P292" i="6"/>
  <c r="Q292" i="6"/>
  <c r="R292" i="6"/>
  <c r="S292" i="6"/>
  <c r="O293" i="6"/>
  <c r="P293" i="6"/>
  <c r="Q293" i="6"/>
  <c r="R293" i="6"/>
  <c r="S293" i="6"/>
  <c r="O294" i="6"/>
  <c r="P294" i="6"/>
  <c r="Q294" i="6"/>
  <c r="R294" i="6"/>
  <c r="S294" i="6"/>
  <c r="O295" i="6"/>
  <c r="P295" i="6"/>
  <c r="Q295" i="6"/>
  <c r="R295" i="6"/>
  <c r="S295" i="6"/>
  <c r="O296" i="6"/>
  <c r="P296" i="6"/>
  <c r="Q296" i="6"/>
  <c r="R296" i="6"/>
  <c r="S296" i="6"/>
  <c r="O297" i="6"/>
  <c r="P297" i="6"/>
  <c r="Q297" i="6"/>
  <c r="R297" i="6"/>
  <c r="S297" i="6"/>
  <c r="O298" i="6"/>
  <c r="P298" i="6"/>
  <c r="Q298" i="6"/>
  <c r="R298" i="6"/>
  <c r="S298" i="6"/>
  <c r="O299" i="6"/>
  <c r="P299" i="6"/>
  <c r="Q299" i="6"/>
  <c r="R299" i="6"/>
  <c r="S299" i="6"/>
  <c r="O300" i="6"/>
  <c r="P300" i="6"/>
  <c r="Q300" i="6"/>
  <c r="R300" i="6"/>
  <c r="S300" i="6"/>
  <c r="O301" i="6"/>
  <c r="P301" i="6"/>
  <c r="Q301" i="6"/>
  <c r="R301" i="6"/>
  <c r="S301" i="6"/>
  <c r="O302" i="6"/>
  <c r="P302" i="6"/>
  <c r="Q302" i="6"/>
  <c r="R302" i="6"/>
  <c r="S302" i="6"/>
  <c r="O303" i="6"/>
  <c r="P303" i="6"/>
  <c r="Q303" i="6"/>
  <c r="R303" i="6"/>
  <c r="S303" i="6"/>
  <c r="O304" i="6"/>
  <c r="P304" i="6"/>
  <c r="Q304" i="6"/>
  <c r="R304" i="6"/>
  <c r="S304" i="6"/>
  <c r="O305" i="6"/>
  <c r="P305" i="6"/>
  <c r="Q305" i="6"/>
  <c r="R305" i="6"/>
  <c r="S305" i="6"/>
  <c r="O306" i="6"/>
  <c r="P306" i="6"/>
  <c r="Q306" i="6"/>
  <c r="R306" i="6"/>
  <c r="S306" i="6"/>
  <c r="O307" i="6"/>
  <c r="P307" i="6"/>
  <c r="Q307" i="6"/>
  <c r="R307" i="6"/>
  <c r="S307" i="6"/>
  <c r="O308" i="6"/>
  <c r="P308" i="6"/>
  <c r="Q308" i="6"/>
  <c r="R308" i="6"/>
  <c r="S308" i="6"/>
  <c r="O309" i="6"/>
  <c r="P309" i="6"/>
  <c r="Q309" i="6"/>
  <c r="R309" i="6"/>
  <c r="S309" i="6"/>
  <c r="O310" i="6"/>
  <c r="P310" i="6"/>
  <c r="Q310" i="6"/>
  <c r="R310" i="6"/>
  <c r="S310" i="6"/>
  <c r="O311" i="6"/>
  <c r="P311" i="6"/>
  <c r="Q311" i="6"/>
  <c r="R311" i="6"/>
  <c r="S311" i="6"/>
  <c r="O312" i="6"/>
  <c r="P312" i="6"/>
  <c r="Q312" i="6"/>
  <c r="R312" i="6"/>
  <c r="S312" i="6"/>
  <c r="O313" i="6"/>
  <c r="P313" i="6"/>
  <c r="Q313" i="6"/>
  <c r="R313" i="6"/>
  <c r="S313" i="6"/>
  <c r="O314" i="6"/>
  <c r="P314" i="6"/>
  <c r="Q314" i="6"/>
  <c r="R314" i="6"/>
  <c r="S314" i="6"/>
  <c r="O315" i="6"/>
  <c r="P315" i="6"/>
  <c r="Q315" i="6"/>
  <c r="R315" i="6"/>
  <c r="S315" i="6"/>
  <c r="O316" i="6"/>
  <c r="P316" i="6"/>
  <c r="Q316" i="6"/>
  <c r="R316" i="6"/>
  <c r="S316" i="6"/>
  <c r="O317" i="6"/>
  <c r="P317" i="6"/>
  <c r="Q317" i="6"/>
  <c r="R317" i="6"/>
  <c r="S317" i="6"/>
  <c r="O318" i="6"/>
  <c r="P318" i="6"/>
  <c r="Q318" i="6"/>
  <c r="R318" i="6"/>
  <c r="S318" i="6"/>
  <c r="O319" i="6"/>
  <c r="P319" i="6"/>
  <c r="Q319" i="6"/>
  <c r="R319" i="6"/>
  <c r="S319" i="6"/>
  <c r="O320" i="6"/>
  <c r="P320" i="6"/>
  <c r="Q320" i="6"/>
  <c r="R320" i="6"/>
  <c r="S320" i="6"/>
  <c r="O321" i="6"/>
  <c r="P321" i="6"/>
  <c r="Q321" i="6"/>
  <c r="R321" i="6"/>
  <c r="S321" i="6"/>
  <c r="O322" i="6"/>
  <c r="P322" i="6"/>
  <c r="Q322" i="6"/>
  <c r="R322" i="6"/>
  <c r="S322" i="6"/>
  <c r="O323" i="6"/>
  <c r="P323" i="6"/>
  <c r="Q323" i="6"/>
  <c r="R323" i="6"/>
  <c r="S323" i="6"/>
  <c r="O324" i="6"/>
  <c r="P324" i="6"/>
  <c r="Q324" i="6"/>
  <c r="R324" i="6"/>
  <c r="S324" i="6"/>
  <c r="O325" i="6"/>
  <c r="P325" i="6"/>
  <c r="Q325" i="6"/>
  <c r="R325" i="6"/>
  <c r="S325" i="6"/>
  <c r="O326" i="6"/>
  <c r="P326" i="6"/>
  <c r="Q326" i="6"/>
  <c r="R326" i="6"/>
  <c r="S326" i="6"/>
  <c r="O327" i="6"/>
  <c r="P327" i="6"/>
  <c r="Q327" i="6"/>
  <c r="R327" i="6"/>
  <c r="S327" i="6"/>
  <c r="O328" i="6"/>
  <c r="P328" i="6"/>
  <c r="Q328" i="6"/>
  <c r="R328" i="6"/>
  <c r="S328" i="6"/>
  <c r="O329" i="6"/>
  <c r="P329" i="6"/>
  <c r="Q329" i="6"/>
  <c r="R329" i="6"/>
  <c r="S329" i="6"/>
  <c r="O330" i="6"/>
  <c r="P330" i="6"/>
  <c r="Q330" i="6"/>
  <c r="R330" i="6"/>
  <c r="S330" i="6"/>
  <c r="O331" i="6"/>
  <c r="P331" i="6"/>
  <c r="Q331" i="6"/>
  <c r="R331" i="6"/>
  <c r="S331" i="6"/>
  <c r="O332" i="6"/>
  <c r="P332" i="6"/>
  <c r="Q332" i="6"/>
  <c r="R332" i="6"/>
  <c r="S332" i="6"/>
  <c r="O333" i="6"/>
  <c r="P333" i="6"/>
  <c r="Q333" i="6"/>
  <c r="R333" i="6"/>
  <c r="S333" i="6"/>
  <c r="O334" i="6"/>
  <c r="P334" i="6"/>
  <c r="Q334" i="6"/>
  <c r="R334" i="6"/>
  <c r="S334" i="6"/>
  <c r="O335" i="6"/>
  <c r="P335" i="6"/>
  <c r="Q335" i="6"/>
  <c r="R335" i="6"/>
  <c r="S335" i="6"/>
  <c r="O336" i="6"/>
  <c r="P336" i="6"/>
  <c r="Q336" i="6"/>
  <c r="R336" i="6"/>
  <c r="S336" i="6"/>
  <c r="O337" i="6"/>
  <c r="P337" i="6"/>
  <c r="Q337" i="6"/>
  <c r="R337" i="6"/>
  <c r="S337" i="6"/>
  <c r="O338" i="6"/>
  <c r="P338" i="6"/>
  <c r="Q338" i="6"/>
  <c r="R338" i="6"/>
  <c r="S338" i="6"/>
  <c r="O339" i="6"/>
  <c r="P339" i="6"/>
  <c r="Q339" i="6"/>
  <c r="R339" i="6"/>
  <c r="S339" i="6"/>
  <c r="O340" i="6"/>
  <c r="P340" i="6"/>
  <c r="Q340" i="6"/>
  <c r="R340" i="6"/>
  <c r="S340" i="6"/>
  <c r="O341" i="6"/>
  <c r="P341" i="6"/>
  <c r="Q341" i="6"/>
  <c r="R341" i="6"/>
  <c r="S341" i="6"/>
  <c r="O342" i="6"/>
  <c r="P342" i="6"/>
  <c r="Q342" i="6"/>
  <c r="R342" i="6"/>
  <c r="S342" i="6"/>
  <c r="O343" i="6"/>
  <c r="P343" i="6"/>
  <c r="Q343" i="6"/>
  <c r="R343" i="6"/>
  <c r="S343" i="6"/>
  <c r="O344" i="6"/>
  <c r="P344" i="6"/>
  <c r="Q344" i="6"/>
  <c r="R344" i="6"/>
  <c r="S344" i="6"/>
  <c r="O345" i="6"/>
  <c r="P345" i="6"/>
  <c r="Q345" i="6"/>
  <c r="R345" i="6"/>
  <c r="S345" i="6"/>
  <c r="O346" i="6"/>
  <c r="P346" i="6"/>
  <c r="Q346" i="6"/>
  <c r="R346" i="6"/>
  <c r="S346" i="6"/>
  <c r="O347" i="6"/>
  <c r="P347" i="6"/>
  <c r="Q347" i="6"/>
  <c r="R347" i="6"/>
  <c r="S347" i="6"/>
  <c r="O348" i="6"/>
  <c r="P348" i="6"/>
  <c r="Q348" i="6"/>
  <c r="R348" i="6"/>
  <c r="S348" i="6"/>
  <c r="O349" i="6"/>
  <c r="P349" i="6"/>
  <c r="Q349" i="6"/>
  <c r="R349" i="6"/>
  <c r="S349" i="6"/>
  <c r="O350" i="6"/>
  <c r="P350" i="6"/>
  <c r="Q350" i="6"/>
  <c r="R350" i="6"/>
  <c r="S350" i="6"/>
  <c r="O351" i="6"/>
  <c r="P351" i="6"/>
  <c r="Q351" i="6"/>
  <c r="R351" i="6"/>
  <c r="S351" i="6"/>
  <c r="O352" i="6"/>
  <c r="P352" i="6"/>
  <c r="Q352" i="6"/>
  <c r="R352" i="6"/>
  <c r="S352" i="6"/>
  <c r="O353" i="6"/>
  <c r="P353" i="6"/>
  <c r="Q353" i="6"/>
  <c r="R353" i="6"/>
  <c r="S353" i="6"/>
  <c r="O354" i="6"/>
  <c r="P354" i="6"/>
  <c r="Q354" i="6"/>
  <c r="R354" i="6"/>
  <c r="S354" i="6"/>
  <c r="O355" i="6"/>
  <c r="P355" i="6"/>
  <c r="Q355" i="6"/>
  <c r="R355" i="6"/>
  <c r="S355" i="6"/>
  <c r="O356" i="6"/>
  <c r="P356" i="6"/>
  <c r="Q356" i="6"/>
  <c r="R356" i="6"/>
  <c r="S356" i="6"/>
  <c r="O357" i="6"/>
  <c r="P357" i="6"/>
  <c r="Q357" i="6"/>
  <c r="R357" i="6"/>
  <c r="S357" i="6"/>
  <c r="O358" i="6"/>
  <c r="P358" i="6"/>
  <c r="Q358" i="6"/>
  <c r="R358" i="6"/>
  <c r="S358" i="6"/>
  <c r="O359" i="6"/>
  <c r="P359" i="6"/>
  <c r="Q359" i="6"/>
  <c r="R359" i="6"/>
  <c r="S359" i="6"/>
  <c r="O360" i="6"/>
  <c r="P360" i="6"/>
  <c r="Q360" i="6"/>
  <c r="R360" i="6"/>
  <c r="S360" i="6"/>
  <c r="AY360" i="6"/>
  <c r="O361" i="6"/>
  <c r="P361" i="6"/>
  <c r="Q361" i="6"/>
  <c r="R361" i="6"/>
  <c r="S361" i="6"/>
  <c r="O362" i="6"/>
  <c r="P362" i="6"/>
  <c r="Q362" i="6"/>
  <c r="R362" i="6"/>
  <c r="S362" i="6"/>
  <c r="O363" i="6"/>
  <c r="P363" i="6"/>
  <c r="Q363" i="6"/>
  <c r="R363" i="6"/>
  <c r="S363" i="6"/>
  <c r="O364" i="6"/>
  <c r="P364" i="6"/>
  <c r="Q364" i="6"/>
  <c r="R364" i="6"/>
  <c r="S364" i="6"/>
  <c r="O365" i="6"/>
  <c r="P365" i="6"/>
  <c r="Q365" i="6"/>
  <c r="R365" i="6"/>
  <c r="S365" i="6"/>
  <c r="O366" i="6"/>
  <c r="P366" i="6"/>
  <c r="Q366" i="6"/>
  <c r="R366" i="6"/>
  <c r="S366" i="6"/>
  <c r="O367" i="6"/>
  <c r="P367" i="6"/>
  <c r="Q367" i="6"/>
  <c r="R367" i="6"/>
  <c r="S367" i="6"/>
  <c r="O368" i="6"/>
  <c r="P368" i="6"/>
  <c r="Q368" i="6"/>
  <c r="R368" i="6"/>
  <c r="S368" i="6"/>
  <c r="O369" i="6"/>
  <c r="P369" i="6"/>
  <c r="Q369" i="6"/>
  <c r="R369" i="6"/>
  <c r="S369" i="6"/>
  <c r="O370" i="6"/>
  <c r="P370" i="6"/>
  <c r="Q370" i="6"/>
  <c r="R370" i="6"/>
  <c r="S370" i="6"/>
  <c r="O371" i="6"/>
  <c r="P371" i="6"/>
  <c r="Q371" i="6"/>
  <c r="R371" i="6"/>
  <c r="S371" i="6"/>
  <c r="O372" i="6"/>
  <c r="P372" i="6"/>
  <c r="Q372" i="6"/>
  <c r="R372" i="6"/>
  <c r="S372" i="6"/>
  <c r="O373" i="6"/>
  <c r="P373" i="6"/>
  <c r="Q373" i="6"/>
  <c r="R373" i="6"/>
  <c r="S373" i="6"/>
  <c r="O374" i="6"/>
  <c r="P374" i="6"/>
  <c r="Q374" i="6"/>
  <c r="R374" i="6"/>
  <c r="S374" i="6"/>
  <c r="O375" i="6"/>
  <c r="P375" i="6"/>
  <c r="Q375" i="6"/>
  <c r="R375" i="6"/>
  <c r="S375" i="6"/>
  <c r="O376" i="6"/>
  <c r="P376" i="6"/>
  <c r="Q376" i="6"/>
  <c r="R376" i="6"/>
  <c r="S376" i="6"/>
  <c r="O377" i="6"/>
  <c r="P377" i="6"/>
  <c r="Q377" i="6"/>
  <c r="R377" i="6"/>
  <c r="S377" i="6"/>
  <c r="O378" i="6"/>
  <c r="P378" i="6"/>
  <c r="Q378" i="6"/>
  <c r="R378" i="6"/>
  <c r="S378" i="6"/>
  <c r="O379" i="6"/>
  <c r="P379" i="6"/>
  <c r="Q379" i="6"/>
  <c r="R379" i="6"/>
  <c r="S379" i="6"/>
  <c r="O380" i="6"/>
  <c r="P380" i="6"/>
  <c r="Q380" i="6"/>
  <c r="R380" i="6"/>
  <c r="S380" i="6"/>
  <c r="O381" i="6"/>
  <c r="P381" i="6"/>
  <c r="Q381" i="6"/>
  <c r="R381" i="6"/>
  <c r="S381" i="6"/>
  <c r="O382" i="6"/>
  <c r="P382" i="6"/>
  <c r="Q382" i="6"/>
  <c r="R382" i="6"/>
  <c r="S382" i="6"/>
  <c r="O383" i="6"/>
  <c r="P383" i="6"/>
  <c r="Q383" i="6"/>
  <c r="R383" i="6"/>
  <c r="S383" i="6"/>
  <c r="O384" i="6"/>
  <c r="P384" i="6"/>
  <c r="Q384" i="6"/>
  <c r="R384" i="6"/>
  <c r="S384" i="6"/>
  <c r="O385" i="6"/>
  <c r="P385" i="6"/>
  <c r="Q385" i="6"/>
  <c r="R385" i="6"/>
  <c r="S385" i="6"/>
  <c r="O386" i="6"/>
  <c r="P386" i="6"/>
  <c r="Q386" i="6"/>
  <c r="R386" i="6"/>
  <c r="S386" i="6"/>
  <c r="O387" i="6"/>
  <c r="P387" i="6"/>
  <c r="Q387" i="6"/>
  <c r="R387" i="6"/>
  <c r="S387" i="6"/>
  <c r="O388" i="6"/>
  <c r="P388" i="6"/>
  <c r="Q388" i="6"/>
  <c r="R388" i="6"/>
  <c r="S388" i="6"/>
  <c r="O389" i="6"/>
  <c r="P389" i="6"/>
  <c r="Q389" i="6"/>
  <c r="R389" i="6"/>
  <c r="S389" i="6"/>
  <c r="O390" i="6"/>
  <c r="P390" i="6"/>
  <c r="Q390" i="6"/>
  <c r="R390" i="6"/>
  <c r="S390" i="6"/>
  <c r="O391" i="6"/>
  <c r="P391" i="6"/>
  <c r="Q391" i="6"/>
  <c r="R391" i="6"/>
  <c r="S391" i="6"/>
  <c r="O392" i="6"/>
  <c r="P392" i="6"/>
  <c r="Q392" i="6"/>
  <c r="R392" i="6"/>
  <c r="S392" i="6"/>
  <c r="O393" i="6"/>
  <c r="P393" i="6"/>
  <c r="Q393" i="6"/>
  <c r="R393" i="6"/>
  <c r="S393" i="6"/>
  <c r="O394" i="6"/>
  <c r="P394" i="6"/>
  <c r="Q394" i="6"/>
  <c r="R394" i="6"/>
  <c r="S394" i="6"/>
  <c r="O395" i="6"/>
  <c r="P395" i="6"/>
  <c r="Q395" i="6"/>
  <c r="R395" i="6"/>
  <c r="S395" i="6"/>
  <c r="O396" i="6"/>
  <c r="P396" i="6"/>
  <c r="Q396" i="6"/>
  <c r="R396" i="6"/>
  <c r="S396" i="6"/>
  <c r="O397" i="6"/>
  <c r="P397" i="6"/>
  <c r="Q397" i="6"/>
  <c r="R397" i="6"/>
  <c r="S397" i="6"/>
  <c r="O398" i="6"/>
  <c r="P398" i="6"/>
  <c r="Q398" i="6"/>
  <c r="R398" i="6"/>
  <c r="S398" i="6"/>
  <c r="O399" i="6"/>
  <c r="P399" i="6"/>
  <c r="Q399" i="6"/>
  <c r="R399" i="6"/>
  <c r="S399" i="6"/>
  <c r="O400" i="6"/>
  <c r="P400" i="6"/>
  <c r="Q400" i="6"/>
  <c r="R400" i="6"/>
  <c r="S400" i="6"/>
  <c r="O401" i="6"/>
  <c r="P401" i="6"/>
  <c r="Q401" i="6"/>
  <c r="R401" i="6"/>
  <c r="S401" i="6"/>
  <c r="O402" i="6"/>
  <c r="P402" i="6"/>
  <c r="Q402" i="6"/>
  <c r="R402" i="6"/>
  <c r="S402" i="6"/>
  <c r="O403" i="6"/>
  <c r="P403" i="6"/>
  <c r="Q403" i="6"/>
  <c r="R403" i="6"/>
  <c r="S403" i="6"/>
  <c r="O404" i="6"/>
  <c r="P404" i="6"/>
  <c r="Q404" i="6"/>
  <c r="R404" i="6"/>
  <c r="S404" i="6"/>
  <c r="O405" i="6"/>
  <c r="P405" i="6"/>
  <c r="Q405" i="6"/>
  <c r="R405" i="6"/>
  <c r="S405" i="6"/>
  <c r="O406" i="6"/>
  <c r="P406" i="6"/>
  <c r="Q406" i="6"/>
  <c r="R406" i="6"/>
  <c r="S406" i="6"/>
  <c r="O407" i="6"/>
  <c r="P407" i="6"/>
  <c r="Q407" i="6"/>
  <c r="R407" i="6"/>
  <c r="S407" i="6"/>
  <c r="O408" i="6"/>
  <c r="P408" i="6"/>
  <c r="Q408" i="6"/>
  <c r="R408" i="6"/>
  <c r="S408" i="6"/>
  <c r="O409" i="6"/>
  <c r="P409" i="6"/>
  <c r="Q409" i="6"/>
  <c r="R409" i="6"/>
  <c r="S409" i="6"/>
  <c r="O410" i="6"/>
  <c r="P410" i="6"/>
  <c r="Q410" i="6"/>
  <c r="R410" i="6"/>
  <c r="S410" i="6"/>
  <c r="O411" i="6"/>
  <c r="P411" i="6"/>
  <c r="Q411" i="6"/>
  <c r="R411" i="6"/>
  <c r="S411" i="6"/>
  <c r="O412" i="6"/>
  <c r="P412" i="6"/>
  <c r="Q412" i="6"/>
  <c r="R412" i="6"/>
  <c r="S412" i="6"/>
  <c r="O413" i="6"/>
  <c r="P413" i="6"/>
  <c r="Q413" i="6"/>
  <c r="R413" i="6"/>
  <c r="S413" i="6"/>
  <c r="O414" i="6"/>
  <c r="P414" i="6"/>
  <c r="Q414" i="6"/>
  <c r="R414" i="6"/>
  <c r="S414" i="6"/>
  <c r="O415" i="6"/>
  <c r="P415" i="6"/>
  <c r="Q415" i="6"/>
  <c r="R415" i="6"/>
  <c r="S415" i="6"/>
  <c r="O416" i="6"/>
  <c r="P416" i="6"/>
  <c r="Q416" i="6"/>
  <c r="R416" i="6"/>
  <c r="S416" i="6"/>
  <c r="O417" i="6"/>
  <c r="P417" i="6"/>
  <c r="Q417" i="6"/>
  <c r="R417" i="6"/>
  <c r="S417" i="6"/>
  <c r="O418" i="6"/>
  <c r="P418" i="6"/>
  <c r="Q418" i="6"/>
  <c r="R418" i="6"/>
  <c r="S418" i="6"/>
  <c r="O419" i="6"/>
  <c r="P419" i="6"/>
  <c r="Q419" i="6"/>
  <c r="R419" i="6"/>
  <c r="S419" i="6"/>
  <c r="O420" i="6"/>
  <c r="P420" i="6"/>
  <c r="Q420" i="6"/>
  <c r="R420" i="6"/>
  <c r="S420" i="6"/>
  <c r="O421" i="6"/>
  <c r="P421" i="6"/>
  <c r="Q421" i="6"/>
  <c r="R421" i="6"/>
  <c r="S421" i="6"/>
  <c r="O422" i="6"/>
  <c r="P422" i="6"/>
  <c r="Q422" i="6"/>
  <c r="R422" i="6"/>
  <c r="S422" i="6"/>
  <c r="O423" i="6"/>
  <c r="P423" i="6"/>
  <c r="Q423" i="6"/>
  <c r="R423" i="6"/>
  <c r="S423" i="6"/>
  <c r="O424" i="6"/>
  <c r="P424" i="6"/>
  <c r="Q424" i="6"/>
  <c r="R424" i="6"/>
  <c r="S424" i="6"/>
  <c r="O425" i="6"/>
  <c r="P425" i="6"/>
  <c r="Q425" i="6"/>
  <c r="R425" i="6"/>
  <c r="S425" i="6"/>
  <c r="O426" i="6"/>
  <c r="P426" i="6"/>
  <c r="Q426" i="6"/>
  <c r="R426" i="6"/>
  <c r="S426" i="6"/>
  <c r="O427" i="6"/>
  <c r="P427" i="6"/>
  <c r="Q427" i="6"/>
  <c r="R427" i="6"/>
  <c r="S427" i="6"/>
  <c r="O428" i="6"/>
  <c r="P428" i="6"/>
  <c r="Q428" i="6"/>
  <c r="R428" i="6"/>
  <c r="S428" i="6"/>
  <c r="O429" i="6"/>
  <c r="P429" i="6"/>
  <c r="Q429" i="6"/>
  <c r="R429" i="6"/>
  <c r="S429" i="6"/>
  <c r="O430" i="6"/>
  <c r="P430" i="6"/>
  <c r="Q430" i="6"/>
  <c r="R430" i="6"/>
  <c r="S430" i="6"/>
  <c r="O431" i="6"/>
  <c r="P431" i="6"/>
  <c r="Q431" i="6"/>
  <c r="R431" i="6"/>
  <c r="S431" i="6"/>
  <c r="O432" i="6"/>
  <c r="P432" i="6"/>
  <c r="Q432" i="6"/>
  <c r="R432" i="6"/>
  <c r="S432" i="6"/>
  <c r="O433" i="6"/>
  <c r="P433" i="6"/>
  <c r="Q433" i="6"/>
  <c r="R433" i="6"/>
  <c r="S433" i="6"/>
  <c r="O434" i="6"/>
  <c r="P434" i="6"/>
  <c r="Q434" i="6"/>
  <c r="R434" i="6"/>
  <c r="S434" i="6"/>
  <c r="O435" i="6"/>
  <c r="P435" i="6"/>
  <c r="Q435" i="6"/>
  <c r="R435" i="6"/>
  <c r="S435" i="6"/>
  <c r="O436" i="6"/>
  <c r="P436" i="6"/>
  <c r="Q436" i="6"/>
  <c r="R436" i="6"/>
  <c r="S436" i="6"/>
  <c r="O437" i="6"/>
  <c r="P437" i="6"/>
  <c r="Q437" i="6"/>
  <c r="R437" i="6"/>
  <c r="S437" i="6"/>
  <c r="O438" i="6"/>
  <c r="P438" i="6"/>
  <c r="Q438" i="6"/>
  <c r="R438" i="6"/>
  <c r="S438" i="6"/>
  <c r="O439" i="6"/>
  <c r="P439" i="6"/>
  <c r="Q439" i="6"/>
  <c r="R439" i="6"/>
  <c r="S439" i="6"/>
  <c r="O440" i="6"/>
  <c r="P440" i="6"/>
  <c r="Q440" i="6"/>
  <c r="R440" i="6"/>
  <c r="S440" i="6"/>
  <c r="O441" i="6"/>
  <c r="P441" i="6"/>
  <c r="Q441" i="6"/>
  <c r="R441" i="6"/>
  <c r="S441" i="6"/>
  <c r="O442" i="6"/>
  <c r="P442" i="6"/>
  <c r="Q442" i="6"/>
  <c r="R442" i="6"/>
  <c r="S442" i="6"/>
  <c r="O443" i="6"/>
  <c r="P443" i="6"/>
  <c r="Q443" i="6"/>
  <c r="R443" i="6"/>
  <c r="S443" i="6"/>
  <c r="O444" i="6"/>
  <c r="P444" i="6"/>
  <c r="Q444" i="6"/>
  <c r="R444" i="6"/>
  <c r="S444" i="6"/>
  <c r="O445" i="6"/>
  <c r="P445" i="6"/>
  <c r="Q445" i="6"/>
  <c r="R445" i="6"/>
  <c r="S445" i="6"/>
  <c r="O446" i="6"/>
  <c r="P446" i="6"/>
  <c r="Q446" i="6"/>
  <c r="R446" i="6"/>
  <c r="S446" i="6"/>
  <c r="O447" i="6"/>
  <c r="P447" i="6"/>
  <c r="Q447" i="6"/>
  <c r="R447" i="6"/>
  <c r="S447" i="6"/>
  <c r="O448" i="6"/>
  <c r="P448" i="6"/>
  <c r="Q448" i="6"/>
  <c r="R448" i="6"/>
  <c r="S448" i="6"/>
  <c r="O449" i="6"/>
  <c r="P449" i="6"/>
  <c r="Q449" i="6"/>
  <c r="R449" i="6"/>
  <c r="S449" i="6"/>
  <c r="O450" i="6"/>
  <c r="P450" i="6"/>
  <c r="Q450" i="6"/>
  <c r="R450" i="6"/>
  <c r="S450" i="6"/>
  <c r="O451" i="6"/>
  <c r="P451" i="6"/>
  <c r="Q451" i="6"/>
  <c r="R451" i="6"/>
  <c r="S451" i="6"/>
  <c r="O452" i="6"/>
  <c r="P452" i="6"/>
  <c r="Q452" i="6"/>
  <c r="R452" i="6"/>
  <c r="S452" i="6"/>
  <c r="O453" i="6"/>
  <c r="P453" i="6"/>
  <c r="Q453" i="6"/>
  <c r="R453" i="6"/>
  <c r="S453" i="6"/>
  <c r="O454" i="6"/>
  <c r="P454" i="6"/>
  <c r="Q454" i="6"/>
  <c r="R454" i="6"/>
  <c r="S454" i="6"/>
  <c r="O455" i="6"/>
  <c r="P455" i="6"/>
  <c r="Q455" i="6"/>
  <c r="R455" i="6"/>
  <c r="S455" i="6"/>
  <c r="O456" i="6"/>
  <c r="P456" i="6"/>
  <c r="Q456" i="6"/>
  <c r="R456" i="6"/>
  <c r="S456" i="6"/>
  <c r="O457" i="6"/>
  <c r="P457" i="6"/>
  <c r="Q457" i="6"/>
  <c r="R457" i="6"/>
  <c r="S457" i="6"/>
  <c r="O458" i="6"/>
  <c r="P458" i="6"/>
  <c r="Q458" i="6"/>
  <c r="R458" i="6"/>
  <c r="S458" i="6"/>
  <c r="O459" i="6"/>
  <c r="P459" i="6"/>
  <c r="Q459" i="6"/>
  <c r="R459" i="6"/>
  <c r="S459" i="6"/>
  <c r="O460" i="6"/>
  <c r="P460" i="6"/>
  <c r="Q460" i="6"/>
  <c r="R460" i="6"/>
  <c r="S460" i="6"/>
  <c r="O461" i="6"/>
  <c r="P461" i="6"/>
  <c r="Q461" i="6"/>
  <c r="R461" i="6"/>
  <c r="S461" i="6"/>
  <c r="O462" i="6"/>
  <c r="P462" i="6"/>
  <c r="Q462" i="6"/>
  <c r="R462" i="6"/>
  <c r="S462" i="6"/>
  <c r="O463" i="6"/>
  <c r="P463" i="6"/>
  <c r="Q463" i="6"/>
  <c r="R463" i="6"/>
  <c r="S463" i="6"/>
  <c r="O464" i="6"/>
  <c r="P464" i="6"/>
  <c r="Q464" i="6"/>
  <c r="R464" i="6"/>
  <c r="S464" i="6"/>
  <c r="O465" i="6"/>
  <c r="P465" i="6"/>
  <c r="Q465" i="6"/>
  <c r="R465" i="6"/>
  <c r="S465" i="6"/>
  <c r="O466" i="6"/>
  <c r="P466" i="6"/>
  <c r="Q466" i="6"/>
  <c r="R466" i="6"/>
  <c r="S466" i="6"/>
  <c r="O467" i="6"/>
  <c r="P467" i="6"/>
  <c r="Q467" i="6"/>
  <c r="R467" i="6"/>
  <c r="S467" i="6"/>
  <c r="O468" i="6"/>
  <c r="P468" i="6"/>
  <c r="Q468" i="6"/>
  <c r="R468" i="6"/>
  <c r="S468" i="6"/>
  <c r="O469" i="6"/>
  <c r="P469" i="6"/>
  <c r="Q469" i="6"/>
  <c r="R469" i="6"/>
  <c r="S469" i="6"/>
  <c r="O470" i="6"/>
  <c r="P470" i="6"/>
  <c r="Q470" i="6"/>
  <c r="R470" i="6"/>
  <c r="S470" i="6"/>
  <c r="O471" i="6"/>
  <c r="P471" i="6"/>
  <c r="Q471" i="6"/>
  <c r="R471" i="6"/>
  <c r="S471" i="6"/>
  <c r="O472" i="6"/>
  <c r="P472" i="6"/>
  <c r="Q472" i="6"/>
  <c r="R472" i="6"/>
  <c r="S472" i="6"/>
  <c r="O473" i="6"/>
  <c r="P473" i="6"/>
  <c r="Q473" i="6"/>
  <c r="R473" i="6"/>
  <c r="S473" i="6"/>
  <c r="O474" i="6"/>
  <c r="P474" i="6"/>
  <c r="Q474" i="6"/>
  <c r="R474" i="6"/>
  <c r="S474" i="6"/>
  <c r="O475" i="6"/>
  <c r="P475" i="6"/>
  <c r="Q475" i="6"/>
  <c r="R475" i="6"/>
  <c r="S475" i="6"/>
  <c r="O476" i="6"/>
  <c r="P476" i="6"/>
  <c r="Q476" i="6"/>
  <c r="R476" i="6"/>
  <c r="S476" i="6"/>
  <c r="O477" i="6"/>
  <c r="P477" i="6"/>
  <c r="Q477" i="6"/>
  <c r="R477" i="6"/>
  <c r="S477" i="6"/>
  <c r="O478" i="6"/>
  <c r="P478" i="6"/>
  <c r="Q478" i="6"/>
  <c r="R478" i="6"/>
  <c r="S478" i="6"/>
  <c r="O479" i="6"/>
  <c r="P479" i="6"/>
  <c r="Q479" i="6"/>
  <c r="R479" i="6"/>
  <c r="S479" i="6"/>
  <c r="O480" i="6"/>
  <c r="P480" i="6"/>
  <c r="Q480" i="6"/>
  <c r="R480" i="6"/>
  <c r="S480" i="6"/>
  <c r="O481" i="6"/>
  <c r="P481" i="6"/>
  <c r="Q481" i="6"/>
  <c r="R481" i="6"/>
  <c r="S481" i="6"/>
  <c r="O482" i="6"/>
  <c r="P482" i="6"/>
  <c r="Q482" i="6"/>
  <c r="R482" i="6"/>
  <c r="S482" i="6"/>
  <c r="O483" i="6"/>
  <c r="P483" i="6"/>
  <c r="Q483" i="6"/>
  <c r="R483" i="6"/>
  <c r="S483" i="6"/>
  <c r="O484" i="6"/>
  <c r="P484" i="6"/>
  <c r="Q484" i="6"/>
  <c r="R484" i="6"/>
  <c r="S484" i="6"/>
  <c r="O485" i="6"/>
  <c r="P485" i="6"/>
  <c r="Q485" i="6"/>
  <c r="R485" i="6"/>
  <c r="S485" i="6"/>
  <c r="O486" i="6"/>
  <c r="P486" i="6"/>
  <c r="Q486" i="6"/>
  <c r="R486" i="6"/>
  <c r="S486" i="6"/>
  <c r="O487" i="6"/>
  <c r="P487" i="6"/>
  <c r="Q487" i="6"/>
  <c r="R487" i="6"/>
  <c r="S487" i="6"/>
  <c r="O488" i="6"/>
  <c r="P488" i="6"/>
  <c r="Q488" i="6"/>
  <c r="R488" i="6"/>
  <c r="S488" i="6"/>
  <c r="O489" i="6"/>
  <c r="P489" i="6"/>
  <c r="Q489" i="6"/>
  <c r="R489" i="6"/>
  <c r="S489" i="6"/>
  <c r="O490" i="6"/>
  <c r="P490" i="6"/>
  <c r="Q490" i="6"/>
  <c r="R490" i="6"/>
  <c r="S490" i="6"/>
  <c r="O491" i="6"/>
  <c r="P491" i="6"/>
  <c r="Q491" i="6"/>
  <c r="R491" i="6"/>
  <c r="S491" i="6"/>
  <c r="O492" i="6"/>
  <c r="P492" i="6"/>
  <c r="Q492" i="6"/>
  <c r="R492" i="6"/>
  <c r="S492" i="6"/>
  <c r="O493" i="6"/>
  <c r="P493" i="6"/>
  <c r="Q493" i="6"/>
  <c r="R493" i="6"/>
  <c r="S493" i="6"/>
  <c r="O494" i="6"/>
  <c r="P494" i="6"/>
  <c r="Q494" i="6"/>
  <c r="R494" i="6"/>
  <c r="S494" i="6"/>
  <c r="O495" i="6"/>
  <c r="P495" i="6"/>
  <c r="Q495" i="6"/>
  <c r="R495" i="6"/>
  <c r="S495" i="6"/>
  <c r="O496" i="6"/>
  <c r="P496" i="6"/>
  <c r="Q496" i="6"/>
  <c r="R496" i="6"/>
  <c r="S496" i="6"/>
  <c r="O497" i="6"/>
  <c r="P497" i="6"/>
  <c r="Q497" i="6"/>
  <c r="R497" i="6"/>
  <c r="S497" i="6"/>
  <c r="O498" i="6"/>
  <c r="P498" i="6"/>
  <c r="Q498" i="6"/>
  <c r="R498" i="6"/>
  <c r="S498" i="6"/>
  <c r="O499" i="6"/>
  <c r="P499" i="6"/>
  <c r="Q499" i="6"/>
  <c r="R499" i="6"/>
  <c r="S499" i="6"/>
  <c r="O500" i="6"/>
  <c r="P500" i="6"/>
  <c r="Q500" i="6"/>
  <c r="R500" i="6"/>
  <c r="S500" i="6"/>
  <c r="O501" i="6"/>
  <c r="P501" i="6"/>
  <c r="Q501" i="6"/>
  <c r="R501" i="6"/>
  <c r="S501" i="6"/>
  <c r="O502" i="6"/>
  <c r="P502" i="6"/>
  <c r="Q502" i="6"/>
  <c r="R502" i="6"/>
  <c r="S502" i="6"/>
  <c r="O503" i="6"/>
  <c r="P503" i="6"/>
  <c r="Q503" i="6"/>
  <c r="R503" i="6"/>
  <c r="S503" i="6"/>
  <c r="O504" i="6"/>
  <c r="P504" i="6"/>
  <c r="Q504" i="6"/>
  <c r="R504" i="6"/>
  <c r="S504" i="6"/>
  <c r="O505" i="6"/>
  <c r="P505" i="6"/>
  <c r="Q505" i="6"/>
  <c r="R505" i="6"/>
  <c r="S505" i="6"/>
  <c r="O506" i="6"/>
  <c r="P506" i="6"/>
  <c r="Q506" i="6"/>
  <c r="R506" i="6"/>
  <c r="S506" i="6"/>
  <c r="O507" i="6"/>
  <c r="P507" i="6"/>
  <c r="Q507" i="6"/>
  <c r="R507" i="6"/>
  <c r="S507" i="6"/>
  <c r="O508" i="6"/>
  <c r="P508" i="6"/>
  <c r="Q508" i="6"/>
  <c r="R508" i="6"/>
  <c r="S508" i="6"/>
  <c r="O509" i="6"/>
  <c r="P509" i="6"/>
  <c r="Q509" i="6"/>
  <c r="R509" i="6"/>
  <c r="S509" i="6"/>
  <c r="O510" i="6"/>
  <c r="P510" i="6"/>
  <c r="Q510" i="6"/>
  <c r="R510" i="6"/>
  <c r="S510" i="6"/>
  <c r="AY510" i="6"/>
  <c r="O511" i="6"/>
  <c r="P511" i="6"/>
  <c r="Q511" i="6"/>
  <c r="R511" i="6"/>
  <c r="S511" i="6"/>
  <c r="O512" i="6"/>
  <c r="P512" i="6"/>
  <c r="Q512" i="6"/>
  <c r="R512" i="6"/>
  <c r="S512" i="6"/>
  <c r="O513" i="6"/>
  <c r="P513" i="6"/>
  <c r="Q513" i="6"/>
  <c r="R513" i="6"/>
  <c r="S513" i="6"/>
  <c r="O514" i="6"/>
  <c r="P514" i="6"/>
  <c r="Q514" i="6"/>
  <c r="R514" i="6"/>
  <c r="S514" i="6"/>
  <c r="O515" i="6"/>
  <c r="P515" i="6"/>
  <c r="Q515" i="6"/>
  <c r="R515" i="6"/>
  <c r="S515" i="6"/>
  <c r="O516" i="6"/>
  <c r="P516" i="6"/>
  <c r="Q516" i="6"/>
  <c r="R516" i="6"/>
  <c r="S516" i="6"/>
  <c r="O517" i="6"/>
  <c r="P517" i="6"/>
  <c r="Q517" i="6"/>
  <c r="R517" i="6"/>
  <c r="S517" i="6"/>
  <c r="O518" i="6"/>
  <c r="P518" i="6"/>
  <c r="Q518" i="6"/>
  <c r="R518" i="6"/>
  <c r="S518" i="6"/>
  <c r="O519" i="6"/>
  <c r="P519" i="6"/>
  <c r="Q519" i="6"/>
  <c r="R519" i="6"/>
  <c r="S519" i="6"/>
  <c r="O520" i="6"/>
  <c r="P520" i="6"/>
  <c r="Q520" i="6"/>
  <c r="R520" i="6"/>
  <c r="S520" i="6"/>
  <c r="O521" i="6"/>
  <c r="P521" i="6"/>
  <c r="Q521" i="6"/>
  <c r="R521" i="6"/>
  <c r="S521" i="6"/>
  <c r="O522" i="6"/>
  <c r="P522" i="6"/>
  <c r="Q522" i="6"/>
  <c r="R522" i="6"/>
  <c r="S522" i="6"/>
  <c r="O523" i="6"/>
  <c r="P523" i="6"/>
  <c r="Q523" i="6"/>
  <c r="R523" i="6"/>
  <c r="S523" i="6"/>
  <c r="O524" i="6"/>
  <c r="P524" i="6"/>
  <c r="Q524" i="6"/>
  <c r="R524" i="6"/>
  <c r="S524" i="6"/>
  <c r="O525" i="6"/>
  <c r="P525" i="6"/>
  <c r="Q525" i="6"/>
  <c r="R525" i="6"/>
  <c r="S525" i="6"/>
  <c r="O526" i="6"/>
  <c r="P526" i="6"/>
  <c r="Q526" i="6"/>
  <c r="R526" i="6"/>
  <c r="S526" i="6"/>
  <c r="O527" i="6"/>
  <c r="P527" i="6"/>
  <c r="Q527" i="6"/>
  <c r="R527" i="6"/>
  <c r="S527" i="6"/>
  <c r="O528" i="6"/>
  <c r="P528" i="6"/>
  <c r="Q528" i="6"/>
  <c r="R528" i="6"/>
  <c r="S528" i="6"/>
  <c r="O529" i="6"/>
  <c r="P529" i="6"/>
  <c r="Q529" i="6"/>
  <c r="R529" i="6"/>
  <c r="S529" i="6"/>
  <c r="O530" i="6"/>
  <c r="P530" i="6"/>
  <c r="Q530" i="6"/>
  <c r="R530" i="6"/>
  <c r="S530" i="6"/>
  <c r="O531" i="6"/>
  <c r="P531" i="6"/>
  <c r="Q531" i="6"/>
  <c r="R531" i="6"/>
  <c r="S531" i="6"/>
  <c r="AY531" i="6"/>
  <c r="O532" i="6"/>
  <c r="P532" i="6"/>
  <c r="Q532" i="6"/>
  <c r="R532" i="6"/>
  <c r="S532" i="6"/>
  <c r="O533" i="6"/>
  <c r="P533" i="6"/>
  <c r="Q533" i="6"/>
  <c r="R533" i="6"/>
  <c r="S533" i="6"/>
  <c r="O534" i="6"/>
  <c r="P534" i="6"/>
  <c r="Q534" i="6"/>
  <c r="R534" i="6"/>
  <c r="S534" i="6"/>
  <c r="O535" i="6"/>
  <c r="P535" i="6"/>
  <c r="Q535" i="6"/>
  <c r="R535" i="6"/>
  <c r="S535" i="6"/>
  <c r="O536" i="6"/>
  <c r="P536" i="6"/>
  <c r="Q536" i="6"/>
  <c r="R536" i="6"/>
  <c r="S536" i="6"/>
  <c r="O537" i="6"/>
  <c r="P537" i="6"/>
  <c r="Q537" i="6"/>
  <c r="R537" i="6"/>
  <c r="S537" i="6"/>
  <c r="O538" i="6"/>
  <c r="P538" i="6"/>
  <c r="Q538" i="6"/>
  <c r="R538" i="6"/>
  <c r="S538" i="6"/>
  <c r="O539" i="6"/>
  <c r="P539" i="6"/>
  <c r="Q539" i="6"/>
  <c r="R539" i="6"/>
  <c r="S539" i="6"/>
  <c r="O540" i="6"/>
  <c r="P540" i="6"/>
  <c r="Q540" i="6"/>
  <c r="R540" i="6"/>
  <c r="S540" i="6"/>
  <c r="O541" i="6"/>
  <c r="P541" i="6"/>
  <c r="Q541" i="6"/>
  <c r="R541" i="6"/>
  <c r="S541" i="6"/>
  <c r="O542" i="6"/>
  <c r="P542" i="6"/>
  <c r="Q542" i="6"/>
  <c r="R542" i="6"/>
  <c r="S542" i="6"/>
  <c r="O543" i="6"/>
  <c r="P543" i="6"/>
  <c r="Q543" i="6"/>
  <c r="R543" i="6"/>
  <c r="S543" i="6"/>
  <c r="O544" i="6"/>
  <c r="P544" i="6"/>
  <c r="Q544" i="6"/>
  <c r="R544" i="6"/>
  <c r="S544" i="6"/>
  <c r="O545" i="6"/>
  <c r="P545" i="6"/>
  <c r="Q545" i="6"/>
  <c r="R545" i="6"/>
  <c r="S545" i="6"/>
  <c r="AV545" i="6"/>
  <c r="AY545" i="6"/>
  <c r="D6" i="7" l="1"/>
  <c r="C6" i="7"/>
  <c r="BA9" i="6"/>
  <c r="B7" i="7"/>
  <c r="T5" i="6"/>
  <c r="T6" i="6" s="1"/>
  <c r="T7" i="6" s="1"/>
  <c r="T8" i="6" s="1"/>
  <c r="T9" i="6" s="1"/>
  <c r="T10" i="6" s="1"/>
  <c r="T11" i="6" s="1"/>
  <c r="T12" i="6" s="1"/>
  <c r="T13" i="6" s="1"/>
  <c r="T14" i="6" s="1"/>
  <c r="T15" i="6" s="1"/>
  <c r="T16" i="6" s="1"/>
  <c r="T17" i="6" s="1"/>
  <c r="T18" i="6" s="1"/>
  <c r="T19" i="6" s="1"/>
  <c r="T20" i="6" s="1"/>
  <c r="T21" i="6" s="1"/>
  <c r="T22" i="6" s="1"/>
  <c r="T23" i="6" s="1"/>
  <c r="T24" i="6" s="1"/>
  <c r="T25" i="6" s="1"/>
  <c r="T26" i="6" s="1"/>
  <c r="T27" i="6" s="1"/>
  <c r="T28" i="6" s="1"/>
  <c r="T29" i="6" s="1"/>
  <c r="T30" i="6" s="1"/>
  <c r="T31" i="6" s="1"/>
  <c r="T32" i="6" s="1"/>
  <c r="T33" i="6" s="1"/>
  <c r="T34" i="6" s="1"/>
  <c r="T35" i="6" s="1"/>
  <c r="T36" i="6" s="1"/>
  <c r="T37" i="6" s="1"/>
  <c r="T38" i="6" s="1"/>
  <c r="T39" i="6" s="1"/>
  <c r="T40" i="6" s="1"/>
  <c r="T41" i="6" s="1"/>
  <c r="T42" i="6" s="1"/>
  <c r="T43" i="6" s="1"/>
  <c r="T44" i="6" s="1"/>
  <c r="T45" i="6" s="1"/>
  <c r="T46" i="6" s="1"/>
  <c r="T47" i="6" s="1"/>
  <c r="T48" i="6" s="1"/>
  <c r="T49" i="6" s="1"/>
  <c r="T50" i="6" s="1"/>
  <c r="T51" i="6" s="1"/>
  <c r="T52" i="6" s="1"/>
  <c r="T53" i="6" s="1"/>
  <c r="T54" i="6" s="1"/>
  <c r="T55" i="6" s="1"/>
  <c r="T56" i="6" s="1"/>
  <c r="T57" i="6" s="1"/>
  <c r="T58" i="6" s="1"/>
  <c r="T59" i="6" s="1"/>
  <c r="T60" i="6" s="1"/>
  <c r="T61" i="6" s="1"/>
  <c r="T62" i="6" s="1"/>
  <c r="T63" i="6" s="1"/>
  <c r="T64" i="6" s="1"/>
  <c r="T65" i="6" s="1"/>
  <c r="T66" i="6" s="1"/>
  <c r="T67" i="6" s="1"/>
  <c r="T68" i="6" s="1"/>
  <c r="T69" i="6" s="1"/>
  <c r="T70" i="6" s="1"/>
  <c r="T71" i="6" s="1"/>
  <c r="T72" i="6" s="1"/>
  <c r="T73" i="6" s="1"/>
  <c r="T74" i="6" s="1"/>
  <c r="T75" i="6" s="1"/>
  <c r="T76" i="6" s="1"/>
  <c r="T77" i="6" s="1"/>
  <c r="T78" i="6" s="1"/>
  <c r="T79" i="6" s="1"/>
  <c r="T80" i="6" s="1"/>
  <c r="T81" i="6" s="1"/>
  <c r="T82" i="6" s="1"/>
  <c r="T83" i="6" s="1"/>
  <c r="T84" i="6" s="1"/>
  <c r="T85" i="6" s="1"/>
  <c r="T86" i="6" s="1"/>
  <c r="T87" i="6" s="1"/>
  <c r="T88" i="6" s="1"/>
  <c r="T89" i="6" s="1"/>
  <c r="T90" i="6" s="1"/>
  <c r="T91" i="6" s="1"/>
  <c r="T92" i="6" s="1"/>
  <c r="T93" i="6" s="1"/>
  <c r="T94" i="6" s="1"/>
  <c r="T95" i="6" s="1"/>
  <c r="T96" i="6" s="1"/>
  <c r="T97" i="6" s="1"/>
  <c r="T98" i="6" s="1"/>
  <c r="T99" i="6" s="1"/>
  <c r="T100" i="6" s="1"/>
  <c r="T101" i="6" s="1"/>
  <c r="T102" i="6" s="1"/>
  <c r="T103" i="6" s="1"/>
  <c r="T104" i="6" s="1"/>
  <c r="T105" i="6" s="1"/>
  <c r="T106" i="6" s="1"/>
  <c r="T107" i="6" s="1"/>
  <c r="T108" i="6" s="1"/>
  <c r="T109" i="6" s="1"/>
  <c r="T110" i="6" s="1"/>
  <c r="T111" i="6" s="1"/>
  <c r="T112" i="6" s="1"/>
  <c r="T113" i="6" s="1"/>
  <c r="T114" i="6" s="1"/>
  <c r="T115" i="6" s="1"/>
  <c r="T116" i="6" s="1"/>
  <c r="T117" i="6" s="1"/>
  <c r="T118" i="6" s="1"/>
  <c r="T119" i="6" s="1"/>
  <c r="T120" i="6" s="1"/>
  <c r="T121" i="6" s="1"/>
  <c r="T122" i="6" s="1"/>
  <c r="T123" i="6" s="1"/>
  <c r="T124" i="6" s="1"/>
  <c r="T125" i="6" s="1"/>
  <c r="T126" i="6" s="1"/>
  <c r="T127" i="6" s="1"/>
  <c r="T128" i="6" s="1"/>
  <c r="T129" i="6" s="1"/>
  <c r="T130" i="6" s="1"/>
  <c r="T131" i="6" s="1"/>
  <c r="T132" i="6" s="1"/>
  <c r="T133" i="6" s="1"/>
  <c r="T134" i="6" s="1"/>
  <c r="T135" i="6" s="1"/>
  <c r="T136" i="6" s="1"/>
  <c r="T137" i="6" s="1"/>
  <c r="T138" i="6" s="1"/>
  <c r="T139" i="6" s="1"/>
  <c r="T140" i="6" s="1"/>
  <c r="T141" i="6" s="1"/>
  <c r="T142" i="6" s="1"/>
  <c r="T143" i="6" s="1"/>
  <c r="T144" i="6" s="1"/>
  <c r="T145" i="6" s="1"/>
  <c r="T146" i="6" s="1"/>
  <c r="T147" i="6" s="1"/>
  <c r="T148" i="6" s="1"/>
  <c r="T149" i="6" s="1"/>
  <c r="T150" i="6" s="1"/>
  <c r="T151" i="6" s="1"/>
  <c r="T152" i="6" s="1"/>
  <c r="T153" i="6" s="1"/>
  <c r="T154" i="6" s="1"/>
  <c r="T155" i="6" s="1"/>
  <c r="T156" i="6" s="1"/>
  <c r="T157" i="6" s="1"/>
  <c r="T158" i="6" s="1"/>
  <c r="T159" i="6" s="1"/>
  <c r="T160" i="6" s="1"/>
  <c r="T161" i="6" s="1"/>
  <c r="T162" i="6" s="1"/>
  <c r="T163" i="6" s="1"/>
  <c r="T164" i="6" s="1"/>
  <c r="T165" i="6" s="1"/>
  <c r="T166" i="6" s="1"/>
  <c r="T167" i="6" s="1"/>
  <c r="T168" i="6" s="1"/>
  <c r="T169" i="6" s="1"/>
  <c r="T170" i="6" s="1"/>
  <c r="T171" i="6" s="1"/>
  <c r="T172" i="6" s="1"/>
  <c r="T173" i="6" s="1"/>
  <c r="T174" i="6" s="1"/>
  <c r="T175" i="6" s="1"/>
  <c r="T176" i="6" s="1"/>
  <c r="T177" i="6" s="1"/>
  <c r="T178" i="6" s="1"/>
  <c r="T179" i="6" s="1"/>
  <c r="T180" i="6" s="1"/>
  <c r="T181" i="6" s="1"/>
  <c r="T182" i="6" s="1"/>
  <c r="T183" i="6" s="1"/>
  <c r="T184" i="6" s="1"/>
  <c r="T185" i="6" s="1"/>
  <c r="T186" i="6" s="1"/>
  <c r="T187" i="6" s="1"/>
  <c r="T188" i="6" s="1"/>
  <c r="T189" i="6" s="1"/>
  <c r="T190" i="6" s="1"/>
  <c r="T191" i="6" s="1"/>
  <c r="T192" i="6" s="1"/>
  <c r="T193" i="6" s="1"/>
  <c r="T194" i="6" s="1"/>
  <c r="T195" i="6" s="1"/>
  <c r="T196" i="6" s="1"/>
  <c r="T197" i="6" s="1"/>
  <c r="T198" i="6" s="1"/>
  <c r="T199" i="6" s="1"/>
  <c r="T200" i="6" s="1"/>
  <c r="T201" i="6" s="1"/>
  <c r="T202" i="6" s="1"/>
  <c r="T203" i="6" s="1"/>
  <c r="T204" i="6" s="1"/>
  <c r="T205" i="6" s="1"/>
  <c r="T206" i="6" s="1"/>
  <c r="T207" i="6" s="1"/>
  <c r="T208" i="6" s="1"/>
  <c r="T209" i="6" s="1"/>
  <c r="T210" i="6" s="1"/>
  <c r="T211" i="6" s="1"/>
  <c r="T212" i="6" s="1"/>
  <c r="T213" i="6" s="1"/>
  <c r="T214" i="6" s="1"/>
  <c r="T215" i="6" s="1"/>
  <c r="T216" i="6" s="1"/>
  <c r="T217" i="6" s="1"/>
  <c r="T218" i="6" s="1"/>
  <c r="T219" i="6" s="1"/>
  <c r="T220" i="6" s="1"/>
  <c r="T221" i="6" s="1"/>
  <c r="T222" i="6" s="1"/>
  <c r="T223" i="6" s="1"/>
  <c r="T224" i="6" s="1"/>
  <c r="T225" i="6" s="1"/>
  <c r="T226" i="6" s="1"/>
  <c r="T227" i="6" s="1"/>
  <c r="T228" i="6" s="1"/>
  <c r="T229" i="6" s="1"/>
  <c r="T230" i="6" s="1"/>
  <c r="T231" i="6" s="1"/>
  <c r="T232" i="6" s="1"/>
  <c r="T233" i="6" s="1"/>
  <c r="T234" i="6" s="1"/>
  <c r="T235" i="6" s="1"/>
  <c r="T236" i="6" s="1"/>
  <c r="T237" i="6" s="1"/>
  <c r="T238" i="6" s="1"/>
  <c r="T239" i="6" s="1"/>
  <c r="T240" i="6" s="1"/>
  <c r="T241" i="6" s="1"/>
  <c r="T242" i="6" s="1"/>
  <c r="T243" i="6" s="1"/>
  <c r="T244" i="6" s="1"/>
  <c r="T245" i="6" s="1"/>
  <c r="T246" i="6" s="1"/>
  <c r="T247" i="6" s="1"/>
  <c r="T248" i="6" s="1"/>
  <c r="T249" i="6" s="1"/>
  <c r="T250" i="6" s="1"/>
  <c r="T251" i="6" s="1"/>
  <c r="T252" i="6" s="1"/>
  <c r="T253" i="6" s="1"/>
  <c r="T254" i="6" s="1"/>
  <c r="T255" i="6" s="1"/>
  <c r="T256" i="6" s="1"/>
  <c r="T257" i="6" s="1"/>
  <c r="T258" i="6" s="1"/>
  <c r="T259" i="6" s="1"/>
  <c r="T260" i="6" s="1"/>
  <c r="T261" i="6" s="1"/>
  <c r="T262" i="6" s="1"/>
  <c r="T263" i="6" s="1"/>
  <c r="T264" i="6" s="1"/>
  <c r="T265" i="6" s="1"/>
  <c r="T266" i="6" s="1"/>
  <c r="T267" i="6" s="1"/>
  <c r="T268" i="6" s="1"/>
  <c r="T269" i="6" s="1"/>
  <c r="T270" i="6" s="1"/>
  <c r="T271" i="6" s="1"/>
  <c r="T272" i="6" s="1"/>
  <c r="T273" i="6" s="1"/>
  <c r="T274" i="6" s="1"/>
  <c r="T275" i="6" s="1"/>
  <c r="T276" i="6" s="1"/>
  <c r="T277" i="6" s="1"/>
  <c r="T278" i="6" s="1"/>
  <c r="T279" i="6" s="1"/>
  <c r="T280" i="6" s="1"/>
  <c r="T281" i="6" s="1"/>
  <c r="T282" i="6" s="1"/>
  <c r="T283" i="6" s="1"/>
  <c r="T284" i="6" s="1"/>
  <c r="T285" i="6" s="1"/>
  <c r="T286" i="6" s="1"/>
  <c r="T287" i="6" s="1"/>
  <c r="T288" i="6" s="1"/>
  <c r="T289" i="6" s="1"/>
  <c r="T290" i="6" s="1"/>
  <c r="T291" i="6" s="1"/>
  <c r="T292" i="6" s="1"/>
  <c r="T293" i="6" s="1"/>
  <c r="T294" i="6" s="1"/>
  <c r="T295" i="6" s="1"/>
  <c r="T296" i="6" s="1"/>
  <c r="T297" i="6" s="1"/>
  <c r="T298" i="6" s="1"/>
  <c r="T299" i="6" s="1"/>
  <c r="T300" i="6" s="1"/>
  <c r="T301" i="6" s="1"/>
  <c r="T302" i="6" s="1"/>
  <c r="T303" i="6" s="1"/>
  <c r="T304" i="6" s="1"/>
  <c r="T305" i="6" s="1"/>
  <c r="T306" i="6" s="1"/>
  <c r="T307" i="6" s="1"/>
  <c r="T308" i="6" s="1"/>
  <c r="T309" i="6" s="1"/>
  <c r="T310" i="6" s="1"/>
  <c r="T311" i="6" s="1"/>
  <c r="T312" i="6" s="1"/>
  <c r="T313" i="6" s="1"/>
  <c r="T314" i="6" s="1"/>
  <c r="T315" i="6" s="1"/>
  <c r="T316" i="6" s="1"/>
  <c r="T317" i="6" s="1"/>
  <c r="T318" i="6" s="1"/>
  <c r="T319" i="6" s="1"/>
  <c r="T320" i="6" s="1"/>
  <c r="T321" i="6" s="1"/>
  <c r="T322" i="6" s="1"/>
  <c r="T323" i="6" s="1"/>
  <c r="T324" i="6" s="1"/>
  <c r="T325" i="6" s="1"/>
  <c r="T326" i="6" s="1"/>
  <c r="T327" i="6" s="1"/>
  <c r="T328" i="6" s="1"/>
  <c r="T329" i="6" s="1"/>
  <c r="T330" i="6" s="1"/>
  <c r="T331" i="6" s="1"/>
  <c r="T332" i="6" s="1"/>
  <c r="T333" i="6" s="1"/>
  <c r="T334" i="6" s="1"/>
  <c r="T335" i="6" s="1"/>
  <c r="T336" i="6" s="1"/>
  <c r="T337" i="6" s="1"/>
  <c r="T338" i="6" s="1"/>
  <c r="T339" i="6" s="1"/>
  <c r="T340" i="6" s="1"/>
  <c r="T341" i="6" s="1"/>
  <c r="T342" i="6" s="1"/>
  <c r="T343" i="6" s="1"/>
  <c r="T344" i="6" s="1"/>
  <c r="T345" i="6" s="1"/>
  <c r="T346" i="6" s="1"/>
  <c r="T347" i="6" s="1"/>
  <c r="T348" i="6" s="1"/>
  <c r="T349" i="6" s="1"/>
  <c r="T350" i="6" s="1"/>
  <c r="T351" i="6" s="1"/>
  <c r="T352" i="6" s="1"/>
  <c r="T353" i="6" s="1"/>
  <c r="T354" i="6" s="1"/>
  <c r="T355" i="6" s="1"/>
  <c r="T356" i="6" s="1"/>
  <c r="T357" i="6" s="1"/>
  <c r="T358" i="6" s="1"/>
  <c r="T359" i="6" s="1"/>
  <c r="T360" i="6" s="1"/>
  <c r="T361" i="6" s="1"/>
  <c r="T362" i="6" s="1"/>
  <c r="T363" i="6" s="1"/>
  <c r="T364" i="6" s="1"/>
  <c r="T365" i="6" s="1"/>
  <c r="T366" i="6" s="1"/>
  <c r="T367" i="6" s="1"/>
  <c r="T368" i="6" s="1"/>
  <c r="T369" i="6" s="1"/>
  <c r="T370" i="6" s="1"/>
  <c r="T371" i="6" s="1"/>
  <c r="T372" i="6" s="1"/>
  <c r="T373" i="6" s="1"/>
  <c r="T374" i="6" s="1"/>
  <c r="T375" i="6" s="1"/>
  <c r="T376" i="6" s="1"/>
  <c r="T377" i="6" s="1"/>
  <c r="T378" i="6" s="1"/>
  <c r="T379" i="6" s="1"/>
  <c r="T380" i="6" s="1"/>
  <c r="T381" i="6" s="1"/>
  <c r="T382" i="6" s="1"/>
  <c r="T383" i="6" s="1"/>
  <c r="T384" i="6" s="1"/>
  <c r="T385" i="6" s="1"/>
  <c r="T386" i="6" s="1"/>
  <c r="T387" i="6" s="1"/>
  <c r="T388" i="6" s="1"/>
  <c r="T389" i="6" s="1"/>
  <c r="T390" i="6" s="1"/>
  <c r="T391" i="6" s="1"/>
  <c r="T392" i="6" s="1"/>
  <c r="T393" i="6" s="1"/>
  <c r="T394" i="6" s="1"/>
  <c r="T395" i="6" s="1"/>
  <c r="T396" i="6" s="1"/>
  <c r="T397" i="6" s="1"/>
  <c r="T398" i="6" s="1"/>
  <c r="T399" i="6" s="1"/>
  <c r="T400" i="6" s="1"/>
  <c r="T401" i="6" s="1"/>
  <c r="T402" i="6" s="1"/>
  <c r="T403" i="6" s="1"/>
  <c r="T404" i="6" s="1"/>
  <c r="T405" i="6" s="1"/>
  <c r="T406" i="6" s="1"/>
  <c r="T407" i="6" s="1"/>
  <c r="T408" i="6" s="1"/>
  <c r="T409" i="6" s="1"/>
  <c r="T410" i="6" s="1"/>
  <c r="T411" i="6" s="1"/>
  <c r="T412" i="6" s="1"/>
  <c r="T413" i="6" s="1"/>
  <c r="T414" i="6" s="1"/>
  <c r="T415" i="6" s="1"/>
  <c r="T416" i="6" s="1"/>
  <c r="T417" i="6" s="1"/>
  <c r="T418" i="6" s="1"/>
  <c r="T419" i="6" s="1"/>
  <c r="T420" i="6" s="1"/>
  <c r="T421" i="6" s="1"/>
  <c r="T422" i="6" s="1"/>
  <c r="T423" i="6" s="1"/>
  <c r="T424" i="6" s="1"/>
  <c r="T425" i="6" s="1"/>
  <c r="T426" i="6" s="1"/>
  <c r="T427" i="6" s="1"/>
  <c r="T428" i="6" s="1"/>
  <c r="T429" i="6" s="1"/>
  <c r="T430" i="6" s="1"/>
  <c r="T431" i="6" s="1"/>
  <c r="T432" i="6" s="1"/>
  <c r="T433" i="6" s="1"/>
  <c r="T434" i="6" s="1"/>
  <c r="T435" i="6" s="1"/>
  <c r="T436" i="6" s="1"/>
  <c r="T437" i="6" s="1"/>
  <c r="T438" i="6" s="1"/>
  <c r="T439" i="6" s="1"/>
  <c r="T440" i="6" s="1"/>
  <c r="T441" i="6" s="1"/>
  <c r="T442" i="6" s="1"/>
  <c r="T443" i="6" s="1"/>
  <c r="T444" i="6" s="1"/>
  <c r="T445" i="6" s="1"/>
  <c r="T446" i="6" s="1"/>
  <c r="T447" i="6" s="1"/>
  <c r="T448" i="6" s="1"/>
  <c r="T449" i="6" s="1"/>
  <c r="T450" i="6" s="1"/>
  <c r="T451" i="6" s="1"/>
  <c r="T452" i="6" s="1"/>
  <c r="T453" i="6" s="1"/>
  <c r="T454" i="6" s="1"/>
  <c r="T455" i="6" s="1"/>
  <c r="T456" i="6" s="1"/>
  <c r="T457" i="6" s="1"/>
  <c r="T458" i="6" s="1"/>
  <c r="T459" i="6" s="1"/>
  <c r="T460" i="6" s="1"/>
  <c r="T461" i="6" s="1"/>
  <c r="T462" i="6" s="1"/>
  <c r="T463" i="6" s="1"/>
  <c r="T464" i="6" s="1"/>
  <c r="T465" i="6" s="1"/>
  <c r="T466" i="6" s="1"/>
  <c r="T467" i="6" s="1"/>
  <c r="T468" i="6" s="1"/>
  <c r="T469" i="6" s="1"/>
  <c r="T470" i="6" s="1"/>
  <c r="T471" i="6" s="1"/>
  <c r="T472" i="6" s="1"/>
  <c r="T473" i="6" s="1"/>
  <c r="T474" i="6" s="1"/>
  <c r="T475" i="6" s="1"/>
  <c r="T476" i="6" s="1"/>
  <c r="T477" i="6" s="1"/>
  <c r="T478" i="6" s="1"/>
  <c r="T479" i="6" s="1"/>
  <c r="T480" i="6" s="1"/>
  <c r="T481" i="6" s="1"/>
  <c r="T482" i="6" s="1"/>
  <c r="T483" i="6" s="1"/>
  <c r="T484" i="6" s="1"/>
  <c r="T485" i="6" s="1"/>
  <c r="T486" i="6" s="1"/>
  <c r="T487" i="6" s="1"/>
  <c r="T488" i="6" s="1"/>
  <c r="T489" i="6" s="1"/>
  <c r="T490" i="6" s="1"/>
  <c r="T491" i="6" s="1"/>
  <c r="T492" i="6" s="1"/>
  <c r="T493" i="6" s="1"/>
  <c r="T494" i="6" s="1"/>
  <c r="T495" i="6" s="1"/>
  <c r="T496" i="6" s="1"/>
  <c r="T497" i="6" s="1"/>
  <c r="T498" i="6" s="1"/>
  <c r="T499" i="6" s="1"/>
  <c r="T500" i="6" s="1"/>
  <c r="T501" i="6" s="1"/>
  <c r="T502" i="6" s="1"/>
  <c r="T503" i="6" s="1"/>
  <c r="T504" i="6" s="1"/>
  <c r="T505" i="6" s="1"/>
  <c r="T506" i="6" s="1"/>
  <c r="T507" i="6" s="1"/>
  <c r="T508" i="6" s="1"/>
  <c r="T509" i="6" s="1"/>
  <c r="T510" i="6" s="1"/>
  <c r="T511" i="6" s="1"/>
  <c r="T512" i="6" s="1"/>
  <c r="T513" i="6" s="1"/>
  <c r="T514" i="6" s="1"/>
  <c r="T515" i="6" s="1"/>
  <c r="T516" i="6" s="1"/>
  <c r="T517" i="6" s="1"/>
  <c r="T518" i="6" s="1"/>
  <c r="T519" i="6" s="1"/>
  <c r="T520" i="6" s="1"/>
  <c r="T521" i="6" s="1"/>
  <c r="T522" i="6" s="1"/>
  <c r="T523" i="6" s="1"/>
  <c r="T524" i="6" s="1"/>
  <c r="T525" i="6" s="1"/>
  <c r="T526" i="6" s="1"/>
  <c r="T527" i="6" s="1"/>
  <c r="T528" i="6" s="1"/>
  <c r="T529" i="6" s="1"/>
  <c r="T530" i="6" s="1"/>
  <c r="T531" i="6" s="1"/>
  <c r="T532" i="6" s="1"/>
  <c r="T533" i="6" s="1"/>
  <c r="T534" i="6" s="1"/>
  <c r="T535" i="6" s="1"/>
  <c r="T536" i="6" s="1"/>
  <c r="T537" i="6" s="1"/>
  <c r="T538" i="6" s="1"/>
  <c r="T539" i="6" s="1"/>
  <c r="T540" i="6" s="1"/>
  <c r="T541" i="6" s="1"/>
  <c r="T542" i="6" s="1"/>
  <c r="T543" i="6" s="1"/>
  <c r="T544" i="6" s="1"/>
  <c r="T545" i="6" s="1"/>
  <c r="S5" i="6"/>
  <c r="D7" i="7" l="1"/>
  <c r="C7" i="7"/>
  <c r="BA10" i="6"/>
  <c r="B8" i="7"/>
  <c r="AY5" i="6"/>
  <c r="AB4" i="6"/>
  <c r="AB5" i="6" s="1"/>
  <c r="AB6" i="6" s="1"/>
  <c r="AB7" i="6" s="1"/>
  <c r="AB8" i="6" s="1"/>
  <c r="AB9" i="6" s="1"/>
  <c r="AB10" i="6" s="1"/>
  <c r="AB11" i="6" s="1"/>
  <c r="AB12" i="6" s="1"/>
  <c r="AB13" i="6" s="1"/>
  <c r="AB14" i="6" s="1"/>
  <c r="AB15" i="6" s="1"/>
  <c r="AB16" i="6" s="1"/>
  <c r="AB17" i="6" s="1"/>
  <c r="AB18" i="6" s="1"/>
  <c r="AB19" i="6" s="1"/>
  <c r="AB20" i="6" s="1"/>
  <c r="AB21" i="6" s="1"/>
  <c r="AB22" i="6" s="1"/>
  <c r="AB23" i="6" s="1"/>
  <c r="AB24" i="6" s="1"/>
  <c r="AB25" i="6" s="1"/>
  <c r="AB26" i="6" s="1"/>
  <c r="AB27" i="6" s="1"/>
  <c r="AB28" i="6" s="1"/>
  <c r="AB29" i="6" s="1"/>
  <c r="AB30" i="6" s="1"/>
  <c r="AB31" i="6" s="1"/>
  <c r="AB32" i="6" s="1"/>
  <c r="AB33" i="6" s="1"/>
  <c r="AB34" i="6" s="1"/>
  <c r="AB35" i="6" s="1"/>
  <c r="AB36" i="6" s="1"/>
  <c r="AB37" i="6" s="1"/>
  <c r="AB38" i="6" s="1"/>
  <c r="AB39" i="6" s="1"/>
  <c r="AB40" i="6" s="1"/>
  <c r="AB41" i="6" s="1"/>
  <c r="AB42" i="6" s="1"/>
  <c r="AB43" i="6" s="1"/>
  <c r="AB44" i="6" s="1"/>
  <c r="AB45" i="6" s="1"/>
  <c r="AB46" i="6" s="1"/>
  <c r="AB47" i="6" s="1"/>
  <c r="AB48" i="6" s="1"/>
  <c r="AB49" i="6" s="1"/>
  <c r="AB50" i="6" s="1"/>
  <c r="AB51" i="6" s="1"/>
  <c r="AB52" i="6" s="1"/>
  <c r="AB53" i="6" s="1"/>
  <c r="AB54" i="6" s="1"/>
  <c r="AB55" i="6" s="1"/>
  <c r="AB56" i="6" s="1"/>
  <c r="AB57" i="6" s="1"/>
  <c r="AB58" i="6" s="1"/>
  <c r="AB59" i="6" s="1"/>
  <c r="AB60" i="6" s="1"/>
  <c r="AB61" i="6" s="1"/>
  <c r="AB62" i="6" s="1"/>
  <c r="AB63" i="6" s="1"/>
  <c r="AB64" i="6" s="1"/>
  <c r="AB65" i="6" s="1"/>
  <c r="AB66" i="6" s="1"/>
  <c r="AB67" i="6" s="1"/>
  <c r="AB68" i="6" s="1"/>
  <c r="AB69" i="6" s="1"/>
  <c r="AB70" i="6" s="1"/>
  <c r="AB71" i="6" s="1"/>
  <c r="AB72" i="6" s="1"/>
  <c r="AB73" i="6" s="1"/>
  <c r="AB74" i="6" s="1"/>
  <c r="AB75" i="6" s="1"/>
  <c r="AB76" i="6" s="1"/>
  <c r="AB77" i="6" s="1"/>
  <c r="AB78" i="6" s="1"/>
  <c r="AB79" i="6" s="1"/>
  <c r="AB80" i="6" s="1"/>
  <c r="AB81" i="6" s="1"/>
  <c r="AB82" i="6" s="1"/>
  <c r="AB83" i="6" s="1"/>
  <c r="AB84" i="6" s="1"/>
  <c r="AB85" i="6" s="1"/>
  <c r="AB86" i="6" s="1"/>
  <c r="AB87" i="6" s="1"/>
  <c r="AB88" i="6" s="1"/>
  <c r="AB89" i="6" s="1"/>
  <c r="AB90" i="6" s="1"/>
  <c r="AB91" i="6" s="1"/>
  <c r="AB92" i="6" s="1"/>
  <c r="AB93" i="6" s="1"/>
  <c r="AB94" i="6" s="1"/>
  <c r="AB95" i="6" s="1"/>
  <c r="AB96" i="6" s="1"/>
  <c r="AB97" i="6" s="1"/>
  <c r="AB98" i="6" s="1"/>
  <c r="AB99" i="6" s="1"/>
  <c r="AB100" i="6" s="1"/>
  <c r="AB101" i="6" s="1"/>
  <c r="AB102" i="6" s="1"/>
  <c r="AB103" i="6" s="1"/>
  <c r="AB104" i="6" s="1"/>
  <c r="AB105" i="6" s="1"/>
  <c r="AB106" i="6" s="1"/>
  <c r="AB107" i="6" s="1"/>
  <c r="AB108" i="6" s="1"/>
  <c r="AB109" i="6" s="1"/>
  <c r="AB110" i="6" s="1"/>
  <c r="AB111" i="6" s="1"/>
  <c r="AB112" i="6" s="1"/>
  <c r="AB113" i="6" s="1"/>
  <c r="AB114" i="6" s="1"/>
  <c r="AB115" i="6" s="1"/>
  <c r="AB116" i="6" s="1"/>
  <c r="AB117" i="6" s="1"/>
  <c r="AB118" i="6" s="1"/>
  <c r="AB119" i="6" s="1"/>
  <c r="AB120" i="6" s="1"/>
  <c r="AB121" i="6" s="1"/>
  <c r="AB122" i="6" s="1"/>
  <c r="AB123" i="6" s="1"/>
  <c r="AB124" i="6" s="1"/>
  <c r="AB125" i="6" s="1"/>
  <c r="AB126" i="6" s="1"/>
  <c r="AB127" i="6" s="1"/>
  <c r="AB128" i="6" s="1"/>
  <c r="AB129" i="6" s="1"/>
  <c r="AB130" i="6" s="1"/>
  <c r="AB131" i="6" s="1"/>
  <c r="AB132" i="6" s="1"/>
  <c r="AB133" i="6" s="1"/>
  <c r="AB134" i="6" s="1"/>
  <c r="AB135" i="6" s="1"/>
  <c r="AB136" i="6" s="1"/>
  <c r="AB137" i="6" s="1"/>
  <c r="AB138" i="6" s="1"/>
  <c r="AB139" i="6" s="1"/>
  <c r="AB140" i="6" s="1"/>
  <c r="AB141" i="6" s="1"/>
  <c r="AB142" i="6" s="1"/>
  <c r="AB143" i="6" s="1"/>
  <c r="AB144" i="6" s="1"/>
  <c r="AB145" i="6" s="1"/>
  <c r="AB146" i="6" s="1"/>
  <c r="AB147" i="6" s="1"/>
  <c r="AB148" i="6" s="1"/>
  <c r="AB149" i="6" s="1"/>
  <c r="AB150" i="6" s="1"/>
  <c r="AB151" i="6" s="1"/>
  <c r="AB152" i="6" s="1"/>
  <c r="AB153" i="6" s="1"/>
  <c r="AB154" i="6" s="1"/>
  <c r="AB155" i="6" s="1"/>
  <c r="AB156" i="6" s="1"/>
  <c r="AB157" i="6" s="1"/>
  <c r="AB158" i="6" s="1"/>
  <c r="AB159" i="6" s="1"/>
  <c r="AB160" i="6" s="1"/>
  <c r="AB161" i="6" s="1"/>
  <c r="AB162" i="6" s="1"/>
  <c r="AB163" i="6" s="1"/>
  <c r="AB164" i="6" s="1"/>
  <c r="AB165" i="6" s="1"/>
  <c r="AB166" i="6" s="1"/>
  <c r="AB167" i="6" s="1"/>
  <c r="AB168" i="6" s="1"/>
  <c r="AB169" i="6" s="1"/>
  <c r="AB170" i="6" s="1"/>
  <c r="AB171" i="6" s="1"/>
  <c r="AB172" i="6" s="1"/>
  <c r="AB173" i="6" s="1"/>
  <c r="AB174" i="6" s="1"/>
  <c r="AB175" i="6" s="1"/>
  <c r="AB176" i="6" s="1"/>
  <c r="AB177" i="6" s="1"/>
  <c r="AB178" i="6" s="1"/>
  <c r="AB179" i="6" s="1"/>
  <c r="AB180" i="6" s="1"/>
  <c r="AB181" i="6" s="1"/>
  <c r="AB182" i="6" s="1"/>
  <c r="AB183" i="6" s="1"/>
  <c r="AB184" i="6" s="1"/>
  <c r="AB185" i="6" s="1"/>
  <c r="AB186" i="6" s="1"/>
  <c r="AB187" i="6" s="1"/>
  <c r="AB188" i="6" s="1"/>
  <c r="AB189" i="6" s="1"/>
  <c r="AB190" i="6" s="1"/>
  <c r="AB191" i="6" s="1"/>
  <c r="AB192" i="6" s="1"/>
  <c r="AB193" i="6" s="1"/>
  <c r="AB194" i="6" s="1"/>
  <c r="AB195" i="6" s="1"/>
  <c r="AB196" i="6" s="1"/>
  <c r="AB197" i="6" s="1"/>
  <c r="AB198" i="6" s="1"/>
  <c r="AB199" i="6" s="1"/>
  <c r="AB200" i="6" s="1"/>
  <c r="AB201" i="6" s="1"/>
  <c r="AB202" i="6" s="1"/>
  <c r="AB203" i="6" s="1"/>
  <c r="AB204" i="6" s="1"/>
  <c r="AB205" i="6" s="1"/>
  <c r="AB206" i="6" s="1"/>
  <c r="AB207" i="6" s="1"/>
  <c r="AB208" i="6" s="1"/>
  <c r="AB209" i="6" s="1"/>
  <c r="AB210" i="6" s="1"/>
  <c r="AB211" i="6" s="1"/>
  <c r="AB212" i="6" s="1"/>
  <c r="AB213" i="6" s="1"/>
  <c r="AB214" i="6" s="1"/>
  <c r="AB215" i="6" s="1"/>
  <c r="AB216" i="6" s="1"/>
  <c r="AB217" i="6" s="1"/>
  <c r="AB218" i="6" s="1"/>
  <c r="AB219" i="6" s="1"/>
  <c r="AB220" i="6" s="1"/>
  <c r="AB221" i="6" s="1"/>
  <c r="AB222" i="6" s="1"/>
  <c r="AB223" i="6" s="1"/>
  <c r="AB224" i="6" s="1"/>
  <c r="AB225" i="6" s="1"/>
  <c r="AB226" i="6" s="1"/>
  <c r="AB227" i="6" s="1"/>
  <c r="AB228" i="6" s="1"/>
  <c r="AB229" i="6" s="1"/>
  <c r="AB230" i="6" s="1"/>
  <c r="AB231" i="6" s="1"/>
  <c r="AB232" i="6" s="1"/>
  <c r="AB233" i="6" s="1"/>
  <c r="AB234" i="6" s="1"/>
  <c r="AB235" i="6" s="1"/>
  <c r="AB236" i="6" s="1"/>
  <c r="AB237" i="6" s="1"/>
  <c r="AB238" i="6" s="1"/>
  <c r="AB239" i="6" s="1"/>
  <c r="AB240" i="6" s="1"/>
  <c r="AB241" i="6" s="1"/>
  <c r="AB242" i="6" s="1"/>
  <c r="AB243" i="6" s="1"/>
  <c r="AB244" i="6" s="1"/>
  <c r="AB245" i="6" s="1"/>
  <c r="AB246" i="6" s="1"/>
  <c r="AB247" i="6" s="1"/>
  <c r="AB248" i="6" s="1"/>
  <c r="AB249" i="6" s="1"/>
  <c r="AB250" i="6" s="1"/>
  <c r="AB251" i="6" s="1"/>
  <c r="AB252" i="6" s="1"/>
  <c r="AB253" i="6" s="1"/>
  <c r="AB254" i="6" s="1"/>
  <c r="AB255" i="6" s="1"/>
  <c r="AB256" i="6" s="1"/>
  <c r="AB257" i="6" s="1"/>
  <c r="AB258" i="6" s="1"/>
  <c r="AB259" i="6" s="1"/>
  <c r="AB260" i="6" s="1"/>
  <c r="AB261" i="6" s="1"/>
  <c r="AB262" i="6" s="1"/>
  <c r="AB263" i="6" s="1"/>
  <c r="AB264" i="6" s="1"/>
  <c r="AB265" i="6" s="1"/>
  <c r="AB266" i="6" s="1"/>
  <c r="AB267" i="6" s="1"/>
  <c r="AB268" i="6" s="1"/>
  <c r="AB269" i="6" s="1"/>
  <c r="AB270" i="6" s="1"/>
  <c r="AB271" i="6" s="1"/>
  <c r="AB272" i="6" s="1"/>
  <c r="AB273" i="6" s="1"/>
  <c r="AB274" i="6" s="1"/>
  <c r="AB275" i="6" s="1"/>
  <c r="AB276" i="6" s="1"/>
  <c r="AB277" i="6" s="1"/>
  <c r="AB278" i="6" s="1"/>
  <c r="AB279" i="6" s="1"/>
  <c r="AB280" i="6" s="1"/>
  <c r="AB281" i="6" s="1"/>
  <c r="AB282" i="6" s="1"/>
  <c r="AB283" i="6" s="1"/>
  <c r="AB284" i="6" s="1"/>
  <c r="AB285" i="6" s="1"/>
  <c r="AB286" i="6" s="1"/>
  <c r="AB287" i="6" s="1"/>
  <c r="AB288" i="6" s="1"/>
  <c r="AB289" i="6" s="1"/>
  <c r="AB290" i="6" s="1"/>
  <c r="AB291" i="6" s="1"/>
  <c r="AB292" i="6" s="1"/>
  <c r="AB293" i="6" s="1"/>
  <c r="AB294" i="6" s="1"/>
  <c r="AB295" i="6" s="1"/>
  <c r="AB296" i="6" s="1"/>
  <c r="AB297" i="6" s="1"/>
  <c r="AB298" i="6" s="1"/>
  <c r="AB299" i="6" s="1"/>
  <c r="AB300" i="6" s="1"/>
  <c r="AB301" i="6" s="1"/>
  <c r="AB302" i="6" s="1"/>
  <c r="AB303" i="6" s="1"/>
  <c r="AB304" i="6" s="1"/>
  <c r="AB305" i="6" s="1"/>
  <c r="AB306" i="6" s="1"/>
  <c r="AB307" i="6" s="1"/>
  <c r="AB308" i="6" s="1"/>
  <c r="AB309" i="6" s="1"/>
  <c r="AB310" i="6" s="1"/>
  <c r="AB311" i="6" s="1"/>
  <c r="AB312" i="6" s="1"/>
  <c r="AB313" i="6" s="1"/>
  <c r="AB314" i="6" s="1"/>
  <c r="AB315" i="6" s="1"/>
  <c r="AB316" i="6" s="1"/>
  <c r="AB317" i="6" s="1"/>
  <c r="AB318" i="6" s="1"/>
  <c r="AB319" i="6" s="1"/>
  <c r="AB320" i="6" s="1"/>
  <c r="AB321" i="6" s="1"/>
  <c r="AB322" i="6" s="1"/>
  <c r="AB323" i="6" s="1"/>
  <c r="AB324" i="6" s="1"/>
  <c r="AB325" i="6" s="1"/>
  <c r="AB326" i="6" s="1"/>
  <c r="AB327" i="6" s="1"/>
  <c r="AB328" i="6" s="1"/>
  <c r="AB329" i="6" s="1"/>
  <c r="AB330" i="6" s="1"/>
  <c r="AB331" i="6" s="1"/>
  <c r="AB332" i="6" s="1"/>
  <c r="AB333" i="6" s="1"/>
  <c r="AB334" i="6" s="1"/>
  <c r="AB335" i="6" s="1"/>
  <c r="AB336" i="6" s="1"/>
  <c r="AB337" i="6" s="1"/>
  <c r="AB338" i="6" s="1"/>
  <c r="AB339" i="6" s="1"/>
  <c r="AB340" i="6" s="1"/>
  <c r="AB341" i="6" s="1"/>
  <c r="AB342" i="6" s="1"/>
  <c r="AB343" i="6" s="1"/>
  <c r="AB344" i="6" s="1"/>
  <c r="AB345" i="6" s="1"/>
  <c r="AB346" i="6" s="1"/>
  <c r="AB347" i="6" s="1"/>
  <c r="AB348" i="6" s="1"/>
  <c r="AB349" i="6" s="1"/>
  <c r="AB350" i="6" s="1"/>
  <c r="AB351" i="6" s="1"/>
  <c r="AB352" i="6" s="1"/>
  <c r="AB353" i="6" s="1"/>
  <c r="AB354" i="6" s="1"/>
  <c r="AB355" i="6" s="1"/>
  <c r="AB356" i="6" s="1"/>
  <c r="AB357" i="6" s="1"/>
  <c r="AB358" i="6" s="1"/>
  <c r="AB359" i="6" s="1"/>
  <c r="AB360" i="6" s="1"/>
  <c r="AB361" i="6" s="1"/>
  <c r="AB362" i="6" s="1"/>
  <c r="AB363" i="6" s="1"/>
  <c r="AB364" i="6" s="1"/>
  <c r="AB365" i="6" s="1"/>
  <c r="AB366" i="6" s="1"/>
  <c r="AB367" i="6" s="1"/>
  <c r="AB368" i="6" s="1"/>
  <c r="AB369" i="6" s="1"/>
  <c r="AB370" i="6" s="1"/>
  <c r="AB371" i="6" s="1"/>
  <c r="AB372" i="6" s="1"/>
  <c r="AB373" i="6" s="1"/>
  <c r="AB374" i="6" s="1"/>
  <c r="AB375" i="6" s="1"/>
  <c r="AB376" i="6" s="1"/>
  <c r="AB377" i="6" s="1"/>
  <c r="AB378" i="6" s="1"/>
  <c r="AB379" i="6" s="1"/>
  <c r="AB380" i="6" s="1"/>
  <c r="AB381" i="6" s="1"/>
  <c r="AB382" i="6" s="1"/>
  <c r="AB383" i="6" s="1"/>
  <c r="AB384" i="6" s="1"/>
  <c r="AB385" i="6" s="1"/>
  <c r="AB386" i="6" s="1"/>
  <c r="AB387" i="6" s="1"/>
  <c r="AB388" i="6" s="1"/>
  <c r="AB389" i="6" s="1"/>
  <c r="AB390" i="6" s="1"/>
  <c r="AB391" i="6" s="1"/>
  <c r="AB392" i="6" s="1"/>
  <c r="AB393" i="6" s="1"/>
  <c r="AB394" i="6" s="1"/>
  <c r="AB395" i="6" s="1"/>
  <c r="AB396" i="6" s="1"/>
  <c r="AB397" i="6" s="1"/>
  <c r="AB398" i="6" s="1"/>
  <c r="AB399" i="6" s="1"/>
  <c r="AB400" i="6" s="1"/>
  <c r="AB401" i="6" s="1"/>
  <c r="AB402" i="6" s="1"/>
  <c r="AB403" i="6" s="1"/>
  <c r="AB404" i="6" s="1"/>
  <c r="AB405" i="6" s="1"/>
  <c r="AB406" i="6" s="1"/>
  <c r="AB407" i="6" s="1"/>
  <c r="AB408" i="6" s="1"/>
  <c r="AB409" i="6" s="1"/>
  <c r="AB410" i="6" s="1"/>
  <c r="AB411" i="6" s="1"/>
  <c r="AB412" i="6" s="1"/>
  <c r="AB413" i="6" s="1"/>
  <c r="AB414" i="6" s="1"/>
  <c r="AB415" i="6" s="1"/>
  <c r="AB416" i="6" s="1"/>
  <c r="AB417" i="6" s="1"/>
  <c r="AB418" i="6" s="1"/>
  <c r="AB419" i="6" s="1"/>
  <c r="AB420" i="6" s="1"/>
  <c r="AB421" i="6" s="1"/>
  <c r="AB422" i="6" s="1"/>
  <c r="AB423" i="6" s="1"/>
  <c r="AB424" i="6" s="1"/>
  <c r="AB425" i="6" s="1"/>
  <c r="AB426" i="6" s="1"/>
  <c r="AB427" i="6" s="1"/>
  <c r="AB428" i="6" s="1"/>
  <c r="AB429" i="6" s="1"/>
  <c r="AB430" i="6" s="1"/>
  <c r="AB431" i="6" s="1"/>
  <c r="AB432" i="6" s="1"/>
  <c r="AB433" i="6" s="1"/>
  <c r="AB434" i="6" s="1"/>
  <c r="AB435" i="6" s="1"/>
  <c r="AB436" i="6" s="1"/>
  <c r="AB437" i="6" s="1"/>
  <c r="AB438" i="6" s="1"/>
  <c r="AB439" i="6" s="1"/>
  <c r="AB440" i="6" s="1"/>
  <c r="AB441" i="6" s="1"/>
  <c r="AB442" i="6" s="1"/>
  <c r="AB443" i="6" s="1"/>
  <c r="AB444" i="6" s="1"/>
  <c r="AB445" i="6" s="1"/>
  <c r="AB446" i="6" s="1"/>
  <c r="AB447" i="6" s="1"/>
  <c r="AB448" i="6" s="1"/>
  <c r="AB449" i="6" s="1"/>
  <c r="AB450" i="6" s="1"/>
  <c r="AB451" i="6" s="1"/>
  <c r="AB452" i="6" s="1"/>
  <c r="AB453" i="6" s="1"/>
  <c r="AB454" i="6" s="1"/>
  <c r="AB455" i="6" s="1"/>
  <c r="AB456" i="6" s="1"/>
  <c r="AB457" i="6" s="1"/>
  <c r="AB458" i="6" s="1"/>
  <c r="AB459" i="6" s="1"/>
  <c r="AB460" i="6" s="1"/>
  <c r="AB461" i="6" s="1"/>
  <c r="AB462" i="6" s="1"/>
  <c r="AB463" i="6" s="1"/>
  <c r="AB464" i="6" s="1"/>
  <c r="AB465" i="6" s="1"/>
  <c r="AB466" i="6" s="1"/>
  <c r="AB467" i="6" s="1"/>
  <c r="AB468" i="6" s="1"/>
  <c r="AB469" i="6" s="1"/>
  <c r="AB470" i="6" s="1"/>
  <c r="AB471" i="6" s="1"/>
  <c r="AB472" i="6" s="1"/>
  <c r="AB473" i="6" s="1"/>
  <c r="AB474" i="6" s="1"/>
  <c r="AB475" i="6" s="1"/>
  <c r="AB476" i="6" s="1"/>
  <c r="AB477" i="6" s="1"/>
  <c r="AB478" i="6" s="1"/>
  <c r="AB479" i="6" s="1"/>
  <c r="AB480" i="6" s="1"/>
  <c r="AB481" i="6" s="1"/>
  <c r="AB482" i="6" s="1"/>
  <c r="AB483" i="6" s="1"/>
  <c r="AB484" i="6" s="1"/>
  <c r="AB485" i="6" s="1"/>
  <c r="AB486" i="6" s="1"/>
  <c r="AB487" i="6" s="1"/>
  <c r="AB488" i="6" s="1"/>
  <c r="AB489" i="6" s="1"/>
  <c r="AB490" i="6" s="1"/>
  <c r="AB491" i="6" s="1"/>
  <c r="AB492" i="6" s="1"/>
  <c r="AB493" i="6" s="1"/>
  <c r="AB494" i="6" s="1"/>
  <c r="AB495" i="6" s="1"/>
  <c r="AB496" i="6" s="1"/>
  <c r="AB497" i="6" s="1"/>
  <c r="AB498" i="6" s="1"/>
  <c r="AB499" i="6" s="1"/>
  <c r="AB500" i="6" s="1"/>
  <c r="AB501" i="6" s="1"/>
  <c r="AB502" i="6" s="1"/>
  <c r="AB503" i="6" s="1"/>
  <c r="AB504" i="6" s="1"/>
  <c r="AB505" i="6" s="1"/>
  <c r="AB506" i="6" s="1"/>
  <c r="AB507" i="6" s="1"/>
  <c r="AB508" i="6" s="1"/>
  <c r="AB509" i="6" s="1"/>
  <c r="AB510" i="6" s="1"/>
  <c r="AB511" i="6" s="1"/>
  <c r="AB512" i="6" s="1"/>
  <c r="AB513" i="6" s="1"/>
  <c r="AB514" i="6" s="1"/>
  <c r="AB515" i="6" s="1"/>
  <c r="AB516" i="6" s="1"/>
  <c r="AB517" i="6" s="1"/>
  <c r="AB518" i="6" s="1"/>
  <c r="AB519" i="6" s="1"/>
  <c r="AB520" i="6" s="1"/>
  <c r="AB521" i="6" s="1"/>
  <c r="AB522" i="6" s="1"/>
  <c r="AB523" i="6" s="1"/>
  <c r="AB524" i="6" s="1"/>
  <c r="AB525" i="6" s="1"/>
  <c r="AB526" i="6" s="1"/>
  <c r="AB527" i="6" s="1"/>
  <c r="AB528" i="6" s="1"/>
  <c r="AB529" i="6" s="1"/>
  <c r="AB530" i="6" s="1"/>
  <c r="AB531" i="6" s="1"/>
  <c r="AB532" i="6" s="1"/>
  <c r="AB533" i="6" s="1"/>
  <c r="AB534" i="6" s="1"/>
  <c r="AB535" i="6" s="1"/>
  <c r="AB536" i="6" s="1"/>
  <c r="AB537" i="6" s="1"/>
  <c r="AB538" i="6" s="1"/>
  <c r="AB539" i="6" s="1"/>
  <c r="AB540" i="6" s="1"/>
  <c r="AB541" i="6" s="1"/>
  <c r="AB542" i="6" s="1"/>
  <c r="AB543" i="6" s="1"/>
  <c r="AB544" i="6" s="1"/>
  <c r="AB545" i="6" s="1"/>
  <c r="AA4" i="6"/>
  <c r="Z4" i="6"/>
  <c r="Y4" i="6"/>
  <c r="X4" i="6"/>
  <c r="W4" i="6"/>
  <c r="V5" i="6"/>
  <c r="D8" i="7" l="1"/>
  <c r="C8" i="7"/>
  <c r="BA11" i="6"/>
  <c r="B9" i="7"/>
  <c r="AV5" i="6"/>
  <c r="V6" i="6"/>
  <c r="V7" i="6" s="1"/>
  <c r="X6" i="6"/>
  <c r="AV6" i="6"/>
  <c r="P6" i="6"/>
  <c r="P7" i="6" s="1"/>
  <c r="P8" i="6" s="1"/>
  <c r="P9" i="6" s="1"/>
  <c r="P10" i="6" s="1"/>
  <c r="P11" i="6" s="1"/>
  <c r="P12" i="6" s="1"/>
  <c r="P13" i="6" s="1"/>
  <c r="P14" i="6" s="1"/>
  <c r="P15" i="6" s="1"/>
  <c r="P16" i="6" s="1"/>
  <c r="P17" i="6" s="1"/>
  <c r="P18" i="6" s="1"/>
  <c r="P19" i="6" s="1"/>
  <c r="P20" i="6" s="1"/>
  <c r="P21" i="6" s="1"/>
  <c r="P22" i="6" s="1"/>
  <c r="P23" i="6" s="1"/>
  <c r="P24" i="6" s="1"/>
  <c r="P25" i="6" s="1"/>
  <c r="P26" i="6" s="1"/>
  <c r="P27" i="6" s="1"/>
  <c r="P28" i="6" s="1"/>
  <c r="P29" i="6" s="1"/>
  <c r="P30" i="6" s="1"/>
  <c r="P31" i="6" s="1"/>
  <c r="P32" i="6" s="1"/>
  <c r="P33" i="6" s="1"/>
  <c r="P34" i="6" s="1"/>
  <c r="P35" i="6" s="1"/>
  <c r="P36" i="6" s="1"/>
  <c r="P37" i="6" s="1"/>
  <c r="P38" i="6" s="1"/>
  <c r="P39" i="6" s="1"/>
  <c r="P40" i="6" s="1"/>
  <c r="P41" i="6" s="1"/>
  <c r="P42" i="6" s="1"/>
  <c r="P43" i="6" s="1"/>
  <c r="P44" i="6" s="1"/>
  <c r="P45" i="6" s="1"/>
  <c r="P46" i="6" s="1"/>
  <c r="P47" i="6" s="1"/>
  <c r="P48" i="6" s="1"/>
  <c r="P49" i="6" s="1"/>
  <c r="P50" i="6" s="1"/>
  <c r="P51" i="6" s="1"/>
  <c r="P52" i="6" s="1"/>
  <c r="P53" i="6" s="1"/>
  <c r="P54" i="6" s="1"/>
  <c r="P55" i="6" s="1"/>
  <c r="P56" i="6" s="1"/>
  <c r="A181" i="6"/>
  <c r="AA5" i="6"/>
  <c r="Z5" i="6"/>
  <c r="Z6" i="6" s="1"/>
  <c r="Z7" i="6" s="1"/>
  <c r="Y5" i="6"/>
  <c r="Y6" i="6" s="1"/>
  <c r="X5" i="6"/>
  <c r="W5" i="6"/>
  <c r="D9" i="7" l="1"/>
  <c r="C9" i="7"/>
  <c r="BA12" i="6"/>
  <c r="B10" i="7"/>
  <c r="AA6" i="6"/>
  <c r="AK5" i="6"/>
  <c r="V8" i="6"/>
  <c r="Y7" i="6"/>
  <c r="Y8" i="6" s="1"/>
  <c r="Y9" i="6" s="1"/>
  <c r="Y10" i="6" s="1"/>
  <c r="Y11" i="6" s="1"/>
  <c r="Y12" i="6" s="1"/>
  <c r="AV7" i="6"/>
  <c r="X7" i="6"/>
  <c r="X8" i="6" s="1"/>
  <c r="X9" i="6" s="1"/>
  <c r="AY7" i="6"/>
  <c r="W6" i="6"/>
  <c r="W7" i="6" s="1"/>
  <c r="W8" i="6" s="1"/>
  <c r="W9" i="6" s="1"/>
  <c r="W10" i="6" s="1"/>
  <c r="W11" i="6" s="1"/>
  <c r="W12" i="6" s="1"/>
  <c r="W13" i="6" s="1"/>
  <c r="W14" i="6" s="1"/>
  <c r="W15" i="6" s="1"/>
  <c r="W16" i="6" s="1"/>
  <c r="W17" i="6" s="1"/>
  <c r="W18" i="6" s="1"/>
  <c r="W19" i="6" s="1"/>
  <c r="W20" i="6" s="1"/>
  <c r="W21" i="6" s="1"/>
  <c r="W22" i="6" s="1"/>
  <c r="W23" i="6" s="1"/>
  <c r="W24" i="6" s="1"/>
  <c r="W25" i="6" s="1"/>
  <c r="W26" i="6" s="1"/>
  <c r="W27" i="6" s="1"/>
  <c r="W28" i="6" s="1"/>
  <c r="W29" i="6" s="1"/>
  <c r="W30" i="6" s="1"/>
  <c r="W31" i="6" s="1"/>
  <c r="W32" i="6" s="1"/>
  <c r="W33" i="6" s="1"/>
  <c r="W34" i="6" s="1"/>
  <c r="W35" i="6" s="1"/>
  <c r="W36" i="6" s="1"/>
  <c r="W37" i="6" s="1"/>
  <c r="W38" i="6" s="1"/>
  <c r="W39" i="6" s="1"/>
  <c r="W40" i="6" s="1"/>
  <c r="W41" i="6" s="1"/>
  <c r="W42" i="6" s="1"/>
  <c r="W43" i="6" s="1"/>
  <c r="W44" i="6" s="1"/>
  <c r="W45" i="6" s="1"/>
  <c r="W46" i="6" s="1"/>
  <c r="W47" i="6" s="1"/>
  <c r="W48" i="6" s="1"/>
  <c r="W49" i="6" s="1"/>
  <c r="W50" i="6" s="1"/>
  <c r="W51" i="6" s="1"/>
  <c r="W52" i="6" s="1"/>
  <c r="W53" i="6" s="1"/>
  <c r="W54" i="6" s="1"/>
  <c r="W55" i="6" s="1"/>
  <c r="W56" i="6" s="1"/>
  <c r="AY6" i="6"/>
  <c r="AD5" i="6"/>
  <c r="S6" i="6"/>
  <c r="S7" i="6" s="1"/>
  <c r="S8" i="6" s="1"/>
  <c r="R5" i="6"/>
  <c r="R6" i="6" s="1"/>
  <c r="R7" i="6" s="1"/>
  <c r="Q5" i="6"/>
  <c r="Q6" i="6" s="1"/>
  <c r="P5" i="6"/>
  <c r="O5" i="6"/>
  <c r="O6" i="6" s="1"/>
  <c r="O7" i="6" s="1"/>
  <c r="O8" i="6" s="1"/>
  <c r="O9" i="6" s="1"/>
  <c r="O10" i="6" s="1"/>
  <c r="O11" i="6" s="1"/>
  <c r="O12" i="6" s="1"/>
  <c r="O13" i="6" s="1"/>
  <c r="O14" i="6" s="1"/>
  <c r="O15" i="6" s="1"/>
  <c r="O16" i="6" s="1"/>
  <c r="O17" i="6" s="1"/>
  <c r="O18" i="6" s="1"/>
  <c r="O19" i="6" s="1"/>
  <c r="O20" i="6" s="1"/>
  <c r="O21" i="6" s="1"/>
  <c r="O22" i="6" s="1"/>
  <c r="O23" i="6" s="1"/>
  <c r="O24" i="6" s="1"/>
  <c r="O25" i="6" s="1"/>
  <c r="O26" i="6" s="1"/>
  <c r="O27" i="6" s="1"/>
  <c r="O28" i="6" s="1"/>
  <c r="O29" i="6" s="1"/>
  <c r="O30" i="6" s="1"/>
  <c r="O31" i="6" s="1"/>
  <c r="O32" i="6" s="1"/>
  <c r="O33" i="6" s="1"/>
  <c r="O34" i="6" s="1"/>
  <c r="O35" i="6" s="1"/>
  <c r="O36" i="6" s="1"/>
  <c r="O37" i="6" s="1"/>
  <c r="O38" i="6" s="1"/>
  <c r="O39" i="6" s="1"/>
  <c r="O40" i="6" s="1"/>
  <c r="O41" i="6" s="1"/>
  <c r="O42" i="6" s="1"/>
  <c r="O43" i="6" s="1"/>
  <c r="O44" i="6" s="1"/>
  <c r="O45" i="6" s="1"/>
  <c r="O46" i="6" s="1"/>
  <c r="O47" i="6" s="1"/>
  <c r="O48" i="6" s="1"/>
  <c r="O49" i="6" s="1"/>
  <c r="O50" i="6" s="1"/>
  <c r="O51" i="6" s="1"/>
  <c r="O52" i="6" s="1"/>
  <c r="O53" i="6" s="1"/>
  <c r="O54" i="6" s="1"/>
  <c r="O55" i="6" s="1"/>
  <c r="O56" i="6" s="1"/>
  <c r="O57" i="6" s="1"/>
  <c r="O58" i="6" s="1"/>
  <c r="O59" i="6" s="1"/>
  <c r="O60" i="6" s="1"/>
  <c r="O61" i="6" s="1"/>
  <c r="O62" i="6" s="1"/>
  <c r="O63" i="6" s="1"/>
  <c r="O64" i="6" s="1"/>
  <c r="O65" i="6" s="1"/>
  <c r="O66" i="6" s="1"/>
  <c r="O67" i="6" s="1"/>
  <c r="O68" i="6" s="1"/>
  <c r="O69" i="6" s="1"/>
  <c r="O70" i="6" s="1"/>
  <c r="O71" i="6" s="1"/>
  <c r="O72" i="6" s="1"/>
  <c r="O73" i="6" s="1"/>
  <c r="O74" i="6" s="1"/>
  <c r="O75" i="6" s="1"/>
  <c r="O76" i="6" s="1"/>
  <c r="O77" i="6" s="1"/>
  <c r="O78" i="6" s="1"/>
  <c r="O79" i="6" s="1"/>
  <c r="O80" i="6" s="1"/>
  <c r="O81" i="6" s="1"/>
  <c r="O82" i="6" s="1"/>
  <c r="O83" i="6" s="1"/>
  <c r="O84" i="6" s="1"/>
  <c r="O85" i="6" s="1"/>
  <c r="O86" i="6" s="1"/>
  <c r="O87" i="6" s="1"/>
  <c r="O88" i="6" s="1"/>
  <c r="O89" i="6" s="1"/>
  <c r="O90" i="6" s="1"/>
  <c r="O91" i="6" s="1"/>
  <c r="O92" i="6" s="1"/>
  <c r="O93" i="6" s="1"/>
  <c r="O94" i="6" s="1"/>
  <c r="O95" i="6" s="1"/>
  <c r="O96" i="6" s="1"/>
  <c r="O97" i="6" s="1"/>
  <c r="O98" i="6" s="1"/>
  <c r="O99" i="6" s="1"/>
  <c r="O100" i="6" s="1"/>
  <c r="O101" i="6" s="1"/>
  <c r="O102" i="6" s="1"/>
  <c r="O103" i="6" s="1"/>
  <c r="O104" i="6" s="1"/>
  <c r="O105" i="6" s="1"/>
  <c r="O106" i="6" s="1"/>
  <c r="O107" i="6" s="1"/>
  <c r="O108" i="6" s="1"/>
  <c r="O109" i="6" s="1"/>
  <c r="O110" i="6" s="1"/>
  <c r="O111" i="6" s="1"/>
  <c r="O112" i="6" s="1"/>
  <c r="O113" i="6" s="1"/>
  <c r="O114" i="6" s="1"/>
  <c r="O115" i="6" s="1"/>
  <c r="O116" i="6" s="1"/>
  <c r="D10" i="7" l="1"/>
  <c r="C10" i="7"/>
  <c r="BA13" i="6"/>
  <c r="B11" i="7"/>
  <c r="AS5" i="6"/>
  <c r="AN6" i="6"/>
  <c r="AO6" i="6"/>
  <c r="AP6" i="6"/>
  <c r="AQ6" i="6"/>
  <c r="V9" i="6"/>
  <c r="Z8" i="6"/>
  <c r="AV8" i="6"/>
  <c r="AA7" i="6"/>
  <c r="AK6" i="6"/>
  <c r="AY8" i="6"/>
  <c r="W57" i="6"/>
  <c r="W58" i="6" s="1"/>
  <c r="W59" i="6" s="1"/>
  <c r="AY57" i="6"/>
  <c r="X10" i="6"/>
  <c r="X11" i="6" s="1"/>
  <c r="AY10" i="6"/>
  <c r="AD6" i="6"/>
  <c r="AE5" i="6"/>
  <c r="Q59" i="2"/>
  <c r="D11" i="7" l="1"/>
  <c r="C11" i="7"/>
  <c r="BA14" i="6"/>
  <c r="B12" i="7"/>
  <c r="AS6" i="6"/>
  <c r="AN7" i="6"/>
  <c r="AO7" i="6"/>
  <c r="AP7" i="6"/>
  <c r="AQ7" i="6"/>
  <c r="AA8" i="6"/>
  <c r="AK8" i="6" s="1"/>
  <c r="AK7" i="6"/>
  <c r="Z9" i="6"/>
  <c r="AY9" i="6"/>
  <c r="V10" i="6"/>
  <c r="AA9" i="6"/>
  <c r="AV9" i="6"/>
  <c r="AD7" i="6"/>
  <c r="X12" i="6"/>
  <c r="W60" i="6"/>
  <c r="W61" i="6" s="1"/>
  <c r="W62" i="6" s="1"/>
  <c r="W63" i="6" s="1"/>
  <c r="AY60" i="6"/>
  <c r="AE6" i="6"/>
  <c r="AF5" i="6"/>
  <c r="AM343" i="2"/>
  <c r="AL343" i="2"/>
  <c r="AK343" i="2"/>
  <c r="AJ343" i="2"/>
  <c r="AI343" i="2"/>
  <c r="AH343" i="2"/>
  <c r="AG343" i="2"/>
  <c r="AF343" i="2"/>
  <c r="AE343" i="2"/>
  <c r="AD343" i="2"/>
  <c r="AM342" i="2"/>
  <c r="AL342" i="2"/>
  <c r="AK342" i="2"/>
  <c r="AJ342" i="2"/>
  <c r="AI342" i="2"/>
  <c r="AH342" i="2"/>
  <c r="AG342" i="2"/>
  <c r="AF342" i="2"/>
  <c r="AE342" i="2"/>
  <c r="AD342" i="2"/>
  <c r="AM341" i="2"/>
  <c r="AL341" i="2"/>
  <c r="AK341" i="2"/>
  <c r="AJ341" i="2"/>
  <c r="AI341" i="2"/>
  <c r="AH341" i="2"/>
  <c r="AG341" i="2"/>
  <c r="AF341" i="2"/>
  <c r="AE341" i="2"/>
  <c r="AD341" i="2"/>
  <c r="AM340" i="2"/>
  <c r="AL340" i="2"/>
  <c r="AK340" i="2"/>
  <c r="AJ340" i="2"/>
  <c r="AI340" i="2"/>
  <c r="AH340" i="2"/>
  <c r="AG340" i="2"/>
  <c r="AF340" i="2"/>
  <c r="AE340" i="2"/>
  <c r="AD340" i="2"/>
  <c r="AM339" i="2"/>
  <c r="AL339" i="2"/>
  <c r="AK339" i="2"/>
  <c r="AJ339" i="2"/>
  <c r="AI339" i="2"/>
  <c r="AH339" i="2"/>
  <c r="AG339" i="2"/>
  <c r="AF339" i="2"/>
  <c r="AE339" i="2"/>
  <c r="AD339" i="2"/>
  <c r="AM338" i="2"/>
  <c r="AL338" i="2"/>
  <c r="AK338" i="2"/>
  <c r="AJ338" i="2"/>
  <c r="AI338" i="2"/>
  <c r="AH338" i="2"/>
  <c r="AG338" i="2"/>
  <c r="AF338" i="2"/>
  <c r="AE338" i="2"/>
  <c r="AD338" i="2"/>
  <c r="AM337" i="2"/>
  <c r="AL337" i="2"/>
  <c r="AK337" i="2"/>
  <c r="AJ337" i="2"/>
  <c r="AI337" i="2"/>
  <c r="AH337" i="2"/>
  <c r="AG337" i="2"/>
  <c r="AF337" i="2"/>
  <c r="AE337" i="2"/>
  <c r="AD337" i="2"/>
  <c r="AM336" i="2"/>
  <c r="AL336" i="2"/>
  <c r="AK336" i="2"/>
  <c r="AJ336" i="2"/>
  <c r="AI336" i="2"/>
  <c r="AH336" i="2"/>
  <c r="AG336" i="2"/>
  <c r="AF336" i="2"/>
  <c r="AE336" i="2"/>
  <c r="AD336" i="2"/>
  <c r="AM335" i="2"/>
  <c r="AL335" i="2"/>
  <c r="AK335" i="2"/>
  <c r="AJ335" i="2"/>
  <c r="AI335" i="2"/>
  <c r="AH335" i="2"/>
  <c r="AG335" i="2"/>
  <c r="AF335" i="2"/>
  <c r="AE335" i="2"/>
  <c r="AD335" i="2"/>
  <c r="AM334" i="2"/>
  <c r="AL334" i="2"/>
  <c r="AK334" i="2"/>
  <c r="AJ334" i="2"/>
  <c r="AI334" i="2"/>
  <c r="AH334" i="2"/>
  <c r="AG334" i="2"/>
  <c r="AF334" i="2"/>
  <c r="AE334" i="2"/>
  <c r="AD334" i="2"/>
  <c r="AM333" i="2"/>
  <c r="AL333" i="2"/>
  <c r="AK333" i="2"/>
  <c r="AJ333" i="2"/>
  <c r="AI333" i="2"/>
  <c r="AH333" i="2"/>
  <c r="AG333" i="2"/>
  <c r="AF333" i="2"/>
  <c r="AE333" i="2"/>
  <c r="AD333" i="2"/>
  <c r="AM332" i="2"/>
  <c r="AL332" i="2"/>
  <c r="AK332" i="2"/>
  <c r="AJ332" i="2"/>
  <c r="AI332" i="2"/>
  <c r="AH332" i="2"/>
  <c r="AG332" i="2"/>
  <c r="AF332" i="2"/>
  <c r="AE332" i="2"/>
  <c r="AD332" i="2"/>
  <c r="AM331" i="2"/>
  <c r="AL331" i="2"/>
  <c r="AK331" i="2"/>
  <c r="AJ331" i="2"/>
  <c r="AI331" i="2"/>
  <c r="AH331" i="2"/>
  <c r="AG331" i="2"/>
  <c r="AF331" i="2"/>
  <c r="AE331" i="2"/>
  <c r="AD331" i="2"/>
  <c r="AM330" i="2"/>
  <c r="AL330" i="2"/>
  <c r="AK330" i="2"/>
  <c r="AJ330" i="2"/>
  <c r="AI330" i="2"/>
  <c r="AH330" i="2"/>
  <c r="AG330" i="2"/>
  <c r="AF330" i="2"/>
  <c r="AE330" i="2"/>
  <c r="AD330" i="2"/>
  <c r="AM329" i="2"/>
  <c r="AL329" i="2"/>
  <c r="AK329" i="2"/>
  <c r="AJ329" i="2"/>
  <c r="AI329" i="2"/>
  <c r="AH329" i="2"/>
  <c r="AG329" i="2"/>
  <c r="AF329" i="2"/>
  <c r="AE329" i="2"/>
  <c r="AD329" i="2"/>
  <c r="AM328" i="2"/>
  <c r="AL328" i="2"/>
  <c r="AK328" i="2"/>
  <c r="AJ328" i="2"/>
  <c r="AI328" i="2"/>
  <c r="AH328" i="2"/>
  <c r="AG328" i="2"/>
  <c r="AF328" i="2"/>
  <c r="AE328" i="2"/>
  <c r="AD328" i="2"/>
  <c r="AM327" i="2"/>
  <c r="AL327" i="2"/>
  <c r="AK327" i="2"/>
  <c r="AJ327" i="2"/>
  <c r="AI327" i="2"/>
  <c r="AH327" i="2"/>
  <c r="AG327" i="2"/>
  <c r="AF327" i="2"/>
  <c r="AE327" i="2"/>
  <c r="AD327" i="2"/>
  <c r="AM326" i="2"/>
  <c r="AL326" i="2"/>
  <c r="AK326" i="2"/>
  <c r="AJ326" i="2"/>
  <c r="AI326" i="2"/>
  <c r="AH326" i="2"/>
  <c r="AG326" i="2"/>
  <c r="AF326" i="2"/>
  <c r="AE326" i="2"/>
  <c r="AD326" i="2"/>
  <c r="AM325" i="2"/>
  <c r="AL325" i="2"/>
  <c r="AK325" i="2"/>
  <c r="AJ325" i="2"/>
  <c r="AI325" i="2"/>
  <c r="AH325" i="2"/>
  <c r="AG325" i="2"/>
  <c r="AF325" i="2"/>
  <c r="AE325" i="2"/>
  <c r="AD325" i="2"/>
  <c r="AM324" i="2"/>
  <c r="AL324" i="2"/>
  <c r="AK324" i="2"/>
  <c r="AJ324" i="2"/>
  <c r="AI324" i="2"/>
  <c r="AH324" i="2"/>
  <c r="AG324" i="2"/>
  <c r="AF324" i="2"/>
  <c r="AE324" i="2"/>
  <c r="AD324" i="2"/>
  <c r="AM323" i="2"/>
  <c r="AL323" i="2"/>
  <c r="AK323" i="2"/>
  <c r="AJ323" i="2"/>
  <c r="AI323" i="2"/>
  <c r="AH323" i="2"/>
  <c r="AG323" i="2"/>
  <c r="AF323" i="2"/>
  <c r="AE323" i="2"/>
  <c r="AD323" i="2"/>
  <c r="AM322" i="2"/>
  <c r="AL322" i="2"/>
  <c r="AK322" i="2"/>
  <c r="AJ322" i="2"/>
  <c r="AI322" i="2"/>
  <c r="AH322" i="2"/>
  <c r="AG322" i="2"/>
  <c r="AF322" i="2"/>
  <c r="AE322" i="2"/>
  <c r="AD322" i="2"/>
  <c r="AM321" i="2"/>
  <c r="AL321" i="2"/>
  <c r="AK321" i="2"/>
  <c r="AJ321" i="2"/>
  <c r="AI321" i="2"/>
  <c r="AH321" i="2"/>
  <c r="AG321" i="2"/>
  <c r="AF321" i="2"/>
  <c r="AE321" i="2"/>
  <c r="AD321" i="2"/>
  <c r="AM320" i="2"/>
  <c r="AL320" i="2"/>
  <c r="AK320" i="2"/>
  <c r="AJ320" i="2"/>
  <c r="AI320" i="2"/>
  <c r="AH320" i="2"/>
  <c r="AG320" i="2"/>
  <c r="AF320" i="2"/>
  <c r="AE320" i="2"/>
  <c r="AD320" i="2"/>
  <c r="AM319" i="2"/>
  <c r="AL319" i="2"/>
  <c r="AK319" i="2"/>
  <c r="AJ319" i="2"/>
  <c r="AI319" i="2"/>
  <c r="AH319" i="2"/>
  <c r="AG319" i="2"/>
  <c r="AF319" i="2"/>
  <c r="AE319" i="2"/>
  <c r="AD319" i="2"/>
  <c r="AM318" i="2"/>
  <c r="AL318" i="2"/>
  <c r="AK318" i="2"/>
  <c r="AJ318" i="2"/>
  <c r="AI318" i="2"/>
  <c r="AH318" i="2"/>
  <c r="AG318" i="2"/>
  <c r="AF318" i="2"/>
  <c r="AE318" i="2"/>
  <c r="AD318" i="2"/>
  <c r="AM317" i="2"/>
  <c r="AL317" i="2"/>
  <c r="AK317" i="2"/>
  <c r="AJ317" i="2"/>
  <c r="AI317" i="2"/>
  <c r="AH317" i="2"/>
  <c r="AG317" i="2"/>
  <c r="AF317" i="2"/>
  <c r="AE317" i="2"/>
  <c r="AD317" i="2"/>
  <c r="AM316" i="2"/>
  <c r="AL316" i="2"/>
  <c r="AK316" i="2"/>
  <c r="AJ316" i="2"/>
  <c r="AI316" i="2"/>
  <c r="AH316" i="2"/>
  <c r="AG316" i="2"/>
  <c r="AF316" i="2"/>
  <c r="AE316" i="2"/>
  <c r="AD316" i="2"/>
  <c r="AM315" i="2"/>
  <c r="AL315" i="2"/>
  <c r="AK315" i="2"/>
  <c r="AJ315" i="2"/>
  <c r="AI315" i="2"/>
  <c r="AH315" i="2"/>
  <c r="AG315" i="2"/>
  <c r="AF315" i="2"/>
  <c r="AE315" i="2"/>
  <c r="AD315" i="2"/>
  <c r="AM314" i="2"/>
  <c r="AL314" i="2"/>
  <c r="AK314" i="2"/>
  <c r="AJ314" i="2"/>
  <c r="AI314" i="2"/>
  <c r="AH314" i="2"/>
  <c r="AG314" i="2"/>
  <c r="AF314" i="2"/>
  <c r="AE314" i="2"/>
  <c r="AD314" i="2"/>
  <c r="AM313" i="2"/>
  <c r="AL313" i="2"/>
  <c r="AK313" i="2"/>
  <c r="AJ313" i="2"/>
  <c r="AI313" i="2"/>
  <c r="AH313" i="2"/>
  <c r="AG313" i="2"/>
  <c r="AF313" i="2"/>
  <c r="AE313" i="2"/>
  <c r="AD313" i="2"/>
  <c r="AM312" i="2"/>
  <c r="AL312" i="2"/>
  <c r="AK312" i="2"/>
  <c r="AJ312" i="2"/>
  <c r="AI312" i="2"/>
  <c r="AH312" i="2"/>
  <c r="AG312" i="2"/>
  <c r="AF312" i="2"/>
  <c r="AE312" i="2"/>
  <c r="AD312" i="2"/>
  <c r="AM311" i="2"/>
  <c r="AL311" i="2"/>
  <c r="AK311" i="2"/>
  <c r="AJ311" i="2"/>
  <c r="AI311" i="2"/>
  <c r="AH311" i="2"/>
  <c r="AG311" i="2"/>
  <c r="AF311" i="2"/>
  <c r="AE311" i="2"/>
  <c r="AD311" i="2"/>
  <c r="AM310" i="2"/>
  <c r="AL310" i="2"/>
  <c r="AK310" i="2"/>
  <c r="AJ310" i="2"/>
  <c r="AI310" i="2"/>
  <c r="AH310" i="2"/>
  <c r="AG310" i="2"/>
  <c r="AF310" i="2"/>
  <c r="AE310" i="2"/>
  <c r="AD310" i="2"/>
  <c r="AM309" i="2"/>
  <c r="AL309" i="2"/>
  <c r="AK309" i="2"/>
  <c r="AJ309" i="2"/>
  <c r="AI309" i="2"/>
  <c r="AH309" i="2"/>
  <c r="AG309" i="2"/>
  <c r="AF309" i="2"/>
  <c r="AE309" i="2"/>
  <c r="AD309" i="2"/>
  <c r="AM308" i="2"/>
  <c r="AL308" i="2"/>
  <c r="AK308" i="2"/>
  <c r="AJ308" i="2"/>
  <c r="AI308" i="2"/>
  <c r="AH308" i="2"/>
  <c r="AG308" i="2"/>
  <c r="AF308" i="2"/>
  <c r="AE308" i="2"/>
  <c r="AD308" i="2"/>
  <c r="AM307" i="2"/>
  <c r="AL307" i="2"/>
  <c r="AK307" i="2"/>
  <c r="AJ307" i="2"/>
  <c r="AI307" i="2"/>
  <c r="AH307" i="2"/>
  <c r="AG307" i="2"/>
  <c r="AF307" i="2"/>
  <c r="AE307" i="2"/>
  <c r="AD307" i="2"/>
  <c r="AM306" i="2"/>
  <c r="AL306" i="2"/>
  <c r="AK306" i="2"/>
  <c r="AJ306" i="2"/>
  <c r="AI306" i="2"/>
  <c r="AH306" i="2"/>
  <c r="AG306" i="2"/>
  <c r="AF306" i="2"/>
  <c r="AE306" i="2"/>
  <c r="AD306" i="2"/>
  <c r="AM305" i="2"/>
  <c r="AL305" i="2"/>
  <c r="AK305" i="2"/>
  <c r="AJ305" i="2"/>
  <c r="AI305" i="2"/>
  <c r="AH305" i="2"/>
  <c r="AG305" i="2"/>
  <c r="AF305" i="2"/>
  <c r="AE305" i="2"/>
  <c r="AD305" i="2"/>
  <c r="AM304" i="2"/>
  <c r="AL304" i="2"/>
  <c r="AK304" i="2"/>
  <c r="AJ304" i="2"/>
  <c r="AI304" i="2"/>
  <c r="AH304" i="2"/>
  <c r="AG304" i="2"/>
  <c r="AF304" i="2"/>
  <c r="AE304" i="2"/>
  <c r="AD304" i="2"/>
  <c r="AM303" i="2"/>
  <c r="AL303" i="2"/>
  <c r="AK303" i="2"/>
  <c r="AJ303" i="2"/>
  <c r="AI303" i="2"/>
  <c r="AH303" i="2"/>
  <c r="AG303" i="2"/>
  <c r="AF303" i="2"/>
  <c r="AE303" i="2"/>
  <c r="AD303" i="2"/>
  <c r="AM302" i="2"/>
  <c r="AL302" i="2"/>
  <c r="AK302" i="2"/>
  <c r="AJ302" i="2"/>
  <c r="AI302" i="2"/>
  <c r="AH302" i="2"/>
  <c r="AG302" i="2"/>
  <c r="AF302" i="2"/>
  <c r="AE302" i="2"/>
  <c r="AD302" i="2"/>
  <c r="AM301" i="2"/>
  <c r="AL301" i="2"/>
  <c r="AK301" i="2"/>
  <c r="AJ301" i="2"/>
  <c r="AI301" i="2"/>
  <c r="AH301" i="2"/>
  <c r="AG301" i="2"/>
  <c r="AF301" i="2"/>
  <c r="AE301" i="2"/>
  <c r="AD301" i="2"/>
  <c r="AM300" i="2"/>
  <c r="AL300" i="2"/>
  <c r="AK300" i="2"/>
  <c r="AJ300" i="2"/>
  <c r="AI300" i="2"/>
  <c r="AH300" i="2"/>
  <c r="AG300" i="2"/>
  <c r="AF300" i="2"/>
  <c r="AE300" i="2"/>
  <c r="AD300" i="2"/>
  <c r="AM299" i="2"/>
  <c r="AL299" i="2"/>
  <c r="AK299" i="2"/>
  <c r="AJ299" i="2"/>
  <c r="AI299" i="2"/>
  <c r="AH299" i="2"/>
  <c r="AG299" i="2"/>
  <c r="AF299" i="2"/>
  <c r="AE299" i="2"/>
  <c r="AD299" i="2"/>
  <c r="AM298" i="2"/>
  <c r="AL298" i="2"/>
  <c r="AK298" i="2"/>
  <c r="AJ298" i="2"/>
  <c r="AI298" i="2"/>
  <c r="AH298" i="2"/>
  <c r="AG298" i="2"/>
  <c r="AF298" i="2"/>
  <c r="AE298" i="2"/>
  <c r="AD298" i="2"/>
  <c r="AM297" i="2"/>
  <c r="AL297" i="2"/>
  <c r="AK297" i="2"/>
  <c r="AJ297" i="2"/>
  <c r="AI297" i="2"/>
  <c r="AH297" i="2"/>
  <c r="AG297" i="2"/>
  <c r="AF297" i="2"/>
  <c r="AE297" i="2"/>
  <c r="AD297" i="2"/>
  <c r="AM296" i="2"/>
  <c r="AL296" i="2"/>
  <c r="AK296" i="2"/>
  <c r="AJ296" i="2"/>
  <c r="AI296" i="2"/>
  <c r="AH296" i="2"/>
  <c r="AG296" i="2"/>
  <c r="AF296" i="2"/>
  <c r="AE296" i="2"/>
  <c r="AD296" i="2"/>
  <c r="AM295" i="2"/>
  <c r="AL295" i="2"/>
  <c r="AK295" i="2"/>
  <c r="AJ295" i="2"/>
  <c r="AI295" i="2"/>
  <c r="AH295" i="2"/>
  <c r="AG295" i="2"/>
  <c r="AF295" i="2"/>
  <c r="AE295" i="2"/>
  <c r="AD295" i="2"/>
  <c r="AM294" i="2"/>
  <c r="AL294" i="2"/>
  <c r="AK294" i="2"/>
  <c r="AJ294" i="2"/>
  <c r="AI294" i="2"/>
  <c r="AH294" i="2"/>
  <c r="AG294" i="2"/>
  <c r="AF294" i="2"/>
  <c r="AE294" i="2"/>
  <c r="AD294" i="2"/>
  <c r="AM293" i="2"/>
  <c r="AL293" i="2"/>
  <c r="AK293" i="2"/>
  <c r="AJ293" i="2"/>
  <c r="AI293" i="2"/>
  <c r="AH293" i="2"/>
  <c r="AG293" i="2"/>
  <c r="AF293" i="2"/>
  <c r="AE293" i="2"/>
  <c r="AD293" i="2"/>
  <c r="AM292" i="2"/>
  <c r="AL292" i="2"/>
  <c r="AK292" i="2"/>
  <c r="AJ292" i="2"/>
  <c r="AI292" i="2"/>
  <c r="AH292" i="2"/>
  <c r="AG292" i="2"/>
  <c r="AF292" i="2"/>
  <c r="AE292" i="2"/>
  <c r="AD292" i="2"/>
  <c r="AM291" i="2"/>
  <c r="AL291" i="2"/>
  <c r="AK291" i="2"/>
  <c r="AJ291" i="2"/>
  <c r="AI291" i="2"/>
  <c r="AH291" i="2"/>
  <c r="AG291" i="2"/>
  <c r="AF291" i="2"/>
  <c r="AE291" i="2"/>
  <c r="AD291" i="2"/>
  <c r="AM290" i="2"/>
  <c r="AL290" i="2"/>
  <c r="AK290" i="2"/>
  <c r="AJ290" i="2"/>
  <c r="AI290" i="2"/>
  <c r="AH290" i="2"/>
  <c r="AG290" i="2"/>
  <c r="AF290" i="2"/>
  <c r="AE290" i="2"/>
  <c r="AD290" i="2"/>
  <c r="AM289" i="2"/>
  <c r="AL289" i="2"/>
  <c r="AK289" i="2"/>
  <c r="AJ289" i="2"/>
  <c r="AI289" i="2"/>
  <c r="AH289" i="2"/>
  <c r="AG289" i="2"/>
  <c r="AF289" i="2"/>
  <c r="AE289" i="2"/>
  <c r="AD289" i="2"/>
  <c r="AM288" i="2"/>
  <c r="AL288" i="2"/>
  <c r="AK288" i="2"/>
  <c r="AJ288" i="2"/>
  <c r="AI288" i="2"/>
  <c r="AH288" i="2"/>
  <c r="AG288" i="2"/>
  <c r="AF288" i="2"/>
  <c r="AE288" i="2"/>
  <c r="AD288" i="2"/>
  <c r="AM287" i="2"/>
  <c r="AL287" i="2"/>
  <c r="AK287" i="2"/>
  <c r="AJ287" i="2"/>
  <c r="AI287" i="2"/>
  <c r="AH287" i="2"/>
  <c r="AG287" i="2"/>
  <c r="AF287" i="2"/>
  <c r="AE287" i="2"/>
  <c r="AD287" i="2"/>
  <c r="AM286" i="2"/>
  <c r="AL286" i="2"/>
  <c r="AK286" i="2"/>
  <c r="AJ286" i="2"/>
  <c r="AI286" i="2"/>
  <c r="AH286" i="2"/>
  <c r="AG286" i="2"/>
  <c r="AF286" i="2"/>
  <c r="AE286" i="2"/>
  <c r="AD286" i="2"/>
  <c r="AM285" i="2"/>
  <c r="AL285" i="2"/>
  <c r="AK285" i="2"/>
  <c r="AJ285" i="2"/>
  <c r="AI285" i="2"/>
  <c r="AH285" i="2"/>
  <c r="AG285" i="2"/>
  <c r="AF285" i="2"/>
  <c r="AE285" i="2"/>
  <c r="AD285" i="2"/>
  <c r="AM284" i="2"/>
  <c r="AL284" i="2"/>
  <c r="AK284" i="2"/>
  <c r="AJ284" i="2"/>
  <c r="AI284" i="2"/>
  <c r="AH284" i="2"/>
  <c r="AG284" i="2"/>
  <c r="AF284" i="2"/>
  <c r="AE284" i="2"/>
  <c r="AD284" i="2"/>
  <c r="AM283" i="2"/>
  <c r="AL283" i="2"/>
  <c r="AK283" i="2"/>
  <c r="AJ283" i="2"/>
  <c r="AI283" i="2"/>
  <c r="AH283" i="2"/>
  <c r="AG283" i="2"/>
  <c r="AF283" i="2"/>
  <c r="AE283" i="2"/>
  <c r="AD283" i="2"/>
  <c r="AM282" i="2"/>
  <c r="AL282" i="2"/>
  <c r="AK282" i="2"/>
  <c r="AJ282" i="2"/>
  <c r="AI282" i="2"/>
  <c r="AH282" i="2"/>
  <c r="AG282" i="2"/>
  <c r="AF282" i="2"/>
  <c r="AE282" i="2"/>
  <c r="AD282" i="2"/>
  <c r="AM281" i="2"/>
  <c r="AL281" i="2"/>
  <c r="AK281" i="2"/>
  <c r="AJ281" i="2"/>
  <c r="AI281" i="2"/>
  <c r="AH281" i="2"/>
  <c r="AG281" i="2"/>
  <c r="AF281" i="2"/>
  <c r="AE281" i="2"/>
  <c r="AD281" i="2"/>
  <c r="AM280" i="2"/>
  <c r="AL280" i="2"/>
  <c r="AK280" i="2"/>
  <c r="AJ280" i="2"/>
  <c r="AI280" i="2"/>
  <c r="AH280" i="2"/>
  <c r="AG280" i="2"/>
  <c r="AF280" i="2"/>
  <c r="AE280" i="2"/>
  <c r="AD280" i="2"/>
  <c r="AM279" i="2"/>
  <c r="AL279" i="2"/>
  <c r="AK279" i="2"/>
  <c r="AJ279" i="2"/>
  <c r="AI279" i="2"/>
  <c r="AH279" i="2"/>
  <c r="AG279" i="2"/>
  <c r="AF279" i="2"/>
  <c r="AE279" i="2"/>
  <c r="AD279" i="2"/>
  <c r="AM278" i="2"/>
  <c r="AL278" i="2"/>
  <c r="AK278" i="2"/>
  <c r="AJ278" i="2"/>
  <c r="AI278" i="2"/>
  <c r="AH278" i="2"/>
  <c r="AG278" i="2"/>
  <c r="AF278" i="2"/>
  <c r="AE278" i="2"/>
  <c r="AD278" i="2"/>
  <c r="AM277" i="2"/>
  <c r="AL277" i="2"/>
  <c r="AK277" i="2"/>
  <c r="AJ277" i="2"/>
  <c r="AI277" i="2"/>
  <c r="AH277" i="2"/>
  <c r="AG277" i="2"/>
  <c r="AF277" i="2"/>
  <c r="AE277" i="2"/>
  <c r="AD277" i="2"/>
  <c r="AM276" i="2"/>
  <c r="AL276" i="2"/>
  <c r="AK276" i="2"/>
  <c r="AJ276" i="2"/>
  <c r="AI276" i="2"/>
  <c r="AH276" i="2"/>
  <c r="AG276" i="2"/>
  <c r="AF276" i="2"/>
  <c r="AE276" i="2"/>
  <c r="AD276" i="2"/>
  <c r="AM275" i="2"/>
  <c r="AL275" i="2"/>
  <c r="AK275" i="2"/>
  <c r="AJ275" i="2"/>
  <c r="AI275" i="2"/>
  <c r="AH275" i="2"/>
  <c r="AG275" i="2"/>
  <c r="AF275" i="2"/>
  <c r="AE275" i="2"/>
  <c r="AD275" i="2"/>
  <c r="AM274" i="2"/>
  <c r="AL274" i="2"/>
  <c r="AK274" i="2"/>
  <c r="AJ274" i="2"/>
  <c r="AI274" i="2"/>
  <c r="AH274" i="2"/>
  <c r="AG274" i="2"/>
  <c r="AF274" i="2"/>
  <c r="AE274" i="2"/>
  <c r="AD274" i="2"/>
  <c r="AM273" i="2"/>
  <c r="AL273" i="2"/>
  <c r="AK273" i="2"/>
  <c r="AJ273" i="2"/>
  <c r="AI273" i="2"/>
  <c r="AH273" i="2"/>
  <c r="AG273" i="2"/>
  <c r="AF273" i="2"/>
  <c r="AE273" i="2"/>
  <c r="AD273" i="2"/>
  <c r="AM272" i="2"/>
  <c r="AL272" i="2"/>
  <c r="AK272" i="2"/>
  <c r="AJ272" i="2"/>
  <c r="AI272" i="2"/>
  <c r="AH272" i="2"/>
  <c r="AG272" i="2"/>
  <c r="AF272" i="2"/>
  <c r="AE272" i="2"/>
  <c r="AD272" i="2"/>
  <c r="AM271" i="2"/>
  <c r="AL271" i="2"/>
  <c r="AK271" i="2"/>
  <c r="AJ271" i="2"/>
  <c r="AI271" i="2"/>
  <c r="AH271" i="2"/>
  <c r="AG271" i="2"/>
  <c r="AF271" i="2"/>
  <c r="AE271" i="2"/>
  <c r="AD271" i="2"/>
  <c r="AM270" i="2"/>
  <c r="AL270" i="2"/>
  <c r="AK270" i="2"/>
  <c r="AJ270" i="2"/>
  <c r="AI270" i="2"/>
  <c r="AH270" i="2"/>
  <c r="AG270" i="2"/>
  <c r="AF270" i="2"/>
  <c r="AE270" i="2"/>
  <c r="AD270" i="2"/>
  <c r="AM269" i="2"/>
  <c r="AL269" i="2"/>
  <c r="AK269" i="2"/>
  <c r="AJ269" i="2"/>
  <c r="AI269" i="2"/>
  <c r="AH269" i="2"/>
  <c r="AG269" i="2"/>
  <c r="AF269" i="2"/>
  <c r="AE269" i="2"/>
  <c r="AD269" i="2"/>
  <c r="AM268" i="2"/>
  <c r="AL268" i="2"/>
  <c r="AK268" i="2"/>
  <c r="AJ268" i="2"/>
  <c r="AI268" i="2"/>
  <c r="AH268" i="2"/>
  <c r="AG268" i="2"/>
  <c r="AF268" i="2"/>
  <c r="AE268" i="2"/>
  <c r="AD268" i="2"/>
  <c r="AM267" i="2"/>
  <c r="AL267" i="2"/>
  <c r="AK267" i="2"/>
  <c r="AJ267" i="2"/>
  <c r="AI267" i="2"/>
  <c r="AH267" i="2"/>
  <c r="AG267" i="2"/>
  <c r="AF267" i="2"/>
  <c r="AE267" i="2"/>
  <c r="AD267" i="2"/>
  <c r="AM266" i="2"/>
  <c r="AL266" i="2"/>
  <c r="AK266" i="2"/>
  <c r="AJ266" i="2"/>
  <c r="AI266" i="2"/>
  <c r="AH266" i="2"/>
  <c r="AG266" i="2"/>
  <c r="AF266" i="2"/>
  <c r="AE266" i="2"/>
  <c r="AD266" i="2"/>
  <c r="AM265" i="2"/>
  <c r="AL265" i="2"/>
  <c r="AK265" i="2"/>
  <c r="AJ265" i="2"/>
  <c r="AI265" i="2"/>
  <c r="AH265" i="2"/>
  <c r="AG265" i="2"/>
  <c r="AF265" i="2"/>
  <c r="AE265" i="2"/>
  <c r="AD265" i="2"/>
  <c r="AM264" i="2"/>
  <c r="AL264" i="2"/>
  <c r="AK264" i="2"/>
  <c r="AJ264" i="2"/>
  <c r="AI264" i="2"/>
  <c r="AH264" i="2"/>
  <c r="AG264" i="2"/>
  <c r="AF264" i="2"/>
  <c r="AE264" i="2"/>
  <c r="AD264" i="2"/>
  <c r="AM263" i="2"/>
  <c r="AL263" i="2"/>
  <c r="AK263" i="2"/>
  <c r="AJ263" i="2"/>
  <c r="AI263" i="2"/>
  <c r="AH263" i="2"/>
  <c r="AG263" i="2"/>
  <c r="AF263" i="2"/>
  <c r="AE263" i="2"/>
  <c r="AD263" i="2"/>
  <c r="AM262" i="2"/>
  <c r="AL262" i="2"/>
  <c r="AK262" i="2"/>
  <c r="AJ262" i="2"/>
  <c r="AI262" i="2"/>
  <c r="AH262" i="2"/>
  <c r="AG262" i="2"/>
  <c r="AF262" i="2"/>
  <c r="AE262" i="2"/>
  <c r="AD262" i="2"/>
  <c r="AM261" i="2"/>
  <c r="AL261" i="2"/>
  <c r="AK261" i="2"/>
  <c r="AJ261" i="2"/>
  <c r="AI261" i="2"/>
  <c r="AH261" i="2"/>
  <c r="AG261" i="2"/>
  <c r="AF261" i="2"/>
  <c r="AE261" i="2"/>
  <c r="AD261" i="2"/>
  <c r="AM260" i="2"/>
  <c r="AL260" i="2"/>
  <c r="AK260" i="2"/>
  <c r="AJ260" i="2"/>
  <c r="AI260" i="2"/>
  <c r="AH260" i="2"/>
  <c r="AG260" i="2"/>
  <c r="AF260" i="2"/>
  <c r="AE260" i="2"/>
  <c r="AD260" i="2"/>
  <c r="AM259" i="2"/>
  <c r="AL259" i="2"/>
  <c r="AK259" i="2"/>
  <c r="AJ259" i="2"/>
  <c r="AI259" i="2"/>
  <c r="AH259" i="2"/>
  <c r="AG259" i="2"/>
  <c r="AF259" i="2"/>
  <c r="AE259" i="2"/>
  <c r="AD259" i="2"/>
  <c r="AM258" i="2"/>
  <c r="AL258" i="2"/>
  <c r="AK258" i="2"/>
  <c r="AJ258" i="2"/>
  <c r="AI258" i="2"/>
  <c r="AH258" i="2"/>
  <c r="AG258" i="2"/>
  <c r="AF258" i="2"/>
  <c r="AE258" i="2"/>
  <c r="AD258" i="2"/>
  <c r="AM257" i="2"/>
  <c r="AL257" i="2"/>
  <c r="AK257" i="2"/>
  <c r="AJ257" i="2"/>
  <c r="AI257" i="2"/>
  <c r="AH257" i="2"/>
  <c r="AG257" i="2"/>
  <c r="AF257" i="2"/>
  <c r="AE257" i="2"/>
  <c r="AD257" i="2"/>
  <c r="AM256" i="2"/>
  <c r="AL256" i="2"/>
  <c r="AK256" i="2"/>
  <c r="AJ256" i="2"/>
  <c r="AI256" i="2"/>
  <c r="AH256" i="2"/>
  <c r="AG256" i="2"/>
  <c r="AF256" i="2"/>
  <c r="AE256" i="2"/>
  <c r="AD256" i="2"/>
  <c r="AM255" i="2"/>
  <c r="AL255" i="2"/>
  <c r="AK255" i="2"/>
  <c r="AJ255" i="2"/>
  <c r="AI255" i="2"/>
  <c r="AH255" i="2"/>
  <c r="AG255" i="2"/>
  <c r="AF255" i="2"/>
  <c r="AE255" i="2"/>
  <c r="AD255" i="2"/>
  <c r="AM254" i="2"/>
  <c r="AL254" i="2"/>
  <c r="AK254" i="2"/>
  <c r="AJ254" i="2"/>
  <c r="AI254" i="2"/>
  <c r="AH254" i="2"/>
  <c r="AG254" i="2"/>
  <c r="AF254" i="2"/>
  <c r="AE254" i="2"/>
  <c r="AD254" i="2"/>
  <c r="AM253" i="2"/>
  <c r="AL253" i="2"/>
  <c r="AK253" i="2"/>
  <c r="AJ253" i="2"/>
  <c r="AI253" i="2"/>
  <c r="AH253" i="2"/>
  <c r="AG253" i="2"/>
  <c r="AF253" i="2"/>
  <c r="AE253" i="2"/>
  <c r="AD253" i="2"/>
  <c r="AM252" i="2"/>
  <c r="AL252" i="2"/>
  <c r="AK252" i="2"/>
  <c r="AJ252" i="2"/>
  <c r="AI252" i="2"/>
  <c r="AH252" i="2"/>
  <c r="AG252" i="2"/>
  <c r="AF252" i="2"/>
  <c r="AE252" i="2"/>
  <c r="AD252" i="2"/>
  <c r="AM251" i="2"/>
  <c r="AL251" i="2"/>
  <c r="AK251" i="2"/>
  <c r="AJ251" i="2"/>
  <c r="AI251" i="2"/>
  <c r="AH251" i="2"/>
  <c r="AG251" i="2"/>
  <c r="AF251" i="2"/>
  <c r="AE251" i="2"/>
  <c r="AD251" i="2"/>
  <c r="AM250" i="2"/>
  <c r="AL250" i="2"/>
  <c r="AK250" i="2"/>
  <c r="AJ250" i="2"/>
  <c r="AI250" i="2"/>
  <c r="AH250" i="2"/>
  <c r="AG250" i="2"/>
  <c r="AF250" i="2"/>
  <c r="AE250" i="2"/>
  <c r="AD250" i="2"/>
  <c r="AM249" i="2"/>
  <c r="AL249" i="2"/>
  <c r="AK249" i="2"/>
  <c r="AJ249" i="2"/>
  <c r="AI249" i="2"/>
  <c r="AH249" i="2"/>
  <c r="AG249" i="2"/>
  <c r="AF249" i="2"/>
  <c r="AE249" i="2"/>
  <c r="AD249" i="2"/>
  <c r="AM248" i="2"/>
  <c r="AL248" i="2"/>
  <c r="AK248" i="2"/>
  <c r="AJ248" i="2"/>
  <c r="AI248" i="2"/>
  <c r="AH248" i="2"/>
  <c r="AG248" i="2"/>
  <c r="AF248" i="2"/>
  <c r="AE248" i="2"/>
  <c r="AD248" i="2"/>
  <c r="AM247" i="2"/>
  <c r="AL247" i="2"/>
  <c r="AK247" i="2"/>
  <c r="AJ247" i="2"/>
  <c r="AI247" i="2"/>
  <c r="AH247" i="2"/>
  <c r="AG247" i="2"/>
  <c r="AF247" i="2"/>
  <c r="AE247" i="2"/>
  <c r="AD247" i="2"/>
  <c r="AM246" i="2"/>
  <c r="AL246" i="2"/>
  <c r="AK246" i="2"/>
  <c r="AJ246" i="2"/>
  <c r="AI246" i="2"/>
  <c r="AH246" i="2"/>
  <c r="AG246" i="2"/>
  <c r="AF246" i="2"/>
  <c r="AE246" i="2"/>
  <c r="AD246" i="2"/>
  <c r="AM245" i="2"/>
  <c r="AL245" i="2"/>
  <c r="AK245" i="2"/>
  <c r="AJ245" i="2"/>
  <c r="AI245" i="2"/>
  <c r="AH245" i="2"/>
  <c r="AG245" i="2"/>
  <c r="AF245" i="2"/>
  <c r="AE245" i="2"/>
  <c r="AD245" i="2"/>
  <c r="AM244" i="2"/>
  <c r="AL244" i="2"/>
  <c r="AK244" i="2"/>
  <c r="AJ244" i="2"/>
  <c r="AI244" i="2"/>
  <c r="AH244" i="2"/>
  <c r="AG244" i="2"/>
  <c r="AF244" i="2"/>
  <c r="AE244" i="2"/>
  <c r="AD244" i="2"/>
  <c r="AM243" i="2"/>
  <c r="AL243" i="2"/>
  <c r="AK243" i="2"/>
  <c r="AJ243" i="2"/>
  <c r="AI243" i="2"/>
  <c r="AH243" i="2"/>
  <c r="AG243" i="2"/>
  <c r="AF243" i="2"/>
  <c r="AE243" i="2"/>
  <c r="AD243" i="2"/>
  <c r="AM242" i="2"/>
  <c r="AL242" i="2"/>
  <c r="AK242" i="2"/>
  <c r="AJ242" i="2"/>
  <c r="AI242" i="2"/>
  <c r="AH242" i="2"/>
  <c r="AG242" i="2"/>
  <c r="AF242" i="2"/>
  <c r="AE242" i="2"/>
  <c r="AD242" i="2"/>
  <c r="AM241" i="2"/>
  <c r="AL241" i="2"/>
  <c r="AK241" i="2"/>
  <c r="AJ241" i="2"/>
  <c r="AI241" i="2"/>
  <c r="AH241" i="2"/>
  <c r="AG241" i="2"/>
  <c r="AF241" i="2"/>
  <c r="AE241" i="2"/>
  <c r="AD241" i="2"/>
  <c r="AM240" i="2"/>
  <c r="AL240" i="2"/>
  <c r="AK240" i="2"/>
  <c r="AJ240" i="2"/>
  <c r="AI240" i="2"/>
  <c r="AH240" i="2"/>
  <c r="AG240" i="2"/>
  <c r="AF240" i="2"/>
  <c r="AE240" i="2"/>
  <c r="AD240" i="2"/>
  <c r="AM239" i="2"/>
  <c r="AL239" i="2"/>
  <c r="AK239" i="2"/>
  <c r="AJ239" i="2"/>
  <c r="AI239" i="2"/>
  <c r="AH239" i="2"/>
  <c r="AG239" i="2"/>
  <c r="AF239" i="2"/>
  <c r="AE239" i="2"/>
  <c r="AD239" i="2"/>
  <c r="AM238" i="2"/>
  <c r="AL238" i="2"/>
  <c r="AK238" i="2"/>
  <c r="AJ238" i="2"/>
  <c r="AI238" i="2"/>
  <c r="AH238" i="2"/>
  <c r="AG238" i="2"/>
  <c r="AF238" i="2"/>
  <c r="AE238" i="2"/>
  <c r="AD238" i="2"/>
  <c r="AM237" i="2"/>
  <c r="AL237" i="2"/>
  <c r="AK237" i="2"/>
  <c r="AJ237" i="2"/>
  <c r="AI237" i="2"/>
  <c r="AH237" i="2"/>
  <c r="AG237" i="2"/>
  <c r="AF237" i="2"/>
  <c r="AE237" i="2"/>
  <c r="AD237" i="2"/>
  <c r="AM236" i="2"/>
  <c r="AL236" i="2"/>
  <c r="AK236" i="2"/>
  <c r="AJ236" i="2"/>
  <c r="AI236" i="2"/>
  <c r="AH236" i="2"/>
  <c r="AG236" i="2"/>
  <c r="AF236" i="2"/>
  <c r="AE236" i="2"/>
  <c r="AD236" i="2"/>
  <c r="AM235" i="2"/>
  <c r="AL235" i="2"/>
  <c r="AK235" i="2"/>
  <c r="AJ235" i="2"/>
  <c r="AI235" i="2"/>
  <c r="AH235" i="2"/>
  <c r="AG235" i="2"/>
  <c r="AF235" i="2"/>
  <c r="AE235" i="2"/>
  <c r="AD235" i="2"/>
  <c r="AM234" i="2"/>
  <c r="AL234" i="2"/>
  <c r="AK234" i="2"/>
  <c r="AJ234" i="2"/>
  <c r="AI234" i="2"/>
  <c r="AH234" i="2"/>
  <c r="AG234" i="2"/>
  <c r="AF234" i="2"/>
  <c r="AE234" i="2"/>
  <c r="AD234" i="2"/>
  <c r="AM233" i="2"/>
  <c r="AL233" i="2"/>
  <c r="AK233" i="2"/>
  <c r="AJ233" i="2"/>
  <c r="AI233" i="2"/>
  <c r="AH233" i="2"/>
  <c r="AG233" i="2"/>
  <c r="AF233" i="2"/>
  <c r="AE233" i="2"/>
  <c r="AD233" i="2"/>
  <c r="AM232" i="2"/>
  <c r="AL232" i="2"/>
  <c r="AK232" i="2"/>
  <c r="AJ232" i="2"/>
  <c r="AI232" i="2"/>
  <c r="AH232" i="2"/>
  <c r="AG232" i="2"/>
  <c r="AF232" i="2"/>
  <c r="AE232" i="2"/>
  <c r="AD232" i="2"/>
  <c r="AM231" i="2"/>
  <c r="AL231" i="2"/>
  <c r="AK231" i="2"/>
  <c r="AJ231" i="2"/>
  <c r="AI231" i="2"/>
  <c r="AH231" i="2"/>
  <c r="AG231" i="2"/>
  <c r="AF231" i="2"/>
  <c r="AE231" i="2"/>
  <c r="AD231" i="2"/>
  <c r="AM230" i="2"/>
  <c r="AL230" i="2"/>
  <c r="AK230" i="2"/>
  <c r="AJ230" i="2"/>
  <c r="AI230" i="2"/>
  <c r="AH230" i="2"/>
  <c r="AG230" i="2"/>
  <c r="AF230" i="2"/>
  <c r="AE230" i="2"/>
  <c r="AD230" i="2"/>
  <c r="AM229" i="2"/>
  <c r="AL229" i="2"/>
  <c r="AK229" i="2"/>
  <c r="AJ229" i="2"/>
  <c r="AI229" i="2"/>
  <c r="AH229" i="2"/>
  <c r="AG229" i="2"/>
  <c r="AF229" i="2"/>
  <c r="AE229" i="2"/>
  <c r="AD229" i="2"/>
  <c r="AM228" i="2"/>
  <c r="AL228" i="2"/>
  <c r="AK228" i="2"/>
  <c r="AJ228" i="2"/>
  <c r="AI228" i="2"/>
  <c r="AH228" i="2"/>
  <c r="AG228" i="2"/>
  <c r="AF228" i="2"/>
  <c r="AE228" i="2"/>
  <c r="AD228" i="2"/>
  <c r="AM227" i="2"/>
  <c r="AL227" i="2"/>
  <c r="AK227" i="2"/>
  <c r="AJ227" i="2"/>
  <c r="AI227" i="2"/>
  <c r="AH227" i="2"/>
  <c r="AG227" i="2"/>
  <c r="AF227" i="2"/>
  <c r="AE227" i="2"/>
  <c r="AD227" i="2"/>
  <c r="AM226" i="2"/>
  <c r="AL226" i="2"/>
  <c r="AK226" i="2"/>
  <c r="AJ226" i="2"/>
  <c r="AI226" i="2"/>
  <c r="AH226" i="2"/>
  <c r="AG226" i="2"/>
  <c r="AF226" i="2"/>
  <c r="AE226" i="2"/>
  <c r="AD226" i="2"/>
  <c r="AM225" i="2"/>
  <c r="AL225" i="2"/>
  <c r="AK225" i="2"/>
  <c r="AJ225" i="2"/>
  <c r="AI225" i="2"/>
  <c r="AH225" i="2"/>
  <c r="AG225" i="2"/>
  <c r="AF225" i="2"/>
  <c r="AE225" i="2"/>
  <c r="AD225" i="2"/>
  <c r="AM224" i="2"/>
  <c r="AL224" i="2"/>
  <c r="AK224" i="2"/>
  <c r="AJ224" i="2"/>
  <c r="AI224" i="2"/>
  <c r="AH224" i="2"/>
  <c r="AG224" i="2"/>
  <c r="AF224" i="2"/>
  <c r="AE224" i="2"/>
  <c r="AD224" i="2"/>
  <c r="AM223" i="2"/>
  <c r="AL223" i="2"/>
  <c r="AK223" i="2"/>
  <c r="AJ223" i="2"/>
  <c r="AI223" i="2"/>
  <c r="AH223" i="2"/>
  <c r="AG223" i="2"/>
  <c r="AF223" i="2"/>
  <c r="AE223" i="2"/>
  <c r="AD223" i="2"/>
  <c r="AM222" i="2"/>
  <c r="AL222" i="2"/>
  <c r="AK222" i="2"/>
  <c r="AJ222" i="2"/>
  <c r="AI222" i="2"/>
  <c r="AH222" i="2"/>
  <c r="AG222" i="2"/>
  <c r="AF222" i="2"/>
  <c r="AE222" i="2"/>
  <c r="AD222" i="2"/>
  <c r="AM221" i="2"/>
  <c r="AL221" i="2"/>
  <c r="AK221" i="2"/>
  <c r="AJ221" i="2"/>
  <c r="AI221" i="2"/>
  <c r="AH221" i="2"/>
  <c r="AG221" i="2"/>
  <c r="AF221" i="2"/>
  <c r="AE221" i="2"/>
  <c r="AD221" i="2"/>
  <c r="AM220" i="2"/>
  <c r="AL220" i="2"/>
  <c r="AK220" i="2"/>
  <c r="AJ220" i="2"/>
  <c r="AI220" i="2"/>
  <c r="AH220" i="2"/>
  <c r="AG220" i="2"/>
  <c r="AF220" i="2"/>
  <c r="AE220" i="2"/>
  <c r="AD220" i="2"/>
  <c r="AM219" i="2"/>
  <c r="AL219" i="2"/>
  <c r="AK219" i="2"/>
  <c r="AJ219" i="2"/>
  <c r="AI219" i="2"/>
  <c r="AH219" i="2"/>
  <c r="AG219" i="2"/>
  <c r="AF219" i="2"/>
  <c r="AE219" i="2"/>
  <c r="AD219" i="2"/>
  <c r="AM218" i="2"/>
  <c r="AL218" i="2"/>
  <c r="AK218" i="2"/>
  <c r="AJ218" i="2"/>
  <c r="AI218" i="2"/>
  <c r="AH218" i="2"/>
  <c r="AG218" i="2"/>
  <c r="AF218" i="2"/>
  <c r="AE218" i="2"/>
  <c r="AD218" i="2"/>
  <c r="AM217" i="2"/>
  <c r="AL217" i="2"/>
  <c r="AK217" i="2"/>
  <c r="AJ217" i="2"/>
  <c r="AI217" i="2"/>
  <c r="AH217" i="2"/>
  <c r="AG217" i="2"/>
  <c r="AF217" i="2"/>
  <c r="AE217" i="2"/>
  <c r="AD217" i="2"/>
  <c r="AM216" i="2"/>
  <c r="AL216" i="2"/>
  <c r="AK216" i="2"/>
  <c r="AJ216" i="2"/>
  <c r="AI216" i="2"/>
  <c r="AH216" i="2"/>
  <c r="AG216" i="2"/>
  <c r="AF216" i="2"/>
  <c r="AE216" i="2"/>
  <c r="AD216" i="2"/>
  <c r="AM215" i="2"/>
  <c r="AL215" i="2"/>
  <c r="AK215" i="2"/>
  <c r="AJ215" i="2"/>
  <c r="AI215" i="2"/>
  <c r="AH215" i="2"/>
  <c r="AG215" i="2"/>
  <c r="AF215" i="2"/>
  <c r="AE215" i="2"/>
  <c r="AD215" i="2"/>
  <c r="AM214" i="2"/>
  <c r="AL214" i="2"/>
  <c r="AK214" i="2"/>
  <c r="AJ214" i="2"/>
  <c r="AI214" i="2"/>
  <c r="AH214" i="2"/>
  <c r="AG214" i="2"/>
  <c r="AF214" i="2"/>
  <c r="AE214" i="2"/>
  <c r="AD214" i="2"/>
  <c r="AM213" i="2"/>
  <c r="AL213" i="2"/>
  <c r="AK213" i="2"/>
  <c r="AJ213" i="2"/>
  <c r="AI213" i="2"/>
  <c r="AH213" i="2"/>
  <c r="AG213" i="2"/>
  <c r="AF213" i="2"/>
  <c r="AE213" i="2"/>
  <c r="AD213" i="2"/>
  <c r="AM212" i="2"/>
  <c r="AL212" i="2"/>
  <c r="AK212" i="2"/>
  <c r="AJ212" i="2"/>
  <c r="AI212" i="2"/>
  <c r="AH212" i="2"/>
  <c r="AG212" i="2"/>
  <c r="AF212" i="2"/>
  <c r="AE212" i="2"/>
  <c r="AD212" i="2"/>
  <c r="AM211" i="2"/>
  <c r="AL211" i="2"/>
  <c r="AK211" i="2"/>
  <c r="AJ211" i="2"/>
  <c r="AI211" i="2"/>
  <c r="AH211" i="2"/>
  <c r="AG211" i="2"/>
  <c r="AF211" i="2"/>
  <c r="AE211" i="2"/>
  <c r="AD211" i="2"/>
  <c r="AM210" i="2"/>
  <c r="AL210" i="2"/>
  <c r="AK210" i="2"/>
  <c r="AJ210" i="2"/>
  <c r="AI210" i="2"/>
  <c r="AH210" i="2"/>
  <c r="AG210" i="2"/>
  <c r="AF210" i="2"/>
  <c r="AE210" i="2"/>
  <c r="AD210" i="2"/>
  <c r="AM209" i="2"/>
  <c r="AL209" i="2"/>
  <c r="AK209" i="2"/>
  <c r="AJ209" i="2"/>
  <c r="AI209" i="2"/>
  <c r="AH209" i="2"/>
  <c r="AG209" i="2"/>
  <c r="AF209" i="2"/>
  <c r="AE209" i="2"/>
  <c r="AD209" i="2"/>
  <c r="AM208" i="2"/>
  <c r="AL208" i="2"/>
  <c r="AK208" i="2"/>
  <c r="AJ208" i="2"/>
  <c r="AI208" i="2"/>
  <c r="AH208" i="2"/>
  <c r="AG208" i="2"/>
  <c r="AF208" i="2"/>
  <c r="AE208" i="2"/>
  <c r="AD208" i="2"/>
  <c r="AM207" i="2"/>
  <c r="AL207" i="2"/>
  <c r="AK207" i="2"/>
  <c r="AJ207" i="2"/>
  <c r="AI207" i="2"/>
  <c r="AH207" i="2"/>
  <c r="AG207" i="2"/>
  <c r="AF207" i="2"/>
  <c r="AE207" i="2"/>
  <c r="AD207" i="2"/>
  <c r="AM206" i="2"/>
  <c r="AL206" i="2"/>
  <c r="AK206" i="2"/>
  <c r="AJ206" i="2"/>
  <c r="AI206" i="2"/>
  <c r="AH206" i="2"/>
  <c r="AG206" i="2"/>
  <c r="AF206" i="2"/>
  <c r="AE206" i="2"/>
  <c r="AD206" i="2"/>
  <c r="AM205" i="2"/>
  <c r="AL205" i="2"/>
  <c r="AK205" i="2"/>
  <c r="AJ205" i="2"/>
  <c r="AI205" i="2"/>
  <c r="AH205" i="2"/>
  <c r="AG205" i="2"/>
  <c r="AF205" i="2"/>
  <c r="AE205" i="2"/>
  <c r="AD205" i="2"/>
  <c r="AM204" i="2"/>
  <c r="AL204" i="2"/>
  <c r="AK204" i="2"/>
  <c r="AJ204" i="2"/>
  <c r="AI204" i="2"/>
  <c r="AH204" i="2"/>
  <c r="AG204" i="2"/>
  <c r="AF204" i="2"/>
  <c r="AE204" i="2"/>
  <c r="AD204" i="2"/>
  <c r="AM203" i="2"/>
  <c r="AL203" i="2"/>
  <c r="AK203" i="2"/>
  <c r="AJ203" i="2"/>
  <c r="AI203" i="2"/>
  <c r="AH203" i="2"/>
  <c r="AG203" i="2"/>
  <c r="AF203" i="2"/>
  <c r="AE203" i="2"/>
  <c r="AD203" i="2"/>
  <c r="AM202" i="2"/>
  <c r="AL202" i="2"/>
  <c r="AK202" i="2"/>
  <c r="AJ202" i="2"/>
  <c r="AI202" i="2"/>
  <c r="AH202" i="2"/>
  <c r="AG202" i="2"/>
  <c r="AF202" i="2"/>
  <c r="AE202" i="2"/>
  <c r="AD202" i="2"/>
  <c r="AM201" i="2"/>
  <c r="AL201" i="2"/>
  <c r="AK201" i="2"/>
  <c r="AJ201" i="2"/>
  <c r="AI201" i="2"/>
  <c r="AH201" i="2"/>
  <c r="AG201" i="2"/>
  <c r="AF201" i="2"/>
  <c r="AE201" i="2"/>
  <c r="AD201" i="2"/>
  <c r="AM200" i="2"/>
  <c r="AL200" i="2"/>
  <c r="AK200" i="2"/>
  <c r="AJ200" i="2"/>
  <c r="AI200" i="2"/>
  <c r="AH200" i="2"/>
  <c r="AG200" i="2"/>
  <c r="AF200" i="2"/>
  <c r="AE200" i="2"/>
  <c r="AD200" i="2"/>
  <c r="AM199" i="2"/>
  <c r="AL199" i="2"/>
  <c r="AK199" i="2"/>
  <c r="AJ199" i="2"/>
  <c r="AI199" i="2"/>
  <c r="AH199" i="2"/>
  <c r="AG199" i="2"/>
  <c r="AF199" i="2"/>
  <c r="AE199" i="2"/>
  <c r="AD199" i="2"/>
  <c r="AM198" i="2"/>
  <c r="AL198" i="2"/>
  <c r="AK198" i="2"/>
  <c r="AJ198" i="2"/>
  <c r="AI198" i="2"/>
  <c r="AH198" i="2"/>
  <c r="AG198" i="2"/>
  <c r="AF198" i="2"/>
  <c r="AE198" i="2"/>
  <c r="AD198" i="2"/>
  <c r="AM197" i="2"/>
  <c r="AL197" i="2"/>
  <c r="AK197" i="2"/>
  <c r="AJ197" i="2"/>
  <c r="AI197" i="2"/>
  <c r="AH197" i="2"/>
  <c r="AG197" i="2"/>
  <c r="AF197" i="2"/>
  <c r="AE197" i="2"/>
  <c r="AD197" i="2"/>
  <c r="AM196" i="2"/>
  <c r="AL196" i="2"/>
  <c r="AK196" i="2"/>
  <c r="AJ196" i="2"/>
  <c r="AI196" i="2"/>
  <c r="AH196" i="2"/>
  <c r="AG196" i="2"/>
  <c r="AF196" i="2"/>
  <c r="AE196" i="2"/>
  <c r="AD196" i="2"/>
  <c r="AM195" i="2"/>
  <c r="AL195" i="2"/>
  <c r="AK195" i="2"/>
  <c r="AJ195" i="2"/>
  <c r="AI195" i="2"/>
  <c r="AH195" i="2"/>
  <c r="AG195" i="2"/>
  <c r="AF195" i="2"/>
  <c r="AE195" i="2"/>
  <c r="AD195" i="2"/>
  <c r="AM194" i="2"/>
  <c r="AL194" i="2"/>
  <c r="AK194" i="2"/>
  <c r="AJ194" i="2"/>
  <c r="AI194" i="2"/>
  <c r="AH194" i="2"/>
  <c r="AG194" i="2"/>
  <c r="AF194" i="2"/>
  <c r="AE194" i="2"/>
  <c r="AD194" i="2"/>
  <c r="AM193" i="2"/>
  <c r="AL193" i="2"/>
  <c r="AK193" i="2"/>
  <c r="AJ193" i="2"/>
  <c r="AI193" i="2"/>
  <c r="AH193" i="2"/>
  <c r="AG193" i="2"/>
  <c r="AF193" i="2"/>
  <c r="AE193" i="2"/>
  <c r="AD193" i="2"/>
  <c r="AM192" i="2"/>
  <c r="AL192" i="2"/>
  <c r="AK192" i="2"/>
  <c r="AJ192" i="2"/>
  <c r="AI192" i="2"/>
  <c r="AH192" i="2"/>
  <c r="AG192" i="2"/>
  <c r="AF192" i="2"/>
  <c r="AE192" i="2"/>
  <c r="AD192" i="2"/>
  <c r="AM191" i="2"/>
  <c r="AL191" i="2"/>
  <c r="AK191" i="2"/>
  <c r="AJ191" i="2"/>
  <c r="AI191" i="2"/>
  <c r="AH191" i="2"/>
  <c r="AG191" i="2"/>
  <c r="AF191" i="2"/>
  <c r="AE191" i="2"/>
  <c r="AD191" i="2"/>
  <c r="AM190" i="2"/>
  <c r="AL190" i="2"/>
  <c r="AK190" i="2"/>
  <c r="AJ190" i="2"/>
  <c r="AI190" i="2"/>
  <c r="AH190" i="2"/>
  <c r="AG190" i="2"/>
  <c r="AF190" i="2"/>
  <c r="AE190" i="2"/>
  <c r="AD190" i="2"/>
  <c r="AM189" i="2"/>
  <c r="AL189" i="2"/>
  <c r="AK189" i="2"/>
  <c r="AJ189" i="2"/>
  <c r="AI189" i="2"/>
  <c r="AH189" i="2"/>
  <c r="AG189" i="2"/>
  <c r="AF189" i="2"/>
  <c r="AE189" i="2"/>
  <c r="AD189" i="2"/>
  <c r="AM188" i="2"/>
  <c r="AL188" i="2"/>
  <c r="AK188" i="2"/>
  <c r="AJ188" i="2"/>
  <c r="AI188" i="2"/>
  <c r="AH188" i="2"/>
  <c r="AG188" i="2"/>
  <c r="AF188" i="2"/>
  <c r="AE188" i="2"/>
  <c r="AD188" i="2"/>
  <c r="AM187" i="2"/>
  <c r="AL187" i="2"/>
  <c r="AK187" i="2"/>
  <c r="AJ187" i="2"/>
  <c r="AI187" i="2"/>
  <c r="AH187" i="2"/>
  <c r="AG187" i="2"/>
  <c r="AF187" i="2"/>
  <c r="AE187" i="2"/>
  <c r="AD187" i="2"/>
  <c r="AM186" i="2"/>
  <c r="AL186" i="2"/>
  <c r="AK186" i="2"/>
  <c r="AJ186" i="2"/>
  <c r="AI186" i="2"/>
  <c r="AH186" i="2"/>
  <c r="AG186" i="2"/>
  <c r="AF186" i="2"/>
  <c r="AE186" i="2"/>
  <c r="AD186" i="2"/>
  <c r="AM185" i="2"/>
  <c r="AL185" i="2"/>
  <c r="AK185" i="2"/>
  <c r="AJ185" i="2"/>
  <c r="AI185" i="2"/>
  <c r="AH185" i="2"/>
  <c r="AG185" i="2"/>
  <c r="AF185" i="2"/>
  <c r="AE185" i="2"/>
  <c r="AD185" i="2"/>
  <c r="AM184" i="2"/>
  <c r="AL184" i="2"/>
  <c r="AK184" i="2"/>
  <c r="AJ184" i="2"/>
  <c r="AI184" i="2"/>
  <c r="AH184" i="2"/>
  <c r="AG184" i="2"/>
  <c r="AF184" i="2"/>
  <c r="AE184" i="2"/>
  <c r="AD184" i="2"/>
  <c r="AM183" i="2"/>
  <c r="AL183" i="2"/>
  <c r="AK183" i="2"/>
  <c r="AJ183" i="2"/>
  <c r="AI183" i="2"/>
  <c r="AH183" i="2"/>
  <c r="AG183" i="2"/>
  <c r="AF183" i="2"/>
  <c r="AE183" i="2"/>
  <c r="AD183" i="2"/>
  <c r="AM182" i="2"/>
  <c r="AL182" i="2"/>
  <c r="AK182" i="2"/>
  <c r="AJ182" i="2"/>
  <c r="AI182" i="2"/>
  <c r="AH182" i="2"/>
  <c r="AG182" i="2"/>
  <c r="AF182" i="2"/>
  <c r="AE182" i="2"/>
  <c r="AD182" i="2"/>
  <c r="AM181" i="2"/>
  <c r="AL181" i="2"/>
  <c r="AK181" i="2"/>
  <c r="AJ181" i="2"/>
  <c r="AI181" i="2"/>
  <c r="AH181" i="2"/>
  <c r="AG181" i="2"/>
  <c r="AF181" i="2"/>
  <c r="AE181" i="2"/>
  <c r="AD181" i="2"/>
  <c r="AM180" i="2"/>
  <c r="AL180" i="2"/>
  <c r="AK180" i="2"/>
  <c r="AJ180" i="2"/>
  <c r="AI180" i="2"/>
  <c r="AH180" i="2"/>
  <c r="AG180" i="2"/>
  <c r="AF180" i="2"/>
  <c r="AE180" i="2"/>
  <c r="AD180" i="2"/>
  <c r="AM179" i="2"/>
  <c r="AL179" i="2"/>
  <c r="AK179" i="2"/>
  <c r="AJ179" i="2"/>
  <c r="AI179" i="2"/>
  <c r="AH179" i="2"/>
  <c r="AG179" i="2"/>
  <c r="AF179" i="2"/>
  <c r="AE179" i="2"/>
  <c r="AD179" i="2"/>
  <c r="AM178" i="2"/>
  <c r="AL178" i="2"/>
  <c r="AK178" i="2"/>
  <c r="AJ178" i="2"/>
  <c r="AI178" i="2"/>
  <c r="AH178" i="2"/>
  <c r="AG178" i="2"/>
  <c r="AF178" i="2"/>
  <c r="AE178" i="2"/>
  <c r="AD178" i="2"/>
  <c r="AM177" i="2"/>
  <c r="AL177" i="2"/>
  <c r="AK177" i="2"/>
  <c r="AJ177" i="2"/>
  <c r="AI177" i="2"/>
  <c r="AH177" i="2"/>
  <c r="AG177" i="2"/>
  <c r="AF177" i="2"/>
  <c r="AE177" i="2"/>
  <c r="AD177" i="2"/>
  <c r="AM176" i="2"/>
  <c r="AL176" i="2"/>
  <c r="AK176" i="2"/>
  <c r="AJ176" i="2"/>
  <c r="AI176" i="2"/>
  <c r="AH176" i="2"/>
  <c r="AG176" i="2"/>
  <c r="AF176" i="2"/>
  <c r="AE176" i="2"/>
  <c r="AD176" i="2"/>
  <c r="AM175" i="2"/>
  <c r="AL175" i="2"/>
  <c r="AK175" i="2"/>
  <c r="AJ175" i="2"/>
  <c r="AI175" i="2"/>
  <c r="AH175" i="2"/>
  <c r="AG175" i="2"/>
  <c r="AF175" i="2"/>
  <c r="AE175" i="2"/>
  <c r="AD175" i="2"/>
  <c r="AM174" i="2"/>
  <c r="AL174" i="2"/>
  <c r="AK174" i="2"/>
  <c r="AJ174" i="2"/>
  <c r="AI174" i="2"/>
  <c r="AH174" i="2"/>
  <c r="AG174" i="2"/>
  <c r="AF174" i="2"/>
  <c r="AE174" i="2"/>
  <c r="AD174" i="2"/>
  <c r="AM173" i="2"/>
  <c r="AL173" i="2"/>
  <c r="AK173" i="2"/>
  <c r="AJ173" i="2"/>
  <c r="AI173" i="2"/>
  <c r="AH173" i="2"/>
  <c r="AG173" i="2"/>
  <c r="AF173" i="2"/>
  <c r="AE173" i="2"/>
  <c r="AD173" i="2"/>
  <c r="AM172" i="2"/>
  <c r="AL172" i="2"/>
  <c r="AK172" i="2"/>
  <c r="AJ172" i="2"/>
  <c r="AI172" i="2"/>
  <c r="AH172" i="2"/>
  <c r="AG172" i="2"/>
  <c r="AF172" i="2"/>
  <c r="AE172" i="2"/>
  <c r="AD172" i="2"/>
  <c r="AM171" i="2"/>
  <c r="AL171" i="2"/>
  <c r="AK171" i="2"/>
  <c r="AJ171" i="2"/>
  <c r="AI171" i="2"/>
  <c r="AH171" i="2"/>
  <c r="AG171" i="2"/>
  <c r="AF171" i="2"/>
  <c r="AE171" i="2"/>
  <c r="AD171" i="2"/>
  <c r="AM170" i="2"/>
  <c r="AL170" i="2"/>
  <c r="AK170" i="2"/>
  <c r="AJ170" i="2"/>
  <c r="AI170" i="2"/>
  <c r="AH170" i="2"/>
  <c r="AG170" i="2"/>
  <c r="AF170" i="2"/>
  <c r="AE170" i="2"/>
  <c r="AD170" i="2"/>
  <c r="AM169" i="2"/>
  <c r="AL169" i="2"/>
  <c r="AK169" i="2"/>
  <c r="AJ169" i="2"/>
  <c r="AI169" i="2"/>
  <c r="AH169" i="2"/>
  <c r="AG169" i="2"/>
  <c r="AF169" i="2"/>
  <c r="AE169" i="2"/>
  <c r="AD169" i="2"/>
  <c r="AM168" i="2"/>
  <c r="AL168" i="2"/>
  <c r="AK168" i="2"/>
  <c r="AJ168" i="2"/>
  <c r="AI168" i="2"/>
  <c r="AH168" i="2"/>
  <c r="AG168" i="2"/>
  <c r="AF168" i="2"/>
  <c r="AE168" i="2"/>
  <c r="AD168" i="2"/>
  <c r="AM167" i="2"/>
  <c r="AL167" i="2"/>
  <c r="AK167" i="2"/>
  <c r="AJ167" i="2"/>
  <c r="AI167" i="2"/>
  <c r="AH167" i="2"/>
  <c r="AG167" i="2"/>
  <c r="AF167" i="2"/>
  <c r="AE167" i="2"/>
  <c r="AD167" i="2"/>
  <c r="AM166" i="2"/>
  <c r="AL166" i="2"/>
  <c r="AK166" i="2"/>
  <c r="AJ166" i="2"/>
  <c r="AI166" i="2"/>
  <c r="AH166" i="2"/>
  <c r="AG166" i="2"/>
  <c r="AF166" i="2"/>
  <c r="AE166" i="2"/>
  <c r="AD166" i="2"/>
  <c r="AM165" i="2"/>
  <c r="AL165" i="2"/>
  <c r="AK165" i="2"/>
  <c r="AJ165" i="2"/>
  <c r="AI165" i="2"/>
  <c r="AH165" i="2"/>
  <c r="AG165" i="2"/>
  <c r="AF165" i="2"/>
  <c r="AE165" i="2"/>
  <c r="AD165" i="2"/>
  <c r="AM164" i="2"/>
  <c r="AL164" i="2"/>
  <c r="AK164" i="2"/>
  <c r="AJ164" i="2"/>
  <c r="AI164" i="2"/>
  <c r="AH164" i="2"/>
  <c r="AG164" i="2"/>
  <c r="AF164" i="2"/>
  <c r="AE164" i="2"/>
  <c r="AD164" i="2"/>
  <c r="AM163" i="2"/>
  <c r="AL163" i="2"/>
  <c r="AK163" i="2"/>
  <c r="AJ163" i="2"/>
  <c r="AI163" i="2"/>
  <c r="AH163" i="2"/>
  <c r="AG163" i="2"/>
  <c r="AF163" i="2"/>
  <c r="AE163" i="2"/>
  <c r="AD163" i="2"/>
  <c r="AM162" i="2"/>
  <c r="AL162" i="2"/>
  <c r="AK162" i="2"/>
  <c r="AJ162" i="2"/>
  <c r="AI162" i="2"/>
  <c r="AH162" i="2"/>
  <c r="AG162" i="2"/>
  <c r="AF162" i="2"/>
  <c r="AE162" i="2"/>
  <c r="AD162" i="2"/>
  <c r="AM161" i="2"/>
  <c r="AL161" i="2"/>
  <c r="AK161" i="2"/>
  <c r="AJ161" i="2"/>
  <c r="AI161" i="2"/>
  <c r="AH161" i="2"/>
  <c r="AG161" i="2"/>
  <c r="AF161" i="2"/>
  <c r="AE161" i="2"/>
  <c r="AD161" i="2"/>
  <c r="AM160" i="2"/>
  <c r="AL160" i="2"/>
  <c r="AK160" i="2"/>
  <c r="AJ160" i="2"/>
  <c r="AI160" i="2"/>
  <c r="AH160" i="2"/>
  <c r="AG160" i="2"/>
  <c r="AF160" i="2"/>
  <c r="AE160" i="2"/>
  <c r="AD160" i="2"/>
  <c r="AM159" i="2"/>
  <c r="AL159" i="2"/>
  <c r="AK159" i="2"/>
  <c r="AJ159" i="2"/>
  <c r="AI159" i="2"/>
  <c r="AH159" i="2"/>
  <c r="AG159" i="2"/>
  <c r="AF159" i="2"/>
  <c r="AE159" i="2"/>
  <c r="AD159" i="2"/>
  <c r="AM158" i="2"/>
  <c r="AL158" i="2"/>
  <c r="AK158" i="2"/>
  <c r="AJ158" i="2"/>
  <c r="AI158" i="2"/>
  <c r="AH158" i="2"/>
  <c r="AG158" i="2"/>
  <c r="AF158" i="2"/>
  <c r="AE158" i="2"/>
  <c r="AD158" i="2"/>
  <c r="AM157" i="2"/>
  <c r="AL157" i="2"/>
  <c r="AK157" i="2"/>
  <c r="AJ157" i="2"/>
  <c r="AI157" i="2"/>
  <c r="AH157" i="2"/>
  <c r="AG157" i="2"/>
  <c r="AF157" i="2"/>
  <c r="AE157" i="2"/>
  <c r="AD157" i="2"/>
  <c r="AM156" i="2"/>
  <c r="AL156" i="2"/>
  <c r="AK156" i="2"/>
  <c r="AJ156" i="2"/>
  <c r="AI156" i="2"/>
  <c r="AH156" i="2"/>
  <c r="AG156" i="2"/>
  <c r="AF156" i="2"/>
  <c r="AE156" i="2"/>
  <c r="AD156" i="2"/>
  <c r="AM155" i="2"/>
  <c r="AL155" i="2"/>
  <c r="AK155" i="2"/>
  <c r="AJ155" i="2"/>
  <c r="AI155" i="2"/>
  <c r="AH155" i="2"/>
  <c r="AG155" i="2"/>
  <c r="AF155" i="2"/>
  <c r="AE155" i="2"/>
  <c r="AD155" i="2"/>
  <c r="AM154" i="2"/>
  <c r="AL154" i="2"/>
  <c r="AK154" i="2"/>
  <c r="AJ154" i="2"/>
  <c r="AI154" i="2"/>
  <c r="AH154" i="2"/>
  <c r="AG154" i="2"/>
  <c r="AF154" i="2"/>
  <c r="AE154" i="2"/>
  <c r="AD154" i="2"/>
  <c r="AM153" i="2"/>
  <c r="AL153" i="2"/>
  <c r="AK153" i="2"/>
  <c r="AJ153" i="2"/>
  <c r="AI153" i="2"/>
  <c r="AH153" i="2"/>
  <c r="AG153" i="2"/>
  <c r="AF153" i="2"/>
  <c r="AE153" i="2"/>
  <c r="AD153" i="2"/>
  <c r="AM152" i="2"/>
  <c r="AL152" i="2"/>
  <c r="AK152" i="2"/>
  <c r="AJ152" i="2"/>
  <c r="AI152" i="2"/>
  <c r="AH152" i="2"/>
  <c r="AG152" i="2"/>
  <c r="AF152" i="2"/>
  <c r="AE152" i="2"/>
  <c r="AD152" i="2"/>
  <c r="AM151" i="2"/>
  <c r="AL151" i="2"/>
  <c r="AK151" i="2"/>
  <c r="AJ151" i="2"/>
  <c r="AI151" i="2"/>
  <c r="AH151" i="2"/>
  <c r="AG151" i="2"/>
  <c r="AF151" i="2"/>
  <c r="AE151" i="2"/>
  <c r="AD151" i="2"/>
  <c r="AM150" i="2"/>
  <c r="AL150" i="2"/>
  <c r="AK150" i="2"/>
  <c r="AJ150" i="2"/>
  <c r="AI150" i="2"/>
  <c r="AH150" i="2"/>
  <c r="AG150" i="2"/>
  <c r="AF150" i="2"/>
  <c r="AE150" i="2"/>
  <c r="AD150" i="2"/>
  <c r="AM149" i="2"/>
  <c r="AL149" i="2"/>
  <c r="AK149" i="2"/>
  <c r="AJ149" i="2"/>
  <c r="AI149" i="2"/>
  <c r="AH149" i="2"/>
  <c r="AG149" i="2"/>
  <c r="AF149" i="2"/>
  <c r="AE149" i="2"/>
  <c r="AD149" i="2"/>
  <c r="AM148" i="2"/>
  <c r="AL148" i="2"/>
  <c r="AK148" i="2"/>
  <c r="AJ148" i="2"/>
  <c r="AI148" i="2"/>
  <c r="AH148" i="2"/>
  <c r="AG148" i="2"/>
  <c r="AF148" i="2"/>
  <c r="AE148" i="2"/>
  <c r="AD148" i="2"/>
  <c r="AM147" i="2"/>
  <c r="AL147" i="2"/>
  <c r="AK147" i="2"/>
  <c r="AJ147" i="2"/>
  <c r="AI147" i="2"/>
  <c r="AH147" i="2"/>
  <c r="AG147" i="2"/>
  <c r="AF147" i="2"/>
  <c r="AE147" i="2"/>
  <c r="AD147" i="2"/>
  <c r="AM146" i="2"/>
  <c r="AL146" i="2"/>
  <c r="AK146" i="2"/>
  <c r="AJ146" i="2"/>
  <c r="AI146" i="2"/>
  <c r="AH146" i="2"/>
  <c r="AG146" i="2"/>
  <c r="AF146" i="2"/>
  <c r="AE146" i="2"/>
  <c r="AD146" i="2"/>
  <c r="AM145" i="2"/>
  <c r="AL145" i="2"/>
  <c r="AK145" i="2"/>
  <c r="AJ145" i="2"/>
  <c r="AI145" i="2"/>
  <c r="AH145" i="2"/>
  <c r="AG145" i="2"/>
  <c r="AF145" i="2"/>
  <c r="AE145" i="2"/>
  <c r="AD145" i="2"/>
  <c r="AM144" i="2"/>
  <c r="AL144" i="2"/>
  <c r="AK144" i="2"/>
  <c r="AJ144" i="2"/>
  <c r="AI144" i="2"/>
  <c r="AH144" i="2"/>
  <c r="AG144" i="2"/>
  <c r="AF144" i="2"/>
  <c r="AE144" i="2"/>
  <c r="AD144" i="2"/>
  <c r="AM143" i="2"/>
  <c r="AL143" i="2"/>
  <c r="AK143" i="2"/>
  <c r="AJ143" i="2"/>
  <c r="AI143" i="2"/>
  <c r="AH143" i="2"/>
  <c r="AG143" i="2"/>
  <c r="AF143" i="2"/>
  <c r="AE143" i="2"/>
  <c r="AD143" i="2"/>
  <c r="AM142" i="2"/>
  <c r="AL142" i="2"/>
  <c r="AK142" i="2"/>
  <c r="AJ142" i="2"/>
  <c r="AI142" i="2"/>
  <c r="AH142" i="2"/>
  <c r="AG142" i="2"/>
  <c r="AF142" i="2"/>
  <c r="AE142" i="2"/>
  <c r="AD142" i="2"/>
  <c r="AM141" i="2"/>
  <c r="AL141" i="2"/>
  <c r="AK141" i="2"/>
  <c r="AJ141" i="2"/>
  <c r="AI141" i="2"/>
  <c r="AH141" i="2"/>
  <c r="AG141" i="2"/>
  <c r="AF141" i="2"/>
  <c r="AE141" i="2"/>
  <c r="AD141" i="2"/>
  <c r="AM140" i="2"/>
  <c r="AL140" i="2"/>
  <c r="AK140" i="2"/>
  <c r="AJ140" i="2"/>
  <c r="AI140" i="2"/>
  <c r="AH140" i="2"/>
  <c r="AG140" i="2"/>
  <c r="AF140" i="2"/>
  <c r="AE140" i="2"/>
  <c r="AD140" i="2"/>
  <c r="AM139" i="2"/>
  <c r="AL139" i="2"/>
  <c r="AK139" i="2"/>
  <c r="AJ139" i="2"/>
  <c r="AI139" i="2"/>
  <c r="AH139" i="2"/>
  <c r="AG139" i="2"/>
  <c r="AF139" i="2"/>
  <c r="AE139" i="2"/>
  <c r="AD139" i="2"/>
  <c r="AM138" i="2"/>
  <c r="AL138" i="2"/>
  <c r="AK138" i="2"/>
  <c r="AJ138" i="2"/>
  <c r="AI138" i="2"/>
  <c r="AH138" i="2"/>
  <c r="AG138" i="2"/>
  <c r="AF138" i="2"/>
  <c r="AE138" i="2"/>
  <c r="AD138" i="2"/>
  <c r="AM137" i="2"/>
  <c r="AL137" i="2"/>
  <c r="AK137" i="2"/>
  <c r="AJ137" i="2"/>
  <c r="AI137" i="2"/>
  <c r="AH137" i="2"/>
  <c r="AG137" i="2"/>
  <c r="AF137" i="2"/>
  <c r="AE137" i="2"/>
  <c r="AD137" i="2"/>
  <c r="AM136" i="2"/>
  <c r="AL136" i="2"/>
  <c r="AK136" i="2"/>
  <c r="AJ136" i="2"/>
  <c r="AI136" i="2"/>
  <c r="AH136" i="2"/>
  <c r="AG136" i="2"/>
  <c r="AF136" i="2"/>
  <c r="AE136" i="2"/>
  <c r="AD136" i="2"/>
  <c r="AM135" i="2"/>
  <c r="AL135" i="2"/>
  <c r="AK135" i="2"/>
  <c r="AJ135" i="2"/>
  <c r="AI135" i="2"/>
  <c r="AH135" i="2"/>
  <c r="AG135" i="2"/>
  <c r="AF135" i="2"/>
  <c r="AE135" i="2"/>
  <c r="AD135" i="2"/>
  <c r="AM134" i="2"/>
  <c r="AL134" i="2"/>
  <c r="AK134" i="2"/>
  <c r="AJ134" i="2"/>
  <c r="AI134" i="2"/>
  <c r="AH134" i="2"/>
  <c r="AG134" i="2"/>
  <c r="AF134" i="2"/>
  <c r="AE134" i="2"/>
  <c r="AD134" i="2"/>
  <c r="AM133" i="2"/>
  <c r="AL133" i="2"/>
  <c r="AK133" i="2"/>
  <c r="AJ133" i="2"/>
  <c r="AI133" i="2"/>
  <c r="AH133" i="2"/>
  <c r="AG133" i="2"/>
  <c r="AF133" i="2"/>
  <c r="AE133" i="2"/>
  <c r="AD133" i="2"/>
  <c r="AM132" i="2"/>
  <c r="AL132" i="2"/>
  <c r="AK132" i="2"/>
  <c r="AJ132" i="2"/>
  <c r="AI132" i="2"/>
  <c r="AH132" i="2"/>
  <c r="AG132" i="2"/>
  <c r="AF132" i="2"/>
  <c r="AE132" i="2"/>
  <c r="AD132" i="2"/>
  <c r="AM131" i="2"/>
  <c r="AL131" i="2"/>
  <c r="AK131" i="2"/>
  <c r="AJ131" i="2"/>
  <c r="AI131" i="2"/>
  <c r="AH131" i="2"/>
  <c r="AG131" i="2"/>
  <c r="AF131" i="2"/>
  <c r="AE131" i="2"/>
  <c r="AD131" i="2"/>
  <c r="AM130" i="2"/>
  <c r="AL130" i="2"/>
  <c r="AK130" i="2"/>
  <c r="AJ130" i="2"/>
  <c r="AI130" i="2"/>
  <c r="AH130" i="2"/>
  <c r="AG130" i="2"/>
  <c r="AF130" i="2"/>
  <c r="AE130" i="2"/>
  <c r="AD130" i="2"/>
  <c r="AM129" i="2"/>
  <c r="AL129" i="2"/>
  <c r="AK129" i="2"/>
  <c r="AJ129" i="2"/>
  <c r="AI129" i="2"/>
  <c r="AH129" i="2"/>
  <c r="AG129" i="2"/>
  <c r="AF129" i="2"/>
  <c r="AE129" i="2"/>
  <c r="AD129" i="2"/>
  <c r="AM128" i="2"/>
  <c r="AL128" i="2"/>
  <c r="AK128" i="2"/>
  <c r="AJ128" i="2"/>
  <c r="AI128" i="2"/>
  <c r="AH128" i="2"/>
  <c r="AG128" i="2"/>
  <c r="AF128" i="2"/>
  <c r="AE128" i="2"/>
  <c r="AD128" i="2"/>
  <c r="AM127" i="2"/>
  <c r="AL127" i="2"/>
  <c r="AK127" i="2"/>
  <c r="AJ127" i="2"/>
  <c r="AI127" i="2"/>
  <c r="AH127" i="2"/>
  <c r="AG127" i="2"/>
  <c r="AF127" i="2"/>
  <c r="AE127" i="2"/>
  <c r="AD127" i="2"/>
  <c r="AM126" i="2"/>
  <c r="AL126" i="2"/>
  <c r="AK126" i="2"/>
  <c r="AJ126" i="2"/>
  <c r="AI126" i="2"/>
  <c r="AH126" i="2"/>
  <c r="AG126" i="2"/>
  <c r="AF126" i="2"/>
  <c r="AE126" i="2"/>
  <c r="AD126" i="2"/>
  <c r="AM125" i="2"/>
  <c r="AL125" i="2"/>
  <c r="AK125" i="2"/>
  <c r="AJ125" i="2"/>
  <c r="AI125" i="2"/>
  <c r="AH125" i="2"/>
  <c r="AG125" i="2"/>
  <c r="AF125" i="2"/>
  <c r="AE125" i="2"/>
  <c r="AD125" i="2"/>
  <c r="AM124" i="2"/>
  <c r="AL124" i="2"/>
  <c r="AK124" i="2"/>
  <c r="AJ124" i="2"/>
  <c r="AI124" i="2"/>
  <c r="AH124" i="2"/>
  <c r="AG124" i="2"/>
  <c r="AF124" i="2"/>
  <c r="AE124" i="2"/>
  <c r="AD124" i="2"/>
  <c r="AM123" i="2"/>
  <c r="AL123" i="2"/>
  <c r="AK123" i="2"/>
  <c r="AJ123" i="2"/>
  <c r="AI123" i="2"/>
  <c r="AH123" i="2"/>
  <c r="AG123" i="2"/>
  <c r="AF123" i="2"/>
  <c r="AE123" i="2"/>
  <c r="AD123" i="2"/>
  <c r="AM122" i="2"/>
  <c r="AL122" i="2"/>
  <c r="AK122" i="2"/>
  <c r="AJ122" i="2"/>
  <c r="AI122" i="2"/>
  <c r="AH122" i="2"/>
  <c r="AG122" i="2"/>
  <c r="AF122" i="2"/>
  <c r="AE122" i="2"/>
  <c r="AD122" i="2"/>
  <c r="AM121" i="2"/>
  <c r="AL121" i="2"/>
  <c r="AK121" i="2"/>
  <c r="AJ121" i="2"/>
  <c r="AI121" i="2"/>
  <c r="AH121" i="2"/>
  <c r="AG121" i="2"/>
  <c r="AF121" i="2"/>
  <c r="AE121" i="2"/>
  <c r="AD121" i="2"/>
  <c r="AM120" i="2"/>
  <c r="AL120" i="2"/>
  <c r="AK120" i="2"/>
  <c r="AJ120" i="2"/>
  <c r="AI120" i="2"/>
  <c r="AH120" i="2"/>
  <c r="AG120" i="2"/>
  <c r="AF120" i="2"/>
  <c r="AE120" i="2"/>
  <c r="AD120" i="2"/>
  <c r="AM119" i="2"/>
  <c r="AL119" i="2"/>
  <c r="AK119" i="2"/>
  <c r="AJ119" i="2"/>
  <c r="AI119" i="2"/>
  <c r="AH119" i="2"/>
  <c r="AG119" i="2"/>
  <c r="AF119" i="2"/>
  <c r="AE119" i="2"/>
  <c r="AD119" i="2"/>
  <c r="AM118" i="2"/>
  <c r="AL118" i="2"/>
  <c r="AK118" i="2"/>
  <c r="AJ118" i="2"/>
  <c r="AI118" i="2"/>
  <c r="AH118" i="2"/>
  <c r="AG118" i="2"/>
  <c r="AF118" i="2"/>
  <c r="AE118" i="2"/>
  <c r="AD118" i="2"/>
  <c r="AM117" i="2"/>
  <c r="AL117" i="2"/>
  <c r="AK117" i="2"/>
  <c r="AJ117" i="2"/>
  <c r="AI117" i="2"/>
  <c r="AH117" i="2"/>
  <c r="AG117" i="2"/>
  <c r="AF117" i="2"/>
  <c r="AE117" i="2"/>
  <c r="AD117" i="2"/>
  <c r="AM116" i="2"/>
  <c r="AL116" i="2"/>
  <c r="AK116" i="2"/>
  <c r="AJ116" i="2"/>
  <c r="AI116" i="2"/>
  <c r="AH116" i="2"/>
  <c r="AG116" i="2"/>
  <c r="AF116" i="2"/>
  <c r="AE116" i="2"/>
  <c r="AD116" i="2"/>
  <c r="AM115" i="2"/>
  <c r="AL115" i="2"/>
  <c r="AK115" i="2"/>
  <c r="AJ115" i="2"/>
  <c r="AI115" i="2"/>
  <c r="AH115" i="2"/>
  <c r="AG115" i="2"/>
  <c r="AF115" i="2"/>
  <c r="AE115" i="2"/>
  <c r="AD115" i="2"/>
  <c r="AM114" i="2"/>
  <c r="AL114" i="2"/>
  <c r="AK114" i="2"/>
  <c r="AJ114" i="2"/>
  <c r="AI114" i="2"/>
  <c r="AH114" i="2"/>
  <c r="AG114" i="2"/>
  <c r="AF114" i="2"/>
  <c r="AE114" i="2"/>
  <c r="AD114" i="2"/>
  <c r="AM113" i="2"/>
  <c r="AL113" i="2"/>
  <c r="AK113" i="2"/>
  <c r="AJ113" i="2"/>
  <c r="AI113" i="2"/>
  <c r="AH113" i="2"/>
  <c r="AG113" i="2"/>
  <c r="AF113" i="2"/>
  <c r="AE113" i="2"/>
  <c r="AD113" i="2"/>
  <c r="AM112" i="2"/>
  <c r="AL112" i="2"/>
  <c r="AK112" i="2"/>
  <c r="AJ112" i="2"/>
  <c r="AI112" i="2"/>
  <c r="AH112" i="2"/>
  <c r="AG112" i="2"/>
  <c r="AF112" i="2"/>
  <c r="AE112" i="2"/>
  <c r="AD112" i="2"/>
  <c r="AM111" i="2"/>
  <c r="AL111" i="2"/>
  <c r="AK111" i="2"/>
  <c r="AJ111" i="2"/>
  <c r="AI111" i="2"/>
  <c r="AH111" i="2"/>
  <c r="AG111" i="2"/>
  <c r="AF111" i="2"/>
  <c r="AE111" i="2"/>
  <c r="AD111" i="2"/>
  <c r="AM110" i="2"/>
  <c r="AL110" i="2"/>
  <c r="AK110" i="2"/>
  <c r="AJ110" i="2"/>
  <c r="AI110" i="2"/>
  <c r="AH110" i="2"/>
  <c r="AG110" i="2"/>
  <c r="AF110" i="2"/>
  <c r="AE110" i="2"/>
  <c r="AD110" i="2"/>
  <c r="AM109" i="2"/>
  <c r="AL109" i="2"/>
  <c r="AK109" i="2"/>
  <c r="AJ109" i="2"/>
  <c r="AI109" i="2"/>
  <c r="AH109" i="2"/>
  <c r="AG109" i="2"/>
  <c r="AF109" i="2"/>
  <c r="AE109" i="2"/>
  <c r="AD109" i="2"/>
  <c r="AM108" i="2"/>
  <c r="AL108" i="2"/>
  <c r="AK108" i="2"/>
  <c r="AJ108" i="2"/>
  <c r="AI108" i="2"/>
  <c r="AH108" i="2"/>
  <c r="AG108" i="2"/>
  <c r="AF108" i="2"/>
  <c r="AE108" i="2"/>
  <c r="AD108" i="2"/>
  <c r="AM107" i="2"/>
  <c r="AL107" i="2"/>
  <c r="AK107" i="2"/>
  <c r="AJ107" i="2"/>
  <c r="AI107" i="2"/>
  <c r="AH107" i="2"/>
  <c r="AG107" i="2"/>
  <c r="AF107" i="2"/>
  <c r="AE107" i="2"/>
  <c r="AD107" i="2"/>
  <c r="AM106" i="2"/>
  <c r="AL106" i="2"/>
  <c r="AK106" i="2"/>
  <c r="AJ106" i="2"/>
  <c r="AI106" i="2"/>
  <c r="AH106" i="2"/>
  <c r="AG106" i="2"/>
  <c r="AF106" i="2"/>
  <c r="AE106" i="2"/>
  <c r="AD106" i="2"/>
  <c r="AM105" i="2"/>
  <c r="AL105" i="2"/>
  <c r="AK105" i="2"/>
  <c r="AJ105" i="2"/>
  <c r="AI105" i="2"/>
  <c r="AH105" i="2"/>
  <c r="AG105" i="2"/>
  <c r="AF105" i="2"/>
  <c r="AE105" i="2"/>
  <c r="AD105" i="2"/>
  <c r="AM104" i="2"/>
  <c r="AL104" i="2"/>
  <c r="AK104" i="2"/>
  <c r="AJ104" i="2"/>
  <c r="AI104" i="2"/>
  <c r="AH104" i="2"/>
  <c r="AG104" i="2"/>
  <c r="AF104" i="2"/>
  <c r="AE104" i="2"/>
  <c r="AD104" i="2"/>
  <c r="AM103" i="2"/>
  <c r="AL103" i="2"/>
  <c r="AK103" i="2"/>
  <c r="AJ103" i="2"/>
  <c r="AI103" i="2"/>
  <c r="AH103" i="2"/>
  <c r="AG103" i="2"/>
  <c r="AF103" i="2"/>
  <c r="AE103" i="2"/>
  <c r="AD103" i="2"/>
  <c r="AM102" i="2"/>
  <c r="AL102" i="2"/>
  <c r="AK102" i="2"/>
  <c r="AJ102" i="2"/>
  <c r="AI102" i="2"/>
  <c r="AH102" i="2"/>
  <c r="AG102" i="2"/>
  <c r="AF102" i="2"/>
  <c r="AE102" i="2"/>
  <c r="AD102" i="2"/>
  <c r="AM101" i="2"/>
  <c r="AL101" i="2"/>
  <c r="AK101" i="2"/>
  <c r="AJ101" i="2"/>
  <c r="AI101" i="2"/>
  <c r="AH101" i="2"/>
  <c r="AG101" i="2"/>
  <c r="AF101" i="2"/>
  <c r="AE101" i="2"/>
  <c r="AD101" i="2"/>
  <c r="AM100" i="2"/>
  <c r="AL100" i="2"/>
  <c r="AK100" i="2"/>
  <c r="AJ100" i="2"/>
  <c r="AI100" i="2"/>
  <c r="AH100" i="2"/>
  <c r="AG100" i="2"/>
  <c r="AF100" i="2"/>
  <c r="AE100" i="2"/>
  <c r="AD100" i="2"/>
  <c r="AM99" i="2"/>
  <c r="AL99" i="2"/>
  <c r="AK99" i="2"/>
  <c r="AJ99" i="2"/>
  <c r="AI99" i="2"/>
  <c r="AH99" i="2"/>
  <c r="AG99" i="2"/>
  <c r="AF99" i="2"/>
  <c r="AE99" i="2"/>
  <c r="AD99" i="2"/>
  <c r="AM98" i="2"/>
  <c r="AL98" i="2"/>
  <c r="AK98" i="2"/>
  <c r="AJ98" i="2"/>
  <c r="AI98" i="2"/>
  <c r="AH98" i="2"/>
  <c r="AG98" i="2"/>
  <c r="AF98" i="2"/>
  <c r="AE98" i="2"/>
  <c r="AD98" i="2"/>
  <c r="AM97" i="2"/>
  <c r="AL97" i="2"/>
  <c r="AK97" i="2"/>
  <c r="AJ97" i="2"/>
  <c r="AI97" i="2"/>
  <c r="AH97" i="2"/>
  <c r="AG97" i="2"/>
  <c r="AF97" i="2"/>
  <c r="AE97" i="2"/>
  <c r="AD97" i="2"/>
  <c r="AM96" i="2"/>
  <c r="AL96" i="2"/>
  <c r="AK96" i="2"/>
  <c r="AJ96" i="2"/>
  <c r="AI96" i="2"/>
  <c r="AH96" i="2"/>
  <c r="AG96" i="2"/>
  <c r="AF96" i="2"/>
  <c r="AE96" i="2"/>
  <c r="AD96" i="2"/>
  <c r="AM95" i="2"/>
  <c r="AL95" i="2"/>
  <c r="AK95" i="2"/>
  <c r="AJ95" i="2"/>
  <c r="AI95" i="2"/>
  <c r="AH95" i="2"/>
  <c r="AG95" i="2"/>
  <c r="AF95" i="2"/>
  <c r="AE95" i="2"/>
  <c r="AD95" i="2"/>
  <c r="AM94" i="2"/>
  <c r="AL94" i="2"/>
  <c r="AK94" i="2"/>
  <c r="AJ94" i="2"/>
  <c r="AI94" i="2"/>
  <c r="AH94" i="2"/>
  <c r="AG94" i="2"/>
  <c r="AF94" i="2"/>
  <c r="AE94" i="2"/>
  <c r="AD94" i="2"/>
  <c r="AM93" i="2"/>
  <c r="AL93" i="2"/>
  <c r="AK93" i="2"/>
  <c r="AJ93" i="2"/>
  <c r="AI93" i="2"/>
  <c r="AH93" i="2"/>
  <c r="AG93" i="2"/>
  <c r="AF93" i="2"/>
  <c r="AE93" i="2"/>
  <c r="AD93" i="2"/>
  <c r="AM92" i="2"/>
  <c r="AL92" i="2"/>
  <c r="AK92" i="2"/>
  <c r="AJ92" i="2"/>
  <c r="AI92" i="2"/>
  <c r="AH92" i="2"/>
  <c r="AG92" i="2"/>
  <c r="AF92" i="2"/>
  <c r="AE92" i="2"/>
  <c r="AD92" i="2"/>
  <c r="AM91" i="2"/>
  <c r="AL91" i="2"/>
  <c r="AK91" i="2"/>
  <c r="AJ91" i="2"/>
  <c r="AI91" i="2"/>
  <c r="AH91" i="2"/>
  <c r="AG91" i="2"/>
  <c r="AF91" i="2"/>
  <c r="AE91" i="2"/>
  <c r="AD91" i="2"/>
  <c r="AM90" i="2"/>
  <c r="AL90" i="2"/>
  <c r="AK90" i="2"/>
  <c r="AJ90" i="2"/>
  <c r="AI90" i="2"/>
  <c r="AH90" i="2"/>
  <c r="AG90" i="2"/>
  <c r="AF90" i="2"/>
  <c r="AE90" i="2"/>
  <c r="AD90" i="2"/>
  <c r="AM89" i="2"/>
  <c r="AL89" i="2"/>
  <c r="AK89" i="2"/>
  <c r="AJ89" i="2"/>
  <c r="AI89" i="2"/>
  <c r="AH89" i="2"/>
  <c r="AG89" i="2"/>
  <c r="AF89" i="2"/>
  <c r="AE89" i="2"/>
  <c r="AD89" i="2"/>
  <c r="AM88" i="2"/>
  <c r="AL88" i="2"/>
  <c r="AK88" i="2"/>
  <c r="AJ88" i="2"/>
  <c r="AI88" i="2"/>
  <c r="AH88" i="2"/>
  <c r="AG88" i="2"/>
  <c r="AF88" i="2"/>
  <c r="AE88" i="2"/>
  <c r="AD88" i="2"/>
  <c r="AM87" i="2"/>
  <c r="AL87" i="2"/>
  <c r="AK87" i="2"/>
  <c r="AJ87" i="2"/>
  <c r="AI87" i="2"/>
  <c r="AH87" i="2"/>
  <c r="AG87" i="2"/>
  <c r="AF87" i="2"/>
  <c r="AE87" i="2"/>
  <c r="AD87" i="2"/>
  <c r="AM86" i="2"/>
  <c r="AL86" i="2"/>
  <c r="AK86" i="2"/>
  <c r="AJ86" i="2"/>
  <c r="AI86" i="2"/>
  <c r="AH86" i="2"/>
  <c r="AG86" i="2"/>
  <c r="AF86" i="2"/>
  <c r="AE86" i="2"/>
  <c r="AD86" i="2"/>
  <c r="AM85" i="2"/>
  <c r="AL85" i="2"/>
  <c r="AK85" i="2"/>
  <c r="AJ85" i="2"/>
  <c r="AI85" i="2"/>
  <c r="AH85" i="2"/>
  <c r="AG85" i="2"/>
  <c r="AF85" i="2"/>
  <c r="AE85" i="2"/>
  <c r="AD85" i="2"/>
  <c r="AM84" i="2"/>
  <c r="AL84" i="2"/>
  <c r="AK84" i="2"/>
  <c r="AJ84" i="2"/>
  <c r="AI84" i="2"/>
  <c r="AH84" i="2"/>
  <c r="AG84" i="2"/>
  <c r="AF84" i="2"/>
  <c r="AE84" i="2"/>
  <c r="AD84" i="2"/>
  <c r="AM83" i="2"/>
  <c r="AL83" i="2"/>
  <c r="AK83" i="2"/>
  <c r="AJ83" i="2"/>
  <c r="AI83" i="2"/>
  <c r="AH83" i="2"/>
  <c r="AG83" i="2"/>
  <c r="AF83" i="2"/>
  <c r="AE83" i="2"/>
  <c r="AD83" i="2"/>
  <c r="AM82" i="2"/>
  <c r="AL82" i="2"/>
  <c r="AK82" i="2"/>
  <c r="AJ82" i="2"/>
  <c r="AI82" i="2"/>
  <c r="AH82" i="2"/>
  <c r="AG82" i="2"/>
  <c r="AF82" i="2"/>
  <c r="AE82" i="2"/>
  <c r="AD82" i="2"/>
  <c r="AM81" i="2"/>
  <c r="AL81" i="2"/>
  <c r="AK81" i="2"/>
  <c r="AJ81" i="2"/>
  <c r="AI81" i="2"/>
  <c r="AH81" i="2"/>
  <c r="AG81" i="2"/>
  <c r="AF81" i="2"/>
  <c r="AE81" i="2"/>
  <c r="AD81" i="2"/>
  <c r="AM80" i="2"/>
  <c r="AL80" i="2"/>
  <c r="AK80" i="2"/>
  <c r="AJ80" i="2"/>
  <c r="AI80" i="2"/>
  <c r="AH80" i="2"/>
  <c r="AG80" i="2"/>
  <c r="AF80" i="2"/>
  <c r="AE80" i="2"/>
  <c r="AD80" i="2"/>
  <c r="AM79" i="2"/>
  <c r="AL79" i="2"/>
  <c r="AK79" i="2"/>
  <c r="AJ79" i="2"/>
  <c r="AI79" i="2"/>
  <c r="AH79" i="2"/>
  <c r="AG79" i="2"/>
  <c r="AF79" i="2"/>
  <c r="AE79" i="2"/>
  <c r="AD79" i="2"/>
  <c r="AM78" i="2"/>
  <c r="AL78" i="2"/>
  <c r="AK78" i="2"/>
  <c r="AJ78" i="2"/>
  <c r="AI78" i="2"/>
  <c r="AH78" i="2"/>
  <c r="AG78" i="2"/>
  <c r="AF78" i="2"/>
  <c r="AE78" i="2"/>
  <c r="AD78" i="2"/>
  <c r="AM77" i="2"/>
  <c r="AL77" i="2"/>
  <c r="AK77" i="2"/>
  <c r="AJ77" i="2"/>
  <c r="AI77" i="2"/>
  <c r="AH77" i="2"/>
  <c r="AG77" i="2"/>
  <c r="AF77" i="2"/>
  <c r="AE77" i="2"/>
  <c r="AD77" i="2"/>
  <c r="AM76" i="2"/>
  <c r="AL76" i="2"/>
  <c r="AK76" i="2"/>
  <c r="AJ76" i="2"/>
  <c r="AI76" i="2"/>
  <c r="AH76" i="2"/>
  <c r="AG76" i="2"/>
  <c r="AF76" i="2"/>
  <c r="AE76" i="2"/>
  <c r="AD76" i="2"/>
  <c r="AM75" i="2"/>
  <c r="AL75" i="2"/>
  <c r="AK75" i="2"/>
  <c r="AJ75" i="2"/>
  <c r="AI75" i="2"/>
  <c r="AH75" i="2"/>
  <c r="AG75" i="2"/>
  <c r="AF75" i="2"/>
  <c r="AE75" i="2"/>
  <c r="AD75" i="2"/>
  <c r="AM74" i="2"/>
  <c r="AL74" i="2"/>
  <c r="AK74" i="2"/>
  <c r="AJ74" i="2"/>
  <c r="AI74" i="2"/>
  <c r="AH74" i="2"/>
  <c r="AG74" i="2"/>
  <c r="AF74" i="2"/>
  <c r="AE74" i="2"/>
  <c r="AD74" i="2"/>
  <c r="AM73" i="2"/>
  <c r="AL73" i="2"/>
  <c r="AK73" i="2"/>
  <c r="AJ73" i="2"/>
  <c r="AI73" i="2"/>
  <c r="AH73" i="2"/>
  <c r="AG73" i="2"/>
  <c r="AF73" i="2"/>
  <c r="AE73" i="2"/>
  <c r="AD73" i="2"/>
  <c r="AM72" i="2"/>
  <c r="AL72" i="2"/>
  <c r="AK72" i="2"/>
  <c r="AJ72" i="2"/>
  <c r="AI72" i="2"/>
  <c r="AH72" i="2"/>
  <c r="AG72" i="2"/>
  <c r="AF72" i="2"/>
  <c r="AE72" i="2"/>
  <c r="AD72" i="2"/>
  <c r="AM71" i="2"/>
  <c r="AL71" i="2"/>
  <c r="AK71" i="2"/>
  <c r="AJ71" i="2"/>
  <c r="AI71" i="2"/>
  <c r="AH71" i="2"/>
  <c r="AG71" i="2"/>
  <c r="AF71" i="2"/>
  <c r="AE71" i="2"/>
  <c r="AD71" i="2"/>
  <c r="AM70" i="2"/>
  <c r="AL70" i="2"/>
  <c r="AK70" i="2"/>
  <c r="AJ70" i="2"/>
  <c r="AI70" i="2"/>
  <c r="AH70" i="2"/>
  <c r="AG70" i="2"/>
  <c r="AF70" i="2"/>
  <c r="AE70" i="2"/>
  <c r="AD70" i="2"/>
  <c r="AM69" i="2"/>
  <c r="AL69" i="2"/>
  <c r="AK69" i="2"/>
  <c r="AJ69" i="2"/>
  <c r="AI69" i="2"/>
  <c r="AH69" i="2"/>
  <c r="AG69" i="2"/>
  <c r="AF69" i="2"/>
  <c r="AE69" i="2"/>
  <c r="AD69" i="2"/>
  <c r="AM68" i="2"/>
  <c r="AL68" i="2"/>
  <c r="AK68" i="2"/>
  <c r="AJ68" i="2"/>
  <c r="AI68" i="2"/>
  <c r="AH68" i="2"/>
  <c r="AG68" i="2"/>
  <c r="AF68" i="2"/>
  <c r="AE68" i="2"/>
  <c r="AD68" i="2"/>
  <c r="AM67" i="2"/>
  <c r="AL67" i="2"/>
  <c r="AK67" i="2"/>
  <c r="AJ67" i="2"/>
  <c r="AI67" i="2"/>
  <c r="AH67" i="2"/>
  <c r="AG67" i="2"/>
  <c r="AF67" i="2"/>
  <c r="AE67" i="2"/>
  <c r="AD67" i="2"/>
  <c r="AM66" i="2"/>
  <c r="AL66" i="2"/>
  <c r="AK66" i="2"/>
  <c r="AJ66" i="2"/>
  <c r="AI66" i="2"/>
  <c r="AH66" i="2"/>
  <c r="AG66" i="2"/>
  <c r="AF66" i="2"/>
  <c r="AE66" i="2"/>
  <c r="AD66" i="2"/>
  <c r="AM65" i="2"/>
  <c r="AL65" i="2"/>
  <c r="AK65" i="2"/>
  <c r="AJ65" i="2"/>
  <c r="AI65" i="2"/>
  <c r="AH65" i="2"/>
  <c r="AG65" i="2"/>
  <c r="AF65" i="2"/>
  <c r="AE65" i="2"/>
  <c r="AD65" i="2"/>
  <c r="AM64" i="2"/>
  <c r="AL64" i="2"/>
  <c r="AK64" i="2"/>
  <c r="AJ64" i="2"/>
  <c r="AI64" i="2"/>
  <c r="AH64" i="2"/>
  <c r="AG64" i="2"/>
  <c r="AF64" i="2"/>
  <c r="AE64" i="2"/>
  <c r="AD64" i="2"/>
  <c r="AM63" i="2"/>
  <c r="AL63" i="2"/>
  <c r="AK63" i="2"/>
  <c r="AJ63" i="2"/>
  <c r="AI63" i="2"/>
  <c r="AH63" i="2"/>
  <c r="AG63" i="2"/>
  <c r="AF63" i="2"/>
  <c r="AE63" i="2"/>
  <c r="AD63" i="2"/>
  <c r="AM62" i="2"/>
  <c r="AL62" i="2"/>
  <c r="AK62" i="2"/>
  <c r="AJ62" i="2"/>
  <c r="AI62" i="2"/>
  <c r="AH62" i="2"/>
  <c r="AG62" i="2"/>
  <c r="AF62" i="2"/>
  <c r="AE62" i="2"/>
  <c r="AD62" i="2"/>
  <c r="AM61" i="2"/>
  <c r="AL61" i="2"/>
  <c r="AK61" i="2"/>
  <c r="AJ61" i="2"/>
  <c r="AI61" i="2"/>
  <c r="AH61" i="2"/>
  <c r="AG61" i="2"/>
  <c r="AF61" i="2"/>
  <c r="AE61" i="2"/>
  <c r="AD61" i="2"/>
  <c r="AM60" i="2"/>
  <c r="AL60" i="2"/>
  <c r="AK60" i="2"/>
  <c r="AJ60" i="2"/>
  <c r="AI60" i="2"/>
  <c r="AH60" i="2"/>
  <c r="AG60" i="2"/>
  <c r="AF60" i="2"/>
  <c r="AE60" i="2"/>
  <c r="AD60" i="2"/>
  <c r="AM59" i="2"/>
  <c r="AL59" i="2"/>
  <c r="AK59" i="2"/>
  <c r="AJ59" i="2"/>
  <c r="AI59" i="2"/>
  <c r="AH59" i="2"/>
  <c r="AG59" i="2"/>
  <c r="AF59" i="2"/>
  <c r="AE59" i="2"/>
  <c r="AD59" i="2"/>
  <c r="AM58" i="2"/>
  <c r="AL58" i="2"/>
  <c r="AK58" i="2"/>
  <c r="AJ58" i="2"/>
  <c r="AI58" i="2"/>
  <c r="AH58" i="2"/>
  <c r="AG58" i="2"/>
  <c r="AF58" i="2"/>
  <c r="AE58" i="2"/>
  <c r="AD58" i="2"/>
  <c r="AM57" i="2"/>
  <c r="AL57" i="2"/>
  <c r="AK57" i="2"/>
  <c r="AJ57" i="2"/>
  <c r="AI57" i="2"/>
  <c r="AH57" i="2"/>
  <c r="AG57" i="2"/>
  <c r="AF57" i="2"/>
  <c r="AE57" i="2"/>
  <c r="AD57" i="2"/>
  <c r="AM56" i="2"/>
  <c r="AL56" i="2"/>
  <c r="AK56" i="2"/>
  <c r="AJ56" i="2"/>
  <c r="AI56" i="2"/>
  <c r="AH56" i="2"/>
  <c r="AG56" i="2"/>
  <c r="AF56" i="2"/>
  <c r="AE56" i="2"/>
  <c r="AD56" i="2"/>
  <c r="AM55" i="2"/>
  <c r="AL55" i="2"/>
  <c r="AK55" i="2"/>
  <c r="AJ55" i="2"/>
  <c r="AI55" i="2"/>
  <c r="AH55" i="2"/>
  <c r="AG55" i="2"/>
  <c r="AF55" i="2"/>
  <c r="AE55" i="2"/>
  <c r="AD55" i="2"/>
  <c r="AM54" i="2"/>
  <c r="AL54" i="2"/>
  <c r="AK54" i="2"/>
  <c r="AJ54" i="2"/>
  <c r="AI54" i="2"/>
  <c r="AH54" i="2"/>
  <c r="AG54" i="2"/>
  <c r="AF54" i="2"/>
  <c r="AE54" i="2"/>
  <c r="AD54" i="2"/>
  <c r="AM53" i="2"/>
  <c r="AL53" i="2"/>
  <c r="AK53" i="2"/>
  <c r="AJ53" i="2"/>
  <c r="AI53" i="2"/>
  <c r="AH53" i="2"/>
  <c r="AG53" i="2"/>
  <c r="AF53" i="2"/>
  <c r="AE53" i="2"/>
  <c r="AD53" i="2"/>
  <c r="AM52" i="2"/>
  <c r="AL52" i="2"/>
  <c r="AK52" i="2"/>
  <c r="AJ52" i="2"/>
  <c r="AI52" i="2"/>
  <c r="AH52" i="2"/>
  <c r="AG52" i="2"/>
  <c r="AF52" i="2"/>
  <c r="AE52" i="2"/>
  <c r="AD52" i="2"/>
  <c r="AM51" i="2"/>
  <c r="AL51" i="2"/>
  <c r="AK51" i="2"/>
  <c r="AJ51" i="2"/>
  <c r="AI51" i="2"/>
  <c r="AH51" i="2"/>
  <c r="AG51" i="2"/>
  <c r="AF51" i="2"/>
  <c r="AE51" i="2"/>
  <c r="AD51" i="2"/>
  <c r="AM50" i="2"/>
  <c r="AL50" i="2"/>
  <c r="AK50" i="2"/>
  <c r="AJ50" i="2"/>
  <c r="AI50" i="2"/>
  <c r="AH50" i="2"/>
  <c r="AG50" i="2"/>
  <c r="AF50" i="2"/>
  <c r="AE50" i="2"/>
  <c r="AD50" i="2"/>
  <c r="AM49" i="2"/>
  <c r="AL49" i="2"/>
  <c r="AK49" i="2"/>
  <c r="AJ49" i="2"/>
  <c r="AI49" i="2"/>
  <c r="AH49" i="2"/>
  <c r="AG49" i="2"/>
  <c r="AF49" i="2"/>
  <c r="AE49" i="2"/>
  <c r="AD49" i="2"/>
  <c r="AM48" i="2"/>
  <c r="AL48" i="2"/>
  <c r="AK48" i="2"/>
  <c r="AJ48" i="2"/>
  <c r="AI48" i="2"/>
  <c r="AH48" i="2"/>
  <c r="AG48" i="2"/>
  <c r="AF48" i="2"/>
  <c r="AE48" i="2"/>
  <c r="AD48" i="2"/>
  <c r="AM47" i="2"/>
  <c r="AL47" i="2"/>
  <c r="AK47" i="2"/>
  <c r="AJ47" i="2"/>
  <c r="AI47" i="2"/>
  <c r="AH47" i="2"/>
  <c r="AG47" i="2"/>
  <c r="AF47" i="2"/>
  <c r="AE47" i="2"/>
  <c r="AD47" i="2"/>
  <c r="AM46" i="2"/>
  <c r="AL46" i="2"/>
  <c r="AK46" i="2"/>
  <c r="AJ46" i="2"/>
  <c r="AI46" i="2"/>
  <c r="AH46" i="2"/>
  <c r="AG46" i="2"/>
  <c r="AF46" i="2"/>
  <c r="AE46" i="2"/>
  <c r="AD46" i="2"/>
  <c r="AM45" i="2"/>
  <c r="AL45" i="2"/>
  <c r="AK45" i="2"/>
  <c r="AJ45" i="2"/>
  <c r="AI45" i="2"/>
  <c r="AH45" i="2"/>
  <c r="AG45" i="2"/>
  <c r="AF45" i="2"/>
  <c r="AE45" i="2"/>
  <c r="AD45" i="2"/>
  <c r="AM44" i="2"/>
  <c r="AL44" i="2"/>
  <c r="AK44" i="2"/>
  <c r="AJ44" i="2"/>
  <c r="AI44" i="2"/>
  <c r="AH44" i="2"/>
  <c r="AG44" i="2"/>
  <c r="AF44" i="2"/>
  <c r="AE44" i="2"/>
  <c r="AD44" i="2"/>
  <c r="AM43" i="2"/>
  <c r="AL43" i="2"/>
  <c r="AK43" i="2"/>
  <c r="AJ43" i="2"/>
  <c r="AI43" i="2"/>
  <c r="AH43" i="2"/>
  <c r="AG43" i="2"/>
  <c r="AF43" i="2"/>
  <c r="AE43" i="2"/>
  <c r="AD43" i="2"/>
  <c r="AM42" i="2"/>
  <c r="AL42" i="2"/>
  <c r="AK42" i="2"/>
  <c r="AJ42" i="2"/>
  <c r="AI42" i="2"/>
  <c r="AH42" i="2"/>
  <c r="AG42" i="2"/>
  <c r="AF42" i="2"/>
  <c r="AE42" i="2"/>
  <c r="AD42" i="2"/>
  <c r="AM41" i="2"/>
  <c r="AL41" i="2"/>
  <c r="AK41" i="2"/>
  <c r="AJ41" i="2"/>
  <c r="AI41" i="2"/>
  <c r="AH41" i="2"/>
  <c r="AG41" i="2"/>
  <c r="AF41" i="2"/>
  <c r="AE41" i="2"/>
  <c r="AD41" i="2"/>
  <c r="AM40" i="2"/>
  <c r="AL40" i="2"/>
  <c r="AK40" i="2"/>
  <c r="AJ40" i="2"/>
  <c r="AI40" i="2"/>
  <c r="AH40" i="2"/>
  <c r="AG40" i="2"/>
  <c r="AF40" i="2"/>
  <c r="AE40" i="2"/>
  <c r="AD40" i="2"/>
  <c r="AM39" i="2"/>
  <c r="AL39" i="2"/>
  <c r="AK39" i="2"/>
  <c r="AJ39" i="2"/>
  <c r="AI39" i="2"/>
  <c r="AH39" i="2"/>
  <c r="AG39" i="2"/>
  <c r="AF39" i="2"/>
  <c r="AE39" i="2"/>
  <c r="AD39" i="2"/>
  <c r="AM38" i="2"/>
  <c r="AL38" i="2"/>
  <c r="AK38" i="2"/>
  <c r="AJ38" i="2"/>
  <c r="AI38" i="2"/>
  <c r="AH38" i="2"/>
  <c r="AG38" i="2"/>
  <c r="AF38" i="2"/>
  <c r="AE38" i="2"/>
  <c r="AD38" i="2"/>
  <c r="AM37" i="2"/>
  <c r="AL37" i="2"/>
  <c r="AK37" i="2"/>
  <c r="AJ37" i="2"/>
  <c r="AI37" i="2"/>
  <c r="AH37" i="2"/>
  <c r="AG37" i="2"/>
  <c r="AF37" i="2"/>
  <c r="AE37" i="2"/>
  <c r="AD37" i="2"/>
  <c r="AM36" i="2"/>
  <c r="AL36" i="2"/>
  <c r="AK36" i="2"/>
  <c r="AJ36" i="2"/>
  <c r="AI36" i="2"/>
  <c r="AH36" i="2"/>
  <c r="AG36" i="2"/>
  <c r="AF36" i="2"/>
  <c r="AE36" i="2"/>
  <c r="AD36" i="2"/>
  <c r="AM35" i="2"/>
  <c r="AL35" i="2"/>
  <c r="AK35" i="2"/>
  <c r="AJ35" i="2"/>
  <c r="AI35" i="2"/>
  <c r="AH35" i="2"/>
  <c r="AG35" i="2"/>
  <c r="AF35" i="2"/>
  <c r="AE35" i="2"/>
  <c r="AD35" i="2"/>
  <c r="AM34" i="2"/>
  <c r="AL34" i="2"/>
  <c r="AK34" i="2"/>
  <c r="AJ34" i="2"/>
  <c r="AI34" i="2"/>
  <c r="AH34" i="2"/>
  <c r="AG34" i="2"/>
  <c r="AF34" i="2"/>
  <c r="AE34" i="2"/>
  <c r="AD34" i="2"/>
  <c r="AM33" i="2"/>
  <c r="AL33" i="2"/>
  <c r="AK33" i="2"/>
  <c r="AJ33" i="2"/>
  <c r="AI33" i="2"/>
  <c r="AH33" i="2"/>
  <c r="AG33" i="2"/>
  <c r="AF33" i="2"/>
  <c r="AE33" i="2"/>
  <c r="AD33" i="2"/>
  <c r="AM32" i="2"/>
  <c r="AL32" i="2"/>
  <c r="AK32" i="2"/>
  <c r="AJ32" i="2"/>
  <c r="AI32" i="2"/>
  <c r="AH32" i="2"/>
  <c r="AG32" i="2"/>
  <c r="AF32" i="2"/>
  <c r="AE32" i="2"/>
  <c r="AD32" i="2"/>
  <c r="AM31" i="2"/>
  <c r="AL31" i="2"/>
  <c r="AK31" i="2"/>
  <c r="AJ31" i="2"/>
  <c r="AI31" i="2"/>
  <c r="AH31" i="2"/>
  <c r="AG31" i="2"/>
  <c r="AF31" i="2"/>
  <c r="AE31" i="2"/>
  <c r="AD31" i="2"/>
  <c r="AM30" i="2"/>
  <c r="AL30" i="2"/>
  <c r="AK30" i="2"/>
  <c r="AJ30" i="2"/>
  <c r="AI30" i="2"/>
  <c r="AH30" i="2"/>
  <c r="AG30" i="2"/>
  <c r="AF30" i="2"/>
  <c r="AE30" i="2"/>
  <c r="AD30" i="2"/>
  <c r="AM29" i="2"/>
  <c r="AL29" i="2"/>
  <c r="AK29" i="2"/>
  <c r="AJ29" i="2"/>
  <c r="AI29" i="2"/>
  <c r="AH29" i="2"/>
  <c r="AG29" i="2"/>
  <c r="AF29" i="2"/>
  <c r="AE29" i="2"/>
  <c r="AD29" i="2"/>
  <c r="AM28" i="2"/>
  <c r="AL28" i="2"/>
  <c r="AK28" i="2"/>
  <c r="AJ28" i="2"/>
  <c r="AI28" i="2"/>
  <c r="AH28" i="2"/>
  <c r="AG28" i="2"/>
  <c r="AF28" i="2"/>
  <c r="AE28" i="2"/>
  <c r="AD28" i="2"/>
  <c r="AM27" i="2"/>
  <c r="AL27" i="2"/>
  <c r="AK27" i="2"/>
  <c r="AJ27" i="2"/>
  <c r="AI27" i="2"/>
  <c r="AH27" i="2"/>
  <c r="AG27" i="2"/>
  <c r="AF27" i="2"/>
  <c r="AE27" i="2"/>
  <c r="AD27" i="2"/>
  <c r="AM26" i="2"/>
  <c r="AL26" i="2"/>
  <c r="AK26" i="2"/>
  <c r="AJ26" i="2"/>
  <c r="AI26" i="2"/>
  <c r="AH26" i="2"/>
  <c r="AG26" i="2"/>
  <c r="AF26" i="2"/>
  <c r="AE26" i="2"/>
  <c r="AD26" i="2"/>
  <c r="AM25" i="2"/>
  <c r="AL25" i="2"/>
  <c r="AK25" i="2"/>
  <c r="AJ25" i="2"/>
  <c r="AI25" i="2"/>
  <c r="AH25" i="2"/>
  <c r="AG25" i="2"/>
  <c r="AF25" i="2"/>
  <c r="AE25" i="2"/>
  <c r="AD25" i="2"/>
  <c r="AM24" i="2"/>
  <c r="AL24" i="2"/>
  <c r="AK24" i="2"/>
  <c r="AJ24" i="2"/>
  <c r="AI24" i="2"/>
  <c r="AH24" i="2"/>
  <c r="AG24" i="2"/>
  <c r="AF24" i="2"/>
  <c r="AE24" i="2"/>
  <c r="AD24" i="2"/>
  <c r="AM23" i="2"/>
  <c r="AL23" i="2"/>
  <c r="AK23" i="2"/>
  <c r="AJ23" i="2"/>
  <c r="AI23" i="2"/>
  <c r="AH23" i="2"/>
  <c r="AG23" i="2"/>
  <c r="AF23" i="2"/>
  <c r="AE23" i="2"/>
  <c r="AD23" i="2"/>
  <c r="AM22" i="2"/>
  <c r="AL22" i="2"/>
  <c r="AK22" i="2"/>
  <c r="AJ22" i="2"/>
  <c r="AI22" i="2"/>
  <c r="AH22" i="2"/>
  <c r="AG22" i="2"/>
  <c r="AF22" i="2"/>
  <c r="AE22" i="2"/>
  <c r="AD22" i="2"/>
  <c r="AM21" i="2"/>
  <c r="AL21" i="2"/>
  <c r="AK21" i="2"/>
  <c r="AJ21" i="2"/>
  <c r="AI21" i="2"/>
  <c r="AH21" i="2"/>
  <c r="AG21" i="2"/>
  <c r="AF21" i="2"/>
  <c r="AE21" i="2"/>
  <c r="AD21" i="2"/>
  <c r="AM20" i="2"/>
  <c r="AL20" i="2"/>
  <c r="AK20" i="2"/>
  <c r="AJ20" i="2"/>
  <c r="AI20" i="2"/>
  <c r="AH20" i="2"/>
  <c r="AG20" i="2"/>
  <c r="AF20" i="2"/>
  <c r="AE20" i="2"/>
  <c r="AD20" i="2"/>
  <c r="AM19" i="2"/>
  <c r="AL19" i="2"/>
  <c r="AK19" i="2"/>
  <c r="AJ19" i="2"/>
  <c r="AI19" i="2"/>
  <c r="AH19" i="2"/>
  <c r="AG19" i="2"/>
  <c r="AF19" i="2"/>
  <c r="AE19" i="2"/>
  <c r="AD19" i="2"/>
  <c r="AM18" i="2"/>
  <c r="AL18" i="2"/>
  <c r="AK18" i="2"/>
  <c r="AJ18" i="2"/>
  <c r="AI18" i="2"/>
  <c r="AH18" i="2"/>
  <c r="AG18" i="2"/>
  <c r="AF18" i="2"/>
  <c r="AE18" i="2"/>
  <c r="AD18" i="2"/>
  <c r="AM17" i="2"/>
  <c r="AL17" i="2"/>
  <c r="AK17" i="2"/>
  <c r="AJ17" i="2"/>
  <c r="AI17" i="2"/>
  <c r="AH17" i="2"/>
  <c r="AG17" i="2"/>
  <c r="AF17" i="2"/>
  <c r="AE17" i="2"/>
  <c r="AD17" i="2"/>
  <c r="AM16" i="2"/>
  <c r="AL16" i="2"/>
  <c r="AK16" i="2"/>
  <c r="AJ16" i="2"/>
  <c r="AI16" i="2"/>
  <c r="AH16" i="2"/>
  <c r="AG16" i="2"/>
  <c r="AF16" i="2"/>
  <c r="AE16" i="2"/>
  <c r="AD16" i="2"/>
  <c r="AM15" i="2"/>
  <c r="AL15" i="2"/>
  <c r="AK15" i="2"/>
  <c r="AJ15" i="2"/>
  <c r="AI15" i="2"/>
  <c r="AH15" i="2"/>
  <c r="AG15" i="2"/>
  <c r="AF15" i="2"/>
  <c r="AE15" i="2"/>
  <c r="AD15" i="2"/>
  <c r="AM14" i="2"/>
  <c r="AL14" i="2"/>
  <c r="AK14" i="2"/>
  <c r="AJ14" i="2"/>
  <c r="AI14" i="2"/>
  <c r="AH14" i="2"/>
  <c r="AG14" i="2"/>
  <c r="AF14" i="2"/>
  <c r="AE14" i="2"/>
  <c r="AD14" i="2"/>
  <c r="AM13" i="2"/>
  <c r="AL13" i="2"/>
  <c r="AK13" i="2"/>
  <c r="AJ13" i="2"/>
  <c r="AI13" i="2"/>
  <c r="AH13" i="2"/>
  <c r="AG13" i="2"/>
  <c r="AF13" i="2"/>
  <c r="AE13" i="2"/>
  <c r="AD13" i="2"/>
  <c r="AM12" i="2"/>
  <c r="AL12" i="2"/>
  <c r="AK12" i="2"/>
  <c r="AJ12" i="2"/>
  <c r="AI12" i="2"/>
  <c r="AH12" i="2"/>
  <c r="AG12" i="2"/>
  <c r="AF12" i="2"/>
  <c r="AE12" i="2"/>
  <c r="AD12" i="2"/>
  <c r="AM11" i="2"/>
  <c r="AL11" i="2"/>
  <c r="AK11" i="2"/>
  <c r="AJ11" i="2"/>
  <c r="AI11" i="2"/>
  <c r="AH11" i="2"/>
  <c r="AG11" i="2"/>
  <c r="AF11" i="2"/>
  <c r="AE11" i="2"/>
  <c r="AD11" i="2"/>
  <c r="AM10" i="2"/>
  <c r="AL10" i="2"/>
  <c r="AK10" i="2"/>
  <c r="AJ10" i="2"/>
  <c r="AI10" i="2"/>
  <c r="AH10" i="2"/>
  <c r="AG10" i="2"/>
  <c r="AF10" i="2"/>
  <c r="AE10" i="2"/>
  <c r="AD10" i="2"/>
  <c r="AM9" i="2"/>
  <c r="AL9" i="2"/>
  <c r="AK9" i="2"/>
  <c r="AJ9" i="2"/>
  <c r="AI9" i="2"/>
  <c r="AH9" i="2"/>
  <c r="AG9" i="2"/>
  <c r="AF9" i="2"/>
  <c r="AE9" i="2"/>
  <c r="AD9" i="2"/>
  <c r="AM8" i="2"/>
  <c r="AL8" i="2"/>
  <c r="AK8" i="2"/>
  <c r="AJ8" i="2"/>
  <c r="AI8" i="2"/>
  <c r="AH8" i="2"/>
  <c r="AG8" i="2"/>
  <c r="AF8" i="2"/>
  <c r="AE8" i="2"/>
  <c r="AD8" i="2"/>
  <c r="AM7" i="2"/>
  <c r="AL7" i="2"/>
  <c r="AK7" i="2"/>
  <c r="AJ7" i="2"/>
  <c r="AI7" i="2"/>
  <c r="AH7" i="2"/>
  <c r="AG7" i="2"/>
  <c r="AF7" i="2"/>
  <c r="AE7" i="2"/>
  <c r="AD7" i="2"/>
  <c r="AM6" i="2"/>
  <c r="AL6" i="2"/>
  <c r="AK6" i="2"/>
  <c r="AJ6" i="2"/>
  <c r="AI6" i="2"/>
  <c r="AH6" i="2"/>
  <c r="AG6" i="2"/>
  <c r="AF6" i="2"/>
  <c r="AE6" i="2"/>
  <c r="AD6" i="2"/>
  <c r="AM5" i="2"/>
  <c r="AL5" i="2"/>
  <c r="AK5" i="2"/>
  <c r="AJ5" i="2"/>
  <c r="AI5" i="2"/>
  <c r="AH5" i="2"/>
  <c r="AG5" i="2"/>
  <c r="AF5" i="2"/>
  <c r="AE5" i="2"/>
  <c r="AD5" i="2"/>
  <c r="D12" i="7" l="1"/>
  <c r="C12" i="7"/>
  <c r="B13" i="7"/>
  <c r="BA15" i="6"/>
  <c r="AS7" i="6"/>
  <c r="AN8" i="6"/>
  <c r="AO8" i="6"/>
  <c r="AP8" i="6"/>
  <c r="AQ8" i="6"/>
  <c r="AS8" i="6"/>
  <c r="AN9" i="6"/>
  <c r="AO9" i="6"/>
  <c r="AP9" i="6"/>
  <c r="AQ9" i="6"/>
  <c r="AK9" i="6"/>
  <c r="AA10" i="6"/>
  <c r="V11" i="6"/>
  <c r="Z10" i="6"/>
  <c r="AV10" i="6"/>
  <c r="W64" i="6"/>
  <c r="W65" i="6" s="1"/>
  <c r="X13" i="6"/>
  <c r="X14" i="6" s="1"/>
  <c r="X15" i="6" s="1"/>
  <c r="AY13" i="6"/>
  <c r="AE7" i="6"/>
  <c r="AD8" i="6"/>
  <c r="AE8" i="6"/>
  <c r="AF6" i="6"/>
  <c r="AG5" i="6"/>
  <c r="U343" i="2"/>
  <c r="Q343" i="2"/>
  <c r="X342" i="2"/>
  <c r="X343" i="2" s="1"/>
  <c r="Q342" i="2"/>
  <c r="X341" i="2"/>
  <c r="Q341" i="2"/>
  <c r="X340" i="2"/>
  <c r="Q340" i="2"/>
  <c r="X339" i="2"/>
  <c r="Q339" i="2"/>
  <c r="W338" i="2"/>
  <c r="W339" i="2" s="1"/>
  <c r="Q338" i="2"/>
  <c r="Z337" i="2"/>
  <c r="Z338" i="2" s="1"/>
  <c r="Q337" i="2"/>
  <c r="Z336" i="2"/>
  <c r="Q336" i="2"/>
  <c r="Z335" i="2"/>
  <c r="Q335" i="2"/>
  <c r="AA334" i="2"/>
  <c r="AA335" i="2" s="1"/>
  <c r="Q334" i="2"/>
  <c r="AA333" i="2"/>
  <c r="Q333" i="2"/>
  <c r="Z332" i="2"/>
  <c r="Z333" i="2" s="1"/>
  <c r="Q332" i="2"/>
  <c r="Y331" i="2"/>
  <c r="Y332" i="2" s="1"/>
  <c r="Q331" i="2"/>
  <c r="Z330" i="2"/>
  <c r="Q330" i="2"/>
  <c r="Z329" i="2"/>
  <c r="Q329" i="2"/>
  <c r="Y328" i="2"/>
  <c r="Y329" i="2" s="1"/>
  <c r="Q328" i="2"/>
  <c r="Y327" i="2"/>
  <c r="Q327" i="2"/>
  <c r="Y326" i="2"/>
  <c r="Q326" i="2"/>
  <c r="Y325" i="2"/>
  <c r="Q325" i="2"/>
  <c r="Y324" i="2"/>
  <c r="Q324" i="2"/>
  <c r="Y323" i="2"/>
  <c r="Q323" i="2"/>
  <c r="Y322" i="2"/>
  <c r="Q322" i="2"/>
  <c r="Y321" i="2"/>
  <c r="Q321" i="2"/>
  <c r="X320" i="2"/>
  <c r="X321" i="2" s="1"/>
  <c r="Q320" i="2"/>
  <c r="Z319" i="2"/>
  <c r="Z320" i="2" s="1"/>
  <c r="Q319" i="2"/>
  <c r="Z318" i="2"/>
  <c r="Q318" i="2"/>
  <c r="Z317" i="2"/>
  <c r="Q317" i="2"/>
  <c r="Z316" i="2"/>
  <c r="Q316" i="2"/>
  <c r="Z315" i="2"/>
  <c r="Q315" i="2"/>
  <c r="Z314" i="2"/>
  <c r="Q314" i="2"/>
  <c r="Z313" i="2"/>
  <c r="Q313" i="2"/>
  <c r="Z312" i="2"/>
  <c r="Q312" i="2"/>
  <c r="Z311" i="2"/>
  <c r="Q311" i="2"/>
  <c r="Z310" i="2"/>
  <c r="Q310" i="2"/>
  <c r="Z309" i="2"/>
  <c r="Q309" i="2"/>
  <c r="Z308" i="2"/>
  <c r="Q308" i="2"/>
  <c r="Z307" i="2"/>
  <c r="Q307" i="2"/>
  <c r="Z306" i="2"/>
  <c r="Q306" i="2"/>
  <c r="Z305" i="2"/>
  <c r="Q305" i="2"/>
  <c r="Z304" i="2"/>
  <c r="Q304" i="2"/>
  <c r="Z303" i="2"/>
  <c r="Q303" i="2"/>
  <c r="Z302" i="2"/>
  <c r="Q302" i="2"/>
  <c r="Z301" i="2"/>
  <c r="Q301" i="2"/>
  <c r="Z300" i="2"/>
  <c r="Q300" i="2"/>
  <c r="Z299" i="2"/>
  <c r="Q299" i="2"/>
  <c r="Z298" i="2"/>
  <c r="Q298" i="2"/>
  <c r="Z297" i="2"/>
  <c r="Q297" i="2"/>
  <c r="Z296" i="2"/>
  <c r="Q296" i="2"/>
  <c r="Z295" i="2"/>
  <c r="Q295" i="2"/>
  <c r="Z294" i="2"/>
  <c r="Q294" i="2"/>
  <c r="Z293" i="2"/>
  <c r="Q293" i="2"/>
  <c r="Z292" i="2"/>
  <c r="Q292" i="2"/>
  <c r="Z291" i="2"/>
  <c r="Q291" i="2"/>
  <c r="Z290" i="2"/>
  <c r="Q290" i="2"/>
  <c r="Z289" i="2"/>
  <c r="Q289" i="2"/>
  <c r="Z288" i="2"/>
  <c r="Q288" i="2"/>
  <c r="Z287" i="2"/>
  <c r="Q287" i="2"/>
  <c r="Z286" i="2"/>
  <c r="Q286" i="2"/>
  <c r="Z285" i="2"/>
  <c r="Q285" i="2"/>
  <c r="Z284" i="2"/>
  <c r="Q284" i="2"/>
  <c r="Z283" i="2"/>
  <c r="Q283" i="2"/>
  <c r="Z282" i="2"/>
  <c r="Q282" i="2"/>
  <c r="Z281" i="2"/>
  <c r="Q281" i="2"/>
  <c r="Z280" i="2"/>
  <c r="Q280" i="2"/>
  <c r="Z279" i="2"/>
  <c r="Q279" i="2"/>
  <c r="Z278" i="2"/>
  <c r="Q278" i="2"/>
  <c r="Z277" i="2"/>
  <c r="Q277" i="2"/>
  <c r="Z276" i="2"/>
  <c r="Q276" i="2"/>
  <c r="Z275" i="2"/>
  <c r="Q275" i="2"/>
  <c r="Z274" i="2"/>
  <c r="Q274" i="2"/>
  <c r="Z273" i="2"/>
  <c r="Q273" i="2"/>
  <c r="Z272" i="2"/>
  <c r="Q272" i="2"/>
  <c r="Z271" i="2"/>
  <c r="Q271" i="2"/>
  <c r="Z270" i="2"/>
  <c r="Q270" i="2"/>
  <c r="Z269" i="2"/>
  <c r="Q269" i="2"/>
  <c r="Z268" i="2"/>
  <c r="Q268" i="2"/>
  <c r="Z267" i="2"/>
  <c r="Q267" i="2"/>
  <c r="Z266" i="2"/>
  <c r="Q266" i="2"/>
  <c r="Z265" i="2"/>
  <c r="Q265" i="2"/>
  <c r="Z264" i="2"/>
  <c r="Q264" i="2"/>
  <c r="Z263" i="2"/>
  <c r="Q263" i="2"/>
  <c r="Z262" i="2"/>
  <c r="Q262" i="2"/>
  <c r="Z261" i="2"/>
  <c r="Q261" i="2"/>
  <c r="Z260" i="2"/>
  <c r="Q260" i="2"/>
  <c r="Z259" i="2"/>
  <c r="Q259" i="2"/>
  <c r="Z258" i="2"/>
  <c r="Q258" i="2"/>
  <c r="Z257" i="2"/>
  <c r="Q257" i="2"/>
  <c r="Z256" i="2"/>
  <c r="Q256" i="2"/>
  <c r="Z255" i="2"/>
  <c r="Q255" i="2"/>
  <c r="Z254" i="2"/>
  <c r="Q254" i="2"/>
  <c r="Z253" i="2"/>
  <c r="Q253" i="2"/>
  <c r="Z252" i="2"/>
  <c r="Q252" i="2"/>
  <c r="Y251" i="2"/>
  <c r="Y252" i="2" s="1"/>
  <c r="Q251" i="2"/>
  <c r="AB250" i="2"/>
  <c r="AB251" i="2" s="1"/>
  <c r="Q250" i="2"/>
  <c r="AB249" i="2"/>
  <c r="Q249" i="2"/>
  <c r="AB248" i="2"/>
  <c r="Q248" i="2"/>
  <c r="AB247" i="2"/>
  <c r="Q247" i="2"/>
  <c r="AB246" i="2"/>
  <c r="Q246" i="2"/>
  <c r="AB245" i="2"/>
  <c r="Q245" i="2"/>
  <c r="AB244" i="2"/>
  <c r="Q244" i="2"/>
  <c r="AB243" i="2"/>
  <c r="Q243" i="2"/>
  <c r="AB242" i="2"/>
  <c r="Q242" i="2"/>
  <c r="AB241" i="2"/>
  <c r="Q241" i="2"/>
  <c r="AB240" i="2"/>
  <c r="Q240" i="2"/>
  <c r="AB239" i="2"/>
  <c r="Q239" i="2"/>
  <c r="AB238" i="2"/>
  <c r="Q238" i="2"/>
  <c r="AB237" i="2"/>
  <c r="Q237" i="2"/>
  <c r="AB236" i="2"/>
  <c r="Q236" i="2"/>
  <c r="AB235" i="2"/>
  <c r="Q235" i="2"/>
  <c r="AB234" i="2"/>
  <c r="Q234" i="2"/>
  <c r="AB233" i="2"/>
  <c r="Q233" i="2"/>
  <c r="AB232" i="2"/>
  <c r="Q232" i="2"/>
  <c r="AB231" i="2"/>
  <c r="Q231" i="2"/>
  <c r="AB230" i="2"/>
  <c r="Q230" i="2"/>
  <c r="AB229" i="2"/>
  <c r="Q229" i="2"/>
  <c r="AB228" i="2"/>
  <c r="Q228" i="2"/>
  <c r="AB227" i="2"/>
  <c r="Q227" i="2"/>
  <c r="AB226" i="2"/>
  <c r="Q226" i="2"/>
  <c r="AB225" i="2"/>
  <c r="Q225" i="2"/>
  <c r="AB224" i="2"/>
  <c r="Q224" i="2"/>
  <c r="AB223" i="2"/>
  <c r="Q223" i="2"/>
  <c r="AB222" i="2"/>
  <c r="Q222" i="2"/>
  <c r="AB221" i="2"/>
  <c r="Q221" i="2"/>
  <c r="AB220" i="2"/>
  <c r="Q220" i="2"/>
  <c r="AB219" i="2"/>
  <c r="Q219" i="2"/>
  <c r="AB218" i="2"/>
  <c r="Q218" i="2"/>
  <c r="AB217" i="2"/>
  <c r="Q217" i="2"/>
  <c r="AB216" i="2"/>
  <c r="Q216" i="2"/>
  <c r="AB215" i="2"/>
  <c r="Q215" i="2"/>
  <c r="AB214" i="2"/>
  <c r="Q214" i="2"/>
  <c r="AB213" i="2"/>
  <c r="Q213" i="2"/>
  <c r="AB212" i="2"/>
  <c r="Q212" i="2"/>
  <c r="AB211" i="2"/>
  <c r="Q211" i="2"/>
  <c r="AB210" i="2"/>
  <c r="Q210" i="2"/>
  <c r="AB209" i="2"/>
  <c r="Q209" i="2"/>
  <c r="AB208" i="2"/>
  <c r="Q208" i="2"/>
  <c r="AB207" i="2"/>
  <c r="Q207" i="2"/>
  <c r="AB206" i="2"/>
  <c r="Q206" i="2"/>
  <c r="AB205" i="2"/>
  <c r="Q205" i="2"/>
  <c r="AB204" i="2"/>
  <c r="Q204" i="2"/>
  <c r="AB203" i="2"/>
  <c r="Q203" i="2"/>
  <c r="AB202" i="2"/>
  <c r="Q202" i="2"/>
  <c r="AA201" i="2"/>
  <c r="AA202" i="2" s="1"/>
  <c r="Q201" i="2"/>
  <c r="AB200" i="2"/>
  <c r="AB201" i="2" s="1"/>
  <c r="Q200" i="2"/>
  <c r="AB199" i="2"/>
  <c r="Q199" i="2"/>
  <c r="AB198" i="2"/>
  <c r="Q198" i="2"/>
  <c r="AB197" i="2"/>
  <c r="Q197" i="2"/>
  <c r="AB196" i="2"/>
  <c r="Q196" i="2"/>
  <c r="AB195" i="2"/>
  <c r="Q195" i="2"/>
  <c r="AB194" i="2"/>
  <c r="Q194" i="2"/>
  <c r="AB193" i="2"/>
  <c r="Q193" i="2"/>
  <c r="AB192" i="2"/>
  <c r="Q192" i="2"/>
  <c r="AB191" i="2"/>
  <c r="Q191" i="2"/>
  <c r="AB190" i="2"/>
  <c r="Q190" i="2"/>
  <c r="AB189" i="2"/>
  <c r="Q189" i="2"/>
  <c r="AB188" i="2"/>
  <c r="Q188" i="2"/>
  <c r="AB187" i="2"/>
  <c r="Q187" i="2"/>
  <c r="AB186" i="2"/>
  <c r="Q186" i="2"/>
  <c r="AB185" i="2"/>
  <c r="Q185" i="2"/>
  <c r="AB184" i="2"/>
  <c r="Q184" i="2"/>
  <c r="AB183" i="2"/>
  <c r="Q183" i="2"/>
  <c r="AB182" i="2"/>
  <c r="Q182" i="2"/>
  <c r="AA181" i="2"/>
  <c r="AA182" i="2" s="1"/>
  <c r="Q181" i="2"/>
  <c r="AB180" i="2"/>
  <c r="AB181" i="2" s="1"/>
  <c r="Q180" i="2"/>
  <c r="AB179" i="2"/>
  <c r="Q179" i="2"/>
  <c r="AB178" i="2"/>
  <c r="Q178" i="2"/>
  <c r="AB177" i="2"/>
  <c r="Q177" i="2"/>
  <c r="AB176" i="2"/>
  <c r="Q176" i="2"/>
  <c r="AB175" i="2"/>
  <c r="Q175" i="2"/>
  <c r="AB174" i="2"/>
  <c r="Q174" i="2"/>
  <c r="AB173" i="2"/>
  <c r="Q173" i="2"/>
  <c r="AB172" i="2"/>
  <c r="Q172" i="2"/>
  <c r="AB171" i="2"/>
  <c r="Q171" i="2"/>
  <c r="AA170" i="2"/>
  <c r="AA171" i="2" s="1"/>
  <c r="Q170" i="2"/>
  <c r="AA169" i="2"/>
  <c r="Q169" i="2"/>
  <c r="AA168" i="2"/>
  <c r="Q168" i="2"/>
  <c r="Z167" i="2"/>
  <c r="Z168" i="2" s="1"/>
  <c r="Q167" i="2"/>
  <c r="AA166" i="2"/>
  <c r="AA167" i="2" s="1"/>
  <c r="Q166" i="2"/>
  <c r="AA165" i="2"/>
  <c r="Q165" i="2"/>
  <c r="AA164" i="2"/>
  <c r="Q164" i="2"/>
  <c r="AA163" i="2"/>
  <c r="Q163" i="2"/>
  <c r="AA162" i="2"/>
  <c r="Q162" i="2"/>
  <c r="AA161" i="2"/>
  <c r="Q161" i="2"/>
  <c r="Z160" i="2"/>
  <c r="Z161" i="2" s="1"/>
  <c r="Q160" i="2"/>
  <c r="Y159" i="2"/>
  <c r="Y160" i="2" s="1"/>
  <c r="X158" i="2"/>
  <c r="X159" i="2" s="1"/>
  <c r="W157" i="2"/>
  <c r="W158" i="2" s="1"/>
  <c r="V156" i="2"/>
  <c r="V157" i="2" s="1"/>
  <c r="U155" i="2"/>
  <c r="U156" i="2" s="1"/>
  <c r="Q155" i="2"/>
  <c r="U154" i="2"/>
  <c r="Q154" i="2"/>
  <c r="U153" i="2"/>
  <c r="Q153" i="2"/>
  <c r="T152" i="2"/>
  <c r="T153" i="2" s="1"/>
  <c r="Q152" i="2"/>
  <c r="V151" i="2"/>
  <c r="V152" i="2" s="1"/>
  <c r="Q151" i="2"/>
  <c r="V150" i="2"/>
  <c r="Q150" i="2"/>
  <c r="V149" i="2"/>
  <c r="Q149" i="2"/>
  <c r="V148" i="2"/>
  <c r="Q148" i="2"/>
  <c r="V147" i="2"/>
  <c r="Q147" i="2"/>
  <c r="V146" i="2"/>
  <c r="Q146" i="2"/>
  <c r="W145" i="2"/>
  <c r="W146" i="2" s="1"/>
  <c r="Q145" i="2"/>
  <c r="W144" i="2"/>
  <c r="Q144" i="2"/>
  <c r="V143" i="2"/>
  <c r="V144" i="2" s="1"/>
  <c r="Q143" i="2"/>
  <c r="U142" i="2"/>
  <c r="U143" i="2" s="1"/>
  <c r="Q142" i="2"/>
  <c r="V141" i="2"/>
  <c r="V142" i="2" s="1"/>
  <c r="Q141" i="2"/>
  <c r="V140" i="2"/>
  <c r="Q140" i="2"/>
  <c r="V139" i="2"/>
  <c r="Q139" i="2"/>
  <c r="W138" i="2"/>
  <c r="W139" i="2" s="1"/>
  <c r="Q138" i="2"/>
  <c r="W137" i="2"/>
  <c r="Q137" i="2"/>
  <c r="W136" i="2"/>
  <c r="Q136" i="2"/>
  <c r="W135" i="2"/>
  <c r="Q135" i="2"/>
  <c r="V134" i="2"/>
  <c r="V135" i="2" s="1"/>
  <c r="Q134" i="2"/>
  <c r="V133" i="2"/>
  <c r="Q133" i="2"/>
  <c r="V132" i="2"/>
  <c r="Q132" i="2"/>
  <c r="V131" i="2"/>
  <c r="Q131" i="2"/>
  <c r="V130" i="2"/>
  <c r="Q130" i="2"/>
  <c r="W129" i="2"/>
  <c r="W130" i="2" s="1"/>
  <c r="Q129" i="2"/>
  <c r="W128" i="2"/>
  <c r="Q128" i="2"/>
  <c r="V127" i="2"/>
  <c r="V128" i="2" s="1"/>
  <c r="Q127" i="2"/>
  <c r="W126" i="2"/>
  <c r="W127" i="2" s="1"/>
  <c r="Q126" i="2"/>
  <c r="W125" i="2"/>
  <c r="Q125" i="2"/>
  <c r="W124" i="2"/>
  <c r="Q124" i="2"/>
  <c r="W123" i="2"/>
  <c r="Q123" i="2"/>
  <c r="V122" i="2"/>
  <c r="V123" i="2" s="1"/>
  <c r="Q122" i="2"/>
  <c r="U121" i="2"/>
  <c r="U122" i="2" s="1"/>
  <c r="Q121" i="2"/>
  <c r="T120" i="2"/>
  <c r="T121" i="2" s="1"/>
  <c r="Q120" i="2"/>
  <c r="S119" i="2"/>
  <c r="S120" i="2" s="1"/>
  <c r="S121" i="2" s="1"/>
  <c r="S122" i="2" s="1"/>
  <c r="S123" i="2" s="1"/>
  <c r="S124" i="2" s="1"/>
  <c r="S125" i="2" s="1"/>
  <c r="S126" i="2" s="1"/>
  <c r="S127" i="2" s="1"/>
  <c r="S128" i="2" s="1"/>
  <c r="S129" i="2" s="1"/>
  <c r="S130" i="2" s="1"/>
  <c r="S131" i="2" s="1"/>
  <c r="S132" i="2" s="1"/>
  <c r="S133" i="2" s="1"/>
  <c r="S134" i="2" s="1"/>
  <c r="S135" i="2" s="1"/>
  <c r="S136" i="2" s="1"/>
  <c r="S137" i="2" s="1"/>
  <c r="S138" i="2" s="1"/>
  <c r="S139" i="2" s="1"/>
  <c r="S140" i="2" s="1"/>
  <c r="S141" i="2" s="1"/>
  <c r="S142" i="2" s="1"/>
  <c r="S143" i="2" s="1"/>
  <c r="S144" i="2" s="1"/>
  <c r="S145" i="2" s="1"/>
  <c r="S146" i="2" s="1"/>
  <c r="S147" i="2" s="1"/>
  <c r="S148" i="2" s="1"/>
  <c r="S149" i="2" s="1"/>
  <c r="S150" i="2" s="1"/>
  <c r="S151" i="2" s="1"/>
  <c r="S152" i="2" s="1"/>
  <c r="S153" i="2" s="1"/>
  <c r="S154" i="2" s="1"/>
  <c r="S155" i="2" s="1"/>
  <c r="S156" i="2" s="1"/>
  <c r="S157" i="2" s="1"/>
  <c r="S158" i="2" s="1"/>
  <c r="S159" i="2" s="1"/>
  <c r="S160" i="2" s="1"/>
  <c r="S161" i="2" s="1"/>
  <c r="S162" i="2" s="1"/>
  <c r="S163" i="2" s="1"/>
  <c r="S164" i="2" s="1"/>
  <c r="S165" i="2" s="1"/>
  <c r="S166" i="2" s="1"/>
  <c r="S167" i="2" s="1"/>
  <c r="S168" i="2" s="1"/>
  <c r="S169" i="2" s="1"/>
  <c r="S170" i="2" s="1"/>
  <c r="S171" i="2" s="1"/>
  <c r="S172" i="2" s="1"/>
  <c r="S173" i="2" s="1"/>
  <c r="S174" i="2" s="1"/>
  <c r="S175" i="2" s="1"/>
  <c r="S176" i="2" s="1"/>
  <c r="S177" i="2" s="1"/>
  <c r="S178" i="2" s="1"/>
  <c r="S179" i="2" s="1"/>
  <c r="S180" i="2" s="1"/>
  <c r="S181" i="2" s="1"/>
  <c r="S182" i="2" s="1"/>
  <c r="S183" i="2" s="1"/>
  <c r="S184" i="2" s="1"/>
  <c r="S185" i="2" s="1"/>
  <c r="S186" i="2" s="1"/>
  <c r="S187" i="2" s="1"/>
  <c r="S188" i="2" s="1"/>
  <c r="S189" i="2" s="1"/>
  <c r="S190" i="2" s="1"/>
  <c r="S191" i="2" s="1"/>
  <c r="S192" i="2" s="1"/>
  <c r="S193" i="2" s="1"/>
  <c r="S194" i="2" s="1"/>
  <c r="S195" i="2" s="1"/>
  <c r="S196" i="2" s="1"/>
  <c r="S197" i="2" s="1"/>
  <c r="S198" i="2" s="1"/>
  <c r="S199" i="2" s="1"/>
  <c r="S200" i="2" s="1"/>
  <c r="S201" i="2" s="1"/>
  <c r="S202" i="2" s="1"/>
  <c r="S203" i="2" s="1"/>
  <c r="S204" i="2" s="1"/>
  <c r="S205" i="2" s="1"/>
  <c r="S206" i="2" s="1"/>
  <c r="S207" i="2" s="1"/>
  <c r="S208" i="2" s="1"/>
  <c r="S209" i="2" s="1"/>
  <c r="S210" i="2" s="1"/>
  <c r="S211" i="2" s="1"/>
  <c r="S212" i="2" s="1"/>
  <c r="S213" i="2" s="1"/>
  <c r="S214" i="2" s="1"/>
  <c r="S215" i="2" s="1"/>
  <c r="S216" i="2" s="1"/>
  <c r="S217" i="2" s="1"/>
  <c r="S218" i="2" s="1"/>
  <c r="S219" i="2" s="1"/>
  <c r="S220" i="2" s="1"/>
  <c r="S221" i="2" s="1"/>
  <c r="S222" i="2" s="1"/>
  <c r="S223" i="2" s="1"/>
  <c r="S224" i="2" s="1"/>
  <c r="S225" i="2" s="1"/>
  <c r="S226" i="2" s="1"/>
  <c r="S227" i="2" s="1"/>
  <c r="S228" i="2" s="1"/>
  <c r="S229" i="2" s="1"/>
  <c r="S230" i="2" s="1"/>
  <c r="S231" i="2" s="1"/>
  <c r="S232" i="2" s="1"/>
  <c r="S233" i="2" s="1"/>
  <c r="S234" i="2" s="1"/>
  <c r="S235" i="2" s="1"/>
  <c r="S236" i="2" s="1"/>
  <c r="S237" i="2" s="1"/>
  <c r="S238" i="2" s="1"/>
  <c r="S239" i="2" s="1"/>
  <c r="S240" i="2" s="1"/>
  <c r="S241" i="2" s="1"/>
  <c r="S242" i="2" s="1"/>
  <c r="S243" i="2" s="1"/>
  <c r="S244" i="2" s="1"/>
  <c r="S245" i="2" s="1"/>
  <c r="S246" i="2" s="1"/>
  <c r="S247" i="2" s="1"/>
  <c r="S248" i="2" s="1"/>
  <c r="S249" i="2" s="1"/>
  <c r="S250" i="2" s="1"/>
  <c r="S251" i="2" s="1"/>
  <c r="S252" i="2" s="1"/>
  <c r="S253" i="2" s="1"/>
  <c r="S254" i="2" s="1"/>
  <c r="S255" i="2" s="1"/>
  <c r="S256" i="2" s="1"/>
  <c r="S257" i="2" s="1"/>
  <c r="S258" i="2" s="1"/>
  <c r="S259" i="2" s="1"/>
  <c r="S260" i="2" s="1"/>
  <c r="S261" i="2" s="1"/>
  <c r="S262" i="2" s="1"/>
  <c r="S263" i="2" s="1"/>
  <c r="S264" i="2" s="1"/>
  <c r="S265" i="2" s="1"/>
  <c r="S266" i="2" s="1"/>
  <c r="S267" i="2" s="1"/>
  <c r="S268" i="2" s="1"/>
  <c r="S269" i="2" s="1"/>
  <c r="S270" i="2" s="1"/>
  <c r="S271" i="2" s="1"/>
  <c r="S272" i="2" s="1"/>
  <c r="S273" i="2" s="1"/>
  <c r="S274" i="2" s="1"/>
  <c r="S275" i="2" s="1"/>
  <c r="S276" i="2" s="1"/>
  <c r="S277" i="2" s="1"/>
  <c r="S278" i="2" s="1"/>
  <c r="S279" i="2" s="1"/>
  <c r="S280" i="2" s="1"/>
  <c r="S281" i="2" s="1"/>
  <c r="S282" i="2" s="1"/>
  <c r="S283" i="2" s="1"/>
  <c r="S284" i="2" s="1"/>
  <c r="S285" i="2" s="1"/>
  <c r="S286" i="2" s="1"/>
  <c r="S287" i="2" s="1"/>
  <c r="S288" i="2" s="1"/>
  <c r="S289" i="2" s="1"/>
  <c r="S290" i="2" s="1"/>
  <c r="S291" i="2" s="1"/>
  <c r="S292" i="2" s="1"/>
  <c r="S293" i="2" s="1"/>
  <c r="S294" i="2" s="1"/>
  <c r="S295" i="2" s="1"/>
  <c r="S296" i="2" s="1"/>
  <c r="S297" i="2" s="1"/>
  <c r="S298" i="2" s="1"/>
  <c r="S299" i="2" s="1"/>
  <c r="S300" i="2" s="1"/>
  <c r="S301" i="2" s="1"/>
  <c r="S302" i="2" s="1"/>
  <c r="S303" i="2" s="1"/>
  <c r="S304" i="2" s="1"/>
  <c r="S305" i="2" s="1"/>
  <c r="S306" i="2" s="1"/>
  <c r="S307" i="2" s="1"/>
  <c r="S308" i="2" s="1"/>
  <c r="S309" i="2" s="1"/>
  <c r="S310" i="2" s="1"/>
  <c r="S311" i="2" s="1"/>
  <c r="S312" i="2" s="1"/>
  <c r="S313" i="2" s="1"/>
  <c r="S314" i="2" s="1"/>
  <c r="S315" i="2" s="1"/>
  <c r="S316" i="2" s="1"/>
  <c r="S317" i="2" s="1"/>
  <c r="S318" i="2" s="1"/>
  <c r="S319" i="2" s="1"/>
  <c r="S320" i="2" s="1"/>
  <c r="S321" i="2" s="1"/>
  <c r="S322" i="2" s="1"/>
  <c r="S323" i="2" s="1"/>
  <c r="S324" i="2" s="1"/>
  <c r="S325" i="2" s="1"/>
  <c r="S326" i="2" s="1"/>
  <c r="S327" i="2" s="1"/>
  <c r="S328" i="2" s="1"/>
  <c r="S329" i="2" s="1"/>
  <c r="S330" i="2" s="1"/>
  <c r="S331" i="2" s="1"/>
  <c r="S332" i="2" s="1"/>
  <c r="S333" i="2" s="1"/>
  <c r="S334" i="2" s="1"/>
  <c r="S335" i="2" s="1"/>
  <c r="S336" i="2" s="1"/>
  <c r="S337" i="2" s="1"/>
  <c r="S338" i="2" s="1"/>
  <c r="S339" i="2" s="1"/>
  <c r="S340" i="2" s="1"/>
  <c r="S341" i="2" s="1"/>
  <c r="S342" i="2" s="1"/>
  <c r="S343" i="2" s="1"/>
  <c r="V118" i="2"/>
  <c r="V119" i="2" s="1"/>
  <c r="Q118" i="2"/>
  <c r="V117" i="2"/>
  <c r="Q117" i="2"/>
  <c r="V116" i="2"/>
  <c r="Q116" i="2"/>
  <c r="V115" i="2"/>
  <c r="Q115" i="2"/>
  <c r="U114" i="2"/>
  <c r="U115" i="2" s="1"/>
  <c r="Q114" i="2"/>
  <c r="V113" i="2"/>
  <c r="V114" i="2" s="1"/>
  <c r="Q113" i="2"/>
  <c r="V112" i="2"/>
  <c r="Q112" i="2"/>
  <c r="V111" i="2"/>
  <c r="Q111" i="2"/>
  <c r="V110" i="2"/>
  <c r="Q110" i="2"/>
  <c r="V109" i="2"/>
  <c r="Q109" i="2"/>
  <c r="V108" i="2"/>
  <c r="Q108" i="2"/>
  <c r="V107" i="2"/>
  <c r="Q107" i="2"/>
  <c r="V106" i="2"/>
  <c r="Q106" i="2"/>
  <c r="V105" i="2"/>
  <c r="Q105" i="2"/>
  <c r="V104" i="2"/>
  <c r="Q104" i="2"/>
  <c r="U103" i="2"/>
  <c r="U104" i="2" s="1"/>
  <c r="Q103" i="2"/>
  <c r="V102" i="2"/>
  <c r="V103" i="2" s="1"/>
  <c r="Q102" i="2"/>
  <c r="V101" i="2"/>
  <c r="Q101" i="2"/>
  <c r="V100" i="2"/>
  <c r="Q100" i="2"/>
  <c r="V99" i="2"/>
  <c r="Q99" i="2"/>
  <c r="V98" i="2"/>
  <c r="Q98" i="2"/>
  <c r="V97" i="2"/>
  <c r="Q97" i="2"/>
  <c r="V96" i="2"/>
  <c r="Q96" i="2"/>
  <c r="V95" i="2"/>
  <c r="Q95" i="2"/>
  <c r="V94" i="2"/>
  <c r="Q94" i="2"/>
  <c r="V93" i="2"/>
  <c r="Q93" i="2"/>
  <c r="U92" i="2"/>
  <c r="U93" i="2" s="1"/>
  <c r="Q92" i="2"/>
  <c r="V91" i="2"/>
  <c r="V92" i="2" s="1"/>
  <c r="Q91" i="2"/>
  <c r="V90" i="2"/>
  <c r="Q90" i="2"/>
  <c r="U89" i="2"/>
  <c r="U90" i="2" s="1"/>
  <c r="Q89" i="2"/>
  <c r="V88" i="2"/>
  <c r="V89" i="2" s="1"/>
  <c r="Q88" i="2"/>
  <c r="V87" i="2"/>
  <c r="Q87" i="2"/>
  <c r="W86" i="2"/>
  <c r="W87" i="2" s="1"/>
  <c r="Q86" i="2"/>
  <c r="W85" i="2"/>
  <c r="Q85" i="2"/>
  <c r="W84" i="2"/>
  <c r="Q84" i="2"/>
  <c r="W83" i="2"/>
  <c r="Q83" i="2"/>
  <c r="V82" i="2"/>
  <c r="V83" i="2" s="1"/>
  <c r="Q82" i="2"/>
  <c r="V81" i="2"/>
  <c r="Q81" i="2"/>
  <c r="V80" i="2"/>
  <c r="Q80" i="2"/>
  <c r="V79" i="2"/>
  <c r="Q79" i="2"/>
  <c r="V78" i="2"/>
  <c r="Q78" i="2"/>
  <c r="V77" i="2"/>
  <c r="Q77" i="2"/>
  <c r="V76" i="2"/>
  <c r="Q76" i="2"/>
  <c r="V75" i="2"/>
  <c r="Q75" i="2"/>
  <c r="V74" i="2"/>
  <c r="Q74" i="2"/>
  <c r="V73" i="2"/>
  <c r="Q73" i="2"/>
  <c r="U72" i="2"/>
  <c r="U73" i="2" s="1"/>
  <c r="Q72" i="2"/>
  <c r="V71" i="2"/>
  <c r="V72" i="2" s="1"/>
  <c r="Q71" i="2"/>
  <c r="V70" i="2"/>
  <c r="Q70" i="2"/>
  <c r="V69" i="2"/>
  <c r="Q69" i="2"/>
  <c r="V68" i="2"/>
  <c r="Q68" i="2"/>
  <c r="V67" i="2"/>
  <c r="Q67" i="2"/>
  <c r="V66" i="2"/>
  <c r="Q66" i="2"/>
  <c r="V65" i="2"/>
  <c r="Q65" i="2"/>
  <c r="V64" i="2"/>
  <c r="Q64" i="2"/>
  <c r="V63" i="2"/>
  <c r="Q63" i="2"/>
  <c r="V62" i="2"/>
  <c r="Q62" i="2"/>
  <c r="V61" i="2"/>
  <c r="Q61" i="2"/>
  <c r="U60" i="2"/>
  <c r="U61" i="2" s="1"/>
  <c r="Q60" i="2"/>
  <c r="V59" i="2"/>
  <c r="V60" i="2" s="1"/>
  <c r="W58" i="2"/>
  <c r="W59" i="2" s="1"/>
  <c r="Q58" i="2"/>
  <c r="W57" i="2"/>
  <c r="Q57" i="2"/>
  <c r="W56" i="2"/>
  <c r="Q56" i="2"/>
  <c r="W55" i="2"/>
  <c r="Q55" i="2"/>
  <c r="V54" i="2"/>
  <c r="V55" i="2" s="1"/>
  <c r="Q54" i="2"/>
  <c r="V53" i="2"/>
  <c r="Q53" i="2"/>
  <c r="V52" i="2"/>
  <c r="Q52" i="2"/>
  <c r="V51" i="2"/>
  <c r="Q51" i="2"/>
  <c r="V50" i="2"/>
  <c r="Q50" i="2"/>
  <c r="U49" i="2"/>
  <c r="U50" i="2" s="1"/>
  <c r="Q49" i="2"/>
  <c r="V48" i="2"/>
  <c r="V49" i="2" s="1"/>
  <c r="Q48" i="2"/>
  <c r="V47" i="2"/>
  <c r="V46" i="2"/>
  <c r="V45" i="2"/>
  <c r="Q45" i="2"/>
  <c r="V44" i="2"/>
  <c r="Q44" i="2"/>
  <c r="V43" i="2"/>
  <c r="Q43" i="2"/>
  <c r="V42" i="2"/>
  <c r="Q42" i="2"/>
  <c r="V41" i="2"/>
  <c r="Q41" i="2"/>
  <c r="V40" i="2"/>
  <c r="Q40" i="2"/>
  <c r="V39" i="2"/>
  <c r="Q39" i="2"/>
  <c r="V38" i="2"/>
  <c r="Q38" i="2"/>
  <c r="V37" i="2"/>
  <c r="Q37" i="2"/>
  <c r="V36" i="2"/>
  <c r="Q36" i="2"/>
  <c r="V35" i="2"/>
  <c r="Q35" i="2"/>
  <c r="V34" i="2"/>
  <c r="Q34" i="2"/>
  <c r="V33" i="2"/>
  <c r="Q33" i="2"/>
  <c r="V32" i="2"/>
  <c r="Q32" i="2"/>
  <c r="V31" i="2"/>
  <c r="Q31" i="2"/>
  <c r="V30" i="2"/>
  <c r="Q30" i="2"/>
  <c r="V29" i="2"/>
  <c r="Q29" i="2"/>
  <c r="V28" i="2"/>
  <c r="Q28" i="2"/>
  <c r="V27" i="2"/>
  <c r="Q27" i="2"/>
  <c r="V26" i="2"/>
  <c r="Q26" i="2"/>
  <c r="V25" i="2"/>
  <c r="Q25" i="2"/>
  <c r="V24" i="2"/>
  <c r="Q24" i="2"/>
  <c r="V23" i="2"/>
  <c r="Q23" i="2"/>
  <c r="V22" i="2"/>
  <c r="Q22" i="2"/>
  <c r="V21" i="2"/>
  <c r="Q21" i="2"/>
  <c r="V20" i="2"/>
  <c r="Q20" i="2"/>
  <c r="V19" i="2"/>
  <c r="Q19" i="2"/>
  <c r="V18" i="2"/>
  <c r="Q18" i="2"/>
  <c r="V17" i="2"/>
  <c r="Q17" i="2"/>
  <c r="W16" i="2"/>
  <c r="W17" i="2" s="1"/>
  <c r="Q16" i="2"/>
  <c r="W15" i="2"/>
  <c r="Q15" i="2"/>
  <c r="W14" i="2"/>
  <c r="Q14" i="2"/>
  <c r="W13" i="2"/>
  <c r="Q13" i="2"/>
  <c r="W12" i="2"/>
  <c r="Q12" i="2"/>
  <c r="W11" i="2"/>
  <c r="Q11" i="2"/>
  <c r="W10" i="2"/>
  <c r="Q10" i="2"/>
  <c r="W9" i="2"/>
  <c r="Q9" i="2"/>
  <c r="V8" i="2"/>
  <c r="V9" i="2" s="1"/>
  <c r="Q8" i="2"/>
  <c r="U7" i="2"/>
  <c r="U8" i="2" s="1"/>
  <c r="Q7" i="2"/>
  <c r="T6" i="2"/>
  <c r="T7" i="2" s="1"/>
  <c r="Q6" i="2"/>
  <c r="AB5" i="2"/>
  <c r="AB6" i="2" s="1"/>
  <c r="AA5" i="2"/>
  <c r="AA6" i="2" s="1"/>
  <c r="Z5" i="2"/>
  <c r="Z6" i="2" s="1"/>
  <c r="Y5" i="2"/>
  <c r="Y6" i="2" s="1"/>
  <c r="X5" i="2"/>
  <c r="X6" i="2" s="1"/>
  <c r="W5" i="2"/>
  <c r="W6" i="2" s="1"/>
  <c r="V5" i="2"/>
  <c r="V6" i="2" s="1"/>
  <c r="U5" i="2"/>
  <c r="U6" i="2" s="1"/>
  <c r="T5" i="2"/>
  <c r="S5" i="2"/>
  <c r="S6" i="2" s="1"/>
  <c r="S7" i="2" s="1"/>
  <c r="S8" i="2" s="1"/>
  <c r="S9" i="2" s="1"/>
  <c r="S10" i="2" s="1"/>
  <c r="S11" i="2" s="1"/>
  <c r="S12" i="2" s="1"/>
  <c r="S13" i="2" s="1"/>
  <c r="S14" i="2" s="1"/>
  <c r="S15" i="2" s="1"/>
  <c r="S16" i="2" s="1"/>
  <c r="S17" i="2" s="1"/>
  <c r="S18" i="2" s="1"/>
  <c r="S19" i="2" s="1"/>
  <c r="S20" i="2" s="1"/>
  <c r="S21" i="2" s="1"/>
  <c r="S22" i="2" s="1"/>
  <c r="S23" i="2" s="1"/>
  <c r="S24" i="2" s="1"/>
  <c r="S25" i="2" s="1"/>
  <c r="S26" i="2" s="1"/>
  <c r="S27" i="2" s="1"/>
  <c r="S28" i="2" s="1"/>
  <c r="S29" i="2" s="1"/>
  <c r="S30" i="2" s="1"/>
  <c r="S31" i="2" s="1"/>
  <c r="S32" i="2" s="1"/>
  <c r="S33" i="2" s="1"/>
  <c r="S34" i="2" s="1"/>
  <c r="S35" i="2" s="1"/>
  <c r="S36" i="2" s="1"/>
  <c r="S37" i="2" s="1"/>
  <c r="S38" i="2" s="1"/>
  <c r="S39" i="2" s="1"/>
  <c r="S40" i="2" s="1"/>
  <c r="S41" i="2" s="1"/>
  <c r="S42" i="2" s="1"/>
  <c r="S43" i="2" s="1"/>
  <c r="S44" i="2" s="1"/>
  <c r="S45" i="2" s="1"/>
  <c r="S46" i="2" s="1"/>
  <c r="S47" i="2" s="1"/>
  <c r="S48" i="2" s="1"/>
  <c r="S49" i="2" s="1"/>
  <c r="S50" i="2" s="1"/>
  <c r="S51" i="2" s="1"/>
  <c r="S52" i="2" s="1"/>
  <c r="S53" i="2" s="1"/>
  <c r="S54" i="2" s="1"/>
  <c r="S55" i="2" s="1"/>
  <c r="S56" i="2" s="1"/>
  <c r="S57" i="2" s="1"/>
  <c r="S58" i="2" s="1"/>
  <c r="S59" i="2" s="1"/>
  <c r="S60" i="2" s="1"/>
  <c r="S61" i="2" s="1"/>
  <c r="S62" i="2" s="1"/>
  <c r="S63" i="2" s="1"/>
  <c r="S64" i="2" s="1"/>
  <c r="S65" i="2" s="1"/>
  <c r="S66" i="2" s="1"/>
  <c r="S67" i="2" s="1"/>
  <c r="S68" i="2" s="1"/>
  <c r="S69" i="2" s="1"/>
  <c r="S70" i="2" s="1"/>
  <c r="S71" i="2" s="1"/>
  <c r="S72" i="2" s="1"/>
  <c r="S73" i="2" s="1"/>
  <c r="S74" i="2" s="1"/>
  <c r="S75" i="2" s="1"/>
  <c r="S76" i="2" s="1"/>
  <c r="S77" i="2" s="1"/>
  <c r="S78" i="2" s="1"/>
  <c r="S79" i="2" s="1"/>
  <c r="S80" i="2" s="1"/>
  <c r="S81" i="2" s="1"/>
  <c r="S82" i="2" s="1"/>
  <c r="S83" i="2" s="1"/>
  <c r="S84" i="2" s="1"/>
  <c r="S85" i="2" s="1"/>
  <c r="S86" i="2" s="1"/>
  <c r="S87" i="2" s="1"/>
  <c r="S88" i="2" s="1"/>
  <c r="S89" i="2" s="1"/>
  <c r="S90" i="2" s="1"/>
  <c r="S91" i="2" s="1"/>
  <c r="S92" i="2" s="1"/>
  <c r="S93" i="2" s="1"/>
  <c r="S94" i="2" s="1"/>
  <c r="S95" i="2" s="1"/>
  <c r="S96" i="2" s="1"/>
  <c r="S97" i="2" s="1"/>
  <c r="S98" i="2" s="1"/>
  <c r="S99" i="2" s="1"/>
  <c r="S100" i="2" s="1"/>
  <c r="S101" i="2" s="1"/>
  <c r="S102" i="2" s="1"/>
  <c r="S103" i="2" s="1"/>
  <c r="S104" i="2" s="1"/>
  <c r="S105" i="2" s="1"/>
  <c r="S106" i="2" s="1"/>
  <c r="S107" i="2" s="1"/>
  <c r="S108" i="2" s="1"/>
  <c r="S109" i="2" s="1"/>
  <c r="S110" i="2" s="1"/>
  <c r="S111" i="2" s="1"/>
  <c r="S112" i="2" s="1"/>
  <c r="S113" i="2" s="1"/>
  <c r="S114" i="2" s="1"/>
  <c r="S115" i="2" s="1"/>
  <c r="S116" i="2" s="1"/>
  <c r="S117" i="2" s="1"/>
  <c r="S118" i="2" s="1"/>
  <c r="BA16" i="6" l="1"/>
  <c r="B14" i="7"/>
  <c r="D13" i="7"/>
  <c r="C13" i="7"/>
  <c r="AS9" i="6"/>
  <c r="AN10" i="6"/>
  <c r="AO10" i="6"/>
  <c r="AP10" i="6"/>
  <c r="AQ10" i="6"/>
  <c r="Z11" i="6"/>
  <c r="AY11" i="6"/>
  <c r="V12" i="6"/>
  <c r="AA11" i="6"/>
  <c r="AK11" i="6" s="1"/>
  <c r="AV11" i="6"/>
  <c r="AK10" i="6"/>
  <c r="AD9" i="6"/>
  <c r="AE9" i="6"/>
  <c r="X16" i="6"/>
  <c r="W66" i="6"/>
  <c r="W67" i="6" s="1"/>
  <c r="AF7" i="6"/>
  <c r="AG6" i="6"/>
  <c r="AH5" i="6"/>
  <c r="AI5" i="6" s="1"/>
  <c r="V7" i="2"/>
  <c r="W7" i="2"/>
  <c r="X7" i="2"/>
  <c r="Y7" i="2"/>
  <c r="Z7" i="2"/>
  <c r="AA7" i="2"/>
  <c r="AB7" i="2"/>
  <c r="T8" i="2"/>
  <c r="U9" i="2"/>
  <c r="V10" i="2"/>
  <c r="W18" i="2"/>
  <c r="U51" i="2"/>
  <c r="V56" i="2"/>
  <c r="W60" i="2"/>
  <c r="U62" i="2"/>
  <c r="AO5" i="2"/>
  <c r="AO6" i="2"/>
  <c r="U74" i="2"/>
  <c r="V84" i="2"/>
  <c r="W88" i="2"/>
  <c r="U91" i="2"/>
  <c r="U94" i="2"/>
  <c r="U105" i="2"/>
  <c r="U116" i="2"/>
  <c r="V120" i="2"/>
  <c r="T122" i="2"/>
  <c r="U123" i="2"/>
  <c r="V124" i="2"/>
  <c r="V129" i="2"/>
  <c r="W131" i="2"/>
  <c r="V136" i="2"/>
  <c r="W140" i="2"/>
  <c r="U144" i="2"/>
  <c r="V145" i="2"/>
  <c r="W147" i="2"/>
  <c r="V153" i="2"/>
  <c r="T154" i="2"/>
  <c r="U157" i="2"/>
  <c r="V158" i="2"/>
  <c r="W159" i="2"/>
  <c r="X160" i="2"/>
  <c r="Y161" i="2"/>
  <c r="Z162" i="2"/>
  <c r="Z169" i="2"/>
  <c r="AA172" i="2"/>
  <c r="AA183" i="2"/>
  <c r="AA203" i="2"/>
  <c r="AB252" i="2"/>
  <c r="Y253" i="2"/>
  <c r="Z321" i="2"/>
  <c r="X322" i="2"/>
  <c r="Y330" i="2"/>
  <c r="Z331" i="2"/>
  <c r="Y333" i="2"/>
  <c r="Z334" i="2"/>
  <c r="AA336" i="2"/>
  <c r="Z339" i="2"/>
  <c r="W340" i="2"/>
  <c r="D14" i="7" l="1"/>
  <c r="C14" i="7"/>
  <c r="BA17" i="6"/>
  <c r="B15" i="7"/>
  <c r="AS10" i="6"/>
  <c r="AN11" i="6"/>
  <c r="AO11" i="6"/>
  <c r="AP11" i="6"/>
  <c r="AQ11" i="6"/>
  <c r="AS11" i="6"/>
  <c r="AN12" i="6"/>
  <c r="AO12" i="6"/>
  <c r="AP12" i="6"/>
  <c r="AQ12" i="6"/>
  <c r="V13" i="6"/>
  <c r="AA12" i="6"/>
  <c r="AV12" i="6"/>
  <c r="Z12" i="6"/>
  <c r="Z13" i="6" s="1"/>
  <c r="AY12" i="6"/>
  <c r="W68" i="6"/>
  <c r="W69" i="6" s="1"/>
  <c r="X17" i="6"/>
  <c r="X18" i="6" s="1"/>
  <c r="AF8" i="6"/>
  <c r="AD10" i="6"/>
  <c r="AE10" i="6"/>
  <c r="AF9" i="6"/>
  <c r="AG7" i="6"/>
  <c r="AH6" i="6"/>
  <c r="W341" i="2"/>
  <c r="Z340" i="2"/>
  <c r="AA337" i="2"/>
  <c r="Y334" i="2"/>
  <c r="X323" i="2"/>
  <c r="Z322" i="2"/>
  <c r="Y254" i="2"/>
  <c r="AB253" i="2"/>
  <c r="AA204" i="2"/>
  <c r="AA184" i="2"/>
  <c r="AA173" i="2"/>
  <c r="Z170" i="2"/>
  <c r="Z163" i="2"/>
  <c r="Y162" i="2"/>
  <c r="X161" i="2"/>
  <c r="W160" i="2"/>
  <c r="V159" i="2"/>
  <c r="U158" i="2"/>
  <c r="T155" i="2"/>
  <c r="AO154" i="2"/>
  <c r="V154" i="2"/>
  <c r="W148" i="2"/>
  <c r="U145" i="2"/>
  <c r="W141" i="2"/>
  <c r="V137" i="2"/>
  <c r="W132" i="2"/>
  <c r="V125" i="2"/>
  <c r="U124" i="2"/>
  <c r="T123" i="2"/>
  <c r="V121" i="2"/>
  <c r="U117" i="2"/>
  <c r="U106" i="2"/>
  <c r="U95" i="2"/>
  <c r="W89" i="2"/>
  <c r="V85" i="2"/>
  <c r="U75" i="2"/>
  <c r="U63" i="2"/>
  <c r="W61" i="2"/>
  <c r="V57" i="2"/>
  <c r="U52" i="2"/>
  <c r="W19" i="2"/>
  <c r="V11" i="2"/>
  <c r="U10" i="2"/>
  <c r="AO7" i="2"/>
  <c r="T9" i="2"/>
  <c r="AO8" i="2"/>
  <c r="AB8" i="2"/>
  <c r="AA8" i="2"/>
  <c r="Z8" i="2"/>
  <c r="Y8" i="2"/>
  <c r="X8" i="2"/>
  <c r="W8" i="2"/>
  <c r="C15" i="7" l="1"/>
  <c r="D15" i="7"/>
  <c r="BA18" i="6"/>
  <c r="B16" i="7"/>
  <c r="AK12" i="6"/>
  <c r="AA13" i="6"/>
  <c r="V14" i="6"/>
  <c r="Y13" i="6"/>
  <c r="AV13" i="6"/>
  <c r="AD11" i="6"/>
  <c r="AE11" i="6"/>
  <c r="AF10" i="6"/>
  <c r="X19" i="6"/>
  <c r="W70" i="6"/>
  <c r="W71" i="6" s="1"/>
  <c r="AG8" i="6"/>
  <c r="AH7" i="6"/>
  <c r="AI6" i="6"/>
  <c r="X9" i="2"/>
  <c r="Y9" i="2"/>
  <c r="Z9" i="2"/>
  <c r="AA9" i="2"/>
  <c r="AB9" i="2"/>
  <c r="T10" i="2"/>
  <c r="AO9" i="2"/>
  <c r="U11" i="2"/>
  <c r="V12" i="2"/>
  <c r="W20" i="2"/>
  <c r="U53" i="2"/>
  <c r="V58" i="2"/>
  <c r="W62" i="2"/>
  <c r="U64" i="2"/>
  <c r="U76" i="2"/>
  <c r="V86" i="2"/>
  <c r="W90" i="2"/>
  <c r="U96" i="2"/>
  <c r="U107" i="2"/>
  <c r="U118" i="2"/>
  <c r="AO122" i="2"/>
  <c r="T124" i="2"/>
  <c r="U125" i="2"/>
  <c r="V126" i="2"/>
  <c r="W133" i="2"/>
  <c r="V138" i="2"/>
  <c r="W142" i="2"/>
  <c r="U146" i="2"/>
  <c r="W149" i="2"/>
  <c r="V155" i="2"/>
  <c r="T156" i="2"/>
  <c r="U159" i="2"/>
  <c r="V160" i="2"/>
  <c r="W161" i="2"/>
  <c r="X162" i="2"/>
  <c r="Y163" i="2"/>
  <c r="Z164" i="2"/>
  <c r="Z171" i="2"/>
  <c r="AA174" i="2"/>
  <c r="AA185" i="2"/>
  <c r="AA205" i="2"/>
  <c r="AB254" i="2"/>
  <c r="Y255" i="2"/>
  <c r="Z323" i="2"/>
  <c r="X324" i="2"/>
  <c r="Y335" i="2"/>
  <c r="AA338" i="2"/>
  <c r="Z341" i="2"/>
  <c r="W342" i="2"/>
  <c r="C16" i="7" l="1"/>
  <c r="D16" i="7"/>
  <c r="BA19" i="6"/>
  <c r="B17" i="7"/>
  <c r="AS12" i="6"/>
  <c r="AN13" i="6"/>
  <c r="AO13" i="6"/>
  <c r="AP13" i="6"/>
  <c r="AQ13" i="6"/>
  <c r="Y14" i="6"/>
  <c r="Y15" i="6" s="1"/>
  <c r="Y16" i="6" s="1"/>
  <c r="AY14" i="6"/>
  <c r="V15" i="6"/>
  <c r="Z14" i="6"/>
  <c r="AV14" i="6"/>
  <c r="AK13" i="6"/>
  <c r="AA14" i="6"/>
  <c r="AK14" i="6" s="1"/>
  <c r="W72" i="6"/>
  <c r="W73" i="6" s="1"/>
  <c r="X20" i="6"/>
  <c r="X21" i="6" s="1"/>
  <c r="AG9" i="6"/>
  <c r="AD12" i="6"/>
  <c r="AE12" i="6"/>
  <c r="AF11" i="6"/>
  <c r="AG10" i="6"/>
  <c r="AH8" i="6"/>
  <c r="AI7" i="6"/>
  <c r="W343" i="2"/>
  <c r="Z342" i="2"/>
  <c r="AA339" i="2"/>
  <c r="Y336" i="2"/>
  <c r="X325" i="2"/>
  <c r="Z324" i="2"/>
  <c r="Y256" i="2"/>
  <c r="AB255" i="2"/>
  <c r="AA206" i="2"/>
  <c r="AA186" i="2"/>
  <c r="AA175" i="2"/>
  <c r="Z172" i="2"/>
  <c r="Z165" i="2"/>
  <c r="Y164" i="2"/>
  <c r="X163" i="2"/>
  <c r="W162" i="2"/>
  <c r="V161" i="2"/>
  <c r="U160" i="2"/>
  <c r="AO155" i="2"/>
  <c r="T157" i="2"/>
  <c r="W150" i="2"/>
  <c r="U147" i="2"/>
  <c r="W143" i="2"/>
  <c r="W134" i="2"/>
  <c r="U126" i="2"/>
  <c r="T125" i="2"/>
  <c r="AO124" i="2"/>
  <c r="U119" i="2"/>
  <c r="U108" i="2"/>
  <c r="U97" i="2"/>
  <c r="W91" i="2"/>
  <c r="U77" i="2"/>
  <c r="U65" i="2"/>
  <c r="W63" i="2"/>
  <c r="U54" i="2"/>
  <c r="W21" i="2"/>
  <c r="V13" i="2"/>
  <c r="U12" i="2"/>
  <c r="T11" i="2"/>
  <c r="AO10" i="2"/>
  <c r="AB10" i="2"/>
  <c r="AA10" i="2"/>
  <c r="Z10" i="2"/>
  <c r="Y10" i="2"/>
  <c r="X10" i="2"/>
  <c r="C17" i="7" l="1"/>
  <c r="D17" i="7"/>
  <c r="BA20" i="6"/>
  <c r="B18" i="7"/>
  <c r="AQ15" i="6"/>
  <c r="AS13" i="6"/>
  <c r="AN14" i="6"/>
  <c r="AN15" i="6" s="1"/>
  <c r="AO14" i="6"/>
  <c r="AO15" i="6" s="1"/>
  <c r="AP14" i="6"/>
  <c r="AS14" i="6" s="1"/>
  <c r="AQ14" i="6"/>
  <c r="Z15" i="6"/>
  <c r="AY15" i="6"/>
  <c r="V16" i="6"/>
  <c r="AA15" i="6"/>
  <c r="AK15" i="6" s="1"/>
  <c r="AV15" i="6"/>
  <c r="Y17" i="6"/>
  <c r="Y18" i="6" s="1"/>
  <c r="Y19" i="6" s="1"/>
  <c r="AY17" i="6"/>
  <c r="AD13" i="6"/>
  <c r="AE13" i="6"/>
  <c r="AF12" i="6"/>
  <c r="AG11" i="6"/>
  <c r="AH10" i="6"/>
  <c r="X22" i="6"/>
  <c r="W74" i="6"/>
  <c r="W75" i="6" s="1"/>
  <c r="AH9" i="6"/>
  <c r="AI10" i="6" s="1"/>
  <c r="AI8" i="6"/>
  <c r="X11" i="2"/>
  <c r="Y11" i="2"/>
  <c r="Z11" i="2"/>
  <c r="AA11" i="2"/>
  <c r="AB11" i="2"/>
  <c r="T12" i="2"/>
  <c r="AO11" i="2"/>
  <c r="U13" i="2"/>
  <c r="V14" i="2"/>
  <c r="W22" i="2"/>
  <c r="U55" i="2"/>
  <c r="W64" i="2"/>
  <c r="U66" i="2"/>
  <c r="U78" i="2"/>
  <c r="W92" i="2"/>
  <c r="U98" i="2"/>
  <c r="U109" i="2"/>
  <c r="U120" i="2"/>
  <c r="T126" i="2"/>
  <c r="AO125" i="2"/>
  <c r="U127" i="2"/>
  <c r="U148" i="2"/>
  <c r="W151" i="2"/>
  <c r="AO156" i="2"/>
  <c r="T158" i="2"/>
  <c r="U161" i="2"/>
  <c r="V162" i="2"/>
  <c r="W163" i="2"/>
  <c r="X164" i="2"/>
  <c r="Y165" i="2"/>
  <c r="Z166" i="2"/>
  <c r="Z173" i="2"/>
  <c r="AA176" i="2"/>
  <c r="AA187" i="2"/>
  <c r="AA207" i="2"/>
  <c r="AB256" i="2"/>
  <c r="Y257" i="2"/>
  <c r="Z325" i="2"/>
  <c r="X326" i="2"/>
  <c r="Y337" i="2"/>
  <c r="AA340" i="2"/>
  <c r="Z343" i="2"/>
  <c r="C18" i="7" l="1"/>
  <c r="D18" i="7"/>
  <c r="BA21" i="6"/>
  <c r="B19" i="7"/>
  <c r="AS15" i="6"/>
  <c r="AN16" i="6"/>
  <c r="AO16" i="6"/>
  <c r="AQ16" i="6"/>
  <c r="AP15" i="6"/>
  <c r="AP16" i="6" s="1"/>
  <c r="Y20" i="6"/>
  <c r="Y21" i="6" s="1"/>
  <c r="Y22" i="6" s="1"/>
  <c r="Y23" i="6" s="1"/>
  <c r="Y24" i="6" s="1"/>
  <c r="Y25" i="6" s="1"/>
  <c r="AY20" i="6"/>
  <c r="V17" i="6"/>
  <c r="AA16" i="6"/>
  <c r="AV16" i="6"/>
  <c r="Z16" i="6"/>
  <c r="AY16" i="6"/>
  <c r="W76" i="6"/>
  <c r="W77" i="6" s="1"/>
  <c r="X23" i="6"/>
  <c r="X24" i="6" s="1"/>
  <c r="AY23" i="6"/>
  <c r="AD14" i="6"/>
  <c r="AE14" i="6"/>
  <c r="AF13" i="6"/>
  <c r="AG12" i="6"/>
  <c r="AH11" i="6"/>
  <c r="AI9" i="6"/>
  <c r="AA341" i="2"/>
  <c r="Y338" i="2"/>
  <c r="X327" i="2"/>
  <c r="Z326" i="2"/>
  <c r="Y258" i="2"/>
  <c r="AB257" i="2"/>
  <c r="AA208" i="2"/>
  <c r="AA188" i="2"/>
  <c r="AA177" i="2"/>
  <c r="Z174" i="2"/>
  <c r="Y166" i="2"/>
  <c r="X165" i="2"/>
  <c r="W164" i="2"/>
  <c r="V163" i="2"/>
  <c r="U162" i="2"/>
  <c r="T159" i="2"/>
  <c r="W152" i="2"/>
  <c r="U149" i="2"/>
  <c r="U128" i="2"/>
  <c r="T127" i="2"/>
  <c r="AO126" i="2"/>
  <c r="AO121" i="2"/>
  <c r="U110" i="2"/>
  <c r="U99" i="2"/>
  <c r="W93" i="2"/>
  <c r="U79" i="2"/>
  <c r="U67" i="2"/>
  <c r="W65" i="2"/>
  <c r="U56" i="2"/>
  <c r="W23" i="2"/>
  <c r="V15" i="2"/>
  <c r="U14" i="2"/>
  <c r="T13" i="2"/>
  <c r="AO12" i="2"/>
  <c r="AB12" i="2"/>
  <c r="AA12" i="2"/>
  <c r="Z12" i="2"/>
  <c r="Y12" i="2"/>
  <c r="X12" i="2"/>
  <c r="C19" i="7" l="1"/>
  <c r="D19" i="7"/>
  <c r="BA22" i="6"/>
  <c r="B20" i="7"/>
  <c r="AK16" i="6"/>
  <c r="AA17" i="6"/>
  <c r="V18" i="6"/>
  <c r="Z17" i="6"/>
  <c r="AV17" i="6"/>
  <c r="AD15" i="6"/>
  <c r="AE15" i="6"/>
  <c r="AF14" i="6"/>
  <c r="AG13" i="6"/>
  <c r="AH12" i="6"/>
  <c r="AI11" i="6"/>
  <c r="X25" i="6"/>
  <c r="W78" i="6"/>
  <c r="W79" i="6" s="1"/>
  <c r="X13" i="2"/>
  <c r="Y13" i="2"/>
  <c r="Z13" i="2"/>
  <c r="AA13" i="2"/>
  <c r="AB13" i="2"/>
  <c r="T14" i="2"/>
  <c r="AO13" i="2"/>
  <c r="U15" i="2"/>
  <c r="V16" i="2"/>
  <c r="W24" i="2"/>
  <c r="U57" i="2"/>
  <c r="W66" i="2"/>
  <c r="U68" i="2"/>
  <c r="U80" i="2"/>
  <c r="W94" i="2"/>
  <c r="U100" i="2"/>
  <c r="U111" i="2"/>
  <c r="T128" i="2"/>
  <c r="AO127" i="2"/>
  <c r="U129" i="2"/>
  <c r="U150" i="2"/>
  <c r="W153" i="2"/>
  <c r="T160" i="2"/>
  <c r="U163" i="2"/>
  <c r="V164" i="2"/>
  <c r="W165" i="2"/>
  <c r="X166" i="2"/>
  <c r="Y167" i="2"/>
  <c r="Z175" i="2"/>
  <c r="AA178" i="2"/>
  <c r="AA189" i="2"/>
  <c r="AA209" i="2"/>
  <c r="AB258" i="2"/>
  <c r="Y259" i="2"/>
  <c r="Z327" i="2"/>
  <c r="X328" i="2"/>
  <c r="Y339" i="2"/>
  <c r="AA342" i="2"/>
  <c r="C20" i="7" l="1"/>
  <c r="D20" i="7"/>
  <c r="BA23" i="6"/>
  <c r="B21" i="7"/>
  <c r="AS16" i="6"/>
  <c r="AN17" i="6"/>
  <c r="AO17" i="6"/>
  <c r="AP17" i="6"/>
  <c r="AQ17" i="6"/>
  <c r="Z18" i="6"/>
  <c r="AY18" i="6"/>
  <c r="V19" i="6"/>
  <c r="AA18" i="6"/>
  <c r="AK18" i="6" s="1"/>
  <c r="AV18" i="6"/>
  <c r="AK17" i="6"/>
  <c r="W80" i="6"/>
  <c r="W81" i="6" s="1"/>
  <c r="X26" i="6"/>
  <c r="X27" i="6" s="1"/>
  <c r="X28" i="6" s="1"/>
  <c r="AY26" i="6"/>
  <c r="AD16" i="6"/>
  <c r="AE16" i="6"/>
  <c r="AF15" i="6"/>
  <c r="AG14" i="6"/>
  <c r="AH13" i="6"/>
  <c r="AI12" i="6"/>
  <c r="AA343" i="2"/>
  <c r="Y340" i="2"/>
  <c r="X329" i="2"/>
  <c r="Z328" i="2"/>
  <c r="Y260" i="2"/>
  <c r="AB259" i="2"/>
  <c r="AA210" i="2"/>
  <c r="AA190" i="2"/>
  <c r="AA179" i="2"/>
  <c r="Z176" i="2"/>
  <c r="Y168" i="2"/>
  <c r="X167" i="2"/>
  <c r="W166" i="2"/>
  <c r="V165" i="2"/>
  <c r="U164" i="2"/>
  <c r="T161" i="2"/>
  <c r="W154" i="2"/>
  <c r="U151" i="2"/>
  <c r="U130" i="2"/>
  <c r="T129" i="2"/>
  <c r="AO128" i="2"/>
  <c r="U112" i="2"/>
  <c r="U101" i="2"/>
  <c r="W95" i="2"/>
  <c r="U81" i="2"/>
  <c r="U69" i="2"/>
  <c r="W67" i="2"/>
  <c r="U58" i="2"/>
  <c r="W25" i="2"/>
  <c r="U16" i="2"/>
  <c r="T15" i="2"/>
  <c r="AO14" i="2"/>
  <c r="AB14" i="2"/>
  <c r="AA14" i="2"/>
  <c r="Z14" i="2"/>
  <c r="Y14" i="2"/>
  <c r="X14" i="2"/>
  <c r="C21" i="7" l="1"/>
  <c r="D21" i="7"/>
  <c r="BA24" i="6"/>
  <c r="B22" i="7"/>
  <c r="AS17" i="6"/>
  <c r="AN18" i="6"/>
  <c r="AO18" i="6"/>
  <c r="AP18" i="6"/>
  <c r="AQ18" i="6"/>
  <c r="AS18" i="6"/>
  <c r="AN19" i="6"/>
  <c r="AO19" i="6"/>
  <c r="AP19" i="6"/>
  <c r="AQ19" i="6"/>
  <c r="V20" i="6"/>
  <c r="AA19" i="6"/>
  <c r="AV19" i="6"/>
  <c r="Z19" i="6"/>
  <c r="AY19" i="6"/>
  <c r="AD17" i="6"/>
  <c r="AE17" i="6"/>
  <c r="AF16" i="6"/>
  <c r="AG15" i="6"/>
  <c r="AH14" i="6"/>
  <c r="AI13" i="6"/>
  <c r="X29" i="6"/>
  <c r="X30" i="6" s="1"/>
  <c r="AY29" i="6"/>
  <c r="W82" i="6"/>
  <c r="W83" i="6" s="1"/>
  <c r="X15" i="2"/>
  <c r="Y15" i="2"/>
  <c r="Z15" i="2"/>
  <c r="AA15" i="2"/>
  <c r="AB15" i="2"/>
  <c r="T16" i="2"/>
  <c r="AO15" i="2"/>
  <c r="U17" i="2"/>
  <c r="W26" i="2"/>
  <c r="U59" i="2"/>
  <c r="W68" i="2"/>
  <c r="U70" i="2"/>
  <c r="U82" i="2"/>
  <c r="W96" i="2"/>
  <c r="U102" i="2"/>
  <c r="U113" i="2"/>
  <c r="T130" i="2"/>
  <c r="AO129" i="2"/>
  <c r="U131" i="2"/>
  <c r="U152" i="2"/>
  <c r="W155" i="2"/>
  <c r="T162" i="2"/>
  <c r="U165" i="2"/>
  <c r="V166" i="2"/>
  <c r="W167" i="2"/>
  <c r="X168" i="2"/>
  <c r="Y169" i="2"/>
  <c r="Z177" i="2"/>
  <c r="AA180" i="2"/>
  <c r="AA191" i="2"/>
  <c r="AA211" i="2"/>
  <c r="AB260" i="2"/>
  <c r="Y261" i="2"/>
  <c r="X330" i="2"/>
  <c r="Y341" i="2"/>
  <c r="C22" i="7" l="1"/>
  <c r="D22" i="7"/>
  <c r="BA25" i="6"/>
  <c r="B23" i="7"/>
  <c r="AK19" i="6"/>
  <c r="AA20" i="6"/>
  <c r="V21" i="6"/>
  <c r="Z20" i="6"/>
  <c r="AV20" i="6"/>
  <c r="W84" i="6"/>
  <c r="W85" i="6" s="1"/>
  <c r="W86" i="6" s="1"/>
  <c r="X31" i="6"/>
  <c r="X32" i="6" s="1"/>
  <c r="X33" i="6" s="1"/>
  <c r="AY31" i="6"/>
  <c r="AD18" i="6"/>
  <c r="AE18" i="6"/>
  <c r="AF17" i="6"/>
  <c r="AG16" i="6"/>
  <c r="AH15" i="6"/>
  <c r="AI14" i="6"/>
  <c r="Y342" i="2"/>
  <c r="X331" i="2"/>
  <c r="Y262" i="2"/>
  <c r="AB261" i="2"/>
  <c r="AA212" i="2"/>
  <c r="AA192" i="2"/>
  <c r="Z178" i="2"/>
  <c r="Y170" i="2"/>
  <c r="X169" i="2"/>
  <c r="W168" i="2"/>
  <c r="V167" i="2"/>
  <c r="U166" i="2"/>
  <c r="T163" i="2"/>
  <c r="AO162" i="2"/>
  <c r="W156" i="2"/>
  <c r="AO153" i="2"/>
  <c r="U132" i="2"/>
  <c r="T131" i="2"/>
  <c r="AO130" i="2"/>
  <c r="W97" i="2"/>
  <c r="U83" i="2"/>
  <c r="U71" i="2"/>
  <c r="W69" i="2"/>
  <c r="W27" i="2"/>
  <c r="U18" i="2"/>
  <c r="T17" i="2"/>
  <c r="AO16" i="2"/>
  <c r="AB16" i="2"/>
  <c r="AA16" i="2"/>
  <c r="Z16" i="2"/>
  <c r="Y16" i="2"/>
  <c r="X16" i="2"/>
  <c r="C23" i="7" l="1"/>
  <c r="D23" i="7"/>
  <c r="BA26" i="6"/>
  <c r="B24" i="7"/>
  <c r="AS19" i="6"/>
  <c r="AN20" i="6"/>
  <c r="AO20" i="6"/>
  <c r="AP20" i="6"/>
  <c r="AQ20" i="6"/>
  <c r="Z21" i="6"/>
  <c r="AY21" i="6"/>
  <c r="V22" i="6"/>
  <c r="AA21" i="6"/>
  <c r="AK21" i="6" s="1"/>
  <c r="AV21" i="6"/>
  <c r="AK20" i="6"/>
  <c r="AD19" i="6"/>
  <c r="AE19" i="6"/>
  <c r="AF18" i="6"/>
  <c r="AG17" i="6"/>
  <c r="AH16" i="6"/>
  <c r="AI15" i="6"/>
  <c r="X34" i="6"/>
  <c r="X35" i="6" s="1"/>
  <c r="W87" i="6"/>
  <c r="W88" i="6" s="1"/>
  <c r="X17" i="2"/>
  <c r="Y17" i="2"/>
  <c r="Z17" i="2"/>
  <c r="AA17" i="2"/>
  <c r="AB17" i="2"/>
  <c r="T18" i="2"/>
  <c r="AO17" i="2"/>
  <c r="U19" i="2"/>
  <c r="W28" i="2"/>
  <c r="W70" i="2"/>
  <c r="U84" i="2"/>
  <c r="W98" i="2"/>
  <c r="T132" i="2"/>
  <c r="AO131" i="2"/>
  <c r="U133" i="2"/>
  <c r="AO157" i="2"/>
  <c r="T164" i="2"/>
  <c r="AO163" i="2"/>
  <c r="U167" i="2"/>
  <c r="V168" i="2"/>
  <c r="W169" i="2"/>
  <c r="X170" i="2"/>
  <c r="Y171" i="2"/>
  <c r="Z179" i="2"/>
  <c r="AA193" i="2"/>
  <c r="AA213" i="2"/>
  <c r="AB262" i="2"/>
  <c r="Y263" i="2"/>
  <c r="X332" i="2"/>
  <c r="Y343" i="2"/>
  <c r="C24" i="7" l="1"/>
  <c r="D24" i="7"/>
  <c r="BA27" i="6"/>
  <c r="B25" i="7"/>
  <c r="AS20" i="6"/>
  <c r="AN21" i="6"/>
  <c r="AO21" i="6"/>
  <c r="AP21" i="6"/>
  <c r="AQ21" i="6"/>
  <c r="AS21" i="6"/>
  <c r="AN22" i="6"/>
  <c r="AO22" i="6"/>
  <c r="AP22" i="6"/>
  <c r="AQ22" i="6"/>
  <c r="V23" i="6"/>
  <c r="AA22" i="6"/>
  <c r="AV22" i="6"/>
  <c r="Z22" i="6"/>
  <c r="AY22" i="6"/>
  <c r="W89" i="6"/>
  <c r="W90" i="6" s="1"/>
  <c r="X36" i="6"/>
  <c r="X37" i="6" s="1"/>
  <c r="AD20" i="6"/>
  <c r="AE20" i="6"/>
  <c r="AF19" i="6"/>
  <c r="AG18" i="6"/>
  <c r="AH17" i="6"/>
  <c r="AI16" i="6"/>
  <c r="X333" i="2"/>
  <c r="Y264" i="2"/>
  <c r="AB263" i="2"/>
  <c r="AA214" i="2"/>
  <c r="AA194" i="2"/>
  <c r="Z180" i="2"/>
  <c r="Y172" i="2"/>
  <c r="X171" i="2"/>
  <c r="W170" i="2"/>
  <c r="V169" i="2"/>
  <c r="U168" i="2"/>
  <c r="T165" i="2"/>
  <c r="AO164" i="2"/>
  <c r="U134" i="2"/>
  <c r="T133" i="2"/>
  <c r="AO132" i="2"/>
  <c r="W99" i="2"/>
  <c r="U85" i="2"/>
  <c r="W71" i="2"/>
  <c r="W29" i="2"/>
  <c r="U20" i="2"/>
  <c r="T19" i="2"/>
  <c r="AO18" i="2"/>
  <c r="AB18" i="2"/>
  <c r="AA18" i="2"/>
  <c r="Z18" i="2"/>
  <c r="Y18" i="2"/>
  <c r="X18" i="2"/>
  <c r="C25" i="7" l="1"/>
  <c r="D25" i="7"/>
  <c r="BA28" i="6"/>
  <c r="B26" i="7"/>
  <c r="AK22" i="6"/>
  <c r="AA23" i="6"/>
  <c r="V24" i="6"/>
  <c r="Z23" i="6"/>
  <c r="AV23" i="6"/>
  <c r="AD21" i="6"/>
  <c r="AE21" i="6"/>
  <c r="AF20" i="6"/>
  <c r="AG19" i="6"/>
  <c r="AH18" i="6"/>
  <c r="AI17" i="6"/>
  <c r="X38" i="6"/>
  <c r="X39" i="6" s="1"/>
  <c r="W91" i="6"/>
  <c r="W92" i="6" s="1"/>
  <c r="X19" i="2"/>
  <c r="Y19" i="2"/>
  <c r="Z19" i="2"/>
  <c r="AA19" i="2"/>
  <c r="AB19" i="2"/>
  <c r="T20" i="2"/>
  <c r="AO19" i="2"/>
  <c r="U21" i="2"/>
  <c r="W30" i="2"/>
  <c r="W72" i="2"/>
  <c r="U86" i="2"/>
  <c r="W100" i="2"/>
  <c r="T134" i="2"/>
  <c r="AO133" i="2"/>
  <c r="U135" i="2"/>
  <c r="T166" i="2"/>
  <c r="AO165" i="2"/>
  <c r="U169" i="2"/>
  <c r="V170" i="2"/>
  <c r="W171" i="2"/>
  <c r="X172" i="2"/>
  <c r="Y173" i="2"/>
  <c r="Z181" i="2"/>
  <c r="AA195" i="2"/>
  <c r="AA215" i="2"/>
  <c r="AB264" i="2"/>
  <c r="Y265" i="2"/>
  <c r="X334" i="2"/>
  <c r="C26" i="7" l="1"/>
  <c r="D26" i="7"/>
  <c r="BA29" i="6"/>
  <c r="B27" i="7"/>
  <c r="AS22" i="6"/>
  <c r="AN23" i="6"/>
  <c r="AO23" i="6"/>
  <c r="AP23" i="6"/>
  <c r="AQ23" i="6"/>
  <c r="Z24" i="6"/>
  <c r="AY24" i="6"/>
  <c r="V25" i="6"/>
  <c r="AA24" i="6"/>
  <c r="AK24" i="6" s="1"/>
  <c r="AV24" i="6"/>
  <c r="AK23" i="6"/>
  <c r="W93" i="6"/>
  <c r="W94" i="6" s="1"/>
  <c r="X40" i="6"/>
  <c r="X41" i="6" s="1"/>
  <c r="AY40" i="6"/>
  <c r="AD22" i="6"/>
  <c r="AE22" i="6"/>
  <c r="AF21" i="6"/>
  <c r="AG20" i="6"/>
  <c r="AH19" i="6"/>
  <c r="AI18" i="6"/>
  <c r="X335" i="2"/>
  <c r="Y266" i="2"/>
  <c r="AB265" i="2"/>
  <c r="AA216" i="2"/>
  <c r="AA196" i="2"/>
  <c r="Z182" i="2"/>
  <c r="Y174" i="2"/>
  <c r="X173" i="2"/>
  <c r="W172" i="2"/>
  <c r="V171" i="2"/>
  <c r="U170" i="2"/>
  <c r="T167" i="2"/>
  <c r="AO166" i="2"/>
  <c r="U136" i="2"/>
  <c r="T135" i="2"/>
  <c r="AO134" i="2"/>
  <c r="W101" i="2"/>
  <c r="U87" i="2"/>
  <c r="W73" i="2"/>
  <c r="W31" i="2"/>
  <c r="U22" i="2"/>
  <c r="T21" i="2"/>
  <c r="AO20" i="2"/>
  <c r="AB20" i="2"/>
  <c r="AA20" i="2"/>
  <c r="Z20" i="2"/>
  <c r="Y20" i="2"/>
  <c r="X20" i="2"/>
  <c r="C27" i="7" l="1"/>
  <c r="D27" i="7"/>
  <c r="BA30" i="6"/>
  <c r="B28" i="7"/>
  <c r="AS23" i="6"/>
  <c r="AN24" i="6"/>
  <c r="AO24" i="6"/>
  <c r="AP24" i="6"/>
  <c r="AQ24" i="6"/>
  <c r="AS24" i="6"/>
  <c r="AN25" i="6"/>
  <c r="AO25" i="6"/>
  <c r="AP25" i="6"/>
  <c r="AQ25" i="6"/>
  <c r="V26" i="6"/>
  <c r="AA25" i="6"/>
  <c r="AV25" i="6"/>
  <c r="Z25" i="6"/>
  <c r="Z26" i="6" s="1"/>
  <c r="AY25" i="6"/>
  <c r="AD23" i="6"/>
  <c r="AE23" i="6"/>
  <c r="AF22" i="6"/>
  <c r="AG21" i="6"/>
  <c r="AH20" i="6"/>
  <c r="AI19" i="6"/>
  <c r="X42" i="6"/>
  <c r="X43" i="6" s="1"/>
  <c r="AY42" i="6"/>
  <c r="W95" i="6"/>
  <c r="W96" i="6" s="1"/>
  <c r="X21" i="2"/>
  <c r="Y21" i="2"/>
  <c r="Z21" i="2"/>
  <c r="AA21" i="2"/>
  <c r="AB21" i="2"/>
  <c r="T22" i="2"/>
  <c r="AO21" i="2"/>
  <c r="U23" i="2"/>
  <c r="W32" i="2"/>
  <c r="W74" i="2"/>
  <c r="U88" i="2"/>
  <c r="W102" i="2"/>
  <c r="T136" i="2"/>
  <c r="AO135" i="2"/>
  <c r="U137" i="2"/>
  <c r="T168" i="2"/>
  <c r="AO167" i="2"/>
  <c r="U171" i="2"/>
  <c r="V172" i="2"/>
  <c r="W173" i="2"/>
  <c r="X174" i="2"/>
  <c r="Y175" i="2"/>
  <c r="Z183" i="2"/>
  <c r="AA197" i="2"/>
  <c r="AA217" i="2"/>
  <c r="AB266" i="2"/>
  <c r="Y267" i="2"/>
  <c r="X336" i="2"/>
  <c r="C28" i="7" l="1"/>
  <c r="D28" i="7"/>
  <c r="BA31" i="6"/>
  <c r="B29" i="7"/>
  <c r="AK25" i="6"/>
  <c r="AA26" i="6"/>
  <c r="V27" i="6"/>
  <c r="Y26" i="6"/>
  <c r="AV26" i="6"/>
  <c r="W97" i="6"/>
  <c r="W98" i="6" s="1"/>
  <c r="X44" i="6"/>
  <c r="X45" i="6" s="1"/>
  <c r="X46" i="6" s="1"/>
  <c r="AY44" i="6"/>
  <c r="AD24" i="6"/>
  <c r="AE24" i="6"/>
  <c r="AF23" i="6"/>
  <c r="AG22" i="6"/>
  <c r="AH21" i="6"/>
  <c r="AI20" i="6"/>
  <c r="X337" i="2"/>
  <c r="Y268" i="2"/>
  <c r="AB267" i="2"/>
  <c r="AA218" i="2"/>
  <c r="AA198" i="2"/>
  <c r="Z184" i="2"/>
  <c r="Y176" i="2"/>
  <c r="X175" i="2"/>
  <c r="W174" i="2"/>
  <c r="V173" i="2"/>
  <c r="U172" i="2"/>
  <c r="T169" i="2"/>
  <c r="AO168" i="2"/>
  <c r="U138" i="2"/>
  <c r="T137" i="2"/>
  <c r="AO136" i="2"/>
  <c r="W103" i="2"/>
  <c r="W75" i="2"/>
  <c r="W33" i="2"/>
  <c r="U24" i="2"/>
  <c r="T23" i="2"/>
  <c r="AO22" i="2"/>
  <c r="AB22" i="2"/>
  <c r="AA22" i="2"/>
  <c r="Z22" i="2"/>
  <c r="Y22" i="2"/>
  <c r="X22" i="2"/>
  <c r="C29" i="7" l="1"/>
  <c r="D29" i="7"/>
  <c r="BA32" i="6"/>
  <c r="B30" i="7"/>
  <c r="AS25" i="6"/>
  <c r="AN26" i="6"/>
  <c r="AO26" i="6"/>
  <c r="AP26" i="6"/>
  <c r="AQ26" i="6"/>
  <c r="Y27" i="6"/>
  <c r="Y28" i="6" s="1"/>
  <c r="AY27" i="6"/>
  <c r="V28" i="6"/>
  <c r="Z27" i="6"/>
  <c r="AV27" i="6"/>
  <c r="AK26" i="6"/>
  <c r="AA27" i="6"/>
  <c r="AK27" i="6" s="1"/>
  <c r="AD25" i="6"/>
  <c r="AE25" i="6"/>
  <c r="AF24" i="6"/>
  <c r="AG23" i="6"/>
  <c r="AH22" i="6"/>
  <c r="AI21" i="6"/>
  <c r="X47" i="6"/>
  <c r="X48" i="6" s="1"/>
  <c r="W99" i="6"/>
  <c r="W100" i="6" s="1"/>
  <c r="X23" i="2"/>
  <c r="Y23" i="2"/>
  <c r="Z23" i="2"/>
  <c r="AA23" i="2"/>
  <c r="AB23" i="2"/>
  <c r="T24" i="2"/>
  <c r="AO23" i="2"/>
  <c r="U25" i="2"/>
  <c r="W34" i="2"/>
  <c r="W76" i="2"/>
  <c r="W104" i="2"/>
  <c r="T138" i="2"/>
  <c r="AO137" i="2"/>
  <c r="U139" i="2"/>
  <c r="T170" i="2"/>
  <c r="AO169" i="2"/>
  <c r="U173" i="2"/>
  <c r="V174" i="2"/>
  <c r="W175" i="2"/>
  <c r="X176" i="2"/>
  <c r="Y177" i="2"/>
  <c r="Z185" i="2"/>
  <c r="AA199" i="2"/>
  <c r="AA219" i="2"/>
  <c r="AB268" i="2"/>
  <c r="Y269" i="2"/>
  <c r="X338" i="2"/>
  <c r="C30" i="7" l="1"/>
  <c r="D30" i="7"/>
  <c r="BA33" i="6"/>
  <c r="B31" i="7"/>
  <c r="AQ28" i="6"/>
  <c r="AS26" i="6"/>
  <c r="AN27" i="6"/>
  <c r="AN28" i="6" s="1"/>
  <c r="AO27" i="6"/>
  <c r="AO28" i="6" s="1"/>
  <c r="AP27" i="6"/>
  <c r="AS27" i="6" s="1"/>
  <c r="AQ27" i="6"/>
  <c r="Z28" i="6"/>
  <c r="Z29" i="6" s="1"/>
  <c r="AY28" i="6"/>
  <c r="V29" i="6"/>
  <c r="AA28" i="6"/>
  <c r="AV28" i="6"/>
  <c r="W101" i="6"/>
  <c r="W102" i="6" s="1"/>
  <c r="X49" i="6"/>
  <c r="X50" i="6" s="1"/>
  <c r="AD26" i="6"/>
  <c r="AE26" i="6"/>
  <c r="AF25" i="6"/>
  <c r="AG24" i="6"/>
  <c r="AH23" i="6"/>
  <c r="AI22" i="6"/>
  <c r="Y270" i="2"/>
  <c r="AB269" i="2"/>
  <c r="AA220" i="2"/>
  <c r="AA200" i="2"/>
  <c r="Z186" i="2"/>
  <c r="Y178" i="2"/>
  <c r="X177" i="2"/>
  <c r="W176" i="2"/>
  <c r="V175" i="2"/>
  <c r="U174" i="2"/>
  <c r="T171" i="2"/>
  <c r="AO170" i="2"/>
  <c r="U140" i="2"/>
  <c r="T139" i="2"/>
  <c r="AO138" i="2"/>
  <c r="W105" i="2"/>
  <c r="W77" i="2"/>
  <c r="W35" i="2"/>
  <c r="U26" i="2"/>
  <c r="T25" i="2"/>
  <c r="AO24" i="2"/>
  <c r="AB24" i="2"/>
  <c r="AA24" i="2"/>
  <c r="Z24" i="2"/>
  <c r="Y24" i="2"/>
  <c r="X24" i="2"/>
  <c r="C31" i="7" l="1"/>
  <c r="D31" i="7"/>
  <c r="BA34" i="6"/>
  <c r="B32" i="7"/>
  <c r="AP28" i="6"/>
  <c r="AK28" i="6"/>
  <c r="AA29" i="6"/>
  <c r="V30" i="6"/>
  <c r="Y29" i="6"/>
  <c r="Y30" i="6" s="1"/>
  <c r="AV29" i="6"/>
  <c r="Z30" i="6"/>
  <c r="Z31" i="6" s="1"/>
  <c r="AY30" i="6"/>
  <c r="AD27" i="6"/>
  <c r="AE27" i="6"/>
  <c r="AF26" i="6"/>
  <c r="AG25" i="6"/>
  <c r="AH24" i="6"/>
  <c r="AI23" i="6"/>
  <c r="X51" i="6"/>
  <c r="X52" i="6" s="1"/>
  <c r="W103" i="6"/>
  <c r="W104" i="6" s="1"/>
  <c r="W105" i="6" s="1"/>
  <c r="X25" i="2"/>
  <c r="Y25" i="2"/>
  <c r="Z25" i="2"/>
  <c r="AA25" i="2"/>
  <c r="AB25" i="2"/>
  <c r="T26" i="2"/>
  <c r="AO25" i="2"/>
  <c r="U27" i="2"/>
  <c r="W36" i="2"/>
  <c r="W78" i="2"/>
  <c r="W106" i="2"/>
  <c r="T140" i="2"/>
  <c r="AO139" i="2"/>
  <c r="U141" i="2"/>
  <c r="T172" i="2"/>
  <c r="U175" i="2"/>
  <c r="V176" i="2"/>
  <c r="W177" i="2"/>
  <c r="X178" i="2"/>
  <c r="Y179" i="2"/>
  <c r="Z187" i="2"/>
  <c r="AA221" i="2"/>
  <c r="AB270" i="2"/>
  <c r="Y271" i="2"/>
  <c r="C32" i="7" l="1"/>
  <c r="D32" i="7"/>
  <c r="BA35" i="6"/>
  <c r="B33" i="7"/>
  <c r="AS28" i="6"/>
  <c r="AN29" i="6"/>
  <c r="AO29" i="6"/>
  <c r="AP29" i="6"/>
  <c r="AQ29" i="6"/>
  <c r="V31" i="6"/>
  <c r="AA30" i="6"/>
  <c r="AV30" i="6"/>
  <c r="AK29" i="6"/>
  <c r="W106" i="6"/>
  <c r="W107" i="6" s="1"/>
  <c r="AY106" i="6"/>
  <c r="X53" i="6"/>
  <c r="X54" i="6" s="1"/>
  <c r="AD28" i="6"/>
  <c r="AE28" i="6"/>
  <c r="AF27" i="6"/>
  <c r="AG26" i="6"/>
  <c r="AH25" i="6"/>
  <c r="AI24" i="6"/>
  <c r="Y272" i="2"/>
  <c r="AB271" i="2"/>
  <c r="AA222" i="2"/>
  <c r="Z188" i="2"/>
  <c r="Y180" i="2"/>
  <c r="X179" i="2"/>
  <c r="W178" i="2"/>
  <c r="V177" i="2"/>
  <c r="U176" i="2"/>
  <c r="T173" i="2"/>
  <c r="AO172" i="2"/>
  <c r="T141" i="2"/>
  <c r="AO140" i="2"/>
  <c r="W107" i="2"/>
  <c r="W79" i="2"/>
  <c r="W37" i="2"/>
  <c r="U28" i="2"/>
  <c r="T27" i="2"/>
  <c r="AO26" i="2"/>
  <c r="AB26" i="2"/>
  <c r="AA26" i="2"/>
  <c r="Z26" i="2"/>
  <c r="Y26" i="2"/>
  <c r="X26" i="2"/>
  <c r="C33" i="7" l="1"/>
  <c r="D33" i="7"/>
  <c r="BA36" i="6"/>
  <c r="B34" i="7"/>
  <c r="AS29" i="6"/>
  <c r="AN30" i="6"/>
  <c r="AO30" i="6"/>
  <c r="AP30" i="6"/>
  <c r="AQ30" i="6"/>
  <c r="AK30" i="6"/>
  <c r="AA31" i="6"/>
  <c r="V32" i="6"/>
  <c r="Y31" i="6"/>
  <c r="AV31" i="6"/>
  <c r="AD29" i="6"/>
  <c r="AE29" i="6"/>
  <c r="AF28" i="6"/>
  <c r="AG27" i="6"/>
  <c r="AH26" i="6"/>
  <c r="AI25" i="6"/>
  <c r="X55" i="6"/>
  <c r="X56" i="6" s="1"/>
  <c r="W108" i="6"/>
  <c r="W109" i="6" s="1"/>
  <c r="W110" i="6" s="1"/>
  <c r="W111" i="6" s="1"/>
  <c r="AY108" i="6"/>
  <c r="X27" i="2"/>
  <c r="Y27" i="2"/>
  <c r="Z27" i="2"/>
  <c r="AA27" i="2"/>
  <c r="AB27" i="2"/>
  <c r="T28" i="2"/>
  <c r="AO27" i="2"/>
  <c r="U29" i="2"/>
  <c r="W38" i="2"/>
  <c r="W80" i="2"/>
  <c r="W108" i="2"/>
  <c r="T142" i="2"/>
  <c r="AO141" i="2"/>
  <c r="T174" i="2"/>
  <c r="AO173" i="2"/>
  <c r="U177" i="2"/>
  <c r="V178" i="2"/>
  <c r="W179" i="2"/>
  <c r="X180" i="2"/>
  <c r="Y181" i="2"/>
  <c r="Z189" i="2"/>
  <c r="AA223" i="2"/>
  <c r="AB272" i="2"/>
  <c r="Y273" i="2"/>
  <c r="C34" i="7" l="1"/>
  <c r="D34" i="7"/>
  <c r="BA37" i="6"/>
  <c r="B35" i="7"/>
  <c r="AS30" i="6"/>
  <c r="AN31" i="6"/>
  <c r="AO31" i="6"/>
  <c r="AP31" i="6"/>
  <c r="AQ31" i="6"/>
  <c r="Y32" i="6"/>
  <c r="Y33" i="6" s="1"/>
  <c r="AY32" i="6"/>
  <c r="V33" i="6"/>
  <c r="Z32" i="6"/>
  <c r="AV32" i="6"/>
  <c r="AK31" i="6"/>
  <c r="AA32" i="6"/>
  <c r="AK32" i="6" s="1"/>
  <c r="W112" i="6"/>
  <c r="W113" i="6" s="1"/>
  <c r="AD30" i="6"/>
  <c r="AE30" i="6"/>
  <c r="AF29" i="6"/>
  <c r="AG28" i="6"/>
  <c r="AH27" i="6"/>
  <c r="AI26" i="6"/>
  <c r="Y274" i="2"/>
  <c r="AB273" i="2"/>
  <c r="AA224" i="2"/>
  <c r="Z190" i="2"/>
  <c r="Y182" i="2"/>
  <c r="X181" i="2"/>
  <c r="W180" i="2"/>
  <c r="V179" i="2"/>
  <c r="U178" i="2"/>
  <c r="T175" i="2"/>
  <c r="AO174" i="2"/>
  <c r="T143" i="2"/>
  <c r="W109" i="2"/>
  <c r="W81" i="2"/>
  <c r="W39" i="2"/>
  <c r="U30" i="2"/>
  <c r="T29" i="2"/>
  <c r="AO28" i="2"/>
  <c r="AB28" i="2"/>
  <c r="AA28" i="2"/>
  <c r="Z28" i="2"/>
  <c r="Y28" i="2"/>
  <c r="X28" i="2"/>
  <c r="C35" i="7" l="1"/>
  <c r="D35" i="7"/>
  <c r="BA38" i="6"/>
  <c r="B36" i="7"/>
  <c r="AQ33" i="6"/>
  <c r="AS31" i="6"/>
  <c r="AN32" i="6"/>
  <c r="AN33" i="6" s="1"/>
  <c r="AO32" i="6"/>
  <c r="AO33" i="6" s="1"/>
  <c r="AP32" i="6"/>
  <c r="AS32" i="6" s="1"/>
  <c r="AQ32" i="6"/>
  <c r="Z33" i="6"/>
  <c r="AY33" i="6"/>
  <c r="V34" i="6"/>
  <c r="AA33" i="6"/>
  <c r="AV33" i="6"/>
  <c r="Y34" i="6"/>
  <c r="Y35" i="6" s="1"/>
  <c r="AY34" i="6"/>
  <c r="AD31" i="6"/>
  <c r="AE31" i="6"/>
  <c r="AF30" i="6"/>
  <c r="AG29" i="6"/>
  <c r="AH28" i="6"/>
  <c r="AI27" i="6"/>
  <c r="W114" i="6"/>
  <c r="W115" i="6" s="1"/>
  <c r="W116" i="6" s="1"/>
  <c r="X29" i="2"/>
  <c r="Y29" i="2"/>
  <c r="Z29" i="2"/>
  <c r="AA29" i="2"/>
  <c r="AB29" i="2"/>
  <c r="T30" i="2"/>
  <c r="AO29" i="2"/>
  <c r="U31" i="2"/>
  <c r="W40" i="2"/>
  <c r="W82" i="2"/>
  <c r="W110" i="2"/>
  <c r="AO142" i="2"/>
  <c r="T144" i="2"/>
  <c r="AO143" i="2"/>
  <c r="T176" i="2"/>
  <c r="AO175" i="2"/>
  <c r="U179" i="2"/>
  <c r="V180" i="2"/>
  <c r="W181" i="2"/>
  <c r="X182" i="2"/>
  <c r="Y183" i="2"/>
  <c r="Z191" i="2"/>
  <c r="AA225" i="2"/>
  <c r="AB274" i="2"/>
  <c r="Y275" i="2"/>
  <c r="C36" i="7" l="1"/>
  <c r="D36" i="7"/>
  <c r="BA39" i="6"/>
  <c r="B37" i="7"/>
  <c r="AP33" i="6"/>
  <c r="Y36" i="6"/>
  <c r="Y37" i="6" s="1"/>
  <c r="AY36" i="6"/>
  <c r="AK33" i="6"/>
  <c r="AA34" i="6"/>
  <c r="V35" i="6"/>
  <c r="Z34" i="6"/>
  <c r="AV34" i="6"/>
  <c r="AD32" i="6"/>
  <c r="AE32" i="6"/>
  <c r="AF31" i="6"/>
  <c r="AG30" i="6"/>
  <c r="AH29" i="6"/>
  <c r="AI28" i="6"/>
  <c r="Y276" i="2"/>
  <c r="AB275" i="2"/>
  <c r="AA226" i="2"/>
  <c r="Z192" i="2"/>
  <c r="Y184" i="2"/>
  <c r="X183" i="2"/>
  <c r="W182" i="2"/>
  <c r="V181" i="2"/>
  <c r="U180" i="2"/>
  <c r="T177" i="2"/>
  <c r="AO176" i="2"/>
  <c r="T145" i="2"/>
  <c r="AO144" i="2"/>
  <c r="W111" i="2"/>
  <c r="W41" i="2"/>
  <c r="U32" i="2"/>
  <c r="T31" i="2"/>
  <c r="AO30" i="2"/>
  <c r="AB30" i="2"/>
  <c r="AA30" i="2"/>
  <c r="Z30" i="2"/>
  <c r="Y30" i="2"/>
  <c r="X30" i="2"/>
  <c r="C37" i="7" l="1"/>
  <c r="D37" i="7"/>
  <c r="BA40" i="6"/>
  <c r="B38" i="7"/>
  <c r="AS33" i="6"/>
  <c r="AN34" i="6"/>
  <c r="AO34" i="6"/>
  <c r="AP34" i="6"/>
  <c r="AQ34" i="6"/>
  <c r="Z35" i="6"/>
  <c r="AY35" i="6"/>
  <c r="V36" i="6"/>
  <c r="AA35" i="6"/>
  <c r="AV35" i="6"/>
  <c r="AK34" i="6"/>
  <c r="Y38" i="6"/>
  <c r="Y39" i="6" s="1"/>
  <c r="AY38" i="6"/>
  <c r="AD33" i="6"/>
  <c r="AE33" i="6"/>
  <c r="AF32" i="6"/>
  <c r="AG31" i="6"/>
  <c r="AH30" i="6"/>
  <c r="AI29" i="6"/>
  <c r="X31" i="2"/>
  <c r="Y31" i="2"/>
  <c r="Z31" i="2"/>
  <c r="AA31" i="2"/>
  <c r="AB31" i="2"/>
  <c r="T32" i="2"/>
  <c r="AO31" i="2"/>
  <c r="U33" i="2"/>
  <c r="W42" i="2"/>
  <c r="W112" i="2"/>
  <c r="T146" i="2"/>
  <c r="AO145" i="2"/>
  <c r="T178" i="2"/>
  <c r="AO177" i="2"/>
  <c r="U181" i="2"/>
  <c r="V182" i="2"/>
  <c r="W183" i="2"/>
  <c r="X184" i="2"/>
  <c r="Y185" i="2"/>
  <c r="Z193" i="2"/>
  <c r="AA227" i="2"/>
  <c r="AB276" i="2"/>
  <c r="Y277" i="2"/>
  <c r="C38" i="7" l="1"/>
  <c r="D38" i="7"/>
  <c r="BA41" i="6"/>
  <c r="B39" i="7"/>
  <c r="AS34" i="6"/>
  <c r="AN35" i="6"/>
  <c r="AO35" i="6"/>
  <c r="AP35" i="6"/>
  <c r="AQ35" i="6"/>
  <c r="AK35" i="6"/>
  <c r="AA36" i="6"/>
  <c r="V37" i="6"/>
  <c r="Z36" i="6"/>
  <c r="AV36" i="6"/>
  <c r="AD34" i="6"/>
  <c r="AE34" i="6"/>
  <c r="AF33" i="6"/>
  <c r="AG32" i="6"/>
  <c r="AH31" i="6"/>
  <c r="AI30" i="6"/>
  <c r="Y278" i="2"/>
  <c r="AB277" i="2"/>
  <c r="AA228" i="2"/>
  <c r="Z194" i="2"/>
  <c r="Y186" i="2"/>
  <c r="X185" i="2"/>
  <c r="W184" i="2"/>
  <c r="V183" i="2"/>
  <c r="U182" i="2"/>
  <c r="T179" i="2"/>
  <c r="AO178" i="2"/>
  <c r="T147" i="2"/>
  <c r="AO146" i="2"/>
  <c r="W113" i="2"/>
  <c r="W43" i="2"/>
  <c r="U34" i="2"/>
  <c r="T33" i="2"/>
  <c r="AO32" i="2"/>
  <c r="AB32" i="2"/>
  <c r="AA32" i="2"/>
  <c r="Z32" i="2"/>
  <c r="Y32" i="2"/>
  <c r="X32" i="2"/>
  <c r="C39" i="7" l="1"/>
  <c r="D39" i="7"/>
  <c r="BA42" i="6"/>
  <c r="B40" i="7"/>
  <c r="AS35" i="6"/>
  <c r="AN36" i="6"/>
  <c r="AO36" i="6"/>
  <c r="AP36" i="6"/>
  <c r="AQ36" i="6"/>
  <c r="Z37" i="6"/>
  <c r="AY37" i="6"/>
  <c r="V38" i="6"/>
  <c r="AA37" i="6"/>
  <c r="AV37" i="6"/>
  <c r="AK36" i="6"/>
  <c r="AD35" i="6"/>
  <c r="AE35" i="6"/>
  <c r="AF34" i="6"/>
  <c r="AG33" i="6"/>
  <c r="AH32" i="6"/>
  <c r="AI31" i="6"/>
  <c r="X33" i="2"/>
  <c r="Y33" i="2"/>
  <c r="Z33" i="2"/>
  <c r="AA33" i="2"/>
  <c r="AB33" i="2"/>
  <c r="T34" i="2"/>
  <c r="AO33" i="2"/>
  <c r="U35" i="2"/>
  <c r="W44" i="2"/>
  <c r="W114" i="2"/>
  <c r="T148" i="2"/>
  <c r="AO147" i="2"/>
  <c r="T180" i="2"/>
  <c r="AO179" i="2"/>
  <c r="U183" i="2"/>
  <c r="V184" i="2"/>
  <c r="W185" i="2"/>
  <c r="X186" i="2"/>
  <c r="Y187" i="2"/>
  <c r="Z195" i="2"/>
  <c r="AA229" i="2"/>
  <c r="AB278" i="2"/>
  <c r="Y279" i="2"/>
  <c r="C40" i="7" l="1"/>
  <c r="D40" i="7"/>
  <c r="BA43" i="6"/>
  <c r="B41" i="7"/>
  <c r="AS36" i="6"/>
  <c r="AN37" i="6"/>
  <c r="AO37" i="6"/>
  <c r="AP37" i="6"/>
  <c r="AQ37" i="6"/>
  <c r="AK37" i="6"/>
  <c r="AA38" i="6"/>
  <c r="V39" i="6"/>
  <c r="Z38" i="6"/>
  <c r="AV38" i="6"/>
  <c r="AD36" i="6"/>
  <c r="AE36" i="6"/>
  <c r="AF35" i="6"/>
  <c r="AG34" i="6"/>
  <c r="AH33" i="6"/>
  <c r="AI32" i="6"/>
  <c r="Y280" i="2"/>
  <c r="AB279" i="2"/>
  <c r="AA230" i="2"/>
  <c r="Z196" i="2"/>
  <c r="Y188" i="2"/>
  <c r="X187" i="2"/>
  <c r="W186" i="2"/>
  <c r="V185" i="2"/>
  <c r="U184" i="2"/>
  <c r="T181" i="2"/>
  <c r="AO180" i="2"/>
  <c r="T149" i="2"/>
  <c r="AO148" i="2"/>
  <c r="W115" i="2"/>
  <c r="W45" i="2"/>
  <c r="U36" i="2"/>
  <c r="T35" i="2"/>
  <c r="AO34" i="2"/>
  <c r="AB34" i="2"/>
  <c r="AA34" i="2"/>
  <c r="Z34" i="2"/>
  <c r="Y34" i="2"/>
  <c r="X34" i="2"/>
  <c r="C41" i="7" l="1"/>
  <c r="D41" i="7"/>
  <c r="BA44" i="6"/>
  <c r="B42" i="7"/>
  <c r="AS37" i="6"/>
  <c r="AN38" i="6"/>
  <c r="AO38" i="6"/>
  <c r="AP38" i="6"/>
  <c r="AQ38" i="6"/>
  <c r="Z39" i="6"/>
  <c r="Z40" i="6" s="1"/>
  <c r="AY39" i="6"/>
  <c r="V40" i="6"/>
  <c r="AA39" i="6"/>
  <c r="AV39" i="6"/>
  <c r="AK38" i="6"/>
  <c r="AD37" i="6"/>
  <c r="AE37" i="6"/>
  <c r="AF36" i="6"/>
  <c r="AG35" i="6"/>
  <c r="AH34" i="6"/>
  <c r="AI33" i="6"/>
  <c r="X35" i="2"/>
  <c r="Y35" i="2"/>
  <c r="Z35" i="2"/>
  <c r="AA35" i="2"/>
  <c r="AB35" i="2"/>
  <c r="T36" i="2"/>
  <c r="AO35" i="2"/>
  <c r="U37" i="2"/>
  <c r="W46" i="2"/>
  <c r="W116" i="2"/>
  <c r="T150" i="2"/>
  <c r="AO149" i="2"/>
  <c r="T182" i="2"/>
  <c r="AO181" i="2"/>
  <c r="U185" i="2"/>
  <c r="V186" i="2"/>
  <c r="W187" i="2"/>
  <c r="X188" i="2"/>
  <c r="Y189" i="2"/>
  <c r="Z197" i="2"/>
  <c r="AA231" i="2"/>
  <c r="AB280" i="2"/>
  <c r="Y281" i="2"/>
  <c r="C42" i="7" l="1"/>
  <c r="D42" i="7"/>
  <c r="BA45" i="6"/>
  <c r="B43" i="7"/>
  <c r="AS38" i="6"/>
  <c r="AN39" i="6"/>
  <c r="AO39" i="6"/>
  <c r="AP39" i="6"/>
  <c r="AQ39" i="6"/>
  <c r="AK39" i="6"/>
  <c r="AA40" i="6"/>
  <c r="V41" i="6"/>
  <c r="Y40" i="6"/>
  <c r="Y41" i="6" s="1"/>
  <c r="AV40" i="6"/>
  <c r="Z41" i="6"/>
  <c r="Z42" i="6" s="1"/>
  <c r="AY41" i="6"/>
  <c r="AD38" i="6"/>
  <c r="AE38" i="6"/>
  <c r="AF37" i="6"/>
  <c r="AG36" i="6"/>
  <c r="AH35" i="6"/>
  <c r="AI34" i="6"/>
  <c r="Y282" i="2"/>
  <c r="AB281" i="2"/>
  <c r="AA232" i="2"/>
  <c r="Z198" i="2"/>
  <c r="Y190" i="2"/>
  <c r="X189" i="2"/>
  <c r="W188" i="2"/>
  <c r="V187" i="2"/>
  <c r="U186" i="2"/>
  <c r="T183" i="2"/>
  <c r="AO182" i="2"/>
  <c r="T151" i="2"/>
  <c r="AO150" i="2"/>
  <c r="W117" i="2"/>
  <c r="W47" i="2"/>
  <c r="U38" i="2"/>
  <c r="T37" i="2"/>
  <c r="AO36" i="2"/>
  <c r="AB36" i="2"/>
  <c r="AA36" i="2"/>
  <c r="Z36" i="2"/>
  <c r="Y36" i="2"/>
  <c r="X36" i="2"/>
  <c r="C43" i="7" l="1"/>
  <c r="D43" i="7"/>
  <c r="BA46" i="6"/>
  <c r="B44" i="7"/>
  <c r="AS39" i="6"/>
  <c r="AN40" i="6"/>
  <c r="AO40" i="6"/>
  <c r="AP40" i="6"/>
  <c r="AQ40" i="6"/>
  <c r="Z43" i="6"/>
  <c r="Z44" i="6" s="1"/>
  <c r="V42" i="6"/>
  <c r="AA41" i="6"/>
  <c r="AV41" i="6"/>
  <c r="AK40" i="6"/>
  <c r="AD39" i="6"/>
  <c r="AE39" i="6"/>
  <c r="AF38" i="6"/>
  <c r="AG37" i="6"/>
  <c r="AH36" i="6"/>
  <c r="AI35" i="6"/>
  <c r="X37" i="2"/>
  <c r="Y37" i="2"/>
  <c r="Z37" i="2"/>
  <c r="AA37" i="2"/>
  <c r="AB37" i="2"/>
  <c r="T38" i="2"/>
  <c r="AO37" i="2"/>
  <c r="U39" i="2"/>
  <c r="W48" i="2"/>
  <c r="W118" i="2"/>
  <c r="AO151" i="2"/>
  <c r="AO152" i="2"/>
  <c r="T184" i="2"/>
  <c r="AO183" i="2"/>
  <c r="U187" i="2"/>
  <c r="V188" i="2"/>
  <c r="W189" i="2"/>
  <c r="X190" i="2"/>
  <c r="Y191" i="2"/>
  <c r="Z199" i="2"/>
  <c r="AA233" i="2"/>
  <c r="AB282" i="2"/>
  <c r="Y283" i="2"/>
  <c r="C44" i="7" l="1"/>
  <c r="D44" i="7"/>
  <c r="BA47" i="6"/>
  <c r="B45" i="7"/>
  <c r="AS40" i="6"/>
  <c r="AN41" i="6"/>
  <c r="AO41" i="6"/>
  <c r="AP41" i="6"/>
  <c r="AQ41" i="6"/>
  <c r="AK41" i="6"/>
  <c r="AA42" i="6"/>
  <c r="V43" i="6"/>
  <c r="Y42" i="6"/>
  <c r="AV42" i="6"/>
  <c r="AD40" i="6"/>
  <c r="AE40" i="6"/>
  <c r="AF39" i="6"/>
  <c r="AG38" i="6"/>
  <c r="AH37" i="6"/>
  <c r="AI36" i="6"/>
  <c r="Y284" i="2"/>
  <c r="AB283" i="2"/>
  <c r="AA234" i="2"/>
  <c r="Z200" i="2"/>
  <c r="Y192" i="2"/>
  <c r="X191" i="2"/>
  <c r="W190" i="2"/>
  <c r="V189" i="2"/>
  <c r="U188" i="2"/>
  <c r="T185" i="2"/>
  <c r="AO184" i="2"/>
  <c r="W119" i="2"/>
  <c r="W49" i="2"/>
  <c r="U40" i="2"/>
  <c r="T39" i="2"/>
  <c r="AO38" i="2"/>
  <c r="AB38" i="2"/>
  <c r="AA38" i="2"/>
  <c r="Z38" i="2"/>
  <c r="Y38" i="2"/>
  <c r="X38" i="2"/>
  <c r="C45" i="7" l="1"/>
  <c r="D45" i="7"/>
  <c r="BA48" i="6"/>
  <c r="B46" i="7"/>
  <c r="AS41" i="6"/>
  <c r="AN42" i="6"/>
  <c r="AO42" i="6"/>
  <c r="AP42" i="6"/>
  <c r="AQ42" i="6"/>
  <c r="Y43" i="6"/>
  <c r="AY43" i="6"/>
  <c r="V44" i="6"/>
  <c r="AA43" i="6"/>
  <c r="AV43" i="6"/>
  <c r="AK42" i="6"/>
  <c r="AD41" i="6"/>
  <c r="AE41" i="6"/>
  <c r="AF40" i="6"/>
  <c r="AG39" i="6"/>
  <c r="AH38" i="6"/>
  <c r="AI37" i="6"/>
  <c r="X39" i="2"/>
  <c r="Y39" i="2"/>
  <c r="Z39" i="2"/>
  <c r="AA39" i="2"/>
  <c r="AB39" i="2"/>
  <c r="T40" i="2"/>
  <c r="AO39" i="2"/>
  <c r="U41" i="2"/>
  <c r="W50" i="2"/>
  <c r="W120" i="2"/>
  <c r="T186" i="2"/>
  <c r="AO185" i="2"/>
  <c r="U189" i="2"/>
  <c r="V190" i="2"/>
  <c r="W191" i="2"/>
  <c r="X192" i="2"/>
  <c r="Y193" i="2"/>
  <c r="Z201" i="2"/>
  <c r="AA235" i="2"/>
  <c r="AB284" i="2"/>
  <c r="Y285" i="2"/>
  <c r="C46" i="7" l="1"/>
  <c r="D46" i="7"/>
  <c r="BA49" i="6"/>
  <c r="B47" i="7"/>
  <c r="AS42" i="6"/>
  <c r="AN43" i="6"/>
  <c r="AO43" i="6"/>
  <c r="AP43" i="6"/>
  <c r="AQ43" i="6"/>
  <c r="AK43" i="6"/>
  <c r="AA44" i="6"/>
  <c r="V45" i="6"/>
  <c r="Y44" i="6"/>
  <c r="AV44" i="6"/>
  <c r="AD42" i="6"/>
  <c r="AE42" i="6"/>
  <c r="AF41" i="6"/>
  <c r="AG40" i="6"/>
  <c r="AH39" i="6"/>
  <c r="AI38" i="6"/>
  <c r="Y286" i="2"/>
  <c r="AB285" i="2"/>
  <c r="AA236" i="2"/>
  <c r="Z202" i="2"/>
  <c r="Y194" i="2"/>
  <c r="X193" i="2"/>
  <c r="W192" i="2"/>
  <c r="V191" i="2"/>
  <c r="U190" i="2"/>
  <c r="T187" i="2"/>
  <c r="AO186" i="2"/>
  <c r="W121" i="2"/>
  <c r="W51" i="2"/>
  <c r="U42" i="2"/>
  <c r="T41" i="2"/>
  <c r="AO40" i="2"/>
  <c r="AB40" i="2"/>
  <c r="AA40" i="2"/>
  <c r="Z40" i="2"/>
  <c r="Y40" i="2"/>
  <c r="X40" i="2"/>
  <c r="C47" i="7" l="1"/>
  <c r="D47" i="7"/>
  <c r="BA50" i="6"/>
  <c r="B48" i="7"/>
  <c r="AS43" i="6"/>
  <c r="AN44" i="6"/>
  <c r="AO44" i="6"/>
  <c r="AP44" i="6"/>
  <c r="AQ44" i="6"/>
  <c r="Y45" i="6"/>
  <c r="Y46" i="6" s="1"/>
  <c r="AY45" i="6"/>
  <c r="V46" i="6"/>
  <c r="Z45" i="6"/>
  <c r="AV45" i="6"/>
  <c r="AK44" i="6"/>
  <c r="AA45" i="6"/>
  <c r="AK45" i="6" s="1"/>
  <c r="AD43" i="6"/>
  <c r="AE43" i="6"/>
  <c r="AF42" i="6"/>
  <c r="AG41" i="6"/>
  <c r="AH40" i="6"/>
  <c r="AI39" i="6"/>
  <c r="X41" i="2"/>
  <c r="Y41" i="2"/>
  <c r="Z41" i="2"/>
  <c r="AA41" i="2"/>
  <c r="AB41" i="2"/>
  <c r="T42" i="2"/>
  <c r="AO41" i="2"/>
  <c r="U43" i="2"/>
  <c r="W52" i="2"/>
  <c r="W122" i="2"/>
  <c r="T188" i="2"/>
  <c r="AO187" i="2"/>
  <c r="U191" i="2"/>
  <c r="V192" i="2"/>
  <c r="W193" i="2"/>
  <c r="X194" i="2"/>
  <c r="Y195" i="2"/>
  <c r="Z203" i="2"/>
  <c r="AA237" i="2"/>
  <c r="AB286" i="2"/>
  <c r="Y287" i="2"/>
  <c r="C48" i="7" l="1"/>
  <c r="D48" i="7"/>
  <c r="BA51" i="6"/>
  <c r="B49" i="7"/>
  <c r="AQ46" i="6"/>
  <c r="AS44" i="6"/>
  <c r="AN45" i="6"/>
  <c r="AN46" i="6" s="1"/>
  <c r="AO45" i="6"/>
  <c r="AO46" i="6" s="1"/>
  <c r="AP45" i="6"/>
  <c r="AS45" i="6" s="1"/>
  <c r="AQ45" i="6"/>
  <c r="Z46" i="6"/>
  <c r="AY46" i="6"/>
  <c r="V47" i="6"/>
  <c r="AA46" i="6"/>
  <c r="AV46" i="6"/>
  <c r="Y47" i="6"/>
  <c r="Y48" i="6" s="1"/>
  <c r="AY47" i="6"/>
  <c r="AD44" i="6"/>
  <c r="AE44" i="6"/>
  <c r="AF43" i="6"/>
  <c r="AG42" i="6"/>
  <c r="AH41" i="6"/>
  <c r="AI40" i="6"/>
  <c r="Y288" i="2"/>
  <c r="AB287" i="2"/>
  <c r="AA238" i="2"/>
  <c r="Z204" i="2"/>
  <c r="Y196" i="2"/>
  <c r="X195" i="2"/>
  <c r="W194" i="2"/>
  <c r="V193" i="2"/>
  <c r="U192" i="2"/>
  <c r="T189" i="2"/>
  <c r="AO188" i="2"/>
  <c r="AO123" i="2"/>
  <c r="W53" i="2"/>
  <c r="U44" i="2"/>
  <c r="T43" i="2"/>
  <c r="AO42" i="2"/>
  <c r="AB42" i="2"/>
  <c r="AA42" i="2"/>
  <c r="Z42" i="2"/>
  <c r="Y42" i="2"/>
  <c r="X42" i="2"/>
  <c r="C49" i="7" l="1"/>
  <c r="D49" i="7"/>
  <c r="BA52" i="6"/>
  <c r="B50" i="7"/>
  <c r="AP46" i="6"/>
  <c r="Y49" i="6"/>
  <c r="Y50" i="6" s="1"/>
  <c r="AY49" i="6"/>
  <c r="AK46" i="6"/>
  <c r="AA47" i="6"/>
  <c r="V48" i="6"/>
  <c r="Z47" i="6"/>
  <c r="AV47" i="6"/>
  <c r="AD45" i="6"/>
  <c r="AE45" i="6"/>
  <c r="AF44" i="6"/>
  <c r="AG43" i="6"/>
  <c r="AH42" i="6"/>
  <c r="AI41" i="6"/>
  <c r="X43" i="2"/>
  <c r="Y43" i="2"/>
  <c r="Z43" i="2"/>
  <c r="AA43" i="2"/>
  <c r="AB43" i="2"/>
  <c r="T44" i="2"/>
  <c r="AO43" i="2"/>
  <c r="U45" i="2"/>
  <c r="W54" i="2"/>
  <c r="T190" i="2"/>
  <c r="AO189" i="2"/>
  <c r="U193" i="2"/>
  <c r="V194" i="2"/>
  <c r="W195" i="2"/>
  <c r="X196" i="2"/>
  <c r="Y197" i="2"/>
  <c r="Z205" i="2"/>
  <c r="AA239" i="2"/>
  <c r="AB288" i="2"/>
  <c r="Y289" i="2"/>
  <c r="C50" i="7" l="1"/>
  <c r="D50" i="7"/>
  <c r="BA53" i="6"/>
  <c r="B51" i="7"/>
  <c r="AS46" i="6"/>
  <c r="AN47" i="6"/>
  <c r="AO47" i="6"/>
  <c r="AP47" i="6"/>
  <c r="AQ47" i="6"/>
  <c r="Z48" i="6"/>
  <c r="AY48" i="6"/>
  <c r="V49" i="6"/>
  <c r="AA48" i="6"/>
  <c r="AV48" i="6"/>
  <c r="AK47" i="6"/>
  <c r="Y51" i="6"/>
  <c r="Y52" i="6" s="1"/>
  <c r="AY51" i="6"/>
  <c r="AD46" i="6"/>
  <c r="AE46" i="6"/>
  <c r="AF45" i="6"/>
  <c r="AG44" i="6"/>
  <c r="AH43" i="6"/>
  <c r="AI42" i="6"/>
  <c r="Y290" i="2"/>
  <c r="AB289" i="2"/>
  <c r="AA240" i="2"/>
  <c r="Z206" i="2"/>
  <c r="Y198" i="2"/>
  <c r="X197" i="2"/>
  <c r="W196" i="2"/>
  <c r="V195" i="2"/>
  <c r="U194" i="2"/>
  <c r="T191" i="2"/>
  <c r="AO190" i="2"/>
  <c r="U46" i="2"/>
  <c r="T45" i="2"/>
  <c r="AO44" i="2"/>
  <c r="AB44" i="2"/>
  <c r="AA44" i="2"/>
  <c r="Z44" i="2"/>
  <c r="Y44" i="2"/>
  <c r="X44" i="2"/>
  <c r="C51" i="7" l="1"/>
  <c r="D51" i="7"/>
  <c r="BA54" i="6"/>
  <c r="B52" i="7"/>
  <c r="AS47" i="6"/>
  <c r="AN48" i="6"/>
  <c r="AO48" i="6"/>
  <c r="AP48" i="6"/>
  <c r="AQ48" i="6"/>
  <c r="Y53" i="6"/>
  <c r="Y54" i="6" s="1"/>
  <c r="AY53" i="6"/>
  <c r="AK48" i="6"/>
  <c r="AA49" i="6"/>
  <c r="V50" i="6"/>
  <c r="Z49" i="6"/>
  <c r="AV49" i="6"/>
  <c r="AD47" i="6"/>
  <c r="AE47" i="6"/>
  <c r="AF46" i="6"/>
  <c r="AG45" i="6"/>
  <c r="AH44" i="6"/>
  <c r="AI43" i="6"/>
  <c r="X45" i="2"/>
  <c r="Y45" i="2"/>
  <c r="Z45" i="2"/>
  <c r="AA45" i="2"/>
  <c r="AB45" i="2"/>
  <c r="T46" i="2"/>
  <c r="AO45" i="2"/>
  <c r="U47" i="2"/>
  <c r="T192" i="2"/>
  <c r="AO191" i="2"/>
  <c r="U195" i="2"/>
  <c r="V196" i="2"/>
  <c r="W197" i="2"/>
  <c r="X198" i="2"/>
  <c r="Y199" i="2"/>
  <c r="Z207" i="2"/>
  <c r="AA241" i="2"/>
  <c r="AB290" i="2"/>
  <c r="Y291" i="2"/>
  <c r="C52" i="7" l="1"/>
  <c r="D52" i="7"/>
  <c r="BA55" i="6"/>
  <c r="B53" i="7"/>
  <c r="AS48" i="6"/>
  <c r="AN49" i="6"/>
  <c r="AO49" i="6"/>
  <c r="AP49" i="6"/>
  <c r="AQ49" i="6"/>
  <c r="Z50" i="6"/>
  <c r="AY50" i="6"/>
  <c r="V51" i="6"/>
  <c r="AA50" i="6"/>
  <c r="AV50" i="6"/>
  <c r="AK49" i="6"/>
  <c r="Y55" i="6"/>
  <c r="Y56" i="6" s="1"/>
  <c r="Y57" i="6" s="1"/>
  <c r="AY55" i="6"/>
  <c r="AD48" i="6"/>
  <c r="AE48" i="6"/>
  <c r="AF47" i="6"/>
  <c r="AG46" i="6"/>
  <c r="AH45" i="6"/>
  <c r="AI44" i="6"/>
  <c r="Y292" i="2"/>
  <c r="AB291" i="2"/>
  <c r="AA242" i="2"/>
  <c r="Z208" i="2"/>
  <c r="Y200" i="2"/>
  <c r="X199" i="2"/>
  <c r="W198" i="2"/>
  <c r="V197" i="2"/>
  <c r="U196" i="2"/>
  <c r="T193" i="2"/>
  <c r="AO192" i="2"/>
  <c r="U48" i="2"/>
  <c r="T47" i="2"/>
  <c r="AO46" i="2"/>
  <c r="AB46" i="2"/>
  <c r="AA46" i="2"/>
  <c r="Z46" i="2"/>
  <c r="Y46" i="2"/>
  <c r="X46" i="2"/>
  <c r="C53" i="7" l="1"/>
  <c r="D53" i="7"/>
  <c r="BA56" i="6"/>
  <c r="B54" i="7"/>
  <c r="AS49" i="6"/>
  <c r="AN50" i="6"/>
  <c r="AO50" i="6"/>
  <c r="AP50" i="6"/>
  <c r="AQ50" i="6"/>
  <c r="Y58" i="6"/>
  <c r="Y59" i="6" s="1"/>
  <c r="Y60" i="6" s="1"/>
  <c r="AK50" i="6"/>
  <c r="AA51" i="6"/>
  <c r="V52" i="6"/>
  <c r="Z51" i="6"/>
  <c r="AV51" i="6"/>
  <c r="AD49" i="6"/>
  <c r="AE49" i="6"/>
  <c r="AF48" i="6"/>
  <c r="AG47" i="6"/>
  <c r="AH46" i="6"/>
  <c r="AI45" i="6"/>
  <c r="X47" i="2"/>
  <c r="Y47" i="2"/>
  <c r="Z47" i="2"/>
  <c r="AA47" i="2"/>
  <c r="AB47" i="2"/>
  <c r="T48" i="2"/>
  <c r="AO47" i="2"/>
  <c r="T194" i="2"/>
  <c r="AO193" i="2"/>
  <c r="U197" i="2"/>
  <c r="V198" i="2"/>
  <c r="W199" i="2"/>
  <c r="X200" i="2"/>
  <c r="Y201" i="2"/>
  <c r="Z209" i="2"/>
  <c r="AA243" i="2"/>
  <c r="AB292" i="2"/>
  <c r="Y293" i="2"/>
  <c r="C54" i="7" l="1"/>
  <c r="D54" i="7"/>
  <c r="BA57" i="6"/>
  <c r="B55" i="7"/>
  <c r="AS50" i="6"/>
  <c r="AN51" i="6"/>
  <c r="AO51" i="6"/>
  <c r="AP51" i="6"/>
  <c r="AQ51" i="6"/>
  <c r="Z52" i="6"/>
  <c r="AY52" i="6"/>
  <c r="V53" i="6"/>
  <c r="AA52" i="6"/>
  <c r="AV52" i="6"/>
  <c r="AK51" i="6"/>
  <c r="AD50" i="6"/>
  <c r="AE50" i="6"/>
  <c r="AF49" i="6"/>
  <c r="AG48" i="6"/>
  <c r="AH47" i="6"/>
  <c r="AI46" i="6"/>
  <c r="Y294" i="2"/>
  <c r="AB293" i="2"/>
  <c r="AA244" i="2"/>
  <c r="Z210" i="2"/>
  <c r="Y202" i="2"/>
  <c r="X201" i="2"/>
  <c r="W200" i="2"/>
  <c r="V199" i="2"/>
  <c r="U198" i="2"/>
  <c r="T195" i="2"/>
  <c r="AO194" i="2"/>
  <c r="T49" i="2"/>
  <c r="AO48" i="2"/>
  <c r="AB48" i="2"/>
  <c r="AA48" i="2"/>
  <c r="Z48" i="2"/>
  <c r="Y48" i="2"/>
  <c r="X48" i="2"/>
  <c r="C55" i="7" l="1"/>
  <c r="D55" i="7"/>
  <c r="BA58" i="6"/>
  <c r="B56" i="7"/>
  <c r="AS51" i="6"/>
  <c r="AN52" i="6"/>
  <c r="AO52" i="6"/>
  <c r="AP52" i="6"/>
  <c r="AQ52" i="6"/>
  <c r="AK52" i="6"/>
  <c r="AA53" i="6"/>
  <c r="V54" i="6"/>
  <c r="Z53" i="6"/>
  <c r="AV53" i="6"/>
  <c r="AD51" i="6"/>
  <c r="AE51" i="6"/>
  <c r="AF50" i="6"/>
  <c r="AG49" i="6"/>
  <c r="AH48" i="6"/>
  <c r="AI47" i="6"/>
  <c r="X49" i="2"/>
  <c r="Y49" i="2"/>
  <c r="Z49" i="2"/>
  <c r="AA49" i="2"/>
  <c r="AB49" i="2"/>
  <c r="T50" i="2"/>
  <c r="T196" i="2"/>
  <c r="AO195" i="2"/>
  <c r="U199" i="2"/>
  <c r="V200" i="2"/>
  <c r="W201" i="2"/>
  <c r="X202" i="2"/>
  <c r="Y203" i="2"/>
  <c r="Z211" i="2"/>
  <c r="AA245" i="2"/>
  <c r="AB294" i="2"/>
  <c r="Y295" i="2"/>
  <c r="C56" i="7" l="1"/>
  <c r="D56" i="7"/>
  <c r="BA59" i="6"/>
  <c r="B57" i="7"/>
  <c r="AS52" i="6"/>
  <c r="AN53" i="6"/>
  <c r="AO53" i="6"/>
  <c r="AP53" i="6"/>
  <c r="AQ53" i="6"/>
  <c r="Z54" i="6"/>
  <c r="AY54" i="6"/>
  <c r="V55" i="6"/>
  <c r="AA54" i="6"/>
  <c r="AV54" i="6"/>
  <c r="AK53" i="6"/>
  <c r="AD52" i="6"/>
  <c r="AE52" i="6"/>
  <c r="AF51" i="6"/>
  <c r="AG50" i="6"/>
  <c r="AH49" i="6"/>
  <c r="AI48" i="6"/>
  <c r="Y296" i="2"/>
  <c r="AB295" i="2"/>
  <c r="AA246" i="2"/>
  <c r="Z212" i="2"/>
  <c r="Y204" i="2"/>
  <c r="X203" i="2"/>
  <c r="W202" i="2"/>
  <c r="V201" i="2"/>
  <c r="U200" i="2"/>
  <c r="T197" i="2"/>
  <c r="AO196" i="2"/>
  <c r="AO49" i="2"/>
  <c r="T51" i="2"/>
  <c r="AO50" i="2"/>
  <c r="AB50" i="2"/>
  <c r="AA50" i="2"/>
  <c r="Z50" i="2"/>
  <c r="Y50" i="2"/>
  <c r="X50" i="2"/>
  <c r="C57" i="7" l="1"/>
  <c r="D57" i="7"/>
  <c r="BA60" i="6"/>
  <c r="B58" i="7"/>
  <c r="AS53" i="6"/>
  <c r="AN54" i="6"/>
  <c r="AO54" i="6"/>
  <c r="AP54" i="6"/>
  <c r="AQ54" i="6"/>
  <c r="AK54" i="6"/>
  <c r="AA55" i="6"/>
  <c r="V56" i="6"/>
  <c r="Z55" i="6"/>
  <c r="AV55" i="6"/>
  <c r="AD53" i="6"/>
  <c r="AE53" i="6"/>
  <c r="AF52" i="6"/>
  <c r="AG51" i="6"/>
  <c r="AH50" i="6"/>
  <c r="AI49" i="6"/>
  <c r="X51" i="2"/>
  <c r="Y51" i="2"/>
  <c r="Z51" i="2"/>
  <c r="AA51" i="2"/>
  <c r="AB51" i="2"/>
  <c r="T52" i="2"/>
  <c r="AO51" i="2"/>
  <c r="T198" i="2"/>
  <c r="AO197" i="2"/>
  <c r="U201" i="2"/>
  <c r="V202" i="2"/>
  <c r="W203" i="2"/>
  <c r="X204" i="2"/>
  <c r="Y205" i="2"/>
  <c r="Z213" i="2"/>
  <c r="AA247" i="2"/>
  <c r="AB296" i="2"/>
  <c r="Y297" i="2"/>
  <c r="C58" i="7" l="1"/>
  <c r="D58" i="7"/>
  <c r="BA61" i="6"/>
  <c r="B59" i="7"/>
  <c r="AS54" i="6"/>
  <c r="AN55" i="6"/>
  <c r="AO55" i="6"/>
  <c r="AP55" i="6"/>
  <c r="AQ55" i="6"/>
  <c r="Z56" i="6"/>
  <c r="Z57" i="6" s="1"/>
  <c r="AY56" i="6"/>
  <c r="V57" i="6"/>
  <c r="AA56" i="6"/>
  <c r="AV56" i="6"/>
  <c r="AK55" i="6"/>
  <c r="AD54" i="6"/>
  <c r="AE54" i="6"/>
  <c r="AF53" i="6"/>
  <c r="AG52" i="6"/>
  <c r="AH51" i="6"/>
  <c r="AI50" i="6"/>
  <c r="Y298" i="2"/>
  <c r="AB297" i="2"/>
  <c r="AA248" i="2"/>
  <c r="Z214" i="2"/>
  <c r="Y206" i="2"/>
  <c r="X205" i="2"/>
  <c r="W204" i="2"/>
  <c r="V203" i="2"/>
  <c r="U202" i="2"/>
  <c r="T199" i="2"/>
  <c r="AO198" i="2"/>
  <c r="T53" i="2"/>
  <c r="AO52" i="2"/>
  <c r="AB52" i="2"/>
  <c r="AA52" i="2"/>
  <c r="Z52" i="2"/>
  <c r="Y52" i="2"/>
  <c r="X52" i="2"/>
  <c r="C59" i="7" l="1"/>
  <c r="D59" i="7"/>
  <c r="BA62" i="6"/>
  <c r="B60" i="7"/>
  <c r="AS55" i="6"/>
  <c r="AN56" i="6"/>
  <c r="AO56" i="6"/>
  <c r="AP56" i="6"/>
  <c r="AQ56" i="6"/>
  <c r="AK56" i="6"/>
  <c r="AA57" i="6"/>
  <c r="V58" i="6"/>
  <c r="X57" i="6"/>
  <c r="AV57" i="6"/>
  <c r="AD55" i="6"/>
  <c r="AE55" i="6"/>
  <c r="AF54" i="6"/>
  <c r="AG53" i="6"/>
  <c r="AH52" i="6"/>
  <c r="AI51" i="6"/>
  <c r="X53" i="2"/>
  <c r="Y53" i="2"/>
  <c r="Z53" i="2"/>
  <c r="AA53" i="2"/>
  <c r="AB53" i="2"/>
  <c r="T54" i="2"/>
  <c r="AO53" i="2"/>
  <c r="T200" i="2"/>
  <c r="AO199" i="2"/>
  <c r="U203" i="2"/>
  <c r="V204" i="2"/>
  <c r="W205" i="2"/>
  <c r="X206" i="2"/>
  <c r="Y207" i="2"/>
  <c r="Z215" i="2"/>
  <c r="AA249" i="2"/>
  <c r="AB298" i="2"/>
  <c r="Y299" i="2"/>
  <c r="C60" i="7" l="1"/>
  <c r="D60" i="7"/>
  <c r="BA63" i="6"/>
  <c r="B61" i="7"/>
  <c r="AS56" i="6"/>
  <c r="AN57" i="6"/>
  <c r="AO57" i="6"/>
  <c r="AP57" i="6"/>
  <c r="AQ57" i="6"/>
  <c r="X58" i="6"/>
  <c r="X59" i="6" s="1"/>
  <c r="AY58" i="6"/>
  <c r="V59" i="6"/>
  <c r="Z58" i="6"/>
  <c r="AV58" i="6"/>
  <c r="AK57" i="6"/>
  <c r="AA58" i="6"/>
  <c r="AK58" i="6" s="1"/>
  <c r="AD56" i="6"/>
  <c r="AE56" i="6"/>
  <c r="AF55" i="6"/>
  <c r="AG54" i="6"/>
  <c r="AH53" i="6"/>
  <c r="AI52" i="6"/>
  <c r="Y300" i="2"/>
  <c r="AB299" i="2"/>
  <c r="AA250" i="2"/>
  <c r="Z216" i="2"/>
  <c r="Y208" i="2"/>
  <c r="X207" i="2"/>
  <c r="W206" i="2"/>
  <c r="V205" i="2"/>
  <c r="U204" i="2"/>
  <c r="T201" i="2"/>
  <c r="AO200" i="2"/>
  <c r="T55" i="2"/>
  <c r="AO54" i="2"/>
  <c r="AB54" i="2"/>
  <c r="AA54" i="2"/>
  <c r="Z54" i="2"/>
  <c r="Y54" i="2"/>
  <c r="X54" i="2"/>
  <c r="C61" i="7" l="1"/>
  <c r="D61" i="7"/>
  <c r="BA64" i="6"/>
  <c r="B62" i="7"/>
  <c r="AQ59" i="6"/>
  <c r="AS57" i="6"/>
  <c r="AN58" i="6"/>
  <c r="AN59" i="6" s="1"/>
  <c r="AO58" i="6"/>
  <c r="AO59" i="6" s="1"/>
  <c r="AP58" i="6"/>
  <c r="AS58" i="6" s="1"/>
  <c r="AQ58" i="6"/>
  <c r="Z59" i="6"/>
  <c r="Z60" i="6" s="1"/>
  <c r="Z61" i="6" s="1"/>
  <c r="AY59" i="6"/>
  <c r="V60" i="6"/>
  <c r="AA59" i="6"/>
  <c r="AV59" i="6"/>
  <c r="AD57" i="6"/>
  <c r="AE57" i="6"/>
  <c r="AF56" i="6"/>
  <c r="AG55" i="6"/>
  <c r="AH54" i="6"/>
  <c r="AI53" i="6"/>
  <c r="X55" i="2"/>
  <c r="Y55" i="2"/>
  <c r="Z55" i="2"/>
  <c r="AA55" i="2"/>
  <c r="AB55" i="2"/>
  <c r="T56" i="2"/>
  <c r="AO55" i="2"/>
  <c r="T202" i="2"/>
  <c r="AO201" i="2"/>
  <c r="U205" i="2"/>
  <c r="V206" i="2"/>
  <c r="W207" i="2"/>
  <c r="X208" i="2"/>
  <c r="Y209" i="2"/>
  <c r="Z217" i="2"/>
  <c r="AA251" i="2"/>
  <c r="AB300" i="2"/>
  <c r="Y301" i="2"/>
  <c r="C62" i="7" l="1"/>
  <c r="D62" i="7"/>
  <c r="BA65" i="6"/>
  <c r="B63" i="7"/>
  <c r="AP59" i="6"/>
  <c r="AK59" i="6"/>
  <c r="AA60" i="6"/>
  <c r="V61" i="6"/>
  <c r="X60" i="6"/>
  <c r="AV60" i="6"/>
  <c r="AD58" i="6"/>
  <c r="AE58" i="6"/>
  <c r="AF57" i="6"/>
  <c r="AG56" i="6"/>
  <c r="AH55" i="6"/>
  <c r="AI54" i="6"/>
  <c r="Y302" i="2"/>
  <c r="AB301" i="2"/>
  <c r="AA252" i="2"/>
  <c r="Z218" i="2"/>
  <c r="Y210" i="2"/>
  <c r="X209" i="2"/>
  <c r="W208" i="2"/>
  <c r="V207" i="2"/>
  <c r="U206" i="2"/>
  <c r="T203" i="2"/>
  <c r="AO202" i="2"/>
  <c r="T57" i="2"/>
  <c r="AO56" i="2"/>
  <c r="AB56" i="2"/>
  <c r="AA56" i="2"/>
  <c r="Z56" i="2"/>
  <c r="Y56" i="2"/>
  <c r="X56" i="2"/>
  <c r="C63" i="7" l="1"/>
  <c r="D63" i="7"/>
  <c r="BA66" i="6"/>
  <c r="B64" i="7"/>
  <c r="AS59" i="6"/>
  <c r="AN60" i="6"/>
  <c r="AO60" i="6"/>
  <c r="AP60" i="6"/>
  <c r="AQ60" i="6"/>
  <c r="X61" i="6"/>
  <c r="X62" i="6" s="1"/>
  <c r="X63" i="6" s="1"/>
  <c r="X64" i="6" s="1"/>
  <c r="X65" i="6" s="1"/>
  <c r="X66" i="6" s="1"/>
  <c r="X67" i="6" s="1"/>
  <c r="X68" i="6" s="1"/>
  <c r="X69" i="6" s="1"/>
  <c r="X70" i="6" s="1"/>
  <c r="X71" i="6" s="1"/>
  <c r="X72" i="6" s="1"/>
  <c r="X73" i="6" s="1"/>
  <c r="X74" i="6" s="1"/>
  <c r="X75" i="6" s="1"/>
  <c r="X76" i="6" s="1"/>
  <c r="X77" i="6" s="1"/>
  <c r="X78" i="6" s="1"/>
  <c r="X79" i="6" s="1"/>
  <c r="X80" i="6" s="1"/>
  <c r="X81" i="6" s="1"/>
  <c r="X82" i="6" s="1"/>
  <c r="X83" i="6" s="1"/>
  <c r="AY61" i="6"/>
  <c r="V62" i="6"/>
  <c r="Y61" i="6"/>
  <c r="AV61" i="6"/>
  <c r="AK60" i="6"/>
  <c r="AA61" i="6"/>
  <c r="AD59" i="6"/>
  <c r="AE59" i="6"/>
  <c r="AF58" i="6"/>
  <c r="AG57" i="6"/>
  <c r="AH56" i="6"/>
  <c r="AI55" i="6"/>
  <c r="X57" i="2"/>
  <c r="Y57" i="2"/>
  <c r="Z57" i="2"/>
  <c r="AA57" i="2"/>
  <c r="AB57" i="2"/>
  <c r="T58" i="2"/>
  <c r="AO57" i="2"/>
  <c r="T204" i="2"/>
  <c r="AO203" i="2"/>
  <c r="U207" i="2"/>
  <c r="V208" i="2"/>
  <c r="W209" i="2"/>
  <c r="X210" i="2"/>
  <c r="Y211" i="2"/>
  <c r="Z219" i="2"/>
  <c r="AA253" i="2"/>
  <c r="AB302" i="2"/>
  <c r="Y303" i="2"/>
  <c r="C64" i="7" l="1"/>
  <c r="D64" i="7"/>
  <c r="BA67" i="6"/>
  <c r="B65" i="7"/>
  <c r="AS60" i="6"/>
  <c r="AN61" i="6"/>
  <c r="AO61" i="6"/>
  <c r="AP61" i="6"/>
  <c r="AQ61" i="6"/>
  <c r="AK61" i="6"/>
  <c r="AA62" i="6"/>
  <c r="Y62" i="6"/>
  <c r="Y63" i="6" s="1"/>
  <c r="AY62" i="6"/>
  <c r="V63" i="6"/>
  <c r="Z62" i="6"/>
  <c r="AV62" i="6"/>
  <c r="X84" i="6"/>
  <c r="X85" i="6" s="1"/>
  <c r="X86" i="6" s="1"/>
  <c r="X87" i="6" s="1"/>
  <c r="X88" i="6" s="1"/>
  <c r="X89" i="6" s="1"/>
  <c r="X90" i="6" s="1"/>
  <c r="X91" i="6" s="1"/>
  <c r="X92" i="6" s="1"/>
  <c r="X93" i="6" s="1"/>
  <c r="X94" i="6" s="1"/>
  <c r="X95" i="6" s="1"/>
  <c r="X96" i="6" s="1"/>
  <c r="X97" i="6" s="1"/>
  <c r="X98" i="6" s="1"/>
  <c r="X99" i="6" s="1"/>
  <c r="X100" i="6" s="1"/>
  <c r="X101" i="6" s="1"/>
  <c r="X102" i="6" s="1"/>
  <c r="X103" i="6" s="1"/>
  <c r="X104" i="6" s="1"/>
  <c r="X105" i="6" s="1"/>
  <c r="AY84" i="6"/>
  <c r="AD60" i="6"/>
  <c r="AE60" i="6"/>
  <c r="AF59" i="6"/>
  <c r="AG58" i="6"/>
  <c r="AH57" i="6"/>
  <c r="AI56" i="6"/>
  <c r="Y304" i="2"/>
  <c r="AB303" i="2"/>
  <c r="AA254" i="2"/>
  <c r="Z220" i="2"/>
  <c r="Y212" i="2"/>
  <c r="X211" i="2"/>
  <c r="W210" i="2"/>
  <c r="V209" i="2"/>
  <c r="U208" i="2"/>
  <c r="T205" i="2"/>
  <c r="AO204" i="2"/>
  <c r="T59" i="2"/>
  <c r="AO58" i="2"/>
  <c r="AB58" i="2"/>
  <c r="AA58" i="2"/>
  <c r="Z58" i="2"/>
  <c r="Y58" i="2"/>
  <c r="X58" i="2"/>
  <c r="C65" i="7" l="1"/>
  <c r="D65" i="7"/>
  <c r="BA68" i="6"/>
  <c r="B66" i="7"/>
  <c r="AS61" i="6"/>
  <c r="AN62" i="6"/>
  <c r="AO62" i="6"/>
  <c r="AP62" i="6"/>
  <c r="AQ62" i="6"/>
  <c r="Z63" i="6"/>
  <c r="AY63" i="6"/>
  <c r="V64" i="6"/>
  <c r="AA63" i="6"/>
  <c r="AV63" i="6"/>
  <c r="Y64" i="6"/>
  <c r="Y65" i="6" s="1"/>
  <c r="AY64" i="6"/>
  <c r="AK62" i="6"/>
  <c r="AD61" i="6"/>
  <c r="AE61" i="6"/>
  <c r="AF60" i="6"/>
  <c r="AG59" i="6"/>
  <c r="AH58" i="6"/>
  <c r="AI57" i="6"/>
  <c r="X59" i="2"/>
  <c r="Y59" i="2"/>
  <c r="Z59" i="2"/>
  <c r="AA59" i="2"/>
  <c r="AB59" i="2"/>
  <c r="T60" i="2"/>
  <c r="AO59" i="2"/>
  <c r="T206" i="2"/>
  <c r="AO205" i="2"/>
  <c r="U209" i="2"/>
  <c r="V210" i="2"/>
  <c r="W211" i="2"/>
  <c r="X212" i="2"/>
  <c r="Y213" i="2"/>
  <c r="Z221" i="2"/>
  <c r="AA255" i="2"/>
  <c r="AB304" i="2"/>
  <c r="Y305" i="2"/>
  <c r="C66" i="7" l="1"/>
  <c r="D66" i="7"/>
  <c r="BA69" i="6"/>
  <c r="B67" i="7"/>
  <c r="AS62" i="6"/>
  <c r="AN63" i="6"/>
  <c r="AO63" i="6"/>
  <c r="AP63" i="6"/>
  <c r="AQ63" i="6"/>
  <c r="Y66" i="6"/>
  <c r="Y67" i="6" s="1"/>
  <c r="AY66" i="6"/>
  <c r="AK63" i="6"/>
  <c r="AA64" i="6"/>
  <c r="V65" i="6"/>
  <c r="Z64" i="6"/>
  <c r="AV64" i="6"/>
  <c r="AD62" i="6"/>
  <c r="AE62" i="6"/>
  <c r="AF61" i="6"/>
  <c r="AG60" i="6"/>
  <c r="AH59" i="6"/>
  <c r="AI58" i="6"/>
  <c r="Y306" i="2"/>
  <c r="AB305" i="2"/>
  <c r="AA256" i="2"/>
  <c r="Z222" i="2"/>
  <c r="Y214" i="2"/>
  <c r="X213" i="2"/>
  <c r="W212" i="2"/>
  <c r="V211" i="2"/>
  <c r="U210" i="2"/>
  <c r="T207" i="2"/>
  <c r="AO206" i="2"/>
  <c r="T61" i="2"/>
  <c r="AB60" i="2"/>
  <c r="AA60" i="2"/>
  <c r="Z60" i="2"/>
  <c r="Y60" i="2"/>
  <c r="X60" i="2"/>
  <c r="C67" i="7" l="1"/>
  <c r="D67" i="7"/>
  <c r="BA70" i="6"/>
  <c r="B68" i="7"/>
  <c r="AS63" i="6"/>
  <c r="AN64" i="6"/>
  <c r="AO64" i="6"/>
  <c r="AP64" i="6"/>
  <c r="AQ64" i="6"/>
  <c r="Z65" i="6"/>
  <c r="AY65" i="6"/>
  <c r="V66" i="6"/>
  <c r="AA65" i="6"/>
  <c r="AV65" i="6"/>
  <c r="AK64" i="6"/>
  <c r="Y68" i="6"/>
  <c r="Y69" i="6" s="1"/>
  <c r="AY68" i="6"/>
  <c r="AD63" i="6"/>
  <c r="AE63" i="6"/>
  <c r="AF62" i="6"/>
  <c r="AG61" i="6"/>
  <c r="AH60" i="6"/>
  <c r="AI59" i="6"/>
  <c r="X61" i="2"/>
  <c r="Y61" i="2"/>
  <c r="Z61" i="2"/>
  <c r="AA61" i="2"/>
  <c r="AB61" i="2"/>
  <c r="AO60" i="2"/>
  <c r="T62" i="2"/>
  <c r="AO61" i="2"/>
  <c r="T208" i="2"/>
  <c r="AO207" i="2"/>
  <c r="U211" i="2"/>
  <c r="V212" i="2"/>
  <c r="W213" i="2"/>
  <c r="X214" i="2"/>
  <c r="Y215" i="2"/>
  <c r="Z223" i="2"/>
  <c r="AA257" i="2"/>
  <c r="AB306" i="2"/>
  <c r="Y307" i="2"/>
  <c r="C68" i="7" l="1"/>
  <c r="D68" i="7"/>
  <c r="BA71" i="6"/>
  <c r="B69" i="7"/>
  <c r="AS64" i="6"/>
  <c r="AN65" i="6"/>
  <c r="AO65" i="6"/>
  <c r="AP65" i="6"/>
  <c r="AQ65" i="6"/>
  <c r="Y70" i="6"/>
  <c r="Y71" i="6" s="1"/>
  <c r="AY70" i="6"/>
  <c r="AK65" i="6"/>
  <c r="AA66" i="6"/>
  <c r="V67" i="6"/>
  <c r="Z66" i="6"/>
  <c r="AV66" i="6"/>
  <c r="AD64" i="6"/>
  <c r="AE64" i="6"/>
  <c r="AF63" i="6"/>
  <c r="AG62" i="6"/>
  <c r="AH61" i="6"/>
  <c r="AI60" i="6"/>
  <c r="Y308" i="2"/>
  <c r="AB307" i="2"/>
  <c r="AA258" i="2"/>
  <c r="Z224" i="2"/>
  <c r="Y216" i="2"/>
  <c r="X215" i="2"/>
  <c r="W214" i="2"/>
  <c r="V213" i="2"/>
  <c r="U212" i="2"/>
  <c r="T209" i="2"/>
  <c r="AO208" i="2"/>
  <c r="T63" i="2"/>
  <c r="AO62" i="2"/>
  <c r="AB62" i="2"/>
  <c r="AA62" i="2"/>
  <c r="Z62" i="2"/>
  <c r="Y62" i="2"/>
  <c r="X62" i="2"/>
  <c r="C69" i="7" l="1"/>
  <c r="D69" i="7"/>
  <c r="BA72" i="6"/>
  <c r="B70" i="7"/>
  <c r="AS65" i="6"/>
  <c r="AN66" i="6"/>
  <c r="AO66" i="6"/>
  <c r="AP66" i="6"/>
  <c r="AQ66" i="6"/>
  <c r="Z67" i="6"/>
  <c r="AY67" i="6"/>
  <c r="V68" i="6"/>
  <c r="AA67" i="6"/>
  <c r="AV67" i="6"/>
  <c r="AK66" i="6"/>
  <c r="Y72" i="6"/>
  <c r="Y73" i="6" s="1"/>
  <c r="AY72" i="6"/>
  <c r="AD65" i="6"/>
  <c r="AE65" i="6"/>
  <c r="AF64" i="6"/>
  <c r="AG63" i="6"/>
  <c r="AH62" i="6"/>
  <c r="AI61" i="6"/>
  <c r="X63" i="2"/>
  <c r="Y63" i="2"/>
  <c r="Z63" i="2"/>
  <c r="AA63" i="2"/>
  <c r="AB63" i="2"/>
  <c r="T64" i="2"/>
  <c r="AO63" i="2"/>
  <c r="T210" i="2"/>
  <c r="AO209" i="2"/>
  <c r="U213" i="2"/>
  <c r="V214" i="2"/>
  <c r="W215" i="2"/>
  <c r="X216" i="2"/>
  <c r="Y217" i="2"/>
  <c r="Z225" i="2"/>
  <c r="AA259" i="2"/>
  <c r="AB308" i="2"/>
  <c r="Y309" i="2"/>
  <c r="C70" i="7" l="1"/>
  <c r="D70" i="7"/>
  <c r="BA73" i="6"/>
  <c r="B71" i="7"/>
  <c r="AS66" i="6"/>
  <c r="AN67" i="6"/>
  <c r="AO67" i="6"/>
  <c r="AP67" i="6"/>
  <c r="AQ67" i="6"/>
  <c r="Y74" i="6"/>
  <c r="Y75" i="6" s="1"/>
  <c r="AY74" i="6"/>
  <c r="AK67" i="6"/>
  <c r="AA68" i="6"/>
  <c r="V69" i="6"/>
  <c r="Z68" i="6"/>
  <c r="AV68" i="6"/>
  <c r="AD66" i="6"/>
  <c r="AE66" i="6"/>
  <c r="AF65" i="6"/>
  <c r="AG64" i="6"/>
  <c r="AH63" i="6"/>
  <c r="AI62" i="6"/>
  <c r="Y310" i="2"/>
  <c r="AB309" i="2"/>
  <c r="AA260" i="2"/>
  <c r="Z226" i="2"/>
  <c r="Y218" i="2"/>
  <c r="X217" i="2"/>
  <c r="W216" i="2"/>
  <c r="V215" i="2"/>
  <c r="U214" i="2"/>
  <c r="T211" i="2"/>
  <c r="AO210" i="2"/>
  <c r="T65" i="2"/>
  <c r="AO64" i="2"/>
  <c r="AB64" i="2"/>
  <c r="AA64" i="2"/>
  <c r="Z64" i="2"/>
  <c r="Y64" i="2"/>
  <c r="X64" i="2"/>
  <c r="C71" i="7" l="1"/>
  <c r="D71" i="7"/>
  <c r="BA74" i="6"/>
  <c r="B72" i="7"/>
  <c r="AS67" i="6"/>
  <c r="AN68" i="6"/>
  <c r="AO68" i="6"/>
  <c r="AP68" i="6"/>
  <c r="AQ68" i="6"/>
  <c r="Z69" i="6"/>
  <c r="AY69" i="6"/>
  <c r="V70" i="6"/>
  <c r="AA69" i="6"/>
  <c r="AV69" i="6"/>
  <c r="AK68" i="6"/>
  <c r="Y76" i="6"/>
  <c r="Y77" i="6" s="1"/>
  <c r="AY76" i="6"/>
  <c r="AD67" i="6"/>
  <c r="AE67" i="6"/>
  <c r="AF66" i="6"/>
  <c r="AG65" i="6"/>
  <c r="AH64" i="6"/>
  <c r="AI63" i="6"/>
  <c r="X65" i="2"/>
  <c r="Y65" i="2"/>
  <c r="Z65" i="2"/>
  <c r="AA65" i="2"/>
  <c r="AB65" i="2"/>
  <c r="T66" i="2"/>
  <c r="AO65" i="2"/>
  <c r="T212" i="2"/>
  <c r="AO211" i="2"/>
  <c r="U215" i="2"/>
  <c r="V216" i="2"/>
  <c r="W217" i="2"/>
  <c r="X218" i="2"/>
  <c r="Y219" i="2"/>
  <c r="Z227" i="2"/>
  <c r="AA261" i="2"/>
  <c r="AB310" i="2"/>
  <c r="Y311" i="2"/>
  <c r="C72" i="7" l="1"/>
  <c r="D72" i="7"/>
  <c r="BA75" i="6"/>
  <c r="B73" i="7"/>
  <c r="AS68" i="6"/>
  <c r="AN69" i="6"/>
  <c r="AO69" i="6"/>
  <c r="AP69" i="6"/>
  <c r="AQ69" i="6"/>
  <c r="Y78" i="6"/>
  <c r="Y79" i="6" s="1"/>
  <c r="AY78" i="6"/>
  <c r="AK69" i="6"/>
  <c r="AA70" i="6"/>
  <c r="V71" i="6"/>
  <c r="Z70" i="6"/>
  <c r="AV70" i="6"/>
  <c r="AD68" i="6"/>
  <c r="AE68" i="6"/>
  <c r="AF67" i="6"/>
  <c r="AG66" i="6"/>
  <c r="AH65" i="6"/>
  <c r="AI64" i="6"/>
  <c r="Y312" i="2"/>
  <c r="AB311" i="2"/>
  <c r="AA262" i="2"/>
  <c r="Z228" i="2"/>
  <c r="Y220" i="2"/>
  <c r="X219" i="2"/>
  <c r="W218" i="2"/>
  <c r="V217" i="2"/>
  <c r="U216" i="2"/>
  <c r="T213" i="2"/>
  <c r="AO212" i="2"/>
  <c r="T67" i="2"/>
  <c r="AO66" i="2"/>
  <c r="AB66" i="2"/>
  <c r="AA66" i="2"/>
  <c r="Z66" i="2"/>
  <c r="Y66" i="2"/>
  <c r="X66" i="2"/>
  <c r="C73" i="7" l="1"/>
  <c r="D73" i="7"/>
  <c r="BA76" i="6"/>
  <c r="B74" i="7"/>
  <c r="AS69" i="6"/>
  <c r="AN70" i="6"/>
  <c r="AO70" i="6"/>
  <c r="AP70" i="6"/>
  <c r="AQ70" i="6"/>
  <c r="Z71" i="6"/>
  <c r="AY71" i="6"/>
  <c r="V72" i="6"/>
  <c r="AA71" i="6"/>
  <c r="AV71" i="6"/>
  <c r="AK70" i="6"/>
  <c r="Y80" i="6"/>
  <c r="Y81" i="6" s="1"/>
  <c r="AY80" i="6"/>
  <c r="AD69" i="6"/>
  <c r="AE69" i="6"/>
  <c r="AF68" i="6"/>
  <c r="AG67" i="6"/>
  <c r="AH66" i="6"/>
  <c r="AI65" i="6"/>
  <c r="X67" i="2"/>
  <c r="Y67" i="2"/>
  <c r="Z67" i="2"/>
  <c r="AA67" i="2"/>
  <c r="AB67" i="2"/>
  <c r="T68" i="2"/>
  <c r="AO67" i="2"/>
  <c r="T214" i="2"/>
  <c r="AO213" i="2"/>
  <c r="U217" i="2"/>
  <c r="V218" i="2"/>
  <c r="W219" i="2"/>
  <c r="X220" i="2"/>
  <c r="Y221" i="2"/>
  <c r="Z229" i="2"/>
  <c r="AA263" i="2"/>
  <c r="AB312" i="2"/>
  <c r="Y313" i="2"/>
  <c r="C74" i="7" l="1"/>
  <c r="D74" i="7"/>
  <c r="BA77" i="6"/>
  <c r="B75" i="7"/>
  <c r="AS70" i="6"/>
  <c r="AN71" i="6"/>
  <c r="AO71" i="6"/>
  <c r="AP71" i="6"/>
  <c r="AQ71" i="6"/>
  <c r="Y82" i="6"/>
  <c r="Y83" i="6" s="1"/>
  <c r="AY82" i="6"/>
  <c r="AK71" i="6"/>
  <c r="AA72" i="6"/>
  <c r="V73" i="6"/>
  <c r="Z72" i="6"/>
  <c r="AV72" i="6"/>
  <c r="AD70" i="6"/>
  <c r="AE70" i="6"/>
  <c r="AF69" i="6"/>
  <c r="AG68" i="6"/>
  <c r="AH67" i="6"/>
  <c r="AI66" i="6"/>
  <c r="Y314" i="2"/>
  <c r="AB313" i="2"/>
  <c r="AA264" i="2"/>
  <c r="Z230" i="2"/>
  <c r="Y222" i="2"/>
  <c r="X221" i="2"/>
  <c r="W220" i="2"/>
  <c r="V219" i="2"/>
  <c r="U218" i="2"/>
  <c r="T215" i="2"/>
  <c r="AO214" i="2"/>
  <c r="T69" i="2"/>
  <c r="AO68" i="2"/>
  <c r="AB68" i="2"/>
  <c r="AA68" i="2"/>
  <c r="Z68" i="2"/>
  <c r="Y68" i="2"/>
  <c r="X68" i="2"/>
  <c r="C75" i="7" l="1"/>
  <c r="D75" i="7"/>
  <c r="BA78" i="6"/>
  <c r="B76" i="7"/>
  <c r="AS71" i="6"/>
  <c r="AN72" i="6"/>
  <c r="AO72" i="6"/>
  <c r="AP72" i="6"/>
  <c r="AQ72" i="6"/>
  <c r="Z73" i="6"/>
  <c r="AY73" i="6"/>
  <c r="V74" i="6"/>
  <c r="AA73" i="6"/>
  <c r="AV73" i="6"/>
  <c r="AK72" i="6"/>
  <c r="AD71" i="6"/>
  <c r="AE71" i="6"/>
  <c r="AF70" i="6"/>
  <c r="AG69" i="6"/>
  <c r="AH68" i="6"/>
  <c r="AI67" i="6"/>
  <c r="X69" i="2"/>
  <c r="Y69" i="2"/>
  <c r="Z69" i="2"/>
  <c r="AA69" i="2"/>
  <c r="AB69" i="2"/>
  <c r="T70" i="2"/>
  <c r="AO69" i="2"/>
  <c r="T216" i="2"/>
  <c r="AO215" i="2"/>
  <c r="U219" i="2"/>
  <c r="V220" i="2"/>
  <c r="W221" i="2"/>
  <c r="X222" i="2"/>
  <c r="Y223" i="2"/>
  <c r="Z231" i="2"/>
  <c r="AA265" i="2"/>
  <c r="AB314" i="2"/>
  <c r="Y315" i="2"/>
  <c r="C76" i="7" l="1"/>
  <c r="D76" i="7"/>
  <c r="BA79" i="6"/>
  <c r="B77" i="7"/>
  <c r="AS72" i="6"/>
  <c r="AN73" i="6"/>
  <c r="AO73" i="6"/>
  <c r="AP73" i="6"/>
  <c r="AQ73" i="6"/>
  <c r="AK73" i="6"/>
  <c r="AA74" i="6"/>
  <c r="V75" i="6"/>
  <c r="Z74" i="6"/>
  <c r="AV74" i="6"/>
  <c r="AD72" i="6"/>
  <c r="AE72" i="6"/>
  <c r="AF71" i="6"/>
  <c r="AG70" i="6"/>
  <c r="AH69" i="6"/>
  <c r="AI68" i="6"/>
  <c r="Y316" i="2"/>
  <c r="AB315" i="2"/>
  <c r="AA266" i="2"/>
  <c r="Z232" i="2"/>
  <c r="Y224" i="2"/>
  <c r="X223" i="2"/>
  <c r="W222" i="2"/>
  <c r="V221" i="2"/>
  <c r="U220" i="2"/>
  <c r="T217" i="2"/>
  <c r="AO216" i="2"/>
  <c r="T71" i="2"/>
  <c r="AO70" i="2"/>
  <c r="AB70" i="2"/>
  <c r="AA70" i="2"/>
  <c r="Z70" i="2"/>
  <c r="Y70" i="2"/>
  <c r="X70" i="2"/>
  <c r="C77" i="7" l="1"/>
  <c r="D77" i="7"/>
  <c r="BA80" i="6"/>
  <c r="B78" i="7"/>
  <c r="AS73" i="6"/>
  <c r="AN74" i="6"/>
  <c r="AO74" i="6"/>
  <c r="AP74" i="6"/>
  <c r="AQ74" i="6"/>
  <c r="Z75" i="6"/>
  <c r="AY75" i="6"/>
  <c r="V76" i="6"/>
  <c r="AA75" i="6"/>
  <c r="AV75" i="6"/>
  <c r="AK74" i="6"/>
  <c r="AD73" i="6"/>
  <c r="AE73" i="6"/>
  <c r="AF72" i="6"/>
  <c r="AG71" i="6"/>
  <c r="AH70" i="6"/>
  <c r="AI69" i="6"/>
  <c r="X71" i="2"/>
  <c r="Y71" i="2"/>
  <c r="Z71" i="2"/>
  <c r="AA71" i="2"/>
  <c r="AB71" i="2"/>
  <c r="T72" i="2"/>
  <c r="AO71" i="2"/>
  <c r="T218" i="2"/>
  <c r="AO217" i="2"/>
  <c r="U221" i="2"/>
  <c r="V222" i="2"/>
  <c r="W223" i="2"/>
  <c r="X224" i="2"/>
  <c r="Y225" i="2"/>
  <c r="Z233" i="2"/>
  <c r="AA267" i="2"/>
  <c r="AB316" i="2"/>
  <c r="Y317" i="2"/>
  <c r="C78" i="7" l="1"/>
  <c r="D78" i="7"/>
  <c r="BA81" i="6"/>
  <c r="B79" i="7"/>
  <c r="AS74" i="6"/>
  <c r="AN75" i="6"/>
  <c r="AO75" i="6"/>
  <c r="AP75" i="6"/>
  <c r="AQ75" i="6"/>
  <c r="AK75" i="6"/>
  <c r="AA76" i="6"/>
  <c r="V77" i="6"/>
  <c r="Z76" i="6"/>
  <c r="AV76" i="6"/>
  <c r="AD74" i="6"/>
  <c r="AE74" i="6"/>
  <c r="AF73" i="6"/>
  <c r="AG72" i="6"/>
  <c r="AH71" i="6"/>
  <c r="AI70" i="6"/>
  <c r="Y318" i="2"/>
  <c r="AB317" i="2"/>
  <c r="AA268" i="2"/>
  <c r="Z234" i="2"/>
  <c r="Y226" i="2"/>
  <c r="X225" i="2"/>
  <c r="W224" i="2"/>
  <c r="V223" i="2"/>
  <c r="U222" i="2"/>
  <c r="T219" i="2"/>
  <c r="AO218" i="2"/>
  <c r="T73" i="2"/>
  <c r="AB72" i="2"/>
  <c r="AA72" i="2"/>
  <c r="Z72" i="2"/>
  <c r="Y72" i="2"/>
  <c r="X72" i="2"/>
  <c r="C79" i="7" l="1"/>
  <c r="D79" i="7"/>
  <c r="BA82" i="6"/>
  <c r="B80" i="7"/>
  <c r="AS75" i="6"/>
  <c r="AN76" i="6"/>
  <c r="AO76" i="6"/>
  <c r="AP76" i="6"/>
  <c r="AQ76" i="6"/>
  <c r="Z77" i="6"/>
  <c r="AY77" i="6"/>
  <c r="V78" i="6"/>
  <c r="AA77" i="6"/>
  <c r="AV77" i="6"/>
  <c r="AK76" i="6"/>
  <c r="AD75" i="6"/>
  <c r="AE75" i="6"/>
  <c r="AF74" i="6"/>
  <c r="AG73" i="6"/>
  <c r="AH72" i="6"/>
  <c r="AI71" i="6"/>
  <c r="X73" i="2"/>
  <c r="Y73" i="2"/>
  <c r="Z73" i="2"/>
  <c r="AA73" i="2"/>
  <c r="AB73" i="2"/>
  <c r="AO72" i="2"/>
  <c r="T74" i="2"/>
  <c r="AO73" i="2"/>
  <c r="T220" i="2"/>
  <c r="AO219" i="2"/>
  <c r="U223" i="2"/>
  <c r="V224" i="2"/>
  <c r="W225" i="2"/>
  <c r="X226" i="2"/>
  <c r="Y227" i="2"/>
  <c r="Z235" i="2"/>
  <c r="AA269" i="2"/>
  <c r="AB318" i="2"/>
  <c r="Y319" i="2"/>
  <c r="C80" i="7" l="1"/>
  <c r="D80" i="7"/>
  <c r="BA83" i="6"/>
  <c r="B81" i="7"/>
  <c r="AS76" i="6"/>
  <c r="AN77" i="6"/>
  <c r="AO77" i="6"/>
  <c r="AP77" i="6"/>
  <c r="AQ77" i="6"/>
  <c r="AK77" i="6"/>
  <c r="AA78" i="6"/>
  <c r="V79" i="6"/>
  <c r="Z78" i="6"/>
  <c r="AV78" i="6"/>
  <c r="AD76" i="6"/>
  <c r="AE76" i="6"/>
  <c r="AF75" i="6"/>
  <c r="AG74" i="6"/>
  <c r="AH73" i="6"/>
  <c r="AI72" i="6"/>
  <c r="Y320" i="2"/>
  <c r="AB319" i="2"/>
  <c r="AA270" i="2"/>
  <c r="Z236" i="2"/>
  <c r="Y228" i="2"/>
  <c r="X227" i="2"/>
  <c r="W226" i="2"/>
  <c r="V225" i="2"/>
  <c r="U224" i="2"/>
  <c r="T221" i="2"/>
  <c r="AO220" i="2"/>
  <c r="T75" i="2"/>
  <c r="AO74" i="2"/>
  <c r="AB74" i="2"/>
  <c r="AA74" i="2"/>
  <c r="Z74" i="2"/>
  <c r="Y74" i="2"/>
  <c r="X74" i="2"/>
  <c r="C81" i="7" l="1"/>
  <c r="D81" i="7"/>
  <c r="BA84" i="6"/>
  <c r="B82" i="7"/>
  <c r="AS77" i="6"/>
  <c r="AN78" i="6"/>
  <c r="AO78" i="6"/>
  <c r="AP78" i="6"/>
  <c r="AQ78" i="6"/>
  <c r="Z79" i="6"/>
  <c r="AY79" i="6"/>
  <c r="V80" i="6"/>
  <c r="AA79" i="6"/>
  <c r="AV79" i="6"/>
  <c r="AK78" i="6"/>
  <c r="AD77" i="6"/>
  <c r="AE77" i="6"/>
  <c r="AF76" i="6"/>
  <c r="AG75" i="6"/>
  <c r="AH74" i="6"/>
  <c r="AI73" i="6"/>
  <c r="X75" i="2"/>
  <c r="Y75" i="2"/>
  <c r="Z75" i="2"/>
  <c r="AA75" i="2"/>
  <c r="AB75" i="2"/>
  <c r="T76" i="2"/>
  <c r="AO75" i="2"/>
  <c r="T222" i="2"/>
  <c r="AO221" i="2"/>
  <c r="U225" i="2"/>
  <c r="V226" i="2"/>
  <c r="W227" i="2"/>
  <c r="X228" i="2"/>
  <c r="Y229" i="2"/>
  <c r="Z237" i="2"/>
  <c r="AA271" i="2"/>
  <c r="AB320" i="2"/>
  <c r="C82" i="7" l="1"/>
  <c r="D82" i="7"/>
  <c r="BA85" i="6"/>
  <c r="B83" i="7"/>
  <c r="AS78" i="6"/>
  <c r="AN79" i="6"/>
  <c r="AO79" i="6"/>
  <c r="AP79" i="6"/>
  <c r="AQ79" i="6"/>
  <c r="AK79" i="6"/>
  <c r="AA80" i="6"/>
  <c r="V81" i="6"/>
  <c r="Z80" i="6"/>
  <c r="AV80" i="6"/>
  <c r="AD78" i="6"/>
  <c r="AE78" i="6"/>
  <c r="AF77" i="6"/>
  <c r="AG76" i="6"/>
  <c r="AH75" i="6"/>
  <c r="AI74" i="6"/>
  <c r="AB321" i="2"/>
  <c r="AA272" i="2"/>
  <c r="Z238" i="2"/>
  <c r="Y230" i="2"/>
  <c r="X229" i="2"/>
  <c r="W228" i="2"/>
  <c r="V227" i="2"/>
  <c r="U226" i="2"/>
  <c r="T223" i="2"/>
  <c r="AO222" i="2"/>
  <c r="T77" i="2"/>
  <c r="AO76" i="2"/>
  <c r="AB76" i="2"/>
  <c r="AA76" i="2"/>
  <c r="Z76" i="2"/>
  <c r="Y76" i="2"/>
  <c r="X76" i="2"/>
  <c r="C83" i="7" l="1"/>
  <c r="D83" i="7"/>
  <c r="BA86" i="6"/>
  <c r="B84" i="7"/>
  <c r="AS79" i="6"/>
  <c r="AN80" i="6"/>
  <c r="AO80" i="6"/>
  <c r="AP80" i="6"/>
  <c r="AQ80" i="6"/>
  <c r="Z81" i="6"/>
  <c r="AY81" i="6"/>
  <c r="V82" i="6"/>
  <c r="AA81" i="6"/>
  <c r="AV81" i="6"/>
  <c r="AK80" i="6"/>
  <c r="AD79" i="6"/>
  <c r="AE79" i="6"/>
  <c r="AF78" i="6"/>
  <c r="AG77" i="6"/>
  <c r="AH76" i="6"/>
  <c r="AI75" i="6"/>
  <c r="X77" i="2"/>
  <c r="Y77" i="2"/>
  <c r="Z77" i="2"/>
  <c r="AA77" i="2"/>
  <c r="AB77" i="2"/>
  <c r="T78" i="2"/>
  <c r="AO77" i="2"/>
  <c r="T224" i="2"/>
  <c r="AO223" i="2"/>
  <c r="U227" i="2"/>
  <c r="V228" i="2"/>
  <c r="W229" i="2"/>
  <c r="X230" i="2"/>
  <c r="Y231" i="2"/>
  <c r="Z239" i="2"/>
  <c r="AA273" i="2"/>
  <c r="AB322" i="2"/>
  <c r="C84" i="7" l="1"/>
  <c r="D84" i="7"/>
  <c r="BA87" i="6"/>
  <c r="B85" i="7"/>
  <c r="AS80" i="6"/>
  <c r="AN81" i="6"/>
  <c r="AO81" i="6"/>
  <c r="AP81" i="6"/>
  <c r="AQ81" i="6"/>
  <c r="AK81" i="6"/>
  <c r="AA82" i="6"/>
  <c r="V83" i="6"/>
  <c r="Z82" i="6"/>
  <c r="AV82" i="6"/>
  <c r="AD80" i="6"/>
  <c r="AE80" i="6"/>
  <c r="AF79" i="6"/>
  <c r="AG78" i="6"/>
  <c r="AH77" i="6"/>
  <c r="AI76" i="6"/>
  <c r="AB323" i="2"/>
  <c r="AA274" i="2"/>
  <c r="Z240" i="2"/>
  <c r="Y232" i="2"/>
  <c r="X231" i="2"/>
  <c r="W230" i="2"/>
  <c r="V229" i="2"/>
  <c r="U228" i="2"/>
  <c r="T225" i="2"/>
  <c r="AO224" i="2"/>
  <c r="T79" i="2"/>
  <c r="AO78" i="2"/>
  <c r="AB78" i="2"/>
  <c r="AA78" i="2"/>
  <c r="Z78" i="2"/>
  <c r="Y78" i="2"/>
  <c r="X78" i="2"/>
  <c r="C85" i="7" l="1"/>
  <c r="D85" i="7"/>
  <c r="BA88" i="6"/>
  <c r="B86" i="7"/>
  <c r="AS81" i="6"/>
  <c r="AN82" i="6"/>
  <c r="AO82" i="6"/>
  <c r="AP82" i="6"/>
  <c r="AQ82" i="6"/>
  <c r="Z83" i="6"/>
  <c r="Z84" i="6" s="1"/>
  <c r="AY83" i="6"/>
  <c r="V84" i="6"/>
  <c r="AA83" i="6"/>
  <c r="AV83" i="6"/>
  <c r="AK82" i="6"/>
  <c r="AD81" i="6"/>
  <c r="AE81" i="6"/>
  <c r="AF80" i="6"/>
  <c r="AG79" i="6"/>
  <c r="AH78" i="6"/>
  <c r="AI77" i="6"/>
  <c r="X79" i="2"/>
  <c r="Y79" i="2"/>
  <c r="Z79" i="2"/>
  <c r="AA79" i="2"/>
  <c r="AB79" i="2"/>
  <c r="T80" i="2"/>
  <c r="AO79" i="2"/>
  <c r="T226" i="2"/>
  <c r="AO225" i="2"/>
  <c r="U229" i="2"/>
  <c r="V230" i="2"/>
  <c r="W231" i="2"/>
  <c r="X232" i="2"/>
  <c r="Y233" i="2"/>
  <c r="Z241" i="2"/>
  <c r="AA275" i="2"/>
  <c r="AB324" i="2"/>
  <c r="C86" i="7" l="1"/>
  <c r="D86" i="7"/>
  <c r="BA89" i="6"/>
  <c r="B87" i="7"/>
  <c r="AS82" i="6"/>
  <c r="AN83" i="6"/>
  <c r="AO83" i="6"/>
  <c r="AP83" i="6"/>
  <c r="AQ83" i="6"/>
  <c r="AK83" i="6"/>
  <c r="AA84" i="6"/>
  <c r="V85" i="6"/>
  <c r="Y84" i="6"/>
  <c r="AV84" i="6"/>
  <c r="AD82" i="6"/>
  <c r="AE82" i="6"/>
  <c r="AF81" i="6"/>
  <c r="AG80" i="6"/>
  <c r="AH79" i="6"/>
  <c r="AI78" i="6"/>
  <c r="AB325" i="2"/>
  <c r="AA276" i="2"/>
  <c r="Z242" i="2"/>
  <c r="Y234" i="2"/>
  <c r="X233" i="2"/>
  <c r="W232" i="2"/>
  <c r="V231" i="2"/>
  <c r="U230" i="2"/>
  <c r="T227" i="2"/>
  <c r="AO226" i="2"/>
  <c r="T81" i="2"/>
  <c r="AO80" i="2"/>
  <c r="AB80" i="2"/>
  <c r="AA80" i="2"/>
  <c r="Z80" i="2"/>
  <c r="Y80" i="2"/>
  <c r="X80" i="2"/>
  <c r="C87" i="7" l="1"/>
  <c r="D87" i="7"/>
  <c r="BA90" i="6"/>
  <c r="B88" i="7"/>
  <c r="AS83" i="6"/>
  <c r="AN84" i="6"/>
  <c r="AO84" i="6"/>
  <c r="AP84" i="6"/>
  <c r="AQ84" i="6"/>
  <c r="Y85" i="6"/>
  <c r="Y86" i="6" s="1"/>
  <c r="AY85" i="6"/>
  <c r="V86" i="6"/>
  <c r="Z85" i="6"/>
  <c r="AV85" i="6"/>
  <c r="AK84" i="6"/>
  <c r="AA85" i="6"/>
  <c r="AK85" i="6" s="1"/>
  <c r="AD83" i="6"/>
  <c r="AE83" i="6"/>
  <c r="AF82" i="6"/>
  <c r="AG81" i="6"/>
  <c r="AH80" i="6"/>
  <c r="AI79" i="6"/>
  <c r="X81" i="2"/>
  <c r="Y81" i="2"/>
  <c r="Z81" i="2"/>
  <c r="AA81" i="2"/>
  <c r="AB81" i="2"/>
  <c r="T82" i="2"/>
  <c r="AO81" i="2"/>
  <c r="T228" i="2"/>
  <c r="AO227" i="2"/>
  <c r="U231" i="2"/>
  <c r="V232" i="2"/>
  <c r="W233" i="2"/>
  <c r="X234" i="2"/>
  <c r="Y235" i="2"/>
  <c r="Z243" i="2"/>
  <c r="AA277" i="2"/>
  <c r="AB326" i="2"/>
  <c r="C88" i="7" l="1"/>
  <c r="D88" i="7"/>
  <c r="BA91" i="6"/>
  <c r="B89" i="7"/>
  <c r="AQ86" i="6"/>
  <c r="AS84" i="6"/>
  <c r="AN85" i="6"/>
  <c r="AN86" i="6" s="1"/>
  <c r="AO85" i="6"/>
  <c r="AO86" i="6" s="1"/>
  <c r="AP85" i="6"/>
  <c r="AS85" i="6" s="1"/>
  <c r="AQ85" i="6"/>
  <c r="Z86" i="6"/>
  <c r="AY86" i="6"/>
  <c r="V87" i="6"/>
  <c r="AA86" i="6"/>
  <c r="AV86" i="6"/>
  <c r="Y87" i="6"/>
  <c r="Y88" i="6" s="1"/>
  <c r="AY87" i="6"/>
  <c r="AD84" i="6"/>
  <c r="AE84" i="6"/>
  <c r="AF83" i="6"/>
  <c r="AG82" i="6"/>
  <c r="AH81" i="6"/>
  <c r="AI80" i="6"/>
  <c r="AB327" i="2"/>
  <c r="AA278" i="2"/>
  <c r="Z244" i="2"/>
  <c r="Y236" i="2"/>
  <c r="X235" i="2"/>
  <c r="W234" i="2"/>
  <c r="V233" i="2"/>
  <c r="U232" i="2"/>
  <c r="T229" i="2"/>
  <c r="AO228" i="2"/>
  <c r="T83" i="2"/>
  <c r="AO82" i="2"/>
  <c r="AB82" i="2"/>
  <c r="AA82" i="2"/>
  <c r="Z82" i="2"/>
  <c r="Y82" i="2"/>
  <c r="X82" i="2"/>
  <c r="C89" i="7" l="1"/>
  <c r="D89" i="7"/>
  <c r="BA92" i="6"/>
  <c r="B90" i="7"/>
  <c r="AP86" i="6"/>
  <c r="Y89" i="6"/>
  <c r="Y90" i="6" s="1"/>
  <c r="AY89" i="6"/>
  <c r="AK86" i="6"/>
  <c r="AA87" i="6"/>
  <c r="V88" i="6"/>
  <c r="Z87" i="6"/>
  <c r="AV87" i="6"/>
  <c r="AD85" i="6"/>
  <c r="AE85" i="6"/>
  <c r="AF84" i="6"/>
  <c r="AG83" i="6"/>
  <c r="AH82" i="6"/>
  <c r="AI81" i="6"/>
  <c r="X83" i="2"/>
  <c r="Y83" i="2"/>
  <c r="Z83" i="2"/>
  <c r="AA83" i="2"/>
  <c r="AB83" i="2"/>
  <c r="T84" i="2"/>
  <c r="AO83" i="2"/>
  <c r="T230" i="2"/>
  <c r="AO229" i="2"/>
  <c r="U233" i="2"/>
  <c r="V234" i="2"/>
  <c r="W235" i="2"/>
  <c r="X236" i="2"/>
  <c r="Y237" i="2"/>
  <c r="Z245" i="2"/>
  <c r="AA279" i="2"/>
  <c r="AB328" i="2"/>
  <c r="C90" i="7" l="1"/>
  <c r="D90" i="7"/>
  <c r="BA93" i="6"/>
  <c r="B91" i="7"/>
  <c r="AS86" i="6"/>
  <c r="AN87" i="6"/>
  <c r="AO87" i="6"/>
  <c r="AP87" i="6"/>
  <c r="AQ87" i="6"/>
  <c r="Z88" i="6"/>
  <c r="AY88" i="6"/>
  <c r="V89" i="6"/>
  <c r="AA88" i="6"/>
  <c r="AV88" i="6"/>
  <c r="AK87" i="6"/>
  <c r="Y91" i="6"/>
  <c r="Y92" i="6" s="1"/>
  <c r="AY91" i="6"/>
  <c r="AD86" i="6"/>
  <c r="AE86" i="6"/>
  <c r="AF85" i="6"/>
  <c r="AG84" i="6"/>
  <c r="AH83" i="6"/>
  <c r="AI82" i="6"/>
  <c r="AB329" i="2"/>
  <c r="AA280" i="2"/>
  <c r="Z246" i="2"/>
  <c r="Y238" i="2"/>
  <c r="X237" i="2"/>
  <c r="W236" i="2"/>
  <c r="V235" i="2"/>
  <c r="U234" i="2"/>
  <c r="T231" i="2"/>
  <c r="AO230" i="2"/>
  <c r="T85" i="2"/>
  <c r="AO84" i="2"/>
  <c r="AB84" i="2"/>
  <c r="AA84" i="2"/>
  <c r="Z84" i="2"/>
  <c r="Y84" i="2"/>
  <c r="X84" i="2"/>
  <c r="C91" i="7" l="1"/>
  <c r="D91" i="7"/>
  <c r="BA94" i="6"/>
  <c r="B92" i="7"/>
  <c r="AS87" i="6"/>
  <c r="AN88" i="6"/>
  <c r="AO88" i="6"/>
  <c r="AP88" i="6"/>
  <c r="AQ88" i="6"/>
  <c r="Y93" i="6"/>
  <c r="Y94" i="6" s="1"/>
  <c r="AY93" i="6"/>
  <c r="AK88" i="6"/>
  <c r="AA89" i="6"/>
  <c r="V90" i="6"/>
  <c r="Z89" i="6"/>
  <c r="AV89" i="6"/>
  <c r="AD87" i="6"/>
  <c r="AE87" i="6"/>
  <c r="AF86" i="6"/>
  <c r="AG85" i="6"/>
  <c r="AH84" i="6"/>
  <c r="AI83" i="6"/>
  <c r="X85" i="2"/>
  <c r="Y85" i="2"/>
  <c r="Z85" i="2"/>
  <c r="AA85" i="2"/>
  <c r="AB85" i="2"/>
  <c r="T86" i="2"/>
  <c r="AO85" i="2"/>
  <c r="T232" i="2"/>
  <c r="AO231" i="2"/>
  <c r="U235" i="2"/>
  <c r="V236" i="2"/>
  <c r="W237" i="2"/>
  <c r="X238" i="2"/>
  <c r="Y239" i="2"/>
  <c r="Z247" i="2"/>
  <c r="AA281" i="2"/>
  <c r="AB330" i="2"/>
  <c r="C92" i="7" l="1"/>
  <c r="D92" i="7"/>
  <c r="BA95" i="6"/>
  <c r="B93" i="7"/>
  <c r="AS88" i="6"/>
  <c r="AN89" i="6"/>
  <c r="AO89" i="6"/>
  <c r="AP89" i="6"/>
  <c r="AQ89" i="6"/>
  <c r="Z90" i="6"/>
  <c r="AY90" i="6"/>
  <c r="V91" i="6"/>
  <c r="AA90" i="6"/>
  <c r="AV90" i="6"/>
  <c r="AK89" i="6"/>
  <c r="Y95" i="6"/>
  <c r="Y96" i="6" s="1"/>
  <c r="AY95" i="6"/>
  <c r="AD88" i="6"/>
  <c r="AE88" i="6"/>
  <c r="AF87" i="6"/>
  <c r="AG86" i="6"/>
  <c r="AH85" i="6"/>
  <c r="AI84" i="6"/>
  <c r="AB331" i="2"/>
  <c r="AA282" i="2"/>
  <c r="Z248" i="2"/>
  <c r="Y240" i="2"/>
  <c r="X239" i="2"/>
  <c r="W238" i="2"/>
  <c r="V237" i="2"/>
  <c r="U236" i="2"/>
  <c r="T233" i="2"/>
  <c r="AO232" i="2"/>
  <c r="T87" i="2"/>
  <c r="AO86" i="2"/>
  <c r="AB86" i="2"/>
  <c r="AA86" i="2"/>
  <c r="Z86" i="2"/>
  <c r="Y86" i="2"/>
  <c r="X86" i="2"/>
  <c r="C93" i="7" l="1"/>
  <c r="D93" i="7"/>
  <c r="BA96" i="6"/>
  <c r="B94" i="7"/>
  <c r="AS89" i="6"/>
  <c r="AN90" i="6"/>
  <c r="AO90" i="6"/>
  <c r="AP90" i="6"/>
  <c r="AQ90" i="6"/>
  <c r="Y97" i="6"/>
  <c r="Y98" i="6" s="1"/>
  <c r="AY97" i="6"/>
  <c r="AK90" i="6"/>
  <c r="AA91" i="6"/>
  <c r="V92" i="6"/>
  <c r="Z91" i="6"/>
  <c r="AV91" i="6"/>
  <c r="AD89" i="6"/>
  <c r="AE89" i="6"/>
  <c r="AF88" i="6"/>
  <c r="AG87" i="6"/>
  <c r="AH86" i="6"/>
  <c r="AI85" i="6"/>
  <c r="X87" i="2"/>
  <c r="Y87" i="2"/>
  <c r="Z87" i="2"/>
  <c r="AA87" i="2"/>
  <c r="AB87" i="2"/>
  <c r="T88" i="2"/>
  <c r="AO87" i="2"/>
  <c r="T234" i="2"/>
  <c r="AO233" i="2"/>
  <c r="U237" i="2"/>
  <c r="V238" i="2"/>
  <c r="W239" i="2"/>
  <c r="X240" i="2"/>
  <c r="Y241" i="2"/>
  <c r="Z249" i="2"/>
  <c r="AA283" i="2"/>
  <c r="AB332" i="2"/>
  <c r="C94" i="7" l="1"/>
  <c r="D94" i="7"/>
  <c r="BA97" i="6"/>
  <c r="B95" i="7"/>
  <c r="AS90" i="6"/>
  <c r="AN91" i="6"/>
  <c r="AO91" i="6"/>
  <c r="AP91" i="6"/>
  <c r="AQ91" i="6"/>
  <c r="Z92" i="6"/>
  <c r="AY92" i="6"/>
  <c r="V93" i="6"/>
  <c r="AA92" i="6"/>
  <c r="AV92" i="6"/>
  <c r="AK91" i="6"/>
  <c r="Y99" i="6"/>
  <c r="Y100" i="6" s="1"/>
  <c r="AY99" i="6"/>
  <c r="AD90" i="6"/>
  <c r="AE90" i="6"/>
  <c r="AF89" i="6"/>
  <c r="AG88" i="6"/>
  <c r="AH87" i="6"/>
  <c r="AI86" i="6"/>
  <c r="AB333" i="2"/>
  <c r="AA284" i="2"/>
  <c r="Z250" i="2"/>
  <c r="Y242" i="2"/>
  <c r="X241" i="2"/>
  <c r="W240" i="2"/>
  <c r="V239" i="2"/>
  <c r="U238" i="2"/>
  <c r="T235" i="2"/>
  <c r="AO234" i="2"/>
  <c r="T89" i="2"/>
  <c r="AO88" i="2"/>
  <c r="AB88" i="2"/>
  <c r="AA88" i="2"/>
  <c r="Z88" i="2"/>
  <c r="Y88" i="2"/>
  <c r="X88" i="2"/>
  <c r="C95" i="7" l="1"/>
  <c r="D95" i="7"/>
  <c r="BA98" i="6"/>
  <c r="B96" i="7"/>
  <c r="AS91" i="6"/>
  <c r="AN92" i="6"/>
  <c r="AO92" i="6"/>
  <c r="AP92" i="6"/>
  <c r="AQ92" i="6"/>
  <c r="Y101" i="6"/>
  <c r="Y102" i="6" s="1"/>
  <c r="AY101" i="6"/>
  <c r="AK92" i="6"/>
  <c r="AA93" i="6"/>
  <c r="V94" i="6"/>
  <c r="Z93" i="6"/>
  <c r="AV93" i="6"/>
  <c r="AD91" i="6"/>
  <c r="AE91" i="6"/>
  <c r="AF90" i="6"/>
  <c r="AG89" i="6"/>
  <c r="AH88" i="6"/>
  <c r="AI87" i="6"/>
  <c r="X89" i="2"/>
  <c r="Y89" i="2"/>
  <c r="Z89" i="2"/>
  <c r="AA89" i="2"/>
  <c r="AB89" i="2"/>
  <c r="T90" i="2"/>
  <c r="T236" i="2"/>
  <c r="AO235" i="2"/>
  <c r="U239" i="2"/>
  <c r="V240" i="2"/>
  <c r="W241" i="2"/>
  <c r="X242" i="2"/>
  <c r="Y243" i="2"/>
  <c r="Z251" i="2"/>
  <c r="AA285" i="2"/>
  <c r="AB334" i="2"/>
  <c r="C96" i="7" l="1"/>
  <c r="D96" i="7"/>
  <c r="BA99" i="6"/>
  <c r="B97" i="7"/>
  <c r="AS92" i="6"/>
  <c r="AN93" i="6"/>
  <c r="AO93" i="6"/>
  <c r="AP93" i="6"/>
  <c r="AQ93" i="6"/>
  <c r="Z94" i="6"/>
  <c r="AY94" i="6"/>
  <c r="V95" i="6"/>
  <c r="AA94" i="6"/>
  <c r="AV94" i="6"/>
  <c r="AK93" i="6"/>
  <c r="Y103" i="6"/>
  <c r="Y104" i="6" s="1"/>
  <c r="Y105" i="6" s="1"/>
  <c r="Y106" i="6" s="1"/>
  <c r="Y107" i="6" s="1"/>
  <c r="Y108" i="6" s="1"/>
  <c r="AY103" i="6"/>
  <c r="AD92" i="6"/>
  <c r="AE92" i="6"/>
  <c r="AF91" i="6"/>
  <c r="AG90" i="6"/>
  <c r="AH89" i="6"/>
  <c r="AI88" i="6"/>
  <c r="AB335" i="2"/>
  <c r="AA286" i="2"/>
  <c r="Y244" i="2"/>
  <c r="X243" i="2"/>
  <c r="W242" i="2"/>
  <c r="V241" i="2"/>
  <c r="U240" i="2"/>
  <c r="T237" i="2"/>
  <c r="AO236" i="2"/>
  <c r="AO89" i="2"/>
  <c r="T91" i="2"/>
  <c r="AO90" i="2"/>
  <c r="AB90" i="2"/>
  <c r="AA90" i="2"/>
  <c r="Z90" i="2"/>
  <c r="Y90" i="2"/>
  <c r="X90" i="2"/>
  <c r="C97" i="7" l="1"/>
  <c r="D97" i="7"/>
  <c r="BA100" i="6"/>
  <c r="B98" i="7"/>
  <c r="AS93" i="6"/>
  <c r="AN94" i="6"/>
  <c r="AO94" i="6"/>
  <c r="AP94" i="6"/>
  <c r="AQ94" i="6"/>
  <c r="AK94" i="6"/>
  <c r="AA95" i="6"/>
  <c r="V96" i="6"/>
  <c r="Z95" i="6"/>
  <c r="AV95" i="6"/>
  <c r="AD93" i="6"/>
  <c r="AE93" i="6"/>
  <c r="AF92" i="6"/>
  <c r="AG91" i="6"/>
  <c r="AH90" i="6"/>
  <c r="AI89" i="6"/>
  <c r="X91" i="2"/>
  <c r="Y91" i="2"/>
  <c r="Z91" i="2"/>
  <c r="AA91" i="2"/>
  <c r="AB91" i="2"/>
  <c r="T92" i="2"/>
  <c r="AO91" i="2"/>
  <c r="T238" i="2"/>
  <c r="AO237" i="2"/>
  <c r="U241" i="2"/>
  <c r="V242" i="2"/>
  <c r="W243" i="2"/>
  <c r="X244" i="2"/>
  <c r="Y245" i="2"/>
  <c r="AA287" i="2"/>
  <c r="AB336" i="2"/>
  <c r="C98" i="7" l="1"/>
  <c r="D98" i="7"/>
  <c r="BA101" i="6"/>
  <c r="B99" i="7"/>
  <c r="AS94" i="6"/>
  <c r="AN95" i="6"/>
  <c r="AO95" i="6"/>
  <c r="AP95" i="6"/>
  <c r="AQ95" i="6"/>
  <c r="Z96" i="6"/>
  <c r="AY96" i="6"/>
  <c r="V97" i="6"/>
  <c r="AA96" i="6"/>
  <c r="AV96" i="6"/>
  <c r="AK95" i="6"/>
  <c r="AD94" i="6"/>
  <c r="AE94" i="6"/>
  <c r="AF93" i="6"/>
  <c r="AG92" i="6"/>
  <c r="AH91" i="6"/>
  <c r="AI90" i="6"/>
  <c r="AB337" i="2"/>
  <c r="AA288" i="2"/>
  <c r="Y246" i="2"/>
  <c r="X245" i="2"/>
  <c r="W244" i="2"/>
  <c r="V243" i="2"/>
  <c r="U242" i="2"/>
  <c r="T239" i="2"/>
  <c r="AO238" i="2"/>
  <c r="T93" i="2"/>
  <c r="AB92" i="2"/>
  <c r="AA92" i="2"/>
  <c r="Z92" i="2"/>
  <c r="Y92" i="2"/>
  <c r="X92" i="2"/>
  <c r="C99" i="7" l="1"/>
  <c r="D99" i="7"/>
  <c r="BA102" i="6"/>
  <c r="B100" i="7"/>
  <c r="AS95" i="6"/>
  <c r="AN96" i="6"/>
  <c r="AO96" i="6"/>
  <c r="AP96" i="6"/>
  <c r="AQ96" i="6"/>
  <c r="AK96" i="6"/>
  <c r="AA97" i="6"/>
  <c r="V98" i="6"/>
  <c r="Z97" i="6"/>
  <c r="AV97" i="6"/>
  <c r="AD95" i="6"/>
  <c r="AE95" i="6"/>
  <c r="AF94" i="6"/>
  <c r="AG93" i="6"/>
  <c r="AH92" i="6"/>
  <c r="AI91" i="6"/>
  <c r="X93" i="2"/>
  <c r="Y93" i="2"/>
  <c r="Z93" i="2"/>
  <c r="AA93" i="2"/>
  <c r="AB93" i="2"/>
  <c r="AO92" i="2"/>
  <c r="T94" i="2"/>
  <c r="AO93" i="2"/>
  <c r="T240" i="2"/>
  <c r="AO239" i="2"/>
  <c r="U243" i="2"/>
  <c r="V244" i="2"/>
  <c r="W245" i="2"/>
  <c r="X246" i="2"/>
  <c r="Y247" i="2"/>
  <c r="AA289" i="2"/>
  <c r="AB338" i="2"/>
  <c r="C100" i="7" l="1"/>
  <c r="D100" i="7"/>
  <c r="BA103" i="6"/>
  <c r="B101" i="7"/>
  <c r="AS96" i="6"/>
  <c r="AN97" i="6"/>
  <c r="AO97" i="6"/>
  <c r="AP97" i="6"/>
  <c r="AQ97" i="6"/>
  <c r="Z98" i="6"/>
  <c r="AY98" i="6"/>
  <c r="V99" i="6"/>
  <c r="AA98" i="6"/>
  <c r="AV98" i="6"/>
  <c r="AK97" i="6"/>
  <c r="AD96" i="6"/>
  <c r="AE96" i="6"/>
  <c r="AF95" i="6"/>
  <c r="AG94" i="6"/>
  <c r="AH93" i="6"/>
  <c r="AI92" i="6"/>
  <c r="AB339" i="2"/>
  <c r="AA290" i="2"/>
  <c r="Y248" i="2"/>
  <c r="X247" i="2"/>
  <c r="W246" i="2"/>
  <c r="V245" i="2"/>
  <c r="U244" i="2"/>
  <c r="T241" i="2"/>
  <c r="AO240" i="2"/>
  <c r="T95" i="2"/>
  <c r="AO94" i="2"/>
  <c r="AB94" i="2"/>
  <c r="AA94" i="2"/>
  <c r="Z94" i="2"/>
  <c r="Y94" i="2"/>
  <c r="X94" i="2"/>
  <c r="C101" i="7" l="1"/>
  <c r="D101" i="7"/>
  <c r="BA104" i="6"/>
  <c r="B102" i="7"/>
  <c r="AS97" i="6"/>
  <c r="AN98" i="6"/>
  <c r="AO98" i="6"/>
  <c r="AP98" i="6"/>
  <c r="AQ98" i="6"/>
  <c r="AK98" i="6"/>
  <c r="AA99" i="6"/>
  <c r="V100" i="6"/>
  <c r="Z99" i="6"/>
  <c r="AV99" i="6"/>
  <c r="AD97" i="6"/>
  <c r="AE97" i="6"/>
  <c r="AF96" i="6"/>
  <c r="AG95" i="6"/>
  <c r="AH94" i="6"/>
  <c r="AI93" i="6"/>
  <c r="X95" i="2"/>
  <c r="Y95" i="2"/>
  <c r="Z95" i="2"/>
  <c r="AA95" i="2"/>
  <c r="AB95" i="2"/>
  <c r="T96" i="2"/>
  <c r="AO95" i="2"/>
  <c r="T242" i="2"/>
  <c r="AO241" i="2"/>
  <c r="U245" i="2"/>
  <c r="V246" i="2"/>
  <c r="W247" i="2"/>
  <c r="X248" i="2"/>
  <c r="Y249" i="2"/>
  <c r="AA291" i="2"/>
  <c r="AB340" i="2"/>
  <c r="C102" i="7" l="1"/>
  <c r="D102" i="7"/>
  <c r="BA105" i="6"/>
  <c r="BA106" i="6" s="1"/>
  <c r="B103" i="7"/>
  <c r="AS98" i="6"/>
  <c r="AN99" i="6"/>
  <c r="AO99" i="6"/>
  <c r="AP99" i="6"/>
  <c r="AQ99" i="6"/>
  <c r="Z100" i="6"/>
  <c r="AY100" i="6"/>
  <c r="V101" i="6"/>
  <c r="AA100" i="6"/>
  <c r="AV100" i="6"/>
  <c r="AK99" i="6"/>
  <c r="AD98" i="6"/>
  <c r="AE98" i="6"/>
  <c r="AF97" i="6"/>
  <c r="AG96" i="6"/>
  <c r="AH95" i="6"/>
  <c r="AI94" i="6"/>
  <c r="AB341" i="2"/>
  <c r="AA292" i="2"/>
  <c r="Y250" i="2"/>
  <c r="X249" i="2"/>
  <c r="W248" i="2"/>
  <c r="V247" i="2"/>
  <c r="U246" i="2"/>
  <c r="T243" i="2"/>
  <c r="AO242" i="2"/>
  <c r="T97" i="2"/>
  <c r="AO96" i="2"/>
  <c r="AB96" i="2"/>
  <c r="AA96" i="2"/>
  <c r="Z96" i="2"/>
  <c r="Y96" i="2"/>
  <c r="X96" i="2"/>
  <c r="C103" i="7" l="1"/>
  <c r="D103" i="7"/>
  <c r="BA107" i="6"/>
  <c r="B105" i="7"/>
  <c r="AS99" i="6"/>
  <c r="AN100" i="6"/>
  <c r="AO100" i="6"/>
  <c r="AP100" i="6"/>
  <c r="AQ100" i="6"/>
  <c r="AK100" i="6"/>
  <c r="AA101" i="6"/>
  <c r="V102" i="6"/>
  <c r="Z101" i="6"/>
  <c r="AV101" i="6"/>
  <c r="AD99" i="6"/>
  <c r="AE99" i="6"/>
  <c r="AF98" i="6"/>
  <c r="AG97" i="6"/>
  <c r="AH96" i="6"/>
  <c r="AI95" i="6"/>
  <c r="X97" i="2"/>
  <c r="Y97" i="2"/>
  <c r="Z97" i="2"/>
  <c r="AA97" i="2"/>
  <c r="AB97" i="2"/>
  <c r="T98" i="2"/>
  <c r="AO97" i="2"/>
  <c r="T244" i="2"/>
  <c r="AO243" i="2"/>
  <c r="U247" i="2"/>
  <c r="V248" i="2"/>
  <c r="W249" i="2"/>
  <c r="X250" i="2"/>
  <c r="AA293" i="2"/>
  <c r="AB342" i="2"/>
  <c r="C105" i="7" l="1"/>
  <c r="D105" i="7"/>
  <c r="BA108" i="6"/>
  <c r="B106" i="7"/>
  <c r="AS100" i="6"/>
  <c r="AN101" i="6"/>
  <c r="AO101" i="6"/>
  <c r="AP101" i="6"/>
  <c r="AQ101" i="6"/>
  <c r="Z102" i="6"/>
  <c r="AY102" i="6"/>
  <c r="V103" i="6"/>
  <c r="AA102" i="6"/>
  <c r="AV102" i="6"/>
  <c r="AK101" i="6"/>
  <c r="AD100" i="6"/>
  <c r="AE100" i="6"/>
  <c r="AF99" i="6"/>
  <c r="AG98" i="6"/>
  <c r="AH97" i="6"/>
  <c r="AI96" i="6"/>
  <c r="AB343" i="2"/>
  <c r="AA294" i="2"/>
  <c r="X251" i="2"/>
  <c r="W250" i="2"/>
  <c r="V249" i="2"/>
  <c r="U248" i="2"/>
  <c r="T245" i="2"/>
  <c r="AO244" i="2"/>
  <c r="T99" i="2"/>
  <c r="AO98" i="2"/>
  <c r="AB98" i="2"/>
  <c r="AA98" i="2"/>
  <c r="Z98" i="2"/>
  <c r="Y98" i="2"/>
  <c r="X98" i="2"/>
  <c r="C106" i="7" l="1"/>
  <c r="D106" i="7"/>
  <c r="BA109" i="6"/>
  <c r="B107" i="7"/>
  <c r="AS101" i="6"/>
  <c r="AN102" i="6"/>
  <c r="AO102" i="6"/>
  <c r="AP102" i="6"/>
  <c r="AQ102" i="6"/>
  <c r="AK102" i="6"/>
  <c r="AA103" i="6"/>
  <c r="V104" i="6"/>
  <c r="Z103" i="6"/>
  <c r="AV103" i="6"/>
  <c r="AD101" i="6"/>
  <c r="AE101" i="6"/>
  <c r="AF100" i="6"/>
  <c r="AG99" i="6"/>
  <c r="AH98" i="6"/>
  <c r="AI97" i="6"/>
  <c r="X99" i="2"/>
  <c r="Y99" i="2"/>
  <c r="Z99" i="2"/>
  <c r="AA99" i="2"/>
  <c r="AB99" i="2"/>
  <c r="T100" i="2"/>
  <c r="AO99" i="2"/>
  <c r="T246" i="2"/>
  <c r="AO245" i="2"/>
  <c r="U249" i="2"/>
  <c r="V250" i="2"/>
  <c r="W251" i="2"/>
  <c r="X252" i="2"/>
  <c r="AA295" i="2"/>
  <c r="C107" i="7" l="1"/>
  <c r="D107" i="7"/>
  <c r="BA110" i="6"/>
  <c r="B108" i="7"/>
  <c r="AS102" i="6"/>
  <c r="AN103" i="6"/>
  <c r="AO103" i="6"/>
  <c r="AP103" i="6"/>
  <c r="AQ103" i="6"/>
  <c r="Z104" i="6"/>
  <c r="Z105" i="6" s="1"/>
  <c r="Z106" i="6" s="1"/>
  <c r="AY104" i="6"/>
  <c r="V105" i="6"/>
  <c r="V106" i="6" s="1"/>
  <c r="AA104" i="6"/>
  <c r="AV104" i="6"/>
  <c r="AK103" i="6"/>
  <c r="AD102" i="6"/>
  <c r="AE102" i="6"/>
  <c r="AF101" i="6"/>
  <c r="AG100" i="6"/>
  <c r="AH99" i="6"/>
  <c r="AI98" i="6"/>
  <c r="AA296" i="2"/>
  <c r="X253" i="2"/>
  <c r="W252" i="2"/>
  <c r="V251" i="2"/>
  <c r="U250" i="2"/>
  <c r="T247" i="2"/>
  <c r="AO246" i="2"/>
  <c r="T101" i="2"/>
  <c r="AO100" i="2"/>
  <c r="AB100" i="2"/>
  <c r="AA100" i="2"/>
  <c r="Z100" i="2"/>
  <c r="Y100" i="2"/>
  <c r="X100" i="2"/>
  <c r="C108" i="7" l="1"/>
  <c r="D108" i="7"/>
  <c r="BA111" i="6"/>
  <c r="B109" i="7"/>
  <c r="AS103" i="6"/>
  <c r="AN104" i="6"/>
  <c r="AO104" i="6"/>
  <c r="AP104" i="6"/>
  <c r="AQ104" i="6"/>
  <c r="AK104" i="6"/>
  <c r="AA105" i="6"/>
  <c r="V107" i="6"/>
  <c r="X106" i="6"/>
  <c r="X107" i="6" s="1"/>
  <c r="AV106" i="6"/>
  <c r="Z107" i="6"/>
  <c r="Z108" i="6" s="1"/>
  <c r="Z109" i="6" s="1"/>
  <c r="AY107" i="6"/>
  <c r="AD103" i="6"/>
  <c r="AE103" i="6"/>
  <c r="AF102" i="6"/>
  <c r="AG101" i="6"/>
  <c r="AH100" i="6"/>
  <c r="AI99" i="6"/>
  <c r="X101" i="2"/>
  <c r="Y101" i="2"/>
  <c r="Z101" i="2"/>
  <c r="AA101" i="2"/>
  <c r="AB101" i="2"/>
  <c r="T102" i="2"/>
  <c r="AO101" i="2"/>
  <c r="T248" i="2"/>
  <c r="AO247" i="2"/>
  <c r="U251" i="2"/>
  <c r="V252" i="2"/>
  <c r="W253" i="2"/>
  <c r="X254" i="2"/>
  <c r="AA297" i="2"/>
  <c r="C109" i="7" l="1"/>
  <c r="D109" i="7"/>
  <c r="BA112" i="6"/>
  <c r="B110" i="7"/>
  <c r="AS104" i="6"/>
  <c r="AN105" i="6"/>
  <c r="AO105" i="6"/>
  <c r="AP105" i="6"/>
  <c r="AQ105" i="6"/>
  <c r="V108" i="6"/>
  <c r="AA107" i="6"/>
  <c r="AV107" i="6"/>
  <c r="AK105" i="6"/>
  <c r="AA106" i="6"/>
  <c r="AK106" i="6" s="1"/>
  <c r="AD104" i="6"/>
  <c r="AE104" i="6"/>
  <c r="AF103" i="6"/>
  <c r="AG102" i="6"/>
  <c r="AH101" i="6"/>
  <c r="AI100" i="6"/>
  <c r="AA298" i="2"/>
  <c r="X255" i="2"/>
  <c r="W254" i="2"/>
  <c r="V253" i="2"/>
  <c r="U252" i="2"/>
  <c r="T249" i="2"/>
  <c r="AO248" i="2"/>
  <c r="T103" i="2"/>
  <c r="AO102" i="2"/>
  <c r="AB102" i="2"/>
  <c r="AA102" i="2"/>
  <c r="Z102" i="2"/>
  <c r="Y102" i="2"/>
  <c r="X102" i="2"/>
  <c r="C110" i="7" l="1"/>
  <c r="D110" i="7"/>
  <c r="BA113" i="6"/>
  <c r="B111" i="7"/>
  <c r="AO107" i="6"/>
  <c r="AP107" i="6"/>
  <c r="AQ107" i="6"/>
  <c r="AS105" i="6"/>
  <c r="AN106" i="6"/>
  <c r="AS106" i="6" s="1"/>
  <c r="AO106" i="6"/>
  <c r="AP106" i="6"/>
  <c r="AQ106" i="6"/>
  <c r="AK107" i="6"/>
  <c r="AA108" i="6"/>
  <c r="V109" i="6"/>
  <c r="X108" i="6"/>
  <c r="AV108" i="6"/>
  <c r="AD105" i="6"/>
  <c r="AE105" i="6"/>
  <c r="AF104" i="6"/>
  <c r="AG103" i="6"/>
  <c r="AH102" i="6"/>
  <c r="AI101" i="6"/>
  <c r="X103" i="2"/>
  <c r="Y103" i="2"/>
  <c r="Z103" i="2"/>
  <c r="AA103" i="2"/>
  <c r="AB103" i="2"/>
  <c r="T104" i="2"/>
  <c r="T250" i="2"/>
  <c r="AO249" i="2"/>
  <c r="U253" i="2"/>
  <c r="V254" i="2"/>
  <c r="W255" i="2"/>
  <c r="X256" i="2"/>
  <c r="AA299" i="2"/>
  <c r="C111" i="7" l="1"/>
  <c r="D111" i="7"/>
  <c r="BA114" i="6"/>
  <c r="B112" i="7"/>
  <c r="AS107" i="6"/>
  <c r="AO108" i="6"/>
  <c r="AP108" i="6"/>
  <c r="AQ108" i="6"/>
  <c r="AN107" i="6"/>
  <c r="AN108" i="6" s="1"/>
  <c r="X109" i="6"/>
  <c r="X110" i="6" s="1"/>
  <c r="X111" i="6" s="1"/>
  <c r="X112" i="6" s="1"/>
  <c r="X113" i="6" s="1"/>
  <c r="X114" i="6" s="1"/>
  <c r="X115" i="6" s="1"/>
  <c r="X116" i="6" s="1"/>
  <c r="X117" i="6" s="1"/>
  <c r="AY109" i="6"/>
  <c r="V110" i="6"/>
  <c r="Y109" i="6"/>
  <c r="AV109" i="6"/>
  <c r="AK108" i="6"/>
  <c r="AA109" i="6"/>
  <c r="AD106" i="6"/>
  <c r="AE106" i="6"/>
  <c r="AF105" i="6"/>
  <c r="AG104" i="6"/>
  <c r="AH103" i="6"/>
  <c r="AI102" i="6"/>
  <c r="AA300" i="2"/>
  <c r="X257" i="2"/>
  <c r="W256" i="2"/>
  <c r="V255" i="2"/>
  <c r="U254" i="2"/>
  <c r="T251" i="2"/>
  <c r="AO250" i="2"/>
  <c r="AO103" i="2"/>
  <c r="T105" i="2"/>
  <c r="AO104" i="2"/>
  <c r="AB104" i="2"/>
  <c r="AA104" i="2"/>
  <c r="Z104" i="2"/>
  <c r="Y104" i="2"/>
  <c r="X104" i="2"/>
  <c r="C112" i="7" l="1"/>
  <c r="D112" i="7"/>
  <c r="BA115" i="6"/>
  <c r="B113" i="7"/>
  <c r="AS108" i="6"/>
  <c r="AN109" i="6"/>
  <c r="AO109" i="6"/>
  <c r="AP109" i="6"/>
  <c r="AQ109" i="6"/>
  <c r="AK109" i="6"/>
  <c r="AA110" i="6"/>
  <c r="Y110" i="6"/>
  <c r="Y111" i="6" s="1"/>
  <c r="AY110" i="6"/>
  <c r="V111" i="6"/>
  <c r="Z110" i="6"/>
  <c r="AV110" i="6"/>
  <c r="AD107" i="6"/>
  <c r="AE107" i="6"/>
  <c r="AF106" i="6"/>
  <c r="AG105" i="6"/>
  <c r="AH104" i="6"/>
  <c r="AI103" i="6"/>
  <c r="X105" i="2"/>
  <c r="Y105" i="2"/>
  <c r="Z105" i="2"/>
  <c r="AA105" i="2"/>
  <c r="AB105" i="2"/>
  <c r="T106" i="2"/>
  <c r="AO105" i="2"/>
  <c r="T252" i="2"/>
  <c r="AO251" i="2"/>
  <c r="U255" i="2"/>
  <c r="V256" i="2"/>
  <c r="W257" i="2"/>
  <c r="X258" i="2"/>
  <c r="AA301" i="2"/>
  <c r="C113" i="7" l="1"/>
  <c r="D113" i="7"/>
  <c r="BA116" i="6"/>
  <c r="BA117" i="6" s="1"/>
  <c r="B114" i="7"/>
  <c r="AS109" i="6"/>
  <c r="AN110" i="6"/>
  <c r="AO110" i="6"/>
  <c r="AP110" i="6"/>
  <c r="AQ110" i="6"/>
  <c r="Z111" i="6"/>
  <c r="AY111" i="6"/>
  <c r="V112" i="6"/>
  <c r="AA111" i="6"/>
  <c r="AV111" i="6"/>
  <c r="Y112" i="6"/>
  <c r="Y113" i="6" s="1"/>
  <c r="AY112" i="6"/>
  <c r="AK110" i="6"/>
  <c r="AD108" i="6"/>
  <c r="AE108" i="6"/>
  <c r="AF107" i="6"/>
  <c r="AG106" i="6"/>
  <c r="AH105" i="6"/>
  <c r="AI104" i="6"/>
  <c r="AA302" i="2"/>
  <c r="X259" i="2"/>
  <c r="W258" i="2"/>
  <c r="V257" i="2"/>
  <c r="U256" i="2"/>
  <c r="T253" i="2"/>
  <c r="AO252" i="2"/>
  <c r="T107" i="2"/>
  <c r="AO106" i="2"/>
  <c r="AB106" i="2"/>
  <c r="AA106" i="2"/>
  <c r="Z106" i="2"/>
  <c r="Y106" i="2"/>
  <c r="X106" i="2"/>
  <c r="C114" i="7" l="1"/>
  <c r="D114" i="7"/>
  <c r="BA118" i="6"/>
  <c r="B116" i="7"/>
  <c r="AS110" i="6"/>
  <c r="AN111" i="6"/>
  <c r="AO111" i="6"/>
  <c r="AP111" i="6"/>
  <c r="AQ111" i="6"/>
  <c r="Y114" i="6"/>
  <c r="Y115" i="6" s="1"/>
  <c r="Y116" i="6" s="1"/>
  <c r="Y117" i="6" s="1"/>
  <c r="Y118" i="6" s="1"/>
  <c r="AY114" i="6"/>
  <c r="AK111" i="6"/>
  <c r="AA112" i="6"/>
  <c r="V113" i="6"/>
  <c r="Z112" i="6"/>
  <c r="AV112" i="6"/>
  <c r="AD109" i="6"/>
  <c r="AE109" i="6"/>
  <c r="AF108" i="6"/>
  <c r="AG107" i="6"/>
  <c r="AH106" i="6"/>
  <c r="AI105" i="6"/>
  <c r="X107" i="2"/>
  <c r="Y107" i="2"/>
  <c r="Z107" i="2"/>
  <c r="AA107" i="2"/>
  <c r="AB107" i="2"/>
  <c r="T108" i="2"/>
  <c r="AO107" i="2"/>
  <c r="T254" i="2"/>
  <c r="AO253" i="2"/>
  <c r="U257" i="2"/>
  <c r="V258" i="2"/>
  <c r="W259" i="2"/>
  <c r="X260" i="2"/>
  <c r="AA303" i="2"/>
  <c r="C116" i="7" l="1"/>
  <c r="D116" i="7"/>
  <c r="BA119" i="6"/>
  <c r="B117" i="7"/>
  <c r="AS111" i="6"/>
  <c r="AN112" i="6"/>
  <c r="AO112" i="6"/>
  <c r="AP112" i="6"/>
  <c r="AQ112" i="6"/>
  <c r="Z113" i="6"/>
  <c r="AY113" i="6"/>
  <c r="V114" i="6"/>
  <c r="AA113" i="6"/>
  <c r="AV113" i="6"/>
  <c r="AK112" i="6"/>
  <c r="Y119" i="6"/>
  <c r="Y120" i="6" s="1"/>
  <c r="Y121" i="6" s="1"/>
  <c r="Y122" i="6" s="1"/>
  <c r="AD110" i="6"/>
  <c r="AE110" i="6"/>
  <c r="AF109" i="6"/>
  <c r="AG108" i="6"/>
  <c r="AH107" i="6"/>
  <c r="AI106" i="6"/>
  <c r="AA304" i="2"/>
  <c r="X261" i="2"/>
  <c r="W260" i="2"/>
  <c r="V259" i="2"/>
  <c r="U258" i="2"/>
  <c r="T255" i="2"/>
  <c r="AO254" i="2"/>
  <c r="T109" i="2"/>
  <c r="AO108" i="2"/>
  <c r="AB108" i="2"/>
  <c r="AA108" i="2"/>
  <c r="Z108" i="2"/>
  <c r="Y108" i="2"/>
  <c r="X108" i="2"/>
  <c r="C117" i="7" l="1"/>
  <c r="D117" i="7"/>
  <c r="BA120" i="6"/>
  <c r="B118" i="7"/>
  <c r="AS112" i="6"/>
  <c r="AN113" i="6"/>
  <c r="AO113" i="6"/>
  <c r="AP113" i="6"/>
  <c r="AQ113" i="6"/>
  <c r="Y123" i="6"/>
  <c r="Y124" i="6" s="1"/>
  <c r="AK113" i="6"/>
  <c r="AA114" i="6"/>
  <c r="V115" i="6"/>
  <c r="Z114" i="6"/>
  <c r="AV114" i="6"/>
  <c r="AD111" i="6"/>
  <c r="AE111" i="6"/>
  <c r="AF110" i="6"/>
  <c r="AG109" i="6"/>
  <c r="AH108" i="6"/>
  <c r="AI107" i="6"/>
  <c r="X109" i="2"/>
  <c r="Y109" i="2"/>
  <c r="Z109" i="2"/>
  <c r="AA109" i="2"/>
  <c r="AB109" i="2"/>
  <c r="T110" i="2"/>
  <c r="AO109" i="2"/>
  <c r="T256" i="2"/>
  <c r="AO255" i="2"/>
  <c r="U259" i="2"/>
  <c r="V260" i="2"/>
  <c r="W261" i="2"/>
  <c r="X262" i="2"/>
  <c r="AA305" i="2"/>
  <c r="C118" i="7" l="1"/>
  <c r="D118" i="7"/>
  <c r="BA121" i="6"/>
  <c r="B120" i="7" s="1"/>
  <c r="B119" i="7"/>
  <c r="AS113" i="6"/>
  <c r="AN114" i="6"/>
  <c r="AO114" i="6"/>
  <c r="AP114" i="6"/>
  <c r="AQ114" i="6"/>
  <c r="Z115" i="6"/>
  <c r="Z116" i="6" s="1"/>
  <c r="Z117" i="6" s="1"/>
  <c r="Z118" i="6" s="1"/>
  <c r="AY115" i="6"/>
  <c r="V116" i="6"/>
  <c r="V117" i="6" s="1"/>
  <c r="AA115" i="6"/>
  <c r="AV115" i="6"/>
  <c r="AK114" i="6"/>
  <c r="Y125" i="6"/>
  <c r="Y126" i="6" s="1"/>
  <c r="Y127" i="6" s="1"/>
  <c r="AD112" i="6"/>
  <c r="AE112" i="6"/>
  <c r="AF111" i="6"/>
  <c r="AG110" i="6"/>
  <c r="AH109" i="6"/>
  <c r="AI108" i="6"/>
  <c r="AA306" i="2"/>
  <c r="X263" i="2"/>
  <c r="W262" i="2"/>
  <c r="V261" i="2"/>
  <c r="U260" i="2"/>
  <c r="T257" i="2"/>
  <c r="AO256" i="2"/>
  <c r="T111" i="2"/>
  <c r="AO110" i="2"/>
  <c r="AB110" i="2"/>
  <c r="AA110" i="2"/>
  <c r="Z110" i="2"/>
  <c r="Y110" i="2"/>
  <c r="X110" i="2"/>
  <c r="C119" i="7" l="1"/>
  <c r="D119" i="7"/>
  <c r="C120" i="7"/>
  <c r="D120" i="7"/>
  <c r="AS114" i="6"/>
  <c r="AN115" i="6"/>
  <c r="AO115" i="6"/>
  <c r="AP115" i="6"/>
  <c r="AQ115" i="6"/>
  <c r="Y128" i="6"/>
  <c r="Y129" i="6" s="1"/>
  <c r="AK115" i="6"/>
  <c r="AA116" i="6"/>
  <c r="V118" i="6"/>
  <c r="W117" i="6"/>
  <c r="AV117" i="6"/>
  <c r="AD113" i="6"/>
  <c r="AE113" i="6"/>
  <c r="AF112" i="6"/>
  <c r="AG111" i="6"/>
  <c r="AH110" i="6"/>
  <c r="AI109" i="6"/>
  <c r="X111" i="2"/>
  <c r="Y111" i="2"/>
  <c r="Z111" i="2"/>
  <c r="AA111" i="2"/>
  <c r="AB111" i="2"/>
  <c r="T112" i="2"/>
  <c r="AO111" i="2"/>
  <c r="T258" i="2"/>
  <c r="AO257" i="2"/>
  <c r="U261" i="2"/>
  <c r="V262" i="2"/>
  <c r="W263" i="2"/>
  <c r="X264" i="2"/>
  <c r="AA307" i="2"/>
  <c r="AS115" i="6" l="1"/>
  <c r="AN116" i="6"/>
  <c r="AO116" i="6"/>
  <c r="AP116" i="6"/>
  <c r="AQ116" i="6"/>
  <c r="W118" i="6"/>
  <c r="W119" i="6" s="1"/>
  <c r="W120" i="6" s="1"/>
  <c r="W121" i="6" s="1"/>
  <c r="W122" i="6" s="1"/>
  <c r="W123" i="6" s="1"/>
  <c r="W124" i="6" s="1"/>
  <c r="W125" i="6" s="1"/>
  <c r="W126" i="6" s="1"/>
  <c r="W127" i="6" s="1"/>
  <c r="W128" i="6" s="1"/>
  <c r="W129" i="6" s="1"/>
  <c r="W130" i="6" s="1"/>
  <c r="W131" i="6" s="1"/>
  <c r="W132" i="6" s="1"/>
  <c r="W133" i="6" s="1"/>
  <c r="W134" i="6" s="1"/>
  <c r="W135" i="6" s="1"/>
  <c r="W136" i="6" s="1"/>
  <c r="W137" i="6" s="1"/>
  <c r="W138" i="6" s="1"/>
  <c r="W139" i="6" s="1"/>
  <c r="W140" i="6" s="1"/>
  <c r="W141" i="6" s="1"/>
  <c r="W142" i="6" s="1"/>
  <c r="W143" i="6" s="1"/>
  <c r="W144" i="6" s="1"/>
  <c r="W145" i="6" s="1"/>
  <c r="W146" i="6" s="1"/>
  <c r="W147" i="6" s="1"/>
  <c r="W148" i="6" s="1"/>
  <c r="W149" i="6" s="1"/>
  <c r="W150" i="6" s="1"/>
  <c r="W151" i="6" s="1"/>
  <c r="W152" i="6" s="1"/>
  <c r="W153" i="6" s="1"/>
  <c r="W154" i="6" s="1"/>
  <c r="AY118" i="6"/>
  <c r="V119" i="6"/>
  <c r="X118" i="6"/>
  <c r="AV118" i="6"/>
  <c r="AK116" i="6"/>
  <c r="AA117" i="6"/>
  <c r="Y130" i="6"/>
  <c r="Y131" i="6" s="1"/>
  <c r="AD114" i="6"/>
  <c r="AE114" i="6"/>
  <c r="AF113" i="6"/>
  <c r="AG112" i="6"/>
  <c r="AH111" i="6"/>
  <c r="AI110" i="6"/>
  <c r="AA308" i="2"/>
  <c r="X265" i="2"/>
  <c r="W264" i="2"/>
  <c r="V263" i="2"/>
  <c r="U262" i="2"/>
  <c r="T259" i="2"/>
  <c r="AO258" i="2"/>
  <c r="T113" i="2"/>
  <c r="AO112" i="2"/>
  <c r="AB112" i="2"/>
  <c r="AA112" i="2"/>
  <c r="Z112" i="2"/>
  <c r="Y112" i="2"/>
  <c r="X112" i="2"/>
  <c r="AS116" i="6" l="1"/>
  <c r="AN117" i="6"/>
  <c r="AO117" i="6"/>
  <c r="AP117" i="6"/>
  <c r="AQ117" i="6"/>
  <c r="Y132" i="6"/>
  <c r="Y133" i="6" s="1"/>
  <c r="AK117" i="6"/>
  <c r="AA118" i="6"/>
  <c r="X119" i="6"/>
  <c r="X120" i="6" s="1"/>
  <c r="X121" i="6" s="1"/>
  <c r="X122" i="6" s="1"/>
  <c r="AY119" i="6"/>
  <c r="V120" i="6"/>
  <c r="Z119" i="6"/>
  <c r="AV119" i="6"/>
  <c r="W155" i="6"/>
  <c r="W156" i="6" s="1"/>
  <c r="W157" i="6" s="1"/>
  <c r="W158" i="6" s="1"/>
  <c r="W159" i="6" s="1"/>
  <c r="W160" i="6" s="1"/>
  <c r="AY155" i="6"/>
  <c r="AD115" i="6"/>
  <c r="AE115" i="6"/>
  <c r="AF114" i="6"/>
  <c r="AG113" i="6"/>
  <c r="AH112" i="6"/>
  <c r="AI111" i="6"/>
  <c r="X113" i="2"/>
  <c r="Y113" i="2"/>
  <c r="Z113" i="2"/>
  <c r="AA113" i="2"/>
  <c r="AB113" i="2"/>
  <c r="T114" i="2"/>
  <c r="AO113" i="2"/>
  <c r="T260" i="2"/>
  <c r="AO259" i="2"/>
  <c r="U263" i="2"/>
  <c r="V264" i="2"/>
  <c r="W265" i="2"/>
  <c r="X266" i="2"/>
  <c r="AA309" i="2"/>
  <c r="AS117" i="6" l="1"/>
  <c r="AN118" i="6"/>
  <c r="AO118" i="6"/>
  <c r="AP118" i="6"/>
  <c r="AQ118" i="6"/>
  <c r="W161" i="6"/>
  <c r="W162" i="6" s="1"/>
  <c r="W163" i="6" s="1"/>
  <c r="W164" i="6" s="1"/>
  <c r="W165" i="6" s="1"/>
  <c r="AY161" i="6"/>
  <c r="Z120" i="6"/>
  <c r="AY120" i="6"/>
  <c r="V121" i="6"/>
  <c r="AA120" i="6"/>
  <c r="AV120" i="6"/>
  <c r="X123" i="6"/>
  <c r="X124" i="6" s="1"/>
  <c r="AY123" i="6"/>
  <c r="AK118" i="6"/>
  <c r="AA119" i="6"/>
  <c r="AK119" i="6" s="1"/>
  <c r="AD116" i="6"/>
  <c r="AE116" i="6"/>
  <c r="AF115" i="6"/>
  <c r="AG114" i="6"/>
  <c r="AH113" i="6"/>
  <c r="AI112" i="6"/>
  <c r="AA310" i="2"/>
  <c r="X267" i="2"/>
  <c r="W266" i="2"/>
  <c r="V265" i="2"/>
  <c r="U264" i="2"/>
  <c r="T261" i="2"/>
  <c r="AO260" i="2"/>
  <c r="T115" i="2"/>
  <c r="AB114" i="2"/>
  <c r="AA114" i="2"/>
  <c r="Z114" i="2"/>
  <c r="Y114" i="2"/>
  <c r="X114" i="2"/>
  <c r="AQ120" i="6" l="1"/>
  <c r="AS118" i="6"/>
  <c r="AN119" i="6"/>
  <c r="AN120" i="6" s="1"/>
  <c r="AO119" i="6"/>
  <c r="AO120" i="6" s="1"/>
  <c r="AP119" i="6"/>
  <c r="AS119" i="6" s="1"/>
  <c r="AQ119" i="6"/>
  <c r="X125" i="6"/>
  <c r="X126" i="6" s="1"/>
  <c r="X127" i="6" s="1"/>
  <c r="AY125" i="6"/>
  <c r="AK120" i="6"/>
  <c r="V122" i="6"/>
  <c r="AA121" i="6"/>
  <c r="AK121" i="6" s="1"/>
  <c r="AV121" i="6"/>
  <c r="Z121" i="6"/>
  <c r="AY121" i="6"/>
  <c r="AD117" i="6"/>
  <c r="AE117" i="6"/>
  <c r="AF116" i="6"/>
  <c r="AG115" i="6"/>
  <c r="AH114" i="6"/>
  <c r="AI113" i="6"/>
  <c r="X115" i="2"/>
  <c r="Y115" i="2"/>
  <c r="Z115" i="2"/>
  <c r="AA115" i="2"/>
  <c r="AB115" i="2"/>
  <c r="AO114" i="2"/>
  <c r="T116" i="2"/>
  <c r="AO115" i="2"/>
  <c r="T262" i="2"/>
  <c r="AO261" i="2"/>
  <c r="U265" i="2"/>
  <c r="V266" i="2"/>
  <c r="W267" i="2"/>
  <c r="X268" i="2"/>
  <c r="AA311" i="2"/>
  <c r="AS120" i="6" l="1"/>
  <c r="AN121" i="6"/>
  <c r="AN122" i="6" s="1"/>
  <c r="AO121" i="6"/>
  <c r="AO122" i="6" s="1"/>
  <c r="AQ121" i="6"/>
  <c r="AS121" i="6" s="1"/>
  <c r="AP120" i="6"/>
  <c r="AP121" i="6" s="1"/>
  <c r="AP122" i="6" s="1"/>
  <c r="Z122" i="6"/>
  <c r="AY122" i="6"/>
  <c r="V123" i="6"/>
  <c r="AA122" i="6"/>
  <c r="AV122" i="6"/>
  <c r="X128" i="6"/>
  <c r="X129" i="6" s="1"/>
  <c r="AY128" i="6"/>
  <c r="AD118" i="6"/>
  <c r="AE118" i="6"/>
  <c r="AF117" i="6"/>
  <c r="AG116" i="6"/>
  <c r="AH115" i="6"/>
  <c r="AI114" i="6"/>
  <c r="AA312" i="2"/>
  <c r="X269" i="2"/>
  <c r="W268" i="2"/>
  <c r="V267" i="2"/>
  <c r="U266" i="2"/>
  <c r="T263" i="2"/>
  <c r="AO262" i="2"/>
  <c r="T117" i="2"/>
  <c r="AO116" i="2"/>
  <c r="AB116" i="2"/>
  <c r="AA116" i="2"/>
  <c r="Z116" i="2"/>
  <c r="Y116" i="2"/>
  <c r="X116" i="2"/>
  <c r="AQ122" i="6" l="1"/>
  <c r="X130" i="6"/>
  <c r="X131" i="6" s="1"/>
  <c r="AY130" i="6"/>
  <c r="AK122" i="6"/>
  <c r="AA123" i="6"/>
  <c r="V124" i="6"/>
  <c r="Z123" i="6"/>
  <c r="AV123" i="6"/>
  <c r="AD119" i="6"/>
  <c r="AE119" i="6"/>
  <c r="AF118" i="6"/>
  <c r="AG117" i="6"/>
  <c r="AH116" i="6"/>
  <c r="AI115" i="6"/>
  <c r="X117" i="2"/>
  <c r="Y117" i="2"/>
  <c r="Z117" i="2"/>
  <c r="AA117" i="2"/>
  <c r="AB117" i="2"/>
  <c r="T118" i="2"/>
  <c r="AO117" i="2"/>
  <c r="T264" i="2"/>
  <c r="AO263" i="2"/>
  <c r="U267" i="2"/>
  <c r="V268" i="2"/>
  <c r="W269" i="2"/>
  <c r="X270" i="2"/>
  <c r="AA313" i="2"/>
  <c r="AS122" i="6" l="1"/>
  <c r="AW122" i="6" s="1"/>
  <c r="AN123" i="6"/>
  <c r="AO123" i="6"/>
  <c r="AP123" i="6"/>
  <c r="AQ123" i="6"/>
  <c r="Z124" i="6"/>
  <c r="AY124" i="6"/>
  <c r="V125" i="6"/>
  <c r="AA124" i="6"/>
  <c r="AV124" i="6"/>
  <c r="AK123" i="6"/>
  <c r="X132" i="6"/>
  <c r="X133" i="6" s="1"/>
  <c r="AY132" i="6"/>
  <c r="AD120" i="6"/>
  <c r="AE120" i="6"/>
  <c r="AF119" i="6"/>
  <c r="AG118" i="6"/>
  <c r="AH117" i="6"/>
  <c r="AI116" i="6"/>
  <c r="AA314" i="2"/>
  <c r="X271" i="2"/>
  <c r="W270" i="2"/>
  <c r="V269" i="2"/>
  <c r="U268" i="2"/>
  <c r="T265" i="2"/>
  <c r="AO264" i="2"/>
  <c r="T119" i="2"/>
  <c r="AO118" i="2"/>
  <c r="AB118" i="2"/>
  <c r="AA118" i="2"/>
  <c r="Z118" i="2"/>
  <c r="Y118" i="2"/>
  <c r="X118" i="2"/>
  <c r="AU122" i="6" l="1"/>
  <c r="AS123" i="6"/>
  <c r="AW123" i="6" s="1"/>
  <c r="AN124" i="6"/>
  <c r="AO124" i="6"/>
  <c r="AP124" i="6"/>
  <c r="AQ124" i="6"/>
  <c r="X134" i="6"/>
  <c r="X135" i="6" s="1"/>
  <c r="X136" i="6" s="1"/>
  <c r="X137" i="6" s="1"/>
  <c r="X138" i="6" s="1"/>
  <c r="X139" i="6" s="1"/>
  <c r="X140" i="6" s="1"/>
  <c r="X141" i="6" s="1"/>
  <c r="X142" i="6" s="1"/>
  <c r="X143" i="6" s="1"/>
  <c r="X144" i="6" s="1"/>
  <c r="X145" i="6" s="1"/>
  <c r="X146" i="6" s="1"/>
  <c r="X147" i="6" s="1"/>
  <c r="X148" i="6" s="1"/>
  <c r="X149" i="6" s="1"/>
  <c r="X150" i="6" s="1"/>
  <c r="X151" i="6" s="1"/>
  <c r="X152" i="6" s="1"/>
  <c r="AY134" i="6"/>
  <c r="AK124" i="6"/>
  <c r="AA125" i="6"/>
  <c r="V126" i="6"/>
  <c r="Z125" i="6"/>
  <c r="AV125" i="6"/>
  <c r="AD121" i="6"/>
  <c r="AE121" i="6"/>
  <c r="AF120" i="6"/>
  <c r="AG119" i="6"/>
  <c r="AH118" i="6"/>
  <c r="AI117" i="6"/>
  <c r="X119" i="2"/>
  <c r="Y119" i="2"/>
  <c r="Z119" i="2"/>
  <c r="AA119" i="2"/>
  <c r="AB119" i="2"/>
  <c r="AO120" i="2"/>
  <c r="T266" i="2"/>
  <c r="AO265" i="2"/>
  <c r="U269" i="2"/>
  <c r="V270" i="2"/>
  <c r="W271" i="2"/>
  <c r="X272" i="2"/>
  <c r="AA315" i="2"/>
  <c r="AU123" i="6" l="1"/>
  <c r="BA122" i="6"/>
  <c r="BA123" i="6" s="1"/>
  <c r="AS124" i="6"/>
  <c r="AW124" i="6" s="1"/>
  <c r="AN125" i="6"/>
  <c r="AO125" i="6"/>
  <c r="AP125" i="6"/>
  <c r="AQ125" i="6"/>
  <c r="Z126" i="6"/>
  <c r="AY126" i="6"/>
  <c r="V127" i="6"/>
  <c r="AA126" i="6"/>
  <c r="AK126" i="6" s="1"/>
  <c r="AV126" i="6"/>
  <c r="AK125" i="6"/>
  <c r="X153" i="6"/>
  <c r="X154" i="6" s="1"/>
  <c r="AY153" i="6"/>
  <c r="AD122" i="6"/>
  <c r="AE122" i="6"/>
  <c r="AF121" i="6"/>
  <c r="AG120" i="6"/>
  <c r="AH119" i="6"/>
  <c r="AI118" i="6"/>
  <c r="AA316" i="2"/>
  <c r="X273" i="2"/>
  <c r="W272" i="2"/>
  <c r="V271" i="2"/>
  <c r="U270" i="2"/>
  <c r="T267" i="2"/>
  <c r="AO266" i="2"/>
  <c r="AB120" i="2"/>
  <c r="AA120" i="2"/>
  <c r="Z120" i="2"/>
  <c r="Y120" i="2"/>
  <c r="X120" i="2"/>
  <c r="AO119" i="2"/>
  <c r="AU124" i="6" l="1"/>
  <c r="BA124" i="6"/>
  <c r="B121" i="7"/>
  <c r="B122" i="7"/>
  <c r="AS125" i="6"/>
  <c r="AW125" i="6" s="1"/>
  <c r="AN126" i="6"/>
  <c r="AO126" i="6"/>
  <c r="AP126" i="6"/>
  <c r="AQ126" i="6"/>
  <c r="AS126" i="6"/>
  <c r="AW126" i="6" s="1"/>
  <c r="AN127" i="6"/>
  <c r="AO127" i="6"/>
  <c r="AP127" i="6"/>
  <c r="AQ127" i="6"/>
  <c r="V128" i="6"/>
  <c r="AA127" i="6"/>
  <c r="AV127" i="6"/>
  <c r="Z127" i="6"/>
  <c r="AY127" i="6"/>
  <c r="AD123" i="6"/>
  <c r="AE123" i="6"/>
  <c r="AF122" i="6"/>
  <c r="AG121" i="6"/>
  <c r="AH120" i="6"/>
  <c r="AI119" i="6"/>
  <c r="X121" i="2"/>
  <c r="Y121" i="2"/>
  <c r="Z121" i="2"/>
  <c r="AA121" i="2"/>
  <c r="AB121" i="2"/>
  <c r="T268" i="2"/>
  <c r="AO267" i="2"/>
  <c r="U271" i="2"/>
  <c r="V272" i="2"/>
  <c r="W273" i="2"/>
  <c r="X274" i="2"/>
  <c r="AA317" i="2"/>
  <c r="AU126" i="6" l="1"/>
  <c r="AU125" i="6"/>
  <c r="C122" i="7"/>
  <c r="D122" i="7"/>
  <c r="C121" i="7"/>
  <c r="D121" i="7"/>
  <c r="BA125" i="6"/>
  <c r="BA126" i="6" s="1"/>
  <c r="B123" i="7"/>
  <c r="AK127" i="6"/>
  <c r="AA128" i="6"/>
  <c r="V129" i="6"/>
  <c r="Z128" i="6"/>
  <c r="AV128" i="6"/>
  <c r="AD124" i="6"/>
  <c r="AE124" i="6"/>
  <c r="AF123" i="6"/>
  <c r="AG122" i="6"/>
  <c r="AH121" i="6"/>
  <c r="AI120" i="6"/>
  <c r="AA318" i="2"/>
  <c r="X275" i="2"/>
  <c r="W274" i="2"/>
  <c r="V273" i="2"/>
  <c r="U272" i="2"/>
  <c r="T269" i="2"/>
  <c r="AO268" i="2"/>
  <c r="AB122" i="2"/>
  <c r="AA122" i="2"/>
  <c r="Z122" i="2"/>
  <c r="Y122" i="2"/>
  <c r="X122" i="2"/>
  <c r="C123" i="7" l="1"/>
  <c r="D123" i="7"/>
  <c r="B124" i="7"/>
  <c r="B125" i="7"/>
  <c r="AS127" i="6"/>
  <c r="AW127" i="6" s="1"/>
  <c r="AN128" i="6"/>
  <c r="AO128" i="6"/>
  <c r="AP128" i="6"/>
  <c r="AQ128" i="6"/>
  <c r="Z129" i="6"/>
  <c r="AY129" i="6"/>
  <c r="V130" i="6"/>
  <c r="AA129" i="6"/>
  <c r="AV129" i="6"/>
  <c r="AK128" i="6"/>
  <c r="AD125" i="6"/>
  <c r="AE125" i="6"/>
  <c r="AF124" i="6"/>
  <c r="AG123" i="6"/>
  <c r="AH122" i="6"/>
  <c r="AI121" i="6"/>
  <c r="X123" i="2"/>
  <c r="Y123" i="2"/>
  <c r="Z123" i="2"/>
  <c r="AA123" i="2"/>
  <c r="AB123" i="2"/>
  <c r="T270" i="2"/>
  <c r="AO269" i="2"/>
  <c r="U273" i="2"/>
  <c r="V274" i="2"/>
  <c r="W275" i="2"/>
  <c r="X276" i="2"/>
  <c r="AA319" i="2"/>
  <c r="AU127" i="6" l="1"/>
  <c r="C125" i="7"/>
  <c r="D125" i="7"/>
  <c r="C124" i="7"/>
  <c r="D124" i="7"/>
  <c r="AS128" i="6"/>
  <c r="AW128" i="6" s="1"/>
  <c r="AN129" i="6"/>
  <c r="AO129" i="6"/>
  <c r="AP129" i="6"/>
  <c r="AQ129" i="6"/>
  <c r="AK129" i="6"/>
  <c r="AA130" i="6"/>
  <c r="V131" i="6"/>
  <c r="Z130" i="6"/>
  <c r="AV130" i="6"/>
  <c r="AD126" i="6"/>
  <c r="AE126" i="6"/>
  <c r="AF125" i="6"/>
  <c r="AG124" i="6"/>
  <c r="AH123" i="6"/>
  <c r="AI122" i="6"/>
  <c r="AA320" i="2"/>
  <c r="X277" i="2"/>
  <c r="W276" i="2"/>
  <c r="V275" i="2"/>
  <c r="U274" i="2"/>
  <c r="T271" i="2"/>
  <c r="AO270" i="2"/>
  <c r="AB124" i="2"/>
  <c r="AA124" i="2"/>
  <c r="Z124" i="2"/>
  <c r="Y124" i="2"/>
  <c r="X124" i="2"/>
  <c r="AU128" i="6" l="1"/>
  <c r="BA127" i="6"/>
  <c r="BA128" i="6" s="1"/>
  <c r="AS129" i="6"/>
  <c r="AW129" i="6" s="1"/>
  <c r="AN130" i="6"/>
  <c r="AO130" i="6"/>
  <c r="AP130" i="6"/>
  <c r="AQ130" i="6"/>
  <c r="Z131" i="6"/>
  <c r="AY131" i="6"/>
  <c r="V132" i="6"/>
  <c r="AA131" i="6"/>
  <c r="AV131" i="6"/>
  <c r="AK130" i="6"/>
  <c r="AD127" i="6"/>
  <c r="AE127" i="6"/>
  <c r="AF126" i="6"/>
  <c r="AG125" i="6"/>
  <c r="AH124" i="6"/>
  <c r="AI123" i="6"/>
  <c r="X125" i="2"/>
  <c r="Y125" i="2"/>
  <c r="Z125" i="2"/>
  <c r="AA125" i="2"/>
  <c r="AB125" i="2"/>
  <c r="T272" i="2"/>
  <c r="AO271" i="2"/>
  <c r="U275" i="2"/>
  <c r="V276" i="2"/>
  <c r="W277" i="2"/>
  <c r="X278" i="2"/>
  <c r="AA321" i="2"/>
  <c r="AU129" i="6" l="1"/>
  <c r="BA129" i="6"/>
  <c r="B126" i="7"/>
  <c r="B127" i="7"/>
  <c r="AS130" i="6"/>
  <c r="AW130" i="6" s="1"/>
  <c r="AN131" i="6"/>
  <c r="AO131" i="6"/>
  <c r="AP131" i="6"/>
  <c r="AQ131" i="6"/>
  <c r="AK131" i="6"/>
  <c r="AA132" i="6"/>
  <c r="V133" i="6"/>
  <c r="Z132" i="6"/>
  <c r="AV132" i="6"/>
  <c r="AD128" i="6"/>
  <c r="AE128" i="6"/>
  <c r="AF127" i="6"/>
  <c r="AG126" i="6"/>
  <c r="AH125" i="6"/>
  <c r="AI124" i="6"/>
  <c r="AA322" i="2"/>
  <c r="X279" i="2"/>
  <c r="W278" i="2"/>
  <c r="V277" i="2"/>
  <c r="U276" i="2"/>
  <c r="T273" i="2"/>
  <c r="AO272" i="2"/>
  <c r="AB126" i="2"/>
  <c r="AA126" i="2"/>
  <c r="Z126" i="2"/>
  <c r="Y126" i="2"/>
  <c r="X126" i="2"/>
  <c r="AU130" i="6" l="1"/>
  <c r="C127" i="7"/>
  <c r="D127" i="7"/>
  <c r="C126" i="7"/>
  <c r="D126" i="7"/>
  <c r="BA130" i="6"/>
  <c r="B128" i="7"/>
  <c r="AS131" i="6"/>
  <c r="AW131" i="6" s="1"/>
  <c r="AN132" i="6"/>
  <c r="AO132" i="6"/>
  <c r="AP132" i="6"/>
  <c r="AQ132" i="6"/>
  <c r="Z133" i="6"/>
  <c r="Z134" i="6" s="1"/>
  <c r="AY133" i="6"/>
  <c r="V134" i="6"/>
  <c r="AA133" i="6"/>
  <c r="AV133" i="6"/>
  <c r="AK132" i="6"/>
  <c r="AD129" i="6"/>
  <c r="AE129" i="6"/>
  <c r="AF128" i="6"/>
  <c r="AG127" i="6"/>
  <c r="AH126" i="6"/>
  <c r="AI125" i="6"/>
  <c r="X127" i="2"/>
  <c r="Y127" i="2"/>
  <c r="Z127" i="2"/>
  <c r="AA127" i="2"/>
  <c r="AB127" i="2"/>
  <c r="T274" i="2"/>
  <c r="AO273" i="2"/>
  <c r="U277" i="2"/>
  <c r="V278" i="2"/>
  <c r="W279" i="2"/>
  <c r="X280" i="2"/>
  <c r="AA323" i="2"/>
  <c r="AU131" i="6" l="1"/>
  <c r="C128" i="7"/>
  <c r="D128" i="7"/>
  <c r="BA131" i="6"/>
  <c r="B129" i="7"/>
  <c r="AS132" i="6"/>
  <c r="AW132" i="6" s="1"/>
  <c r="AN133" i="6"/>
  <c r="AO133" i="6"/>
  <c r="AP133" i="6"/>
  <c r="AQ133" i="6"/>
  <c r="AK133" i="6"/>
  <c r="AA134" i="6"/>
  <c r="V135" i="6"/>
  <c r="Y134" i="6"/>
  <c r="AV134" i="6"/>
  <c r="AD130" i="6"/>
  <c r="AE130" i="6"/>
  <c r="AF129" i="6"/>
  <c r="AG128" i="6"/>
  <c r="AH127" i="6"/>
  <c r="AI126" i="6"/>
  <c r="AA324" i="2"/>
  <c r="X281" i="2"/>
  <c r="W280" i="2"/>
  <c r="V279" i="2"/>
  <c r="U278" i="2"/>
  <c r="T275" i="2"/>
  <c r="AO274" i="2"/>
  <c r="AB128" i="2"/>
  <c r="AA128" i="2"/>
  <c r="Z128" i="2"/>
  <c r="Y128" i="2"/>
  <c r="X128" i="2"/>
  <c r="AU132" i="6" l="1"/>
  <c r="C129" i="7"/>
  <c r="D129" i="7"/>
  <c r="BA132" i="6"/>
  <c r="B130" i="7"/>
  <c r="AS133" i="6"/>
  <c r="AW133" i="6" s="1"/>
  <c r="AN134" i="6"/>
  <c r="AO134" i="6"/>
  <c r="AP134" i="6"/>
  <c r="AQ134" i="6"/>
  <c r="Y135" i="6"/>
  <c r="Y136" i="6" s="1"/>
  <c r="AY135" i="6"/>
  <c r="V136" i="6"/>
  <c r="Z135" i="6"/>
  <c r="AV135" i="6"/>
  <c r="AK134" i="6"/>
  <c r="AA135" i="6"/>
  <c r="AK135" i="6" s="1"/>
  <c r="AD131" i="6"/>
  <c r="AE131" i="6"/>
  <c r="AF130" i="6"/>
  <c r="AG129" i="6"/>
  <c r="AH128" i="6"/>
  <c r="AI127" i="6"/>
  <c r="X129" i="2"/>
  <c r="Y129" i="2"/>
  <c r="Z129" i="2"/>
  <c r="AA129" i="2"/>
  <c r="AB129" i="2"/>
  <c r="T276" i="2"/>
  <c r="AO275" i="2"/>
  <c r="U279" i="2"/>
  <c r="V280" i="2"/>
  <c r="W281" i="2"/>
  <c r="X282" i="2"/>
  <c r="AA325" i="2"/>
  <c r="AU133" i="6" l="1"/>
  <c r="C130" i="7"/>
  <c r="D130" i="7"/>
  <c r="BA133" i="6"/>
  <c r="B131" i="7"/>
  <c r="AQ136" i="6"/>
  <c r="AS134" i="6"/>
  <c r="AW134" i="6" s="1"/>
  <c r="AN135" i="6"/>
  <c r="AN136" i="6" s="1"/>
  <c r="AO135" i="6"/>
  <c r="AO136" i="6" s="1"/>
  <c r="AP135" i="6"/>
  <c r="AS135" i="6" s="1"/>
  <c r="AW135" i="6" s="1"/>
  <c r="AQ135" i="6"/>
  <c r="Z136" i="6"/>
  <c r="AY136" i="6"/>
  <c r="V137" i="6"/>
  <c r="AA136" i="6"/>
  <c r="AV136" i="6"/>
  <c r="Y137" i="6"/>
  <c r="Y138" i="6" s="1"/>
  <c r="AY137" i="6"/>
  <c r="AD132" i="6"/>
  <c r="AE132" i="6"/>
  <c r="AF131" i="6"/>
  <c r="AG130" i="6"/>
  <c r="AH129" i="6"/>
  <c r="AI128" i="6"/>
  <c r="AA326" i="2"/>
  <c r="X283" i="2"/>
  <c r="W282" i="2"/>
  <c r="V281" i="2"/>
  <c r="U280" i="2"/>
  <c r="T277" i="2"/>
  <c r="AO276" i="2"/>
  <c r="AB130" i="2"/>
  <c r="AA130" i="2"/>
  <c r="Z130" i="2"/>
  <c r="Y130" i="2"/>
  <c r="X130" i="2"/>
  <c r="AU135" i="6" l="1"/>
  <c r="AU134" i="6"/>
  <c r="C131" i="7"/>
  <c r="D131" i="7"/>
  <c r="BA134" i="6"/>
  <c r="BA135" i="6" s="1"/>
  <c r="B132" i="7"/>
  <c r="AP136" i="6"/>
  <c r="Y139" i="6"/>
  <c r="Y140" i="6" s="1"/>
  <c r="AY139" i="6"/>
  <c r="AK136" i="6"/>
  <c r="AA137" i="6"/>
  <c r="V138" i="6"/>
  <c r="Z137" i="6"/>
  <c r="AV137" i="6"/>
  <c r="AD133" i="6"/>
  <c r="AE133" i="6"/>
  <c r="AF132" i="6"/>
  <c r="AG131" i="6"/>
  <c r="AH130" i="6"/>
  <c r="AI129" i="6"/>
  <c r="X131" i="2"/>
  <c r="Y131" i="2"/>
  <c r="Z131" i="2"/>
  <c r="AA131" i="2"/>
  <c r="AB131" i="2"/>
  <c r="T278" i="2"/>
  <c r="AO277" i="2"/>
  <c r="U281" i="2"/>
  <c r="V282" i="2"/>
  <c r="W283" i="2"/>
  <c r="X284" i="2"/>
  <c r="AA327" i="2"/>
  <c r="C132" i="7" l="1"/>
  <c r="D132" i="7"/>
  <c r="B133" i="7"/>
  <c r="B134" i="7"/>
  <c r="AS136" i="6"/>
  <c r="AW136" i="6" s="1"/>
  <c r="AN137" i="6"/>
  <c r="AO137" i="6"/>
  <c r="AP137" i="6"/>
  <c r="AQ137" i="6"/>
  <c r="Z138" i="6"/>
  <c r="AY138" i="6"/>
  <c r="V139" i="6"/>
  <c r="AA138" i="6"/>
  <c r="AV138" i="6"/>
  <c r="AK137" i="6"/>
  <c r="Y141" i="6"/>
  <c r="Y142" i="6" s="1"/>
  <c r="AY141" i="6"/>
  <c r="AD134" i="6"/>
  <c r="AE134" i="6"/>
  <c r="AF133" i="6"/>
  <c r="AG132" i="6"/>
  <c r="AH131" i="6"/>
  <c r="AI130" i="6"/>
  <c r="AA328" i="2"/>
  <c r="X285" i="2"/>
  <c r="W284" i="2"/>
  <c r="V283" i="2"/>
  <c r="U282" i="2"/>
  <c r="T279" i="2"/>
  <c r="AO278" i="2"/>
  <c r="AB132" i="2"/>
  <c r="AA132" i="2"/>
  <c r="Z132" i="2"/>
  <c r="Y132" i="2"/>
  <c r="X132" i="2"/>
  <c r="AU136" i="6" l="1"/>
  <c r="C134" i="7"/>
  <c r="D134" i="7"/>
  <c r="C133" i="7"/>
  <c r="D133" i="7"/>
  <c r="AS137" i="6"/>
  <c r="AW137" i="6" s="1"/>
  <c r="AN138" i="6"/>
  <c r="AO138" i="6"/>
  <c r="AP138" i="6"/>
  <c r="AQ138" i="6"/>
  <c r="Y143" i="6"/>
  <c r="Y144" i="6" s="1"/>
  <c r="AY143" i="6"/>
  <c r="AK138" i="6"/>
  <c r="AA139" i="6"/>
  <c r="V140" i="6"/>
  <c r="Z139" i="6"/>
  <c r="AV139" i="6"/>
  <c r="AD135" i="6"/>
  <c r="AE135" i="6"/>
  <c r="AF134" i="6"/>
  <c r="AG133" i="6"/>
  <c r="AH132" i="6"/>
  <c r="AI131" i="6"/>
  <c r="X133" i="2"/>
  <c r="Y133" i="2"/>
  <c r="Z133" i="2"/>
  <c r="AA133" i="2"/>
  <c r="AB133" i="2"/>
  <c r="T280" i="2"/>
  <c r="AO279" i="2"/>
  <c r="U283" i="2"/>
  <c r="V284" i="2"/>
  <c r="W285" i="2"/>
  <c r="X286" i="2"/>
  <c r="AA329" i="2"/>
  <c r="AU137" i="6" l="1"/>
  <c r="BA136" i="6"/>
  <c r="BA137" i="6" s="1"/>
  <c r="AS138" i="6"/>
  <c r="AW138" i="6" s="1"/>
  <c r="AN139" i="6"/>
  <c r="AO139" i="6"/>
  <c r="AP139" i="6"/>
  <c r="AQ139" i="6"/>
  <c r="Z140" i="6"/>
  <c r="AY140" i="6"/>
  <c r="V141" i="6"/>
  <c r="AA140" i="6"/>
  <c r="AV140" i="6"/>
  <c r="AK139" i="6"/>
  <c r="Y145" i="6"/>
  <c r="Y146" i="6" s="1"/>
  <c r="AY145" i="6"/>
  <c r="AD136" i="6"/>
  <c r="AE136" i="6"/>
  <c r="AF135" i="6"/>
  <c r="AG134" i="6"/>
  <c r="AH133" i="6"/>
  <c r="AI132" i="6"/>
  <c r="AA330" i="2"/>
  <c r="X287" i="2"/>
  <c r="W286" i="2"/>
  <c r="V285" i="2"/>
  <c r="U284" i="2"/>
  <c r="T281" i="2"/>
  <c r="AO280" i="2"/>
  <c r="AB134" i="2"/>
  <c r="AA134" i="2"/>
  <c r="Z134" i="2"/>
  <c r="Y134" i="2"/>
  <c r="X134" i="2"/>
  <c r="AU138" i="6" l="1"/>
  <c r="BA138" i="6"/>
  <c r="B135" i="7"/>
  <c r="B136" i="7"/>
  <c r="AS139" i="6"/>
  <c r="AW139" i="6" s="1"/>
  <c r="AN140" i="6"/>
  <c r="AO140" i="6"/>
  <c r="AP140" i="6"/>
  <c r="AQ140" i="6"/>
  <c r="Y147" i="6"/>
  <c r="Y148" i="6" s="1"/>
  <c r="AY147" i="6"/>
  <c r="AK140" i="6"/>
  <c r="AA141" i="6"/>
  <c r="V142" i="6"/>
  <c r="Z141" i="6"/>
  <c r="AV141" i="6"/>
  <c r="AD137" i="6"/>
  <c r="AE137" i="6"/>
  <c r="AF136" i="6"/>
  <c r="AG135" i="6"/>
  <c r="AH134" i="6"/>
  <c r="AI133" i="6"/>
  <c r="X135" i="2"/>
  <c r="Y135" i="2"/>
  <c r="Z135" i="2"/>
  <c r="AA135" i="2"/>
  <c r="AB135" i="2"/>
  <c r="T282" i="2"/>
  <c r="AO281" i="2"/>
  <c r="U285" i="2"/>
  <c r="V286" i="2"/>
  <c r="W287" i="2"/>
  <c r="X288" i="2"/>
  <c r="AA331" i="2"/>
  <c r="AU139" i="6" l="1"/>
  <c r="C136" i="7"/>
  <c r="D136" i="7"/>
  <c r="C135" i="7"/>
  <c r="D135" i="7"/>
  <c r="BA139" i="6"/>
  <c r="B137" i="7"/>
  <c r="AS140" i="6"/>
  <c r="AW140" i="6" s="1"/>
  <c r="AN141" i="6"/>
  <c r="AO141" i="6"/>
  <c r="AP141" i="6"/>
  <c r="AQ141" i="6"/>
  <c r="Z142" i="6"/>
  <c r="AY142" i="6"/>
  <c r="V143" i="6"/>
  <c r="AA142" i="6"/>
  <c r="AV142" i="6"/>
  <c r="AK141" i="6"/>
  <c r="Y149" i="6"/>
  <c r="Y150" i="6" s="1"/>
  <c r="AY149" i="6"/>
  <c r="AD138" i="6"/>
  <c r="AE138" i="6"/>
  <c r="AF137" i="6"/>
  <c r="AG136" i="6"/>
  <c r="AH135" i="6"/>
  <c r="AI134" i="6"/>
  <c r="AA332" i="2"/>
  <c r="X289" i="2"/>
  <c r="W288" i="2"/>
  <c r="V287" i="2"/>
  <c r="U286" i="2"/>
  <c r="T283" i="2"/>
  <c r="AO282" i="2"/>
  <c r="AB136" i="2"/>
  <c r="AA136" i="2"/>
  <c r="Z136" i="2"/>
  <c r="Y136" i="2"/>
  <c r="X136" i="2"/>
  <c r="AU140" i="6" l="1"/>
  <c r="C137" i="7"/>
  <c r="D137" i="7"/>
  <c r="BA140" i="6"/>
  <c r="B138" i="7"/>
  <c r="AS141" i="6"/>
  <c r="AW141" i="6" s="1"/>
  <c r="AN142" i="6"/>
  <c r="AO142" i="6"/>
  <c r="AP142" i="6"/>
  <c r="AQ142" i="6"/>
  <c r="Y151" i="6"/>
  <c r="Y152" i="6" s="1"/>
  <c r="AY151" i="6"/>
  <c r="AK142" i="6"/>
  <c r="AA143" i="6"/>
  <c r="V144" i="6"/>
  <c r="Z143" i="6"/>
  <c r="AV143" i="6"/>
  <c r="AD139" i="6"/>
  <c r="AE139" i="6"/>
  <c r="AF138" i="6"/>
  <c r="AG137" i="6"/>
  <c r="AH136" i="6"/>
  <c r="AI135" i="6"/>
  <c r="X137" i="2"/>
  <c r="Y137" i="2"/>
  <c r="Z137" i="2"/>
  <c r="AA137" i="2"/>
  <c r="AB137" i="2"/>
  <c r="T284" i="2"/>
  <c r="AO283" i="2"/>
  <c r="U287" i="2"/>
  <c r="V288" i="2"/>
  <c r="W289" i="2"/>
  <c r="X290" i="2"/>
  <c r="AU141" i="6" l="1"/>
  <c r="C138" i="7"/>
  <c r="D138" i="7"/>
  <c r="BA141" i="6"/>
  <c r="B139" i="7"/>
  <c r="AS142" i="6"/>
  <c r="AW142" i="6" s="1"/>
  <c r="AN143" i="6"/>
  <c r="AO143" i="6"/>
  <c r="AP143" i="6"/>
  <c r="AQ143" i="6"/>
  <c r="Z144" i="6"/>
  <c r="AY144" i="6"/>
  <c r="V145" i="6"/>
  <c r="AA144" i="6"/>
  <c r="AV144" i="6"/>
  <c r="AK143" i="6"/>
  <c r="AD140" i="6"/>
  <c r="AE140" i="6"/>
  <c r="AF139" i="6"/>
  <c r="AG138" i="6"/>
  <c r="AH137" i="6"/>
  <c r="AI136" i="6"/>
  <c r="X291" i="2"/>
  <c r="W290" i="2"/>
  <c r="V289" i="2"/>
  <c r="U288" i="2"/>
  <c r="T285" i="2"/>
  <c r="AO284" i="2"/>
  <c r="AB138" i="2"/>
  <c r="AA138" i="2"/>
  <c r="Z138" i="2"/>
  <c r="Y138" i="2"/>
  <c r="X138" i="2"/>
  <c r="AU142" i="6" l="1"/>
  <c r="C139" i="7"/>
  <c r="D139" i="7"/>
  <c r="BA142" i="6"/>
  <c r="B140" i="7"/>
  <c r="AS143" i="6"/>
  <c r="AW143" i="6" s="1"/>
  <c r="AN144" i="6"/>
  <c r="AO144" i="6"/>
  <c r="AP144" i="6"/>
  <c r="AQ144" i="6"/>
  <c r="AK144" i="6"/>
  <c r="AA145" i="6"/>
  <c r="V146" i="6"/>
  <c r="Z145" i="6"/>
  <c r="AV145" i="6"/>
  <c r="AD141" i="6"/>
  <c r="AE141" i="6"/>
  <c r="AF140" i="6"/>
  <c r="AG139" i="6"/>
  <c r="AH138" i="6"/>
  <c r="AI137" i="6"/>
  <c r="X139" i="2"/>
  <c r="Y139" i="2"/>
  <c r="Z139" i="2"/>
  <c r="AA139" i="2"/>
  <c r="AB139" i="2"/>
  <c r="T286" i="2"/>
  <c r="AO285" i="2"/>
  <c r="U289" i="2"/>
  <c r="V290" i="2"/>
  <c r="W291" i="2"/>
  <c r="X292" i="2"/>
  <c r="AU143" i="6" l="1"/>
  <c r="C140" i="7"/>
  <c r="D140" i="7"/>
  <c r="BA143" i="6"/>
  <c r="B141" i="7"/>
  <c r="AS144" i="6"/>
  <c r="AW144" i="6" s="1"/>
  <c r="AN145" i="6"/>
  <c r="AO145" i="6"/>
  <c r="AP145" i="6"/>
  <c r="AQ145" i="6"/>
  <c r="Z146" i="6"/>
  <c r="AY146" i="6"/>
  <c r="V147" i="6"/>
  <c r="AA146" i="6"/>
  <c r="AV146" i="6"/>
  <c r="AK145" i="6"/>
  <c r="AD142" i="6"/>
  <c r="AE142" i="6"/>
  <c r="AF141" i="6"/>
  <c r="AG140" i="6"/>
  <c r="AH139" i="6"/>
  <c r="AI138" i="6"/>
  <c r="X293" i="2"/>
  <c r="W292" i="2"/>
  <c r="V291" i="2"/>
  <c r="U290" i="2"/>
  <c r="T287" i="2"/>
  <c r="AO286" i="2"/>
  <c r="AB140" i="2"/>
  <c r="AA140" i="2"/>
  <c r="Z140" i="2"/>
  <c r="Y140" i="2"/>
  <c r="X140" i="2"/>
  <c r="AU144" i="6" l="1"/>
  <c r="C141" i="7"/>
  <c r="D141" i="7"/>
  <c r="BA144" i="6"/>
  <c r="B142" i="7"/>
  <c r="AS145" i="6"/>
  <c r="AW145" i="6" s="1"/>
  <c r="AN146" i="6"/>
  <c r="AO146" i="6"/>
  <c r="AP146" i="6"/>
  <c r="AQ146" i="6"/>
  <c r="AK146" i="6"/>
  <c r="AA147" i="6"/>
  <c r="V148" i="6"/>
  <c r="Z147" i="6"/>
  <c r="AV147" i="6"/>
  <c r="AD143" i="6"/>
  <c r="AE143" i="6"/>
  <c r="AF142" i="6"/>
  <c r="AG141" i="6"/>
  <c r="AH140" i="6"/>
  <c r="AI139" i="6"/>
  <c r="X141" i="2"/>
  <c r="Y141" i="2"/>
  <c r="Z141" i="2"/>
  <c r="AA141" i="2"/>
  <c r="AB141" i="2"/>
  <c r="T288" i="2"/>
  <c r="AO287" i="2"/>
  <c r="U291" i="2"/>
  <c r="V292" i="2"/>
  <c r="W293" i="2"/>
  <c r="X294" i="2"/>
  <c r="AU145" i="6" l="1"/>
  <c r="C142" i="7"/>
  <c r="D142" i="7"/>
  <c r="BA145" i="6"/>
  <c r="B143" i="7"/>
  <c r="AS146" i="6"/>
  <c r="AW146" i="6" s="1"/>
  <c r="AN147" i="6"/>
  <c r="AO147" i="6"/>
  <c r="AP147" i="6"/>
  <c r="AQ147" i="6"/>
  <c r="Z148" i="6"/>
  <c r="AY148" i="6"/>
  <c r="V149" i="6"/>
  <c r="AA148" i="6"/>
  <c r="AV148" i="6"/>
  <c r="AK147" i="6"/>
  <c r="AD144" i="6"/>
  <c r="AE144" i="6"/>
  <c r="AF143" i="6"/>
  <c r="AG142" i="6"/>
  <c r="AH141" i="6"/>
  <c r="AI140" i="6"/>
  <c r="X295" i="2"/>
  <c r="W294" i="2"/>
  <c r="V293" i="2"/>
  <c r="U292" i="2"/>
  <c r="T289" i="2"/>
  <c r="AO288" i="2"/>
  <c r="AB142" i="2"/>
  <c r="AA142" i="2"/>
  <c r="Z142" i="2"/>
  <c r="Y142" i="2"/>
  <c r="X142" i="2"/>
  <c r="AU146" i="6" l="1"/>
  <c r="C143" i="7"/>
  <c r="D143" i="7"/>
  <c r="BA146" i="6"/>
  <c r="B144" i="7"/>
  <c r="AS147" i="6"/>
  <c r="AW147" i="6" s="1"/>
  <c r="AN148" i="6"/>
  <c r="AO148" i="6"/>
  <c r="AP148" i="6"/>
  <c r="AQ148" i="6"/>
  <c r="AK148" i="6"/>
  <c r="AA149" i="6"/>
  <c r="V150" i="6"/>
  <c r="Z149" i="6"/>
  <c r="AV149" i="6"/>
  <c r="AD145" i="6"/>
  <c r="AE145" i="6"/>
  <c r="AF144" i="6"/>
  <c r="AG143" i="6"/>
  <c r="AH142" i="6"/>
  <c r="AI141" i="6"/>
  <c r="X143" i="2"/>
  <c r="Y143" i="2"/>
  <c r="Z143" i="2"/>
  <c r="AA143" i="2"/>
  <c r="AB143" i="2"/>
  <c r="T290" i="2"/>
  <c r="AO289" i="2"/>
  <c r="U293" i="2"/>
  <c r="V294" i="2"/>
  <c r="W295" i="2"/>
  <c r="X296" i="2"/>
  <c r="AU147" i="6" l="1"/>
  <c r="C144" i="7"/>
  <c r="D144" i="7"/>
  <c r="BA147" i="6"/>
  <c r="B145" i="7"/>
  <c r="AS148" i="6"/>
  <c r="AW148" i="6" s="1"/>
  <c r="AN149" i="6"/>
  <c r="AO149" i="6"/>
  <c r="AP149" i="6"/>
  <c r="AQ149" i="6"/>
  <c r="Z150" i="6"/>
  <c r="AY150" i="6"/>
  <c r="V151" i="6"/>
  <c r="AA150" i="6"/>
  <c r="AV150" i="6"/>
  <c r="AK149" i="6"/>
  <c r="AD146" i="6"/>
  <c r="AE146" i="6"/>
  <c r="AF145" i="6"/>
  <c r="AG144" i="6"/>
  <c r="AH143" i="6"/>
  <c r="AI142" i="6"/>
  <c r="X297" i="2"/>
  <c r="W296" i="2"/>
  <c r="V295" i="2"/>
  <c r="U294" i="2"/>
  <c r="T291" i="2"/>
  <c r="AO290" i="2"/>
  <c r="AB144" i="2"/>
  <c r="AA144" i="2"/>
  <c r="Z144" i="2"/>
  <c r="Y144" i="2"/>
  <c r="X144" i="2"/>
  <c r="AU148" i="6" l="1"/>
  <c r="C145" i="7"/>
  <c r="D145" i="7"/>
  <c r="BA148" i="6"/>
  <c r="B146" i="7"/>
  <c r="AS149" i="6"/>
  <c r="AW149" i="6" s="1"/>
  <c r="AN150" i="6"/>
  <c r="AO150" i="6"/>
  <c r="AP150" i="6"/>
  <c r="AQ150" i="6"/>
  <c r="AK150" i="6"/>
  <c r="AA151" i="6"/>
  <c r="V152" i="6"/>
  <c r="Z151" i="6"/>
  <c r="AV151" i="6"/>
  <c r="AD147" i="6"/>
  <c r="AE147" i="6"/>
  <c r="AF146" i="6"/>
  <c r="AG145" i="6"/>
  <c r="AH144" i="6"/>
  <c r="AI143" i="6"/>
  <c r="X145" i="2"/>
  <c r="Y145" i="2"/>
  <c r="Z145" i="2"/>
  <c r="AA145" i="2"/>
  <c r="AB145" i="2"/>
  <c r="T292" i="2"/>
  <c r="AO291" i="2"/>
  <c r="U295" i="2"/>
  <c r="V296" i="2"/>
  <c r="W297" i="2"/>
  <c r="X298" i="2"/>
  <c r="AU149" i="6" l="1"/>
  <c r="C146" i="7"/>
  <c r="D146" i="7"/>
  <c r="BA149" i="6"/>
  <c r="B147" i="7"/>
  <c r="AS150" i="6"/>
  <c r="AW150" i="6" s="1"/>
  <c r="AN151" i="6"/>
  <c r="AO151" i="6"/>
  <c r="AP151" i="6"/>
  <c r="AQ151" i="6"/>
  <c r="Z152" i="6"/>
  <c r="Z153" i="6" s="1"/>
  <c r="AY152" i="6"/>
  <c r="V153" i="6"/>
  <c r="AA152" i="6"/>
  <c r="AV152" i="6"/>
  <c r="AK151" i="6"/>
  <c r="AD148" i="6"/>
  <c r="AE148" i="6"/>
  <c r="AF147" i="6"/>
  <c r="AG146" i="6"/>
  <c r="AH145" i="6"/>
  <c r="AI144" i="6"/>
  <c r="X299" i="2"/>
  <c r="W298" i="2"/>
  <c r="V297" i="2"/>
  <c r="U296" i="2"/>
  <c r="T293" i="2"/>
  <c r="AO292" i="2"/>
  <c r="AB146" i="2"/>
  <c r="AA146" i="2"/>
  <c r="Z146" i="2"/>
  <c r="Y146" i="2"/>
  <c r="X146" i="2"/>
  <c r="AU150" i="6" l="1"/>
  <c r="C147" i="7"/>
  <c r="D147" i="7"/>
  <c r="BA150" i="6"/>
  <c r="B148" i="7"/>
  <c r="AS151" i="6"/>
  <c r="AW151" i="6" s="1"/>
  <c r="AN152" i="6"/>
  <c r="AO152" i="6"/>
  <c r="AP152" i="6"/>
  <c r="AQ152" i="6"/>
  <c r="AK152" i="6"/>
  <c r="AA153" i="6"/>
  <c r="V154" i="6"/>
  <c r="Y153" i="6"/>
  <c r="Y154" i="6" s="1"/>
  <c r="Y155" i="6" s="1"/>
  <c r="AV153" i="6"/>
  <c r="Z154" i="6"/>
  <c r="Z155" i="6" s="1"/>
  <c r="AY154" i="6"/>
  <c r="AD149" i="6"/>
  <c r="AE149" i="6"/>
  <c r="AF148" i="6"/>
  <c r="AG147" i="6"/>
  <c r="AH146" i="6"/>
  <c r="AI145" i="6"/>
  <c r="X147" i="2"/>
  <c r="Y147" i="2"/>
  <c r="Z147" i="2"/>
  <c r="AA147" i="2"/>
  <c r="AB147" i="2"/>
  <c r="T294" i="2"/>
  <c r="AO293" i="2"/>
  <c r="U297" i="2"/>
  <c r="V298" i="2"/>
  <c r="W299" i="2"/>
  <c r="X300" i="2"/>
  <c r="AU151" i="6" l="1"/>
  <c r="C148" i="7"/>
  <c r="D148" i="7"/>
  <c r="BA151" i="6"/>
  <c r="B149" i="7"/>
  <c r="AS152" i="6"/>
  <c r="AW152" i="6" s="1"/>
  <c r="AN153" i="6"/>
  <c r="AO153" i="6"/>
  <c r="AP153" i="6"/>
  <c r="AQ153" i="6"/>
  <c r="Y156" i="6"/>
  <c r="Y157" i="6" s="1"/>
  <c r="V155" i="6"/>
  <c r="AA154" i="6"/>
  <c r="AV154" i="6"/>
  <c r="AK153" i="6"/>
  <c r="AD150" i="6"/>
  <c r="AE150" i="6"/>
  <c r="AF149" i="6"/>
  <c r="AG148" i="6"/>
  <c r="AH147" i="6"/>
  <c r="AI146" i="6"/>
  <c r="X301" i="2"/>
  <c r="W300" i="2"/>
  <c r="V299" i="2"/>
  <c r="U298" i="2"/>
  <c r="T295" i="2"/>
  <c r="AO294" i="2"/>
  <c r="AB148" i="2"/>
  <c r="AA148" i="2"/>
  <c r="Z148" i="2"/>
  <c r="Y148" i="2"/>
  <c r="X148" i="2"/>
  <c r="AU152" i="6" l="1"/>
  <c r="C149" i="7"/>
  <c r="D149" i="7"/>
  <c r="BA152" i="6"/>
  <c r="B150" i="7"/>
  <c r="AS153" i="6"/>
  <c r="AW153" i="6" s="1"/>
  <c r="AN154" i="6"/>
  <c r="AO154" i="6"/>
  <c r="AP154" i="6"/>
  <c r="AQ154" i="6"/>
  <c r="AK154" i="6"/>
  <c r="AA155" i="6"/>
  <c r="V156" i="6"/>
  <c r="X155" i="6"/>
  <c r="AV155" i="6"/>
  <c r="Y158" i="6"/>
  <c r="Y159" i="6" s="1"/>
  <c r="Y160" i="6" s="1"/>
  <c r="Y161" i="6" s="1"/>
  <c r="AD151" i="6"/>
  <c r="AE151" i="6"/>
  <c r="AF150" i="6"/>
  <c r="AG149" i="6"/>
  <c r="AH148" i="6"/>
  <c r="AI147" i="6"/>
  <c r="X149" i="2"/>
  <c r="Y149" i="2"/>
  <c r="Z149" i="2"/>
  <c r="AA149" i="2"/>
  <c r="AB149" i="2"/>
  <c r="T296" i="2"/>
  <c r="AO295" i="2"/>
  <c r="U299" i="2"/>
  <c r="V300" i="2"/>
  <c r="W301" i="2"/>
  <c r="X302" i="2"/>
  <c r="AU153" i="6" l="1"/>
  <c r="C150" i="7"/>
  <c r="D150" i="7"/>
  <c r="BA153" i="6"/>
  <c r="B151" i="7"/>
  <c r="AS154" i="6"/>
  <c r="AW154" i="6" s="1"/>
  <c r="AN155" i="6"/>
  <c r="AO155" i="6"/>
  <c r="AP155" i="6"/>
  <c r="AQ155" i="6"/>
  <c r="Y162" i="6"/>
  <c r="Y163" i="6" s="1"/>
  <c r="Y164" i="6" s="1"/>
  <c r="Y165" i="6" s="1"/>
  <c r="Y166" i="6" s="1"/>
  <c r="Y167" i="6" s="1"/>
  <c r="Y168" i="6" s="1"/>
  <c r="Y169" i="6" s="1"/>
  <c r="Y170" i="6" s="1"/>
  <c r="Y171" i="6" s="1"/>
  <c r="Y172" i="6" s="1"/>
  <c r="Y173" i="6" s="1"/>
  <c r="Y174" i="6" s="1"/>
  <c r="Y175" i="6" s="1"/>
  <c r="Y176" i="6" s="1"/>
  <c r="Y177" i="6" s="1"/>
  <c r="X156" i="6"/>
  <c r="X157" i="6" s="1"/>
  <c r="AY156" i="6"/>
  <c r="V157" i="6"/>
  <c r="Z156" i="6"/>
  <c r="AV156" i="6"/>
  <c r="AK155" i="6"/>
  <c r="AA156" i="6"/>
  <c r="AK156" i="6" s="1"/>
  <c r="AD152" i="6"/>
  <c r="AE152" i="6"/>
  <c r="AF151" i="6"/>
  <c r="AG150" i="6"/>
  <c r="AH149" i="6"/>
  <c r="AI148" i="6"/>
  <c r="X303" i="2"/>
  <c r="W302" i="2"/>
  <c r="V301" i="2"/>
  <c r="U300" i="2"/>
  <c r="T297" i="2"/>
  <c r="AO296" i="2"/>
  <c r="AB150" i="2"/>
  <c r="AA150" i="2"/>
  <c r="Z150" i="2"/>
  <c r="Y150" i="2"/>
  <c r="X150" i="2"/>
  <c r="AU154" i="6" l="1"/>
  <c r="C151" i="7"/>
  <c r="D151" i="7"/>
  <c r="BA154" i="6"/>
  <c r="B152" i="7"/>
  <c r="AQ157" i="6"/>
  <c r="AS155" i="6"/>
  <c r="AW155" i="6" s="1"/>
  <c r="AN156" i="6"/>
  <c r="AN157" i="6" s="1"/>
  <c r="AO156" i="6"/>
  <c r="AO157" i="6" s="1"/>
  <c r="AP156" i="6"/>
  <c r="AS156" i="6" s="1"/>
  <c r="AW156" i="6" s="1"/>
  <c r="AQ156" i="6"/>
  <c r="Z157" i="6"/>
  <c r="AY157" i="6"/>
  <c r="V158" i="6"/>
  <c r="AA157" i="6"/>
  <c r="AV157" i="6"/>
  <c r="X158" i="6"/>
  <c r="X159" i="6" s="1"/>
  <c r="X160" i="6" s="1"/>
  <c r="AY158" i="6"/>
  <c r="Y178" i="6"/>
  <c r="Y179" i="6" s="1"/>
  <c r="Y180" i="6" s="1"/>
  <c r="AD153" i="6"/>
  <c r="AE153" i="6"/>
  <c r="AF152" i="6"/>
  <c r="AG151" i="6"/>
  <c r="AH150" i="6"/>
  <c r="AI149" i="6"/>
  <c r="X151" i="2"/>
  <c r="Y151" i="2"/>
  <c r="Z151" i="2"/>
  <c r="AA151" i="2"/>
  <c r="AB151" i="2"/>
  <c r="T298" i="2"/>
  <c r="AO297" i="2"/>
  <c r="U301" i="2"/>
  <c r="V302" i="2"/>
  <c r="W303" i="2"/>
  <c r="X304" i="2"/>
  <c r="AU156" i="6" l="1"/>
  <c r="AU155" i="6"/>
  <c r="C152" i="7"/>
  <c r="D152" i="7"/>
  <c r="BA155" i="6"/>
  <c r="BA156" i="6" s="1"/>
  <c r="B153" i="7"/>
  <c r="AP157" i="6"/>
  <c r="Y181" i="6"/>
  <c r="Y182" i="6" s="1"/>
  <c r="Y183" i="6" s="1"/>
  <c r="AK157" i="6"/>
  <c r="AA158" i="6"/>
  <c r="V159" i="6"/>
  <c r="Z158" i="6"/>
  <c r="AV158" i="6"/>
  <c r="AD154" i="6"/>
  <c r="AE154" i="6"/>
  <c r="AF153" i="6"/>
  <c r="AG152" i="6"/>
  <c r="AH151" i="6"/>
  <c r="AI150" i="6"/>
  <c r="X305" i="2"/>
  <c r="W304" i="2"/>
  <c r="V303" i="2"/>
  <c r="U302" i="2"/>
  <c r="T299" i="2"/>
  <c r="AO298" i="2"/>
  <c r="AB152" i="2"/>
  <c r="AA152" i="2"/>
  <c r="Z152" i="2"/>
  <c r="Y152" i="2"/>
  <c r="X152" i="2"/>
  <c r="C153" i="7" l="1"/>
  <c r="D153" i="7"/>
  <c r="B154" i="7"/>
  <c r="B155" i="7"/>
  <c r="AS157" i="6"/>
  <c r="AW157" i="6" s="1"/>
  <c r="AN158" i="6"/>
  <c r="AO158" i="6"/>
  <c r="AP158" i="6"/>
  <c r="AQ158" i="6"/>
  <c r="Z159" i="6"/>
  <c r="Z160" i="6" s="1"/>
  <c r="Z161" i="6" s="1"/>
  <c r="AY159" i="6"/>
  <c r="V160" i="6"/>
  <c r="V161" i="6" s="1"/>
  <c r="AA159" i="6"/>
  <c r="AV159" i="6"/>
  <c r="AK158" i="6"/>
  <c r="Y184" i="6"/>
  <c r="Y185" i="6" s="1"/>
  <c r="Y186" i="6" s="1"/>
  <c r="AD155" i="6"/>
  <c r="AE155" i="6"/>
  <c r="AF154" i="6"/>
  <c r="AG153" i="6"/>
  <c r="AH152" i="6"/>
  <c r="AI151" i="6"/>
  <c r="X153" i="2"/>
  <c r="Y153" i="2"/>
  <c r="Z153" i="2"/>
  <c r="AA153" i="2"/>
  <c r="AB153" i="2"/>
  <c r="T300" i="2"/>
  <c r="AO299" i="2"/>
  <c r="U303" i="2"/>
  <c r="V304" i="2"/>
  <c r="W305" i="2"/>
  <c r="X306" i="2"/>
  <c r="AU157" i="6" l="1"/>
  <c r="C155" i="7"/>
  <c r="D155" i="7"/>
  <c r="C154" i="7"/>
  <c r="D154" i="7"/>
  <c r="AS158" i="6"/>
  <c r="AW158" i="6" s="1"/>
  <c r="AN159" i="6"/>
  <c r="AO159" i="6"/>
  <c r="AP159" i="6"/>
  <c r="AQ159" i="6"/>
  <c r="Y187" i="6"/>
  <c r="Y188" i="6" s="1"/>
  <c r="Y189" i="6" s="1"/>
  <c r="AK159" i="6"/>
  <c r="AA160" i="6"/>
  <c r="V162" i="6"/>
  <c r="X161" i="6"/>
  <c r="AV161" i="6"/>
  <c r="AD156" i="6"/>
  <c r="AE156" i="6"/>
  <c r="AF155" i="6"/>
  <c r="AG154" i="6"/>
  <c r="AH153" i="6"/>
  <c r="AI152" i="6"/>
  <c r="X307" i="2"/>
  <c r="W306" i="2"/>
  <c r="V305" i="2"/>
  <c r="U304" i="2"/>
  <c r="T301" i="2"/>
  <c r="AO300" i="2"/>
  <c r="AB154" i="2"/>
  <c r="AA154" i="2"/>
  <c r="Z154" i="2"/>
  <c r="Y154" i="2"/>
  <c r="X154" i="2"/>
  <c r="AU158" i="6" l="1"/>
  <c r="BA157" i="6"/>
  <c r="BA158" i="6" s="1"/>
  <c r="AS159" i="6"/>
  <c r="AW159" i="6" s="1"/>
  <c r="AN160" i="6"/>
  <c r="AO160" i="6"/>
  <c r="AP160" i="6"/>
  <c r="AQ160" i="6"/>
  <c r="X162" i="6"/>
  <c r="X163" i="6" s="1"/>
  <c r="X164" i="6" s="1"/>
  <c r="X165" i="6" s="1"/>
  <c r="X166" i="6" s="1"/>
  <c r="AY162" i="6"/>
  <c r="V163" i="6"/>
  <c r="Z162" i="6"/>
  <c r="AV162" i="6"/>
  <c r="AK160" i="6"/>
  <c r="AA161" i="6"/>
  <c r="Y190" i="6"/>
  <c r="Y191" i="6" s="1"/>
  <c r="Y192" i="6" s="1"/>
  <c r="AD157" i="6"/>
  <c r="AE157" i="6"/>
  <c r="AF156" i="6"/>
  <c r="AG155" i="6"/>
  <c r="AH154" i="6"/>
  <c r="AI153" i="6"/>
  <c r="X155" i="2"/>
  <c r="Y155" i="2"/>
  <c r="Z155" i="2"/>
  <c r="AA155" i="2"/>
  <c r="AB155" i="2"/>
  <c r="T302" i="2"/>
  <c r="AO301" i="2"/>
  <c r="U305" i="2"/>
  <c r="V306" i="2"/>
  <c r="W307" i="2"/>
  <c r="X308" i="2"/>
  <c r="AU159" i="6" l="1"/>
  <c r="BA159" i="6"/>
  <c r="BA160" i="6" s="1"/>
  <c r="B156" i="7"/>
  <c r="B157" i="7"/>
  <c r="AS160" i="6"/>
  <c r="AW160" i="6" s="1"/>
  <c r="AN161" i="6"/>
  <c r="AO161" i="6"/>
  <c r="AP161" i="6"/>
  <c r="AQ161" i="6"/>
  <c r="Y193" i="6"/>
  <c r="Y194" i="6" s="1"/>
  <c r="Y195" i="6" s="1"/>
  <c r="Y196" i="6" s="1"/>
  <c r="Y197" i="6" s="1"/>
  <c r="AK161" i="6"/>
  <c r="AA162" i="6"/>
  <c r="AK162" i="6" s="1"/>
  <c r="Z163" i="6"/>
  <c r="AY163" i="6"/>
  <c r="V164" i="6"/>
  <c r="AA163" i="6"/>
  <c r="AK163" i="6" s="1"/>
  <c r="AV163" i="6"/>
  <c r="AD158" i="6"/>
  <c r="AE158" i="6"/>
  <c r="AF157" i="6"/>
  <c r="AG156" i="6"/>
  <c r="AH155" i="6"/>
  <c r="AI154" i="6"/>
  <c r="X309" i="2"/>
  <c r="W308" i="2"/>
  <c r="V307" i="2"/>
  <c r="U306" i="2"/>
  <c r="T303" i="2"/>
  <c r="AO302" i="2"/>
  <c r="AB156" i="2"/>
  <c r="AA156" i="2"/>
  <c r="Z156" i="2"/>
  <c r="Y156" i="2"/>
  <c r="X156" i="2"/>
  <c r="C157" i="7" l="1"/>
  <c r="D157" i="7"/>
  <c r="C156" i="7"/>
  <c r="D156" i="7"/>
  <c r="B158" i="7"/>
  <c r="AQ163" i="6"/>
  <c r="AS163" i="6" s="1"/>
  <c r="AW163" i="6" s="1"/>
  <c r="AS161" i="6"/>
  <c r="AW161" i="6" s="1"/>
  <c r="AN162" i="6"/>
  <c r="AN163" i="6" s="1"/>
  <c r="AN164" i="6" s="1"/>
  <c r="AO162" i="6"/>
  <c r="AO163" i="6" s="1"/>
  <c r="AO164" i="6" s="1"/>
  <c r="AP162" i="6"/>
  <c r="AS162" i="6" s="1"/>
  <c r="AW162" i="6" s="1"/>
  <c r="AQ162" i="6"/>
  <c r="V165" i="6"/>
  <c r="V166" i="6" s="1"/>
  <c r="AA164" i="6"/>
  <c r="AV164" i="6"/>
  <c r="Z164" i="6"/>
  <c r="Z165" i="6" s="1"/>
  <c r="Z166" i="6" s="1"/>
  <c r="Z167" i="6" s="1"/>
  <c r="AY164" i="6"/>
  <c r="Y198" i="6"/>
  <c r="Y199" i="6" s="1"/>
  <c r="AD159" i="6"/>
  <c r="AE159" i="6"/>
  <c r="AF158" i="6"/>
  <c r="AG157" i="6"/>
  <c r="AH156" i="6"/>
  <c r="AI155" i="6"/>
  <c r="X157" i="2"/>
  <c r="Y157" i="2"/>
  <c r="Z157" i="2"/>
  <c r="AA157" i="2"/>
  <c r="AB157" i="2"/>
  <c r="T304" i="2"/>
  <c r="AO303" i="2"/>
  <c r="U307" i="2"/>
  <c r="V308" i="2"/>
  <c r="W309" i="2"/>
  <c r="X310" i="2"/>
  <c r="AU162" i="6" l="1"/>
  <c r="AU161" i="6"/>
  <c r="AU163" i="6"/>
  <c r="C158" i="7"/>
  <c r="D158" i="7"/>
  <c r="AP163" i="6"/>
  <c r="AP164" i="6" s="1"/>
  <c r="AQ164" i="6"/>
  <c r="Y200" i="6"/>
  <c r="Y201" i="6" s="1"/>
  <c r="Z168" i="6"/>
  <c r="Z169" i="6" s="1"/>
  <c r="AK164" i="6"/>
  <c r="AA165" i="6"/>
  <c r="V167" i="6"/>
  <c r="W166" i="6"/>
  <c r="AV166" i="6"/>
  <c r="AD160" i="6"/>
  <c r="AE160" i="6"/>
  <c r="AF159" i="6"/>
  <c r="AG158" i="6"/>
  <c r="AH157" i="6"/>
  <c r="AI156" i="6"/>
  <c r="X311" i="2"/>
  <c r="W310" i="2"/>
  <c r="V309" i="2"/>
  <c r="U308" i="2"/>
  <c r="T305" i="2"/>
  <c r="AO304" i="2"/>
  <c r="AB158" i="2"/>
  <c r="AA158" i="2"/>
  <c r="Z158" i="2"/>
  <c r="Y158" i="2"/>
  <c r="AO158" i="2"/>
  <c r="BA161" i="6" l="1"/>
  <c r="BA162" i="6" s="1"/>
  <c r="BA163" i="6" s="1"/>
  <c r="B161" i="7"/>
  <c r="AS164" i="6"/>
  <c r="AW164" i="6" s="1"/>
  <c r="AN165" i="6"/>
  <c r="AO165" i="6"/>
  <c r="AP165" i="6"/>
  <c r="AQ165" i="6"/>
  <c r="W167" i="6"/>
  <c r="W168" i="6" s="1"/>
  <c r="AY167" i="6"/>
  <c r="V168" i="6"/>
  <c r="X167" i="6"/>
  <c r="AV167" i="6"/>
  <c r="AK165" i="6"/>
  <c r="AA166" i="6"/>
  <c r="Z170" i="6"/>
  <c r="Z171" i="6" s="1"/>
  <c r="Y202" i="6"/>
  <c r="Y203" i="6" s="1"/>
  <c r="AD161" i="6"/>
  <c r="AE161" i="6"/>
  <c r="AF160" i="6"/>
  <c r="AG159" i="6"/>
  <c r="AH158" i="6"/>
  <c r="AI157" i="6"/>
  <c r="AO159" i="2"/>
  <c r="Z159" i="2"/>
  <c r="AA159" i="2"/>
  <c r="AB159" i="2"/>
  <c r="T306" i="2"/>
  <c r="AO305" i="2"/>
  <c r="U309" i="2"/>
  <c r="V310" i="2"/>
  <c r="W311" i="2"/>
  <c r="X312" i="2"/>
  <c r="AU164" i="6" l="1"/>
  <c r="C161" i="7"/>
  <c r="D161" i="7"/>
  <c r="BA164" i="6"/>
  <c r="BA165" i="6" s="1"/>
  <c r="B160" i="7"/>
  <c r="B162" i="7"/>
  <c r="AS165" i="6"/>
  <c r="AW165" i="6" s="1"/>
  <c r="AN166" i="6"/>
  <c r="AO166" i="6"/>
  <c r="AP166" i="6"/>
  <c r="AQ166" i="6"/>
  <c r="Y204" i="6"/>
  <c r="Y205" i="6" s="1"/>
  <c r="Z172" i="6"/>
  <c r="Z173" i="6" s="1"/>
  <c r="AK166" i="6"/>
  <c r="AA167" i="6"/>
  <c r="AK167" i="6" s="1"/>
  <c r="X168" i="6"/>
  <c r="AY168" i="6"/>
  <c r="V169" i="6"/>
  <c r="AA168" i="6"/>
  <c r="AV168" i="6"/>
  <c r="W169" i="6"/>
  <c r="W170" i="6" s="1"/>
  <c r="AY169" i="6"/>
  <c r="AD162" i="6"/>
  <c r="AE162" i="6"/>
  <c r="AF161" i="6"/>
  <c r="AG160" i="6"/>
  <c r="AH159" i="6"/>
  <c r="AI158" i="6"/>
  <c r="X313" i="2"/>
  <c r="W312" i="2"/>
  <c r="V311" i="2"/>
  <c r="U310" i="2"/>
  <c r="T307" i="2"/>
  <c r="AO306" i="2"/>
  <c r="AB160" i="2"/>
  <c r="AA160" i="2"/>
  <c r="AO160" i="2"/>
  <c r="C162" i="7" l="1"/>
  <c r="D162" i="7"/>
  <c r="C160" i="7"/>
  <c r="D160" i="7"/>
  <c r="B163" i="7"/>
  <c r="AO168" i="6"/>
  <c r="AP168" i="6"/>
  <c r="AQ168" i="6"/>
  <c r="AS166" i="6"/>
  <c r="AW166" i="6" s="1"/>
  <c r="AN167" i="6"/>
  <c r="AS167" i="6" s="1"/>
  <c r="AW167" i="6" s="1"/>
  <c r="AO167" i="6"/>
  <c r="AP167" i="6"/>
  <c r="AQ167" i="6"/>
  <c r="W171" i="6"/>
  <c r="W172" i="6" s="1"/>
  <c r="AY171" i="6"/>
  <c r="AK168" i="6"/>
  <c r="AA169" i="6"/>
  <c r="V170" i="6"/>
  <c r="X169" i="6"/>
  <c r="AV169" i="6"/>
  <c r="Z174" i="6"/>
  <c r="Z175" i="6" s="1"/>
  <c r="Z176" i="6" s="1"/>
  <c r="Z177" i="6" s="1"/>
  <c r="Y206" i="6"/>
  <c r="Y207" i="6" s="1"/>
  <c r="AD163" i="6"/>
  <c r="AE163" i="6"/>
  <c r="AF162" i="6"/>
  <c r="AG161" i="6"/>
  <c r="AH160" i="6"/>
  <c r="AI159" i="6"/>
  <c r="AO161" i="2"/>
  <c r="AB161" i="2"/>
  <c r="T308" i="2"/>
  <c r="AO307" i="2"/>
  <c r="U311" i="2"/>
  <c r="V312" i="2"/>
  <c r="W313" i="2"/>
  <c r="X314" i="2"/>
  <c r="AU167" i="6" l="1"/>
  <c r="AU166" i="6"/>
  <c r="C163" i="7"/>
  <c r="D163" i="7"/>
  <c r="AS168" i="6"/>
  <c r="AW168" i="6" s="1"/>
  <c r="AO169" i="6"/>
  <c r="AP169" i="6"/>
  <c r="AQ169" i="6"/>
  <c r="AN168" i="6"/>
  <c r="AN169" i="6" s="1"/>
  <c r="Y208" i="6"/>
  <c r="Y209" i="6" s="1"/>
  <c r="X170" i="6"/>
  <c r="AY170" i="6"/>
  <c r="V171" i="6"/>
  <c r="AA170" i="6"/>
  <c r="AV170" i="6"/>
  <c r="AK169" i="6"/>
  <c r="W173" i="6"/>
  <c r="W174" i="6" s="1"/>
  <c r="W175" i="6" s="1"/>
  <c r="AY173" i="6"/>
  <c r="AD164" i="6"/>
  <c r="AE164" i="6"/>
  <c r="AF163" i="6"/>
  <c r="AG162" i="6"/>
  <c r="AH161" i="6"/>
  <c r="AI160" i="6"/>
  <c r="X315" i="2"/>
  <c r="W314" i="2"/>
  <c r="V313" i="2"/>
  <c r="U312" i="2"/>
  <c r="T309" i="2"/>
  <c r="AO308" i="2"/>
  <c r="AB162" i="2"/>
  <c r="AU168" i="6" l="1"/>
  <c r="BA166" i="6"/>
  <c r="BA167" i="6" s="1"/>
  <c r="BA168" i="6" s="1"/>
  <c r="B166" i="7"/>
  <c r="AS169" i="6"/>
  <c r="AW169" i="6" s="1"/>
  <c r="AN170" i="6"/>
  <c r="AO170" i="6"/>
  <c r="AP170" i="6"/>
  <c r="AQ170" i="6"/>
  <c r="AK170" i="6"/>
  <c r="AA171" i="6"/>
  <c r="V172" i="6"/>
  <c r="X171" i="6"/>
  <c r="AV171" i="6"/>
  <c r="Y210" i="6"/>
  <c r="Y211" i="6" s="1"/>
  <c r="AD165" i="6"/>
  <c r="AE165" i="6"/>
  <c r="AF164" i="6"/>
  <c r="AG163" i="6"/>
  <c r="AH162" i="6"/>
  <c r="AI161" i="6"/>
  <c r="AB163" i="2"/>
  <c r="T310" i="2"/>
  <c r="AO309" i="2"/>
  <c r="U313" i="2"/>
  <c r="V314" i="2"/>
  <c r="W315" i="2"/>
  <c r="X316" i="2"/>
  <c r="AU169" i="6" l="1"/>
  <c r="C166" i="7"/>
  <c r="D166" i="7"/>
  <c r="BA169" i="6"/>
  <c r="B165" i="7"/>
  <c r="B167" i="7"/>
  <c r="AS170" i="6"/>
  <c r="AW170" i="6" s="1"/>
  <c r="AN171" i="6"/>
  <c r="AO171" i="6"/>
  <c r="AP171" i="6"/>
  <c r="AQ171" i="6"/>
  <c r="Y212" i="6"/>
  <c r="Y213" i="6" s="1"/>
  <c r="X172" i="6"/>
  <c r="AY172" i="6"/>
  <c r="V173" i="6"/>
  <c r="AA172" i="6"/>
  <c r="AV172" i="6"/>
  <c r="AK171" i="6"/>
  <c r="AD166" i="6"/>
  <c r="AE166" i="6"/>
  <c r="AF165" i="6"/>
  <c r="AG164" i="6"/>
  <c r="AH163" i="6"/>
  <c r="AI162" i="6"/>
  <c r="X317" i="2"/>
  <c r="W316" i="2"/>
  <c r="V315" i="2"/>
  <c r="U314" i="2"/>
  <c r="T311" i="2"/>
  <c r="AO310" i="2"/>
  <c r="AB164" i="2"/>
  <c r="AU170" i="6" l="1"/>
  <c r="C167" i="7"/>
  <c r="D167" i="7"/>
  <c r="C165" i="7"/>
  <c r="D165" i="7"/>
  <c r="BA170" i="6"/>
  <c r="B168" i="7"/>
  <c r="AS171" i="6"/>
  <c r="AW171" i="6" s="1"/>
  <c r="AN172" i="6"/>
  <c r="AO172" i="6"/>
  <c r="AP172" i="6"/>
  <c r="AQ172" i="6"/>
  <c r="AK172" i="6"/>
  <c r="AA173" i="6"/>
  <c r="V174" i="6"/>
  <c r="X173" i="6"/>
  <c r="AV173" i="6"/>
  <c r="Y214" i="6"/>
  <c r="Y215" i="6" s="1"/>
  <c r="AD167" i="6"/>
  <c r="AE167" i="6"/>
  <c r="AF166" i="6"/>
  <c r="AG165" i="6"/>
  <c r="AH164" i="6"/>
  <c r="AI163" i="6"/>
  <c r="AB165" i="2"/>
  <c r="T312" i="2"/>
  <c r="AO311" i="2"/>
  <c r="U315" i="2"/>
  <c r="V316" i="2"/>
  <c r="W317" i="2"/>
  <c r="X318" i="2"/>
  <c r="AU171" i="6" l="1"/>
  <c r="C168" i="7"/>
  <c r="D168" i="7"/>
  <c r="BA171" i="6"/>
  <c r="B169" i="7"/>
  <c r="AS172" i="6"/>
  <c r="AW172" i="6" s="1"/>
  <c r="AN173" i="6"/>
  <c r="AO173" i="6"/>
  <c r="AP173" i="6"/>
  <c r="AQ173" i="6"/>
  <c r="Y216" i="6"/>
  <c r="Y217" i="6" s="1"/>
  <c r="X174" i="6"/>
  <c r="X175" i="6" s="1"/>
  <c r="X176" i="6" s="1"/>
  <c r="AY174" i="6"/>
  <c r="V175" i="6"/>
  <c r="V176" i="6" s="1"/>
  <c r="AA174" i="6"/>
  <c r="AV174" i="6"/>
  <c r="AK173" i="6"/>
  <c r="AD168" i="6"/>
  <c r="AE168" i="6"/>
  <c r="AF167" i="6"/>
  <c r="AG166" i="6"/>
  <c r="AH165" i="6"/>
  <c r="AI164" i="6"/>
  <c r="X319" i="2"/>
  <c r="W318" i="2"/>
  <c r="V317" i="2"/>
  <c r="U316" i="2"/>
  <c r="T313" i="2"/>
  <c r="AO312" i="2"/>
  <c r="AB166" i="2"/>
  <c r="AU172" i="6" l="1"/>
  <c r="C169" i="7"/>
  <c r="D169" i="7"/>
  <c r="BA172" i="6"/>
  <c r="B170" i="7"/>
  <c r="AS173" i="6"/>
  <c r="AW173" i="6" s="1"/>
  <c r="AN174" i="6"/>
  <c r="AO174" i="6"/>
  <c r="AP174" i="6"/>
  <c r="AQ174" i="6"/>
  <c r="AK174" i="6"/>
  <c r="AA175" i="6"/>
  <c r="V177" i="6"/>
  <c r="W176" i="6"/>
  <c r="AV176" i="6"/>
  <c r="Y218" i="6"/>
  <c r="Y219" i="6" s="1"/>
  <c r="Y220" i="6" s="1"/>
  <c r="AD169" i="6"/>
  <c r="AE169" i="6"/>
  <c r="AF168" i="6"/>
  <c r="AG167" i="6"/>
  <c r="AH166" i="6"/>
  <c r="AI165" i="6"/>
  <c r="AB167" i="2"/>
  <c r="T314" i="2"/>
  <c r="AO313" i="2"/>
  <c r="U317" i="2"/>
  <c r="V318" i="2"/>
  <c r="W319" i="2"/>
  <c r="AU173" i="6" l="1"/>
  <c r="C170" i="7"/>
  <c r="D170" i="7"/>
  <c r="BA173" i="6"/>
  <c r="B171" i="7"/>
  <c r="AS174" i="6"/>
  <c r="AW174" i="6" s="1"/>
  <c r="AN175" i="6"/>
  <c r="AO175" i="6"/>
  <c r="AP175" i="6"/>
  <c r="AQ175" i="6"/>
  <c r="Y221" i="6"/>
  <c r="Y222" i="6" s="1"/>
  <c r="W177" i="6"/>
  <c r="W178" i="6" s="1"/>
  <c r="W179" i="6" s="1"/>
  <c r="AY177" i="6"/>
  <c r="V178" i="6"/>
  <c r="X177" i="6"/>
  <c r="AV177" i="6"/>
  <c r="AK175" i="6"/>
  <c r="AA176" i="6"/>
  <c r="AD170" i="6"/>
  <c r="AE170" i="6"/>
  <c r="AF169" i="6"/>
  <c r="AG168" i="6"/>
  <c r="AH167" i="6"/>
  <c r="AI166" i="6"/>
  <c r="W320" i="2"/>
  <c r="V319" i="2"/>
  <c r="U318" i="2"/>
  <c r="T315" i="2"/>
  <c r="AO314" i="2"/>
  <c r="AB168" i="2"/>
  <c r="AU174" i="6" l="1"/>
  <c r="C171" i="7"/>
  <c r="D171" i="7"/>
  <c r="BA174" i="6"/>
  <c r="BA175" i="6" s="1"/>
  <c r="B172" i="7"/>
  <c r="AS175" i="6"/>
  <c r="AW175" i="6" s="1"/>
  <c r="AN176" i="6"/>
  <c r="AO176" i="6"/>
  <c r="AP176" i="6"/>
  <c r="AQ176" i="6"/>
  <c r="AK176" i="6"/>
  <c r="AA177" i="6"/>
  <c r="X178" i="6"/>
  <c r="X179" i="6" s="1"/>
  <c r="AY178" i="6"/>
  <c r="V179" i="6"/>
  <c r="Z178" i="6"/>
  <c r="AV178" i="6"/>
  <c r="W180" i="6"/>
  <c r="W181" i="6" s="1"/>
  <c r="W182" i="6" s="1"/>
  <c r="AY180" i="6"/>
  <c r="Y223" i="6"/>
  <c r="Y224" i="6" s="1"/>
  <c r="AD171" i="6"/>
  <c r="AE171" i="6"/>
  <c r="AF170" i="6"/>
  <c r="AG169" i="6"/>
  <c r="AH168" i="6"/>
  <c r="AI167" i="6"/>
  <c r="AB169" i="2"/>
  <c r="T316" i="2"/>
  <c r="AO315" i="2"/>
  <c r="U319" i="2"/>
  <c r="V320" i="2"/>
  <c r="W321" i="2"/>
  <c r="C172" i="7" l="1"/>
  <c r="D172" i="7"/>
  <c r="B173" i="7"/>
  <c r="AS176" i="6"/>
  <c r="AW176" i="6" s="1"/>
  <c r="AN177" i="6"/>
  <c r="AO177" i="6"/>
  <c r="AP177" i="6"/>
  <c r="AQ177" i="6"/>
  <c r="Y225" i="6"/>
  <c r="Y226" i="6" s="1"/>
  <c r="W183" i="6"/>
  <c r="W184" i="6" s="1"/>
  <c r="W185" i="6" s="1"/>
  <c r="AY183" i="6"/>
  <c r="Z179" i="6"/>
  <c r="Z180" i="6" s="1"/>
  <c r="AY179" i="6"/>
  <c r="V180" i="6"/>
  <c r="AA179" i="6"/>
  <c r="AV179" i="6"/>
  <c r="AK177" i="6"/>
  <c r="AA178" i="6"/>
  <c r="AK178" i="6" s="1"/>
  <c r="AD172" i="6"/>
  <c r="AE172" i="6"/>
  <c r="AF171" i="6"/>
  <c r="AG170" i="6"/>
  <c r="AH169" i="6"/>
  <c r="AI168" i="6"/>
  <c r="W322" i="2"/>
  <c r="V321" i="2"/>
  <c r="U320" i="2"/>
  <c r="T317" i="2"/>
  <c r="AO316" i="2"/>
  <c r="AB170" i="2"/>
  <c r="AU176" i="6" l="1"/>
  <c r="C173" i="7"/>
  <c r="D173" i="7"/>
  <c r="AQ179" i="6"/>
  <c r="AS177" i="6"/>
  <c r="AW177" i="6" s="1"/>
  <c r="AN178" i="6"/>
  <c r="AN179" i="6" s="1"/>
  <c r="AO178" i="6"/>
  <c r="AO179" i="6" s="1"/>
  <c r="AP178" i="6"/>
  <c r="AS178" i="6" s="1"/>
  <c r="AW178" i="6" s="1"/>
  <c r="AQ178" i="6"/>
  <c r="AK179" i="6"/>
  <c r="AA180" i="6"/>
  <c r="V181" i="6"/>
  <c r="X180" i="6"/>
  <c r="AV180" i="6"/>
  <c r="W186" i="6"/>
  <c r="W187" i="6" s="1"/>
  <c r="W188" i="6" s="1"/>
  <c r="AY186" i="6"/>
  <c r="Y227" i="6"/>
  <c r="Y228" i="6" s="1"/>
  <c r="AD173" i="6"/>
  <c r="AE173" i="6"/>
  <c r="AF172" i="6"/>
  <c r="AG171" i="6"/>
  <c r="AH170" i="6"/>
  <c r="AI169" i="6"/>
  <c r="AO171" i="2"/>
  <c r="T318" i="2"/>
  <c r="AO317" i="2"/>
  <c r="U321" i="2"/>
  <c r="V322" i="2"/>
  <c r="W323" i="2"/>
  <c r="AU178" i="6" l="1"/>
  <c r="AU177" i="6"/>
  <c r="BA176" i="6"/>
  <c r="BA177" i="6" s="1"/>
  <c r="BA178" i="6" s="1"/>
  <c r="AS179" i="6"/>
  <c r="AW179" i="6" s="1"/>
  <c r="AN180" i="6"/>
  <c r="AO180" i="6"/>
  <c r="AQ180" i="6"/>
  <c r="AP179" i="6"/>
  <c r="AP180" i="6" s="1"/>
  <c r="Y229" i="6"/>
  <c r="Y230" i="6" s="1"/>
  <c r="W189" i="6"/>
  <c r="W190" i="6" s="1"/>
  <c r="W191" i="6" s="1"/>
  <c r="AY189" i="6"/>
  <c r="X181" i="6"/>
  <c r="X182" i="6" s="1"/>
  <c r="AY181" i="6"/>
  <c r="V182" i="6"/>
  <c r="Z181" i="6"/>
  <c r="AV181" i="6"/>
  <c r="AK180" i="6"/>
  <c r="AA181" i="6"/>
  <c r="AK181" i="6" s="1"/>
  <c r="AD174" i="6"/>
  <c r="AE174" i="6"/>
  <c r="AF173" i="6"/>
  <c r="AG172" i="6"/>
  <c r="AH171" i="6"/>
  <c r="AI170" i="6"/>
  <c r="W324" i="2"/>
  <c r="V323" i="2"/>
  <c r="U322" i="2"/>
  <c r="T319" i="2"/>
  <c r="AO318" i="2"/>
  <c r="AU179" i="6" l="1"/>
  <c r="BA179" i="6"/>
  <c r="B175" i="7"/>
  <c r="B176" i="7"/>
  <c r="B177" i="7"/>
  <c r="AQ182" i="6"/>
  <c r="AS180" i="6"/>
  <c r="AW180" i="6" s="1"/>
  <c r="AN181" i="6"/>
  <c r="AN182" i="6" s="1"/>
  <c r="AO181" i="6"/>
  <c r="AO182" i="6" s="1"/>
  <c r="AP181" i="6"/>
  <c r="AS181" i="6" s="1"/>
  <c r="AW181" i="6" s="1"/>
  <c r="AQ181" i="6"/>
  <c r="Z182" i="6"/>
  <c r="Z183" i="6" s="1"/>
  <c r="AY182" i="6"/>
  <c r="V183" i="6"/>
  <c r="AA182" i="6"/>
  <c r="AV182" i="6"/>
  <c r="W192" i="6"/>
  <c r="W193" i="6" s="1"/>
  <c r="W194" i="6" s="1"/>
  <c r="W195" i="6" s="1"/>
  <c r="AY192" i="6"/>
  <c r="Y231" i="6"/>
  <c r="Y232" i="6" s="1"/>
  <c r="AD175" i="6"/>
  <c r="AE175" i="6"/>
  <c r="AF174" i="6"/>
  <c r="AG173" i="6"/>
  <c r="AH172" i="6"/>
  <c r="AI171" i="6"/>
  <c r="T320" i="2"/>
  <c r="AO319" i="2"/>
  <c r="U323" i="2"/>
  <c r="V324" i="2"/>
  <c r="W325" i="2"/>
  <c r="AU181" i="6" l="1"/>
  <c r="AU180" i="6"/>
  <c r="C177" i="7"/>
  <c r="D177" i="7"/>
  <c r="C176" i="7"/>
  <c r="D176" i="7"/>
  <c r="C175" i="7"/>
  <c r="D175" i="7"/>
  <c r="BA180" i="6"/>
  <c r="BA181" i="6" s="1"/>
  <c r="B178" i="7"/>
  <c r="AP182" i="6"/>
  <c r="Y233" i="6"/>
  <c r="Y234" i="6" s="1"/>
  <c r="AK182" i="6"/>
  <c r="AA183" i="6"/>
  <c r="V184" i="6"/>
  <c r="X183" i="6"/>
  <c r="AV183" i="6"/>
  <c r="AD176" i="6"/>
  <c r="AE176" i="6"/>
  <c r="AF175" i="6"/>
  <c r="AG174" i="6"/>
  <c r="AH173" i="6"/>
  <c r="AI172" i="6"/>
  <c r="W326" i="2"/>
  <c r="V325" i="2"/>
  <c r="U324" i="2"/>
  <c r="T321" i="2"/>
  <c r="AO320" i="2"/>
  <c r="C178" i="7" l="1"/>
  <c r="D178" i="7"/>
  <c r="B179" i="7"/>
  <c r="B180" i="7"/>
  <c r="AS182" i="6"/>
  <c r="AW182" i="6" s="1"/>
  <c r="AN183" i="6"/>
  <c r="AO183" i="6"/>
  <c r="AP183" i="6"/>
  <c r="AQ183" i="6"/>
  <c r="X184" i="6"/>
  <c r="X185" i="6" s="1"/>
  <c r="AY184" i="6"/>
  <c r="V185" i="6"/>
  <c r="Z184" i="6"/>
  <c r="AV184" i="6"/>
  <c r="AK183" i="6"/>
  <c r="AA184" i="6"/>
  <c r="AK184" i="6" s="1"/>
  <c r="Y235" i="6"/>
  <c r="Y236" i="6" s="1"/>
  <c r="AD177" i="6"/>
  <c r="AE177" i="6"/>
  <c r="AF176" i="6"/>
  <c r="AG175" i="6"/>
  <c r="AH174" i="6"/>
  <c r="AI173" i="6"/>
  <c r="T322" i="2"/>
  <c r="AO321" i="2"/>
  <c r="U325" i="2"/>
  <c r="V326" i="2"/>
  <c r="W327" i="2"/>
  <c r="AU182" i="6" l="1"/>
  <c r="C180" i="7"/>
  <c r="D180" i="7"/>
  <c r="C179" i="7"/>
  <c r="D179" i="7"/>
  <c r="AQ185" i="6"/>
  <c r="AS183" i="6"/>
  <c r="AW183" i="6" s="1"/>
  <c r="AN184" i="6"/>
  <c r="AN185" i="6" s="1"/>
  <c r="AO184" i="6"/>
  <c r="AO185" i="6" s="1"/>
  <c r="AP184" i="6"/>
  <c r="AS184" i="6" s="1"/>
  <c r="AW184" i="6" s="1"/>
  <c r="AQ184" i="6"/>
  <c r="Y237" i="6"/>
  <c r="Y238" i="6" s="1"/>
  <c r="Z185" i="6"/>
  <c r="Z186" i="6" s="1"/>
  <c r="AY185" i="6"/>
  <c r="V186" i="6"/>
  <c r="AA185" i="6"/>
  <c r="AV185" i="6"/>
  <c r="AD178" i="6"/>
  <c r="AE178" i="6"/>
  <c r="AF177" i="6"/>
  <c r="AG176" i="6"/>
  <c r="AH175" i="6"/>
  <c r="AI174" i="6"/>
  <c r="W328" i="2"/>
  <c r="V327" i="2"/>
  <c r="U326" i="2"/>
  <c r="T323" i="2"/>
  <c r="AO322" i="2"/>
  <c r="AU184" i="6" l="1"/>
  <c r="AU183" i="6"/>
  <c r="BA182" i="6"/>
  <c r="BA183" i="6" s="1"/>
  <c r="BA184" i="6" s="1"/>
  <c r="AP185" i="6"/>
  <c r="AK185" i="6"/>
  <c r="AA186" i="6"/>
  <c r="V187" i="6"/>
  <c r="X186" i="6"/>
  <c r="AV186" i="6"/>
  <c r="Y239" i="6"/>
  <c r="Y240" i="6" s="1"/>
  <c r="AD179" i="6"/>
  <c r="AE179" i="6"/>
  <c r="AF178" i="6"/>
  <c r="AG177" i="6"/>
  <c r="AH176" i="6"/>
  <c r="AI175" i="6"/>
  <c r="T324" i="2"/>
  <c r="AO323" i="2"/>
  <c r="U327" i="2"/>
  <c r="V328" i="2"/>
  <c r="W329" i="2"/>
  <c r="B181" i="7" l="1"/>
  <c r="B182" i="7"/>
  <c r="B183" i="7"/>
  <c r="AS185" i="6"/>
  <c r="AW185" i="6" s="1"/>
  <c r="AN186" i="6"/>
  <c r="AO186" i="6"/>
  <c r="AP186" i="6"/>
  <c r="AQ186" i="6"/>
  <c r="Y241" i="6"/>
  <c r="Y242" i="6" s="1"/>
  <c r="X187" i="6"/>
  <c r="X188" i="6" s="1"/>
  <c r="AY187" i="6"/>
  <c r="V188" i="6"/>
  <c r="Z187" i="6"/>
  <c r="AV187" i="6"/>
  <c r="AK186" i="6"/>
  <c r="AA187" i="6"/>
  <c r="AK187" i="6" s="1"/>
  <c r="AD180" i="6"/>
  <c r="AE180" i="6"/>
  <c r="AF179" i="6"/>
  <c r="AG178" i="6"/>
  <c r="AH177" i="6"/>
  <c r="AI176" i="6"/>
  <c r="W330" i="2"/>
  <c r="V329" i="2"/>
  <c r="U328" i="2"/>
  <c r="T325" i="2"/>
  <c r="AO324" i="2"/>
  <c r="AU185" i="6" l="1"/>
  <c r="C183" i="7"/>
  <c r="D183" i="7"/>
  <c r="C182" i="7"/>
  <c r="D182" i="7"/>
  <c r="C181" i="7"/>
  <c r="D181" i="7"/>
  <c r="AQ188" i="6"/>
  <c r="AS186" i="6"/>
  <c r="AW186" i="6" s="1"/>
  <c r="AN187" i="6"/>
  <c r="AN188" i="6" s="1"/>
  <c r="AO187" i="6"/>
  <c r="AO188" i="6" s="1"/>
  <c r="AP187" i="6"/>
  <c r="AS187" i="6" s="1"/>
  <c r="AW187" i="6" s="1"/>
  <c r="AQ187" i="6"/>
  <c r="Z188" i="6"/>
  <c r="Z189" i="6" s="1"/>
  <c r="AY188" i="6"/>
  <c r="V189" i="6"/>
  <c r="AA188" i="6"/>
  <c r="AV188" i="6"/>
  <c r="Y243" i="6"/>
  <c r="Y244" i="6" s="1"/>
  <c r="AD181" i="6"/>
  <c r="AE181" i="6"/>
  <c r="AF180" i="6"/>
  <c r="AG179" i="6"/>
  <c r="AH178" i="6"/>
  <c r="AI177" i="6"/>
  <c r="T326" i="2"/>
  <c r="AO325" i="2"/>
  <c r="U329" i="2"/>
  <c r="V330" i="2"/>
  <c r="W331" i="2"/>
  <c r="AU187" i="6" l="1"/>
  <c r="AU186" i="6"/>
  <c r="BA185" i="6"/>
  <c r="BA186" i="6" s="1"/>
  <c r="BA187" i="6" s="1"/>
  <c r="AP188" i="6"/>
  <c r="Y245" i="6"/>
  <c r="Y246" i="6" s="1"/>
  <c r="AK188" i="6"/>
  <c r="AA189" i="6"/>
  <c r="V190" i="6"/>
  <c r="X189" i="6"/>
  <c r="AV189" i="6"/>
  <c r="AD182" i="6"/>
  <c r="AE182" i="6"/>
  <c r="AF181" i="6"/>
  <c r="AG180" i="6"/>
  <c r="AH179" i="6"/>
  <c r="AI178" i="6"/>
  <c r="W332" i="2"/>
  <c r="V331" i="2"/>
  <c r="U330" i="2"/>
  <c r="T327" i="2"/>
  <c r="AO326" i="2"/>
  <c r="B184" i="7" l="1"/>
  <c r="B185" i="7"/>
  <c r="B186" i="7"/>
  <c r="AS188" i="6"/>
  <c r="AW188" i="6" s="1"/>
  <c r="AN189" i="6"/>
  <c r="AO189" i="6"/>
  <c r="AP189" i="6"/>
  <c r="AQ189" i="6"/>
  <c r="X190" i="6"/>
  <c r="X191" i="6" s="1"/>
  <c r="AY190" i="6"/>
  <c r="V191" i="6"/>
  <c r="Z190" i="6"/>
  <c r="AV190" i="6"/>
  <c r="AK189" i="6"/>
  <c r="AA190" i="6"/>
  <c r="AK190" i="6" s="1"/>
  <c r="Y247" i="6"/>
  <c r="Y248" i="6" s="1"/>
  <c r="AD183" i="6"/>
  <c r="AE183" i="6"/>
  <c r="AF182" i="6"/>
  <c r="AG181" i="6"/>
  <c r="AH180" i="6"/>
  <c r="AI179" i="6"/>
  <c r="T328" i="2"/>
  <c r="AO327" i="2"/>
  <c r="U331" i="2"/>
  <c r="V332" i="2"/>
  <c r="W333" i="2"/>
  <c r="AU188" i="6" l="1"/>
  <c r="C186" i="7"/>
  <c r="D186" i="7"/>
  <c r="C185" i="7"/>
  <c r="D185" i="7"/>
  <c r="C184" i="7"/>
  <c r="D184" i="7"/>
  <c r="AQ191" i="6"/>
  <c r="AS189" i="6"/>
  <c r="AW189" i="6" s="1"/>
  <c r="AN190" i="6"/>
  <c r="AN191" i="6" s="1"/>
  <c r="AO190" i="6"/>
  <c r="AO191" i="6" s="1"/>
  <c r="AP190" i="6"/>
  <c r="AS190" i="6" s="1"/>
  <c r="AW190" i="6" s="1"/>
  <c r="AQ190" i="6"/>
  <c r="Y249" i="6"/>
  <c r="Y250" i="6" s="1"/>
  <c r="Z191" i="6"/>
  <c r="Z192" i="6" s="1"/>
  <c r="AY191" i="6"/>
  <c r="V192" i="6"/>
  <c r="AA191" i="6"/>
  <c r="AV191" i="6"/>
  <c r="AD184" i="6"/>
  <c r="AE184" i="6"/>
  <c r="AF183" i="6"/>
  <c r="AG182" i="6"/>
  <c r="AH181" i="6"/>
  <c r="AI180" i="6"/>
  <c r="W334" i="2"/>
  <c r="V333" i="2"/>
  <c r="U332" i="2"/>
  <c r="T329" i="2"/>
  <c r="AO328" i="2"/>
  <c r="AU190" i="6" l="1"/>
  <c r="AU189" i="6"/>
  <c r="BA188" i="6"/>
  <c r="BA189" i="6" s="1"/>
  <c r="BA190" i="6" s="1"/>
  <c r="AP191" i="6"/>
  <c r="AK191" i="6"/>
  <c r="AA192" i="6"/>
  <c r="V193" i="6"/>
  <c r="X192" i="6"/>
  <c r="AV192" i="6"/>
  <c r="Y251" i="6"/>
  <c r="Y252" i="6" s="1"/>
  <c r="AD185" i="6"/>
  <c r="AE185" i="6"/>
  <c r="AF184" i="6"/>
  <c r="AG183" i="6"/>
  <c r="AH182" i="6"/>
  <c r="AI181" i="6"/>
  <c r="T330" i="2"/>
  <c r="AO329" i="2"/>
  <c r="U333" i="2"/>
  <c r="V334" i="2"/>
  <c r="W335" i="2"/>
  <c r="B187" i="7" l="1"/>
  <c r="B188" i="7"/>
  <c r="B189" i="7"/>
  <c r="AS191" i="6"/>
  <c r="AW191" i="6" s="1"/>
  <c r="AN192" i="6"/>
  <c r="AO192" i="6"/>
  <c r="AP192" i="6"/>
  <c r="AQ192" i="6"/>
  <c r="Y253" i="6"/>
  <c r="Y254" i="6" s="1"/>
  <c r="X193" i="6"/>
  <c r="X194" i="6" s="1"/>
  <c r="X195" i="6" s="1"/>
  <c r="X196" i="6" s="1"/>
  <c r="AY193" i="6"/>
  <c r="V194" i="6"/>
  <c r="Z193" i="6"/>
  <c r="AV193" i="6"/>
  <c r="AK192" i="6"/>
  <c r="AA193" i="6"/>
  <c r="AK193" i="6" s="1"/>
  <c r="AD186" i="6"/>
  <c r="AE186" i="6"/>
  <c r="AF185" i="6"/>
  <c r="AG184" i="6"/>
  <c r="AH183" i="6"/>
  <c r="AI182" i="6"/>
  <c r="W336" i="2"/>
  <c r="V335" i="2"/>
  <c r="U334" i="2"/>
  <c r="T331" i="2"/>
  <c r="AO330" i="2"/>
  <c r="AU191" i="6" l="1"/>
  <c r="C189" i="7"/>
  <c r="D189" i="7"/>
  <c r="C188" i="7"/>
  <c r="D188" i="7"/>
  <c r="C187" i="7"/>
  <c r="D187" i="7"/>
  <c r="AQ194" i="6"/>
  <c r="AS192" i="6"/>
  <c r="AW192" i="6" s="1"/>
  <c r="AN193" i="6"/>
  <c r="AN194" i="6" s="1"/>
  <c r="AO193" i="6"/>
  <c r="AO194" i="6" s="1"/>
  <c r="AP193" i="6"/>
  <c r="AS193" i="6" s="1"/>
  <c r="AW193" i="6" s="1"/>
  <c r="AQ193" i="6"/>
  <c r="Z194" i="6"/>
  <c r="Z195" i="6" s="1"/>
  <c r="Z196" i="6" s="1"/>
  <c r="Z197" i="6" s="1"/>
  <c r="AY194" i="6"/>
  <c r="V195" i="6"/>
  <c r="V196" i="6" s="1"/>
  <c r="AA194" i="6"/>
  <c r="AV194" i="6"/>
  <c r="Y255" i="6"/>
  <c r="Y256" i="6" s="1"/>
  <c r="AD187" i="6"/>
  <c r="AE187" i="6"/>
  <c r="AF186" i="6"/>
  <c r="AG185" i="6"/>
  <c r="AH184" i="6"/>
  <c r="AI183" i="6"/>
  <c r="T332" i="2"/>
  <c r="AO331" i="2"/>
  <c r="U335" i="2"/>
  <c r="V336" i="2"/>
  <c r="W337" i="2"/>
  <c r="AU193" i="6" l="1"/>
  <c r="AU192" i="6"/>
  <c r="BA191" i="6"/>
  <c r="BA192" i="6" s="1"/>
  <c r="BA193" i="6" s="1"/>
  <c r="AP194" i="6"/>
  <c r="Y257" i="6"/>
  <c r="Y258" i="6" s="1"/>
  <c r="AK194" i="6"/>
  <c r="AA195" i="6"/>
  <c r="V197" i="6"/>
  <c r="W196" i="6"/>
  <c r="AV196" i="6"/>
  <c r="AD188" i="6"/>
  <c r="AE188" i="6"/>
  <c r="AF187" i="6"/>
  <c r="AG186" i="6"/>
  <c r="AH185" i="6"/>
  <c r="AI184" i="6"/>
  <c r="V337" i="2"/>
  <c r="U336" i="2"/>
  <c r="T333" i="2"/>
  <c r="AO332" i="2"/>
  <c r="B190" i="7" l="1"/>
  <c r="B191" i="7"/>
  <c r="B192" i="7"/>
  <c r="AS194" i="6"/>
  <c r="AW194" i="6" s="1"/>
  <c r="AN195" i="6"/>
  <c r="AO195" i="6"/>
  <c r="AP195" i="6"/>
  <c r="AQ195" i="6"/>
  <c r="W197" i="6"/>
  <c r="W198" i="6" s="1"/>
  <c r="W199" i="6" s="1"/>
  <c r="W200" i="6" s="1"/>
  <c r="W201" i="6" s="1"/>
  <c r="W202" i="6" s="1"/>
  <c r="W203" i="6" s="1"/>
  <c r="W204" i="6" s="1"/>
  <c r="W205" i="6" s="1"/>
  <c r="W206" i="6" s="1"/>
  <c r="W207" i="6" s="1"/>
  <c r="W208" i="6" s="1"/>
  <c r="W209" i="6" s="1"/>
  <c r="W210" i="6" s="1"/>
  <c r="W211" i="6" s="1"/>
  <c r="W212" i="6" s="1"/>
  <c r="W213" i="6" s="1"/>
  <c r="W214" i="6" s="1"/>
  <c r="W215" i="6" s="1"/>
  <c r="W216" i="6" s="1"/>
  <c r="W217" i="6" s="1"/>
  <c r="W218" i="6" s="1"/>
  <c r="W219" i="6" s="1"/>
  <c r="AY197" i="6"/>
  <c r="V198" i="6"/>
  <c r="X197" i="6"/>
  <c r="AV197" i="6"/>
  <c r="AK195" i="6"/>
  <c r="AA196" i="6"/>
  <c r="Y259" i="6"/>
  <c r="Y260" i="6" s="1"/>
  <c r="Y261" i="6" s="1"/>
  <c r="AD189" i="6"/>
  <c r="AE189" i="6"/>
  <c r="AF188" i="6"/>
  <c r="AG187" i="6"/>
  <c r="AH186" i="6"/>
  <c r="AI185" i="6"/>
  <c r="T334" i="2"/>
  <c r="AO333" i="2"/>
  <c r="U337" i="2"/>
  <c r="V338" i="2"/>
  <c r="AU194" i="6" l="1"/>
  <c r="C192" i="7"/>
  <c r="D192" i="7"/>
  <c r="C191" i="7"/>
  <c r="D191" i="7"/>
  <c r="C190" i="7"/>
  <c r="D190" i="7"/>
  <c r="AS195" i="6"/>
  <c r="AW195" i="6" s="1"/>
  <c r="AN196" i="6"/>
  <c r="AO196" i="6"/>
  <c r="AP196" i="6"/>
  <c r="AQ196" i="6"/>
  <c r="Y262" i="6"/>
  <c r="Y263" i="6" s="1"/>
  <c r="AK196" i="6"/>
  <c r="AA197" i="6"/>
  <c r="X198" i="6"/>
  <c r="X199" i="6" s="1"/>
  <c r="AY198" i="6"/>
  <c r="V199" i="6"/>
  <c r="Z198" i="6"/>
  <c r="AV198" i="6"/>
  <c r="W220" i="6"/>
  <c r="W221" i="6" s="1"/>
  <c r="W222" i="6" s="1"/>
  <c r="W223" i="6" s="1"/>
  <c r="W224" i="6" s="1"/>
  <c r="W225" i="6" s="1"/>
  <c r="W226" i="6" s="1"/>
  <c r="W227" i="6" s="1"/>
  <c r="W228" i="6" s="1"/>
  <c r="W229" i="6" s="1"/>
  <c r="W230" i="6" s="1"/>
  <c r="W231" i="6" s="1"/>
  <c r="W232" i="6" s="1"/>
  <c r="W233" i="6" s="1"/>
  <c r="W234" i="6" s="1"/>
  <c r="W235" i="6" s="1"/>
  <c r="W236" i="6" s="1"/>
  <c r="W237" i="6" s="1"/>
  <c r="W238" i="6" s="1"/>
  <c r="W239" i="6" s="1"/>
  <c r="W240" i="6" s="1"/>
  <c r="W241" i="6" s="1"/>
  <c r="W242" i="6" s="1"/>
  <c r="W243" i="6" s="1"/>
  <c r="W244" i="6" s="1"/>
  <c r="W245" i="6" s="1"/>
  <c r="W246" i="6" s="1"/>
  <c r="W247" i="6" s="1"/>
  <c r="W248" i="6" s="1"/>
  <c r="W249" i="6" s="1"/>
  <c r="W250" i="6" s="1"/>
  <c r="W251" i="6" s="1"/>
  <c r="W252" i="6" s="1"/>
  <c r="W253" i="6" s="1"/>
  <c r="W254" i="6" s="1"/>
  <c r="W255" i="6" s="1"/>
  <c r="W256" i="6" s="1"/>
  <c r="W257" i="6" s="1"/>
  <c r="W258" i="6" s="1"/>
  <c r="W259" i="6" s="1"/>
  <c r="W260" i="6" s="1"/>
  <c r="AY220" i="6"/>
  <c r="AD190" i="6"/>
  <c r="AE190" i="6"/>
  <c r="AF189" i="6"/>
  <c r="AG188" i="6"/>
  <c r="AH187" i="6"/>
  <c r="AI186" i="6"/>
  <c r="V339" i="2"/>
  <c r="U338" i="2"/>
  <c r="T335" i="2"/>
  <c r="AO334" i="2"/>
  <c r="BA194" i="6" l="1"/>
  <c r="BA195" i="6" s="1"/>
  <c r="AS196" i="6"/>
  <c r="AW196" i="6" s="1"/>
  <c r="AN197" i="6"/>
  <c r="AO197" i="6"/>
  <c r="AP197" i="6"/>
  <c r="AQ197" i="6"/>
  <c r="W261" i="6"/>
  <c r="W262" i="6" s="1"/>
  <c r="W263" i="6" s="1"/>
  <c r="W264" i="6" s="1"/>
  <c r="W265" i="6" s="1"/>
  <c r="W266" i="6" s="1"/>
  <c r="W267" i="6" s="1"/>
  <c r="W268" i="6" s="1"/>
  <c r="W269" i="6" s="1"/>
  <c r="W270" i="6" s="1"/>
  <c r="W271" i="6" s="1"/>
  <c r="W272" i="6" s="1"/>
  <c r="W273" i="6" s="1"/>
  <c r="W274" i="6" s="1"/>
  <c r="W275" i="6" s="1"/>
  <c r="W276" i="6" s="1"/>
  <c r="W277" i="6" s="1"/>
  <c r="W278" i="6" s="1"/>
  <c r="W279" i="6" s="1"/>
  <c r="W280" i="6" s="1"/>
  <c r="W281" i="6" s="1"/>
  <c r="W282" i="6" s="1"/>
  <c r="W283" i="6" s="1"/>
  <c r="W284" i="6" s="1"/>
  <c r="W285" i="6" s="1"/>
  <c r="W286" i="6" s="1"/>
  <c r="W287" i="6" s="1"/>
  <c r="W288" i="6" s="1"/>
  <c r="W289" i="6" s="1"/>
  <c r="W290" i="6" s="1"/>
  <c r="W291" i="6" s="1"/>
  <c r="W292" i="6" s="1"/>
  <c r="W293" i="6" s="1"/>
  <c r="W294" i="6" s="1"/>
  <c r="W295" i="6" s="1"/>
  <c r="W296" i="6" s="1"/>
  <c r="W297" i="6" s="1"/>
  <c r="W298" i="6" s="1"/>
  <c r="W299" i="6" s="1"/>
  <c r="W300" i="6" s="1"/>
  <c r="W301" i="6" s="1"/>
  <c r="W302" i="6" s="1"/>
  <c r="W303" i="6" s="1"/>
  <c r="W304" i="6" s="1"/>
  <c r="W305" i="6" s="1"/>
  <c r="W306" i="6" s="1"/>
  <c r="W307" i="6" s="1"/>
  <c r="W308" i="6" s="1"/>
  <c r="W309" i="6" s="1"/>
  <c r="W310" i="6" s="1"/>
  <c r="W311" i="6" s="1"/>
  <c r="W312" i="6" s="1"/>
  <c r="W313" i="6" s="1"/>
  <c r="W314" i="6" s="1"/>
  <c r="W315" i="6" s="1"/>
  <c r="W316" i="6" s="1"/>
  <c r="W317" i="6" s="1"/>
  <c r="W318" i="6" s="1"/>
  <c r="W319" i="6" s="1"/>
  <c r="W320" i="6" s="1"/>
  <c r="W321" i="6" s="1"/>
  <c r="W322" i="6" s="1"/>
  <c r="W323" i="6" s="1"/>
  <c r="W324" i="6" s="1"/>
  <c r="W325" i="6" s="1"/>
  <c r="W326" i="6" s="1"/>
  <c r="W327" i="6" s="1"/>
  <c r="W328" i="6" s="1"/>
  <c r="W329" i="6" s="1"/>
  <c r="W330" i="6" s="1"/>
  <c r="W331" i="6" s="1"/>
  <c r="W332" i="6" s="1"/>
  <c r="W333" i="6" s="1"/>
  <c r="W334" i="6" s="1"/>
  <c r="W335" i="6" s="1"/>
  <c r="W336" i="6" s="1"/>
  <c r="W337" i="6" s="1"/>
  <c r="W338" i="6" s="1"/>
  <c r="W339" i="6" s="1"/>
  <c r="W340" i="6" s="1"/>
  <c r="W341" i="6" s="1"/>
  <c r="W342" i="6" s="1"/>
  <c r="W343" i="6" s="1"/>
  <c r="W344" i="6" s="1"/>
  <c r="W345" i="6" s="1"/>
  <c r="W346" i="6" s="1"/>
  <c r="W347" i="6" s="1"/>
  <c r="W348" i="6" s="1"/>
  <c r="W349" i="6" s="1"/>
  <c r="W350" i="6" s="1"/>
  <c r="W351" i="6" s="1"/>
  <c r="W352" i="6" s="1"/>
  <c r="W353" i="6" s="1"/>
  <c r="W354" i="6" s="1"/>
  <c r="W355" i="6" s="1"/>
  <c r="W356" i="6" s="1"/>
  <c r="W357" i="6" s="1"/>
  <c r="W358" i="6" s="1"/>
  <c r="W359" i="6" s="1"/>
  <c r="AY261" i="6"/>
  <c r="Z199" i="6"/>
  <c r="AY199" i="6"/>
  <c r="V200" i="6"/>
  <c r="AA199" i="6"/>
  <c r="AV199" i="6"/>
  <c r="X200" i="6"/>
  <c r="X201" i="6" s="1"/>
  <c r="AY200" i="6"/>
  <c r="AK197" i="6"/>
  <c r="AA198" i="6"/>
  <c r="AK198" i="6" s="1"/>
  <c r="Y264" i="6"/>
  <c r="Y265" i="6" s="1"/>
  <c r="AD191" i="6"/>
  <c r="AE191" i="6"/>
  <c r="AF190" i="6"/>
  <c r="AG189" i="6"/>
  <c r="AH188" i="6"/>
  <c r="AI187" i="6"/>
  <c r="T336" i="2"/>
  <c r="AO335" i="2"/>
  <c r="U339" i="2"/>
  <c r="V340" i="2"/>
  <c r="AU196" i="6" l="1"/>
  <c r="BA196" i="6"/>
  <c r="B193" i="7"/>
  <c r="AQ199" i="6"/>
  <c r="AS197" i="6"/>
  <c r="AW197" i="6" s="1"/>
  <c r="AN198" i="6"/>
  <c r="AN199" i="6" s="1"/>
  <c r="AO198" i="6"/>
  <c r="AO199" i="6" s="1"/>
  <c r="AP198" i="6"/>
  <c r="AS198" i="6" s="1"/>
  <c r="AW198" i="6" s="1"/>
  <c r="AQ198" i="6"/>
  <c r="Y266" i="6"/>
  <c r="Y267" i="6" s="1"/>
  <c r="X202" i="6"/>
  <c r="X203" i="6" s="1"/>
  <c r="AY202" i="6"/>
  <c r="AK199" i="6"/>
  <c r="AA200" i="6"/>
  <c r="V201" i="6"/>
  <c r="Z200" i="6"/>
  <c r="AV200" i="6"/>
  <c r="AD192" i="6"/>
  <c r="AE192" i="6"/>
  <c r="AF191" i="6"/>
  <c r="AG190" i="6"/>
  <c r="AH189" i="6"/>
  <c r="AI188" i="6"/>
  <c r="V341" i="2"/>
  <c r="U340" i="2"/>
  <c r="T337" i="2"/>
  <c r="AO336" i="2"/>
  <c r="AU198" i="6" l="1"/>
  <c r="AU197" i="6"/>
  <c r="C193" i="7"/>
  <c r="D193" i="7"/>
  <c r="BA197" i="6"/>
  <c r="BA198" i="6" s="1"/>
  <c r="B195" i="7"/>
  <c r="AS199" i="6"/>
  <c r="AW199" i="6" s="1"/>
  <c r="AN200" i="6"/>
  <c r="AO200" i="6"/>
  <c r="AQ200" i="6"/>
  <c r="AP199" i="6"/>
  <c r="AP200" i="6" s="1"/>
  <c r="Z201" i="6"/>
  <c r="AY201" i="6"/>
  <c r="V202" i="6"/>
  <c r="AA201" i="6"/>
  <c r="AV201" i="6"/>
  <c r="AK200" i="6"/>
  <c r="X204" i="6"/>
  <c r="X205" i="6" s="1"/>
  <c r="AY204" i="6"/>
  <c r="Y268" i="6"/>
  <c r="Y269" i="6" s="1"/>
  <c r="AD193" i="6"/>
  <c r="AE193" i="6"/>
  <c r="AF192" i="6"/>
  <c r="AG191" i="6"/>
  <c r="AH190" i="6"/>
  <c r="AI189" i="6"/>
  <c r="T338" i="2"/>
  <c r="AO337" i="2"/>
  <c r="U341" i="2"/>
  <c r="V342" i="2"/>
  <c r="AU199" i="6" l="1"/>
  <c r="C195" i="7"/>
  <c r="D195" i="7"/>
  <c r="BA199" i="6"/>
  <c r="B196" i="7"/>
  <c r="B197" i="7"/>
  <c r="AS200" i="6"/>
  <c r="AW200" i="6" s="1"/>
  <c r="AN201" i="6"/>
  <c r="AO201" i="6"/>
  <c r="AP201" i="6"/>
  <c r="AQ201" i="6"/>
  <c r="Y270" i="6"/>
  <c r="Y271" i="6" s="1"/>
  <c r="X206" i="6"/>
  <c r="X207" i="6" s="1"/>
  <c r="AY206" i="6"/>
  <c r="AK201" i="6"/>
  <c r="AA202" i="6"/>
  <c r="V203" i="6"/>
  <c r="Z202" i="6"/>
  <c r="AV202" i="6"/>
  <c r="AD194" i="6"/>
  <c r="AE194" i="6"/>
  <c r="AF193" i="6"/>
  <c r="AG192" i="6"/>
  <c r="AH191" i="6"/>
  <c r="AI190" i="6"/>
  <c r="V343" i="2"/>
  <c r="U342" i="2"/>
  <c r="T339" i="2"/>
  <c r="AO338" i="2"/>
  <c r="AU200" i="6" l="1"/>
  <c r="C197" i="7"/>
  <c r="D197" i="7"/>
  <c r="C196" i="7"/>
  <c r="D196" i="7"/>
  <c r="BA200" i="6"/>
  <c r="B198" i="7"/>
  <c r="AS201" i="6"/>
  <c r="AW201" i="6" s="1"/>
  <c r="AN202" i="6"/>
  <c r="AO202" i="6"/>
  <c r="AP202" i="6"/>
  <c r="AQ202" i="6"/>
  <c r="Z203" i="6"/>
  <c r="AY203" i="6"/>
  <c r="V204" i="6"/>
  <c r="AA203" i="6"/>
  <c r="AV203" i="6"/>
  <c r="AK202" i="6"/>
  <c r="X208" i="6"/>
  <c r="X209" i="6" s="1"/>
  <c r="AY208" i="6"/>
  <c r="Y272" i="6"/>
  <c r="Y273" i="6" s="1"/>
  <c r="AD195" i="6"/>
  <c r="AE195" i="6"/>
  <c r="AF194" i="6"/>
  <c r="AG193" i="6"/>
  <c r="AH192" i="6"/>
  <c r="AI191" i="6"/>
  <c r="T340" i="2"/>
  <c r="AO339" i="2"/>
  <c r="AU201" i="6" l="1"/>
  <c r="C198" i="7"/>
  <c r="D198" i="7"/>
  <c r="BA201" i="6"/>
  <c r="B199" i="7"/>
  <c r="AS202" i="6"/>
  <c r="AW202" i="6" s="1"/>
  <c r="AN203" i="6"/>
  <c r="AO203" i="6"/>
  <c r="AP203" i="6"/>
  <c r="AQ203" i="6"/>
  <c r="Y274" i="6"/>
  <c r="Y275" i="6" s="1"/>
  <c r="X210" i="6"/>
  <c r="X211" i="6" s="1"/>
  <c r="AY210" i="6"/>
  <c r="AK203" i="6"/>
  <c r="AA204" i="6"/>
  <c r="V205" i="6"/>
  <c r="Z204" i="6"/>
  <c r="AV204" i="6"/>
  <c r="AD196" i="6"/>
  <c r="AE196" i="6"/>
  <c r="AF195" i="6"/>
  <c r="AG194" i="6"/>
  <c r="AH193" i="6"/>
  <c r="AI192" i="6"/>
  <c r="T341" i="2"/>
  <c r="AO340" i="2"/>
  <c r="AU202" i="6" l="1"/>
  <c r="C199" i="7"/>
  <c r="D199" i="7"/>
  <c r="BA202" i="6"/>
  <c r="B200" i="7"/>
  <c r="AS203" i="6"/>
  <c r="AW203" i="6" s="1"/>
  <c r="AN204" i="6"/>
  <c r="AO204" i="6"/>
  <c r="AP204" i="6"/>
  <c r="AQ204" i="6"/>
  <c r="Z205" i="6"/>
  <c r="AY205" i="6"/>
  <c r="V206" i="6"/>
  <c r="AA205" i="6"/>
  <c r="AV205" i="6"/>
  <c r="AK204" i="6"/>
  <c r="X212" i="6"/>
  <c r="X213" i="6" s="1"/>
  <c r="AY212" i="6"/>
  <c r="Y276" i="6"/>
  <c r="Y277" i="6" s="1"/>
  <c r="AD197" i="6"/>
  <c r="AE197" i="6"/>
  <c r="AF196" i="6"/>
  <c r="AG195" i="6"/>
  <c r="AH194" i="6"/>
  <c r="AI193" i="6"/>
  <c r="T342" i="2"/>
  <c r="AO341" i="2"/>
  <c r="AU203" i="6" l="1"/>
  <c r="C200" i="7"/>
  <c r="D200" i="7"/>
  <c r="BA203" i="6"/>
  <c r="B201" i="7"/>
  <c r="AS204" i="6"/>
  <c r="AW204" i="6" s="1"/>
  <c r="AN205" i="6"/>
  <c r="AO205" i="6"/>
  <c r="AP205" i="6"/>
  <c r="AQ205" i="6"/>
  <c r="Y278" i="6"/>
  <c r="Y279" i="6" s="1"/>
  <c r="X214" i="6"/>
  <c r="X215" i="6" s="1"/>
  <c r="AY214" i="6"/>
  <c r="AK205" i="6"/>
  <c r="AA206" i="6"/>
  <c r="V207" i="6"/>
  <c r="Z206" i="6"/>
  <c r="AV206" i="6"/>
  <c r="AD198" i="6"/>
  <c r="AE198" i="6"/>
  <c r="AF197" i="6"/>
  <c r="AG196" i="6"/>
  <c r="AH195" i="6"/>
  <c r="AI194" i="6"/>
  <c r="T343" i="2"/>
  <c r="AO342" i="2"/>
  <c r="AU204" i="6" l="1"/>
  <c r="C201" i="7"/>
  <c r="D201" i="7"/>
  <c r="BA204" i="6"/>
  <c r="B202" i="7"/>
  <c r="AS205" i="6"/>
  <c r="AW205" i="6" s="1"/>
  <c r="AN206" i="6"/>
  <c r="AO206" i="6"/>
  <c r="AP206" i="6"/>
  <c r="AQ206" i="6"/>
  <c r="Z207" i="6"/>
  <c r="AY207" i="6"/>
  <c r="V208" i="6"/>
  <c r="AA207" i="6"/>
  <c r="AV207" i="6"/>
  <c r="AK206" i="6"/>
  <c r="X216" i="6"/>
  <c r="X217" i="6" s="1"/>
  <c r="AY216" i="6"/>
  <c r="Y280" i="6"/>
  <c r="Y281" i="6" s="1"/>
  <c r="AD199" i="6"/>
  <c r="AE199" i="6"/>
  <c r="AF198" i="6"/>
  <c r="AG197" i="6"/>
  <c r="AH196" i="6"/>
  <c r="AI195" i="6"/>
  <c r="AO343" i="2"/>
  <c r="AU205" i="6" l="1"/>
  <c r="C202" i="7"/>
  <c r="D202" i="7"/>
  <c r="BA205" i="6"/>
  <c r="B203" i="7"/>
  <c r="AS206" i="6"/>
  <c r="AW206" i="6" s="1"/>
  <c r="AN207" i="6"/>
  <c r="AO207" i="6"/>
  <c r="AP207" i="6"/>
  <c r="AQ207" i="6"/>
  <c r="Y282" i="6"/>
  <c r="Y283" i="6" s="1"/>
  <c r="X218" i="6"/>
  <c r="X219" i="6" s="1"/>
  <c r="AY218" i="6"/>
  <c r="AK207" i="6"/>
  <c r="AA208" i="6"/>
  <c r="V209" i="6"/>
  <c r="Z208" i="6"/>
  <c r="AV208" i="6"/>
  <c r="AD200" i="6"/>
  <c r="AE200" i="6"/>
  <c r="AF199" i="6"/>
  <c r="AG198" i="6"/>
  <c r="AH197" i="6"/>
  <c r="AI196" i="6"/>
  <c r="AU206" i="6" l="1"/>
  <c r="C203" i="7"/>
  <c r="D203" i="7"/>
  <c r="BA206" i="6"/>
  <c r="B204" i="7"/>
  <c r="AS207" i="6"/>
  <c r="AW207" i="6" s="1"/>
  <c r="AN208" i="6"/>
  <c r="AO208" i="6"/>
  <c r="AP208" i="6"/>
  <c r="AQ208" i="6"/>
  <c r="Z209" i="6"/>
  <c r="AY209" i="6"/>
  <c r="V210" i="6"/>
  <c r="AA209" i="6"/>
  <c r="AV209" i="6"/>
  <c r="AK208" i="6"/>
  <c r="Y284" i="6"/>
  <c r="Y285" i="6" s="1"/>
  <c r="AD201" i="6"/>
  <c r="AE201" i="6"/>
  <c r="AF200" i="6"/>
  <c r="AG199" i="6"/>
  <c r="AH198" i="6"/>
  <c r="AI197" i="6"/>
  <c r="AU207" i="6" l="1"/>
  <c r="C204" i="7"/>
  <c r="D204" i="7"/>
  <c r="BA207" i="6"/>
  <c r="B205" i="7"/>
  <c r="AS208" i="6"/>
  <c r="AW208" i="6" s="1"/>
  <c r="AN209" i="6"/>
  <c r="AO209" i="6"/>
  <c r="AP209" i="6"/>
  <c r="AQ209" i="6"/>
  <c r="Y286" i="6"/>
  <c r="Y287" i="6" s="1"/>
  <c r="AK209" i="6"/>
  <c r="AA210" i="6"/>
  <c r="V211" i="6"/>
  <c r="Z210" i="6"/>
  <c r="AV210" i="6"/>
  <c r="AD202" i="6"/>
  <c r="AE202" i="6"/>
  <c r="AF201" i="6"/>
  <c r="AG200" i="6"/>
  <c r="AH199" i="6"/>
  <c r="AI198" i="6"/>
  <c r="AU208" i="6" l="1"/>
  <c r="C205" i="7"/>
  <c r="D205" i="7"/>
  <c r="BA208" i="6"/>
  <c r="B206" i="7"/>
  <c r="AS209" i="6"/>
  <c r="AW209" i="6" s="1"/>
  <c r="AN210" i="6"/>
  <c r="AO210" i="6"/>
  <c r="AP210" i="6"/>
  <c r="AQ210" i="6"/>
  <c r="Z211" i="6"/>
  <c r="AY211" i="6"/>
  <c r="V212" i="6"/>
  <c r="AA211" i="6"/>
  <c r="AV211" i="6"/>
  <c r="AK210" i="6"/>
  <c r="Y288" i="6"/>
  <c r="Y289" i="6" s="1"/>
  <c r="AD203" i="6"/>
  <c r="AE203" i="6"/>
  <c r="AF202" i="6"/>
  <c r="AG201" i="6"/>
  <c r="AH200" i="6"/>
  <c r="AI199" i="6"/>
  <c r="AU209" i="6" l="1"/>
  <c r="C206" i="7"/>
  <c r="D206" i="7"/>
  <c r="BA209" i="6"/>
  <c r="B207" i="7"/>
  <c r="AS210" i="6"/>
  <c r="AW210" i="6" s="1"/>
  <c r="AN211" i="6"/>
  <c r="AO211" i="6"/>
  <c r="AP211" i="6"/>
  <c r="AQ211" i="6"/>
  <c r="Y290" i="6"/>
  <c r="Y291" i="6" s="1"/>
  <c r="AK211" i="6"/>
  <c r="AA212" i="6"/>
  <c r="V213" i="6"/>
  <c r="Z212" i="6"/>
  <c r="AV212" i="6"/>
  <c r="AD204" i="6"/>
  <c r="AE204" i="6"/>
  <c r="AF203" i="6"/>
  <c r="AG202" i="6"/>
  <c r="AH201" i="6"/>
  <c r="AI200" i="6"/>
  <c r="AU210" i="6" l="1"/>
  <c r="C207" i="7"/>
  <c r="D207" i="7"/>
  <c r="BA210" i="6"/>
  <c r="B208" i="7"/>
  <c r="AS211" i="6"/>
  <c r="AW211" i="6" s="1"/>
  <c r="AN212" i="6"/>
  <c r="AO212" i="6"/>
  <c r="AP212" i="6"/>
  <c r="AQ212" i="6"/>
  <c r="Z213" i="6"/>
  <c r="AY213" i="6"/>
  <c r="V214" i="6"/>
  <c r="AA213" i="6"/>
  <c r="AV213" i="6"/>
  <c r="AK212" i="6"/>
  <c r="Y292" i="6"/>
  <c r="Y293" i="6" s="1"/>
  <c r="AD205" i="6"/>
  <c r="AE205" i="6"/>
  <c r="AF204" i="6"/>
  <c r="AG203" i="6"/>
  <c r="AH202" i="6"/>
  <c r="AI201" i="6"/>
  <c r="AU211" i="6" l="1"/>
  <c r="C208" i="7"/>
  <c r="D208" i="7"/>
  <c r="BA211" i="6"/>
  <c r="B209" i="7"/>
  <c r="AS212" i="6"/>
  <c r="AW212" i="6" s="1"/>
  <c r="AN213" i="6"/>
  <c r="AO213" i="6"/>
  <c r="AP213" i="6"/>
  <c r="AQ213" i="6"/>
  <c r="Y294" i="6"/>
  <c r="Y295" i="6" s="1"/>
  <c r="AK213" i="6"/>
  <c r="AA214" i="6"/>
  <c r="V215" i="6"/>
  <c r="Z214" i="6"/>
  <c r="AV214" i="6"/>
  <c r="AD206" i="6"/>
  <c r="AE206" i="6"/>
  <c r="AF205" i="6"/>
  <c r="AG204" i="6"/>
  <c r="AH203" i="6"/>
  <c r="AI202" i="6"/>
  <c r="AU212" i="6" l="1"/>
  <c r="C209" i="7"/>
  <c r="D209" i="7"/>
  <c r="BA212" i="6"/>
  <c r="B210" i="7"/>
  <c r="AS213" i="6"/>
  <c r="AW213" i="6" s="1"/>
  <c r="AN214" i="6"/>
  <c r="AO214" i="6"/>
  <c r="AP214" i="6"/>
  <c r="AQ214" i="6"/>
  <c r="Z215" i="6"/>
  <c r="AY215" i="6"/>
  <c r="V216" i="6"/>
  <c r="AA215" i="6"/>
  <c r="AV215" i="6"/>
  <c r="AK214" i="6"/>
  <c r="Y296" i="6"/>
  <c r="Y297" i="6" s="1"/>
  <c r="AD207" i="6"/>
  <c r="AE207" i="6"/>
  <c r="AF206" i="6"/>
  <c r="AG205" i="6"/>
  <c r="AH204" i="6"/>
  <c r="AI203" i="6"/>
  <c r="AU213" i="6" l="1"/>
  <c r="C210" i="7"/>
  <c r="D210" i="7"/>
  <c r="BA213" i="6"/>
  <c r="B211" i="7"/>
  <c r="AS214" i="6"/>
  <c r="AW214" i="6" s="1"/>
  <c r="AN215" i="6"/>
  <c r="AO215" i="6"/>
  <c r="AP215" i="6"/>
  <c r="AQ215" i="6"/>
  <c r="Y298" i="6"/>
  <c r="Y299" i="6" s="1"/>
  <c r="AK215" i="6"/>
  <c r="AA216" i="6"/>
  <c r="V217" i="6"/>
  <c r="Z216" i="6"/>
  <c r="AV216" i="6"/>
  <c r="AD208" i="6"/>
  <c r="AE208" i="6"/>
  <c r="AF207" i="6"/>
  <c r="AG206" i="6"/>
  <c r="AH205" i="6"/>
  <c r="AI204" i="6"/>
  <c r="AU214" i="6" l="1"/>
  <c r="C211" i="7"/>
  <c r="D211" i="7"/>
  <c r="BA214" i="6"/>
  <c r="B212" i="7"/>
  <c r="AS215" i="6"/>
  <c r="AW215" i="6" s="1"/>
  <c r="AN216" i="6"/>
  <c r="AO216" i="6"/>
  <c r="AP216" i="6"/>
  <c r="AQ216" i="6"/>
  <c r="Z217" i="6"/>
  <c r="AY217" i="6"/>
  <c r="V218" i="6"/>
  <c r="AA217" i="6"/>
  <c r="AV217" i="6"/>
  <c r="AK216" i="6"/>
  <c r="Y300" i="6"/>
  <c r="Y301" i="6" s="1"/>
  <c r="AD209" i="6"/>
  <c r="AE209" i="6"/>
  <c r="AF208" i="6"/>
  <c r="AG207" i="6"/>
  <c r="AH206" i="6"/>
  <c r="AI205" i="6"/>
  <c r="AU215" i="6" l="1"/>
  <c r="C212" i="7"/>
  <c r="D212" i="7"/>
  <c r="BA215" i="6"/>
  <c r="B213" i="7"/>
  <c r="AS216" i="6"/>
  <c r="AW216" i="6" s="1"/>
  <c r="AN217" i="6"/>
  <c r="AO217" i="6"/>
  <c r="AP217" i="6"/>
  <c r="AQ217" i="6"/>
  <c r="Y302" i="6"/>
  <c r="Y303" i="6" s="1"/>
  <c r="AK217" i="6"/>
  <c r="AA218" i="6"/>
  <c r="V219" i="6"/>
  <c r="Z218" i="6"/>
  <c r="AV218" i="6"/>
  <c r="AD210" i="6"/>
  <c r="AE210" i="6"/>
  <c r="AF209" i="6"/>
  <c r="AG208" i="6"/>
  <c r="AH207" i="6"/>
  <c r="AI206" i="6"/>
  <c r="AU216" i="6" l="1"/>
  <c r="C213" i="7"/>
  <c r="D213" i="7"/>
  <c r="BA216" i="6"/>
  <c r="B214" i="7"/>
  <c r="AS217" i="6"/>
  <c r="AW217" i="6" s="1"/>
  <c r="AN218" i="6"/>
  <c r="AO218" i="6"/>
  <c r="AP218" i="6"/>
  <c r="AQ218" i="6"/>
  <c r="Z219" i="6"/>
  <c r="Z220" i="6" s="1"/>
  <c r="AY219" i="6"/>
  <c r="V220" i="6"/>
  <c r="AA219" i="6"/>
  <c r="AV219" i="6"/>
  <c r="AK218" i="6"/>
  <c r="Y304" i="6"/>
  <c r="Y305" i="6" s="1"/>
  <c r="AD211" i="6"/>
  <c r="AE211" i="6"/>
  <c r="AF210" i="6"/>
  <c r="AG209" i="6"/>
  <c r="AH208" i="6"/>
  <c r="AI207" i="6"/>
  <c r="AU217" i="6" l="1"/>
  <c r="C214" i="7"/>
  <c r="D214" i="7"/>
  <c r="BA217" i="6"/>
  <c r="B215" i="7"/>
  <c r="AS218" i="6"/>
  <c r="AW218" i="6" s="1"/>
  <c r="AN219" i="6"/>
  <c r="AO219" i="6"/>
  <c r="AP219" i="6"/>
  <c r="AQ219" i="6"/>
  <c r="Y306" i="6"/>
  <c r="Y307" i="6" s="1"/>
  <c r="AK219" i="6"/>
  <c r="AA220" i="6"/>
  <c r="V221" i="6"/>
  <c r="X220" i="6"/>
  <c r="AV220" i="6"/>
  <c r="AD212" i="6"/>
  <c r="AE212" i="6"/>
  <c r="AF211" i="6"/>
  <c r="AG210" i="6"/>
  <c r="AH209" i="6"/>
  <c r="AI208" i="6"/>
  <c r="AU218" i="6" l="1"/>
  <c r="C215" i="7"/>
  <c r="D215" i="7"/>
  <c r="BA218" i="6"/>
  <c r="B216" i="7"/>
  <c r="AS219" i="6"/>
  <c r="AW219" i="6" s="1"/>
  <c r="AN220" i="6"/>
  <c r="AO220" i="6"/>
  <c r="AP220" i="6"/>
  <c r="AQ220" i="6"/>
  <c r="X221" i="6"/>
  <c r="X222" i="6" s="1"/>
  <c r="AY221" i="6"/>
  <c r="V222" i="6"/>
  <c r="Z221" i="6"/>
  <c r="AV221" i="6"/>
  <c r="AK220" i="6"/>
  <c r="AA221" i="6"/>
  <c r="AK221" i="6" s="1"/>
  <c r="Y308" i="6"/>
  <c r="Y309" i="6" s="1"/>
  <c r="AD213" i="6"/>
  <c r="AE213" i="6"/>
  <c r="AF212" i="6"/>
  <c r="AG211" i="6"/>
  <c r="AH210" i="6"/>
  <c r="AI209" i="6"/>
  <c r="AU219" i="6" l="1"/>
  <c r="C216" i="7"/>
  <c r="D216" i="7"/>
  <c r="BA219" i="6"/>
  <c r="B217" i="7"/>
  <c r="AQ222" i="6"/>
  <c r="AS220" i="6"/>
  <c r="AW220" i="6" s="1"/>
  <c r="AN221" i="6"/>
  <c r="AN222" i="6" s="1"/>
  <c r="AO221" i="6"/>
  <c r="AO222" i="6" s="1"/>
  <c r="AP221" i="6"/>
  <c r="AS221" i="6" s="1"/>
  <c r="AW221" i="6" s="1"/>
  <c r="AQ221" i="6"/>
  <c r="Y310" i="6"/>
  <c r="Y311" i="6" s="1"/>
  <c r="Z222" i="6"/>
  <c r="AY222" i="6"/>
  <c r="V223" i="6"/>
  <c r="AA222" i="6"/>
  <c r="AV222" i="6"/>
  <c r="X223" i="6"/>
  <c r="X224" i="6" s="1"/>
  <c r="AY223" i="6"/>
  <c r="AD214" i="6"/>
  <c r="AE214" i="6"/>
  <c r="AF213" i="6"/>
  <c r="AG212" i="6"/>
  <c r="AH211" i="6"/>
  <c r="AI210" i="6"/>
  <c r="AU221" i="6" l="1"/>
  <c r="AU220" i="6"/>
  <c r="C217" i="7"/>
  <c r="D217" i="7"/>
  <c r="BA220" i="6"/>
  <c r="BA221" i="6" s="1"/>
  <c r="B218" i="7"/>
  <c r="AP222" i="6"/>
  <c r="X225" i="6"/>
  <c r="X226" i="6" s="1"/>
  <c r="AY225" i="6"/>
  <c r="AK222" i="6"/>
  <c r="AA223" i="6"/>
  <c r="V224" i="6"/>
  <c r="Z223" i="6"/>
  <c r="AV223" i="6"/>
  <c r="Y312" i="6"/>
  <c r="Y313" i="6" s="1"/>
  <c r="AD215" i="6"/>
  <c r="AE215" i="6"/>
  <c r="AF214" i="6"/>
  <c r="AG213" i="6"/>
  <c r="AH212" i="6"/>
  <c r="AI211" i="6"/>
  <c r="C218" i="7" l="1"/>
  <c r="D218" i="7"/>
  <c r="B219" i="7"/>
  <c r="B220" i="7"/>
  <c r="AS222" i="6"/>
  <c r="AW222" i="6" s="1"/>
  <c r="AN223" i="6"/>
  <c r="AO223" i="6"/>
  <c r="AP223" i="6"/>
  <c r="AQ223" i="6"/>
  <c r="Y314" i="6"/>
  <c r="Y315" i="6" s="1"/>
  <c r="Z224" i="6"/>
  <c r="AY224" i="6"/>
  <c r="V225" i="6"/>
  <c r="AA224" i="6"/>
  <c r="AV224" i="6"/>
  <c r="AK223" i="6"/>
  <c r="X227" i="6"/>
  <c r="X228" i="6" s="1"/>
  <c r="AY227" i="6"/>
  <c r="AD216" i="6"/>
  <c r="AE216" i="6"/>
  <c r="AF215" i="6"/>
  <c r="AG214" i="6"/>
  <c r="AH213" i="6"/>
  <c r="AI212" i="6"/>
  <c r="AU222" i="6" l="1"/>
  <c r="C220" i="7"/>
  <c r="D220" i="7"/>
  <c r="C219" i="7"/>
  <c r="D219" i="7"/>
  <c r="AS223" i="6"/>
  <c r="AW223" i="6" s="1"/>
  <c r="AN224" i="6"/>
  <c r="AO224" i="6"/>
  <c r="AP224" i="6"/>
  <c r="AQ224" i="6"/>
  <c r="X229" i="6"/>
  <c r="X230" i="6" s="1"/>
  <c r="AY229" i="6"/>
  <c r="AK224" i="6"/>
  <c r="AA225" i="6"/>
  <c r="V226" i="6"/>
  <c r="Z225" i="6"/>
  <c r="AV225" i="6"/>
  <c r="Y316" i="6"/>
  <c r="Y317" i="6" s="1"/>
  <c r="AD217" i="6"/>
  <c r="AE217" i="6"/>
  <c r="AF216" i="6"/>
  <c r="AG215" i="6"/>
  <c r="AH214" i="6"/>
  <c r="AI213" i="6"/>
  <c r="AU223" i="6" l="1"/>
  <c r="BA222" i="6"/>
  <c r="BA223" i="6" s="1"/>
  <c r="AS224" i="6"/>
  <c r="AW224" i="6" s="1"/>
  <c r="AN225" i="6"/>
  <c r="AO225" i="6"/>
  <c r="AP225" i="6"/>
  <c r="AQ225" i="6"/>
  <c r="Y318" i="6"/>
  <c r="Y319" i="6" s="1"/>
  <c r="Z226" i="6"/>
  <c r="AY226" i="6"/>
  <c r="V227" i="6"/>
  <c r="AA226" i="6"/>
  <c r="AV226" i="6"/>
  <c r="AK225" i="6"/>
  <c r="X231" i="6"/>
  <c r="X232" i="6" s="1"/>
  <c r="AY231" i="6"/>
  <c r="AD218" i="6"/>
  <c r="AE218" i="6"/>
  <c r="AF217" i="6"/>
  <c r="AG216" i="6"/>
  <c r="AH215" i="6"/>
  <c r="AI214" i="6"/>
  <c r="AU224" i="6" l="1"/>
  <c r="BA224" i="6"/>
  <c r="B221" i="7"/>
  <c r="B222" i="7"/>
  <c r="AS225" i="6"/>
  <c r="AW225" i="6" s="1"/>
  <c r="AN226" i="6"/>
  <c r="AO226" i="6"/>
  <c r="AP226" i="6"/>
  <c r="AQ226" i="6"/>
  <c r="X233" i="6"/>
  <c r="X234" i="6" s="1"/>
  <c r="AY233" i="6"/>
  <c r="AK226" i="6"/>
  <c r="AA227" i="6"/>
  <c r="V228" i="6"/>
  <c r="Z227" i="6"/>
  <c r="AV227" i="6"/>
  <c r="Y320" i="6"/>
  <c r="Y321" i="6" s="1"/>
  <c r="AD219" i="6"/>
  <c r="AE219" i="6"/>
  <c r="AF218" i="6"/>
  <c r="AG217" i="6"/>
  <c r="AH216" i="6"/>
  <c r="AI215" i="6"/>
  <c r="AU225" i="6" l="1"/>
  <c r="C222" i="7"/>
  <c r="D222" i="7"/>
  <c r="C221" i="7"/>
  <c r="D221" i="7"/>
  <c r="BA225" i="6"/>
  <c r="B223" i="7"/>
  <c r="AS226" i="6"/>
  <c r="AW226" i="6" s="1"/>
  <c r="AN227" i="6"/>
  <c r="AO227" i="6"/>
  <c r="AP227" i="6"/>
  <c r="AQ227" i="6"/>
  <c r="Y322" i="6"/>
  <c r="Y323" i="6" s="1"/>
  <c r="Z228" i="6"/>
  <c r="AY228" i="6"/>
  <c r="V229" i="6"/>
  <c r="AA228" i="6"/>
  <c r="AV228" i="6"/>
  <c r="AK227" i="6"/>
  <c r="X235" i="6"/>
  <c r="X236" i="6" s="1"/>
  <c r="AY235" i="6"/>
  <c r="AD220" i="6"/>
  <c r="AE220" i="6"/>
  <c r="AF219" i="6"/>
  <c r="AG218" i="6"/>
  <c r="AH217" i="6"/>
  <c r="AI216" i="6"/>
  <c r="AU226" i="6" l="1"/>
  <c r="C223" i="7"/>
  <c r="D223" i="7"/>
  <c r="BA226" i="6"/>
  <c r="B224" i="7"/>
  <c r="AS227" i="6"/>
  <c r="AW227" i="6" s="1"/>
  <c r="AN228" i="6"/>
  <c r="AO228" i="6"/>
  <c r="AP228" i="6"/>
  <c r="AQ228" i="6"/>
  <c r="X237" i="6"/>
  <c r="X238" i="6" s="1"/>
  <c r="AY237" i="6"/>
  <c r="AK228" i="6"/>
  <c r="AA229" i="6"/>
  <c r="V230" i="6"/>
  <c r="Z229" i="6"/>
  <c r="AV229" i="6"/>
  <c r="Y324" i="6"/>
  <c r="Y325" i="6" s="1"/>
  <c r="AD221" i="6"/>
  <c r="AE221" i="6"/>
  <c r="AF220" i="6"/>
  <c r="AG219" i="6"/>
  <c r="AH218" i="6"/>
  <c r="AI217" i="6"/>
  <c r="AU227" i="6" l="1"/>
  <c r="C224" i="7"/>
  <c r="D224" i="7"/>
  <c r="BA227" i="6"/>
  <c r="B225" i="7"/>
  <c r="AS228" i="6"/>
  <c r="AW228" i="6" s="1"/>
  <c r="AN229" i="6"/>
  <c r="AO229" i="6"/>
  <c r="AP229" i="6"/>
  <c r="AQ229" i="6"/>
  <c r="Y326" i="6"/>
  <c r="Y327" i="6" s="1"/>
  <c r="Z230" i="6"/>
  <c r="AY230" i="6"/>
  <c r="V231" i="6"/>
  <c r="AA230" i="6"/>
  <c r="AV230" i="6"/>
  <c r="AK229" i="6"/>
  <c r="X239" i="6"/>
  <c r="X240" i="6" s="1"/>
  <c r="AY239" i="6"/>
  <c r="AD222" i="6"/>
  <c r="AE222" i="6"/>
  <c r="AF221" i="6"/>
  <c r="AG220" i="6"/>
  <c r="AH219" i="6"/>
  <c r="AI218" i="6"/>
  <c r="AU228" i="6" l="1"/>
  <c r="C225" i="7"/>
  <c r="D225" i="7"/>
  <c r="BA228" i="6"/>
  <c r="B226" i="7"/>
  <c r="AS229" i="6"/>
  <c r="AW229" i="6" s="1"/>
  <c r="AN230" i="6"/>
  <c r="AO230" i="6"/>
  <c r="AP230" i="6"/>
  <c r="AQ230" i="6"/>
  <c r="X241" i="6"/>
  <c r="X242" i="6" s="1"/>
  <c r="AY241" i="6"/>
  <c r="AK230" i="6"/>
  <c r="AA231" i="6"/>
  <c r="V232" i="6"/>
  <c r="Z231" i="6"/>
  <c r="AV231" i="6"/>
  <c r="Y328" i="6"/>
  <c r="Y329" i="6" s="1"/>
  <c r="AD223" i="6"/>
  <c r="AE223" i="6"/>
  <c r="AF222" i="6"/>
  <c r="AG221" i="6"/>
  <c r="AH220" i="6"/>
  <c r="AI219" i="6"/>
  <c r="AU229" i="6" l="1"/>
  <c r="C226" i="7"/>
  <c r="D226" i="7"/>
  <c r="BA229" i="6"/>
  <c r="B227" i="7"/>
  <c r="AS230" i="6"/>
  <c r="AW230" i="6" s="1"/>
  <c r="AN231" i="6"/>
  <c r="AO231" i="6"/>
  <c r="AP231" i="6"/>
  <c r="AQ231" i="6"/>
  <c r="Y330" i="6"/>
  <c r="Y331" i="6" s="1"/>
  <c r="Z232" i="6"/>
  <c r="AY232" i="6"/>
  <c r="V233" i="6"/>
  <c r="AA232" i="6"/>
  <c r="AV232" i="6"/>
  <c r="AK231" i="6"/>
  <c r="X243" i="6"/>
  <c r="X244" i="6" s="1"/>
  <c r="AY243" i="6"/>
  <c r="AD224" i="6"/>
  <c r="AE224" i="6"/>
  <c r="AF223" i="6"/>
  <c r="AG222" i="6"/>
  <c r="AH221" i="6"/>
  <c r="AI220" i="6"/>
  <c r="AU230" i="6" l="1"/>
  <c r="C227" i="7"/>
  <c r="D227" i="7"/>
  <c r="BA230" i="6"/>
  <c r="B228" i="7"/>
  <c r="AS231" i="6"/>
  <c r="AW231" i="6" s="1"/>
  <c r="AN232" i="6"/>
  <c r="AO232" i="6"/>
  <c r="AP232" i="6"/>
  <c r="AQ232" i="6"/>
  <c r="X245" i="6"/>
  <c r="X246" i="6" s="1"/>
  <c r="AY245" i="6"/>
  <c r="AK232" i="6"/>
  <c r="AA233" i="6"/>
  <c r="V234" i="6"/>
  <c r="Z233" i="6"/>
  <c r="AV233" i="6"/>
  <c r="Y332" i="6"/>
  <c r="Y333" i="6" s="1"/>
  <c r="AD225" i="6"/>
  <c r="AE225" i="6"/>
  <c r="AF224" i="6"/>
  <c r="AG223" i="6"/>
  <c r="AH222" i="6"/>
  <c r="AI221" i="6"/>
  <c r="AU231" i="6" l="1"/>
  <c r="C228" i="7"/>
  <c r="D228" i="7"/>
  <c r="BA231" i="6"/>
  <c r="B229" i="7"/>
  <c r="AS232" i="6"/>
  <c r="AW232" i="6" s="1"/>
  <c r="AN233" i="6"/>
  <c r="AO233" i="6"/>
  <c r="AP233" i="6"/>
  <c r="AQ233" i="6"/>
  <c r="Y334" i="6"/>
  <c r="Y335" i="6" s="1"/>
  <c r="Z234" i="6"/>
  <c r="AY234" i="6"/>
  <c r="V235" i="6"/>
  <c r="AA234" i="6"/>
  <c r="AV234" i="6"/>
  <c r="AK233" i="6"/>
  <c r="X247" i="6"/>
  <c r="X248" i="6" s="1"/>
  <c r="AY247" i="6"/>
  <c r="AD226" i="6"/>
  <c r="AE226" i="6"/>
  <c r="AF225" i="6"/>
  <c r="AG224" i="6"/>
  <c r="AH223" i="6"/>
  <c r="AI222" i="6"/>
  <c r="AU232" i="6" l="1"/>
  <c r="C229" i="7"/>
  <c r="D229" i="7"/>
  <c r="BA232" i="6"/>
  <c r="B230" i="7"/>
  <c r="AS233" i="6"/>
  <c r="AW233" i="6" s="1"/>
  <c r="AN234" i="6"/>
  <c r="AO234" i="6"/>
  <c r="AP234" i="6"/>
  <c r="AQ234" i="6"/>
  <c r="X249" i="6"/>
  <c r="X250" i="6" s="1"/>
  <c r="AY249" i="6"/>
  <c r="AK234" i="6"/>
  <c r="AA235" i="6"/>
  <c r="V236" i="6"/>
  <c r="Z235" i="6"/>
  <c r="AV235" i="6"/>
  <c r="Y336" i="6"/>
  <c r="Y337" i="6" s="1"/>
  <c r="AD227" i="6"/>
  <c r="AE227" i="6"/>
  <c r="AF226" i="6"/>
  <c r="AG225" i="6"/>
  <c r="AH224" i="6"/>
  <c r="AI223" i="6"/>
  <c r="AU233" i="6" l="1"/>
  <c r="C230" i="7"/>
  <c r="D230" i="7"/>
  <c r="BA233" i="6"/>
  <c r="B231" i="7"/>
  <c r="AS234" i="6"/>
  <c r="AW234" i="6" s="1"/>
  <c r="AN235" i="6"/>
  <c r="AO235" i="6"/>
  <c r="AP235" i="6"/>
  <c r="AQ235" i="6"/>
  <c r="Y338" i="6"/>
  <c r="Y339" i="6" s="1"/>
  <c r="Z236" i="6"/>
  <c r="AY236" i="6"/>
  <c r="V237" i="6"/>
  <c r="AA236" i="6"/>
  <c r="AV236" i="6"/>
  <c r="AK235" i="6"/>
  <c r="X251" i="6"/>
  <c r="X252" i="6" s="1"/>
  <c r="AY251" i="6"/>
  <c r="AD228" i="6"/>
  <c r="AE228" i="6"/>
  <c r="AF227" i="6"/>
  <c r="AG226" i="6"/>
  <c r="AH225" i="6"/>
  <c r="AI224" i="6"/>
  <c r="AU234" i="6" l="1"/>
  <c r="C231" i="7"/>
  <c r="D231" i="7"/>
  <c r="BA234" i="6"/>
  <c r="B232" i="7"/>
  <c r="AS235" i="6"/>
  <c r="AW235" i="6" s="1"/>
  <c r="AN236" i="6"/>
  <c r="AO236" i="6"/>
  <c r="AP236" i="6"/>
  <c r="AQ236" i="6"/>
  <c r="X253" i="6"/>
  <c r="X254" i="6" s="1"/>
  <c r="AY253" i="6"/>
  <c r="AK236" i="6"/>
  <c r="AA237" i="6"/>
  <c r="V238" i="6"/>
  <c r="Z237" i="6"/>
  <c r="AV237" i="6"/>
  <c r="Y340" i="6"/>
  <c r="Y341" i="6" s="1"/>
  <c r="AD229" i="6"/>
  <c r="AE229" i="6"/>
  <c r="AF228" i="6"/>
  <c r="AG227" i="6"/>
  <c r="AH226" i="6"/>
  <c r="AI225" i="6"/>
  <c r="AU235" i="6" l="1"/>
  <c r="C232" i="7"/>
  <c r="D232" i="7"/>
  <c r="BA235" i="6"/>
  <c r="B233" i="7"/>
  <c r="AS236" i="6"/>
  <c r="AW236" i="6" s="1"/>
  <c r="AN237" i="6"/>
  <c r="AO237" i="6"/>
  <c r="AP237" i="6"/>
  <c r="AQ237" i="6"/>
  <c r="Y342" i="6"/>
  <c r="Y343" i="6" s="1"/>
  <c r="Z238" i="6"/>
  <c r="AY238" i="6"/>
  <c r="V239" i="6"/>
  <c r="AA238" i="6"/>
  <c r="AV238" i="6"/>
  <c r="AK237" i="6"/>
  <c r="X255" i="6"/>
  <c r="X256" i="6" s="1"/>
  <c r="AY255" i="6"/>
  <c r="AD230" i="6"/>
  <c r="AE230" i="6"/>
  <c r="AF229" i="6"/>
  <c r="AG228" i="6"/>
  <c r="AH227" i="6"/>
  <c r="AI226" i="6"/>
  <c r="AU236" i="6" l="1"/>
  <c r="C233" i="7"/>
  <c r="D233" i="7"/>
  <c r="BA236" i="6"/>
  <c r="B234" i="7"/>
  <c r="AS237" i="6"/>
  <c r="AW237" i="6" s="1"/>
  <c r="AN238" i="6"/>
  <c r="AO238" i="6"/>
  <c r="AP238" i="6"/>
  <c r="AQ238" i="6"/>
  <c r="X257" i="6"/>
  <c r="X258" i="6" s="1"/>
  <c r="AY257" i="6"/>
  <c r="AK238" i="6"/>
  <c r="AA239" i="6"/>
  <c r="V240" i="6"/>
  <c r="Z239" i="6"/>
  <c r="AV239" i="6"/>
  <c r="Y344" i="6"/>
  <c r="Y345" i="6" s="1"/>
  <c r="AD231" i="6"/>
  <c r="AE231" i="6"/>
  <c r="AF230" i="6"/>
  <c r="AG229" i="6"/>
  <c r="AH228" i="6"/>
  <c r="AI227" i="6"/>
  <c r="AU237" i="6" l="1"/>
  <c r="C234" i="7"/>
  <c r="D234" i="7"/>
  <c r="BA237" i="6"/>
  <c r="B235" i="7"/>
  <c r="AS238" i="6"/>
  <c r="AW238" i="6" s="1"/>
  <c r="AN239" i="6"/>
  <c r="AO239" i="6"/>
  <c r="AP239" i="6"/>
  <c r="AQ239" i="6"/>
  <c r="Y346" i="6"/>
  <c r="Y347" i="6" s="1"/>
  <c r="Z240" i="6"/>
  <c r="AY240" i="6"/>
  <c r="V241" i="6"/>
  <c r="AA240" i="6"/>
  <c r="AV240" i="6"/>
  <c r="AK239" i="6"/>
  <c r="X259" i="6"/>
  <c r="X260" i="6" s="1"/>
  <c r="AY259" i="6"/>
  <c r="AD232" i="6"/>
  <c r="AE232" i="6"/>
  <c r="AF231" i="6"/>
  <c r="AG230" i="6"/>
  <c r="AH229" i="6"/>
  <c r="AI228" i="6"/>
  <c r="AU238" i="6" l="1"/>
  <c r="C235" i="7"/>
  <c r="D235" i="7"/>
  <c r="BA238" i="6"/>
  <c r="B236" i="7"/>
  <c r="AS239" i="6"/>
  <c r="AW239" i="6" s="1"/>
  <c r="AN240" i="6"/>
  <c r="AO240" i="6"/>
  <c r="AP240" i="6"/>
  <c r="AQ240" i="6"/>
  <c r="AK240" i="6"/>
  <c r="AA241" i="6"/>
  <c r="V242" i="6"/>
  <c r="Z241" i="6"/>
  <c r="AV241" i="6"/>
  <c r="Y348" i="6"/>
  <c r="Y349" i="6" s="1"/>
  <c r="AD233" i="6"/>
  <c r="AE233" i="6"/>
  <c r="AF232" i="6"/>
  <c r="AG231" i="6"/>
  <c r="AH230" i="6"/>
  <c r="AI229" i="6"/>
  <c r="AU239" i="6" l="1"/>
  <c r="C236" i="7"/>
  <c r="D236" i="7"/>
  <c r="BA239" i="6"/>
  <c r="B237" i="7"/>
  <c r="AS240" i="6"/>
  <c r="AW240" i="6" s="1"/>
  <c r="AN241" i="6"/>
  <c r="AO241" i="6"/>
  <c r="AP241" i="6"/>
  <c r="AQ241" i="6"/>
  <c r="Y350" i="6"/>
  <c r="Y351" i="6" s="1"/>
  <c r="Z242" i="6"/>
  <c r="AY242" i="6"/>
  <c r="V243" i="6"/>
  <c r="AA242" i="6"/>
  <c r="AV242" i="6"/>
  <c r="AK241" i="6"/>
  <c r="AD234" i="6"/>
  <c r="AE234" i="6"/>
  <c r="AF233" i="6"/>
  <c r="AG232" i="6"/>
  <c r="AH231" i="6"/>
  <c r="AI230" i="6"/>
  <c r="AU240" i="6" l="1"/>
  <c r="C237" i="7"/>
  <c r="D237" i="7"/>
  <c r="BA240" i="6"/>
  <c r="B238" i="7"/>
  <c r="AS241" i="6"/>
  <c r="AW241" i="6" s="1"/>
  <c r="AN242" i="6"/>
  <c r="AO242" i="6"/>
  <c r="AP242" i="6"/>
  <c r="AQ242" i="6"/>
  <c r="AK242" i="6"/>
  <c r="AA243" i="6"/>
  <c r="V244" i="6"/>
  <c r="Z243" i="6"/>
  <c r="AV243" i="6"/>
  <c r="Y352" i="6"/>
  <c r="Y353" i="6" s="1"/>
  <c r="AD235" i="6"/>
  <c r="AE235" i="6"/>
  <c r="AF234" i="6"/>
  <c r="AG233" i="6"/>
  <c r="AH232" i="6"/>
  <c r="AI231" i="6"/>
  <c r="AU241" i="6" l="1"/>
  <c r="C238" i="7"/>
  <c r="D238" i="7"/>
  <c r="BA241" i="6"/>
  <c r="B239" i="7"/>
  <c r="AS242" i="6"/>
  <c r="AW242" i="6" s="1"/>
  <c r="AN243" i="6"/>
  <c r="AO243" i="6"/>
  <c r="AP243" i="6"/>
  <c r="AQ243" i="6"/>
  <c r="Y354" i="6"/>
  <c r="Y355" i="6" s="1"/>
  <c r="Z244" i="6"/>
  <c r="AY244" i="6"/>
  <c r="V245" i="6"/>
  <c r="AA244" i="6"/>
  <c r="AV244" i="6"/>
  <c r="AK243" i="6"/>
  <c r="AD236" i="6"/>
  <c r="AE236" i="6"/>
  <c r="AF235" i="6"/>
  <c r="AG234" i="6"/>
  <c r="AH233" i="6"/>
  <c r="AI232" i="6"/>
  <c r="AU242" i="6" l="1"/>
  <c r="C239" i="7"/>
  <c r="D239" i="7"/>
  <c r="BA242" i="6"/>
  <c r="B240" i="7"/>
  <c r="AS243" i="6"/>
  <c r="AW243" i="6" s="1"/>
  <c r="AN244" i="6"/>
  <c r="AO244" i="6"/>
  <c r="AP244" i="6"/>
  <c r="AQ244" i="6"/>
  <c r="AK244" i="6"/>
  <c r="AA245" i="6"/>
  <c r="V246" i="6"/>
  <c r="Z245" i="6"/>
  <c r="AV245" i="6"/>
  <c r="Y356" i="6"/>
  <c r="Y357" i="6" s="1"/>
  <c r="AD237" i="6"/>
  <c r="AE237" i="6"/>
  <c r="AF236" i="6"/>
  <c r="AG235" i="6"/>
  <c r="AH234" i="6"/>
  <c r="AI233" i="6"/>
  <c r="AU243" i="6" l="1"/>
  <c r="C240" i="7"/>
  <c r="D240" i="7"/>
  <c r="BA243" i="6"/>
  <c r="B241" i="7"/>
  <c r="AS244" i="6"/>
  <c r="AW244" i="6" s="1"/>
  <c r="AN245" i="6"/>
  <c r="AO245" i="6"/>
  <c r="AP245" i="6"/>
  <c r="AQ245" i="6"/>
  <c r="Y358" i="6"/>
  <c r="Y359" i="6" s="1"/>
  <c r="Y360" i="6" s="1"/>
  <c r="Y361" i="6" s="1"/>
  <c r="Z246" i="6"/>
  <c r="AY246" i="6"/>
  <c r="V247" i="6"/>
  <c r="AA246" i="6"/>
  <c r="AV246" i="6"/>
  <c r="AK245" i="6"/>
  <c r="AD238" i="6"/>
  <c r="AE238" i="6"/>
  <c r="AF237" i="6"/>
  <c r="AG236" i="6"/>
  <c r="AH235" i="6"/>
  <c r="AI234" i="6"/>
  <c r="AU244" i="6" l="1"/>
  <c r="C241" i="7"/>
  <c r="D241" i="7"/>
  <c r="BA244" i="6"/>
  <c r="B242" i="7"/>
  <c r="AS245" i="6"/>
  <c r="AW245" i="6" s="1"/>
  <c r="AN246" i="6"/>
  <c r="AO246" i="6"/>
  <c r="AP246" i="6"/>
  <c r="AQ246" i="6"/>
  <c r="AK246" i="6"/>
  <c r="AA247" i="6"/>
  <c r="V248" i="6"/>
  <c r="Z247" i="6"/>
  <c r="AV247" i="6"/>
  <c r="Y362" i="6"/>
  <c r="Y363" i="6" s="1"/>
  <c r="AD239" i="6"/>
  <c r="AE239" i="6"/>
  <c r="AF238" i="6"/>
  <c r="AG237" i="6"/>
  <c r="AH236" i="6"/>
  <c r="AI235" i="6"/>
  <c r="AU245" i="6" l="1"/>
  <c r="C242" i="7"/>
  <c r="D242" i="7"/>
  <c r="BA245" i="6"/>
  <c r="B243" i="7"/>
  <c r="AS246" i="6"/>
  <c r="AW246" i="6" s="1"/>
  <c r="AN247" i="6"/>
  <c r="AO247" i="6"/>
  <c r="AP247" i="6"/>
  <c r="AQ247" i="6"/>
  <c r="Y364" i="6"/>
  <c r="Y365" i="6" s="1"/>
  <c r="Z248" i="6"/>
  <c r="AY248" i="6"/>
  <c r="V249" i="6"/>
  <c r="AA248" i="6"/>
  <c r="AV248" i="6"/>
  <c r="AK247" i="6"/>
  <c r="AD240" i="6"/>
  <c r="AE240" i="6"/>
  <c r="AF239" i="6"/>
  <c r="AG238" i="6"/>
  <c r="AH237" i="6"/>
  <c r="AI236" i="6"/>
  <c r="AU246" i="6" l="1"/>
  <c r="C243" i="7"/>
  <c r="D243" i="7"/>
  <c r="BA246" i="6"/>
  <c r="B244" i="7"/>
  <c r="AS247" i="6"/>
  <c r="AW247" i="6" s="1"/>
  <c r="AN248" i="6"/>
  <c r="AO248" i="6"/>
  <c r="AP248" i="6"/>
  <c r="AQ248" i="6"/>
  <c r="AK248" i="6"/>
  <c r="AA249" i="6"/>
  <c r="V250" i="6"/>
  <c r="Z249" i="6"/>
  <c r="AV249" i="6"/>
  <c r="Y366" i="6"/>
  <c r="Y367" i="6" s="1"/>
  <c r="AD241" i="6"/>
  <c r="AE241" i="6"/>
  <c r="AF240" i="6"/>
  <c r="AG239" i="6"/>
  <c r="AH238" i="6"/>
  <c r="AI237" i="6"/>
  <c r="AU247" i="6" l="1"/>
  <c r="C244" i="7"/>
  <c r="D244" i="7"/>
  <c r="BA247" i="6"/>
  <c r="B245" i="7"/>
  <c r="AS248" i="6"/>
  <c r="AW248" i="6" s="1"/>
  <c r="AN249" i="6"/>
  <c r="AO249" i="6"/>
  <c r="AP249" i="6"/>
  <c r="AQ249" i="6"/>
  <c r="Y368" i="6"/>
  <c r="Y369" i="6" s="1"/>
  <c r="Z250" i="6"/>
  <c r="AY250" i="6"/>
  <c r="V251" i="6"/>
  <c r="AA250" i="6"/>
  <c r="AV250" i="6"/>
  <c r="AK249" i="6"/>
  <c r="AD242" i="6"/>
  <c r="AE242" i="6"/>
  <c r="AF241" i="6"/>
  <c r="AG240" i="6"/>
  <c r="AH239" i="6"/>
  <c r="AI238" i="6"/>
  <c r="AU248" i="6" l="1"/>
  <c r="C245" i="7"/>
  <c r="D245" i="7"/>
  <c r="BA248" i="6"/>
  <c r="B246" i="7"/>
  <c r="AS249" i="6"/>
  <c r="AW249" i="6" s="1"/>
  <c r="AN250" i="6"/>
  <c r="AO250" i="6"/>
  <c r="AP250" i="6"/>
  <c r="AQ250" i="6"/>
  <c r="AK250" i="6"/>
  <c r="AA251" i="6"/>
  <c r="V252" i="6"/>
  <c r="Z251" i="6"/>
  <c r="AV251" i="6"/>
  <c r="Y370" i="6"/>
  <c r="Y371" i="6" s="1"/>
  <c r="AD243" i="6"/>
  <c r="AE243" i="6"/>
  <c r="AF242" i="6"/>
  <c r="AG241" i="6"/>
  <c r="AH240" i="6"/>
  <c r="AI239" i="6"/>
  <c r="AU249" i="6" l="1"/>
  <c r="C246" i="7"/>
  <c r="D246" i="7"/>
  <c r="BA249" i="6"/>
  <c r="B247" i="7"/>
  <c r="AS250" i="6"/>
  <c r="AW250" i="6" s="1"/>
  <c r="AN251" i="6"/>
  <c r="AO251" i="6"/>
  <c r="AP251" i="6"/>
  <c r="AQ251" i="6"/>
  <c r="Y372" i="6"/>
  <c r="Y373" i="6" s="1"/>
  <c r="Z252" i="6"/>
  <c r="AY252" i="6"/>
  <c r="V253" i="6"/>
  <c r="AA252" i="6"/>
  <c r="AV252" i="6"/>
  <c r="AK251" i="6"/>
  <c r="AD244" i="6"/>
  <c r="AE244" i="6"/>
  <c r="AF243" i="6"/>
  <c r="AG242" i="6"/>
  <c r="AH241" i="6"/>
  <c r="AI240" i="6"/>
  <c r="AU250" i="6" l="1"/>
  <c r="C247" i="7"/>
  <c r="D247" i="7"/>
  <c r="BA250" i="6"/>
  <c r="B248" i="7"/>
  <c r="AS251" i="6"/>
  <c r="AW251" i="6" s="1"/>
  <c r="AN252" i="6"/>
  <c r="AO252" i="6"/>
  <c r="AP252" i="6"/>
  <c r="AQ252" i="6"/>
  <c r="AK252" i="6"/>
  <c r="AA253" i="6"/>
  <c r="V254" i="6"/>
  <c r="Z253" i="6"/>
  <c r="AV253" i="6"/>
  <c r="Y374" i="6"/>
  <c r="Y375" i="6" s="1"/>
  <c r="AD245" i="6"/>
  <c r="AE245" i="6"/>
  <c r="AF244" i="6"/>
  <c r="AG243" i="6"/>
  <c r="AH242" i="6"/>
  <c r="AI241" i="6"/>
  <c r="AU251" i="6" l="1"/>
  <c r="C248" i="7"/>
  <c r="D248" i="7"/>
  <c r="BA251" i="6"/>
  <c r="B249" i="7"/>
  <c r="AS252" i="6"/>
  <c r="AW252" i="6" s="1"/>
  <c r="AN253" i="6"/>
  <c r="AO253" i="6"/>
  <c r="AP253" i="6"/>
  <c r="AQ253" i="6"/>
  <c r="Y376" i="6"/>
  <c r="Y377" i="6" s="1"/>
  <c r="Z254" i="6"/>
  <c r="AY254" i="6"/>
  <c r="V255" i="6"/>
  <c r="AA254" i="6"/>
  <c r="AV254" i="6"/>
  <c r="AK253" i="6"/>
  <c r="AD246" i="6"/>
  <c r="AE246" i="6"/>
  <c r="AF245" i="6"/>
  <c r="AG244" i="6"/>
  <c r="AH243" i="6"/>
  <c r="AI242" i="6"/>
  <c r="AU252" i="6" l="1"/>
  <c r="C249" i="7"/>
  <c r="D249" i="7"/>
  <c r="BA252" i="6"/>
  <c r="B250" i="7"/>
  <c r="AS253" i="6"/>
  <c r="AW253" i="6" s="1"/>
  <c r="AN254" i="6"/>
  <c r="AO254" i="6"/>
  <c r="AP254" i="6"/>
  <c r="AQ254" i="6"/>
  <c r="AK254" i="6"/>
  <c r="AA255" i="6"/>
  <c r="V256" i="6"/>
  <c r="Z255" i="6"/>
  <c r="AV255" i="6"/>
  <c r="Y378" i="6"/>
  <c r="Y379" i="6" s="1"/>
  <c r="AD247" i="6"/>
  <c r="AE247" i="6"/>
  <c r="AF246" i="6"/>
  <c r="AG245" i="6"/>
  <c r="AH244" i="6"/>
  <c r="AI243" i="6"/>
  <c r="AU253" i="6" l="1"/>
  <c r="C250" i="7"/>
  <c r="D250" i="7"/>
  <c r="BA253" i="6"/>
  <c r="B251" i="7"/>
  <c r="AS254" i="6"/>
  <c r="AW254" i="6" s="1"/>
  <c r="AN255" i="6"/>
  <c r="AO255" i="6"/>
  <c r="AP255" i="6"/>
  <c r="AQ255" i="6"/>
  <c r="Y380" i="6"/>
  <c r="Y381" i="6" s="1"/>
  <c r="Z256" i="6"/>
  <c r="AY256" i="6"/>
  <c r="V257" i="6"/>
  <c r="AA256" i="6"/>
  <c r="AV256" i="6"/>
  <c r="AK255" i="6"/>
  <c r="AD248" i="6"/>
  <c r="AE248" i="6"/>
  <c r="AF247" i="6"/>
  <c r="AG246" i="6"/>
  <c r="AH245" i="6"/>
  <c r="AI244" i="6"/>
  <c r="AU254" i="6" l="1"/>
  <c r="C251" i="7"/>
  <c r="D251" i="7"/>
  <c r="BA254" i="6"/>
  <c r="B252" i="7"/>
  <c r="AS255" i="6"/>
  <c r="AW255" i="6" s="1"/>
  <c r="AN256" i="6"/>
  <c r="AO256" i="6"/>
  <c r="AP256" i="6"/>
  <c r="AQ256" i="6"/>
  <c r="AK256" i="6"/>
  <c r="AA257" i="6"/>
  <c r="V258" i="6"/>
  <c r="Z257" i="6"/>
  <c r="AV257" i="6"/>
  <c r="Y382" i="6"/>
  <c r="Y383" i="6" s="1"/>
  <c r="AD249" i="6"/>
  <c r="AE249" i="6"/>
  <c r="AF248" i="6"/>
  <c r="AG247" i="6"/>
  <c r="AH246" i="6"/>
  <c r="AI245" i="6"/>
  <c r="AU255" i="6" l="1"/>
  <c r="C252" i="7"/>
  <c r="D252" i="7"/>
  <c r="BA255" i="6"/>
  <c r="B253" i="7"/>
  <c r="AS256" i="6"/>
  <c r="AW256" i="6" s="1"/>
  <c r="AN257" i="6"/>
  <c r="AO257" i="6"/>
  <c r="AP257" i="6"/>
  <c r="AQ257" i="6"/>
  <c r="Y384" i="6"/>
  <c r="Y385" i="6" s="1"/>
  <c r="Z258" i="6"/>
  <c r="AY258" i="6"/>
  <c r="V259" i="6"/>
  <c r="AA258" i="6"/>
  <c r="AV258" i="6"/>
  <c r="AK257" i="6"/>
  <c r="AD250" i="6"/>
  <c r="AE250" i="6"/>
  <c r="AF249" i="6"/>
  <c r="AG248" i="6"/>
  <c r="AH247" i="6"/>
  <c r="AI246" i="6"/>
  <c r="AU256" i="6" l="1"/>
  <c r="C253" i="7"/>
  <c r="D253" i="7"/>
  <c r="BA256" i="6"/>
  <c r="B254" i="7"/>
  <c r="AS257" i="6"/>
  <c r="AW257" i="6" s="1"/>
  <c r="AN258" i="6"/>
  <c r="AO258" i="6"/>
  <c r="AP258" i="6"/>
  <c r="AQ258" i="6"/>
  <c r="AK258" i="6"/>
  <c r="AA259" i="6"/>
  <c r="V260" i="6"/>
  <c r="Z259" i="6"/>
  <c r="AV259" i="6"/>
  <c r="Y386" i="6"/>
  <c r="Y387" i="6" s="1"/>
  <c r="AD251" i="6"/>
  <c r="AE251" i="6"/>
  <c r="AF250" i="6"/>
  <c r="AG249" i="6"/>
  <c r="AH248" i="6"/>
  <c r="AI247" i="6"/>
  <c r="AU257" i="6" l="1"/>
  <c r="C254" i="7"/>
  <c r="D254" i="7"/>
  <c r="BA257" i="6"/>
  <c r="B255" i="7"/>
  <c r="AS258" i="6"/>
  <c r="AW258" i="6" s="1"/>
  <c r="AN259" i="6"/>
  <c r="AO259" i="6"/>
  <c r="AP259" i="6"/>
  <c r="AQ259" i="6"/>
  <c r="Y388" i="6"/>
  <c r="Y389" i="6" s="1"/>
  <c r="Z260" i="6"/>
  <c r="Z261" i="6" s="1"/>
  <c r="AY260" i="6"/>
  <c r="V261" i="6"/>
  <c r="AA260" i="6"/>
  <c r="AV260" i="6"/>
  <c r="AK259" i="6"/>
  <c r="AD252" i="6"/>
  <c r="AE252" i="6"/>
  <c r="AF251" i="6"/>
  <c r="AG250" i="6"/>
  <c r="AH249" i="6"/>
  <c r="AI248" i="6"/>
  <c r="AU258" i="6" l="1"/>
  <c r="C255" i="7"/>
  <c r="D255" i="7"/>
  <c r="BA258" i="6"/>
  <c r="B256" i="7"/>
  <c r="AS259" i="6"/>
  <c r="AW259" i="6" s="1"/>
  <c r="AN260" i="6"/>
  <c r="AO260" i="6"/>
  <c r="AP260" i="6"/>
  <c r="AQ260" i="6"/>
  <c r="AK260" i="6"/>
  <c r="AA261" i="6"/>
  <c r="V262" i="6"/>
  <c r="X261" i="6"/>
  <c r="AV261" i="6"/>
  <c r="Y390" i="6"/>
  <c r="Y391" i="6" s="1"/>
  <c r="AD253" i="6"/>
  <c r="AE253" i="6"/>
  <c r="AF252" i="6"/>
  <c r="AG251" i="6"/>
  <c r="AH250" i="6"/>
  <c r="AI249" i="6"/>
  <c r="AU259" i="6" l="1"/>
  <c r="C256" i="7"/>
  <c r="D256" i="7"/>
  <c r="BA259" i="6"/>
  <c r="B257" i="7"/>
  <c r="AS260" i="6"/>
  <c r="AW260" i="6" s="1"/>
  <c r="AN261" i="6"/>
  <c r="AO261" i="6"/>
  <c r="AP261" i="6"/>
  <c r="AQ261" i="6"/>
  <c r="Y392" i="6"/>
  <c r="Y393" i="6" s="1"/>
  <c r="X262" i="6"/>
  <c r="X263" i="6" s="1"/>
  <c r="AY262" i="6"/>
  <c r="V263" i="6"/>
  <c r="Z262" i="6"/>
  <c r="AV262" i="6"/>
  <c r="AK261" i="6"/>
  <c r="AA262" i="6"/>
  <c r="AK262" i="6" s="1"/>
  <c r="AD254" i="6"/>
  <c r="AE254" i="6"/>
  <c r="AF253" i="6"/>
  <c r="AG252" i="6"/>
  <c r="AH251" i="6"/>
  <c r="AI250" i="6"/>
  <c r="AU260" i="6" l="1"/>
  <c r="C257" i="7"/>
  <c r="D257" i="7"/>
  <c r="BA260" i="6"/>
  <c r="B258" i="7"/>
  <c r="AQ263" i="6"/>
  <c r="AS261" i="6"/>
  <c r="AW261" i="6" s="1"/>
  <c r="AN262" i="6"/>
  <c r="AN263" i="6" s="1"/>
  <c r="AO262" i="6"/>
  <c r="AO263" i="6" s="1"/>
  <c r="AP262" i="6"/>
  <c r="AS262" i="6" s="1"/>
  <c r="AW262" i="6" s="1"/>
  <c r="AQ262" i="6"/>
  <c r="Z263" i="6"/>
  <c r="AY263" i="6"/>
  <c r="V264" i="6"/>
  <c r="AA263" i="6"/>
  <c r="AV263" i="6"/>
  <c r="X264" i="6"/>
  <c r="X265" i="6" s="1"/>
  <c r="AY264" i="6"/>
  <c r="Y394" i="6"/>
  <c r="Y395" i="6" s="1"/>
  <c r="AD255" i="6"/>
  <c r="AE255" i="6"/>
  <c r="AF254" i="6"/>
  <c r="AG253" i="6"/>
  <c r="AH252" i="6"/>
  <c r="AI251" i="6"/>
  <c r="AU262" i="6" l="1"/>
  <c r="AU261" i="6"/>
  <c r="C258" i="7"/>
  <c r="D258" i="7"/>
  <c r="BA261" i="6"/>
  <c r="BA262" i="6" s="1"/>
  <c r="B259" i="7"/>
  <c r="AP263" i="6"/>
  <c r="Y396" i="6"/>
  <c r="Y397" i="6" s="1"/>
  <c r="Y398" i="6" s="1"/>
  <c r="X266" i="6"/>
  <c r="X267" i="6" s="1"/>
  <c r="AY266" i="6"/>
  <c r="AK263" i="6"/>
  <c r="AA264" i="6"/>
  <c r="V265" i="6"/>
  <c r="Z264" i="6"/>
  <c r="AV264" i="6"/>
  <c r="AD256" i="6"/>
  <c r="AE256" i="6"/>
  <c r="AF255" i="6"/>
  <c r="AG254" i="6"/>
  <c r="AH253" i="6"/>
  <c r="AI252" i="6"/>
  <c r="C259" i="7" l="1"/>
  <c r="D259" i="7"/>
  <c r="B260" i="7"/>
  <c r="B261" i="7"/>
  <c r="AS263" i="6"/>
  <c r="AW263" i="6" s="1"/>
  <c r="AN264" i="6"/>
  <c r="AO264" i="6"/>
  <c r="AP264" i="6"/>
  <c r="AQ264" i="6"/>
  <c r="Z265" i="6"/>
  <c r="AY265" i="6"/>
  <c r="V266" i="6"/>
  <c r="AA265" i="6"/>
  <c r="AV265" i="6"/>
  <c r="AK264" i="6"/>
  <c r="X268" i="6"/>
  <c r="X269" i="6" s="1"/>
  <c r="AY268" i="6"/>
  <c r="Y399" i="6"/>
  <c r="Y400" i="6" s="1"/>
  <c r="AD257" i="6"/>
  <c r="AE257" i="6"/>
  <c r="AF256" i="6"/>
  <c r="AG255" i="6"/>
  <c r="AH254" i="6"/>
  <c r="AI253" i="6"/>
  <c r="AU263" i="6" l="1"/>
  <c r="C261" i="7"/>
  <c r="D261" i="7"/>
  <c r="C260" i="7"/>
  <c r="D260" i="7"/>
  <c r="AS264" i="6"/>
  <c r="AW264" i="6" s="1"/>
  <c r="AN265" i="6"/>
  <c r="AO265" i="6"/>
  <c r="AP265" i="6"/>
  <c r="AQ265" i="6"/>
  <c r="Y401" i="6"/>
  <c r="Y402" i="6" s="1"/>
  <c r="X270" i="6"/>
  <c r="X271" i="6" s="1"/>
  <c r="AY270" i="6"/>
  <c r="AK265" i="6"/>
  <c r="AA266" i="6"/>
  <c r="V267" i="6"/>
  <c r="Z266" i="6"/>
  <c r="AV266" i="6"/>
  <c r="AD258" i="6"/>
  <c r="AE258" i="6"/>
  <c r="AF257" i="6"/>
  <c r="AG256" i="6"/>
  <c r="AH255" i="6"/>
  <c r="AI254" i="6"/>
  <c r="AU264" i="6" l="1"/>
  <c r="BA263" i="6"/>
  <c r="BA264" i="6" s="1"/>
  <c r="AS265" i="6"/>
  <c r="AW265" i="6" s="1"/>
  <c r="AN266" i="6"/>
  <c r="AO266" i="6"/>
  <c r="AP266" i="6"/>
  <c r="AQ266" i="6"/>
  <c r="Z267" i="6"/>
  <c r="AY267" i="6"/>
  <c r="V268" i="6"/>
  <c r="AA267" i="6"/>
  <c r="AV267" i="6"/>
  <c r="AK266" i="6"/>
  <c r="X272" i="6"/>
  <c r="X273" i="6" s="1"/>
  <c r="AY272" i="6"/>
  <c r="Y403" i="6"/>
  <c r="Y404" i="6" s="1"/>
  <c r="AD259" i="6"/>
  <c r="AE259" i="6"/>
  <c r="AF258" i="6"/>
  <c r="AG257" i="6"/>
  <c r="AH256" i="6"/>
  <c r="AI255" i="6"/>
  <c r="AU265" i="6" l="1"/>
  <c r="BA265" i="6"/>
  <c r="B262" i="7"/>
  <c r="B263" i="7"/>
  <c r="AS266" i="6"/>
  <c r="AW266" i="6" s="1"/>
  <c r="AN267" i="6"/>
  <c r="AO267" i="6"/>
  <c r="AP267" i="6"/>
  <c r="AQ267" i="6"/>
  <c r="Y405" i="6"/>
  <c r="Y406" i="6" s="1"/>
  <c r="X274" i="6"/>
  <c r="X275" i="6" s="1"/>
  <c r="AY274" i="6"/>
  <c r="AK267" i="6"/>
  <c r="AA268" i="6"/>
  <c r="V269" i="6"/>
  <c r="Z268" i="6"/>
  <c r="AV268" i="6"/>
  <c r="AD260" i="6"/>
  <c r="AE260" i="6"/>
  <c r="AF259" i="6"/>
  <c r="AG258" i="6"/>
  <c r="AH257" i="6"/>
  <c r="AI256" i="6"/>
  <c r="AU266" i="6" l="1"/>
  <c r="C263" i="7"/>
  <c r="D263" i="7"/>
  <c r="C262" i="7"/>
  <c r="D262" i="7"/>
  <c r="BA266" i="6"/>
  <c r="B264" i="7"/>
  <c r="AS267" i="6"/>
  <c r="AW267" i="6" s="1"/>
  <c r="AN268" i="6"/>
  <c r="AO268" i="6"/>
  <c r="AP268" i="6"/>
  <c r="AQ268" i="6"/>
  <c r="Z269" i="6"/>
  <c r="AY269" i="6"/>
  <c r="V270" i="6"/>
  <c r="AA269" i="6"/>
  <c r="AV269" i="6"/>
  <c r="AK268" i="6"/>
  <c r="X276" i="6"/>
  <c r="X277" i="6" s="1"/>
  <c r="AY276" i="6"/>
  <c r="Y407" i="6"/>
  <c r="Y408" i="6" s="1"/>
  <c r="AD261" i="6"/>
  <c r="AE261" i="6"/>
  <c r="AF260" i="6"/>
  <c r="AG259" i="6"/>
  <c r="AH258" i="6"/>
  <c r="AI257" i="6"/>
  <c r="AU267" i="6" l="1"/>
  <c r="C264" i="7"/>
  <c r="D264" i="7"/>
  <c r="BA267" i="6"/>
  <c r="B265" i="7"/>
  <c r="AS268" i="6"/>
  <c r="AW268" i="6" s="1"/>
  <c r="AN269" i="6"/>
  <c r="AO269" i="6"/>
  <c r="AP269" i="6"/>
  <c r="AQ269" i="6"/>
  <c r="Y409" i="6"/>
  <c r="Y410" i="6" s="1"/>
  <c r="X278" i="6"/>
  <c r="X279" i="6" s="1"/>
  <c r="AY278" i="6"/>
  <c r="AK269" i="6"/>
  <c r="AA270" i="6"/>
  <c r="V271" i="6"/>
  <c r="Z270" i="6"/>
  <c r="AV270" i="6"/>
  <c r="AD262" i="6"/>
  <c r="AE262" i="6"/>
  <c r="AF261" i="6"/>
  <c r="AG260" i="6"/>
  <c r="AH259" i="6"/>
  <c r="AI258" i="6"/>
  <c r="AU268" i="6" l="1"/>
  <c r="C265" i="7"/>
  <c r="D265" i="7"/>
  <c r="BA268" i="6"/>
  <c r="B266" i="7"/>
  <c r="AS269" i="6"/>
  <c r="AW269" i="6" s="1"/>
  <c r="AN270" i="6"/>
  <c r="AO270" i="6"/>
  <c r="AP270" i="6"/>
  <c r="AQ270" i="6"/>
  <c r="Z271" i="6"/>
  <c r="AY271" i="6"/>
  <c r="V272" i="6"/>
  <c r="AA271" i="6"/>
  <c r="AV271" i="6"/>
  <c r="AK270" i="6"/>
  <c r="X280" i="6"/>
  <c r="X281" i="6" s="1"/>
  <c r="AY280" i="6"/>
  <c r="Y411" i="6"/>
  <c r="Y412" i="6" s="1"/>
  <c r="AD263" i="6"/>
  <c r="AE263" i="6"/>
  <c r="AF262" i="6"/>
  <c r="AG261" i="6"/>
  <c r="AH260" i="6"/>
  <c r="AI259" i="6"/>
  <c r="AU269" i="6" l="1"/>
  <c r="C266" i="7"/>
  <c r="D266" i="7"/>
  <c r="BA269" i="6"/>
  <c r="B267" i="7"/>
  <c r="AS270" i="6"/>
  <c r="AW270" i="6" s="1"/>
  <c r="AN271" i="6"/>
  <c r="AO271" i="6"/>
  <c r="AP271" i="6"/>
  <c r="AQ271" i="6"/>
  <c r="Y413" i="6"/>
  <c r="Y414" i="6" s="1"/>
  <c r="X282" i="6"/>
  <c r="X283" i="6" s="1"/>
  <c r="AY282" i="6"/>
  <c r="AK271" i="6"/>
  <c r="AA272" i="6"/>
  <c r="V273" i="6"/>
  <c r="Z272" i="6"/>
  <c r="AV272" i="6"/>
  <c r="AD264" i="6"/>
  <c r="AE264" i="6"/>
  <c r="AF263" i="6"/>
  <c r="AG262" i="6"/>
  <c r="AH261" i="6"/>
  <c r="AI260" i="6"/>
  <c r="AU270" i="6" l="1"/>
  <c r="C267" i="7"/>
  <c r="D267" i="7"/>
  <c r="BA270" i="6"/>
  <c r="B268" i="7"/>
  <c r="AS271" i="6"/>
  <c r="AW271" i="6" s="1"/>
  <c r="AN272" i="6"/>
  <c r="AO272" i="6"/>
  <c r="AP272" i="6"/>
  <c r="AQ272" i="6"/>
  <c r="Z273" i="6"/>
  <c r="AY273" i="6"/>
  <c r="V274" i="6"/>
  <c r="AA273" i="6"/>
  <c r="AV273" i="6"/>
  <c r="AK272" i="6"/>
  <c r="X284" i="6"/>
  <c r="X285" i="6" s="1"/>
  <c r="AY284" i="6"/>
  <c r="Y415" i="6"/>
  <c r="Y416" i="6" s="1"/>
  <c r="AD265" i="6"/>
  <c r="AE265" i="6"/>
  <c r="AF264" i="6"/>
  <c r="AG263" i="6"/>
  <c r="AH262" i="6"/>
  <c r="AI261" i="6"/>
  <c r="AU271" i="6" l="1"/>
  <c r="C268" i="7"/>
  <c r="D268" i="7"/>
  <c r="BA271" i="6"/>
  <c r="B269" i="7"/>
  <c r="AS272" i="6"/>
  <c r="AW272" i="6" s="1"/>
  <c r="AN273" i="6"/>
  <c r="AO273" i="6"/>
  <c r="AP273" i="6"/>
  <c r="AQ273" i="6"/>
  <c r="Y417" i="6"/>
  <c r="Y418" i="6" s="1"/>
  <c r="X286" i="6"/>
  <c r="X287" i="6" s="1"/>
  <c r="AY286" i="6"/>
  <c r="AK273" i="6"/>
  <c r="AA274" i="6"/>
  <c r="V275" i="6"/>
  <c r="Z274" i="6"/>
  <c r="AV274" i="6"/>
  <c r="AD266" i="6"/>
  <c r="AE266" i="6"/>
  <c r="AF265" i="6"/>
  <c r="AG264" i="6"/>
  <c r="AH263" i="6"/>
  <c r="AI262" i="6"/>
  <c r="AU272" i="6" l="1"/>
  <c r="C269" i="7"/>
  <c r="D269" i="7"/>
  <c r="BA272" i="6"/>
  <c r="B270" i="7"/>
  <c r="AS273" i="6"/>
  <c r="AW273" i="6" s="1"/>
  <c r="AN274" i="6"/>
  <c r="AO274" i="6"/>
  <c r="AP274" i="6"/>
  <c r="AQ274" i="6"/>
  <c r="Z275" i="6"/>
  <c r="AY275" i="6"/>
  <c r="V276" i="6"/>
  <c r="AA275" i="6"/>
  <c r="AV275" i="6"/>
  <c r="AK274" i="6"/>
  <c r="X288" i="6"/>
  <c r="X289" i="6" s="1"/>
  <c r="AY288" i="6"/>
  <c r="Y419" i="6"/>
  <c r="Y420" i="6" s="1"/>
  <c r="AD267" i="6"/>
  <c r="AE267" i="6"/>
  <c r="AF266" i="6"/>
  <c r="AG265" i="6"/>
  <c r="AH264" i="6"/>
  <c r="AI263" i="6"/>
  <c r="AU273" i="6" l="1"/>
  <c r="C270" i="7"/>
  <c r="D270" i="7"/>
  <c r="BA273" i="6"/>
  <c r="B271" i="7"/>
  <c r="AS274" i="6"/>
  <c r="AW274" i="6" s="1"/>
  <c r="AN275" i="6"/>
  <c r="AO275" i="6"/>
  <c r="AP275" i="6"/>
  <c r="AQ275" i="6"/>
  <c r="Y421" i="6"/>
  <c r="Y422" i="6" s="1"/>
  <c r="X290" i="6"/>
  <c r="X291" i="6" s="1"/>
  <c r="AY290" i="6"/>
  <c r="AK275" i="6"/>
  <c r="AA276" i="6"/>
  <c r="V277" i="6"/>
  <c r="Z276" i="6"/>
  <c r="AV276" i="6"/>
  <c r="AD268" i="6"/>
  <c r="AE268" i="6"/>
  <c r="AF267" i="6"/>
  <c r="AG266" i="6"/>
  <c r="AH265" i="6"/>
  <c r="AI264" i="6"/>
  <c r="AU274" i="6" l="1"/>
  <c r="C271" i="7"/>
  <c r="D271" i="7"/>
  <c r="BA274" i="6"/>
  <c r="B272" i="7"/>
  <c r="AS275" i="6"/>
  <c r="AW275" i="6" s="1"/>
  <c r="AN276" i="6"/>
  <c r="AO276" i="6"/>
  <c r="AP276" i="6"/>
  <c r="AQ276" i="6"/>
  <c r="Z277" i="6"/>
  <c r="AY277" i="6"/>
  <c r="V278" i="6"/>
  <c r="AA277" i="6"/>
  <c r="AV277" i="6"/>
  <c r="AK276" i="6"/>
  <c r="X292" i="6"/>
  <c r="X293" i="6" s="1"/>
  <c r="AY292" i="6"/>
  <c r="Y423" i="6"/>
  <c r="Y424" i="6" s="1"/>
  <c r="AD269" i="6"/>
  <c r="AE269" i="6"/>
  <c r="AF268" i="6"/>
  <c r="AG267" i="6"/>
  <c r="AH266" i="6"/>
  <c r="AI265" i="6"/>
  <c r="AU275" i="6" l="1"/>
  <c r="C272" i="7"/>
  <c r="D272" i="7"/>
  <c r="BA275" i="6"/>
  <c r="B273" i="7"/>
  <c r="AS276" i="6"/>
  <c r="AW276" i="6" s="1"/>
  <c r="AN277" i="6"/>
  <c r="AO277" i="6"/>
  <c r="AP277" i="6"/>
  <c r="AQ277" i="6"/>
  <c r="Y425" i="6"/>
  <c r="Y426" i="6" s="1"/>
  <c r="X294" i="6"/>
  <c r="X295" i="6" s="1"/>
  <c r="AY294" i="6"/>
  <c r="AK277" i="6"/>
  <c r="AA278" i="6"/>
  <c r="V279" i="6"/>
  <c r="Z278" i="6"/>
  <c r="AV278" i="6"/>
  <c r="AD270" i="6"/>
  <c r="AE270" i="6"/>
  <c r="AF269" i="6"/>
  <c r="AG268" i="6"/>
  <c r="AH267" i="6"/>
  <c r="AI266" i="6"/>
  <c r="AU276" i="6" l="1"/>
  <c r="C273" i="7"/>
  <c r="D273" i="7"/>
  <c r="BA276" i="6"/>
  <c r="B274" i="7"/>
  <c r="AS277" i="6"/>
  <c r="AW277" i="6" s="1"/>
  <c r="AN278" i="6"/>
  <c r="AO278" i="6"/>
  <c r="AP278" i="6"/>
  <c r="AQ278" i="6"/>
  <c r="Z279" i="6"/>
  <c r="AY279" i="6"/>
  <c r="V280" i="6"/>
  <c r="AA279" i="6"/>
  <c r="AV279" i="6"/>
  <c r="AK278" i="6"/>
  <c r="X296" i="6"/>
  <c r="X297" i="6" s="1"/>
  <c r="AY296" i="6"/>
  <c r="Y427" i="6"/>
  <c r="Y428" i="6" s="1"/>
  <c r="AD271" i="6"/>
  <c r="AE271" i="6"/>
  <c r="AF270" i="6"/>
  <c r="AG269" i="6"/>
  <c r="AH268" i="6"/>
  <c r="AI267" i="6"/>
  <c r="AU277" i="6" l="1"/>
  <c r="C274" i="7"/>
  <c r="D274" i="7"/>
  <c r="BA277" i="6"/>
  <c r="B275" i="7"/>
  <c r="AS278" i="6"/>
  <c r="AW278" i="6" s="1"/>
  <c r="AN279" i="6"/>
  <c r="AO279" i="6"/>
  <c r="AP279" i="6"/>
  <c r="AQ279" i="6"/>
  <c r="Y429" i="6"/>
  <c r="Y430" i="6" s="1"/>
  <c r="X298" i="6"/>
  <c r="X299" i="6" s="1"/>
  <c r="AY298" i="6"/>
  <c r="AK279" i="6"/>
  <c r="AA280" i="6"/>
  <c r="V281" i="6"/>
  <c r="Z280" i="6"/>
  <c r="AV280" i="6"/>
  <c r="AD272" i="6"/>
  <c r="AE272" i="6"/>
  <c r="AF271" i="6"/>
  <c r="AG270" i="6"/>
  <c r="AH269" i="6"/>
  <c r="AI268" i="6"/>
  <c r="AU278" i="6" l="1"/>
  <c r="C275" i="7"/>
  <c r="D275" i="7"/>
  <c r="BA278" i="6"/>
  <c r="B276" i="7"/>
  <c r="AS279" i="6"/>
  <c r="AW279" i="6" s="1"/>
  <c r="AN280" i="6"/>
  <c r="AO280" i="6"/>
  <c r="AP280" i="6"/>
  <c r="AQ280" i="6"/>
  <c r="Z281" i="6"/>
  <c r="AY281" i="6"/>
  <c r="V282" i="6"/>
  <c r="AA281" i="6"/>
  <c r="AV281" i="6"/>
  <c r="AK280" i="6"/>
  <c r="X300" i="6"/>
  <c r="X301" i="6" s="1"/>
  <c r="AY300" i="6"/>
  <c r="Y431" i="6"/>
  <c r="Y432" i="6" s="1"/>
  <c r="AD273" i="6"/>
  <c r="AE273" i="6"/>
  <c r="AF272" i="6"/>
  <c r="AG271" i="6"/>
  <c r="AH270" i="6"/>
  <c r="AI269" i="6"/>
  <c r="AU279" i="6" l="1"/>
  <c r="C276" i="7"/>
  <c r="D276" i="7"/>
  <c r="BA279" i="6"/>
  <c r="B277" i="7"/>
  <c r="AS280" i="6"/>
  <c r="AW280" i="6" s="1"/>
  <c r="AN281" i="6"/>
  <c r="AO281" i="6"/>
  <c r="AP281" i="6"/>
  <c r="AQ281" i="6"/>
  <c r="Y433" i="6"/>
  <c r="Y434" i="6" s="1"/>
  <c r="X302" i="6"/>
  <c r="X303" i="6" s="1"/>
  <c r="AY302" i="6"/>
  <c r="AK281" i="6"/>
  <c r="AA282" i="6"/>
  <c r="V283" i="6"/>
  <c r="Z282" i="6"/>
  <c r="AV282" i="6"/>
  <c r="AD274" i="6"/>
  <c r="AE274" i="6"/>
  <c r="AF273" i="6"/>
  <c r="AG272" i="6"/>
  <c r="AH271" i="6"/>
  <c r="AI270" i="6"/>
  <c r="AU280" i="6" l="1"/>
  <c r="C277" i="7"/>
  <c r="D277" i="7"/>
  <c r="BA280" i="6"/>
  <c r="B278" i="7"/>
  <c r="AS281" i="6"/>
  <c r="AW281" i="6" s="1"/>
  <c r="AN282" i="6"/>
  <c r="AO282" i="6"/>
  <c r="AP282" i="6"/>
  <c r="AQ282" i="6"/>
  <c r="Z283" i="6"/>
  <c r="AY283" i="6"/>
  <c r="V284" i="6"/>
  <c r="AA283" i="6"/>
  <c r="AV283" i="6"/>
  <c r="AK282" i="6"/>
  <c r="X304" i="6"/>
  <c r="X305" i="6" s="1"/>
  <c r="AY304" i="6"/>
  <c r="Y435" i="6"/>
  <c r="Y436" i="6" s="1"/>
  <c r="AD275" i="6"/>
  <c r="AE275" i="6"/>
  <c r="AF274" i="6"/>
  <c r="AG273" i="6"/>
  <c r="AH272" i="6"/>
  <c r="AI271" i="6"/>
  <c r="AU281" i="6" l="1"/>
  <c r="C278" i="7"/>
  <c r="D278" i="7"/>
  <c r="BA281" i="6"/>
  <c r="B279" i="7"/>
  <c r="AS282" i="6"/>
  <c r="AW282" i="6" s="1"/>
  <c r="AN283" i="6"/>
  <c r="AO283" i="6"/>
  <c r="AP283" i="6"/>
  <c r="AQ283" i="6"/>
  <c r="Y437" i="6"/>
  <c r="Y438" i="6" s="1"/>
  <c r="X306" i="6"/>
  <c r="X307" i="6" s="1"/>
  <c r="AY306" i="6"/>
  <c r="AK283" i="6"/>
  <c r="AA284" i="6"/>
  <c r="V285" i="6"/>
  <c r="Z284" i="6"/>
  <c r="AV284" i="6"/>
  <c r="AD276" i="6"/>
  <c r="AE276" i="6"/>
  <c r="AF275" i="6"/>
  <c r="AG274" i="6"/>
  <c r="AH273" i="6"/>
  <c r="AI272" i="6"/>
  <c r="AU282" i="6" l="1"/>
  <c r="C279" i="7"/>
  <c r="D279" i="7"/>
  <c r="BA282" i="6"/>
  <c r="B280" i="7"/>
  <c r="AS283" i="6"/>
  <c r="AW283" i="6" s="1"/>
  <c r="AN284" i="6"/>
  <c r="AO284" i="6"/>
  <c r="AP284" i="6"/>
  <c r="AQ284" i="6"/>
  <c r="Z285" i="6"/>
  <c r="AY285" i="6"/>
  <c r="V286" i="6"/>
  <c r="AA285" i="6"/>
  <c r="AV285" i="6"/>
  <c r="AK284" i="6"/>
  <c r="X308" i="6"/>
  <c r="X309" i="6" s="1"/>
  <c r="AY308" i="6"/>
  <c r="Y439" i="6"/>
  <c r="Y440" i="6" s="1"/>
  <c r="AD277" i="6"/>
  <c r="AE277" i="6"/>
  <c r="AF276" i="6"/>
  <c r="AG275" i="6"/>
  <c r="AH274" i="6"/>
  <c r="AI273" i="6"/>
  <c r="AU283" i="6" l="1"/>
  <c r="C280" i="7"/>
  <c r="D280" i="7"/>
  <c r="BA283" i="6"/>
  <c r="B281" i="7"/>
  <c r="AS284" i="6"/>
  <c r="AW284" i="6" s="1"/>
  <c r="AN285" i="6"/>
  <c r="AO285" i="6"/>
  <c r="AP285" i="6"/>
  <c r="AQ285" i="6"/>
  <c r="Y441" i="6"/>
  <c r="Y442" i="6" s="1"/>
  <c r="X310" i="6"/>
  <c r="X311" i="6" s="1"/>
  <c r="AY310" i="6"/>
  <c r="AK285" i="6"/>
  <c r="AA286" i="6"/>
  <c r="V287" i="6"/>
  <c r="Z286" i="6"/>
  <c r="AV286" i="6"/>
  <c r="AD278" i="6"/>
  <c r="AE278" i="6"/>
  <c r="AF277" i="6"/>
  <c r="AG276" i="6"/>
  <c r="AH275" i="6"/>
  <c r="AI274" i="6"/>
  <c r="AU284" i="6" l="1"/>
  <c r="C281" i="7"/>
  <c r="D281" i="7"/>
  <c r="BA284" i="6"/>
  <c r="B282" i="7"/>
  <c r="AS285" i="6"/>
  <c r="AW285" i="6" s="1"/>
  <c r="AN286" i="6"/>
  <c r="AO286" i="6"/>
  <c r="AP286" i="6"/>
  <c r="AQ286" i="6"/>
  <c r="Z287" i="6"/>
  <c r="AY287" i="6"/>
  <c r="V288" i="6"/>
  <c r="AA287" i="6"/>
  <c r="AV287" i="6"/>
  <c r="AK286" i="6"/>
  <c r="X312" i="6"/>
  <c r="X313" i="6" s="1"/>
  <c r="AY312" i="6"/>
  <c r="Y443" i="6"/>
  <c r="Y444" i="6" s="1"/>
  <c r="AD279" i="6"/>
  <c r="AE279" i="6"/>
  <c r="AF278" i="6"/>
  <c r="AG277" i="6"/>
  <c r="AH276" i="6"/>
  <c r="AI275" i="6"/>
  <c r="AU285" i="6" l="1"/>
  <c r="C282" i="7"/>
  <c r="D282" i="7"/>
  <c r="BA285" i="6"/>
  <c r="B283" i="7"/>
  <c r="AS286" i="6"/>
  <c r="AW286" i="6" s="1"/>
  <c r="AN287" i="6"/>
  <c r="AO287" i="6"/>
  <c r="AP287" i="6"/>
  <c r="AQ287" i="6"/>
  <c r="Y445" i="6"/>
  <c r="Y446" i="6" s="1"/>
  <c r="X314" i="6"/>
  <c r="X315" i="6" s="1"/>
  <c r="AY314" i="6"/>
  <c r="AK287" i="6"/>
  <c r="AA288" i="6"/>
  <c r="V289" i="6"/>
  <c r="Z288" i="6"/>
  <c r="AV288" i="6"/>
  <c r="AD280" i="6"/>
  <c r="AE280" i="6"/>
  <c r="AF279" i="6"/>
  <c r="AG278" i="6"/>
  <c r="AH277" i="6"/>
  <c r="AI276" i="6"/>
  <c r="AU286" i="6" l="1"/>
  <c r="C283" i="7"/>
  <c r="D283" i="7"/>
  <c r="BA286" i="6"/>
  <c r="B284" i="7"/>
  <c r="AS287" i="6"/>
  <c r="AW287" i="6" s="1"/>
  <c r="AN288" i="6"/>
  <c r="AO288" i="6"/>
  <c r="AP288" i="6"/>
  <c r="AQ288" i="6"/>
  <c r="Z289" i="6"/>
  <c r="AY289" i="6"/>
  <c r="V290" i="6"/>
  <c r="AA289" i="6"/>
  <c r="AV289" i="6"/>
  <c r="AK288" i="6"/>
  <c r="X316" i="6"/>
  <c r="X317" i="6" s="1"/>
  <c r="AY316" i="6"/>
  <c r="Y447" i="6"/>
  <c r="Y448" i="6" s="1"/>
  <c r="AD281" i="6"/>
  <c r="AE281" i="6"/>
  <c r="AF280" i="6"/>
  <c r="AG279" i="6"/>
  <c r="AH278" i="6"/>
  <c r="AI277" i="6"/>
  <c r="AU287" i="6" l="1"/>
  <c r="C284" i="7"/>
  <c r="D284" i="7"/>
  <c r="BA287" i="6"/>
  <c r="B285" i="7"/>
  <c r="AS288" i="6"/>
  <c r="AW288" i="6" s="1"/>
  <c r="AN289" i="6"/>
  <c r="AO289" i="6"/>
  <c r="AP289" i="6"/>
  <c r="AQ289" i="6"/>
  <c r="Y449" i="6"/>
  <c r="Y450" i="6" s="1"/>
  <c r="X318" i="6"/>
  <c r="X319" i="6" s="1"/>
  <c r="AY318" i="6"/>
  <c r="AK289" i="6"/>
  <c r="AA290" i="6"/>
  <c r="V291" i="6"/>
  <c r="Z290" i="6"/>
  <c r="AV290" i="6"/>
  <c r="AD282" i="6"/>
  <c r="AE282" i="6"/>
  <c r="AF281" i="6"/>
  <c r="AG280" i="6"/>
  <c r="AH279" i="6"/>
  <c r="AI278" i="6"/>
  <c r="AU288" i="6" l="1"/>
  <c r="C285" i="7"/>
  <c r="D285" i="7"/>
  <c r="BA288" i="6"/>
  <c r="B286" i="7"/>
  <c r="AS289" i="6"/>
  <c r="AW289" i="6" s="1"/>
  <c r="AN290" i="6"/>
  <c r="AO290" i="6"/>
  <c r="AP290" i="6"/>
  <c r="AQ290" i="6"/>
  <c r="Z291" i="6"/>
  <c r="AY291" i="6"/>
  <c r="V292" i="6"/>
  <c r="AA291" i="6"/>
  <c r="AV291" i="6"/>
  <c r="AK290" i="6"/>
  <c r="X320" i="6"/>
  <c r="X321" i="6" s="1"/>
  <c r="AY320" i="6"/>
  <c r="Y451" i="6"/>
  <c r="Y452" i="6" s="1"/>
  <c r="AD283" i="6"/>
  <c r="AE283" i="6"/>
  <c r="AF282" i="6"/>
  <c r="AG281" i="6"/>
  <c r="AH280" i="6"/>
  <c r="AI279" i="6"/>
  <c r="AU289" i="6" l="1"/>
  <c r="C286" i="7"/>
  <c r="D286" i="7"/>
  <c r="BA289" i="6"/>
  <c r="B287" i="7"/>
  <c r="AS290" i="6"/>
  <c r="AW290" i="6" s="1"/>
  <c r="AN291" i="6"/>
  <c r="AO291" i="6"/>
  <c r="AP291" i="6"/>
  <c r="AQ291" i="6"/>
  <c r="Y453" i="6"/>
  <c r="Y454" i="6" s="1"/>
  <c r="Y455" i="6" s="1"/>
  <c r="X322" i="6"/>
  <c r="X323" i="6" s="1"/>
  <c r="AY322" i="6"/>
  <c r="AK291" i="6"/>
  <c r="AA292" i="6"/>
  <c r="V293" i="6"/>
  <c r="Z292" i="6"/>
  <c r="AV292" i="6"/>
  <c r="AD284" i="6"/>
  <c r="AE284" i="6"/>
  <c r="AF283" i="6"/>
  <c r="AG282" i="6"/>
  <c r="AH281" i="6"/>
  <c r="AI280" i="6"/>
  <c r="AU290" i="6" l="1"/>
  <c r="C287" i="7"/>
  <c r="D287" i="7"/>
  <c r="BA290" i="6"/>
  <c r="B288" i="7"/>
  <c r="AS291" i="6"/>
  <c r="AW291" i="6" s="1"/>
  <c r="AN292" i="6"/>
  <c r="AO292" i="6"/>
  <c r="AP292" i="6"/>
  <c r="AQ292" i="6"/>
  <c r="Z293" i="6"/>
  <c r="AY293" i="6"/>
  <c r="V294" i="6"/>
  <c r="AA293" i="6"/>
  <c r="AV293" i="6"/>
  <c r="AK292" i="6"/>
  <c r="X324" i="6"/>
  <c r="X325" i="6" s="1"/>
  <c r="AY324" i="6"/>
  <c r="Y456" i="6"/>
  <c r="Y457" i="6" s="1"/>
  <c r="AD285" i="6"/>
  <c r="AE285" i="6"/>
  <c r="AF284" i="6"/>
  <c r="AG283" i="6"/>
  <c r="AH282" i="6"/>
  <c r="AI281" i="6"/>
  <c r="AU291" i="6" l="1"/>
  <c r="C288" i="7"/>
  <c r="D288" i="7"/>
  <c r="BA291" i="6"/>
  <c r="B289" i="7"/>
  <c r="AS292" i="6"/>
  <c r="AW292" i="6" s="1"/>
  <c r="AN293" i="6"/>
  <c r="AO293" i="6"/>
  <c r="AP293" i="6"/>
  <c r="AQ293" i="6"/>
  <c r="Y458" i="6"/>
  <c r="Y459" i="6" s="1"/>
  <c r="X326" i="6"/>
  <c r="X327" i="6" s="1"/>
  <c r="AY326" i="6"/>
  <c r="AK293" i="6"/>
  <c r="AA294" i="6"/>
  <c r="V295" i="6"/>
  <c r="Z294" i="6"/>
  <c r="AV294" i="6"/>
  <c r="AD286" i="6"/>
  <c r="AE286" i="6"/>
  <c r="AF285" i="6"/>
  <c r="AG284" i="6"/>
  <c r="AH283" i="6"/>
  <c r="AI282" i="6"/>
  <c r="AU292" i="6" l="1"/>
  <c r="C289" i="7"/>
  <c r="D289" i="7"/>
  <c r="BA292" i="6"/>
  <c r="B290" i="7"/>
  <c r="AS293" i="6"/>
  <c r="AW293" i="6" s="1"/>
  <c r="AN294" i="6"/>
  <c r="AO294" i="6"/>
  <c r="AP294" i="6"/>
  <c r="AQ294" i="6"/>
  <c r="Z295" i="6"/>
  <c r="AY295" i="6"/>
  <c r="V296" i="6"/>
  <c r="AA295" i="6"/>
  <c r="AV295" i="6"/>
  <c r="AK294" i="6"/>
  <c r="X328" i="6"/>
  <c r="X329" i="6" s="1"/>
  <c r="AY328" i="6"/>
  <c r="Y460" i="6"/>
  <c r="Y461" i="6" s="1"/>
  <c r="AD287" i="6"/>
  <c r="AE287" i="6"/>
  <c r="AF286" i="6"/>
  <c r="AG285" i="6"/>
  <c r="AH284" i="6"/>
  <c r="AI283" i="6"/>
  <c r="AU293" i="6" l="1"/>
  <c r="C290" i="7"/>
  <c r="D290" i="7"/>
  <c r="BA293" i="6"/>
  <c r="B291" i="7"/>
  <c r="AS294" i="6"/>
  <c r="AW294" i="6" s="1"/>
  <c r="AN295" i="6"/>
  <c r="AO295" i="6"/>
  <c r="AP295" i="6"/>
  <c r="AQ295" i="6"/>
  <c r="Y462" i="6"/>
  <c r="Y463" i="6" s="1"/>
  <c r="X330" i="6"/>
  <c r="X331" i="6" s="1"/>
  <c r="AY330" i="6"/>
  <c r="AK295" i="6"/>
  <c r="AA296" i="6"/>
  <c r="V297" i="6"/>
  <c r="Z296" i="6"/>
  <c r="AV296" i="6"/>
  <c r="AD288" i="6"/>
  <c r="AE288" i="6"/>
  <c r="AF287" i="6"/>
  <c r="AG286" i="6"/>
  <c r="AH285" i="6"/>
  <c r="AI284" i="6"/>
  <c r="AU294" i="6" l="1"/>
  <c r="C291" i="7"/>
  <c r="D291" i="7"/>
  <c r="BA294" i="6"/>
  <c r="B292" i="7"/>
  <c r="AS295" i="6"/>
  <c r="AW295" i="6" s="1"/>
  <c r="AN296" i="6"/>
  <c r="AO296" i="6"/>
  <c r="AP296" i="6"/>
  <c r="AQ296" i="6"/>
  <c r="Z297" i="6"/>
  <c r="AY297" i="6"/>
  <c r="V298" i="6"/>
  <c r="AA297" i="6"/>
  <c r="AV297" i="6"/>
  <c r="AK296" i="6"/>
  <c r="X332" i="6"/>
  <c r="X333" i="6" s="1"/>
  <c r="AY332" i="6"/>
  <c r="Y464" i="6"/>
  <c r="Y465" i="6" s="1"/>
  <c r="AD289" i="6"/>
  <c r="AE289" i="6"/>
  <c r="AF288" i="6"/>
  <c r="AG287" i="6"/>
  <c r="AH286" i="6"/>
  <c r="AI285" i="6"/>
  <c r="AU295" i="6" l="1"/>
  <c r="C292" i="7"/>
  <c r="D292" i="7"/>
  <c r="BA295" i="6"/>
  <c r="B293" i="7"/>
  <c r="AS296" i="6"/>
  <c r="AW296" i="6" s="1"/>
  <c r="AN297" i="6"/>
  <c r="AO297" i="6"/>
  <c r="AP297" i="6"/>
  <c r="AQ297" i="6"/>
  <c r="Y466" i="6"/>
  <c r="Y467" i="6" s="1"/>
  <c r="X334" i="6"/>
  <c r="X335" i="6" s="1"/>
  <c r="AY334" i="6"/>
  <c r="AK297" i="6"/>
  <c r="AA298" i="6"/>
  <c r="V299" i="6"/>
  <c r="Z298" i="6"/>
  <c r="AV298" i="6"/>
  <c r="AD290" i="6"/>
  <c r="AE290" i="6"/>
  <c r="AF289" i="6"/>
  <c r="AG288" i="6"/>
  <c r="AH287" i="6"/>
  <c r="AI286" i="6"/>
  <c r="AU296" i="6" l="1"/>
  <c r="C293" i="7"/>
  <c r="D293" i="7"/>
  <c r="BA296" i="6"/>
  <c r="B294" i="7"/>
  <c r="AS297" i="6"/>
  <c r="AW297" i="6" s="1"/>
  <c r="AN298" i="6"/>
  <c r="AO298" i="6"/>
  <c r="AP298" i="6"/>
  <c r="AQ298" i="6"/>
  <c r="Z299" i="6"/>
  <c r="AY299" i="6"/>
  <c r="V300" i="6"/>
  <c r="AA299" i="6"/>
  <c r="AV299" i="6"/>
  <c r="AK298" i="6"/>
  <c r="X336" i="6"/>
  <c r="X337" i="6" s="1"/>
  <c r="AY336" i="6"/>
  <c r="Y468" i="6"/>
  <c r="Y469" i="6" s="1"/>
  <c r="Y470" i="6" s="1"/>
  <c r="AD291" i="6"/>
  <c r="AE291" i="6"/>
  <c r="AF290" i="6"/>
  <c r="AG289" i="6"/>
  <c r="AH288" i="6"/>
  <c r="AI287" i="6"/>
  <c r="AU297" i="6" l="1"/>
  <c r="C294" i="7"/>
  <c r="D294" i="7"/>
  <c r="BA297" i="6"/>
  <c r="B295" i="7"/>
  <c r="AS298" i="6"/>
  <c r="AW298" i="6" s="1"/>
  <c r="AN299" i="6"/>
  <c r="AO299" i="6"/>
  <c r="AP299" i="6"/>
  <c r="AQ299" i="6"/>
  <c r="Y471" i="6"/>
  <c r="Y472" i="6" s="1"/>
  <c r="X338" i="6"/>
  <c r="X339" i="6" s="1"/>
  <c r="AY338" i="6"/>
  <c r="AK299" i="6"/>
  <c r="AA300" i="6"/>
  <c r="V301" i="6"/>
  <c r="Z300" i="6"/>
  <c r="AV300" i="6"/>
  <c r="AD292" i="6"/>
  <c r="AE292" i="6"/>
  <c r="AF291" i="6"/>
  <c r="AG290" i="6"/>
  <c r="AH289" i="6"/>
  <c r="AI288" i="6"/>
  <c r="AU298" i="6" l="1"/>
  <c r="C295" i="7"/>
  <c r="D295" i="7"/>
  <c r="BA298" i="6"/>
  <c r="B296" i="7"/>
  <c r="AS299" i="6"/>
  <c r="AW299" i="6" s="1"/>
  <c r="AN300" i="6"/>
  <c r="AO300" i="6"/>
  <c r="AP300" i="6"/>
  <c r="AQ300" i="6"/>
  <c r="Z301" i="6"/>
  <c r="AY301" i="6"/>
  <c r="V302" i="6"/>
  <c r="AA301" i="6"/>
  <c r="AV301" i="6"/>
  <c r="AK300" i="6"/>
  <c r="X340" i="6"/>
  <c r="X341" i="6" s="1"/>
  <c r="AY340" i="6"/>
  <c r="Y473" i="6"/>
  <c r="Y474" i="6" s="1"/>
  <c r="AD293" i="6"/>
  <c r="AE293" i="6"/>
  <c r="AF292" i="6"/>
  <c r="AG291" i="6"/>
  <c r="AH290" i="6"/>
  <c r="AI289" i="6"/>
  <c r="AU299" i="6" l="1"/>
  <c r="C296" i="7"/>
  <c r="D296" i="7"/>
  <c r="BA299" i="6"/>
  <c r="B297" i="7"/>
  <c r="AS300" i="6"/>
  <c r="AW300" i="6" s="1"/>
  <c r="AN301" i="6"/>
  <c r="AO301" i="6"/>
  <c r="AP301" i="6"/>
  <c r="AQ301" i="6"/>
  <c r="Y475" i="6"/>
  <c r="Y476" i="6" s="1"/>
  <c r="X342" i="6"/>
  <c r="X343" i="6" s="1"/>
  <c r="AY342" i="6"/>
  <c r="AK301" i="6"/>
  <c r="AA302" i="6"/>
  <c r="V303" i="6"/>
  <c r="Z302" i="6"/>
  <c r="AV302" i="6"/>
  <c r="AD294" i="6"/>
  <c r="AE294" i="6"/>
  <c r="AF293" i="6"/>
  <c r="AG292" i="6"/>
  <c r="AH291" i="6"/>
  <c r="AI290" i="6"/>
  <c r="AU300" i="6" l="1"/>
  <c r="C297" i="7"/>
  <c r="D297" i="7"/>
  <c r="BA300" i="6"/>
  <c r="B298" i="7"/>
  <c r="AS301" i="6"/>
  <c r="AW301" i="6" s="1"/>
  <c r="AN302" i="6"/>
  <c r="AO302" i="6"/>
  <c r="AP302" i="6"/>
  <c r="AQ302" i="6"/>
  <c r="Z303" i="6"/>
  <c r="AY303" i="6"/>
  <c r="V304" i="6"/>
  <c r="AA303" i="6"/>
  <c r="AV303" i="6"/>
  <c r="AK302" i="6"/>
  <c r="X344" i="6"/>
  <c r="X345" i="6" s="1"/>
  <c r="AY344" i="6"/>
  <c r="Y477" i="6"/>
  <c r="Y478" i="6" s="1"/>
  <c r="AD295" i="6"/>
  <c r="AE295" i="6"/>
  <c r="AF294" i="6"/>
  <c r="AG293" i="6"/>
  <c r="AH292" i="6"/>
  <c r="AI291" i="6"/>
  <c r="AU301" i="6" l="1"/>
  <c r="C298" i="7"/>
  <c r="D298" i="7"/>
  <c r="BA301" i="6"/>
  <c r="B299" i="7"/>
  <c r="AS302" i="6"/>
  <c r="AW302" i="6" s="1"/>
  <c r="AN303" i="6"/>
  <c r="AO303" i="6"/>
  <c r="AP303" i="6"/>
  <c r="AQ303" i="6"/>
  <c r="Y479" i="6"/>
  <c r="Y480" i="6" s="1"/>
  <c r="X346" i="6"/>
  <c r="X347" i="6" s="1"/>
  <c r="AY346" i="6"/>
  <c r="AK303" i="6"/>
  <c r="AA304" i="6"/>
  <c r="V305" i="6"/>
  <c r="Z304" i="6"/>
  <c r="AV304" i="6"/>
  <c r="AD296" i="6"/>
  <c r="AE296" i="6"/>
  <c r="AF295" i="6"/>
  <c r="AG294" i="6"/>
  <c r="AH293" i="6"/>
  <c r="AI292" i="6"/>
  <c r="AU302" i="6" l="1"/>
  <c r="C299" i="7"/>
  <c r="D299" i="7"/>
  <c r="BA302" i="6"/>
  <c r="B300" i="7"/>
  <c r="AS303" i="6"/>
  <c r="AW303" i="6" s="1"/>
  <c r="AN304" i="6"/>
  <c r="AO304" i="6"/>
  <c r="AP304" i="6"/>
  <c r="AQ304" i="6"/>
  <c r="Z305" i="6"/>
  <c r="AY305" i="6"/>
  <c r="V306" i="6"/>
  <c r="AA305" i="6"/>
  <c r="AV305" i="6"/>
  <c r="AK304" i="6"/>
  <c r="X348" i="6"/>
  <c r="X349" i="6" s="1"/>
  <c r="AY348" i="6"/>
  <c r="Y481" i="6"/>
  <c r="Y482" i="6" s="1"/>
  <c r="AD297" i="6"/>
  <c r="AE297" i="6"/>
  <c r="AF296" i="6"/>
  <c r="AG295" i="6"/>
  <c r="AH294" i="6"/>
  <c r="AI293" i="6"/>
  <c r="AU303" i="6" l="1"/>
  <c r="C300" i="7"/>
  <c r="D300" i="7"/>
  <c r="BA303" i="6"/>
  <c r="B301" i="7"/>
  <c r="AS304" i="6"/>
  <c r="AW304" i="6" s="1"/>
  <c r="AN305" i="6"/>
  <c r="AO305" i="6"/>
  <c r="AP305" i="6"/>
  <c r="AQ305" i="6"/>
  <c r="Y483" i="6"/>
  <c r="Y484" i="6" s="1"/>
  <c r="X350" i="6"/>
  <c r="X351" i="6" s="1"/>
  <c r="AY350" i="6"/>
  <c r="AK305" i="6"/>
  <c r="AA306" i="6"/>
  <c r="V307" i="6"/>
  <c r="Z306" i="6"/>
  <c r="AV306" i="6"/>
  <c r="AD298" i="6"/>
  <c r="AE298" i="6"/>
  <c r="AF297" i="6"/>
  <c r="AG296" i="6"/>
  <c r="AH295" i="6"/>
  <c r="AI294" i="6"/>
  <c r="AU304" i="6" l="1"/>
  <c r="C301" i="7"/>
  <c r="D301" i="7"/>
  <c r="BA304" i="6"/>
  <c r="B302" i="7"/>
  <c r="AS305" i="6"/>
  <c r="AW305" i="6" s="1"/>
  <c r="AN306" i="6"/>
  <c r="AO306" i="6"/>
  <c r="AP306" i="6"/>
  <c r="AQ306" i="6"/>
  <c r="Z307" i="6"/>
  <c r="AY307" i="6"/>
  <c r="V308" i="6"/>
  <c r="AA307" i="6"/>
  <c r="AV307" i="6"/>
  <c r="AK306" i="6"/>
  <c r="X352" i="6"/>
  <c r="X353" i="6" s="1"/>
  <c r="AY352" i="6"/>
  <c r="Y485" i="6"/>
  <c r="Y486" i="6" s="1"/>
  <c r="AD299" i="6"/>
  <c r="AE299" i="6"/>
  <c r="AF298" i="6"/>
  <c r="AG297" i="6"/>
  <c r="AH296" i="6"/>
  <c r="AI295" i="6"/>
  <c r="AU305" i="6" l="1"/>
  <c r="C302" i="7"/>
  <c r="D302" i="7"/>
  <c r="BA305" i="6"/>
  <c r="B303" i="7"/>
  <c r="AS306" i="6"/>
  <c r="AW306" i="6" s="1"/>
  <c r="AN307" i="6"/>
  <c r="AO307" i="6"/>
  <c r="AP307" i="6"/>
  <c r="AQ307" i="6"/>
  <c r="Y487" i="6"/>
  <c r="Y488" i="6" s="1"/>
  <c r="Y489" i="6" s="1"/>
  <c r="X354" i="6"/>
  <c r="X355" i="6" s="1"/>
  <c r="AY354" i="6"/>
  <c r="AK307" i="6"/>
  <c r="AA308" i="6"/>
  <c r="V309" i="6"/>
  <c r="Z308" i="6"/>
  <c r="AV308" i="6"/>
  <c r="AD300" i="6"/>
  <c r="AE300" i="6"/>
  <c r="AF299" i="6"/>
  <c r="AG298" i="6"/>
  <c r="AH297" i="6"/>
  <c r="AI296" i="6"/>
  <c r="AU306" i="6" l="1"/>
  <c r="C303" i="7"/>
  <c r="D303" i="7"/>
  <c r="BA306" i="6"/>
  <c r="B304" i="7"/>
  <c r="AS307" i="6"/>
  <c r="AW307" i="6" s="1"/>
  <c r="AN308" i="6"/>
  <c r="AO308" i="6"/>
  <c r="AP308" i="6"/>
  <c r="AQ308" i="6"/>
  <c r="Z309" i="6"/>
  <c r="AY309" i="6"/>
  <c r="V310" i="6"/>
  <c r="AA309" i="6"/>
  <c r="AV309" i="6"/>
  <c r="AK308" i="6"/>
  <c r="X356" i="6"/>
  <c r="X357" i="6" s="1"/>
  <c r="AY356" i="6"/>
  <c r="Y490" i="6"/>
  <c r="Y491" i="6" s="1"/>
  <c r="AD301" i="6"/>
  <c r="AE301" i="6"/>
  <c r="AF300" i="6"/>
  <c r="AG299" i="6"/>
  <c r="AH298" i="6"/>
  <c r="AI297" i="6"/>
  <c r="AU307" i="6" l="1"/>
  <c r="C304" i="7"/>
  <c r="D304" i="7"/>
  <c r="BA307" i="6"/>
  <c r="B305" i="7"/>
  <c r="AS308" i="6"/>
  <c r="AW308" i="6" s="1"/>
  <c r="AN309" i="6"/>
  <c r="AO309" i="6"/>
  <c r="AP309" i="6"/>
  <c r="AQ309" i="6"/>
  <c r="Y492" i="6"/>
  <c r="Y493" i="6" s="1"/>
  <c r="X358" i="6"/>
  <c r="X359" i="6" s="1"/>
  <c r="X360" i="6" s="1"/>
  <c r="AY358" i="6"/>
  <c r="AK309" i="6"/>
  <c r="AA310" i="6"/>
  <c r="V311" i="6"/>
  <c r="Z310" i="6"/>
  <c r="AV310" i="6"/>
  <c r="AD302" i="6"/>
  <c r="AE302" i="6"/>
  <c r="AF301" i="6"/>
  <c r="AG300" i="6"/>
  <c r="AH299" i="6"/>
  <c r="AI298" i="6"/>
  <c r="AU308" i="6" l="1"/>
  <c r="C305" i="7"/>
  <c r="D305" i="7"/>
  <c r="BA308" i="6"/>
  <c r="B306" i="7"/>
  <c r="AS309" i="6"/>
  <c r="AW309" i="6" s="1"/>
  <c r="AN310" i="6"/>
  <c r="AO310" i="6"/>
  <c r="AP310" i="6"/>
  <c r="AQ310" i="6"/>
  <c r="Z311" i="6"/>
  <c r="AY311" i="6"/>
  <c r="V312" i="6"/>
  <c r="AA311" i="6"/>
  <c r="AV311" i="6"/>
  <c r="AK310" i="6"/>
  <c r="Y494" i="6"/>
  <c r="Y495" i="6" s="1"/>
  <c r="AD303" i="6"/>
  <c r="AE303" i="6"/>
  <c r="AF302" i="6"/>
  <c r="AG301" i="6"/>
  <c r="AH300" i="6"/>
  <c r="AI299" i="6"/>
  <c r="AU309" i="6" l="1"/>
  <c r="C306" i="7"/>
  <c r="D306" i="7"/>
  <c r="BA309" i="6"/>
  <c r="B307" i="7"/>
  <c r="AS310" i="6"/>
  <c r="AW310" i="6" s="1"/>
  <c r="AN311" i="6"/>
  <c r="AO311" i="6"/>
  <c r="AP311" i="6"/>
  <c r="AQ311" i="6"/>
  <c r="Y496" i="6"/>
  <c r="Y497" i="6" s="1"/>
  <c r="AK311" i="6"/>
  <c r="AA312" i="6"/>
  <c r="V313" i="6"/>
  <c r="Z312" i="6"/>
  <c r="AV312" i="6"/>
  <c r="AD304" i="6"/>
  <c r="AE304" i="6"/>
  <c r="AF303" i="6"/>
  <c r="AG302" i="6"/>
  <c r="AH301" i="6"/>
  <c r="AI300" i="6"/>
  <c r="AU310" i="6" l="1"/>
  <c r="C307" i="7"/>
  <c r="D307" i="7"/>
  <c r="BA310" i="6"/>
  <c r="B308" i="7"/>
  <c r="AS311" i="6"/>
  <c r="AW311" i="6" s="1"/>
  <c r="AN312" i="6"/>
  <c r="AO312" i="6"/>
  <c r="AP312" i="6"/>
  <c r="AQ312" i="6"/>
  <c r="Z313" i="6"/>
  <c r="AY313" i="6"/>
  <c r="V314" i="6"/>
  <c r="AA313" i="6"/>
  <c r="AV313" i="6"/>
  <c r="AK312" i="6"/>
  <c r="Y498" i="6"/>
  <c r="Y499" i="6" s="1"/>
  <c r="AD305" i="6"/>
  <c r="AE305" i="6"/>
  <c r="AF304" i="6"/>
  <c r="AG303" i="6"/>
  <c r="AH302" i="6"/>
  <c r="AI301" i="6"/>
  <c r="AU311" i="6" l="1"/>
  <c r="C308" i="7"/>
  <c r="D308" i="7"/>
  <c r="BA311" i="6"/>
  <c r="B309" i="7"/>
  <c r="AS312" i="6"/>
  <c r="AW312" i="6" s="1"/>
  <c r="AN313" i="6"/>
  <c r="AO313" i="6"/>
  <c r="AP313" i="6"/>
  <c r="AQ313" i="6"/>
  <c r="Y500" i="6"/>
  <c r="Y501" i="6" s="1"/>
  <c r="AK313" i="6"/>
  <c r="AA314" i="6"/>
  <c r="V315" i="6"/>
  <c r="Z314" i="6"/>
  <c r="AV314" i="6"/>
  <c r="AD306" i="6"/>
  <c r="AE306" i="6"/>
  <c r="AF305" i="6"/>
  <c r="AG304" i="6"/>
  <c r="AH303" i="6"/>
  <c r="AI302" i="6"/>
  <c r="AU312" i="6" l="1"/>
  <c r="C309" i="7"/>
  <c r="D309" i="7"/>
  <c r="BA312" i="6"/>
  <c r="B310" i="7"/>
  <c r="AS313" i="6"/>
  <c r="AW313" i="6" s="1"/>
  <c r="AN314" i="6"/>
  <c r="AO314" i="6"/>
  <c r="AP314" i="6"/>
  <c r="AQ314" i="6"/>
  <c r="Z315" i="6"/>
  <c r="AY315" i="6"/>
  <c r="V316" i="6"/>
  <c r="AA315" i="6"/>
  <c r="AV315" i="6"/>
  <c r="AK314" i="6"/>
  <c r="Y502" i="6"/>
  <c r="Y503" i="6" s="1"/>
  <c r="AD307" i="6"/>
  <c r="AE307" i="6"/>
  <c r="AF306" i="6"/>
  <c r="AG305" i="6"/>
  <c r="AH304" i="6"/>
  <c r="AI303" i="6"/>
  <c r="AU313" i="6" l="1"/>
  <c r="C310" i="7"/>
  <c r="D310" i="7"/>
  <c r="BA313" i="6"/>
  <c r="B311" i="7"/>
  <c r="AS314" i="6"/>
  <c r="AW314" i="6" s="1"/>
  <c r="AN315" i="6"/>
  <c r="AO315" i="6"/>
  <c r="AP315" i="6"/>
  <c r="AQ315" i="6"/>
  <c r="Y504" i="6"/>
  <c r="Y505" i="6" s="1"/>
  <c r="AK315" i="6"/>
  <c r="AA316" i="6"/>
  <c r="V317" i="6"/>
  <c r="Z316" i="6"/>
  <c r="AV316" i="6"/>
  <c r="AD308" i="6"/>
  <c r="AE308" i="6"/>
  <c r="AF307" i="6"/>
  <c r="AG306" i="6"/>
  <c r="AH305" i="6"/>
  <c r="AI304" i="6"/>
  <c r="AU314" i="6" l="1"/>
  <c r="C311" i="7"/>
  <c r="D311" i="7"/>
  <c r="BA314" i="6"/>
  <c r="B312" i="7"/>
  <c r="AS315" i="6"/>
  <c r="AW315" i="6" s="1"/>
  <c r="AN316" i="6"/>
  <c r="AO316" i="6"/>
  <c r="AP316" i="6"/>
  <c r="AQ316" i="6"/>
  <c r="Z317" i="6"/>
  <c r="AY317" i="6"/>
  <c r="V318" i="6"/>
  <c r="AA317" i="6"/>
  <c r="AV317" i="6"/>
  <c r="AK316" i="6"/>
  <c r="Y506" i="6"/>
  <c r="Y507" i="6" s="1"/>
  <c r="AD309" i="6"/>
  <c r="AE309" i="6"/>
  <c r="AF308" i="6"/>
  <c r="AG307" i="6"/>
  <c r="AH306" i="6"/>
  <c r="AI305" i="6"/>
  <c r="AU315" i="6" l="1"/>
  <c r="C312" i="7"/>
  <c r="D312" i="7"/>
  <c r="BA315" i="6"/>
  <c r="B313" i="7"/>
  <c r="AS316" i="6"/>
  <c r="AW316" i="6" s="1"/>
  <c r="AN317" i="6"/>
  <c r="AO317" i="6"/>
  <c r="AP317" i="6"/>
  <c r="AQ317" i="6"/>
  <c r="Y508" i="6"/>
  <c r="Y509" i="6" s="1"/>
  <c r="Y510" i="6" s="1"/>
  <c r="Y511" i="6" s="1"/>
  <c r="AK317" i="6"/>
  <c r="AA318" i="6"/>
  <c r="V319" i="6"/>
  <c r="Z318" i="6"/>
  <c r="AV318" i="6"/>
  <c r="AD310" i="6"/>
  <c r="AE310" i="6"/>
  <c r="AF309" i="6"/>
  <c r="AG308" i="6"/>
  <c r="AH307" i="6"/>
  <c r="AI306" i="6"/>
  <c r="AU316" i="6" l="1"/>
  <c r="C313" i="7"/>
  <c r="D313" i="7"/>
  <c r="BA316" i="6"/>
  <c r="B314" i="7"/>
  <c r="AS317" i="6"/>
  <c r="AW317" i="6" s="1"/>
  <c r="AN318" i="6"/>
  <c r="AO318" i="6"/>
  <c r="AP318" i="6"/>
  <c r="AQ318" i="6"/>
  <c r="Z319" i="6"/>
  <c r="AY319" i="6"/>
  <c r="V320" i="6"/>
  <c r="AA319" i="6"/>
  <c r="AV319" i="6"/>
  <c r="AK318" i="6"/>
  <c r="Y512" i="6"/>
  <c r="Y513" i="6" s="1"/>
  <c r="AD311" i="6"/>
  <c r="AE311" i="6"/>
  <c r="AF310" i="6"/>
  <c r="AG309" i="6"/>
  <c r="AH308" i="6"/>
  <c r="AI307" i="6"/>
  <c r="AU317" i="6" l="1"/>
  <c r="C314" i="7"/>
  <c r="D314" i="7"/>
  <c r="BA317" i="6"/>
  <c r="B315" i="7"/>
  <c r="AS318" i="6"/>
  <c r="AW318" i="6" s="1"/>
  <c r="AN319" i="6"/>
  <c r="AO319" i="6"/>
  <c r="AP319" i="6"/>
  <c r="AQ319" i="6"/>
  <c r="Y514" i="6"/>
  <c r="Y515" i="6" s="1"/>
  <c r="AK319" i="6"/>
  <c r="AA320" i="6"/>
  <c r="V321" i="6"/>
  <c r="Z320" i="6"/>
  <c r="AV320" i="6"/>
  <c r="AD312" i="6"/>
  <c r="AE312" i="6"/>
  <c r="AF311" i="6"/>
  <c r="AG310" i="6"/>
  <c r="AH309" i="6"/>
  <c r="AI308" i="6"/>
  <c r="AU318" i="6" l="1"/>
  <c r="C315" i="7"/>
  <c r="D315" i="7"/>
  <c r="BA318" i="6"/>
  <c r="B316" i="7"/>
  <c r="AS319" i="6"/>
  <c r="AW319" i="6" s="1"/>
  <c r="AN320" i="6"/>
  <c r="AO320" i="6"/>
  <c r="AP320" i="6"/>
  <c r="AQ320" i="6"/>
  <c r="Z321" i="6"/>
  <c r="AY321" i="6"/>
  <c r="V322" i="6"/>
  <c r="AA321" i="6"/>
  <c r="AV321" i="6"/>
  <c r="AK320" i="6"/>
  <c r="Y516" i="6"/>
  <c r="Y517" i="6" s="1"/>
  <c r="Y518" i="6" s="1"/>
  <c r="Y519" i="6" s="1"/>
  <c r="Y520" i="6" s="1"/>
  <c r="AD313" i="6"/>
  <c r="AE313" i="6"/>
  <c r="AF312" i="6"/>
  <c r="AG311" i="6"/>
  <c r="AH310" i="6"/>
  <c r="AI309" i="6"/>
  <c r="AU319" i="6" l="1"/>
  <c r="C316" i="7"/>
  <c r="D316" i="7"/>
  <c r="BA319" i="6"/>
  <c r="B317" i="7"/>
  <c r="AS320" i="6"/>
  <c r="AW320" i="6" s="1"/>
  <c r="AN321" i="6"/>
  <c r="AO321" i="6"/>
  <c r="AP321" i="6"/>
  <c r="AQ321" i="6"/>
  <c r="Y521" i="6"/>
  <c r="Y522" i="6" s="1"/>
  <c r="AK321" i="6"/>
  <c r="AA322" i="6"/>
  <c r="V323" i="6"/>
  <c r="Z322" i="6"/>
  <c r="AV322" i="6"/>
  <c r="AD314" i="6"/>
  <c r="AE314" i="6"/>
  <c r="AF313" i="6"/>
  <c r="AG312" i="6"/>
  <c r="AH311" i="6"/>
  <c r="AI310" i="6"/>
  <c r="AU320" i="6" l="1"/>
  <c r="C317" i="7"/>
  <c r="D317" i="7"/>
  <c r="BA320" i="6"/>
  <c r="B318" i="7"/>
  <c r="AS321" i="6"/>
  <c r="AW321" i="6" s="1"/>
  <c r="AN322" i="6"/>
  <c r="AO322" i="6"/>
  <c r="AP322" i="6"/>
  <c r="AQ322" i="6"/>
  <c r="Z323" i="6"/>
  <c r="AY323" i="6"/>
  <c r="V324" i="6"/>
  <c r="AA323" i="6"/>
  <c r="AV323" i="6"/>
  <c r="AK322" i="6"/>
  <c r="Y523" i="6"/>
  <c r="Y524" i="6" s="1"/>
  <c r="Y525" i="6" s="1"/>
  <c r="AD315" i="6"/>
  <c r="AE315" i="6"/>
  <c r="AF314" i="6"/>
  <c r="AG313" i="6"/>
  <c r="AH312" i="6"/>
  <c r="AI311" i="6"/>
  <c r="AU321" i="6" l="1"/>
  <c r="C318" i="7"/>
  <c r="D318" i="7"/>
  <c r="BA321" i="6"/>
  <c r="B319" i="7"/>
  <c r="AS322" i="6"/>
  <c r="AW322" i="6" s="1"/>
  <c r="AN323" i="6"/>
  <c r="AO323" i="6"/>
  <c r="AP323" i="6"/>
  <c r="AQ323" i="6"/>
  <c r="AK323" i="6"/>
  <c r="AA324" i="6"/>
  <c r="V325" i="6"/>
  <c r="Z324" i="6"/>
  <c r="AV324" i="6"/>
  <c r="AD316" i="6"/>
  <c r="AE316" i="6"/>
  <c r="AF315" i="6"/>
  <c r="AG314" i="6"/>
  <c r="AH313" i="6"/>
  <c r="AI312" i="6"/>
  <c r="AU322" i="6" l="1"/>
  <c r="C319" i="7"/>
  <c r="D319" i="7"/>
  <c r="BA322" i="6"/>
  <c r="B320" i="7"/>
  <c r="AS323" i="6"/>
  <c r="AW323" i="6" s="1"/>
  <c r="AN324" i="6"/>
  <c r="AO324" i="6"/>
  <c r="AP324" i="6"/>
  <c r="AQ324" i="6"/>
  <c r="Z325" i="6"/>
  <c r="AY325" i="6"/>
  <c r="V326" i="6"/>
  <c r="AA325" i="6"/>
  <c r="AV325" i="6"/>
  <c r="AK324" i="6"/>
  <c r="AD317" i="6"/>
  <c r="AE317" i="6"/>
  <c r="AF316" i="6"/>
  <c r="AG315" i="6"/>
  <c r="AH314" i="6"/>
  <c r="AI313" i="6"/>
  <c r="AU323" i="6" l="1"/>
  <c r="C320" i="7"/>
  <c r="D320" i="7"/>
  <c r="BA323" i="6"/>
  <c r="B321" i="7"/>
  <c r="AS324" i="6"/>
  <c r="AW324" i="6" s="1"/>
  <c r="AN325" i="6"/>
  <c r="AO325" i="6"/>
  <c r="AP325" i="6"/>
  <c r="AQ325" i="6"/>
  <c r="AK325" i="6"/>
  <c r="AA326" i="6"/>
  <c r="V327" i="6"/>
  <c r="Z326" i="6"/>
  <c r="AV326" i="6"/>
  <c r="AD318" i="6"/>
  <c r="AE318" i="6"/>
  <c r="AF317" i="6"/>
  <c r="AG316" i="6"/>
  <c r="AH315" i="6"/>
  <c r="AI314" i="6"/>
  <c r="AU324" i="6" l="1"/>
  <c r="C321" i="7"/>
  <c r="D321" i="7"/>
  <c r="BA324" i="6"/>
  <c r="B322" i="7"/>
  <c r="AS325" i="6"/>
  <c r="AW325" i="6" s="1"/>
  <c r="AN326" i="6"/>
  <c r="AO326" i="6"/>
  <c r="AP326" i="6"/>
  <c r="AQ326" i="6"/>
  <c r="Z327" i="6"/>
  <c r="AY327" i="6"/>
  <c r="V328" i="6"/>
  <c r="AA327" i="6"/>
  <c r="AV327" i="6"/>
  <c r="AK326" i="6"/>
  <c r="AD319" i="6"/>
  <c r="AE319" i="6"/>
  <c r="AF318" i="6"/>
  <c r="AG317" i="6"/>
  <c r="AH316" i="6"/>
  <c r="AI315" i="6"/>
  <c r="AU325" i="6" l="1"/>
  <c r="C322" i="7"/>
  <c r="D322" i="7"/>
  <c r="BA325" i="6"/>
  <c r="B323" i="7"/>
  <c r="AS326" i="6"/>
  <c r="AW326" i="6" s="1"/>
  <c r="AN327" i="6"/>
  <c r="AO327" i="6"/>
  <c r="AP327" i="6"/>
  <c r="AQ327" i="6"/>
  <c r="AK327" i="6"/>
  <c r="AA328" i="6"/>
  <c r="V329" i="6"/>
  <c r="Z328" i="6"/>
  <c r="AV328" i="6"/>
  <c r="AD320" i="6"/>
  <c r="AE320" i="6"/>
  <c r="AF319" i="6"/>
  <c r="AG318" i="6"/>
  <c r="AH317" i="6"/>
  <c r="AI316" i="6"/>
  <c r="AU326" i="6" l="1"/>
  <c r="C323" i="7"/>
  <c r="D323" i="7"/>
  <c r="BA326" i="6"/>
  <c r="B324" i="7"/>
  <c r="AS327" i="6"/>
  <c r="AW327" i="6" s="1"/>
  <c r="AN328" i="6"/>
  <c r="AO328" i="6"/>
  <c r="AP328" i="6"/>
  <c r="AQ328" i="6"/>
  <c r="Z329" i="6"/>
  <c r="AY329" i="6"/>
  <c r="V330" i="6"/>
  <c r="AA329" i="6"/>
  <c r="AV329" i="6"/>
  <c r="AK328" i="6"/>
  <c r="AD321" i="6"/>
  <c r="AE321" i="6"/>
  <c r="AF320" i="6"/>
  <c r="AG319" i="6"/>
  <c r="AH318" i="6"/>
  <c r="AI317" i="6"/>
  <c r="AU327" i="6" l="1"/>
  <c r="C324" i="7"/>
  <c r="D324" i="7"/>
  <c r="BA327" i="6"/>
  <c r="B325" i="7"/>
  <c r="AS328" i="6"/>
  <c r="AW328" i="6" s="1"/>
  <c r="AN329" i="6"/>
  <c r="AO329" i="6"/>
  <c r="AP329" i="6"/>
  <c r="AQ329" i="6"/>
  <c r="AK329" i="6"/>
  <c r="AA330" i="6"/>
  <c r="V331" i="6"/>
  <c r="Z330" i="6"/>
  <c r="AV330" i="6"/>
  <c r="AD322" i="6"/>
  <c r="AE322" i="6"/>
  <c r="AF321" i="6"/>
  <c r="AG320" i="6"/>
  <c r="AH319" i="6"/>
  <c r="AI318" i="6"/>
  <c r="AU328" i="6" l="1"/>
  <c r="C325" i="7"/>
  <c r="D325" i="7"/>
  <c r="BA328" i="6"/>
  <c r="B326" i="7"/>
  <c r="AS329" i="6"/>
  <c r="AW329" i="6" s="1"/>
  <c r="AN330" i="6"/>
  <c r="AO330" i="6"/>
  <c r="AP330" i="6"/>
  <c r="AQ330" i="6"/>
  <c r="Z331" i="6"/>
  <c r="AY331" i="6"/>
  <c r="V332" i="6"/>
  <c r="AA331" i="6"/>
  <c r="AV331" i="6"/>
  <c r="AK330" i="6"/>
  <c r="AD323" i="6"/>
  <c r="AE323" i="6"/>
  <c r="AF322" i="6"/>
  <c r="AG321" i="6"/>
  <c r="AH320" i="6"/>
  <c r="AI319" i="6"/>
  <c r="AU329" i="6" l="1"/>
  <c r="C326" i="7"/>
  <c r="D326" i="7"/>
  <c r="BA329" i="6"/>
  <c r="B327" i="7"/>
  <c r="AS330" i="6"/>
  <c r="AW330" i="6" s="1"/>
  <c r="AN331" i="6"/>
  <c r="AO331" i="6"/>
  <c r="AP331" i="6"/>
  <c r="AQ331" i="6"/>
  <c r="AK331" i="6"/>
  <c r="AA332" i="6"/>
  <c r="V333" i="6"/>
  <c r="Z332" i="6"/>
  <c r="AV332" i="6"/>
  <c r="AD324" i="6"/>
  <c r="AE324" i="6"/>
  <c r="AF323" i="6"/>
  <c r="AG322" i="6"/>
  <c r="AH321" i="6"/>
  <c r="AI320" i="6"/>
  <c r="AU330" i="6" l="1"/>
  <c r="C327" i="7"/>
  <c r="D327" i="7"/>
  <c r="BA330" i="6"/>
  <c r="B328" i="7"/>
  <c r="AS331" i="6"/>
  <c r="AW331" i="6" s="1"/>
  <c r="AN332" i="6"/>
  <c r="AO332" i="6"/>
  <c r="AP332" i="6"/>
  <c r="AQ332" i="6"/>
  <c r="Z333" i="6"/>
  <c r="AY333" i="6"/>
  <c r="V334" i="6"/>
  <c r="AA333" i="6"/>
  <c r="AV333" i="6"/>
  <c r="AK332" i="6"/>
  <c r="AD325" i="6"/>
  <c r="AE325" i="6"/>
  <c r="AF324" i="6"/>
  <c r="AG323" i="6"/>
  <c r="AH322" i="6"/>
  <c r="AI321" i="6"/>
  <c r="AU331" i="6" l="1"/>
  <c r="C328" i="7"/>
  <c r="D328" i="7"/>
  <c r="BA331" i="6"/>
  <c r="B329" i="7"/>
  <c r="AS332" i="6"/>
  <c r="AW332" i="6" s="1"/>
  <c r="AN333" i="6"/>
  <c r="AO333" i="6"/>
  <c r="AP333" i="6"/>
  <c r="AQ333" i="6"/>
  <c r="AK333" i="6"/>
  <c r="AA334" i="6"/>
  <c r="V335" i="6"/>
  <c r="Z334" i="6"/>
  <c r="AV334" i="6"/>
  <c r="AD326" i="6"/>
  <c r="AE326" i="6"/>
  <c r="AF325" i="6"/>
  <c r="AG324" i="6"/>
  <c r="AH323" i="6"/>
  <c r="AI322" i="6"/>
  <c r="AU332" i="6" l="1"/>
  <c r="C329" i="7"/>
  <c r="D329" i="7"/>
  <c r="BA332" i="6"/>
  <c r="B330" i="7"/>
  <c r="AS333" i="6"/>
  <c r="AW333" i="6" s="1"/>
  <c r="AN334" i="6"/>
  <c r="AO334" i="6"/>
  <c r="AP334" i="6"/>
  <c r="AQ334" i="6"/>
  <c r="Z335" i="6"/>
  <c r="AY335" i="6"/>
  <c r="V336" i="6"/>
  <c r="AA335" i="6"/>
  <c r="AV335" i="6"/>
  <c r="AK334" i="6"/>
  <c r="AD327" i="6"/>
  <c r="AE327" i="6"/>
  <c r="AF326" i="6"/>
  <c r="AG325" i="6"/>
  <c r="AH324" i="6"/>
  <c r="AI323" i="6"/>
  <c r="AU333" i="6" l="1"/>
  <c r="C330" i="7"/>
  <c r="D330" i="7"/>
  <c r="BA333" i="6"/>
  <c r="B331" i="7"/>
  <c r="AS334" i="6"/>
  <c r="AW334" i="6" s="1"/>
  <c r="AN335" i="6"/>
  <c r="AO335" i="6"/>
  <c r="AP335" i="6"/>
  <c r="AQ335" i="6"/>
  <c r="AK335" i="6"/>
  <c r="AA336" i="6"/>
  <c r="V337" i="6"/>
  <c r="Z336" i="6"/>
  <c r="AV336" i="6"/>
  <c r="AD328" i="6"/>
  <c r="AE328" i="6"/>
  <c r="AF327" i="6"/>
  <c r="AG326" i="6"/>
  <c r="AH325" i="6"/>
  <c r="AI324" i="6"/>
  <c r="AU334" i="6" l="1"/>
  <c r="C331" i="7"/>
  <c r="D331" i="7"/>
  <c r="BA334" i="6"/>
  <c r="B332" i="7"/>
  <c r="AS335" i="6"/>
  <c r="AW335" i="6" s="1"/>
  <c r="AN336" i="6"/>
  <c r="AO336" i="6"/>
  <c r="AP336" i="6"/>
  <c r="AQ336" i="6"/>
  <c r="Z337" i="6"/>
  <c r="AY337" i="6"/>
  <c r="V338" i="6"/>
  <c r="AA337" i="6"/>
  <c r="AV337" i="6"/>
  <c r="AK336" i="6"/>
  <c r="AD329" i="6"/>
  <c r="AE329" i="6"/>
  <c r="AF328" i="6"/>
  <c r="AG327" i="6"/>
  <c r="AH326" i="6"/>
  <c r="AI325" i="6"/>
  <c r="AU335" i="6" l="1"/>
  <c r="C332" i="7"/>
  <c r="D332" i="7"/>
  <c r="BA335" i="6"/>
  <c r="B333" i="7"/>
  <c r="AS336" i="6"/>
  <c r="AW336" i="6" s="1"/>
  <c r="AN337" i="6"/>
  <c r="AO337" i="6"/>
  <c r="AP337" i="6"/>
  <c r="AQ337" i="6"/>
  <c r="AK337" i="6"/>
  <c r="AA338" i="6"/>
  <c r="V339" i="6"/>
  <c r="Z338" i="6"/>
  <c r="AV338" i="6"/>
  <c r="AD330" i="6"/>
  <c r="AE330" i="6"/>
  <c r="AF329" i="6"/>
  <c r="AG328" i="6"/>
  <c r="AH327" i="6"/>
  <c r="AI326" i="6"/>
  <c r="AU336" i="6" l="1"/>
  <c r="C333" i="7"/>
  <c r="D333" i="7"/>
  <c r="BA336" i="6"/>
  <c r="B334" i="7"/>
  <c r="AS337" i="6"/>
  <c r="AW337" i="6" s="1"/>
  <c r="AN338" i="6"/>
  <c r="AO338" i="6"/>
  <c r="AP338" i="6"/>
  <c r="AQ338" i="6"/>
  <c r="Z339" i="6"/>
  <c r="AY339" i="6"/>
  <c r="V340" i="6"/>
  <c r="AA339" i="6"/>
  <c r="AV339" i="6"/>
  <c r="AK338" i="6"/>
  <c r="AD331" i="6"/>
  <c r="AE331" i="6"/>
  <c r="AF330" i="6"/>
  <c r="AG329" i="6"/>
  <c r="AH328" i="6"/>
  <c r="AI327" i="6"/>
  <c r="AU337" i="6" l="1"/>
  <c r="C334" i="7"/>
  <c r="D334" i="7"/>
  <c r="BA337" i="6"/>
  <c r="B335" i="7"/>
  <c r="AS338" i="6"/>
  <c r="AW338" i="6" s="1"/>
  <c r="AN339" i="6"/>
  <c r="AO339" i="6"/>
  <c r="AP339" i="6"/>
  <c r="AQ339" i="6"/>
  <c r="AK339" i="6"/>
  <c r="AA340" i="6"/>
  <c r="V341" i="6"/>
  <c r="Z340" i="6"/>
  <c r="AV340" i="6"/>
  <c r="AD332" i="6"/>
  <c r="AE332" i="6"/>
  <c r="AF331" i="6"/>
  <c r="AG330" i="6"/>
  <c r="AH329" i="6"/>
  <c r="AI328" i="6"/>
  <c r="AU338" i="6" l="1"/>
  <c r="C335" i="7"/>
  <c r="D335" i="7"/>
  <c r="BA338" i="6"/>
  <c r="B336" i="7"/>
  <c r="AS339" i="6"/>
  <c r="AW339" i="6" s="1"/>
  <c r="AN340" i="6"/>
  <c r="AO340" i="6"/>
  <c r="AP340" i="6"/>
  <c r="AQ340" i="6"/>
  <c r="Z341" i="6"/>
  <c r="AY341" i="6"/>
  <c r="V342" i="6"/>
  <c r="AA341" i="6"/>
  <c r="AV341" i="6"/>
  <c r="AK340" i="6"/>
  <c r="AD333" i="6"/>
  <c r="AE333" i="6"/>
  <c r="AF332" i="6"/>
  <c r="AG331" i="6"/>
  <c r="AH330" i="6"/>
  <c r="AI329" i="6"/>
  <c r="AU339" i="6" l="1"/>
  <c r="C336" i="7"/>
  <c r="D336" i="7"/>
  <c r="BA339" i="6"/>
  <c r="B337" i="7"/>
  <c r="AS340" i="6"/>
  <c r="AW340" i="6" s="1"/>
  <c r="AN341" i="6"/>
  <c r="AO341" i="6"/>
  <c r="AP341" i="6"/>
  <c r="AQ341" i="6"/>
  <c r="AK341" i="6"/>
  <c r="AA342" i="6"/>
  <c r="V343" i="6"/>
  <c r="Z342" i="6"/>
  <c r="AV342" i="6"/>
  <c r="AD334" i="6"/>
  <c r="AE334" i="6"/>
  <c r="AF333" i="6"/>
  <c r="AG332" i="6"/>
  <c r="AH331" i="6"/>
  <c r="AI330" i="6"/>
  <c r="AU340" i="6" l="1"/>
  <c r="C337" i="7"/>
  <c r="D337" i="7"/>
  <c r="BA340" i="6"/>
  <c r="B338" i="7"/>
  <c r="AS341" i="6"/>
  <c r="AW341" i="6" s="1"/>
  <c r="AN342" i="6"/>
  <c r="AO342" i="6"/>
  <c r="AP342" i="6"/>
  <c r="AQ342" i="6"/>
  <c r="Z343" i="6"/>
  <c r="AY343" i="6"/>
  <c r="V344" i="6"/>
  <c r="AA343" i="6"/>
  <c r="AV343" i="6"/>
  <c r="AK342" i="6"/>
  <c r="AD335" i="6"/>
  <c r="AE335" i="6"/>
  <c r="AF334" i="6"/>
  <c r="AG333" i="6"/>
  <c r="AH332" i="6"/>
  <c r="AI331" i="6"/>
  <c r="AU341" i="6" l="1"/>
  <c r="C338" i="7"/>
  <c r="D338" i="7"/>
  <c r="BA341" i="6"/>
  <c r="B339" i="7"/>
  <c r="AS342" i="6"/>
  <c r="AW342" i="6" s="1"/>
  <c r="AN343" i="6"/>
  <c r="AO343" i="6"/>
  <c r="AP343" i="6"/>
  <c r="AQ343" i="6"/>
  <c r="AK343" i="6"/>
  <c r="AA344" i="6"/>
  <c r="V345" i="6"/>
  <c r="Z344" i="6"/>
  <c r="AV344" i="6"/>
  <c r="AD336" i="6"/>
  <c r="AE336" i="6"/>
  <c r="AF335" i="6"/>
  <c r="AG334" i="6"/>
  <c r="AH333" i="6"/>
  <c r="AI332" i="6"/>
  <c r="AU342" i="6" l="1"/>
  <c r="C339" i="7"/>
  <c r="D339" i="7"/>
  <c r="BA342" i="6"/>
  <c r="B340" i="7"/>
  <c r="AS343" i="6"/>
  <c r="AW343" i="6" s="1"/>
  <c r="AN344" i="6"/>
  <c r="AO344" i="6"/>
  <c r="AP344" i="6"/>
  <c r="AQ344" i="6"/>
  <c r="Z345" i="6"/>
  <c r="AY345" i="6"/>
  <c r="V346" i="6"/>
  <c r="AA345" i="6"/>
  <c r="AV345" i="6"/>
  <c r="AK344" i="6"/>
  <c r="AD337" i="6"/>
  <c r="AE337" i="6"/>
  <c r="AF336" i="6"/>
  <c r="AG335" i="6"/>
  <c r="AH334" i="6"/>
  <c r="AI333" i="6"/>
  <c r="AU343" i="6" l="1"/>
  <c r="C340" i="7"/>
  <c r="D340" i="7"/>
  <c r="BA343" i="6"/>
  <c r="B341" i="7"/>
  <c r="AS344" i="6"/>
  <c r="AW344" i="6" s="1"/>
  <c r="AN345" i="6"/>
  <c r="AO345" i="6"/>
  <c r="AP345" i="6"/>
  <c r="AQ345" i="6"/>
  <c r="AK345" i="6"/>
  <c r="AA346" i="6"/>
  <c r="V347" i="6"/>
  <c r="Z346" i="6"/>
  <c r="AV346" i="6"/>
  <c r="AD338" i="6"/>
  <c r="AE338" i="6"/>
  <c r="AF337" i="6"/>
  <c r="AG336" i="6"/>
  <c r="AH335" i="6"/>
  <c r="AI334" i="6"/>
  <c r="AU344" i="6" l="1"/>
  <c r="C341" i="7"/>
  <c r="D341" i="7"/>
  <c r="BA344" i="6"/>
  <c r="B342" i="7"/>
  <c r="AS345" i="6"/>
  <c r="AW345" i="6" s="1"/>
  <c r="AN346" i="6"/>
  <c r="AO346" i="6"/>
  <c r="AP346" i="6"/>
  <c r="AQ346" i="6"/>
  <c r="Z347" i="6"/>
  <c r="AY347" i="6"/>
  <c r="V348" i="6"/>
  <c r="AA347" i="6"/>
  <c r="AV347" i="6"/>
  <c r="AK346" i="6"/>
  <c r="AD339" i="6"/>
  <c r="AE339" i="6"/>
  <c r="AF338" i="6"/>
  <c r="AG337" i="6"/>
  <c r="AH336" i="6"/>
  <c r="AI335" i="6"/>
  <c r="AU345" i="6" l="1"/>
  <c r="C342" i="7"/>
  <c r="D342" i="7"/>
  <c r="BA345" i="6"/>
  <c r="B343" i="7"/>
  <c r="AS346" i="6"/>
  <c r="AW346" i="6" s="1"/>
  <c r="AN347" i="6"/>
  <c r="AO347" i="6"/>
  <c r="AP347" i="6"/>
  <c r="AQ347" i="6"/>
  <c r="AK347" i="6"/>
  <c r="AA348" i="6"/>
  <c r="V349" i="6"/>
  <c r="Z348" i="6"/>
  <c r="AV348" i="6"/>
  <c r="AD340" i="6"/>
  <c r="AE340" i="6"/>
  <c r="AF339" i="6"/>
  <c r="AG338" i="6"/>
  <c r="AH337" i="6"/>
  <c r="AI336" i="6"/>
  <c r="AU346" i="6" l="1"/>
  <c r="C343" i="7"/>
  <c r="D343" i="7"/>
  <c r="BA346" i="6"/>
  <c r="B344" i="7"/>
  <c r="AS347" i="6"/>
  <c r="AW347" i="6" s="1"/>
  <c r="AN348" i="6"/>
  <c r="AO348" i="6"/>
  <c r="AP348" i="6"/>
  <c r="AQ348" i="6"/>
  <c r="Z349" i="6"/>
  <c r="AY349" i="6"/>
  <c r="V350" i="6"/>
  <c r="AA349" i="6"/>
  <c r="AV349" i="6"/>
  <c r="AK348" i="6"/>
  <c r="AD341" i="6"/>
  <c r="AE341" i="6"/>
  <c r="AF340" i="6"/>
  <c r="AG339" i="6"/>
  <c r="AH338" i="6"/>
  <c r="AI337" i="6"/>
  <c r="AU347" i="6" l="1"/>
  <c r="C344" i="7"/>
  <c r="D344" i="7"/>
  <c r="BA347" i="6"/>
  <c r="B345" i="7"/>
  <c r="AS348" i="6"/>
  <c r="AW348" i="6" s="1"/>
  <c r="AN349" i="6"/>
  <c r="AO349" i="6"/>
  <c r="AP349" i="6"/>
  <c r="AQ349" i="6"/>
  <c r="AK349" i="6"/>
  <c r="AA350" i="6"/>
  <c r="V351" i="6"/>
  <c r="Z350" i="6"/>
  <c r="AV350" i="6"/>
  <c r="AD342" i="6"/>
  <c r="AE342" i="6"/>
  <c r="AF341" i="6"/>
  <c r="AG340" i="6"/>
  <c r="AH339" i="6"/>
  <c r="AI338" i="6"/>
  <c r="AU348" i="6" l="1"/>
  <c r="C345" i="7"/>
  <c r="D345" i="7"/>
  <c r="BA348" i="6"/>
  <c r="B346" i="7"/>
  <c r="AS349" i="6"/>
  <c r="AW349" i="6" s="1"/>
  <c r="AN350" i="6"/>
  <c r="AO350" i="6"/>
  <c r="AP350" i="6"/>
  <c r="AQ350" i="6"/>
  <c r="Z351" i="6"/>
  <c r="AY351" i="6"/>
  <c r="V352" i="6"/>
  <c r="AA351" i="6"/>
  <c r="AV351" i="6"/>
  <c r="AK350" i="6"/>
  <c r="AD343" i="6"/>
  <c r="AE343" i="6"/>
  <c r="AF342" i="6"/>
  <c r="AG341" i="6"/>
  <c r="AH340" i="6"/>
  <c r="AI339" i="6"/>
  <c r="AU349" i="6" l="1"/>
  <c r="C346" i="7"/>
  <c r="D346" i="7"/>
  <c r="BA349" i="6"/>
  <c r="B347" i="7"/>
  <c r="AS350" i="6"/>
  <c r="AW350" i="6" s="1"/>
  <c r="AN351" i="6"/>
  <c r="AO351" i="6"/>
  <c r="AP351" i="6"/>
  <c r="AQ351" i="6"/>
  <c r="AK351" i="6"/>
  <c r="AA352" i="6"/>
  <c r="V353" i="6"/>
  <c r="Z352" i="6"/>
  <c r="AV352" i="6"/>
  <c r="AD344" i="6"/>
  <c r="AE344" i="6"/>
  <c r="AF343" i="6"/>
  <c r="AG342" i="6"/>
  <c r="AH341" i="6"/>
  <c r="AI340" i="6"/>
  <c r="AU350" i="6" l="1"/>
  <c r="C347" i="7"/>
  <c r="D347" i="7"/>
  <c r="BA350" i="6"/>
  <c r="B348" i="7"/>
  <c r="AS351" i="6"/>
  <c r="AW351" i="6" s="1"/>
  <c r="AN352" i="6"/>
  <c r="AO352" i="6"/>
  <c r="AP352" i="6"/>
  <c r="AQ352" i="6"/>
  <c r="Z353" i="6"/>
  <c r="AY353" i="6"/>
  <c r="V354" i="6"/>
  <c r="AA353" i="6"/>
  <c r="AV353" i="6"/>
  <c r="AK352" i="6"/>
  <c r="AD345" i="6"/>
  <c r="AE345" i="6"/>
  <c r="AF344" i="6"/>
  <c r="AG343" i="6"/>
  <c r="AH342" i="6"/>
  <c r="AI341" i="6"/>
  <c r="AU351" i="6" l="1"/>
  <c r="C348" i="7"/>
  <c r="D348" i="7"/>
  <c r="BA351" i="6"/>
  <c r="B349" i="7"/>
  <c r="AS352" i="6"/>
  <c r="AW352" i="6" s="1"/>
  <c r="AN353" i="6"/>
  <c r="AO353" i="6"/>
  <c r="AP353" i="6"/>
  <c r="AQ353" i="6"/>
  <c r="AK353" i="6"/>
  <c r="AA354" i="6"/>
  <c r="V355" i="6"/>
  <c r="Z354" i="6"/>
  <c r="AV354" i="6"/>
  <c r="AD346" i="6"/>
  <c r="AE346" i="6"/>
  <c r="AF345" i="6"/>
  <c r="AG344" i="6"/>
  <c r="AH343" i="6"/>
  <c r="AI342" i="6"/>
  <c r="AU352" i="6" l="1"/>
  <c r="C349" i="7"/>
  <c r="D349" i="7"/>
  <c r="BA352" i="6"/>
  <c r="B350" i="7"/>
  <c r="AS353" i="6"/>
  <c r="AW353" i="6" s="1"/>
  <c r="AN354" i="6"/>
  <c r="AO354" i="6"/>
  <c r="AP354" i="6"/>
  <c r="AQ354" i="6"/>
  <c r="Z355" i="6"/>
  <c r="AY355" i="6"/>
  <c r="V356" i="6"/>
  <c r="AA355" i="6"/>
  <c r="AV355" i="6"/>
  <c r="AK354" i="6"/>
  <c r="AD347" i="6"/>
  <c r="AE347" i="6"/>
  <c r="AF346" i="6"/>
  <c r="AG345" i="6"/>
  <c r="AH344" i="6"/>
  <c r="AI343" i="6"/>
  <c r="AU353" i="6" l="1"/>
  <c r="C350" i="7"/>
  <c r="D350" i="7"/>
  <c r="BA353" i="6"/>
  <c r="B351" i="7"/>
  <c r="AS354" i="6"/>
  <c r="AW354" i="6" s="1"/>
  <c r="AN355" i="6"/>
  <c r="AO355" i="6"/>
  <c r="AP355" i="6"/>
  <c r="AQ355" i="6"/>
  <c r="AK355" i="6"/>
  <c r="AA356" i="6"/>
  <c r="V357" i="6"/>
  <c r="Z356" i="6"/>
  <c r="AV356" i="6"/>
  <c r="AD348" i="6"/>
  <c r="AE348" i="6"/>
  <c r="AF347" i="6"/>
  <c r="AG346" i="6"/>
  <c r="AH345" i="6"/>
  <c r="AI344" i="6"/>
  <c r="AU354" i="6" l="1"/>
  <c r="C351" i="7"/>
  <c r="D351" i="7"/>
  <c r="BA354" i="6"/>
  <c r="B352" i="7"/>
  <c r="AS355" i="6"/>
  <c r="AW355" i="6" s="1"/>
  <c r="AN356" i="6"/>
  <c r="AO356" i="6"/>
  <c r="AP356" i="6"/>
  <c r="AQ356" i="6"/>
  <c r="Z357" i="6"/>
  <c r="AY357" i="6"/>
  <c r="V358" i="6"/>
  <c r="AA357" i="6"/>
  <c r="AV357" i="6"/>
  <c r="AK356" i="6"/>
  <c r="AD349" i="6"/>
  <c r="AE349" i="6"/>
  <c r="AF348" i="6"/>
  <c r="AG347" i="6"/>
  <c r="AH346" i="6"/>
  <c r="AI345" i="6"/>
  <c r="AU355" i="6" l="1"/>
  <c r="C352" i="7"/>
  <c r="D352" i="7"/>
  <c r="BA355" i="6"/>
  <c r="B353" i="7"/>
  <c r="AS356" i="6"/>
  <c r="AW356" i="6" s="1"/>
  <c r="AN357" i="6"/>
  <c r="AO357" i="6"/>
  <c r="AP357" i="6"/>
  <c r="AQ357" i="6"/>
  <c r="AK357" i="6"/>
  <c r="AA358" i="6"/>
  <c r="V359" i="6"/>
  <c r="Z358" i="6"/>
  <c r="AV358" i="6"/>
  <c r="AD350" i="6"/>
  <c r="AE350" i="6"/>
  <c r="AF349" i="6"/>
  <c r="AG348" i="6"/>
  <c r="AH347" i="6"/>
  <c r="AI346" i="6"/>
  <c r="AU356" i="6" l="1"/>
  <c r="C353" i="7"/>
  <c r="D353" i="7"/>
  <c r="BA356" i="6"/>
  <c r="B354" i="7"/>
  <c r="AS357" i="6"/>
  <c r="AW357" i="6" s="1"/>
  <c r="AN358" i="6"/>
  <c r="AO358" i="6"/>
  <c r="AP358" i="6"/>
  <c r="AQ358" i="6"/>
  <c r="Z359" i="6"/>
  <c r="Z360" i="6" s="1"/>
  <c r="Z361" i="6" s="1"/>
  <c r="AY359" i="6"/>
  <c r="V360" i="6"/>
  <c r="AA359" i="6"/>
  <c r="AV359" i="6"/>
  <c r="AK358" i="6"/>
  <c r="AD351" i="6"/>
  <c r="AE351" i="6"/>
  <c r="AF350" i="6"/>
  <c r="AG349" i="6"/>
  <c r="AH348" i="6"/>
  <c r="AI347" i="6"/>
  <c r="AU357" i="6" l="1"/>
  <c r="C354" i="7"/>
  <c r="D354" i="7"/>
  <c r="BA357" i="6"/>
  <c r="B355" i="7"/>
  <c r="AS358" i="6"/>
  <c r="AW358" i="6" s="1"/>
  <c r="AN359" i="6"/>
  <c r="AO359" i="6"/>
  <c r="AP359" i="6"/>
  <c r="AQ359" i="6"/>
  <c r="AK359" i="6"/>
  <c r="AA360" i="6"/>
  <c r="V361" i="6"/>
  <c r="W360" i="6"/>
  <c r="AV360" i="6"/>
  <c r="AD352" i="6"/>
  <c r="AE352" i="6"/>
  <c r="AF351" i="6"/>
  <c r="AG350" i="6"/>
  <c r="AH349" i="6"/>
  <c r="AI348" i="6"/>
  <c r="AU358" i="6" l="1"/>
  <c r="C355" i="7"/>
  <c r="D355" i="7"/>
  <c r="BA358" i="6"/>
  <c r="B356" i="7"/>
  <c r="AS359" i="6"/>
  <c r="AW359" i="6" s="1"/>
  <c r="AN360" i="6"/>
  <c r="AO360" i="6"/>
  <c r="AP360" i="6"/>
  <c r="AQ360" i="6"/>
  <c r="W361" i="6"/>
  <c r="W362" i="6" s="1"/>
  <c r="W363" i="6" s="1"/>
  <c r="W364" i="6" s="1"/>
  <c r="W365" i="6" s="1"/>
  <c r="W366" i="6" s="1"/>
  <c r="W367" i="6" s="1"/>
  <c r="W368" i="6" s="1"/>
  <c r="W369" i="6" s="1"/>
  <c r="W370" i="6" s="1"/>
  <c r="W371" i="6" s="1"/>
  <c r="W372" i="6" s="1"/>
  <c r="W373" i="6" s="1"/>
  <c r="W374" i="6" s="1"/>
  <c r="W375" i="6" s="1"/>
  <c r="W376" i="6" s="1"/>
  <c r="W377" i="6" s="1"/>
  <c r="W378" i="6" s="1"/>
  <c r="W379" i="6" s="1"/>
  <c r="W380" i="6" s="1"/>
  <c r="W381" i="6" s="1"/>
  <c r="W382" i="6" s="1"/>
  <c r="W383" i="6" s="1"/>
  <c r="W384" i="6" s="1"/>
  <c r="W385" i="6" s="1"/>
  <c r="W386" i="6" s="1"/>
  <c r="W387" i="6" s="1"/>
  <c r="W388" i="6" s="1"/>
  <c r="W389" i="6" s="1"/>
  <c r="W390" i="6" s="1"/>
  <c r="W391" i="6" s="1"/>
  <c r="W392" i="6" s="1"/>
  <c r="W393" i="6" s="1"/>
  <c r="W394" i="6" s="1"/>
  <c r="W395" i="6" s="1"/>
  <c r="W396" i="6" s="1"/>
  <c r="W397" i="6" s="1"/>
  <c r="AY361" i="6"/>
  <c r="V362" i="6"/>
  <c r="X361" i="6"/>
  <c r="AV361" i="6"/>
  <c r="AK360" i="6"/>
  <c r="AA361" i="6"/>
  <c r="AD353" i="6"/>
  <c r="AE353" i="6"/>
  <c r="AF352" i="6"/>
  <c r="AG351" i="6"/>
  <c r="AH350" i="6"/>
  <c r="AI349" i="6"/>
  <c r="AU359" i="6" l="1"/>
  <c r="C356" i="7"/>
  <c r="D356" i="7"/>
  <c r="BA359" i="6"/>
  <c r="B357" i="7"/>
  <c r="AS360" i="6"/>
  <c r="AW360" i="6" s="1"/>
  <c r="AN361" i="6"/>
  <c r="AO361" i="6"/>
  <c r="AP361" i="6"/>
  <c r="AQ361" i="6"/>
  <c r="AK361" i="6"/>
  <c r="AA362" i="6"/>
  <c r="X362" i="6"/>
  <c r="X363" i="6" s="1"/>
  <c r="AY362" i="6"/>
  <c r="V363" i="6"/>
  <c r="Z362" i="6"/>
  <c r="AV362" i="6"/>
  <c r="W398" i="6"/>
  <c r="W399" i="6" s="1"/>
  <c r="W400" i="6" s="1"/>
  <c r="W401" i="6" s="1"/>
  <c r="W402" i="6" s="1"/>
  <c r="W403" i="6" s="1"/>
  <c r="W404" i="6" s="1"/>
  <c r="W405" i="6" s="1"/>
  <c r="W406" i="6" s="1"/>
  <c r="W407" i="6" s="1"/>
  <c r="W408" i="6" s="1"/>
  <c r="W409" i="6" s="1"/>
  <c r="W410" i="6" s="1"/>
  <c r="W411" i="6" s="1"/>
  <c r="W412" i="6" s="1"/>
  <c r="W413" i="6" s="1"/>
  <c r="W414" i="6" s="1"/>
  <c r="W415" i="6" s="1"/>
  <c r="W416" i="6" s="1"/>
  <c r="W417" i="6" s="1"/>
  <c r="W418" i="6" s="1"/>
  <c r="W419" i="6" s="1"/>
  <c r="W420" i="6" s="1"/>
  <c r="W421" i="6" s="1"/>
  <c r="W422" i="6" s="1"/>
  <c r="W423" i="6" s="1"/>
  <c r="W424" i="6" s="1"/>
  <c r="W425" i="6" s="1"/>
  <c r="W426" i="6" s="1"/>
  <c r="W427" i="6" s="1"/>
  <c r="W428" i="6" s="1"/>
  <c r="W429" i="6" s="1"/>
  <c r="W430" i="6" s="1"/>
  <c r="W431" i="6" s="1"/>
  <c r="W432" i="6" s="1"/>
  <c r="W433" i="6" s="1"/>
  <c r="W434" i="6" s="1"/>
  <c r="W435" i="6" s="1"/>
  <c r="W436" i="6" s="1"/>
  <c r="W437" i="6" s="1"/>
  <c r="W438" i="6" s="1"/>
  <c r="W439" i="6" s="1"/>
  <c r="W440" i="6" s="1"/>
  <c r="W441" i="6" s="1"/>
  <c r="W442" i="6" s="1"/>
  <c r="W443" i="6" s="1"/>
  <c r="W444" i="6" s="1"/>
  <c r="W445" i="6" s="1"/>
  <c r="W446" i="6" s="1"/>
  <c r="W447" i="6" s="1"/>
  <c r="W448" i="6" s="1"/>
  <c r="W449" i="6" s="1"/>
  <c r="W450" i="6" s="1"/>
  <c r="W451" i="6" s="1"/>
  <c r="W452" i="6" s="1"/>
  <c r="W453" i="6" s="1"/>
  <c r="W454" i="6" s="1"/>
  <c r="AY398" i="6"/>
  <c r="AD354" i="6"/>
  <c r="AE354" i="6"/>
  <c r="AF353" i="6"/>
  <c r="AG352" i="6"/>
  <c r="AH351" i="6"/>
  <c r="AI350" i="6"/>
  <c r="AU360" i="6" l="1"/>
  <c r="C357" i="7"/>
  <c r="D357" i="7"/>
  <c r="BA360" i="6"/>
  <c r="B358" i="7"/>
  <c r="AS361" i="6"/>
  <c r="AW361" i="6" s="1"/>
  <c r="AN362" i="6"/>
  <c r="AO362" i="6"/>
  <c r="AP362" i="6"/>
  <c r="AQ362" i="6"/>
  <c r="W455" i="6"/>
  <c r="W456" i="6" s="1"/>
  <c r="W457" i="6" s="1"/>
  <c r="W458" i="6" s="1"/>
  <c r="W459" i="6" s="1"/>
  <c r="W460" i="6" s="1"/>
  <c r="W461" i="6" s="1"/>
  <c r="W462" i="6" s="1"/>
  <c r="W463" i="6" s="1"/>
  <c r="W464" i="6" s="1"/>
  <c r="W465" i="6" s="1"/>
  <c r="W466" i="6" s="1"/>
  <c r="W467" i="6" s="1"/>
  <c r="W468" i="6" s="1"/>
  <c r="W469" i="6" s="1"/>
  <c r="AY455" i="6"/>
  <c r="Z363" i="6"/>
  <c r="AY363" i="6"/>
  <c r="V364" i="6"/>
  <c r="AA363" i="6"/>
  <c r="AV363" i="6"/>
  <c r="X364" i="6"/>
  <c r="X365" i="6" s="1"/>
  <c r="AY364" i="6"/>
  <c r="AK362" i="6"/>
  <c r="AD355" i="6"/>
  <c r="AE355" i="6"/>
  <c r="AF354" i="6"/>
  <c r="AG353" i="6"/>
  <c r="AH352" i="6"/>
  <c r="AI351" i="6"/>
  <c r="AU361" i="6" l="1"/>
  <c r="C358" i="7"/>
  <c r="D358" i="7"/>
  <c r="BA361" i="6"/>
  <c r="B359" i="7"/>
  <c r="AS362" i="6"/>
  <c r="AW362" i="6" s="1"/>
  <c r="AN363" i="6"/>
  <c r="AO363" i="6"/>
  <c r="AP363" i="6"/>
  <c r="AQ363" i="6"/>
  <c r="X366" i="6"/>
  <c r="X367" i="6" s="1"/>
  <c r="AY366" i="6"/>
  <c r="AK363" i="6"/>
  <c r="AA364" i="6"/>
  <c r="V365" i="6"/>
  <c r="Z364" i="6"/>
  <c r="AV364" i="6"/>
  <c r="W470" i="6"/>
  <c r="W471" i="6" s="1"/>
  <c r="W472" i="6" s="1"/>
  <c r="W473" i="6" s="1"/>
  <c r="W474" i="6" s="1"/>
  <c r="W475" i="6" s="1"/>
  <c r="W476" i="6" s="1"/>
  <c r="W477" i="6" s="1"/>
  <c r="W478" i="6" s="1"/>
  <c r="W479" i="6" s="1"/>
  <c r="W480" i="6" s="1"/>
  <c r="W481" i="6" s="1"/>
  <c r="W482" i="6" s="1"/>
  <c r="W483" i="6" s="1"/>
  <c r="W484" i="6" s="1"/>
  <c r="W485" i="6" s="1"/>
  <c r="W486" i="6" s="1"/>
  <c r="W487" i="6" s="1"/>
  <c r="W488" i="6" s="1"/>
  <c r="AY470" i="6"/>
  <c r="AD356" i="6"/>
  <c r="AE356" i="6"/>
  <c r="AF355" i="6"/>
  <c r="AG354" i="6"/>
  <c r="AH353" i="6"/>
  <c r="AI352" i="6"/>
  <c r="AU362" i="6" l="1"/>
  <c r="C359" i="7"/>
  <c r="D359" i="7"/>
  <c r="BA362" i="6"/>
  <c r="B360" i="7"/>
  <c r="AS363" i="6"/>
  <c r="AW363" i="6" s="1"/>
  <c r="AN364" i="6"/>
  <c r="AO364" i="6"/>
  <c r="AP364" i="6"/>
  <c r="AQ364" i="6"/>
  <c r="W489" i="6"/>
  <c r="W490" i="6" s="1"/>
  <c r="W491" i="6" s="1"/>
  <c r="W492" i="6" s="1"/>
  <c r="W493" i="6" s="1"/>
  <c r="W494" i="6" s="1"/>
  <c r="W495" i="6" s="1"/>
  <c r="W496" i="6" s="1"/>
  <c r="W497" i="6" s="1"/>
  <c r="W498" i="6" s="1"/>
  <c r="W499" i="6" s="1"/>
  <c r="W500" i="6" s="1"/>
  <c r="W501" i="6" s="1"/>
  <c r="W502" i="6" s="1"/>
  <c r="W503" i="6" s="1"/>
  <c r="W504" i="6" s="1"/>
  <c r="W505" i="6" s="1"/>
  <c r="W506" i="6" s="1"/>
  <c r="W507" i="6" s="1"/>
  <c r="W508" i="6" s="1"/>
  <c r="W509" i="6" s="1"/>
  <c r="AY489" i="6"/>
  <c r="Z365" i="6"/>
  <c r="AY365" i="6"/>
  <c r="V366" i="6"/>
  <c r="AA365" i="6"/>
  <c r="AV365" i="6"/>
  <c r="AK364" i="6"/>
  <c r="X368" i="6"/>
  <c r="X369" i="6" s="1"/>
  <c r="AY368" i="6"/>
  <c r="AD357" i="6"/>
  <c r="AE357" i="6"/>
  <c r="AF356" i="6"/>
  <c r="AG355" i="6"/>
  <c r="AH354" i="6"/>
  <c r="AI353" i="6"/>
  <c r="AU363" i="6" l="1"/>
  <c r="C360" i="7"/>
  <c r="D360" i="7"/>
  <c r="BA363" i="6"/>
  <c r="B361" i="7"/>
  <c r="AS364" i="6"/>
  <c r="AW364" i="6" s="1"/>
  <c r="AN365" i="6"/>
  <c r="AO365" i="6"/>
  <c r="AP365" i="6"/>
  <c r="AQ365" i="6"/>
  <c r="X370" i="6"/>
  <c r="X371" i="6" s="1"/>
  <c r="AY370" i="6"/>
  <c r="AK365" i="6"/>
  <c r="AA366" i="6"/>
  <c r="V367" i="6"/>
  <c r="Z366" i="6"/>
  <c r="AV366" i="6"/>
  <c r="AD358" i="6"/>
  <c r="AE358" i="6"/>
  <c r="AF357" i="6"/>
  <c r="AG356" i="6"/>
  <c r="AH355" i="6"/>
  <c r="AI354" i="6"/>
  <c r="AU364" i="6" l="1"/>
  <c r="C361" i="7"/>
  <c r="D361" i="7"/>
  <c r="BA364" i="6"/>
  <c r="B362" i="7"/>
  <c r="AS365" i="6"/>
  <c r="AW365" i="6" s="1"/>
  <c r="AN366" i="6"/>
  <c r="AO366" i="6"/>
  <c r="AP366" i="6"/>
  <c r="AQ366" i="6"/>
  <c r="Z367" i="6"/>
  <c r="AY367" i="6"/>
  <c r="V368" i="6"/>
  <c r="AA367" i="6"/>
  <c r="AV367" i="6"/>
  <c r="AK366" i="6"/>
  <c r="X372" i="6"/>
  <c r="X373" i="6" s="1"/>
  <c r="AY372" i="6"/>
  <c r="AD359" i="6"/>
  <c r="AE359" i="6"/>
  <c r="AF358" i="6"/>
  <c r="AG357" i="6"/>
  <c r="AH356" i="6"/>
  <c r="AI355" i="6"/>
  <c r="AU365" i="6" l="1"/>
  <c r="C362" i="7"/>
  <c r="D362" i="7"/>
  <c r="BA365" i="6"/>
  <c r="B363" i="7"/>
  <c r="AS366" i="6"/>
  <c r="AW366" i="6" s="1"/>
  <c r="AN367" i="6"/>
  <c r="AO367" i="6"/>
  <c r="AP367" i="6"/>
  <c r="AQ367" i="6"/>
  <c r="X374" i="6"/>
  <c r="X375" i="6" s="1"/>
  <c r="AY374" i="6"/>
  <c r="AK367" i="6"/>
  <c r="AA368" i="6"/>
  <c r="V369" i="6"/>
  <c r="Z368" i="6"/>
  <c r="AV368" i="6"/>
  <c r="AD360" i="6"/>
  <c r="AE360" i="6"/>
  <c r="AF359" i="6"/>
  <c r="AG358" i="6"/>
  <c r="AH357" i="6"/>
  <c r="AI356" i="6"/>
  <c r="AU366" i="6" l="1"/>
  <c r="C363" i="7"/>
  <c r="D363" i="7"/>
  <c r="BA366" i="6"/>
  <c r="B364" i="7"/>
  <c r="AS367" i="6"/>
  <c r="AW367" i="6" s="1"/>
  <c r="AN368" i="6"/>
  <c r="AO368" i="6"/>
  <c r="AP368" i="6"/>
  <c r="AQ368" i="6"/>
  <c r="Z369" i="6"/>
  <c r="AY369" i="6"/>
  <c r="V370" i="6"/>
  <c r="AA369" i="6"/>
  <c r="AV369" i="6"/>
  <c r="AK368" i="6"/>
  <c r="X376" i="6"/>
  <c r="X377" i="6" s="1"/>
  <c r="AY376" i="6"/>
  <c r="AD361" i="6"/>
  <c r="AE361" i="6"/>
  <c r="AF360" i="6"/>
  <c r="AG359" i="6"/>
  <c r="AH358" i="6"/>
  <c r="AI357" i="6"/>
  <c r="AU367" i="6" l="1"/>
  <c r="C364" i="7"/>
  <c r="D364" i="7"/>
  <c r="BA367" i="6"/>
  <c r="B365" i="7"/>
  <c r="AS368" i="6"/>
  <c r="AW368" i="6" s="1"/>
  <c r="AN369" i="6"/>
  <c r="AO369" i="6"/>
  <c r="AP369" i="6"/>
  <c r="AQ369" i="6"/>
  <c r="X378" i="6"/>
  <c r="X379" i="6" s="1"/>
  <c r="AY378" i="6"/>
  <c r="AK369" i="6"/>
  <c r="AA370" i="6"/>
  <c r="V371" i="6"/>
  <c r="Z370" i="6"/>
  <c r="AV370" i="6"/>
  <c r="AD362" i="6"/>
  <c r="AE362" i="6"/>
  <c r="AF361" i="6"/>
  <c r="AG360" i="6"/>
  <c r="AH359" i="6"/>
  <c r="AI358" i="6"/>
  <c r="AU368" i="6" l="1"/>
  <c r="C365" i="7"/>
  <c r="D365" i="7"/>
  <c r="BA368" i="6"/>
  <c r="B366" i="7"/>
  <c r="AS369" i="6"/>
  <c r="AW369" i="6" s="1"/>
  <c r="AN370" i="6"/>
  <c r="AO370" i="6"/>
  <c r="AP370" i="6"/>
  <c r="AQ370" i="6"/>
  <c r="Z371" i="6"/>
  <c r="AY371" i="6"/>
  <c r="V372" i="6"/>
  <c r="AA371" i="6"/>
  <c r="AV371" i="6"/>
  <c r="AK370" i="6"/>
  <c r="X380" i="6"/>
  <c r="X381" i="6" s="1"/>
  <c r="AY380" i="6"/>
  <c r="AD363" i="6"/>
  <c r="AE363" i="6"/>
  <c r="AF362" i="6"/>
  <c r="AG361" i="6"/>
  <c r="AH360" i="6"/>
  <c r="AI359" i="6"/>
  <c r="AU369" i="6" l="1"/>
  <c r="C366" i="7"/>
  <c r="D366" i="7"/>
  <c r="BA369" i="6"/>
  <c r="B367" i="7"/>
  <c r="AS370" i="6"/>
  <c r="AW370" i="6" s="1"/>
  <c r="AN371" i="6"/>
  <c r="AO371" i="6"/>
  <c r="AP371" i="6"/>
  <c r="AQ371" i="6"/>
  <c r="X382" i="6"/>
  <c r="X383" i="6" s="1"/>
  <c r="AY382" i="6"/>
  <c r="AK371" i="6"/>
  <c r="AA372" i="6"/>
  <c r="V373" i="6"/>
  <c r="Z372" i="6"/>
  <c r="AV372" i="6"/>
  <c r="AD364" i="6"/>
  <c r="AE364" i="6"/>
  <c r="AF363" i="6"/>
  <c r="AG362" i="6"/>
  <c r="AH361" i="6"/>
  <c r="AI360" i="6"/>
  <c r="AU370" i="6" l="1"/>
  <c r="C367" i="7"/>
  <c r="D367" i="7"/>
  <c r="BA370" i="6"/>
  <c r="B368" i="7"/>
  <c r="AS371" i="6"/>
  <c r="AW371" i="6" s="1"/>
  <c r="AN372" i="6"/>
  <c r="AO372" i="6"/>
  <c r="AP372" i="6"/>
  <c r="AQ372" i="6"/>
  <c r="Z373" i="6"/>
  <c r="AY373" i="6"/>
  <c r="V374" i="6"/>
  <c r="AA373" i="6"/>
  <c r="AV373" i="6"/>
  <c r="AK372" i="6"/>
  <c r="X384" i="6"/>
  <c r="X385" i="6" s="1"/>
  <c r="AY384" i="6"/>
  <c r="AD365" i="6"/>
  <c r="AE365" i="6"/>
  <c r="AF364" i="6"/>
  <c r="AG363" i="6"/>
  <c r="AH362" i="6"/>
  <c r="AI361" i="6"/>
  <c r="AU371" i="6" l="1"/>
  <c r="C368" i="7"/>
  <c r="D368" i="7"/>
  <c r="BA371" i="6"/>
  <c r="B369" i="7"/>
  <c r="AS372" i="6"/>
  <c r="AW372" i="6" s="1"/>
  <c r="AN373" i="6"/>
  <c r="AO373" i="6"/>
  <c r="AP373" i="6"/>
  <c r="AQ373" i="6"/>
  <c r="X386" i="6"/>
  <c r="X387" i="6" s="1"/>
  <c r="AY386" i="6"/>
  <c r="AK373" i="6"/>
  <c r="AA374" i="6"/>
  <c r="V375" i="6"/>
  <c r="Z374" i="6"/>
  <c r="AV374" i="6"/>
  <c r="AD366" i="6"/>
  <c r="AE366" i="6"/>
  <c r="AF365" i="6"/>
  <c r="AG364" i="6"/>
  <c r="AH363" i="6"/>
  <c r="AI362" i="6"/>
  <c r="AU372" i="6" l="1"/>
  <c r="C369" i="7"/>
  <c r="D369" i="7"/>
  <c r="BA372" i="6"/>
  <c r="B370" i="7"/>
  <c r="AS373" i="6"/>
  <c r="AW373" i="6" s="1"/>
  <c r="AN374" i="6"/>
  <c r="AO374" i="6"/>
  <c r="AP374" i="6"/>
  <c r="AQ374" i="6"/>
  <c r="Z375" i="6"/>
  <c r="AY375" i="6"/>
  <c r="V376" i="6"/>
  <c r="AA375" i="6"/>
  <c r="AV375" i="6"/>
  <c r="AK374" i="6"/>
  <c r="X388" i="6"/>
  <c r="X389" i="6" s="1"/>
  <c r="AY388" i="6"/>
  <c r="AD367" i="6"/>
  <c r="AE367" i="6"/>
  <c r="AF366" i="6"/>
  <c r="AG365" i="6"/>
  <c r="AH364" i="6"/>
  <c r="AI363" i="6"/>
  <c r="AU373" i="6" l="1"/>
  <c r="C370" i="7"/>
  <c r="D370" i="7"/>
  <c r="BA373" i="6"/>
  <c r="B371" i="7"/>
  <c r="AS374" i="6"/>
  <c r="AW374" i="6" s="1"/>
  <c r="AN375" i="6"/>
  <c r="AO375" i="6"/>
  <c r="AP375" i="6"/>
  <c r="AQ375" i="6"/>
  <c r="X390" i="6"/>
  <c r="X391" i="6" s="1"/>
  <c r="AY390" i="6"/>
  <c r="AK375" i="6"/>
  <c r="AA376" i="6"/>
  <c r="V377" i="6"/>
  <c r="Z376" i="6"/>
  <c r="AV376" i="6"/>
  <c r="AD368" i="6"/>
  <c r="AE368" i="6"/>
  <c r="AF367" i="6"/>
  <c r="AG366" i="6"/>
  <c r="AH365" i="6"/>
  <c r="AI364" i="6"/>
  <c r="AU374" i="6" l="1"/>
  <c r="C371" i="7"/>
  <c r="D371" i="7"/>
  <c r="BA374" i="6"/>
  <c r="B372" i="7"/>
  <c r="AS375" i="6"/>
  <c r="AW375" i="6" s="1"/>
  <c r="AN376" i="6"/>
  <c r="AO376" i="6"/>
  <c r="AP376" i="6"/>
  <c r="AQ376" i="6"/>
  <c r="Z377" i="6"/>
  <c r="AY377" i="6"/>
  <c r="V378" i="6"/>
  <c r="AA377" i="6"/>
  <c r="AV377" i="6"/>
  <c r="AK376" i="6"/>
  <c r="X392" i="6"/>
  <c r="X393" i="6" s="1"/>
  <c r="AY392" i="6"/>
  <c r="AD369" i="6"/>
  <c r="AE369" i="6"/>
  <c r="AF368" i="6"/>
  <c r="AG367" i="6"/>
  <c r="AH366" i="6"/>
  <c r="AI365" i="6"/>
  <c r="AU375" i="6" l="1"/>
  <c r="C372" i="7"/>
  <c r="D372" i="7"/>
  <c r="BA375" i="6"/>
  <c r="B373" i="7"/>
  <c r="AS376" i="6"/>
  <c r="AW376" i="6" s="1"/>
  <c r="AN377" i="6"/>
  <c r="AO377" i="6"/>
  <c r="AP377" i="6"/>
  <c r="AQ377" i="6"/>
  <c r="X394" i="6"/>
  <c r="X395" i="6" s="1"/>
  <c r="AY394" i="6"/>
  <c r="AK377" i="6"/>
  <c r="AA378" i="6"/>
  <c r="V379" i="6"/>
  <c r="Z378" i="6"/>
  <c r="AV378" i="6"/>
  <c r="AD370" i="6"/>
  <c r="AE370" i="6"/>
  <c r="AF369" i="6"/>
  <c r="AG368" i="6"/>
  <c r="AH367" i="6"/>
  <c r="AI366" i="6"/>
  <c r="AU376" i="6" l="1"/>
  <c r="C373" i="7"/>
  <c r="D373" i="7"/>
  <c r="BA376" i="6"/>
  <c r="B374" i="7"/>
  <c r="AS377" i="6"/>
  <c r="AW377" i="6" s="1"/>
  <c r="AN378" i="6"/>
  <c r="AO378" i="6"/>
  <c r="AP378" i="6"/>
  <c r="AQ378" i="6"/>
  <c r="Z379" i="6"/>
  <c r="AY379" i="6"/>
  <c r="V380" i="6"/>
  <c r="AA379" i="6"/>
  <c r="AV379" i="6"/>
  <c r="AK378" i="6"/>
  <c r="X396" i="6"/>
  <c r="X397" i="6" s="1"/>
  <c r="AY396" i="6"/>
  <c r="AD371" i="6"/>
  <c r="AE371" i="6"/>
  <c r="AF370" i="6"/>
  <c r="AG369" i="6"/>
  <c r="AH368" i="6"/>
  <c r="AI367" i="6"/>
  <c r="AU377" i="6" l="1"/>
  <c r="C374" i="7"/>
  <c r="D374" i="7"/>
  <c r="BA377" i="6"/>
  <c r="B375" i="7"/>
  <c r="AS378" i="6"/>
  <c r="AW378" i="6" s="1"/>
  <c r="AN379" i="6"/>
  <c r="AO379" i="6"/>
  <c r="AP379" i="6"/>
  <c r="AQ379" i="6"/>
  <c r="AK379" i="6"/>
  <c r="AA380" i="6"/>
  <c r="V381" i="6"/>
  <c r="Z380" i="6"/>
  <c r="AV380" i="6"/>
  <c r="AD372" i="6"/>
  <c r="AE372" i="6"/>
  <c r="AF371" i="6"/>
  <c r="AG370" i="6"/>
  <c r="AH369" i="6"/>
  <c r="AI368" i="6"/>
  <c r="AU378" i="6" l="1"/>
  <c r="C375" i="7"/>
  <c r="D375" i="7"/>
  <c r="BA378" i="6"/>
  <c r="B376" i="7"/>
  <c r="AS379" i="6"/>
  <c r="AW379" i="6" s="1"/>
  <c r="AN380" i="6"/>
  <c r="AO380" i="6"/>
  <c r="AP380" i="6"/>
  <c r="AQ380" i="6"/>
  <c r="Z381" i="6"/>
  <c r="AY381" i="6"/>
  <c r="V382" i="6"/>
  <c r="AA381" i="6"/>
  <c r="AV381" i="6"/>
  <c r="AK380" i="6"/>
  <c r="AD373" i="6"/>
  <c r="AE373" i="6"/>
  <c r="AF372" i="6"/>
  <c r="AG371" i="6"/>
  <c r="AH370" i="6"/>
  <c r="AI369" i="6"/>
  <c r="AU379" i="6" l="1"/>
  <c r="C376" i="7"/>
  <c r="D376" i="7"/>
  <c r="BA379" i="6"/>
  <c r="B377" i="7"/>
  <c r="AS380" i="6"/>
  <c r="AW380" i="6" s="1"/>
  <c r="AN381" i="6"/>
  <c r="AO381" i="6"/>
  <c r="AP381" i="6"/>
  <c r="AQ381" i="6"/>
  <c r="AK381" i="6"/>
  <c r="AA382" i="6"/>
  <c r="V383" i="6"/>
  <c r="Z382" i="6"/>
  <c r="AV382" i="6"/>
  <c r="AD374" i="6"/>
  <c r="AE374" i="6"/>
  <c r="AF373" i="6"/>
  <c r="AG372" i="6"/>
  <c r="AH371" i="6"/>
  <c r="AI370" i="6"/>
  <c r="AU380" i="6" l="1"/>
  <c r="C377" i="7"/>
  <c r="D377" i="7"/>
  <c r="BA380" i="6"/>
  <c r="B378" i="7"/>
  <c r="AS381" i="6"/>
  <c r="AW381" i="6" s="1"/>
  <c r="AN382" i="6"/>
  <c r="AO382" i="6"/>
  <c r="AP382" i="6"/>
  <c r="AQ382" i="6"/>
  <c r="Z383" i="6"/>
  <c r="AY383" i="6"/>
  <c r="V384" i="6"/>
  <c r="AA383" i="6"/>
  <c r="AV383" i="6"/>
  <c r="AK382" i="6"/>
  <c r="AD375" i="6"/>
  <c r="AE375" i="6"/>
  <c r="AF374" i="6"/>
  <c r="AG373" i="6"/>
  <c r="AH372" i="6"/>
  <c r="AI371" i="6"/>
  <c r="AU381" i="6" l="1"/>
  <c r="C378" i="7"/>
  <c r="D378" i="7"/>
  <c r="BA381" i="6"/>
  <c r="B379" i="7"/>
  <c r="AS382" i="6"/>
  <c r="AW382" i="6" s="1"/>
  <c r="AN383" i="6"/>
  <c r="AO383" i="6"/>
  <c r="AP383" i="6"/>
  <c r="AQ383" i="6"/>
  <c r="AK383" i="6"/>
  <c r="AA384" i="6"/>
  <c r="V385" i="6"/>
  <c r="Z384" i="6"/>
  <c r="AV384" i="6"/>
  <c r="AD376" i="6"/>
  <c r="AE376" i="6"/>
  <c r="AF375" i="6"/>
  <c r="AG374" i="6"/>
  <c r="AH373" i="6"/>
  <c r="AI372" i="6"/>
  <c r="AU382" i="6" l="1"/>
  <c r="C379" i="7"/>
  <c r="D379" i="7"/>
  <c r="BA382" i="6"/>
  <c r="B380" i="7"/>
  <c r="AS383" i="6"/>
  <c r="AW383" i="6" s="1"/>
  <c r="AN384" i="6"/>
  <c r="AO384" i="6"/>
  <c r="AP384" i="6"/>
  <c r="AQ384" i="6"/>
  <c r="Z385" i="6"/>
  <c r="AY385" i="6"/>
  <c r="V386" i="6"/>
  <c r="AA385" i="6"/>
  <c r="AV385" i="6"/>
  <c r="AK384" i="6"/>
  <c r="AD377" i="6"/>
  <c r="AE377" i="6"/>
  <c r="AF376" i="6"/>
  <c r="AG375" i="6"/>
  <c r="AH374" i="6"/>
  <c r="AI373" i="6"/>
  <c r="AU383" i="6" l="1"/>
  <c r="C380" i="7"/>
  <c r="D380" i="7"/>
  <c r="BA383" i="6"/>
  <c r="B381" i="7"/>
  <c r="AS384" i="6"/>
  <c r="AW384" i="6" s="1"/>
  <c r="AN385" i="6"/>
  <c r="AO385" i="6"/>
  <c r="AP385" i="6"/>
  <c r="AQ385" i="6"/>
  <c r="AK385" i="6"/>
  <c r="AA386" i="6"/>
  <c r="V387" i="6"/>
  <c r="Z386" i="6"/>
  <c r="AV386" i="6"/>
  <c r="AD378" i="6"/>
  <c r="AE378" i="6"/>
  <c r="AF377" i="6"/>
  <c r="AG376" i="6"/>
  <c r="AH375" i="6"/>
  <c r="AI374" i="6"/>
  <c r="AU384" i="6" l="1"/>
  <c r="C381" i="7"/>
  <c r="D381" i="7"/>
  <c r="BA384" i="6"/>
  <c r="B382" i="7"/>
  <c r="AS385" i="6"/>
  <c r="AW385" i="6" s="1"/>
  <c r="AN386" i="6"/>
  <c r="AO386" i="6"/>
  <c r="AP386" i="6"/>
  <c r="AQ386" i="6"/>
  <c r="Z387" i="6"/>
  <c r="AY387" i="6"/>
  <c r="V388" i="6"/>
  <c r="AA387" i="6"/>
  <c r="AV387" i="6"/>
  <c r="AK386" i="6"/>
  <c r="AD379" i="6"/>
  <c r="AE379" i="6"/>
  <c r="AF378" i="6"/>
  <c r="AG377" i="6"/>
  <c r="AH376" i="6"/>
  <c r="AI375" i="6"/>
  <c r="AU385" i="6" l="1"/>
  <c r="C382" i="7"/>
  <c r="D382" i="7"/>
  <c r="BA385" i="6"/>
  <c r="B383" i="7"/>
  <c r="AS386" i="6"/>
  <c r="AW386" i="6" s="1"/>
  <c r="AN387" i="6"/>
  <c r="AO387" i="6"/>
  <c r="AP387" i="6"/>
  <c r="AQ387" i="6"/>
  <c r="AK387" i="6"/>
  <c r="AA388" i="6"/>
  <c r="V389" i="6"/>
  <c r="Z388" i="6"/>
  <c r="AV388" i="6"/>
  <c r="AD380" i="6"/>
  <c r="AE380" i="6"/>
  <c r="AF379" i="6"/>
  <c r="AG378" i="6"/>
  <c r="AH377" i="6"/>
  <c r="AI376" i="6"/>
  <c r="AU386" i="6" l="1"/>
  <c r="C383" i="7"/>
  <c r="D383" i="7"/>
  <c r="BA386" i="6"/>
  <c r="B384" i="7"/>
  <c r="AS387" i="6"/>
  <c r="AW387" i="6" s="1"/>
  <c r="AN388" i="6"/>
  <c r="AO388" i="6"/>
  <c r="AP388" i="6"/>
  <c r="AQ388" i="6"/>
  <c r="Z389" i="6"/>
  <c r="AY389" i="6"/>
  <c r="V390" i="6"/>
  <c r="AA389" i="6"/>
  <c r="AV389" i="6"/>
  <c r="AK388" i="6"/>
  <c r="AD381" i="6"/>
  <c r="AE381" i="6"/>
  <c r="AF380" i="6"/>
  <c r="AG379" i="6"/>
  <c r="AH378" i="6"/>
  <c r="AI377" i="6"/>
  <c r="AU387" i="6" l="1"/>
  <c r="C384" i="7"/>
  <c r="D384" i="7"/>
  <c r="BA387" i="6"/>
  <c r="B385" i="7"/>
  <c r="AS388" i="6"/>
  <c r="AW388" i="6" s="1"/>
  <c r="AN389" i="6"/>
  <c r="AO389" i="6"/>
  <c r="AP389" i="6"/>
  <c r="AQ389" i="6"/>
  <c r="AK389" i="6"/>
  <c r="AA390" i="6"/>
  <c r="V391" i="6"/>
  <c r="Z390" i="6"/>
  <c r="AV390" i="6"/>
  <c r="AD382" i="6"/>
  <c r="AE382" i="6"/>
  <c r="AF381" i="6"/>
  <c r="AG380" i="6"/>
  <c r="AH379" i="6"/>
  <c r="AI378" i="6"/>
  <c r="AU388" i="6" l="1"/>
  <c r="C385" i="7"/>
  <c r="D385" i="7"/>
  <c r="BA388" i="6"/>
  <c r="B386" i="7"/>
  <c r="AS389" i="6"/>
  <c r="AW389" i="6" s="1"/>
  <c r="AN390" i="6"/>
  <c r="AO390" i="6"/>
  <c r="AP390" i="6"/>
  <c r="AQ390" i="6"/>
  <c r="Z391" i="6"/>
  <c r="AY391" i="6"/>
  <c r="V392" i="6"/>
  <c r="AA391" i="6"/>
  <c r="AV391" i="6"/>
  <c r="AK390" i="6"/>
  <c r="AD383" i="6"/>
  <c r="AE383" i="6"/>
  <c r="AF382" i="6"/>
  <c r="AG381" i="6"/>
  <c r="AH380" i="6"/>
  <c r="AI379" i="6"/>
  <c r="AU389" i="6" l="1"/>
  <c r="C386" i="7"/>
  <c r="D386" i="7"/>
  <c r="BA389" i="6"/>
  <c r="B387" i="7"/>
  <c r="AS390" i="6"/>
  <c r="AW390" i="6" s="1"/>
  <c r="AN391" i="6"/>
  <c r="AO391" i="6"/>
  <c r="AP391" i="6"/>
  <c r="AQ391" i="6"/>
  <c r="AK391" i="6"/>
  <c r="AA392" i="6"/>
  <c r="V393" i="6"/>
  <c r="Z392" i="6"/>
  <c r="AV392" i="6"/>
  <c r="AD384" i="6"/>
  <c r="AE384" i="6"/>
  <c r="AF383" i="6"/>
  <c r="AG382" i="6"/>
  <c r="AH381" i="6"/>
  <c r="AI380" i="6"/>
  <c r="AU390" i="6" l="1"/>
  <c r="C387" i="7"/>
  <c r="D387" i="7"/>
  <c r="BA390" i="6"/>
  <c r="B388" i="7"/>
  <c r="AS391" i="6"/>
  <c r="AW391" i="6" s="1"/>
  <c r="AN392" i="6"/>
  <c r="AO392" i="6"/>
  <c r="AP392" i="6"/>
  <c r="AQ392" i="6"/>
  <c r="Z393" i="6"/>
  <c r="AY393" i="6"/>
  <c r="V394" i="6"/>
  <c r="AA393" i="6"/>
  <c r="AV393" i="6"/>
  <c r="AK392" i="6"/>
  <c r="AD385" i="6"/>
  <c r="AE385" i="6"/>
  <c r="AF384" i="6"/>
  <c r="AG383" i="6"/>
  <c r="AH382" i="6"/>
  <c r="AI381" i="6"/>
  <c r="AU391" i="6" l="1"/>
  <c r="C388" i="7"/>
  <c r="D388" i="7"/>
  <c r="BA391" i="6"/>
  <c r="B389" i="7"/>
  <c r="AS392" i="6"/>
  <c r="AW392" i="6" s="1"/>
  <c r="AN393" i="6"/>
  <c r="AO393" i="6"/>
  <c r="AP393" i="6"/>
  <c r="AQ393" i="6"/>
  <c r="AK393" i="6"/>
  <c r="AA394" i="6"/>
  <c r="V395" i="6"/>
  <c r="Z394" i="6"/>
  <c r="AV394" i="6"/>
  <c r="AD386" i="6"/>
  <c r="AE386" i="6"/>
  <c r="AF385" i="6"/>
  <c r="AG384" i="6"/>
  <c r="AH383" i="6"/>
  <c r="AI382" i="6"/>
  <c r="AU392" i="6" l="1"/>
  <c r="C389" i="7"/>
  <c r="D389" i="7"/>
  <c r="BA392" i="6"/>
  <c r="B390" i="7"/>
  <c r="AS393" i="6"/>
  <c r="AW393" i="6" s="1"/>
  <c r="AN394" i="6"/>
  <c r="AO394" i="6"/>
  <c r="AP394" i="6"/>
  <c r="AQ394" i="6"/>
  <c r="Z395" i="6"/>
  <c r="AY395" i="6"/>
  <c r="V396" i="6"/>
  <c r="AA395" i="6"/>
  <c r="AV395" i="6"/>
  <c r="AK394" i="6"/>
  <c r="AD387" i="6"/>
  <c r="AE387" i="6"/>
  <c r="AF386" i="6"/>
  <c r="AG385" i="6"/>
  <c r="AH384" i="6"/>
  <c r="AI383" i="6"/>
  <c r="AU393" i="6" l="1"/>
  <c r="C390" i="7"/>
  <c r="D390" i="7"/>
  <c r="BA393" i="6"/>
  <c r="B391" i="7"/>
  <c r="AS394" i="6"/>
  <c r="AW394" i="6" s="1"/>
  <c r="AN395" i="6"/>
  <c r="AO395" i="6"/>
  <c r="AP395" i="6"/>
  <c r="AQ395" i="6"/>
  <c r="AK395" i="6"/>
  <c r="AA396" i="6"/>
  <c r="V397" i="6"/>
  <c r="Z396" i="6"/>
  <c r="AV396" i="6"/>
  <c r="AD388" i="6"/>
  <c r="AE388" i="6"/>
  <c r="AF387" i="6"/>
  <c r="AG386" i="6"/>
  <c r="AH385" i="6"/>
  <c r="AI384" i="6"/>
  <c r="AU394" i="6" l="1"/>
  <c r="C391" i="7"/>
  <c r="D391" i="7"/>
  <c r="BA394" i="6"/>
  <c r="B392" i="7"/>
  <c r="AS395" i="6"/>
  <c r="AW395" i="6" s="1"/>
  <c r="AN396" i="6"/>
  <c r="AO396" i="6"/>
  <c r="AP396" i="6"/>
  <c r="AQ396" i="6"/>
  <c r="Z397" i="6"/>
  <c r="Z398" i="6" s="1"/>
  <c r="AY397" i="6"/>
  <c r="V398" i="6"/>
  <c r="AA397" i="6"/>
  <c r="AV397" i="6"/>
  <c r="AK396" i="6"/>
  <c r="AD389" i="6"/>
  <c r="AE389" i="6"/>
  <c r="AF388" i="6"/>
  <c r="AG387" i="6"/>
  <c r="AH386" i="6"/>
  <c r="AI385" i="6"/>
  <c r="AU395" i="6" l="1"/>
  <c r="C392" i="7"/>
  <c r="D392" i="7"/>
  <c r="BA395" i="6"/>
  <c r="B393" i="7"/>
  <c r="AS396" i="6"/>
  <c r="AW396" i="6" s="1"/>
  <c r="AN397" i="6"/>
  <c r="AO397" i="6"/>
  <c r="AP397" i="6"/>
  <c r="AQ397" i="6"/>
  <c r="AK397" i="6"/>
  <c r="AA398" i="6"/>
  <c r="V399" i="6"/>
  <c r="X398" i="6"/>
  <c r="AV398" i="6"/>
  <c r="AD390" i="6"/>
  <c r="AE390" i="6"/>
  <c r="AF389" i="6"/>
  <c r="AG388" i="6"/>
  <c r="AH387" i="6"/>
  <c r="AI386" i="6"/>
  <c r="AU396" i="6" l="1"/>
  <c r="C393" i="7"/>
  <c r="D393" i="7"/>
  <c r="BA396" i="6"/>
  <c r="B394" i="7"/>
  <c r="AS397" i="6"/>
  <c r="AW397" i="6" s="1"/>
  <c r="AN398" i="6"/>
  <c r="AO398" i="6"/>
  <c r="AP398" i="6"/>
  <c r="AQ398" i="6"/>
  <c r="X399" i="6"/>
  <c r="X400" i="6" s="1"/>
  <c r="AY399" i="6"/>
  <c r="V400" i="6"/>
  <c r="Z399" i="6"/>
  <c r="AV399" i="6"/>
  <c r="AK398" i="6"/>
  <c r="AA399" i="6"/>
  <c r="AK399" i="6" s="1"/>
  <c r="AD391" i="6"/>
  <c r="AE391" i="6"/>
  <c r="AF390" i="6"/>
  <c r="AG389" i="6"/>
  <c r="AH388" i="6"/>
  <c r="AI387" i="6"/>
  <c r="AU397" i="6" l="1"/>
  <c r="C394" i="7"/>
  <c r="D394" i="7"/>
  <c r="BA397" i="6"/>
  <c r="B395" i="7"/>
  <c r="AQ400" i="6"/>
  <c r="AS398" i="6"/>
  <c r="AW398" i="6" s="1"/>
  <c r="AN399" i="6"/>
  <c r="AN400" i="6" s="1"/>
  <c r="AO399" i="6"/>
  <c r="AO400" i="6" s="1"/>
  <c r="AP399" i="6"/>
  <c r="AS399" i="6" s="1"/>
  <c r="AW399" i="6" s="1"/>
  <c r="AQ399" i="6"/>
  <c r="Z400" i="6"/>
  <c r="AY400" i="6"/>
  <c r="V401" i="6"/>
  <c r="AA400" i="6"/>
  <c r="AV400" i="6"/>
  <c r="X401" i="6"/>
  <c r="X402" i="6" s="1"/>
  <c r="AY401" i="6"/>
  <c r="AD392" i="6"/>
  <c r="AE392" i="6"/>
  <c r="AF391" i="6"/>
  <c r="AG390" i="6"/>
  <c r="AH389" i="6"/>
  <c r="AI388" i="6"/>
  <c r="AU399" i="6" l="1"/>
  <c r="AU398" i="6"/>
  <c r="C395" i="7"/>
  <c r="D395" i="7"/>
  <c r="BA398" i="6"/>
  <c r="BA399" i="6" s="1"/>
  <c r="B396" i="7"/>
  <c r="AP400" i="6"/>
  <c r="X403" i="6"/>
  <c r="X404" i="6" s="1"/>
  <c r="AY403" i="6"/>
  <c r="AK400" i="6"/>
  <c r="AA401" i="6"/>
  <c r="V402" i="6"/>
  <c r="Z401" i="6"/>
  <c r="AV401" i="6"/>
  <c r="AD393" i="6"/>
  <c r="AE393" i="6"/>
  <c r="AF392" i="6"/>
  <c r="AG391" i="6"/>
  <c r="AH390" i="6"/>
  <c r="AI389" i="6"/>
  <c r="C396" i="7" l="1"/>
  <c r="D396" i="7"/>
  <c r="B397" i="7"/>
  <c r="B398" i="7"/>
  <c r="AS400" i="6"/>
  <c r="AW400" i="6" s="1"/>
  <c r="AN401" i="6"/>
  <c r="AO401" i="6"/>
  <c r="AP401" i="6"/>
  <c r="AQ401" i="6"/>
  <c r="Z402" i="6"/>
  <c r="AY402" i="6"/>
  <c r="V403" i="6"/>
  <c r="AA402" i="6"/>
  <c r="AV402" i="6"/>
  <c r="AK401" i="6"/>
  <c r="X405" i="6"/>
  <c r="X406" i="6" s="1"/>
  <c r="AY405" i="6"/>
  <c r="AD394" i="6"/>
  <c r="AE394" i="6"/>
  <c r="AF393" i="6"/>
  <c r="AG392" i="6"/>
  <c r="AH391" i="6"/>
  <c r="AI390" i="6"/>
  <c r="AU400" i="6" l="1"/>
  <c r="C398" i="7"/>
  <c r="D398" i="7"/>
  <c r="C397" i="7"/>
  <c r="D397" i="7"/>
  <c r="AS401" i="6"/>
  <c r="AW401" i="6" s="1"/>
  <c r="AN402" i="6"/>
  <c r="AO402" i="6"/>
  <c r="AP402" i="6"/>
  <c r="AQ402" i="6"/>
  <c r="X407" i="6"/>
  <c r="X408" i="6" s="1"/>
  <c r="AY407" i="6"/>
  <c r="AK402" i="6"/>
  <c r="AA403" i="6"/>
  <c r="V404" i="6"/>
  <c r="Z403" i="6"/>
  <c r="AV403" i="6"/>
  <c r="AD395" i="6"/>
  <c r="AE395" i="6"/>
  <c r="AF394" i="6"/>
  <c r="AG393" i="6"/>
  <c r="AH392" i="6"/>
  <c r="AI391" i="6"/>
  <c r="AU401" i="6" l="1"/>
  <c r="BA400" i="6"/>
  <c r="BA401" i="6" s="1"/>
  <c r="AS402" i="6"/>
  <c r="AW402" i="6" s="1"/>
  <c r="AN403" i="6"/>
  <c r="AO403" i="6"/>
  <c r="AP403" i="6"/>
  <c r="AQ403" i="6"/>
  <c r="Z404" i="6"/>
  <c r="AY404" i="6"/>
  <c r="V405" i="6"/>
  <c r="AA404" i="6"/>
  <c r="AV404" i="6"/>
  <c r="AK403" i="6"/>
  <c r="X409" i="6"/>
  <c r="X410" i="6" s="1"/>
  <c r="AY409" i="6"/>
  <c r="AD396" i="6"/>
  <c r="AE396" i="6"/>
  <c r="AF395" i="6"/>
  <c r="AG394" i="6"/>
  <c r="AH393" i="6"/>
  <c r="AI392" i="6"/>
  <c r="AU402" i="6" l="1"/>
  <c r="BA402" i="6"/>
  <c r="B399" i="7"/>
  <c r="B400" i="7"/>
  <c r="AS403" i="6"/>
  <c r="AW403" i="6" s="1"/>
  <c r="AN404" i="6"/>
  <c r="AO404" i="6"/>
  <c r="AP404" i="6"/>
  <c r="AQ404" i="6"/>
  <c r="X411" i="6"/>
  <c r="X412" i="6" s="1"/>
  <c r="AY411" i="6"/>
  <c r="AK404" i="6"/>
  <c r="AA405" i="6"/>
  <c r="V406" i="6"/>
  <c r="Z405" i="6"/>
  <c r="AV405" i="6"/>
  <c r="AD397" i="6"/>
  <c r="AE397" i="6"/>
  <c r="AF396" i="6"/>
  <c r="AG395" i="6"/>
  <c r="AH394" i="6"/>
  <c r="AI393" i="6"/>
  <c r="AU403" i="6" l="1"/>
  <c r="C400" i="7"/>
  <c r="D400" i="7"/>
  <c r="C399" i="7"/>
  <c r="D399" i="7"/>
  <c r="BA403" i="6"/>
  <c r="B401" i="7"/>
  <c r="AS404" i="6"/>
  <c r="AW404" i="6" s="1"/>
  <c r="AN405" i="6"/>
  <c r="AO405" i="6"/>
  <c r="AP405" i="6"/>
  <c r="AQ405" i="6"/>
  <c r="Z406" i="6"/>
  <c r="AY406" i="6"/>
  <c r="V407" i="6"/>
  <c r="AA406" i="6"/>
  <c r="AV406" i="6"/>
  <c r="AK405" i="6"/>
  <c r="X413" i="6"/>
  <c r="X414" i="6" s="1"/>
  <c r="AY413" i="6"/>
  <c r="AD398" i="6"/>
  <c r="AE398" i="6"/>
  <c r="AF397" i="6"/>
  <c r="AG396" i="6"/>
  <c r="AH395" i="6"/>
  <c r="AI394" i="6"/>
  <c r="AU404" i="6" l="1"/>
  <c r="C401" i="7"/>
  <c r="D401" i="7"/>
  <c r="BA404" i="6"/>
  <c r="B402" i="7"/>
  <c r="AS405" i="6"/>
  <c r="AW405" i="6" s="1"/>
  <c r="AN406" i="6"/>
  <c r="AO406" i="6"/>
  <c r="AP406" i="6"/>
  <c r="AQ406" i="6"/>
  <c r="X415" i="6"/>
  <c r="X416" i="6" s="1"/>
  <c r="AY415" i="6"/>
  <c r="AK406" i="6"/>
  <c r="AA407" i="6"/>
  <c r="V408" i="6"/>
  <c r="Z407" i="6"/>
  <c r="AV407" i="6"/>
  <c r="AD399" i="6"/>
  <c r="AE399" i="6"/>
  <c r="AF398" i="6"/>
  <c r="AG397" i="6"/>
  <c r="AH396" i="6"/>
  <c r="AI395" i="6"/>
  <c r="AU405" i="6" l="1"/>
  <c r="C402" i="7"/>
  <c r="D402" i="7"/>
  <c r="BA405" i="6"/>
  <c r="B403" i="7"/>
  <c r="AS406" i="6"/>
  <c r="AW406" i="6" s="1"/>
  <c r="AN407" i="6"/>
  <c r="AO407" i="6"/>
  <c r="AP407" i="6"/>
  <c r="AQ407" i="6"/>
  <c r="Z408" i="6"/>
  <c r="AY408" i="6"/>
  <c r="V409" i="6"/>
  <c r="AA408" i="6"/>
  <c r="AV408" i="6"/>
  <c r="AK407" i="6"/>
  <c r="X417" i="6"/>
  <c r="X418" i="6" s="1"/>
  <c r="AY417" i="6"/>
  <c r="AD400" i="6"/>
  <c r="AE400" i="6"/>
  <c r="AF399" i="6"/>
  <c r="AG398" i="6"/>
  <c r="AH397" i="6"/>
  <c r="AI396" i="6"/>
  <c r="AU406" i="6" l="1"/>
  <c r="C403" i="7"/>
  <c r="D403" i="7"/>
  <c r="BA406" i="6"/>
  <c r="B404" i="7"/>
  <c r="AS407" i="6"/>
  <c r="AW407" i="6" s="1"/>
  <c r="AN408" i="6"/>
  <c r="AO408" i="6"/>
  <c r="AP408" i="6"/>
  <c r="AQ408" i="6"/>
  <c r="X419" i="6"/>
  <c r="X420" i="6" s="1"/>
  <c r="AY419" i="6"/>
  <c r="AK408" i="6"/>
  <c r="AA409" i="6"/>
  <c r="V410" i="6"/>
  <c r="Z409" i="6"/>
  <c r="AV409" i="6"/>
  <c r="AD401" i="6"/>
  <c r="AE401" i="6"/>
  <c r="AF400" i="6"/>
  <c r="AG399" i="6"/>
  <c r="AH398" i="6"/>
  <c r="AI397" i="6"/>
  <c r="AU407" i="6" l="1"/>
  <c r="C404" i="7"/>
  <c r="D404" i="7"/>
  <c r="BA407" i="6"/>
  <c r="B405" i="7"/>
  <c r="AS408" i="6"/>
  <c r="AW408" i="6" s="1"/>
  <c r="AN409" i="6"/>
  <c r="AO409" i="6"/>
  <c r="AP409" i="6"/>
  <c r="AQ409" i="6"/>
  <c r="Z410" i="6"/>
  <c r="AY410" i="6"/>
  <c r="V411" i="6"/>
  <c r="AA410" i="6"/>
  <c r="AV410" i="6"/>
  <c r="AK409" i="6"/>
  <c r="X421" i="6"/>
  <c r="X422" i="6" s="1"/>
  <c r="AY421" i="6"/>
  <c r="AD402" i="6"/>
  <c r="AE402" i="6"/>
  <c r="AF401" i="6"/>
  <c r="AG400" i="6"/>
  <c r="AH399" i="6"/>
  <c r="AI398" i="6"/>
  <c r="AU408" i="6" l="1"/>
  <c r="C405" i="7"/>
  <c r="D405" i="7"/>
  <c r="BA408" i="6"/>
  <c r="B406" i="7"/>
  <c r="AS409" i="6"/>
  <c r="AW409" i="6" s="1"/>
  <c r="AN410" i="6"/>
  <c r="AO410" i="6"/>
  <c r="AP410" i="6"/>
  <c r="AQ410" i="6"/>
  <c r="X423" i="6"/>
  <c r="X424" i="6" s="1"/>
  <c r="AY423" i="6"/>
  <c r="AK410" i="6"/>
  <c r="AA411" i="6"/>
  <c r="V412" i="6"/>
  <c r="Z411" i="6"/>
  <c r="AV411" i="6"/>
  <c r="AD403" i="6"/>
  <c r="AE403" i="6"/>
  <c r="AF402" i="6"/>
  <c r="AG401" i="6"/>
  <c r="AH400" i="6"/>
  <c r="AI399" i="6"/>
  <c r="AU409" i="6" l="1"/>
  <c r="C406" i="7"/>
  <c r="D406" i="7"/>
  <c r="BA409" i="6"/>
  <c r="B407" i="7"/>
  <c r="AS410" i="6"/>
  <c r="AW410" i="6" s="1"/>
  <c r="AN411" i="6"/>
  <c r="AO411" i="6"/>
  <c r="AP411" i="6"/>
  <c r="AQ411" i="6"/>
  <c r="Z412" i="6"/>
  <c r="AY412" i="6"/>
  <c r="V413" i="6"/>
  <c r="AA412" i="6"/>
  <c r="AV412" i="6"/>
  <c r="AK411" i="6"/>
  <c r="X425" i="6"/>
  <c r="X426" i="6" s="1"/>
  <c r="AY425" i="6"/>
  <c r="AD404" i="6"/>
  <c r="AE404" i="6"/>
  <c r="AF403" i="6"/>
  <c r="AG402" i="6"/>
  <c r="AH401" i="6"/>
  <c r="AI400" i="6"/>
  <c r="AU410" i="6" l="1"/>
  <c r="C407" i="7"/>
  <c r="D407" i="7"/>
  <c r="BA410" i="6"/>
  <c r="B408" i="7"/>
  <c r="AS411" i="6"/>
  <c r="AW411" i="6" s="1"/>
  <c r="AN412" i="6"/>
  <c r="AO412" i="6"/>
  <c r="AP412" i="6"/>
  <c r="AQ412" i="6"/>
  <c r="X427" i="6"/>
  <c r="X428" i="6" s="1"/>
  <c r="AY427" i="6"/>
  <c r="AK412" i="6"/>
  <c r="AA413" i="6"/>
  <c r="V414" i="6"/>
  <c r="Z413" i="6"/>
  <c r="AV413" i="6"/>
  <c r="AD405" i="6"/>
  <c r="AE405" i="6"/>
  <c r="AF404" i="6"/>
  <c r="AG403" i="6"/>
  <c r="AH402" i="6"/>
  <c r="AI401" i="6"/>
  <c r="AU411" i="6" l="1"/>
  <c r="C408" i="7"/>
  <c r="D408" i="7"/>
  <c r="BA411" i="6"/>
  <c r="B409" i="7"/>
  <c r="AS412" i="6"/>
  <c r="AW412" i="6" s="1"/>
  <c r="AN413" i="6"/>
  <c r="AO413" i="6"/>
  <c r="AP413" i="6"/>
  <c r="AQ413" i="6"/>
  <c r="Z414" i="6"/>
  <c r="AY414" i="6"/>
  <c r="V415" i="6"/>
  <c r="AA414" i="6"/>
  <c r="AV414" i="6"/>
  <c r="AK413" i="6"/>
  <c r="X429" i="6"/>
  <c r="X430" i="6" s="1"/>
  <c r="AY429" i="6"/>
  <c r="AD406" i="6"/>
  <c r="AE406" i="6"/>
  <c r="AF405" i="6"/>
  <c r="AG404" i="6"/>
  <c r="AH403" i="6"/>
  <c r="AI402" i="6"/>
  <c r="AU412" i="6" l="1"/>
  <c r="C409" i="7"/>
  <c r="D409" i="7"/>
  <c r="BA412" i="6"/>
  <c r="B410" i="7"/>
  <c r="AS413" i="6"/>
  <c r="AW413" i="6" s="1"/>
  <c r="AN414" i="6"/>
  <c r="AO414" i="6"/>
  <c r="AP414" i="6"/>
  <c r="AQ414" i="6"/>
  <c r="X431" i="6"/>
  <c r="X432" i="6" s="1"/>
  <c r="AY431" i="6"/>
  <c r="AK414" i="6"/>
  <c r="AA415" i="6"/>
  <c r="V416" i="6"/>
  <c r="Z415" i="6"/>
  <c r="AV415" i="6"/>
  <c r="AD407" i="6"/>
  <c r="AE407" i="6"/>
  <c r="AF406" i="6"/>
  <c r="AG405" i="6"/>
  <c r="AH404" i="6"/>
  <c r="AI403" i="6"/>
  <c r="AU413" i="6" l="1"/>
  <c r="C410" i="7"/>
  <c r="D410" i="7"/>
  <c r="BA413" i="6"/>
  <c r="B411" i="7"/>
  <c r="AS414" i="6"/>
  <c r="AW414" i="6" s="1"/>
  <c r="AN415" i="6"/>
  <c r="AO415" i="6"/>
  <c r="AP415" i="6"/>
  <c r="AQ415" i="6"/>
  <c r="Z416" i="6"/>
  <c r="AY416" i="6"/>
  <c r="V417" i="6"/>
  <c r="AA416" i="6"/>
  <c r="AV416" i="6"/>
  <c r="AK415" i="6"/>
  <c r="X433" i="6"/>
  <c r="X434" i="6" s="1"/>
  <c r="AY433" i="6"/>
  <c r="AD408" i="6"/>
  <c r="AE408" i="6"/>
  <c r="AF407" i="6"/>
  <c r="AG406" i="6"/>
  <c r="AH405" i="6"/>
  <c r="AI404" i="6"/>
  <c r="AU414" i="6" l="1"/>
  <c r="C411" i="7"/>
  <c r="D411" i="7"/>
  <c r="BA414" i="6"/>
  <c r="B412" i="7"/>
  <c r="AS415" i="6"/>
  <c r="AW415" i="6" s="1"/>
  <c r="AN416" i="6"/>
  <c r="AO416" i="6"/>
  <c r="AP416" i="6"/>
  <c r="AQ416" i="6"/>
  <c r="X435" i="6"/>
  <c r="X436" i="6" s="1"/>
  <c r="AY435" i="6"/>
  <c r="AK416" i="6"/>
  <c r="AA417" i="6"/>
  <c r="V418" i="6"/>
  <c r="Z417" i="6"/>
  <c r="AV417" i="6"/>
  <c r="AD409" i="6"/>
  <c r="AE409" i="6"/>
  <c r="AF408" i="6"/>
  <c r="AG407" i="6"/>
  <c r="AH406" i="6"/>
  <c r="AI405" i="6"/>
  <c r="AU415" i="6" l="1"/>
  <c r="C412" i="7"/>
  <c r="D412" i="7"/>
  <c r="BA415" i="6"/>
  <c r="B413" i="7"/>
  <c r="AS416" i="6"/>
  <c r="AW416" i="6" s="1"/>
  <c r="AN417" i="6"/>
  <c r="AO417" i="6"/>
  <c r="AP417" i="6"/>
  <c r="AQ417" i="6"/>
  <c r="Z418" i="6"/>
  <c r="AY418" i="6"/>
  <c r="V419" i="6"/>
  <c r="AA418" i="6"/>
  <c r="AV418" i="6"/>
  <c r="AK417" i="6"/>
  <c r="X437" i="6"/>
  <c r="X438" i="6" s="1"/>
  <c r="AY437" i="6"/>
  <c r="AD410" i="6"/>
  <c r="AE410" i="6"/>
  <c r="AF409" i="6"/>
  <c r="AG408" i="6"/>
  <c r="AH407" i="6"/>
  <c r="AI406" i="6"/>
  <c r="AU416" i="6" l="1"/>
  <c r="C413" i="7"/>
  <c r="D413" i="7"/>
  <c r="BA416" i="6"/>
  <c r="B414" i="7"/>
  <c r="AS417" i="6"/>
  <c r="AW417" i="6" s="1"/>
  <c r="AN418" i="6"/>
  <c r="AO418" i="6"/>
  <c r="AP418" i="6"/>
  <c r="AQ418" i="6"/>
  <c r="X439" i="6"/>
  <c r="X440" i="6" s="1"/>
  <c r="AY439" i="6"/>
  <c r="AK418" i="6"/>
  <c r="AA419" i="6"/>
  <c r="V420" i="6"/>
  <c r="Z419" i="6"/>
  <c r="AV419" i="6"/>
  <c r="AD411" i="6"/>
  <c r="AE411" i="6"/>
  <c r="AF410" i="6"/>
  <c r="AG409" i="6"/>
  <c r="AH408" i="6"/>
  <c r="AI407" i="6"/>
  <c r="AU417" i="6" l="1"/>
  <c r="C414" i="7"/>
  <c r="D414" i="7"/>
  <c r="BA417" i="6"/>
  <c r="B415" i="7"/>
  <c r="AS418" i="6"/>
  <c r="AW418" i="6" s="1"/>
  <c r="AN419" i="6"/>
  <c r="AO419" i="6"/>
  <c r="AP419" i="6"/>
  <c r="AQ419" i="6"/>
  <c r="Z420" i="6"/>
  <c r="AY420" i="6"/>
  <c r="V421" i="6"/>
  <c r="AA420" i="6"/>
  <c r="AV420" i="6"/>
  <c r="AK419" i="6"/>
  <c r="X441" i="6"/>
  <c r="X442" i="6" s="1"/>
  <c r="AY441" i="6"/>
  <c r="AD412" i="6"/>
  <c r="AE412" i="6"/>
  <c r="AF411" i="6"/>
  <c r="AG410" i="6"/>
  <c r="AH409" i="6"/>
  <c r="AI408" i="6"/>
  <c r="AU418" i="6" l="1"/>
  <c r="C415" i="7"/>
  <c r="D415" i="7"/>
  <c r="BA418" i="6"/>
  <c r="B416" i="7"/>
  <c r="AS419" i="6"/>
  <c r="AW419" i="6" s="1"/>
  <c r="AN420" i="6"/>
  <c r="AO420" i="6"/>
  <c r="AP420" i="6"/>
  <c r="AQ420" i="6"/>
  <c r="X443" i="6"/>
  <c r="X444" i="6" s="1"/>
  <c r="AY443" i="6"/>
  <c r="AK420" i="6"/>
  <c r="AA421" i="6"/>
  <c r="V422" i="6"/>
  <c r="Z421" i="6"/>
  <c r="AV421" i="6"/>
  <c r="AD413" i="6"/>
  <c r="AE413" i="6"/>
  <c r="AF412" i="6"/>
  <c r="AG411" i="6"/>
  <c r="AH410" i="6"/>
  <c r="AI409" i="6"/>
  <c r="AU419" i="6" l="1"/>
  <c r="C416" i="7"/>
  <c r="D416" i="7"/>
  <c r="BA419" i="6"/>
  <c r="B417" i="7"/>
  <c r="AS420" i="6"/>
  <c r="AW420" i="6" s="1"/>
  <c r="AN421" i="6"/>
  <c r="AO421" i="6"/>
  <c r="AP421" i="6"/>
  <c r="AQ421" i="6"/>
  <c r="Z422" i="6"/>
  <c r="AY422" i="6"/>
  <c r="V423" i="6"/>
  <c r="AA422" i="6"/>
  <c r="AV422" i="6"/>
  <c r="AK421" i="6"/>
  <c r="X445" i="6"/>
  <c r="X446" i="6" s="1"/>
  <c r="AY445" i="6"/>
  <c r="AD414" i="6"/>
  <c r="AE414" i="6"/>
  <c r="AF413" i="6"/>
  <c r="AG412" i="6"/>
  <c r="AH411" i="6"/>
  <c r="AI410" i="6"/>
  <c r="AU420" i="6" l="1"/>
  <c r="C417" i="7"/>
  <c r="D417" i="7"/>
  <c r="BA420" i="6"/>
  <c r="B418" i="7"/>
  <c r="AS421" i="6"/>
  <c r="AW421" i="6" s="1"/>
  <c r="AN422" i="6"/>
  <c r="AO422" i="6"/>
  <c r="AP422" i="6"/>
  <c r="AQ422" i="6"/>
  <c r="X447" i="6"/>
  <c r="X448" i="6" s="1"/>
  <c r="AY447" i="6"/>
  <c r="AK422" i="6"/>
  <c r="AA423" i="6"/>
  <c r="V424" i="6"/>
  <c r="Z423" i="6"/>
  <c r="AV423" i="6"/>
  <c r="AD415" i="6"/>
  <c r="AE415" i="6"/>
  <c r="AF414" i="6"/>
  <c r="AG413" i="6"/>
  <c r="AH412" i="6"/>
  <c r="AI411" i="6"/>
  <c r="AU421" i="6" l="1"/>
  <c r="C418" i="7"/>
  <c r="D418" i="7"/>
  <c r="BA421" i="6"/>
  <c r="B419" i="7"/>
  <c r="AS422" i="6"/>
  <c r="AW422" i="6" s="1"/>
  <c r="AN423" i="6"/>
  <c r="AO423" i="6"/>
  <c r="AP423" i="6"/>
  <c r="AQ423" i="6"/>
  <c r="Z424" i="6"/>
  <c r="AY424" i="6"/>
  <c r="V425" i="6"/>
  <c r="AA424" i="6"/>
  <c r="AV424" i="6"/>
  <c r="AK423" i="6"/>
  <c r="X449" i="6"/>
  <c r="X450" i="6" s="1"/>
  <c r="AY449" i="6"/>
  <c r="AD416" i="6"/>
  <c r="AE416" i="6"/>
  <c r="AF415" i="6"/>
  <c r="AG414" i="6"/>
  <c r="AH413" i="6"/>
  <c r="AI412" i="6"/>
  <c r="AU422" i="6" l="1"/>
  <c r="C419" i="7"/>
  <c r="D419" i="7"/>
  <c r="BA422" i="6"/>
  <c r="B420" i="7"/>
  <c r="AS423" i="6"/>
  <c r="AW423" i="6" s="1"/>
  <c r="AN424" i="6"/>
  <c r="AO424" i="6"/>
  <c r="AP424" i="6"/>
  <c r="AQ424" i="6"/>
  <c r="X451" i="6"/>
  <c r="X452" i="6" s="1"/>
  <c r="AY451" i="6"/>
  <c r="AK424" i="6"/>
  <c r="AA425" i="6"/>
  <c r="V426" i="6"/>
  <c r="Z425" i="6"/>
  <c r="AV425" i="6"/>
  <c r="AD417" i="6"/>
  <c r="AE417" i="6"/>
  <c r="AF416" i="6"/>
  <c r="AG415" i="6"/>
  <c r="AH414" i="6"/>
  <c r="AI413" i="6"/>
  <c r="AU423" i="6" l="1"/>
  <c r="C420" i="7"/>
  <c r="D420" i="7"/>
  <c r="BA423" i="6"/>
  <c r="B421" i="7"/>
  <c r="AS424" i="6"/>
  <c r="AW424" i="6" s="1"/>
  <c r="AN425" i="6"/>
  <c r="AO425" i="6"/>
  <c r="AP425" i="6"/>
  <c r="AQ425" i="6"/>
  <c r="Z426" i="6"/>
  <c r="AY426" i="6"/>
  <c r="V427" i="6"/>
  <c r="AA426" i="6"/>
  <c r="AV426" i="6"/>
  <c r="AK425" i="6"/>
  <c r="X453" i="6"/>
  <c r="X454" i="6" s="1"/>
  <c r="AY453" i="6"/>
  <c r="AD418" i="6"/>
  <c r="AE418" i="6"/>
  <c r="AF417" i="6"/>
  <c r="AG416" i="6"/>
  <c r="AH415" i="6"/>
  <c r="AI414" i="6"/>
  <c r="AU424" i="6" l="1"/>
  <c r="C421" i="7"/>
  <c r="D421" i="7"/>
  <c r="BA424" i="6"/>
  <c r="B422" i="7"/>
  <c r="AS425" i="6"/>
  <c r="AW425" i="6" s="1"/>
  <c r="AN426" i="6"/>
  <c r="AO426" i="6"/>
  <c r="AP426" i="6"/>
  <c r="AQ426" i="6"/>
  <c r="AK426" i="6"/>
  <c r="AA427" i="6"/>
  <c r="V428" i="6"/>
  <c r="Z427" i="6"/>
  <c r="AV427" i="6"/>
  <c r="AD419" i="6"/>
  <c r="AE419" i="6"/>
  <c r="AF418" i="6"/>
  <c r="AG417" i="6"/>
  <c r="AH416" i="6"/>
  <c r="AI415" i="6"/>
  <c r="AU425" i="6" l="1"/>
  <c r="C422" i="7"/>
  <c r="D422" i="7"/>
  <c r="BA425" i="6"/>
  <c r="B423" i="7"/>
  <c r="AS426" i="6"/>
  <c r="AW426" i="6" s="1"/>
  <c r="AN427" i="6"/>
  <c r="AO427" i="6"/>
  <c r="AP427" i="6"/>
  <c r="AQ427" i="6"/>
  <c r="Z428" i="6"/>
  <c r="AY428" i="6"/>
  <c r="V429" i="6"/>
  <c r="AA428" i="6"/>
  <c r="AV428" i="6"/>
  <c r="AK427" i="6"/>
  <c r="AD420" i="6"/>
  <c r="AE420" i="6"/>
  <c r="AF419" i="6"/>
  <c r="AG418" i="6"/>
  <c r="AH417" i="6"/>
  <c r="AI416" i="6"/>
  <c r="AU426" i="6" l="1"/>
  <c r="C423" i="7"/>
  <c r="D423" i="7"/>
  <c r="BA426" i="6"/>
  <c r="B424" i="7"/>
  <c r="AS427" i="6"/>
  <c r="AW427" i="6" s="1"/>
  <c r="AN428" i="6"/>
  <c r="AO428" i="6"/>
  <c r="AP428" i="6"/>
  <c r="AQ428" i="6"/>
  <c r="AK428" i="6"/>
  <c r="AA429" i="6"/>
  <c r="V430" i="6"/>
  <c r="Z429" i="6"/>
  <c r="AV429" i="6"/>
  <c r="AD421" i="6"/>
  <c r="AE421" i="6"/>
  <c r="AF420" i="6"/>
  <c r="AG419" i="6"/>
  <c r="AH418" i="6"/>
  <c r="AI417" i="6"/>
  <c r="AU427" i="6" l="1"/>
  <c r="C424" i="7"/>
  <c r="D424" i="7"/>
  <c r="BA427" i="6"/>
  <c r="B425" i="7"/>
  <c r="AS428" i="6"/>
  <c r="AW428" i="6" s="1"/>
  <c r="AN429" i="6"/>
  <c r="AO429" i="6"/>
  <c r="AP429" i="6"/>
  <c r="AQ429" i="6"/>
  <c r="Z430" i="6"/>
  <c r="AY430" i="6"/>
  <c r="V431" i="6"/>
  <c r="AA430" i="6"/>
  <c r="AV430" i="6"/>
  <c r="AK429" i="6"/>
  <c r="AD422" i="6"/>
  <c r="AE422" i="6"/>
  <c r="AF421" i="6"/>
  <c r="AG420" i="6"/>
  <c r="AH419" i="6"/>
  <c r="AI418" i="6"/>
  <c r="AU428" i="6" l="1"/>
  <c r="C425" i="7"/>
  <c r="D425" i="7"/>
  <c r="BA428" i="6"/>
  <c r="B426" i="7"/>
  <c r="AS429" i="6"/>
  <c r="AW429" i="6" s="1"/>
  <c r="AN430" i="6"/>
  <c r="AO430" i="6"/>
  <c r="AP430" i="6"/>
  <c r="AQ430" i="6"/>
  <c r="AK430" i="6"/>
  <c r="AA431" i="6"/>
  <c r="V432" i="6"/>
  <c r="Z431" i="6"/>
  <c r="AV431" i="6"/>
  <c r="AD423" i="6"/>
  <c r="AE423" i="6"/>
  <c r="AF422" i="6"/>
  <c r="AG421" i="6"/>
  <c r="AH420" i="6"/>
  <c r="AI419" i="6"/>
  <c r="AU429" i="6" l="1"/>
  <c r="C426" i="7"/>
  <c r="D426" i="7"/>
  <c r="BA429" i="6"/>
  <c r="B427" i="7"/>
  <c r="AS430" i="6"/>
  <c r="AW430" i="6" s="1"/>
  <c r="AN431" i="6"/>
  <c r="AO431" i="6"/>
  <c r="AP431" i="6"/>
  <c r="AQ431" i="6"/>
  <c r="Z432" i="6"/>
  <c r="AY432" i="6"/>
  <c r="V433" i="6"/>
  <c r="AA432" i="6"/>
  <c r="AV432" i="6"/>
  <c r="AK431" i="6"/>
  <c r="AD424" i="6"/>
  <c r="AE424" i="6"/>
  <c r="AF423" i="6"/>
  <c r="AG422" i="6"/>
  <c r="AH421" i="6"/>
  <c r="AI420" i="6"/>
  <c r="AU430" i="6" l="1"/>
  <c r="C427" i="7"/>
  <c r="D427" i="7"/>
  <c r="BA430" i="6"/>
  <c r="B428" i="7"/>
  <c r="AS431" i="6"/>
  <c r="AW431" i="6" s="1"/>
  <c r="AN432" i="6"/>
  <c r="AO432" i="6"/>
  <c r="AP432" i="6"/>
  <c r="AQ432" i="6"/>
  <c r="AK432" i="6"/>
  <c r="AA433" i="6"/>
  <c r="V434" i="6"/>
  <c r="Z433" i="6"/>
  <c r="AV433" i="6"/>
  <c r="AD425" i="6"/>
  <c r="AE425" i="6"/>
  <c r="AF424" i="6"/>
  <c r="AG423" i="6"/>
  <c r="AH422" i="6"/>
  <c r="AI421" i="6"/>
  <c r="AU431" i="6" l="1"/>
  <c r="C428" i="7"/>
  <c r="D428" i="7"/>
  <c r="BA431" i="6"/>
  <c r="B429" i="7"/>
  <c r="AS432" i="6"/>
  <c r="AW432" i="6" s="1"/>
  <c r="AN433" i="6"/>
  <c r="AO433" i="6"/>
  <c r="AP433" i="6"/>
  <c r="AQ433" i="6"/>
  <c r="Z434" i="6"/>
  <c r="AY434" i="6"/>
  <c r="V435" i="6"/>
  <c r="AA434" i="6"/>
  <c r="AV434" i="6"/>
  <c r="AK433" i="6"/>
  <c r="AD426" i="6"/>
  <c r="AE426" i="6"/>
  <c r="AF425" i="6"/>
  <c r="AG424" i="6"/>
  <c r="AH423" i="6"/>
  <c r="AI422" i="6"/>
  <c r="AU432" i="6" l="1"/>
  <c r="C429" i="7"/>
  <c r="D429" i="7"/>
  <c r="BA432" i="6"/>
  <c r="B430" i="7"/>
  <c r="AS433" i="6"/>
  <c r="AW433" i="6" s="1"/>
  <c r="AN434" i="6"/>
  <c r="AO434" i="6"/>
  <c r="AP434" i="6"/>
  <c r="AQ434" i="6"/>
  <c r="AK434" i="6"/>
  <c r="AA435" i="6"/>
  <c r="V436" i="6"/>
  <c r="Z435" i="6"/>
  <c r="AV435" i="6"/>
  <c r="AD427" i="6"/>
  <c r="AE427" i="6"/>
  <c r="AF426" i="6"/>
  <c r="AG425" i="6"/>
  <c r="AH424" i="6"/>
  <c r="AI423" i="6"/>
  <c r="AU433" i="6" l="1"/>
  <c r="C430" i="7"/>
  <c r="D430" i="7"/>
  <c r="BA433" i="6"/>
  <c r="B431" i="7"/>
  <c r="AS434" i="6"/>
  <c r="AW434" i="6" s="1"/>
  <c r="AN435" i="6"/>
  <c r="AO435" i="6"/>
  <c r="AP435" i="6"/>
  <c r="AQ435" i="6"/>
  <c r="Z436" i="6"/>
  <c r="AY436" i="6"/>
  <c r="V437" i="6"/>
  <c r="AA436" i="6"/>
  <c r="AV436" i="6"/>
  <c r="AK435" i="6"/>
  <c r="AD428" i="6"/>
  <c r="AE428" i="6"/>
  <c r="AF427" i="6"/>
  <c r="AG426" i="6"/>
  <c r="AH425" i="6"/>
  <c r="AI424" i="6"/>
  <c r="AU434" i="6" l="1"/>
  <c r="C431" i="7"/>
  <c r="D431" i="7"/>
  <c r="BA434" i="6"/>
  <c r="B432" i="7"/>
  <c r="AS435" i="6"/>
  <c r="AW435" i="6" s="1"/>
  <c r="AN436" i="6"/>
  <c r="AO436" i="6"/>
  <c r="AP436" i="6"/>
  <c r="AQ436" i="6"/>
  <c r="AK436" i="6"/>
  <c r="AA437" i="6"/>
  <c r="V438" i="6"/>
  <c r="Z437" i="6"/>
  <c r="AV437" i="6"/>
  <c r="AD429" i="6"/>
  <c r="AE429" i="6"/>
  <c r="AF428" i="6"/>
  <c r="AG427" i="6"/>
  <c r="AH426" i="6"/>
  <c r="AI425" i="6"/>
  <c r="AU435" i="6" l="1"/>
  <c r="C432" i="7"/>
  <c r="D432" i="7"/>
  <c r="BA435" i="6"/>
  <c r="B433" i="7"/>
  <c r="AS436" i="6"/>
  <c r="AW436" i="6" s="1"/>
  <c r="AN437" i="6"/>
  <c r="AO437" i="6"/>
  <c r="AP437" i="6"/>
  <c r="AQ437" i="6"/>
  <c r="Z438" i="6"/>
  <c r="AY438" i="6"/>
  <c r="V439" i="6"/>
  <c r="AA438" i="6"/>
  <c r="AV438" i="6"/>
  <c r="AK437" i="6"/>
  <c r="AD430" i="6"/>
  <c r="AE430" i="6"/>
  <c r="AF429" i="6"/>
  <c r="AG428" i="6"/>
  <c r="AH427" i="6"/>
  <c r="AI426" i="6"/>
  <c r="AU436" i="6" l="1"/>
  <c r="C433" i="7"/>
  <c r="D433" i="7"/>
  <c r="BA436" i="6"/>
  <c r="B434" i="7"/>
  <c r="AS437" i="6"/>
  <c r="AW437" i="6" s="1"/>
  <c r="AN438" i="6"/>
  <c r="AO438" i="6"/>
  <c r="AP438" i="6"/>
  <c r="AQ438" i="6"/>
  <c r="AK438" i="6"/>
  <c r="AA439" i="6"/>
  <c r="V440" i="6"/>
  <c r="Z439" i="6"/>
  <c r="AV439" i="6"/>
  <c r="AD431" i="6"/>
  <c r="AE431" i="6"/>
  <c r="AF430" i="6"/>
  <c r="AG429" i="6"/>
  <c r="AH428" i="6"/>
  <c r="AI427" i="6"/>
  <c r="AU437" i="6" l="1"/>
  <c r="C434" i="7"/>
  <c r="D434" i="7"/>
  <c r="BA437" i="6"/>
  <c r="B435" i="7"/>
  <c r="AS438" i="6"/>
  <c r="AW438" i="6" s="1"/>
  <c r="AN439" i="6"/>
  <c r="AO439" i="6"/>
  <c r="AP439" i="6"/>
  <c r="AQ439" i="6"/>
  <c r="Z440" i="6"/>
  <c r="AY440" i="6"/>
  <c r="V441" i="6"/>
  <c r="AA440" i="6"/>
  <c r="AV440" i="6"/>
  <c r="AK439" i="6"/>
  <c r="AD432" i="6"/>
  <c r="AE432" i="6"/>
  <c r="AF431" i="6"/>
  <c r="AG430" i="6"/>
  <c r="AH429" i="6"/>
  <c r="AI428" i="6"/>
  <c r="AU438" i="6" l="1"/>
  <c r="C435" i="7"/>
  <c r="D435" i="7"/>
  <c r="BA438" i="6"/>
  <c r="B436" i="7"/>
  <c r="AS439" i="6"/>
  <c r="AW439" i="6" s="1"/>
  <c r="AN440" i="6"/>
  <c r="AO440" i="6"/>
  <c r="AP440" i="6"/>
  <c r="AQ440" i="6"/>
  <c r="AK440" i="6"/>
  <c r="AA441" i="6"/>
  <c r="V442" i="6"/>
  <c r="Z441" i="6"/>
  <c r="AV441" i="6"/>
  <c r="AD433" i="6"/>
  <c r="AE433" i="6"/>
  <c r="AF432" i="6"/>
  <c r="AG431" i="6"/>
  <c r="AH430" i="6"/>
  <c r="AI429" i="6"/>
  <c r="AU439" i="6" l="1"/>
  <c r="C436" i="7"/>
  <c r="D436" i="7"/>
  <c r="BA439" i="6"/>
  <c r="B437" i="7"/>
  <c r="AS440" i="6"/>
  <c r="AW440" i="6" s="1"/>
  <c r="AN441" i="6"/>
  <c r="AO441" i="6"/>
  <c r="AP441" i="6"/>
  <c r="AQ441" i="6"/>
  <c r="Z442" i="6"/>
  <c r="AY442" i="6"/>
  <c r="V443" i="6"/>
  <c r="AA442" i="6"/>
  <c r="AV442" i="6"/>
  <c r="AK441" i="6"/>
  <c r="AD434" i="6"/>
  <c r="AE434" i="6"/>
  <c r="AF433" i="6"/>
  <c r="AG432" i="6"/>
  <c r="AH431" i="6"/>
  <c r="AI430" i="6"/>
  <c r="AU440" i="6" l="1"/>
  <c r="C437" i="7"/>
  <c r="D437" i="7"/>
  <c r="BA440" i="6"/>
  <c r="B438" i="7"/>
  <c r="AS441" i="6"/>
  <c r="AW441" i="6" s="1"/>
  <c r="AN442" i="6"/>
  <c r="AO442" i="6"/>
  <c r="AP442" i="6"/>
  <c r="AQ442" i="6"/>
  <c r="AK442" i="6"/>
  <c r="AA443" i="6"/>
  <c r="V444" i="6"/>
  <c r="Z443" i="6"/>
  <c r="AV443" i="6"/>
  <c r="AD435" i="6"/>
  <c r="AE435" i="6"/>
  <c r="AF434" i="6"/>
  <c r="AG433" i="6"/>
  <c r="AH432" i="6"/>
  <c r="AI431" i="6"/>
  <c r="AU441" i="6" l="1"/>
  <c r="C438" i="7"/>
  <c r="D438" i="7"/>
  <c r="BA441" i="6"/>
  <c r="B439" i="7"/>
  <c r="AS442" i="6"/>
  <c r="AW442" i="6" s="1"/>
  <c r="AN443" i="6"/>
  <c r="AO443" i="6"/>
  <c r="AP443" i="6"/>
  <c r="AQ443" i="6"/>
  <c r="Z444" i="6"/>
  <c r="AY444" i="6"/>
  <c r="V445" i="6"/>
  <c r="AA444" i="6"/>
  <c r="AV444" i="6"/>
  <c r="AK443" i="6"/>
  <c r="AD436" i="6"/>
  <c r="AE436" i="6"/>
  <c r="AF435" i="6"/>
  <c r="AG434" i="6"/>
  <c r="AH433" i="6"/>
  <c r="AI432" i="6"/>
  <c r="AU442" i="6" l="1"/>
  <c r="C439" i="7"/>
  <c r="D439" i="7"/>
  <c r="BA442" i="6"/>
  <c r="B440" i="7"/>
  <c r="AS443" i="6"/>
  <c r="AW443" i="6" s="1"/>
  <c r="AN444" i="6"/>
  <c r="AO444" i="6"/>
  <c r="AP444" i="6"/>
  <c r="AQ444" i="6"/>
  <c r="AK444" i="6"/>
  <c r="AA445" i="6"/>
  <c r="V446" i="6"/>
  <c r="Z445" i="6"/>
  <c r="AV445" i="6"/>
  <c r="AD437" i="6"/>
  <c r="AE437" i="6"/>
  <c r="AF436" i="6"/>
  <c r="AG435" i="6"/>
  <c r="AH434" i="6"/>
  <c r="AI433" i="6"/>
  <c r="AU443" i="6" l="1"/>
  <c r="C440" i="7"/>
  <c r="D440" i="7"/>
  <c r="BA443" i="6"/>
  <c r="B441" i="7"/>
  <c r="AS444" i="6"/>
  <c r="AW444" i="6" s="1"/>
  <c r="AN445" i="6"/>
  <c r="AO445" i="6"/>
  <c r="AP445" i="6"/>
  <c r="AQ445" i="6"/>
  <c r="Z446" i="6"/>
  <c r="AY446" i="6"/>
  <c r="V447" i="6"/>
  <c r="AA446" i="6"/>
  <c r="AV446" i="6"/>
  <c r="AK445" i="6"/>
  <c r="AD438" i="6"/>
  <c r="AE438" i="6"/>
  <c r="AF437" i="6"/>
  <c r="AG436" i="6"/>
  <c r="AH435" i="6"/>
  <c r="AI434" i="6"/>
  <c r="AU444" i="6" l="1"/>
  <c r="C441" i="7"/>
  <c r="D441" i="7"/>
  <c r="BA444" i="6"/>
  <c r="B442" i="7"/>
  <c r="AS445" i="6"/>
  <c r="AW445" i="6" s="1"/>
  <c r="AN446" i="6"/>
  <c r="AO446" i="6"/>
  <c r="AP446" i="6"/>
  <c r="AQ446" i="6"/>
  <c r="AK446" i="6"/>
  <c r="AA447" i="6"/>
  <c r="V448" i="6"/>
  <c r="Z447" i="6"/>
  <c r="AV447" i="6"/>
  <c r="AD439" i="6"/>
  <c r="AE439" i="6"/>
  <c r="AF438" i="6"/>
  <c r="AG437" i="6"/>
  <c r="AH436" i="6"/>
  <c r="AI435" i="6"/>
  <c r="AU445" i="6" l="1"/>
  <c r="C442" i="7"/>
  <c r="D442" i="7"/>
  <c r="BA445" i="6"/>
  <c r="B443" i="7"/>
  <c r="AS446" i="6"/>
  <c r="AW446" i="6" s="1"/>
  <c r="AN447" i="6"/>
  <c r="AO447" i="6"/>
  <c r="AP447" i="6"/>
  <c r="AQ447" i="6"/>
  <c r="Z448" i="6"/>
  <c r="AY448" i="6"/>
  <c r="V449" i="6"/>
  <c r="AA448" i="6"/>
  <c r="AV448" i="6"/>
  <c r="AK447" i="6"/>
  <c r="AD440" i="6"/>
  <c r="AE440" i="6"/>
  <c r="AF439" i="6"/>
  <c r="AG438" i="6"/>
  <c r="AH437" i="6"/>
  <c r="AI436" i="6"/>
  <c r="AU446" i="6" l="1"/>
  <c r="C443" i="7"/>
  <c r="D443" i="7"/>
  <c r="BA446" i="6"/>
  <c r="B444" i="7"/>
  <c r="AS447" i="6"/>
  <c r="AW447" i="6" s="1"/>
  <c r="AN448" i="6"/>
  <c r="AO448" i="6"/>
  <c r="AP448" i="6"/>
  <c r="AQ448" i="6"/>
  <c r="AK448" i="6"/>
  <c r="AA449" i="6"/>
  <c r="V450" i="6"/>
  <c r="Z449" i="6"/>
  <c r="AV449" i="6"/>
  <c r="AD441" i="6"/>
  <c r="AE441" i="6"/>
  <c r="AF440" i="6"/>
  <c r="AG439" i="6"/>
  <c r="AH438" i="6"/>
  <c r="AI437" i="6"/>
  <c r="AU447" i="6" l="1"/>
  <c r="C444" i="7"/>
  <c r="D444" i="7"/>
  <c r="BA447" i="6"/>
  <c r="B445" i="7"/>
  <c r="AS448" i="6"/>
  <c r="AW448" i="6" s="1"/>
  <c r="AN449" i="6"/>
  <c r="AO449" i="6"/>
  <c r="AP449" i="6"/>
  <c r="AQ449" i="6"/>
  <c r="Z450" i="6"/>
  <c r="AY450" i="6"/>
  <c r="V451" i="6"/>
  <c r="AA450" i="6"/>
  <c r="AV450" i="6"/>
  <c r="AK449" i="6"/>
  <c r="AD442" i="6"/>
  <c r="AE442" i="6"/>
  <c r="AF441" i="6"/>
  <c r="AG440" i="6"/>
  <c r="AH439" i="6"/>
  <c r="AI438" i="6"/>
  <c r="AU448" i="6" l="1"/>
  <c r="C445" i="7"/>
  <c r="D445" i="7"/>
  <c r="BA448" i="6"/>
  <c r="B446" i="7"/>
  <c r="AS449" i="6"/>
  <c r="AW449" i="6" s="1"/>
  <c r="AN450" i="6"/>
  <c r="AO450" i="6"/>
  <c r="AP450" i="6"/>
  <c r="AQ450" i="6"/>
  <c r="AK450" i="6"/>
  <c r="AA451" i="6"/>
  <c r="V452" i="6"/>
  <c r="Z451" i="6"/>
  <c r="AV451" i="6"/>
  <c r="AD443" i="6"/>
  <c r="AE443" i="6"/>
  <c r="AF442" i="6"/>
  <c r="AG441" i="6"/>
  <c r="AH440" i="6"/>
  <c r="AI439" i="6"/>
  <c r="AU449" i="6" l="1"/>
  <c r="C446" i="7"/>
  <c r="D446" i="7"/>
  <c r="BA449" i="6"/>
  <c r="B447" i="7"/>
  <c r="AS450" i="6"/>
  <c r="AW450" i="6" s="1"/>
  <c r="AN451" i="6"/>
  <c r="AO451" i="6"/>
  <c r="AP451" i="6"/>
  <c r="AQ451" i="6"/>
  <c r="Z452" i="6"/>
  <c r="AY452" i="6"/>
  <c r="V453" i="6"/>
  <c r="AA452" i="6"/>
  <c r="AV452" i="6"/>
  <c r="AK451" i="6"/>
  <c r="AD444" i="6"/>
  <c r="AE444" i="6"/>
  <c r="AF443" i="6"/>
  <c r="AG442" i="6"/>
  <c r="AH441" i="6"/>
  <c r="AI440" i="6"/>
  <c r="AU450" i="6" l="1"/>
  <c r="C447" i="7"/>
  <c r="D447" i="7"/>
  <c r="BA450" i="6"/>
  <c r="B448" i="7"/>
  <c r="AS451" i="6"/>
  <c r="AW451" i="6" s="1"/>
  <c r="AN452" i="6"/>
  <c r="AO452" i="6"/>
  <c r="AP452" i="6"/>
  <c r="AQ452" i="6"/>
  <c r="AK452" i="6"/>
  <c r="AA453" i="6"/>
  <c r="V454" i="6"/>
  <c r="Z453" i="6"/>
  <c r="AV453" i="6"/>
  <c r="AD445" i="6"/>
  <c r="AE445" i="6"/>
  <c r="AF444" i="6"/>
  <c r="AG443" i="6"/>
  <c r="AH442" i="6"/>
  <c r="AI441" i="6"/>
  <c r="AU451" i="6" l="1"/>
  <c r="C448" i="7"/>
  <c r="D448" i="7"/>
  <c r="BA451" i="6"/>
  <c r="B449" i="7"/>
  <c r="AS452" i="6"/>
  <c r="AW452" i="6" s="1"/>
  <c r="AN453" i="6"/>
  <c r="AO453" i="6"/>
  <c r="AP453" i="6"/>
  <c r="AQ453" i="6"/>
  <c r="Z454" i="6"/>
  <c r="Z455" i="6" s="1"/>
  <c r="AY454" i="6"/>
  <c r="V455" i="6"/>
  <c r="AA454" i="6"/>
  <c r="AV454" i="6"/>
  <c r="AK453" i="6"/>
  <c r="AD446" i="6"/>
  <c r="AE446" i="6"/>
  <c r="AF445" i="6"/>
  <c r="AG444" i="6"/>
  <c r="AH443" i="6"/>
  <c r="AI442" i="6"/>
  <c r="AU452" i="6" l="1"/>
  <c r="C449" i="7"/>
  <c r="D449" i="7"/>
  <c r="BA452" i="6"/>
  <c r="B450" i="7"/>
  <c r="AS453" i="6"/>
  <c r="AW453" i="6" s="1"/>
  <c r="AN454" i="6"/>
  <c r="AO454" i="6"/>
  <c r="AP454" i="6"/>
  <c r="AQ454" i="6"/>
  <c r="AK454" i="6"/>
  <c r="AA455" i="6"/>
  <c r="V456" i="6"/>
  <c r="X455" i="6"/>
  <c r="AV455" i="6"/>
  <c r="AD447" i="6"/>
  <c r="AE447" i="6"/>
  <c r="AF446" i="6"/>
  <c r="AG445" i="6"/>
  <c r="AH444" i="6"/>
  <c r="AI443" i="6"/>
  <c r="AU453" i="6" l="1"/>
  <c r="C450" i="7"/>
  <c r="D450" i="7"/>
  <c r="BA453" i="6"/>
  <c r="B451" i="7"/>
  <c r="AS454" i="6"/>
  <c r="AW454" i="6" s="1"/>
  <c r="AN455" i="6"/>
  <c r="AO455" i="6"/>
  <c r="AP455" i="6"/>
  <c r="AQ455" i="6"/>
  <c r="X456" i="6"/>
  <c r="X457" i="6" s="1"/>
  <c r="AY456" i="6"/>
  <c r="V457" i="6"/>
  <c r="Z456" i="6"/>
  <c r="AV456" i="6"/>
  <c r="AK455" i="6"/>
  <c r="AA456" i="6"/>
  <c r="AK456" i="6" s="1"/>
  <c r="AD448" i="6"/>
  <c r="AE448" i="6"/>
  <c r="AF447" i="6"/>
  <c r="AG446" i="6"/>
  <c r="AH445" i="6"/>
  <c r="AI444" i="6"/>
  <c r="AU454" i="6" l="1"/>
  <c r="C451" i="7"/>
  <c r="D451" i="7"/>
  <c r="BA454" i="6"/>
  <c r="B452" i="7"/>
  <c r="AQ457" i="6"/>
  <c r="AS455" i="6"/>
  <c r="AW455" i="6" s="1"/>
  <c r="AN456" i="6"/>
  <c r="AN457" i="6" s="1"/>
  <c r="AO456" i="6"/>
  <c r="AO457" i="6" s="1"/>
  <c r="AP456" i="6"/>
  <c r="AS456" i="6" s="1"/>
  <c r="AW456" i="6" s="1"/>
  <c r="AQ456" i="6"/>
  <c r="Z457" i="6"/>
  <c r="AY457" i="6"/>
  <c r="V458" i="6"/>
  <c r="AA457" i="6"/>
  <c r="AV457" i="6"/>
  <c r="X458" i="6"/>
  <c r="X459" i="6" s="1"/>
  <c r="AY458" i="6"/>
  <c r="AD449" i="6"/>
  <c r="AE449" i="6"/>
  <c r="AF448" i="6"/>
  <c r="AG447" i="6"/>
  <c r="AH446" i="6"/>
  <c r="AI445" i="6"/>
  <c r="AU456" i="6" l="1"/>
  <c r="AU455" i="6"/>
  <c r="C452" i="7"/>
  <c r="D452" i="7"/>
  <c r="BA455" i="6"/>
  <c r="BA456" i="6" s="1"/>
  <c r="B453" i="7"/>
  <c r="AP457" i="6"/>
  <c r="X460" i="6"/>
  <c r="X461" i="6" s="1"/>
  <c r="AY460" i="6"/>
  <c r="AK457" i="6"/>
  <c r="AA458" i="6"/>
  <c r="V459" i="6"/>
  <c r="Z458" i="6"/>
  <c r="AV458" i="6"/>
  <c r="AD450" i="6"/>
  <c r="AE450" i="6"/>
  <c r="AF449" i="6"/>
  <c r="AG448" i="6"/>
  <c r="AH447" i="6"/>
  <c r="AI446" i="6"/>
  <c r="C453" i="7" l="1"/>
  <c r="D453" i="7"/>
  <c r="B454" i="7"/>
  <c r="B455" i="7"/>
  <c r="AS457" i="6"/>
  <c r="AW457" i="6" s="1"/>
  <c r="AN458" i="6"/>
  <c r="AO458" i="6"/>
  <c r="AP458" i="6"/>
  <c r="AQ458" i="6"/>
  <c r="Z459" i="6"/>
  <c r="AY459" i="6"/>
  <c r="V460" i="6"/>
  <c r="AA459" i="6"/>
  <c r="AV459" i="6"/>
  <c r="AK458" i="6"/>
  <c r="X462" i="6"/>
  <c r="X463" i="6" s="1"/>
  <c r="AY462" i="6"/>
  <c r="AD451" i="6"/>
  <c r="AE451" i="6"/>
  <c r="AF450" i="6"/>
  <c r="AG449" i="6"/>
  <c r="AH448" i="6"/>
  <c r="AI447" i="6"/>
  <c r="AU457" i="6" l="1"/>
  <c r="C455" i="7"/>
  <c r="D455" i="7"/>
  <c r="C454" i="7"/>
  <c r="D454" i="7"/>
  <c r="AS458" i="6"/>
  <c r="AW458" i="6" s="1"/>
  <c r="AN459" i="6"/>
  <c r="AO459" i="6"/>
  <c r="AP459" i="6"/>
  <c r="AQ459" i="6"/>
  <c r="X464" i="6"/>
  <c r="X465" i="6" s="1"/>
  <c r="AY464" i="6"/>
  <c r="AK459" i="6"/>
  <c r="AA460" i="6"/>
  <c r="V461" i="6"/>
  <c r="Z460" i="6"/>
  <c r="AV460" i="6"/>
  <c r="AD452" i="6"/>
  <c r="AE452" i="6"/>
  <c r="AF451" i="6"/>
  <c r="AG450" i="6"/>
  <c r="AH449" i="6"/>
  <c r="AI448" i="6"/>
  <c r="AU458" i="6" l="1"/>
  <c r="BA457" i="6"/>
  <c r="BA458" i="6" s="1"/>
  <c r="AS459" i="6"/>
  <c r="AW459" i="6" s="1"/>
  <c r="AN460" i="6"/>
  <c r="AO460" i="6"/>
  <c r="AP460" i="6"/>
  <c r="AQ460" i="6"/>
  <c r="Z461" i="6"/>
  <c r="AY461" i="6"/>
  <c r="V462" i="6"/>
  <c r="AA461" i="6"/>
  <c r="AV461" i="6"/>
  <c r="AK460" i="6"/>
  <c r="X466" i="6"/>
  <c r="X467" i="6" s="1"/>
  <c r="AY466" i="6"/>
  <c r="AD453" i="6"/>
  <c r="AE453" i="6"/>
  <c r="AF452" i="6"/>
  <c r="AG451" i="6"/>
  <c r="AH450" i="6"/>
  <c r="AI449" i="6"/>
  <c r="AU459" i="6" l="1"/>
  <c r="BA459" i="6"/>
  <c r="B456" i="7"/>
  <c r="B457" i="7"/>
  <c r="AS460" i="6"/>
  <c r="AW460" i="6" s="1"/>
  <c r="AN461" i="6"/>
  <c r="AO461" i="6"/>
  <c r="AP461" i="6"/>
  <c r="AQ461" i="6"/>
  <c r="X468" i="6"/>
  <c r="X469" i="6" s="1"/>
  <c r="AY468" i="6"/>
  <c r="AK461" i="6"/>
  <c r="AA462" i="6"/>
  <c r="V463" i="6"/>
  <c r="Z462" i="6"/>
  <c r="AV462" i="6"/>
  <c r="AD454" i="6"/>
  <c r="AE454" i="6"/>
  <c r="AF453" i="6"/>
  <c r="AG452" i="6"/>
  <c r="AH451" i="6"/>
  <c r="AI450" i="6"/>
  <c r="AU460" i="6" l="1"/>
  <c r="C457" i="7"/>
  <c r="D457" i="7"/>
  <c r="C456" i="7"/>
  <c r="D456" i="7"/>
  <c r="BA460" i="6"/>
  <c r="B458" i="7"/>
  <c r="AS461" i="6"/>
  <c r="AW461" i="6" s="1"/>
  <c r="AN462" i="6"/>
  <c r="AO462" i="6"/>
  <c r="AP462" i="6"/>
  <c r="AQ462" i="6"/>
  <c r="Z463" i="6"/>
  <c r="AY463" i="6"/>
  <c r="V464" i="6"/>
  <c r="AA463" i="6"/>
  <c r="AV463" i="6"/>
  <c r="AK462" i="6"/>
  <c r="AD455" i="6"/>
  <c r="AE455" i="6"/>
  <c r="AF454" i="6"/>
  <c r="AG453" i="6"/>
  <c r="AH452" i="6"/>
  <c r="AI451" i="6"/>
  <c r="AU461" i="6" l="1"/>
  <c r="C458" i="7"/>
  <c r="D458" i="7"/>
  <c r="BA461" i="6"/>
  <c r="B459" i="7"/>
  <c r="AS462" i="6"/>
  <c r="AW462" i="6" s="1"/>
  <c r="AN463" i="6"/>
  <c r="AO463" i="6"/>
  <c r="AP463" i="6"/>
  <c r="AQ463" i="6"/>
  <c r="AK463" i="6"/>
  <c r="AA464" i="6"/>
  <c r="V465" i="6"/>
  <c r="Z464" i="6"/>
  <c r="AV464" i="6"/>
  <c r="AD456" i="6"/>
  <c r="AE456" i="6"/>
  <c r="AF455" i="6"/>
  <c r="AG454" i="6"/>
  <c r="AH453" i="6"/>
  <c r="AI452" i="6"/>
  <c r="AU462" i="6" l="1"/>
  <c r="C459" i="7"/>
  <c r="D459" i="7"/>
  <c r="BA462" i="6"/>
  <c r="B460" i="7"/>
  <c r="AS463" i="6"/>
  <c r="AW463" i="6" s="1"/>
  <c r="AN464" i="6"/>
  <c r="AO464" i="6"/>
  <c r="AP464" i="6"/>
  <c r="AQ464" i="6"/>
  <c r="Z465" i="6"/>
  <c r="AY465" i="6"/>
  <c r="V466" i="6"/>
  <c r="AA465" i="6"/>
  <c r="AV465" i="6"/>
  <c r="AK464" i="6"/>
  <c r="AD457" i="6"/>
  <c r="AE457" i="6"/>
  <c r="AF456" i="6"/>
  <c r="AG455" i="6"/>
  <c r="AH454" i="6"/>
  <c r="AI453" i="6"/>
  <c r="AU463" i="6" l="1"/>
  <c r="C460" i="7"/>
  <c r="D460" i="7"/>
  <c r="BA463" i="6"/>
  <c r="B461" i="7"/>
  <c r="AS464" i="6"/>
  <c r="AW464" i="6" s="1"/>
  <c r="AN465" i="6"/>
  <c r="AO465" i="6"/>
  <c r="AP465" i="6"/>
  <c r="AQ465" i="6"/>
  <c r="AK465" i="6"/>
  <c r="AA466" i="6"/>
  <c r="V467" i="6"/>
  <c r="Z466" i="6"/>
  <c r="AV466" i="6"/>
  <c r="AD458" i="6"/>
  <c r="AE458" i="6"/>
  <c r="AF457" i="6"/>
  <c r="AG456" i="6"/>
  <c r="AH455" i="6"/>
  <c r="AI454" i="6"/>
  <c r="AU464" i="6" l="1"/>
  <c r="C461" i="7"/>
  <c r="D461" i="7"/>
  <c r="BA464" i="6"/>
  <c r="B462" i="7"/>
  <c r="AS465" i="6"/>
  <c r="AW465" i="6" s="1"/>
  <c r="AN466" i="6"/>
  <c r="AO466" i="6"/>
  <c r="AP466" i="6"/>
  <c r="AQ466" i="6"/>
  <c r="Z467" i="6"/>
  <c r="AY467" i="6"/>
  <c r="V468" i="6"/>
  <c r="AA467" i="6"/>
  <c r="AV467" i="6"/>
  <c r="AK466" i="6"/>
  <c r="AD459" i="6"/>
  <c r="AE459" i="6"/>
  <c r="AF458" i="6"/>
  <c r="AG457" i="6"/>
  <c r="AH456" i="6"/>
  <c r="AI455" i="6"/>
  <c r="AU465" i="6" l="1"/>
  <c r="C462" i="7"/>
  <c r="D462" i="7"/>
  <c r="BA465" i="6"/>
  <c r="B463" i="7"/>
  <c r="AS466" i="6"/>
  <c r="AW466" i="6" s="1"/>
  <c r="AN467" i="6"/>
  <c r="AO467" i="6"/>
  <c r="AP467" i="6"/>
  <c r="AQ467" i="6"/>
  <c r="AK467" i="6"/>
  <c r="AA468" i="6"/>
  <c r="V469" i="6"/>
  <c r="Z468" i="6"/>
  <c r="AV468" i="6"/>
  <c r="AD460" i="6"/>
  <c r="AE460" i="6"/>
  <c r="AF459" i="6"/>
  <c r="AG458" i="6"/>
  <c r="AH457" i="6"/>
  <c r="AI456" i="6"/>
  <c r="AU466" i="6" l="1"/>
  <c r="C463" i="7"/>
  <c r="D463" i="7"/>
  <c r="BA466" i="6"/>
  <c r="B464" i="7"/>
  <c r="AS467" i="6"/>
  <c r="AW467" i="6" s="1"/>
  <c r="AN468" i="6"/>
  <c r="AO468" i="6"/>
  <c r="AP468" i="6"/>
  <c r="AQ468" i="6"/>
  <c r="Z469" i="6"/>
  <c r="Z470" i="6" s="1"/>
  <c r="AY469" i="6"/>
  <c r="V470" i="6"/>
  <c r="AA469" i="6"/>
  <c r="AV469" i="6"/>
  <c r="AK468" i="6"/>
  <c r="AD461" i="6"/>
  <c r="AE461" i="6"/>
  <c r="AF460" i="6"/>
  <c r="AG459" i="6"/>
  <c r="AH458" i="6"/>
  <c r="AI457" i="6"/>
  <c r="AU467" i="6" l="1"/>
  <c r="C464" i="7"/>
  <c r="D464" i="7"/>
  <c r="BA467" i="6"/>
  <c r="B465" i="7"/>
  <c r="AS468" i="6"/>
  <c r="AW468" i="6" s="1"/>
  <c r="AN469" i="6"/>
  <c r="AO469" i="6"/>
  <c r="AP469" i="6"/>
  <c r="AQ469" i="6"/>
  <c r="AK469" i="6"/>
  <c r="AA470" i="6"/>
  <c r="V471" i="6"/>
  <c r="X470" i="6"/>
  <c r="AV470" i="6"/>
  <c r="AD462" i="6"/>
  <c r="AE462" i="6"/>
  <c r="AF461" i="6"/>
  <c r="AG460" i="6"/>
  <c r="AH459" i="6"/>
  <c r="AI458" i="6"/>
  <c r="AU468" i="6" l="1"/>
  <c r="C465" i="7"/>
  <c r="D465" i="7"/>
  <c r="BA468" i="6"/>
  <c r="B466" i="7"/>
  <c r="AS469" i="6"/>
  <c r="AW469" i="6" s="1"/>
  <c r="AN470" i="6"/>
  <c r="AO470" i="6"/>
  <c r="AP470" i="6"/>
  <c r="AQ470" i="6"/>
  <c r="X471" i="6"/>
  <c r="X472" i="6" s="1"/>
  <c r="AY471" i="6"/>
  <c r="V472" i="6"/>
  <c r="Z471" i="6"/>
  <c r="AV471" i="6"/>
  <c r="AK470" i="6"/>
  <c r="AA471" i="6"/>
  <c r="AK471" i="6" s="1"/>
  <c r="AD463" i="6"/>
  <c r="AE463" i="6"/>
  <c r="AF462" i="6"/>
  <c r="AG461" i="6"/>
  <c r="AH460" i="6"/>
  <c r="AI459" i="6"/>
  <c r="AU469" i="6" l="1"/>
  <c r="C466" i="7"/>
  <c r="D466" i="7"/>
  <c r="BA469" i="6"/>
  <c r="B467" i="7"/>
  <c r="AQ472" i="6"/>
  <c r="AS470" i="6"/>
  <c r="AW470" i="6" s="1"/>
  <c r="AN471" i="6"/>
  <c r="AN472" i="6" s="1"/>
  <c r="AO471" i="6"/>
  <c r="AO472" i="6" s="1"/>
  <c r="AP471" i="6"/>
  <c r="AS471" i="6" s="1"/>
  <c r="AW471" i="6" s="1"/>
  <c r="AQ471" i="6"/>
  <c r="Z472" i="6"/>
  <c r="AY472" i="6"/>
  <c r="V473" i="6"/>
  <c r="AA472" i="6"/>
  <c r="AV472" i="6"/>
  <c r="X473" i="6"/>
  <c r="X474" i="6" s="1"/>
  <c r="AY473" i="6"/>
  <c r="AD464" i="6"/>
  <c r="AE464" i="6"/>
  <c r="AF463" i="6"/>
  <c r="AG462" i="6"/>
  <c r="AH461" i="6"/>
  <c r="AI460" i="6"/>
  <c r="AU471" i="6" l="1"/>
  <c r="AU470" i="6"/>
  <c r="C467" i="7"/>
  <c r="D467" i="7"/>
  <c r="BA470" i="6"/>
  <c r="BA471" i="6" s="1"/>
  <c r="B468" i="7"/>
  <c r="AP472" i="6"/>
  <c r="X475" i="6"/>
  <c r="X476" i="6" s="1"/>
  <c r="AY475" i="6"/>
  <c r="AK472" i="6"/>
  <c r="AA473" i="6"/>
  <c r="V474" i="6"/>
  <c r="Z473" i="6"/>
  <c r="AV473" i="6"/>
  <c r="AD465" i="6"/>
  <c r="AE465" i="6"/>
  <c r="AF464" i="6"/>
  <c r="AG463" i="6"/>
  <c r="AH462" i="6"/>
  <c r="AI461" i="6"/>
  <c r="C468" i="7" l="1"/>
  <c r="D468" i="7"/>
  <c r="B469" i="7"/>
  <c r="B470" i="7"/>
  <c r="AS472" i="6"/>
  <c r="AW472" i="6" s="1"/>
  <c r="AN473" i="6"/>
  <c r="AO473" i="6"/>
  <c r="AP473" i="6"/>
  <c r="AQ473" i="6"/>
  <c r="Z474" i="6"/>
  <c r="AY474" i="6"/>
  <c r="V475" i="6"/>
  <c r="AA474" i="6"/>
  <c r="AV474" i="6"/>
  <c r="AK473" i="6"/>
  <c r="X477" i="6"/>
  <c r="X478" i="6" s="1"/>
  <c r="AY477" i="6"/>
  <c r="AD466" i="6"/>
  <c r="AE466" i="6"/>
  <c r="AF465" i="6"/>
  <c r="AG464" i="6"/>
  <c r="AH463" i="6"/>
  <c r="AI462" i="6"/>
  <c r="AU472" i="6" l="1"/>
  <c r="C470" i="7"/>
  <c r="D470" i="7"/>
  <c r="C469" i="7"/>
  <c r="D469" i="7"/>
  <c r="AS473" i="6"/>
  <c r="AW473" i="6" s="1"/>
  <c r="AN474" i="6"/>
  <c r="AO474" i="6"/>
  <c r="AP474" i="6"/>
  <c r="AQ474" i="6"/>
  <c r="X479" i="6"/>
  <c r="X480" i="6" s="1"/>
  <c r="AY479" i="6"/>
  <c r="AK474" i="6"/>
  <c r="AA475" i="6"/>
  <c r="V476" i="6"/>
  <c r="Z475" i="6"/>
  <c r="AV475" i="6"/>
  <c r="AD467" i="6"/>
  <c r="AE467" i="6"/>
  <c r="AF466" i="6"/>
  <c r="AG465" i="6"/>
  <c r="AH464" i="6"/>
  <c r="AI463" i="6"/>
  <c r="AU473" i="6" l="1"/>
  <c r="BA472" i="6"/>
  <c r="BA473" i="6" s="1"/>
  <c r="AS474" i="6"/>
  <c r="AW474" i="6" s="1"/>
  <c r="AN475" i="6"/>
  <c r="AO475" i="6"/>
  <c r="AP475" i="6"/>
  <c r="AQ475" i="6"/>
  <c r="Z476" i="6"/>
  <c r="AY476" i="6"/>
  <c r="V477" i="6"/>
  <c r="AA476" i="6"/>
  <c r="AV476" i="6"/>
  <c r="AK475" i="6"/>
  <c r="X481" i="6"/>
  <c r="X482" i="6" s="1"/>
  <c r="AY481" i="6"/>
  <c r="AD468" i="6"/>
  <c r="AE468" i="6"/>
  <c r="AF467" i="6"/>
  <c r="AG466" i="6"/>
  <c r="AH465" i="6"/>
  <c r="AI464" i="6"/>
  <c r="AU474" i="6" l="1"/>
  <c r="BA474" i="6"/>
  <c r="B471" i="7"/>
  <c r="B472" i="7"/>
  <c r="AS475" i="6"/>
  <c r="AW475" i="6" s="1"/>
  <c r="AN476" i="6"/>
  <c r="AO476" i="6"/>
  <c r="AP476" i="6"/>
  <c r="AQ476" i="6"/>
  <c r="X483" i="6"/>
  <c r="X484" i="6" s="1"/>
  <c r="AY483" i="6"/>
  <c r="AK476" i="6"/>
  <c r="AA477" i="6"/>
  <c r="V478" i="6"/>
  <c r="Z477" i="6"/>
  <c r="AV477" i="6"/>
  <c r="AD469" i="6"/>
  <c r="AE469" i="6"/>
  <c r="AF468" i="6"/>
  <c r="AG467" i="6"/>
  <c r="AH466" i="6"/>
  <c r="AI465" i="6"/>
  <c r="AU475" i="6" l="1"/>
  <c r="C472" i="7"/>
  <c r="D472" i="7"/>
  <c r="C471" i="7"/>
  <c r="D471" i="7"/>
  <c r="BA475" i="6"/>
  <c r="B473" i="7"/>
  <c r="AS476" i="6"/>
  <c r="AW476" i="6" s="1"/>
  <c r="AN477" i="6"/>
  <c r="AO477" i="6"/>
  <c r="AP477" i="6"/>
  <c r="AQ477" i="6"/>
  <c r="Z478" i="6"/>
  <c r="AY478" i="6"/>
  <c r="V479" i="6"/>
  <c r="AA478" i="6"/>
  <c r="AV478" i="6"/>
  <c r="AK477" i="6"/>
  <c r="X485" i="6"/>
  <c r="X486" i="6" s="1"/>
  <c r="AY485" i="6"/>
  <c r="AD470" i="6"/>
  <c r="AE470" i="6"/>
  <c r="AF469" i="6"/>
  <c r="AG468" i="6"/>
  <c r="AH467" i="6"/>
  <c r="AI466" i="6"/>
  <c r="AU476" i="6" l="1"/>
  <c r="C473" i="7"/>
  <c r="D473" i="7"/>
  <c r="BA476" i="6"/>
  <c r="B474" i="7"/>
  <c r="AS477" i="6"/>
  <c r="AW477" i="6" s="1"/>
  <c r="AN478" i="6"/>
  <c r="AO478" i="6"/>
  <c r="AP478" i="6"/>
  <c r="AQ478" i="6"/>
  <c r="X487" i="6"/>
  <c r="X488" i="6" s="1"/>
  <c r="AY487" i="6"/>
  <c r="AK478" i="6"/>
  <c r="AA479" i="6"/>
  <c r="V480" i="6"/>
  <c r="Z479" i="6"/>
  <c r="AV479" i="6"/>
  <c r="AD471" i="6"/>
  <c r="AE471" i="6"/>
  <c r="AF470" i="6"/>
  <c r="AG469" i="6"/>
  <c r="AH468" i="6"/>
  <c r="AI467" i="6"/>
  <c r="AU477" i="6" l="1"/>
  <c r="C474" i="7"/>
  <c r="D474" i="7"/>
  <c r="BA477" i="6"/>
  <c r="B475" i="7"/>
  <c r="AS478" i="6"/>
  <c r="AW478" i="6" s="1"/>
  <c r="AN479" i="6"/>
  <c r="AO479" i="6"/>
  <c r="AP479" i="6"/>
  <c r="AQ479" i="6"/>
  <c r="Z480" i="6"/>
  <c r="AY480" i="6"/>
  <c r="V481" i="6"/>
  <c r="AA480" i="6"/>
  <c r="AV480" i="6"/>
  <c r="AK479" i="6"/>
  <c r="AD472" i="6"/>
  <c r="AE472" i="6"/>
  <c r="AF471" i="6"/>
  <c r="AG470" i="6"/>
  <c r="AH469" i="6"/>
  <c r="AI468" i="6"/>
  <c r="AU478" i="6" l="1"/>
  <c r="C475" i="7"/>
  <c r="D475" i="7"/>
  <c r="BA478" i="6"/>
  <c r="B476" i="7"/>
  <c r="AS479" i="6"/>
  <c r="AW479" i="6" s="1"/>
  <c r="AN480" i="6"/>
  <c r="AO480" i="6"/>
  <c r="AP480" i="6"/>
  <c r="AQ480" i="6"/>
  <c r="AK480" i="6"/>
  <c r="AA481" i="6"/>
  <c r="V482" i="6"/>
  <c r="Z481" i="6"/>
  <c r="AV481" i="6"/>
  <c r="AD473" i="6"/>
  <c r="AE473" i="6"/>
  <c r="AF472" i="6"/>
  <c r="AG471" i="6"/>
  <c r="AH470" i="6"/>
  <c r="AI469" i="6"/>
  <c r="AU479" i="6" l="1"/>
  <c r="C476" i="7"/>
  <c r="D476" i="7"/>
  <c r="BA479" i="6"/>
  <c r="B477" i="7"/>
  <c r="AS480" i="6"/>
  <c r="AW480" i="6" s="1"/>
  <c r="AN481" i="6"/>
  <c r="AO481" i="6"/>
  <c r="AP481" i="6"/>
  <c r="AQ481" i="6"/>
  <c r="Z482" i="6"/>
  <c r="AY482" i="6"/>
  <c r="V483" i="6"/>
  <c r="AA482" i="6"/>
  <c r="AV482" i="6"/>
  <c r="AK481" i="6"/>
  <c r="AD474" i="6"/>
  <c r="AE474" i="6"/>
  <c r="AF473" i="6"/>
  <c r="AG472" i="6"/>
  <c r="AH471" i="6"/>
  <c r="AI470" i="6"/>
  <c r="AU480" i="6" l="1"/>
  <c r="C477" i="7"/>
  <c r="D477" i="7"/>
  <c r="BA480" i="6"/>
  <c r="B478" i="7"/>
  <c r="AS481" i="6"/>
  <c r="AW481" i="6" s="1"/>
  <c r="AN482" i="6"/>
  <c r="AO482" i="6"/>
  <c r="AP482" i="6"/>
  <c r="AQ482" i="6"/>
  <c r="AK482" i="6"/>
  <c r="AA483" i="6"/>
  <c r="V484" i="6"/>
  <c r="Z483" i="6"/>
  <c r="AV483" i="6"/>
  <c r="AD475" i="6"/>
  <c r="AE475" i="6"/>
  <c r="AF474" i="6"/>
  <c r="AG473" i="6"/>
  <c r="AH472" i="6"/>
  <c r="AI471" i="6"/>
  <c r="AU481" i="6" l="1"/>
  <c r="C478" i="7"/>
  <c r="D478" i="7"/>
  <c r="BA481" i="6"/>
  <c r="B479" i="7"/>
  <c r="AS482" i="6"/>
  <c r="AW482" i="6" s="1"/>
  <c r="AN483" i="6"/>
  <c r="AO483" i="6"/>
  <c r="AP483" i="6"/>
  <c r="AQ483" i="6"/>
  <c r="Z484" i="6"/>
  <c r="AY484" i="6"/>
  <c r="V485" i="6"/>
  <c r="AA484" i="6"/>
  <c r="AV484" i="6"/>
  <c r="AK483" i="6"/>
  <c r="AD476" i="6"/>
  <c r="AE476" i="6"/>
  <c r="AF475" i="6"/>
  <c r="AG474" i="6"/>
  <c r="AH473" i="6"/>
  <c r="AI472" i="6"/>
  <c r="AU482" i="6" l="1"/>
  <c r="C479" i="7"/>
  <c r="D479" i="7"/>
  <c r="BA482" i="6"/>
  <c r="B480" i="7"/>
  <c r="AS483" i="6"/>
  <c r="AW483" i="6" s="1"/>
  <c r="AN484" i="6"/>
  <c r="AO484" i="6"/>
  <c r="AP484" i="6"/>
  <c r="AQ484" i="6"/>
  <c r="AK484" i="6"/>
  <c r="AA485" i="6"/>
  <c r="V486" i="6"/>
  <c r="Z485" i="6"/>
  <c r="AV485" i="6"/>
  <c r="AD477" i="6"/>
  <c r="AE477" i="6"/>
  <c r="AF476" i="6"/>
  <c r="AG475" i="6"/>
  <c r="AH474" i="6"/>
  <c r="AI473" i="6"/>
  <c r="AU483" i="6" l="1"/>
  <c r="C480" i="7"/>
  <c r="D480" i="7"/>
  <c r="BA483" i="6"/>
  <c r="B481" i="7"/>
  <c r="AS484" i="6"/>
  <c r="AW484" i="6" s="1"/>
  <c r="AN485" i="6"/>
  <c r="AO485" i="6"/>
  <c r="AP485" i="6"/>
  <c r="AQ485" i="6"/>
  <c r="Z486" i="6"/>
  <c r="AY486" i="6"/>
  <c r="V487" i="6"/>
  <c r="AA486" i="6"/>
  <c r="AV486" i="6"/>
  <c r="AK485" i="6"/>
  <c r="AD478" i="6"/>
  <c r="AE478" i="6"/>
  <c r="AF477" i="6"/>
  <c r="AG476" i="6"/>
  <c r="AH475" i="6"/>
  <c r="AI474" i="6"/>
  <c r="AU484" i="6" l="1"/>
  <c r="C481" i="7"/>
  <c r="D481" i="7"/>
  <c r="BA484" i="6"/>
  <c r="B482" i="7"/>
  <c r="AS485" i="6"/>
  <c r="AW485" i="6" s="1"/>
  <c r="AN486" i="6"/>
  <c r="AO486" i="6"/>
  <c r="AP486" i="6"/>
  <c r="AQ486" i="6"/>
  <c r="AK486" i="6"/>
  <c r="AA487" i="6"/>
  <c r="V488" i="6"/>
  <c r="Z487" i="6"/>
  <c r="AV487" i="6"/>
  <c r="AD479" i="6"/>
  <c r="AE479" i="6"/>
  <c r="AF478" i="6"/>
  <c r="AG477" i="6"/>
  <c r="AH476" i="6"/>
  <c r="AI475" i="6"/>
  <c r="AU485" i="6" l="1"/>
  <c r="C482" i="7"/>
  <c r="D482" i="7"/>
  <c r="BA485" i="6"/>
  <c r="B483" i="7"/>
  <c r="AS486" i="6"/>
  <c r="AW486" i="6" s="1"/>
  <c r="AN487" i="6"/>
  <c r="AO487" i="6"/>
  <c r="AP487" i="6"/>
  <c r="AQ487" i="6"/>
  <c r="Z488" i="6"/>
  <c r="Z489" i="6" s="1"/>
  <c r="AY488" i="6"/>
  <c r="V489" i="6"/>
  <c r="AA488" i="6"/>
  <c r="AV488" i="6"/>
  <c r="AK487" i="6"/>
  <c r="AD480" i="6"/>
  <c r="AE480" i="6"/>
  <c r="AF479" i="6"/>
  <c r="AG478" i="6"/>
  <c r="AH477" i="6"/>
  <c r="AI476" i="6"/>
  <c r="AU486" i="6" l="1"/>
  <c r="C483" i="7"/>
  <c r="D483" i="7"/>
  <c r="BA486" i="6"/>
  <c r="B484" i="7"/>
  <c r="AS487" i="6"/>
  <c r="AW487" i="6" s="1"/>
  <c r="AN488" i="6"/>
  <c r="AO488" i="6"/>
  <c r="AP488" i="6"/>
  <c r="AQ488" i="6"/>
  <c r="AK488" i="6"/>
  <c r="AA489" i="6"/>
  <c r="V490" i="6"/>
  <c r="X489" i="6"/>
  <c r="AV489" i="6"/>
  <c r="AD481" i="6"/>
  <c r="AE481" i="6"/>
  <c r="AF480" i="6"/>
  <c r="AG479" i="6"/>
  <c r="AH478" i="6"/>
  <c r="AI477" i="6"/>
  <c r="AU487" i="6" l="1"/>
  <c r="C484" i="7"/>
  <c r="D484" i="7"/>
  <c r="BA487" i="6"/>
  <c r="B485" i="7"/>
  <c r="AS488" i="6"/>
  <c r="AW488" i="6" s="1"/>
  <c r="AN489" i="6"/>
  <c r="AO489" i="6"/>
  <c r="AP489" i="6"/>
  <c r="AQ489" i="6"/>
  <c r="X490" i="6"/>
  <c r="X491" i="6" s="1"/>
  <c r="AY490" i="6"/>
  <c r="V491" i="6"/>
  <c r="Z490" i="6"/>
  <c r="AV490" i="6"/>
  <c r="AK489" i="6"/>
  <c r="AA490" i="6"/>
  <c r="AK490" i="6" s="1"/>
  <c r="AD482" i="6"/>
  <c r="AE482" i="6"/>
  <c r="AF481" i="6"/>
  <c r="AG480" i="6"/>
  <c r="AH479" i="6"/>
  <c r="AI478" i="6"/>
  <c r="AU488" i="6" l="1"/>
  <c r="C485" i="7"/>
  <c r="D485" i="7"/>
  <c r="BA488" i="6"/>
  <c r="B486" i="7"/>
  <c r="AQ491" i="6"/>
  <c r="AS489" i="6"/>
  <c r="AW489" i="6" s="1"/>
  <c r="AN490" i="6"/>
  <c r="AN491" i="6" s="1"/>
  <c r="AO490" i="6"/>
  <c r="AO491" i="6" s="1"/>
  <c r="AP490" i="6"/>
  <c r="AS490" i="6" s="1"/>
  <c r="AW490" i="6" s="1"/>
  <c r="AQ490" i="6"/>
  <c r="Z491" i="6"/>
  <c r="AY491" i="6"/>
  <c r="V492" i="6"/>
  <c r="AA491" i="6"/>
  <c r="AV491" i="6"/>
  <c r="X492" i="6"/>
  <c r="X493" i="6" s="1"/>
  <c r="AY492" i="6"/>
  <c r="AD483" i="6"/>
  <c r="AE483" i="6"/>
  <c r="AF482" i="6"/>
  <c r="AG481" i="6"/>
  <c r="AH480" i="6"/>
  <c r="AI479" i="6"/>
  <c r="AU490" i="6" l="1"/>
  <c r="AU489" i="6"/>
  <c r="C486" i="7"/>
  <c r="D486" i="7"/>
  <c r="BA489" i="6"/>
  <c r="BA490" i="6" s="1"/>
  <c r="B487" i="7"/>
  <c r="AP491" i="6"/>
  <c r="X494" i="6"/>
  <c r="X495" i="6" s="1"/>
  <c r="AY494" i="6"/>
  <c r="AK491" i="6"/>
  <c r="AA492" i="6"/>
  <c r="V493" i="6"/>
  <c r="Z492" i="6"/>
  <c r="AV492" i="6"/>
  <c r="AD484" i="6"/>
  <c r="AE484" i="6"/>
  <c r="AF483" i="6"/>
  <c r="AG482" i="6"/>
  <c r="AH481" i="6"/>
  <c r="AI480" i="6"/>
  <c r="C487" i="7" l="1"/>
  <c r="D487" i="7"/>
  <c r="B488" i="7"/>
  <c r="B489" i="7"/>
  <c r="AS491" i="6"/>
  <c r="AW491" i="6" s="1"/>
  <c r="AN492" i="6"/>
  <c r="AO492" i="6"/>
  <c r="AP492" i="6"/>
  <c r="AQ492" i="6"/>
  <c r="Z493" i="6"/>
  <c r="AY493" i="6"/>
  <c r="V494" i="6"/>
  <c r="AA493" i="6"/>
  <c r="AV493" i="6"/>
  <c r="AK492" i="6"/>
  <c r="X496" i="6"/>
  <c r="X497" i="6" s="1"/>
  <c r="AY496" i="6"/>
  <c r="AD485" i="6"/>
  <c r="AE485" i="6"/>
  <c r="AF484" i="6"/>
  <c r="AG483" i="6"/>
  <c r="AH482" i="6"/>
  <c r="AI481" i="6"/>
  <c r="AU491" i="6" l="1"/>
  <c r="C489" i="7"/>
  <c r="D489" i="7"/>
  <c r="C488" i="7"/>
  <c r="D488" i="7"/>
  <c r="AS492" i="6"/>
  <c r="AW492" i="6" s="1"/>
  <c r="AN493" i="6"/>
  <c r="AO493" i="6"/>
  <c r="AP493" i="6"/>
  <c r="AQ493" i="6"/>
  <c r="X498" i="6"/>
  <c r="X499" i="6" s="1"/>
  <c r="AY498" i="6"/>
  <c r="AK493" i="6"/>
  <c r="AA494" i="6"/>
  <c r="V495" i="6"/>
  <c r="Z494" i="6"/>
  <c r="AV494" i="6"/>
  <c r="AD486" i="6"/>
  <c r="AE486" i="6"/>
  <c r="AF485" i="6"/>
  <c r="AG484" i="6"/>
  <c r="AH483" i="6"/>
  <c r="AI482" i="6"/>
  <c r="AU492" i="6" l="1"/>
  <c r="BA491" i="6"/>
  <c r="BA492" i="6" s="1"/>
  <c r="AS493" i="6"/>
  <c r="AW493" i="6" s="1"/>
  <c r="AN494" i="6"/>
  <c r="AO494" i="6"/>
  <c r="AP494" i="6"/>
  <c r="AQ494" i="6"/>
  <c r="Z495" i="6"/>
  <c r="AY495" i="6"/>
  <c r="V496" i="6"/>
  <c r="AA495" i="6"/>
  <c r="AV495" i="6"/>
  <c r="AK494" i="6"/>
  <c r="X500" i="6"/>
  <c r="X501" i="6" s="1"/>
  <c r="AY500" i="6"/>
  <c r="AD487" i="6"/>
  <c r="AE487" i="6"/>
  <c r="AF486" i="6"/>
  <c r="AG485" i="6"/>
  <c r="AH484" i="6"/>
  <c r="AI483" i="6"/>
  <c r="AU493" i="6" l="1"/>
  <c r="BA493" i="6"/>
  <c r="B490" i="7"/>
  <c r="B491" i="7"/>
  <c r="AS494" i="6"/>
  <c r="AW494" i="6" s="1"/>
  <c r="AN495" i="6"/>
  <c r="AO495" i="6"/>
  <c r="AP495" i="6"/>
  <c r="AQ495" i="6"/>
  <c r="X502" i="6"/>
  <c r="X503" i="6" s="1"/>
  <c r="AY502" i="6"/>
  <c r="AK495" i="6"/>
  <c r="AA496" i="6"/>
  <c r="V497" i="6"/>
  <c r="Z496" i="6"/>
  <c r="AV496" i="6"/>
  <c r="AD488" i="6"/>
  <c r="AE488" i="6"/>
  <c r="AF487" i="6"/>
  <c r="AG486" i="6"/>
  <c r="AH485" i="6"/>
  <c r="AI484" i="6"/>
  <c r="AU494" i="6" l="1"/>
  <c r="C491" i="7"/>
  <c r="D491" i="7"/>
  <c r="C490" i="7"/>
  <c r="D490" i="7"/>
  <c r="BA494" i="6"/>
  <c r="B492" i="7"/>
  <c r="AS495" i="6"/>
  <c r="AW495" i="6" s="1"/>
  <c r="AN496" i="6"/>
  <c r="AO496" i="6"/>
  <c r="AP496" i="6"/>
  <c r="AQ496" i="6"/>
  <c r="Z497" i="6"/>
  <c r="AY497" i="6"/>
  <c r="V498" i="6"/>
  <c r="AA497" i="6"/>
  <c r="AV497" i="6"/>
  <c r="AK496" i="6"/>
  <c r="X504" i="6"/>
  <c r="X505" i="6" s="1"/>
  <c r="AY504" i="6"/>
  <c r="AD489" i="6"/>
  <c r="AE489" i="6"/>
  <c r="AF488" i="6"/>
  <c r="AG487" i="6"/>
  <c r="AH486" i="6"/>
  <c r="AI485" i="6"/>
  <c r="AU495" i="6" l="1"/>
  <c r="C492" i="7"/>
  <c r="D492" i="7"/>
  <c r="BA495" i="6"/>
  <c r="B493" i="7"/>
  <c r="AS496" i="6"/>
  <c r="AW496" i="6" s="1"/>
  <c r="AN497" i="6"/>
  <c r="AO497" i="6"/>
  <c r="AP497" i="6"/>
  <c r="AQ497" i="6"/>
  <c r="X506" i="6"/>
  <c r="X507" i="6" s="1"/>
  <c r="AY506" i="6"/>
  <c r="AK497" i="6"/>
  <c r="AA498" i="6"/>
  <c r="V499" i="6"/>
  <c r="Z498" i="6"/>
  <c r="AV498" i="6"/>
  <c r="AD490" i="6"/>
  <c r="AE490" i="6"/>
  <c r="AF489" i="6"/>
  <c r="AG488" i="6"/>
  <c r="AH487" i="6"/>
  <c r="AI486" i="6"/>
  <c r="AU496" i="6" l="1"/>
  <c r="C493" i="7"/>
  <c r="D493" i="7"/>
  <c r="BA496" i="6"/>
  <c r="B494" i="7"/>
  <c r="AS497" i="6"/>
  <c r="AW497" i="6" s="1"/>
  <c r="AN498" i="6"/>
  <c r="AO498" i="6"/>
  <c r="AP498" i="6"/>
  <c r="AQ498" i="6"/>
  <c r="Z499" i="6"/>
  <c r="AY499" i="6"/>
  <c r="V500" i="6"/>
  <c r="AA499" i="6"/>
  <c r="AV499" i="6"/>
  <c r="AK498" i="6"/>
  <c r="X508" i="6"/>
  <c r="X509" i="6" s="1"/>
  <c r="X510" i="6" s="1"/>
  <c r="AY508" i="6"/>
  <c r="AD491" i="6"/>
  <c r="AE491" i="6"/>
  <c r="AF490" i="6"/>
  <c r="AG489" i="6"/>
  <c r="AH488" i="6"/>
  <c r="AI487" i="6"/>
  <c r="AU497" i="6" l="1"/>
  <c r="C494" i="7"/>
  <c r="D494" i="7"/>
  <c r="BA497" i="6"/>
  <c r="B495" i="7"/>
  <c r="AS498" i="6"/>
  <c r="AW498" i="6" s="1"/>
  <c r="AN499" i="6"/>
  <c r="AO499" i="6"/>
  <c r="AP499" i="6"/>
  <c r="AQ499" i="6"/>
  <c r="AK499" i="6"/>
  <c r="AA500" i="6"/>
  <c r="V501" i="6"/>
  <c r="Z500" i="6"/>
  <c r="AV500" i="6"/>
  <c r="AD492" i="6"/>
  <c r="AE492" i="6"/>
  <c r="AF491" i="6"/>
  <c r="AG490" i="6"/>
  <c r="AH489" i="6"/>
  <c r="AI488" i="6"/>
  <c r="AU498" i="6" l="1"/>
  <c r="C495" i="7"/>
  <c r="D495" i="7"/>
  <c r="BA498" i="6"/>
  <c r="B496" i="7"/>
  <c r="AS499" i="6"/>
  <c r="AW499" i="6" s="1"/>
  <c r="AN500" i="6"/>
  <c r="AO500" i="6"/>
  <c r="AP500" i="6"/>
  <c r="AQ500" i="6"/>
  <c r="Z501" i="6"/>
  <c r="AY501" i="6"/>
  <c r="V502" i="6"/>
  <c r="AA501" i="6"/>
  <c r="AV501" i="6"/>
  <c r="AK500" i="6"/>
  <c r="AD493" i="6"/>
  <c r="AE493" i="6"/>
  <c r="AF492" i="6"/>
  <c r="AG491" i="6"/>
  <c r="AH490" i="6"/>
  <c r="AI489" i="6"/>
  <c r="AU499" i="6" l="1"/>
  <c r="C496" i="7"/>
  <c r="D496" i="7"/>
  <c r="BA499" i="6"/>
  <c r="B497" i="7"/>
  <c r="AS500" i="6"/>
  <c r="AW500" i="6" s="1"/>
  <c r="AN501" i="6"/>
  <c r="AO501" i="6"/>
  <c r="AP501" i="6"/>
  <c r="AQ501" i="6"/>
  <c r="AK501" i="6"/>
  <c r="AA502" i="6"/>
  <c r="V503" i="6"/>
  <c r="Z502" i="6"/>
  <c r="AV502" i="6"/>
  <c r="AD494" i="6"/>
  <c r="AE494" i="6"/>
  <c r="AF493" i="6"/>
  <c r="AG492" i="6"/>
  <c r="AH491" i="6"/>
  <c r="AI490" i="6"/>
  <c r="AU500" i="6" l="1"/>
  <c r="C497" i="7"/>
  <c r="D497" i="7"/>
  <c r="BA500" i="6"/>
  <c r="B498" i="7"/>
  <c r="AS501" i="6"/>
  <c r="AW501" i="6" s="1"/>
  <c r="AN502" i="6"/>
  <c r="AO502" i="6"/>
  <c r="AP502" i="6"/>
  <c r="AQ502" i="6"/>
  <c r="Z503" i="6"/>
  <c r="AY503" i="6"/>
  <c r="V504" i="6"/>
  <c r="AA503" i="6"/>
  <c r="AV503" i="6"/>
  <c r="AK502" i="6"/>
  <c r="AD495" i="6"/>
  <c r="AE495" i="6"/>
  <c r="AF494" i="6"/>
  <c r="AG493" i="6"/>
  <c r="AH492" i="6"/>
  <c r="AI491" i="6"/>
  <c r="AU501" i="6" l="1"/>
  <c r="C498" i="7"/>
  <c r="D498" i="7"/>
  <c r="BA501" i="6"/>
  <c r="B499" i="7"/>
  <c r="AS502" i="6"/>
  <c r="AW502" i="6" s="1"/>
  <c r="AN503" i="6"/>
  <c r="AO503" i="6"/>
  <c r="AP503" i="6"/>
  <c r="AQ503" i="6"/>
  <c r="AK503" i="6"/>
  <c r="AA504" i="6"/>
  <c r="V505" i="6"/>
  <c r="Z504" i="6"/>
  <c r="AV504" i="6"/>
  <c r="AD496" i="6"/>
  <c r="AE496" i="6"/>
  <c r="AF495" i="6"/>
  <c r="AG494" i="6"/>
  <c r="AH493" i="6"/>
  <c r="AI492" i="6"/>
  <c r="AU502" i="6" l="1"/>
  <c r="C499" i="7"/>
  <c r="D499" i="7"/>
  <c r="BA502" i="6"/>
  <c r="B500" i="7"/>
  <c r="AS503" i="6"/>
  <c r="AW503" i="6" s="1"/>
  <c r="AN504" i="6"/>
  <c r="AO504" i="6"/>
  <c r="AP504" i="6"/>
  <c r="AQ504" i="6"/>
  <c r="Z505" i="6"/>
  <c r="AY505" i="6"/>
  <c r="V506" i="6"/>
  <c r="AA505" i="6"/>
  <c r="AV505" i="6"/>
  <c r="AK504" i="6"/>
  <c r="AD497" i="6"/>
  <c r="AE497" i="6"/>
  <c r="AF496" i="6"/>
  <c r="AG495" i="6"/>
  <c r="AH494" i="6"/>
  <c r="AI493" i="6"/>
  <c r="AU503" i="6" l="1"/>
  <c r="C500" i="7"/>
  <c r="D500" i="7"/>
  <c r="BA503" i="6"/>
  <c r="B501" i="7"/>
  <c r="AS504" i="6"/>
  <c r="AW504" i="6" s="1"/>
  <c r="AN505" i="6"/>
  <c r="AO505" i="6"/>
  <c r="AP505" i="6"/>
  <c r="AQ505" i="6"/>
  <c r="AK505" i="6"/>
  <c r="AA506" i="6"/>
  <c r="V507" i="6"/>
  <c r="Z506" i="6"/>
  <c r="AV506" i="6"/>
  <c r="AD498" i="6"/>
  <c r="AE498" i="6"/>
  <c r="AF497" i="6"/>
  <c r="AG496" i="6"/>
  <c r="AH495" i="6"/>
  <c r="AI494" i="6"/>
  <c r="AU504" i="6" l="1"/>
  <c r="C501" i="7"/>
  <c r="D501" i="7"/>
  <c r="BA504" i="6"/>
  <c r="B502" i="7"/>
  <c r="AS505" i="6"/>
  <c r="AW505" i="6" s="1"/>
  <c r="AN506" i="6"/>
  <c r="AO506" i="6"/>
  <c r="AP506" i="6"/>
  <c r="AQ506" i="6"/>
  <c r="Z507" i="6"/>
  <c r="AY507" i="6"/>
  <c r="V508" i="6"/>
  <c r="AA507" i="6"/>
  <c r="AV507" i="6"/>
  <c r="AK506" i="6"/>
  <c r="AD499" i="6"/>
  <c r="AE499" i="6"/>
  <c r="AF498" i="6"/>
  <c r="AG497" i="6"/>
  <c r="AH496" i="6"/>
  <c r="AI495" i="6"/>
  <c r="AU505" i="6" l="1"/>
  <c r="C502" i="7"/>
  <c r="D502" i="7"/>
  <c r="BA505" i="6"/>
  <c r="B503" i="7"/>
  <c r="AS506" i="6"/>
  <c r="AW506" i="6" s="1"/>
  <c r="AN507" i="6"/>
  <c r="AO507" i="6"/>
  <c r="AP507" i="6"/>
  <c r="AQ507" i="6"/>
  <c r="AK507" i="6"/>
  <c r="AA508" i="6"/>
  <c r="V509" i="6"/>
  <c r="Z508" i="6"/>
  <c r="AV508" i="6"/>
  <c r="AD500" i="6"/>
  <c r="AE500" i="6"/>
  <c r="AF499" i="6"/>
  <c r="AG498" i="6"/>
  <c r="AH497" i="6"/>
  <c r="AI496" i="6"/>
  <c r="AU506" i="6" l="1"/>
  <c r="C503" i="7"/>
  <c r="D503" i="7"/>
  <c r="BA506" i="6"/>
  <c r="B504" i="7"/>
  <c r="AS507" i="6"/>
  <c r="AW507" i="6" s="1"/>
  <c r="AN508" i="6"/>
  <c r="AO508" i="6"/>
  <c r="AP508" i="6"/>
  <c r="AQ508" i="6"/>
  <c r="Z509" i="6"/>
  <c r="Z510" i="6" s="1"/>
  <c r="Z511" i="6" s="1"/>
  <c r="AY509" i="6"/>
  <c r="V510" i="6"/>
  <c r="AA509" i="6"/>
  <c r="AV509" i="6"/>
  <c r="AK508" i="6"/>
  <c r="AD501" i="6"/>
  <c r="AE501" i="6"/>
  <c r="AF500" i="6"/>
  <c r="AG499" i="6"/>
  <c r="AH498" i="6"/>
  <c r="AI497" i="6"/>
  <c r="AU507" i="6" l="1"/>
  <c r="C504" i="7"/>
  <c r="D504" i="7"/>
  <c r="BA507" i="6"/>
  <c r="B505" i="7"/>
  <c r="AS508" i="6"/>
  <c r="AW508" i="6" s="1"/>
  <c r="AN509" i="6"/>
  <c r="AO509" i="6"/>
  <c r="AP509" i="6"/>
  <c r="AQ509" i="6"/>
  <c r="AK509" i="6"/>
  <c r="AA510" i="6"/>
  <c r="V511" i="6"/>
  <c r="W510" i="6"/>
  <c r="AV510" i="6"/>
  <c r="AD502" i="6"/>
  <c r="AE502" i="6"/>
  <c r="AF501" i="6"/>
  <c r="AG500" i="6"/>
  <c r="AH499" i="6"/>
  <c r="AI498" i="6"/>
  <c r="AU508" i="6" l="1"/>
  <c r="C505" i="7"/>
  <c r="D505" i="7"/>
  <c r="BA508" i="6"/>
  <c r="B506" i="7"/>
  <c r="AS509" i="6"/>
  <c r="AW509" i="6" s="1"/>
  <c r="AN510" i="6"/>
  <c r="AO510" i="6"/>
  <c r="AP510" i="6"/>
  <c r="AQ510" i="6"/>
  <c r="W511" i="6"/>
  <c r="W512" i="6" s="1"/>
  <c r="W513" i="6" s="1"/>
  <c r="W514" i="6" s="1"/>
  <c r="W515" i="6" s="1"/>
  <c r="W516" i="6" s="1"/>
  <c r="W517" i="6" s="1"/>
  <c r="AY511" i="6"/>
  <c r="V512" i="6"/>
  <c r="X511" i="6"/>
  <c r="AV511" i="6"/>
  <c r="AK510" i="6"/>
  <c r="AA511" i="6"/>
  <c r="AD503" i="6"/>
  <c r="AE503" i="6"/>
  <c r="AF502" i="6"/>
  <c r="AG501" i="6"/>
  <c r="AH500" i="6"/>
  <c r="AI499" i="6"/>
  <c r="AU509" i="6" l="1"/>
  <c r="C506" i="7"/>
  <c r="D506" i="7"/>
  <c r="BA509" i="6"/>
  <c r="B507" i="7"/>
  <c r="AS510" i="6"/>
  <c r="AW510" i="6" s="1"/>
  <c r="AN511" i="6"/>
  <c r="AO511" i="6"/>
  <c r="AP511" i="6"/>
  <c r="AQ511" i="6"/>
  <c r="AK511" i="6"/>
  <c r="AA512" i="6"/>
  <c r="X512" i="6"/>
  <c r="X513" i="6" s="1"/>
  <c r="AY512" i="6"/>
  <c r="V513" i="6"/>
  <c r="Z512" i="6"/>
  <c r="AV512" i="6"/>
  <c r="W518" i="6"/>
  <c r="W519" i="6" s="1"/>
  <c r="AY518" i="6"/>
  <c r="AD504" i="6"/>
  <c r="AE504" i="6"/>
  <c r="AF503" i="6"/>
  <c r="AG502" i="6"/>
  <c r="AH501" i="6"/>
  <c r="AI500" i="6"/>
  <c r="AU510" i="6" l="1"/>
  <c r="C507" i="7"/>
  <c r="D507" i="7"/>
  <c r="BA510" i="6"/>
  <c r="B508" i="7"/>
  <c r="AS511" i="6"/>
  <c r="AW511" i="6" s="1"/>
  <c r="AN512" i="6"/>
  <c r="AO512" i="6"/>
  <c r="AP512" i="6"/>
  <c r="AQ512" i="6"/>
  <c r="W520" i="6"/>
  <c r="W521" i="6" s="1"/>
  <c r="W522" i="6" s="1"/>
  <c r="W523" i="6" s="1"/>
  <c r="W524" i="6" s="1"/>
  <c r="AY520" i="6"/>
  <c r="Z513" i="6"/>
  <c r="AY513" i="6"/>
  <c r="V514" i="6"/>
  <c r="AA513" i="6"/>
  <c r="AV513" i="6"/>
  <c r="X514" i="6"/>
  <c r="X515" i="6" s="1"/>
  <c r="AY514" i="6"/>
  <c r="AK512" i="6"/>
  <c r="AD505" i="6"/>
  <c r="AE505" i="6"/>
  <c r="AF504" i="6"/>
  <c r="AG503" i="6"/>
  <c r="AH502" i="6"/>
  <c r="AI501" i="6"/>
  <c r="AU511" i="6" l="1"/>
  <c r="C508" i="7"/>
  <c r="D508" i="7"/>
  <c r="BA511" i="6"/>
  <c r="B509" i="7"/>
  <c r="AS512" i="6"/>
  <c r="AW512" i="6" s="1"/>
  <c r="AN513" i="6"/>
  <c r="AO513" i="6"/>
  <c r="AP513" i="6"/>
  <c r="AQ513" i="6"/>
  <c r="X516" i="6"/>
  <c r="X517" i="6" s="1"/>
  <c r="AY516" i="6"/>
  <c r="AK513" i="6"/>
  <c r="AA514" i="6"/>
  <c r="V515" i="6"/>
  <c r="Z514" i="6"/>
  <c r="AV514" i="6"/>
  <c r="W525" i="6"/>
  <c r="W526" i="6" s="1"/>
  <c r="W527" i="6" s="1"/>
  <c r="W528" i="6" s="1"/>
  <c r="W529" i="6" s="1"/>
  <c r="W530" i="6" s="1"/>
  <c r="AY525" i="6"/>
  <c r="AD506" i="6"/>
  <c r="AE506" i="6"/>
  <c r="AF505" i="6"/>
  <c r="AG504" i="6"/>
  <c r="AH503" i="6"/>
  <c r="AI502" i="6"/>
  <c r="AU512" i="6" l="1"/>
  <c r="C509" i="7"/>
  <c r="D509" i="7"/>
  <c r="BA512" i="6"/>
  <c r="B510" i="7"/>
  <c r="AS513" i="6"/>
  <c r="AW513" i="6" s="1"/>
  <c r="AN514" i="6"/>
  <c r="AO514" i="6"/>
  <c r="AP514" i="6"/>
  <c r="AQ514" i="6"/>
  <c r="Z515" i="6"/>
  <c r="AY515" i="6"/>
  <c r="V516" i="6"/>
  <c r="AA515" i="6"/>
  <c r="AV515" i="6"/>
  <c r="AK514" i="6"/>
  <c r="AD507" i="6"/>
  <c r="AE507" i="6"/>
  <c r="AF506" i="6"/>
  <c r="AG505" i="6"/>
  <c r="AH504" i="6"/>
  <c r="AI503" i="6"/>
  <c r="AU513" i="6" l="1"/>
  <c r="C510" i="7"/>
  <c r="D510" i="7"/>
  <c r="BA513" i="6"/>
  <c r="B511" i="7"/>
  <c r="AS514" i="6"/>
  <c r="AW514" i="6" s="1"/>
  <c r="AN515" i="6"/>
  <c r="AO515" i="6"/>
  <c r="AP515" i="6"/>
  <c r="AQ515" i="6"/>
  <c r="AK515" i="6"/>
  <c r="AA516" i="6"/>
  <c r="V517" i="6"/>
  <c r="Z516" i="6"/>
  <c r="AV516" i="6"/>
  <c r="AD508" i="6"/>
  <c r="AE508" i="6"/>
  <c r="AF507" i="6"/>
  <c r="AG506" i="6"/>
  <c r="AH505" i="6"/>
  <c r="AI504" i="6"/>
  <c r="AU514" i="6" l="1"/>
  <c r="C511" i="7"/>
  <c r="D511" i="7"/>
  <c r="BA514" i="6"/>
  <c r="B512" i="7"/>
  <c r="AS515" i="6"/>
  <c r="AW515" i="6" s="1"/>
  <c r="AN516" i="6"/>
  <c r="AO516" i="6"/>
  <c r="AP516" i="6"/>
  <c r="AQ516" i="6"/>
  <c r="Z517" i="6"/>
  <c r="Z518" i="6" s="1"/>
  <c r="AY517" i="6"/>
  <c r="V518" i="6"/>
  <c r="AA517" i="6"/>
  <c r="AV517" i="6"/>
  <c r="AK516" i="6"/>
  <c r="AD509" i="6"/>
  <c r="AE509" i="6"/>
  <c r="AF508" i="6"/>
  <c r="AG507" i="6"/>
  <c r="AH506" i="6"/>
  <c r="AI505" i="6"/>
  <c r="AU515" i="6" l="1"/>
  <c r="C512" i="7"/>
  <c r="D512" i="7"/>
  <c r="BA515" i="6"/>
  <c r="B513" i="7"/>
  <c r="AS516" i="6"/>
  <c r="AW516" i="6" s="1"/>
  <c r="AN517" i="6"/>
  <c r="AO517" i="6"/>
  <c r="AP517" i="6"/>
  <c r="AQ517" i="6"/>
  <c r="AK517" i="6"/>
  <c r="AA518" i="6"/>
  <c r="V519" i="6"/>
  <c r="X518" i="6"/>
  <c r="X519" i="6" s="1"/>
  <c r="AV518" i="6"/>
  <c r="Z519" i="6"/>
  <c r="Z520" i="6" s="1"/>
  <c r="AY519" i="6"/>
  <c r="AD510" i="6"/>
  <c r="AE510" i="6"/>
  <c r="AF509" i="6"/>
  <c r="AG508" i="6"/>
  <c r="AH507" i="6"/>
  <c r="AI506" i="6"/>
  <c r="AU516" i="6" l="1"/>
  <c r="C513" i="7"/>
  <c r="D513" i="7"/>
  <c r="BA516" i="6"/>
  <c r="B514" i="7"/>
  <c r="AS517" i="6"/>
  <c r="AW517" i="6" s="1"/>
  <c r="AN518" i="6"/>
  <c r="AO518" i="6"/>
  <c r="AP518" i="6"/>
  <c r="AQ518" i="6"/>
  <c r="V520" i="6"/>
  <c r="AA519" i="6"/>
  <c r="AV519" i="6"/>
  <c r="AK518" i="6"/>
  <c r="AD511" i="6"/>
  <c r="AE511" i="6"/>
  <c r="AF510" i="6"/>
  <c r="AG509" i="6"/>
  <c r="AH508" i="6"/>
  <c r="AI507" i="6"/>
  <c r="AU517" i="6" l="1"/>
  <c r="C514" i="7"/>
  <c r="D514" i="7"/>
  <c r="BA517" i="6"/>
  <c r="B515" i="7"/>
  <c r="AS518" i="6"/>
  <c r="AW518" i="6" s="1"/>
  <c r="AN519" i="6"/>
  <c r="AO519" i="6"/>
  <c r="AP519" i="6"/>
  <c r="AQ519" i="6"/>
  <c r="AK519" i="6"/>
  <c r="AA520" i="6"/>
  <c r="V521" i="6"/>
  <c r="X520" i="6"/>
  <c r="AV520" i="6"/>
  <c r="AD512" i="6"/>
  <c r="AE512" i="6"/>
  <c r="AF511" i="6"/>
  <c r="AG510" i="6"/>
  <c r="AH509" i="6"/>
  <c r="AI508" i="6"/>
  <c r="AU518" i="6" l="1"/>
  <c r="C515" i="7"/>
  <c r="D515" i="7"/>
  <c r="BA518" i="6"/>
  <c r="B516" i="7"/>
  <c r="AS519" i="6"/>
  <c r="AW519" i="6" s="1"/>
  <c r="AN520" i="6"/>
  <c r="AO520" i="6"/>
  <c r="AP520" i="6"/>
  <c r="AQ520" i="6"/>
  <c r="X521" i="6"/>
  <c r="X522" i="6" s="1"/>
  <c r="AY521" i="6"/>
  <c r="V522" i="6"/>
  <c r="Z521" i="6"/>
  <c r="AV521" i="6"/>
  <c r="AK520" i="6"/>
  <c r="AA521" i="6"/>
  <c r="AK521" i="6" s="1"/>
  <c r="AD513" i="6"/>
  <c r="AE513" i="6"/>
  <c r="AF512" i="6"/>
  <c r="AG511" i="6"/>
  <c r="AH510" i="6"/>
  <c r="AI509" i="6"/>
  <c r="AU519" i="6" l="1"/>
  <c r="C516" i="7"/>
  <c r="D516" i="7"/>
  <c r="BA519" i="6"/>
  <c r="B517" i="7"/>
  <c r="AQ522" i="6"/>
  <c r="AS520" i="6"/>
  <c r="AW520" i="6" s="1"/>
  <c r="AN521" i="6"/>
  <c r="AN522" i="6" s="1"/>
  <c r="AO521" i="6"/>
  <c r="AO522" i="6" s="1"/>
  <c r="AP521" i="6"/>
  <c r="AS521" i="6" s="1"/>
  <c r="AW521" i="6" s="1"/>
  <c r="AQ521" i="6"/>
  <c r="Z522" i="6"/>
  <c r="AY522" i="6"/>
  <c r="V523" i="6"/>
  <c r="AA522" i="6"/>
  <c r="AV522" i="6"/>
  <c r="X523" i="6"/>
  <c r="X524" i="6" s="1"/>
  <c r="AY523" i="6"/>
  <c r="AD514" i="6"/>
  <c r="AE514" i="6"/>
  <c r="AF513" i="6"/>
  <c r="AG512" i="6"/>
  <c r="AH511" i="6"/>
  <c r="AI510" i="6"/>
  <c r="AU521" i="6" l="1"/>
  <c r="AU520" i="6"/>
  <c r="C517" i="7"/>
  <c r="D517" i="7"/>
  <c r="BA520" i="6"/>
  <c r="BA521" i="6" s="1"/>
  <c r="B518" i="7"/>
  <c r="AP522" i="6"/>
  <c r="AK522" i="6"/>
  <c r="AA523" i="6"/>
  <c r="V524" i="6"/>
  <c r="Z523" i="6"/>
  <c r="AV523" i="6"/>
  <c r="AD515" i="6"/>
  <c r="AE515" i="6"/>
  <c r="AF514" i="6"/>
  <c r="AG513" i="6"/>
  <c r="AH512" i="6"/>
  <c r="AI511" i="6"/>
  <c r="C518" i="7" l="1"/>
  <c r="D518" i="7"/>
  <c r="B519" i="7"/>
  <c r="B520" i="7"/>
  <c r="AS522" i="6"/>
  <c r="AW522" i="6" s="1"/>
  <c r="AN523" i="6"/>
  <c r="AO523" i="6"/>
  <c r="AP523" i="6"/>
  <c r="AQ523" i="6"/>
  <c r="Z524" i="6"/>
  <c r="Z525" i="6" s="1"/>
  <c r="Z526" i="6" s="1"/>
  <c r="AY524" i="6"/>
  <c r="V525" i="6"/>
  <c r="AA524" i="6"/>
  <c r="AV524" i="6"/>
  <c r="AK523" i="6"/>
  <c r="AD516" i="6"/>
  <c r="AE516" i="6"/>
  <c r="AF515" i="6"/>
  <c r="AG514" i="6"/>
  <c r="AH513" i="6"/>
  <c r="AI512" i="6"/>
  <c r="AU522" i="6" l="1"/>
  <c r="C520" i="7"/>
  <c r="D520" i="7"/>
  <c r="C519" i="7"/>
  <c r="D519" i="7"/>
  <c r="AS523" i="6"/>
  <c r="AW523" i="6" s="1"/>
  <c r="AN524" i="6"/>
  <c r="AO524" i="6"/>
  <c r="AP524" i="6"/>
  <c r="AQ524" i="6"/>
  <c r="AK524" i="6"/>
  <c r="AA525" i="6"/>
  <c r="V526" i="6"/>
  <c r="X525" i="6"/>
  <c r="AV525" i="6"/>
  <c r="Z527" i="6"/>
  <c r="Z528" i="6" s="1"/>
  <c r="AD517" i="6"/>
  <c r="AE517" i="6"/>
  <c r="AF516" i="6"/>
  <c r="AG515" i="6"/>
  <c r="AH514" i="6"/>
  <c r="AI513" i="6"/>
  <c r="AU523" i="6" l="1"/>
  <c r="BA522" i="6"/>
  <c r="BA523" i="6" s="1"/>
  <c r="AS524" i="6"/>
  <c r="AW524" i="6" s="1"/>
  <c r="AN525" i="6"/>
  <c r="AO525" i="6"/>
  <c r="AP525" i="6"/>
  <c r="AQ525" i="6"/>
  <c r="X526" i="6"/>
  <c r="X527" i="6" s="1"/>
  <c r="AY526" i="6"/>
  <c r="V527" i="6"/>
  <c r="Y526" i="6"/>
  <c r="AV526" i="6"/>
  <c r="AK525" i="6"/>
  <c r="AA526" i="6"/>
  <c r="AK526" i="6" s="1"/>
  <c r="AD518" i="6"/>
  <c r="AE518" i="6"/>
  <c r="AF517" i="6"/>
  <c r="AG516" i="6"/>
  <c r="AH515" i="6"/>
  <c r="AI514" i="6"/>
  <c r="AU524" i="6" l="1"/>
  <c r="BA524" i="6"/>
  <c r="B521" i="7"/>
  <c r="B522" i="7"/>
  <c r="AP527" i="6"/>
  <c r="AQ527" i="6"/>
  <c r="AS525" i="6"/>
  <c r="AW525" i="6" s="1"/>
  <c r="AN526" i="6"/>
  <c r="AN527" i="6" s="1"/>
  <c r="AO526" i="6"/>
  <c r="AS526" i="6" s="1"/>
  <c r="AW526" i="6" s="1"/>
  <c r="AP526" i="6"/>
  <c r="AQ526" i="6"/>
  <c r="Y527" i="6"/>
  <c r="AY527" i="6"/>
  <c r="V528" i="6"/>
  <c r="AA527" i="6"/>
  <c r="AV527" i="6"/>
  <c r="X528" i="6"/>
  <c r="X529" i="6" s="1"/>
  <c r="X530" i="6" s="1"/>
  <c r="X531" i="6" s="1"/>
  <c r="AY528" i="6"/>
  <c r="AD519" i="6"/>
  <c r="AE519" i="6"/>
  <c r="AF518" i="6"/>
  <c r="AG517" i="6"/>
  <c r="AH516" i="6"/>
  <c r="AI515" i="6"/>
  <c r="AU526" i="6" l="1"/>
  <c r="AU525" i="6"/>
  <c r="C522" i="7"/>
  <c r="D522" i="7"/>
  <c r="C521" i="7"/>
  <c r="D521" i="7"/>
  <c r="BA525" i="6"/>
  <c r="BA526" i="6" s="1"/>
  <c r="B523" i="7"/>
  <c r="AO527" i="6"/>
  <c r="AK527" i="6"/>
  <c r="AA528" i="6"/>
  <c r="V529" i="6"/>
  <c r="Y528" i="6"/>
  <c r="AV528" i="6"/>
  <c r="AD520" i="6"/>
  <c r="AE520" i="6"/>
  <c r="AF519" i="6"/>
  <c r="AG518" i="6"/>
  <c r="AH517" i="6"/>
  <c r="AI516" i="6"/>
  <c r="C523" i="7" l="1"/>
  <c r="D523" i="7"/>
  <c r="B524" i="7"/>
  <c r="B525" i="7"/>
  <c r="AS527" i="6"/>
  <c r="AW527" i="6" s="1"/>
  <c r="AN528" i="6"/>
  <c r="AO528" i="6"/>
  <c r="AP528" i="6"/>
  <c r="AQ528" i="6"/>
  <c r="Y529" i="6"/>
  <c r="Y530" i="6" s="1"/>
  <c r="Y531" i="6" s="1"/>
  <c r="Y532" i="6" s="1"/>
  <c r="AY529" i="6"/>
  <c r="V530" i="6"/>
  <c r="Z529" i="6"/>
  <c r="AV529" i="6"/>
  <c r="AK528" i="6"/>
  <c r="AA529" i="6"/>
  <c r="AK529" i="6" s="1"/>
  <c r="AD521" i="6"/>
  <c r="AE521" i="6"/>
  <c r="AF520" i="6"/>
  <c r="AG519" i="6"/>
  <c r="AH518" i="6"/>
  <c r="AI517" i="6"/>
  <c r="AU527" i="6" l="1"/>
  <c r="C525" i="7"/>
  <c r="D525" i="7"/>
  <c r="C524" i="7"/>
  <c r="D524" i="7"/>
  <c r="AQ530" i="6"/>
  <c r="AS528" i="6"/>
  <c r="AW528" i="6" s="1"/>
  <c r="AN529" i="6"/>
  <c r="AN530" i="6" s="1"/>
  <c r="AO529" i="6"/>
  <c r="AO530" i="6" s="1"/>
  <c r="AP529" i="6"/>
  <c r="AS529" i="6" s="1"/>
  <c r="AW529" i="6" s="1"/>
  <c r="AQ529" i="6"/>
  <c r="Z530" i="6"/>
  <c r="Z531" i="6" s="1"/>
  <c r="Z532" i="6" s="1"/>
  <c r="AY530" i="6"/>
  <c r="V531" i="6"/>
  <c r="AA530" i="6"/>
  <c r="AV530" i="6"/>
  <c r="Y533" i="6"/>
  <c r="Y534" i="6" s="1"/>
  <c r="AD522" i="6"/>
  <c r="AE522" i="6"/>
  <c r="AF521" i="6"/>
  <c r="AG520" i="6"/>
  <c r="AH519" i="6"/>
  <c r="AI518" i="6"/>
  <c r="AU529" i="6" l="1"/>
  <c r="AU528" i="6"/>
  <c r="BA527" i="6"/>
  <c r="BA528" i="6" s="1"/>
  <c r="BA529" i="6" s="1"/>
  <c r="AP530" i="6"/>
  <c r="Y535" i="6"/>
  <c r="Y536" i="6" s="1"/>
  <c r="Y537" i="6" s="1"/>
  <c r="AK530" i="6"/>
  <c r="AA531" i="6"/>
  <c r="V532" i="6"/>
  <c r="W531" i="6"/>
  <c r="AV531" i="6"/>
  <c r="AD523" i="6"/>
  <c r="AE523" i="6"/>
  <c r="AF522" i="6"/>
  <c r="AG521" i="6"/>
  <c r="AH520" i="6"/>
  <c r="AI519" i="6"/>
  <c r="B526" i="7" l="1"/>
  <c r="B527" i="7"/>
  <c r="B528" i="7"/>
  <c r="AS530" i="6"/>
  <c r="AW530" i="6" s="1"/>
  <c r="AN531" i="6"/>
  <c r="AO531" i="6"/>
  <c r="AP531" i="6"/>
  <c r="AQ531" i="6"/>
  <c r="W532" i="6"/>
  <c r="W533" i="6" s="1"/>
  <c r="W534" i="6" s="1"/>
  <c r="AY532" i="6"/>
  <c r="V533" i="6"/>
  <c r="X532" i="6"/>
  <c r="AV532" i="6"/>
  <c r="AK531" i="6"/>
  <c r="AS531" i="6" s="1"/>
  <c r="AW531" i="6" s="1"/>
  <c r="AA532" i="6"/>
  <c r="Y538" i="6"/>
  <c r="Y539" i="6" s="1"/>
  <c r="AD524" i="6"/>
  <c r="AE524" i="6"/>
  <c r="AF523" i="6"/>
  <c r="AG522" i="6"/>
  <c r="AH521" i="6"/>
  <c r="AI520" i="6"/>
  <c r="AU531" i="6" l="1"/>
  <c r="AU530" i="6"/>
  <c r="C528" i="7"/>
  <c r="D528" i="7"/>
  <c r="C527" i="7"/>
  <c r="D527" i="7"/>
  <c r="C526" i="7"/>
  <c r="D526" i="7"/>
  <c r="Y540" i="6"/>
  <c r="Y541" i="6" s="1"/>
  <c r="Y542" i="6" s="1"/>
  <c r="AK532" i="6"/>
  <c r="AA533" i="6"/>
  <c r="AQ532" i="6"/>
  <c r="AP532" i="6"/>
  <c r="AO532" i="6"/>
  <c r="AN532" i="6"/>
  <c r="X533" i="6"/>
  <c r="X534" i="6" s="1"/>
  <c r="AY533" i="6"/>
  <c r="V534" i="6"/>
  <c r="Z533" i="6"/>
  <c r="AV533" i="6"/>
  <c r="W535" i="6"/>
  <c r="AD525" i="6"/>
  <c r="AE525" i="6"/>
  <c r="AF524" i="6"/>
  <c r="AG523" i="6"/>
  <c r="AH522" i="6"/>
  <c r="AI521" i="6"/>
  <c r="BA530" i="6" l="1"/>
  <c r="BA531" i="6" s="1"/>
  <c r="B530" i="7"/>
  <c r="AN533" i="6"/>
  <c r="AS532" i="6"/>
  <c r="AW532" i="6" s="1"/>
  <c r="W536" i="6"/>
  <c r="Z534" i="6"/>
  <c r="AY534" i="6"/>
  <c r="V535" i="6"/>
  <c r="AA534" i="6"/>
  <c r="AV534" i="6"/>
  <c r="X535" i="6"/>
  <c r="X536" i="6" s="1"/>
  <c r="AY535" i="6"/>
  <c r="AK533" i="6"/>
  <c r="AQ533" i="6"/>
  <c r="AP533" i="6"/>
  <c r="AS533" i="6" s="1"/>
  <c r="AW533" i="6" s="1"/>
  <c r="AO533" i="6"/>
  <c r="Y543" i="6"/>
  <c r="Y544" i="6" s="1"/>
  <c r="Y545" i="6" s="1"/>
  <c r="AD526" i="6"/>
  <c r="AE526" i="6"/>
  <c r="AF525" i="6"/>
  <c r="AG524" i="6"/>
  <c r="AH523" i="6"/>
  <c r="AI522" i="6"/>
  <c r="AU533" i="6" l="1"/>
  <c r="AU532" i="6"/>
  <c r="C530" i="7"/>
  <c r="D530" i="7"/>
  <c r="BA532" i="6"/>
  <c r="BA533" i="6" s="1"/>
  <c r="B529" i="7"/>
  <c r="AQ534" i="6"/>
  <c r="AP534" i="6"/>
  <c r="AO534" i="6"/>
  <c r="AN534" i="6"/>
  <c r="AK534" i="6"/>
  <c r="AA535" i="6"/>
  <c r="V536" i="6"/>
  <c r="Z535" i="6"/>
  <c r="AV535" i="6"/>
  <c r="W537" i="6"/>
  <c r="W538" i="6" s="1"/>
  <c r="W539" i="6" s="1"/>
  <c r="W540" i="6" s="1"/>
  <c r="W541" i="6" s="1"/>
  <c r="AY537" i="6"/>
  <c r="AD527" i="6"/>
  <c r="AE527" i="6"/>
  <c r="AF526" i="6"/>
  <c r="AG525" i="6"/>
  <c r="AH524" i="6"/>
  <c r="AI523" i="6"/>
  <c r="C529" i="7" l="1"/>
  <c r="D529" i="7"/>
  <c r="B531" i="7"/>
  <c r="B532" i="7"/>
  <c r="AS534" i="6"/>
  <c r="AW534" i="6" s="1"/>
  <c r="W542" i="6"/>
  <c r="W543" i="6" s="1"/>
  <c r="W544" i="6" s="1"/>
  <c r="W545" i="6" s="1"/>
  <c r="AY542" i="6"/>
  <c r="Z536" i="6"/>
  <c r="AY536" i="6"/>
  <c r="V537" i="6"/>
  <c r="AA536" i="6"/>
  <c r="AV536" i="6"/>
  <c r="AK535" i="6"/>
  <c r="AQ535" i="6"/>
  <c r="AP535" i="6"/>
  <c r="AS535" i="6" s="1"/>
  <c r="AW535" i="6" s="1"/>
  <c r="AO535" i="6"/>
  <c r="AN535" i="6"/>
  <c r="AD528" i="6"/>
  <c r="AE528" i="6"/>
  <c r="AF527" i="6"/>
  <c r="AG526" i="6"/>
  <c r="AH525" i="6"/>
  <c r="AI524" i="6"/>
  <c r="AU535" i="6" l="1"/>
  <c r="AU534" i="6"/>
  <c r="C532" i="7"/>
  <c r="D532" i="7"/>
  <c r="C531" i="7"/>
  <c r="D531" i="7"/>
  <c r="AQ536" i="6"/>
  <c r="AP536" i="6"/>
  <c r="AO536" i="6"/>
  <c r="AN536" i="6"/>
  <c r="AK536" i="6"/>
  <c r="AA537" i="6"/>
  <c r="V538" i="6"/>
  <c r="X537" i="6"/>
  <c r="AV537" i="6"/>
  <c r="Z537" i="6"/>
  <c r="AD529" i="6"/>
  <c r="AE529" i="6"/>
  <c r="AF528" i="6"/>
  <c r="AG527" i="6"/>
  <c r="AH526" i="6"/>
  <c r="AI525" i="6"/>
  <c r="BA534" i="6" l="1"/>
  <c r="BA535" i="6" s="1"/>
  <c r="B534" i="7"/>
  <c r="AS536" i="6"/>
  <c r="AW536" i="6" s="1"/>
  <c r="X538" i="6"/>
  <c r="X539" i="6" s="1"/>
  <c r="AY538" i="6"/>
  <c r="V539" i="6"/>
  <c r="Z538" i="6"/>
  <c r="AV538" i="6"/>
  <c r="AK537" i="6"/>
  <c r="AA538" i="6"/>
  <c r="AK538" i="6" s="1"/>
  <c r="AQ539" i="6" s="1"/>
  <c r="AQ537" i="6"/>
  <c r="AP537" i="6"/>
  <c r="AO537" i="6"/>
  <c r="AN537" i="6"/>
  <c r="AS537" i="6" s="1"/>
  <c r="AW537" i="6" s="1"/>
  <c r="AD530" i="6"/>
  <c r="AE530" i="6"/>
  <c r="AF529" i="6"/>
  <c r="AG528" i="6"/>
  <c r="AH527" i="6"/>
  <c r="AI526" i="6"/>
  <c r="AU537" i="6" l="1"/>
  <c r="AU536" i="6"/>
  <c r="C534" i="7"/>
  <c r="D534" i="7"/>
  <c r="BA536" i="6"/>
  <c r="BA537" i="6" s="1"/>
  <c r="B533" i="7"/>
  <c r="AQ538" i="6"/>
  <c r="AP538" i="6"/>
  <c r="AO538" i="6"/>
  <c r="AO539" i="6" s="1"/>
  <c r="AN538" i="6"/>
  <c r="AN539" i="6" s="1"/>
  <c r="Z539" i="6"/>
  <c r="AY539" i="6"/>
  <c r="V540" i="6"/>
  <c r="AA539" i="6"/>
  <c r="AV539" i="6"/>
  <c r="X540" i="6"/>
  <c r="X541" i="6" s="1"/>
  <c r="AY540" i="6"/>
  <c r="AD531" i="6"/>
  <c r="AE531" i="6"/>
  <c r="AF530" i="6"/>
  <c r="AG529" i="6"/>
  <c r="AH528" i="6"/>
  <c r="AI527" i="6"/>
  <c r="C533" i="7" l="1"/>
  <c r="D533" i="7"/>
  <c r="B535" i="7"/>
  <c r="B536" i="7"/>
  <c r="AS538" i="6"/>
  <c r="AW538" i="6" s="1"/>
  <c r="AP539" i="6"/>
  <c r="AK539" i="6"/>
  <c r="AA540" i="6"/>
  <c r="V541" i="6"/>
  <c r="Z540" i="6"/>
  <c r="AV540" i="6"/>
  <c r="AD532" i="6"/>
  <c r="AE532" i="6"/>
  <c r="AF531" i="6"/>
  <c r="AG530" i="6"/>
  <c r="AH529" i="6"/>
  <c r="AI528" i="6"/>
  <c r="AU538" i="6" l="1"/>
  <c r="C536" i="7"/>
  <c r="D536" i="7"/>
  <c r="C535" i="7"/>
  <c r="D535" i="7"/>
  <c r="AS539" i="6"/>
  <c r="AW539" i="6" s="1"/>
  <c r="AQ540" i="6"/>
  <c r="AP540" i="6"/>
  <c r="AO540" i="6"/>
  <c r="AN540" i="6"/>
  <c r="Z541" i="6"/>
  <c r="Z542" i="6" s="1"/>
  <c r="AY541" i="6"/>
  <c r="V542" i="6"/>
  <c r="AA541" i="6"/>
  <c r="AV541" i="6"/>
  <c r="AK540" i="6"/>
  <c r="AQ541" i="6" s="1"/>
  <c r="AD533" i="6"/>
  <c r="AE533" i="6"/>
  <c r="AF532" i="6"/>
  <c r="AG531" i="6"/>
  <c r="AH530" i="6"/>
  <c r="AI529" i="6"/>
  <c r="AU539" i="6" l="1"/>
  <c r="BA538" i="6"/>
  <c r="BA539" i="6" s="1"/>
  <c r="AS540" i="6"/>
  <c r="AW540" i="6" s="1"/>
  <c r="AP541" i="6"/>
  <c r="AN541" i="6"/>
  <c r="AO541" i="6"/>
  <c r="AK541" i="6"/>
  <c r="AS541" i="6" s="1"/>
  <c r="AW541" i="6" s="1"/>
  <c r="AA542" i="6"/>
  <c r="V543" i="6"/>
  <c r="X542" i="6"/>
  <c r="AV542" i="6"/>
  <c r="AD534" i="6"/>
  <c r="AE534" i="6"/>
  <c r="AF533" i="6"/>
  <c r="AG532" i="6"/>
  <c r="AH531" i="6"/>
  <c r="AI530" i="6"/>
  <c r="AU541" i="6" l="1"/>
  <c r="AU540" i="6"/>
  <c r="BA540" i="6"/>
  <c r="BA541" i="6" s="1"/>
  <c r="B537" i="7"/>
  <c r="B538" i="7"/>
  <c r="AO542" i="6"/>
  <c r="AN542" i="6"/>
  <c r="AP542" i="6"/>
  <c r="AQ542" i="6"/>
  <c r="X543" i="6"/>
  <c r="X544" i="6" s="1"/>
  <c r="X545" i="6" s="1"/>
  <c r="AY543" i="6"/>
  <c r="V544" i="6"/>
  <c r="Z543" i="6"/>
  <c r="AV543" i="6"/>
  <c r="AK542" i="6"/>
  <c r="AA543" i="6"/>
  <c r="AK543" i="6" s="1"/>
  <c r="AD535" i="6"/>
  <c r="AE535" i="6"/>
  <c r="AF534" i="6"/>
  <c r="AG533" i="6"/>
  <c r="AH532" i="6"/>
  <c r="AI531" i="6"/>
  <c r="C538" i="7" l="1"/>
  <c r="D538" i="7"/>
  <c r="C537" i="7"/>
  <c r="D537" i="7"/>
  <c r="B539" i="7"/>
  <c r="B540" i="7"/>
  <c r="AQ544" i="6"/>
  <c r="AQ543" i="6"/>
  <c r="AP543" i="6"/>
  <c r="AP544" i="6" s="1"/>
  <c r="AO543" i="6"/>
  <c r="AO544" i="6" s="1"/>
  <c r="AN543" i="6"/>
  <c r="AN544" i="6" s="1"/>
  <c r="AS542" i="6"/>
  <c r="AW542" i="6" s="1"/>
  <c r="Z544" i="6"/>
  <c r="Z545" i="6" s="1"/>
  <c r="AY544" i="6"/>
  <c r="V545" i="6"/>
  <c r="AA544" i="6"/>
  <c r="AV544" i="6"/>
  <c r="AD536" i="6"/>
  <c r="AE536" i="6"/>
  <c r="AF535" i="6"/>
  <c r="AG534" i="6"/>
  <c r="AH533" i="6"/>
  <c r="AI532" i="6"/>
  <c r="AU542" i="6" l="1"/>
  <c r="C540" i="7"/>
  <c r="D540" i="7"/>
  <c r="C539" i="7"/>
  <c r="D539" i="7"/>
  <c r="AS543" i="6"/>
  <c r="AW543" i="6" s="1"/>
  <c r="AK544" i="6"/>
  <c r="AS544" i="6" s="1"/>
  <c r="AW544" i="6" s="1"/>
  <c r="AA545" i="6"/>
  <c r="AK545" i="6" s="1"/>
  <c r="AS545" i="6" s="1"/>
  <c r="AW545" i="6" s="1"/>
  <c r="AD537" i="6"/>
  <c r="AE537" i="6"/>
  <c r="AF536" i="6"/>
  <c r="AG535" i="6"/>
  <c r="AH534" i="6"/>
  <c r="AI533" i="6"/>
  <c r="AU544" i="6" l="1"/>
  <c r="AU543" i="6"/>
  <c r="BA542" i="6"/>
  <c r="BA543" i="6" s="1"/>
  <c r="BA544" i="6" s="1"/>
  <c r="BA545" i="6" s="1"/>
  <c r="AQ545" i="6"/>
  <c r="AP545" i="6"/>
  <c r="AO545" i="6"/>
  <c r="AN545" i="6"/>
  <c r="AD538" i="6"/>
  <c r="AE538" i="6"/>
  <c r="AF537" i="6"/>
  <c r="AG536" i="6"/>
  <c r="AH535" i="6"/>
  <c r="AI534" i="6"/>
  <c r="B541" i="7" l="1"/>
  <c r="B542" i="7"/>
  <c r="B543" i="7"/>
  <c r="AD539" i="6"/>
  <c r="AE539" i="6"/>
  <c r="AF538" i="6"/>
  <c r="AG537" i="6"/>
  <c r="AH536" i="6"/>
  <c r="AI535" i="6"/>
  <c r="C543" i="7" l="1"/>
  <c r="D543" i="7"/>
  <c r="C542" i="7"/>
  <c r="D542" i="7"/>
  <c r="C541" i="7"/>
  <c r="D541" i="7"/>
  <c r="AD540" i="6"/>
  <c r="AE540" i="6"/>
  <c r="AF539" i="6"/>
  <c r="AG538" i="6"/>
  <c r="AH537" i="6"/>
  <c r="AI536" i="6"/>
  <c r="AD541" i="6" l="1"/>
  <c r="AE541" i="6"/>
  <c r="AF540" i="6"/>
  <c r="AG539" i="6"/>
  <c r="AH538" i="6"/>
  <c r="AI537" i="6"/>
  <c r="AD542" i="6" l="1"/>
  <c r="AE542" i="6"/>
  <c r="AF541" i="6"/>
  <c r="AG540" i="6"/>
  <c r="AH539" i="6"/>
  <c r="AI538" i="6"/>
  <c r="AD543" i="6" l="1"/>
  <c r="AE543" i="6"/>
  <c r="AF542" i="6"/>
  <c r="AG541" i="6"/>
  <c r="AH540" i="6"/>
  <c r="AI539" i="6"/>
  <c r="AD544" i="6" l="1"/>
  <c r="AE544" i="6"/>
  <c r="AF543" i="6"/>
  <c r="AG542" i="6"/>
  <c r="AH541" i="6"/>
  <c r="AI540" i="6"/>
  <c r="AD545" i="6" l="1"/>
  <c r="AE545" i="6"/>
  <c r="AF544" i="6"/>
  <c r="AG543" i="6"/>
  <c r="AH542" i="6"/>
  <c r="AI541" i="6"/>
  <c r="AF545" i="6" l="1"/>
  <c r="AG544" i="6"/>
  <c r="AH543" i="6"/>
  <c r="AI542" i="6"/>
  <c r="AG545" i="6" l="1"/>
  <c r="AH544" i="6"/>
  <c r="AI543" i="6"/>
  <c r="AH545" i="6" l="1"/>
  <c r="AI544" i="6"/>
  <c r="AI545" i="6" s="1"/>
</calcChain>
</file>

<file path=xl/sharedStrings.xml><?xml version="1.0" encoding="utf-8"?>
<sst xmlns="http://schemas.openxmlformats.org/spreadsheetml/2006/main" count="3387" uniqueCount="1766">
  <si>
    <t>RAW COA STRUCTURE</t>
  </si>
  <si>
    <t>COA</t>
  </si>
  <si>
    <t>COA NAME</t>
  </si>
  <si>
    <t>LEVEL 1</t>
  </si>
  <si>
    <t>LEVEL 2</t>
  </si>
  <si>
    <t>1-ACTV</t>
  </si>
  <si>
    <t>AKTIVA</t>
  </si>
  <si>
    <t>1-0000</t>
  </si>
  <si>
    <t>Assets</t>
  </si>
  <si>
    <t>1-1000</t>
  </si>
  <si>
    <t>Cash &amp; Bank</t>
  </si>
  <si>
    <t>1-1100</t>
  </si>
  <si>
    <t>Petty Cash</t>
  </si>
  <si>
    <t>1-1101</t>
  </si>
  <si>
    <t>Petty Cash - Head Office</t>
  </si>
  <si>
    <t>1-1102</t>
  </si>
  <si>
    <t>Petty Cash - Ho Project</t>
  </si>
  <si>
    <t>1-1103</t>
  </si>
  <si>
    <t>Petty Cash - Project</t>
  </si>
  <si>
    <t>1-1104</t>
  </si>
  <si>
    <t>Petty Cash - WH</t>
  </si>
  <si>
    <t>1-1105</t>
  </si>
  <si>
    <t>Petty Cash - Salatiga</t>
  </si>
  <si>
    <t>1-1106</t>
  </si>
  <si>
    <t>Petty Cash - PKU</t>
  </si>
  <si>
    <t>1-1107</t>
  </si>
  <si>
    <t>Petty Cash - PWKT</t>
  </si>
  <si>
    <t>1-1108</t>
  </si>
  <si>
    <t>Petty Cash - Bangka</t>
  </si>
  <si>
    <t>1-1110</t>
  </si>
  <si>
    <t>Commonwealth - USD</t>
  </si>
  <si>
    <t>1-1111</t>
  </si>
  <si>
    <t>1-1120</t>
  </si>
  <si>
    <t>Commonwealth - AUD</t>
  </si>
  <si>
    <t>1-1121</t>
  </si>
  <si>
    <t>1-1125</t>
  </si>
  <si>
    <t>Commonwealth Oprs - IDR</t>
  </si>
  <si>
    <t>1-1126</t>
  </si>
  <si>
    <t>Commonwealth Escr - IDR</t>
  </si>
  <si>
    <t>1-1200</t>
  </si>
  <si>
    <t>BCA - IDR</t>
  </si>
  <si>
    <t>1-1201</t>
  </si>
  <si>
    <t>BCA - Medan</t>
  </si>
  <si>
    <t>1-1203</t>
  </si>
  <si>
    <t>BCA - Surabaya</t>
  </si>
  <si>
    <t>1-1220</t>
  </si>
  <si>
    <t>BCA - IDR 0607</t>
  </si>
  <si>
    <t>1-1300</t>
  </si>
  <si>
    <t>BII - IDR 0380</t>
  </si>
  <si>
    <t>1-1400</t>
  </si>
  <si>
    <t>BII - IDR2 1070</t>
  </si>
  <si>
    <t>1-1500</t>
  </si>
  <si>
    <t>BII - IDR 2304</t>
  </si>
  <si>
    <t>1-1600</t>
  </si>
  <si>
    <t>BII - USD 6153</t>
  </si>
  <si>
    <t>1-1601</t>
  </si>
  <si>
    <t>1-1700</t>
  </si>
  <si>
    <t>BII - USD 6140</t>
  </si>
  <si>
    <t>1-1701</t>
  </si>
  <si>
    <t>1-1800</t>
  </si>
  <si>
    <t>STDE - USD 0287</t>
  </si>
  <si>
    <t>1-1801</t>
  </si>
  <si>
    <t>1-1810</t>
  </si>
  <si>
    <t>STDO - USD 0325</t>
  </si>
  <si>
    <t>1-1811</t>
  </si>
  <si>
    <t>1-1820</t>
  </si>
  <si>
    <t>STDE - IDR 0376</t>
  </si>
  <si>
    <t>1-1830</t>
  </si>
  <si>
    <t>STDO - IDR 0414</t>
  </si>
  <si>
    <t>1-1840</t>
  </si>
  <si>
    <t>BRIE - IDR 0300</t>
  </si>
  <si>
    <t>1-1850</t>
  </si>
  <si>
    <t>BRIO - IDR 8309</t>
  </si>
  <si>
    <t>1-1860</t>
  </si>
  <si>
    <t>PRTE - USD</t>
  </si>
  <si>
    <t>1-1861</t>
  </si>
  <si>
    <t>1-1870</t>
  </si>
  <si>
    <t>PRTO - USD</t>
  </si>
  <si>
    <t>1-1871</t>
  </si>
  <si>
    <t>1-1880</t>
  </si>
  <si>
    <t>PRTE - IDR</t>
  </si>
  <si>
    <t>1-1890</t>
  </si>
  <si>
    <t>PRTO - IDR</t>
  </si>
  <si>
    <t>1-1891</t>
  </si>
  <si>
    <t>BRIS - IDR 1006777593</t>
  </si>
  <si>
    <t>1-1892</t>
  </si>
  <si>
    <t>CNGE - IDR 2005</t>
  </si>
  <si>
    <t>1-1893</t>
  </si>
  <si>
    <t>CNGO - IDR 1009</t>
  </si>
  <si>
    <t>1-1894</t>
  </si>
  <si>
    <t>Muammalat - IDR</t>
  </si>
  <si>
    <t>1-1895</t>
  </si>
  <si>
    <t>Bank BTN - IDR</t>
  </si>
  <si>
    <t>1-1896</t>
  </si>
  <si>
    <t>Bank Bengkulu - IDR</t>
  </si>
  <si>
    <t>1-1897</t>
  </si>
  <si>
    <t>Bank Bukopin - IDR</t>
  </si>
  <si>
    <t>1-1898</t>
  </si>
  <si>
    <t>BRI Cabang Putri Hijau Medan - IDR</t>
  </si>
  <si>
    <t>1-1900</t>
  </si>
  <si>
    <t>Money in Transfer</t>
  </si>
  <si>
    <t>1-2000</t>
  </si>
  <si>
    <t>Account Receivable</t>
  </si>
  <si>
    <t>1-2010</t>
  </si>
  <si>
    <t>Acct Receivable - IDR</t>
  </si>
  <si>
    <t>1-2020</t>
  </si>
  <si>
    <t>Acct Receivable - USD</t>
  </si>
  <si>
    <t>1-2021</t>
  </si>
  <si>
    <t>1-2030</t>
  </si>
  <si>
    <t>Acct Receivable - AUD</t>
  </si>
  <si>
    <t>1-2031</t>
  </si>
  <si>
    <t>1-2100</t>
  </si>
  <si>
    <t>Acct Receivable - Non Trade</t>
  </si>
  <si>
    <t>1-2200</t>
  </si>
  <si>
    <t>Inter Company Receivable</t>
  </si>
  <si>
    <t>1-2210</t>
  </si>
  <si>
    <t>I/C Receivable to DHD</t>
  </si>
  <si>
    <t>1-2220</t>
  </si>
  <si>
    <t>I/C Receivable to EML</t>
  </si>
  <si>
    <t>1-2230</t>
  </si>
  <si>
    <t>I/C Receivable to HED</t>
  </si>
  <si>
    <t>1-2240</t>
  </si>
  <si>
    <t>I/C Receivable to KHA</t>
  </si>
  <si>
    <t>1-2500</t>
  </si>
  <si>
    <t>Allowance for doubtfull acct</t>
  </si>
  <si>
    <t>1-3000</t>
  </si>
  <si>
    <t>Inventory</t>
  </si>
  <si>
    <t>1-3001</t>
  </si>
  <si>
    <t>Inventory - WHS Jakarta</t>
  </si>
  <si>
    <t>1-3002</t>
  </si>
  <si>
    <t>Inventory - WHS Medan</t>
  </si>
  <si>
    <t>1-3003</t>
  </si>
  <si>
    <t>Inventory - WHS Surabaya</t>
  </si>
  <si>
    <t>1-3004</t>
  </si>
  <si>
    <t>Inventory - WHS Palubaru</t>
  </si>
  <si>
    <t>1-3005</t>
  </si>
  <si>
    <t>Inventory - WHS Malili</t>
  </si>
  <si>
    <t>1-3006</t>
  </si>
  <si>
    <t>Inventory - WHS Siwa</t>
  </si>
  <si>
    <t>1-3007</t>
  </si>
  <si>
    <t>Inventory - WHS Balikpapan</t>
  </si>
  <si>
    <t>1-3008</t>
  </si>
  <si>
    <t>Inventory - WHS Banjarmasin</t>
  </si>
  <si>
    <t>1-3009</t>
  </si>
  <si>
    <t>Inventory - WHS Toli-toli</t>
  </si>
  <si>
    <t>1-3010</t>
  </si>
  <si>
    <t>Inventory - WHS Maumere</t>
  </si>
  <si>
    <t>1-3100</t>
  </si>
  <si>
    <t>Inventory - Supplies</t>
  </si>
  <si>
    <t>1-4000</t>
  </si>
  <si>
    <t>Other Current Assets</t>
  </si>
  <si>
    <t>1-4100</t>
  </si>
  <si>
    <t>Paid in Advance</t>
  </si>
  <si>
    <t>1-4110</t>
  </si>
  <si>
    <t>Advance</t>
  </si>
  <si>
    <t>1-4200</t>
  </si>
  <si>
    <t>Advanced for Operational</t>
  </si>
  <si>
    <t>1-4300</t>
  </si>
  <si>
    <t>Suspense</t>
  </si>
  <si>
    <t>1-4400</t>
  </si>
  <si>
    <t>GST - Input Tax</t>
  </si>
  <si>
    <t>1-4500</t>
  </si>
  <si>
    <t>Security Deposit</t>
  </si>
  <si>
    <t>1-4600</t>
  </si>
  <si>
    <t>Other Prepayment</t>
  </si>
  <si>
    <t>1-4700</t>
  </si>
  <si>
    <t>Prepaid Tax</t>
  </si>
  <si>
    <t>1-4701</t>
  </si>
  <si>
    <t>Deferred Tax Asset</t>
  </si>
  <si>
    <t>1-4710</t>
  </si>
  <si>
    <t>1-4715</t>
  </si>
  <si>
    <t>Prepaid Tax 21</t>
  </si>
  <si>
    <t>1-4716</t>
  </si>
  <si>
    <t>Prepaid Tax 22</t>
  </si>
  <si>
    <t>1-4717</t>
  </si>
  <si>
    <t>Prepaid Tax 23</t>
  </si>
  <si>
    <t>1-4718</t>
  </si>
  <si>
    <t>Prepaid Tax 25</t>
  </si>
  <si>
    <t>1-4800</t>
  </si>
  <si>
    <t>Unbilled Receivable</t>
  </si>
  <si>
    <t>1-4900</t>
  </si>
  <si>
    <t>Work in Progress</t>
  </si>
  <si>
    <t>1-5000</t>
  </si>
  <si>
    <t>Long Term Assets</t>
  </si>
  <si>
    <t>1-5101</t>
  </si>
  <si>
    <t>Investasi Saham DHD</t>
  </si>
  <si>
    <t>1-5102</t>
  </si>
  <si>
    <t>Investasi Saham KHA</t>
  </si>
  <si>
    <t>1-6000</t>
  </si>
  <si>
    <t>Fixed Assets</t>
  </si>
  <si>
    <t>1-6100</t>
  </si>
  <si>
    <t>Building - Improvement</t>
  </si>
  <si>
    <t>1-6110</t>
  </si>
  <si>
    <t>Building - Office</t>
  </si>
  <si>
    <t>1-6200</t>
  </si>
  <si>
    <t>Info Tech Equipment</t>
  </si>
  <si>
    <t>1-6300</t>
  </si>
  <si>
    <t>Office Machine &amp; Equipment</t>
  </si>
  <si>
    <t>1-6400</t>
  </si>
  <si>
    <t>Sundry Plant &amp; Equipment</t>
  </si>
  <si>
    <t>1-6500</t>
  </si>
  <si>
    <t>Test Equipment</t>
  </si>
  <si>
    <t>1-6600</t>
  </si>
  <si>
    <t>Motor Vehicle</t>
  </si>
  <si>
    <t>1-6700</t>
  </si>
  <si>
    <t>Tools</t>
  </si>
  <si>
    <t>1-6800</t>
  </si>
  <si>
    <t>Furniture Fitting</t>
  </si>
  <si>
    <t>1-6900</t>
  </si>
  <si>
    <t>Mobile Phone</t>
  </si>
  <si>
    <t>1-7000</t>
  </si>
  <si>
    <t>Accum Depreciation</t>
  </si>
  <si>
    <t>1-7100</t>
  </si>
  <si>
    <t>Accum Depr Building Improvement</t>
  </si>
  <si>
    <t>1-7110</t>
  </si>
  <si>
    <t>Accum Depr Building Office</t>
  </si>
  <si>
    <t>1-7200</t>
  </si>
  <si>
    <t>Accum Depr Info Tech Equipt</t>
  </si>
  <si>
    <t>1-7300</t>
  </si>
  <si>
    <t>Accum Depr Office Mach &amp; Equip</t>
  </si>
  <si>
    <t>1-7400</t>
  </si>
  <si>
    <t>Accum Depr Sundry Palnt &amp; Eq.</t>
  </si>
  <si>
    <t>1-7500</t>
  </si>
  <si>
    <t>Accum Depr Test Equipment</t>
  </si>
  <si>
    <t>1-7600</t>
  </si>
  <si>
    <t>Accum Depr Motor Vehicle</t>
  </si>
  <si>
    <t>1-7700</t>
  </si>
  <si>
    <t>Accum Depr Tools</t>
  </si>
  <si>
    <t>1-7800</t>
  </si>
  <si>
    <t>Accum Depr Furniture Fitting</t>
  </si>
  <si>
    <t>1-7900</t>
  </si>
  <si>
    <t>Accum Depr Mobile Phone</t>
  </si>
  <si>
    <t>1-8000</t>
  </si>
  <si>
    <t>Other Assets</t>
  </si>
  <si>
    <t>1-8100</t>
  </si>
  <si>
    <t>Pre Opr Costproject - Material</t>
  </si>
  <si>
    <t>1-8200</t>
  </si>
  <si>
    <t>Pre Opr Costproject-Labor Cost</t>
  </si>
  <si>
    <t>1-8300</t>
  </si>
  <si>
    <t>Pre Opr Costproject - Overhead</t>
  </si>
  <si>
    <t>1-9000</t>
  </si>
  <si>
    <t>Other Asset</t>
  </si>
  <si>
    <t>2-PASV</t>
  </si>
  <si>
    <t>PASIVA</t>
  </si>
  <si>
    <t>2-0000</t>
  </si>
  <si>
    <t>Liabilities</t>
  </si>
  <si>
    <t>2-1000</t>
  </si>
  <si>
    <t>Current Liabilities</t>
  </si>
  <si>
    <t>2-1100</t>
  </si>
  <si>
    <t>Accounts Payable</t>
  </si>
  <si>
    <t>2-1110</t>
  </si>
  <si>
    <t>Accounts Payable - IDR</t>
  </si>
  <si>
    <t>2-1120</t>
  </si>
  <si>
    <t>Accounts Payable - USD</t>
  </si>
  <si>
    <t>2-1121</t>
  </si>
  <si>
    <t>2-1130</t>
  </si>
  <si>
    <t>Accounts Payable - AUD</t>
  </si>
  <si>
    <t>2-1131</t>
  </si>
  <si>
    <t>2-1200</t>
  </si>
  <si>
    <t>Accounts Payable - BM</t>
  </si>
  <si>
    <t>2-1300</t>
  </si>
  <si>
    <t>Accrued Expenses</t>
  </si>
  <si>
    <t>2-1301</t>
  </si>
  <si>
    <t>Accrued Inventory</t>
  </si>
  <si>
    <t>2-1310</t>
  </si>
  <si>
    <t>Month end CFS Accrual</t>
  </si>
  <si>
    <t>2-1400</t>
  </si>
  <si>
    <t>Unearned Revenue</t>
  </si>
  <si>
    <t>2-2100</t>
  </si>
  <si>
    <t>Witholding Tax</t>
  </si>
  <si>
    <t>2-3100</t>
  </si>
  <si>
    <t>GST - Output Tax</t>
  </si>
  <si>
    <t>2-3300</t>
  </si>
  <si>
    <t>Defferred Tax Liability</t>
  </si>
  <si>
    <t>2-3500</t>
  </si>
  <si>
    <t>Provision for Tax</t>
  </si>
  <si>
    <t>2-3510</t>
  </si>
  <si>
    <t>Provision Tax 21</t>
  </si>
  <si>
    <t>2-3520</t>
  </si>
  <si>
    <t>Provision Tax 22</t>
  </si>
  <si>
    <t>2-3530</t>
  </si>
  <si>
    <t>Provision Tax 23</t>
  </si>
  <si>
    <t>2-3540</t>
  </si>
  <si>
    <t>Provision Tax 25</t>
  </si>
  <si>
    <t>2-3600</t>
  </si>
  <si>
    <t>Tax Paid Current Year</t>
  </si>
  <si>
    <t>2-3700</t>
  </si>
  <si>
    <t>Provision for Tax Current Year</t>
  </si>
  <si>
    <t>2-4100</t>
  </si>
  <si>
    <t>Provision for Bonus THR</t>
  </si>
  <si>
    <t>2-5000</t>
  </si>
  <si>
    <t>Long Term Liabilities</t>
  </si>
  <si>
    <t>2-5100</t>
  </si>
  <si>
    <t>Account Payable - Non Current</t>
  </si>
  <si>
    <t>2-5110</t>
  </si>
  <si>
    <t>I/C Payable PT KHA</t>
  </si>
  <si>
    <t>2-5120</t>
  </si>
  <si>
    <t>I/C Payable to PT. DHD</t>
  </si>
  <si>
    <t>2-5200</t>
  </si>
  <si>
    <t>Bank Loan</t>
  </si>
  <si>
    <t>2-5300</t>
  </si>
  <si>
    <t>Downer Loan</t>
  </si>
  <si>
    <t>2-5400</t>
  </si>
  <si>
    <t>Internal Loan</t>
  </si>
  <si>
    <t>2-5500</t>
  </si>
  <si>
    <t>Other Loan</t>
  </si>
  <si>
    <t>2-6100</t>
  </si>
  <si>
    <t>Employee Provision</t>
  </si>
  <si>
    <t>2-8100</t>
  </si>
  <si>
    <t>Deferred Tax Liabilities</t>
  </si>
  <si>
    <t>3-0000</t>
  </si>
  <si>
    <t>Equity</t>
  </si>
  <si>
    <t>3-1000</t>
  </si>
  <si>
    <t>Share Capital</t>
  </si>
  <si>
    <t>3-2000</t>
  </si>
  <si>
    <t>R/E Profits/Losses Prev Year</t>
  </si>
  <si>
    <t>3-3000</t>
  </si>
  <si>
    <t>Current Year Earnings</t>
  </si>
  <si>
    <t>4-1EAT</t>
  </si>
  <si>
    <t>Earnings After Tax (EAT)</t>
  </si>
  <si>
    <t>4-2EBT</t>
  </si>
  <si>
    <t>Earnings Before Tax (EBT)</t>
  </si>
  <si>
    <t>4-3OPF</t>
  </si>
  <si>
    <t>Operating Profit</t>
  </si>
  <si>
    <t>4-4GPF</t>
  </si>
  <si>
    <t>Gross Profit</t>
  </si>
  <si>
    <t>4-0000</t>
  </si>
  <si>
    <t>Revenue</t>
  </si>
  <si>
    <t>4-1000</t>
  </si>
  <si>
    <t>Completed Project</t>
  </si>
  <si>
    <t>4-2000</t>
  </si>
  <si>
    <t>Construction Project</t>
  </si>
  <si>
    <t>4-3000</t>
  </si>
  <si>
    <t>WIP Adjustment</t>
  </si>
  <si>
    <t>4-3005</t>
  </si>
  <si>
    <t>Under/Overclaim Adjustment</t>
  </si>
  <si>
    <t>4-7000</t>
  </si>
  <si>
    <t>Discount</t>
  </si>
  <si>
    <t>4-8000</t>
  </si>
  <si>
    <t>Commision</t>
  </si>
  <si>
    <t>5-0000</t>
  </si>
  <si>
    <t>Cost of Sales</t>
  </si>
  <si>
    <t>5-0100</t>
  </si>
  <si>
    <t>Cost in Progress</t>
  </si>
  <si>
    <t>5-0150</t>
  </si>
  <si>
    <t>Manual Accrual</t>
  </si>
  <si>
    <t>5-1000</t>
  </si>
  <si>
    <t>Cost of Material</t>
  </si>
  <si>
    <t>5-1010</t>
  </si>
  <si>
    <t>Opening Balance - Material</t>
  </si>
  <si>
    <t>5-1020</t>
  </si>
  <si>
    <t>Opening Balance - Supplies</t>
  </si>
  <si>
    <t>5-1030</t>
  </si>
  <si>
    <t>Purchase - Material</t>
  </si>
  <si>
    <t>5-1040</t>
  </si>
  <si>
    <t>Purchase - Supplies</t>
  </si>
  <si>
    <t>5-1050</t>
  </si>
  <si>
    <t>Ending Balance - Material</t>
  </si>
  <si>
    <t>5-1060</t>
  </si>
  <si>
    <t>Ending Balance - Supplies</t>
  </si>
  <si>
    <t>5-1070</t>
  </si>
  <si>
    <t>Material Used</t>
  </si>
  <si>
    <t>5-1080</t>
  </si>
  <si>
    <t>Supplies Used</t>
  </si>
  <si>
    <t>5-1100</t>
  </si>
  <si>
    <t>Material Other</t>
  </si>
  <si>
    <t>5-1110</t>
  </si>
  <si>
    <t>IT Hardware Purchase</t>
  </si>
  <si>
    <t>5-2000</t>
  </si>
  <si>
    <t>Salary Expenses</t>
  </si>
  <si>
    <t>5-2005</t>
  </si>
  <si>
    <t>Salary Daily Worker</t>
  </si>
  <si>
    <t>5-2010</t>
  </si>
  <si>
    <t>Salary Direct</t>
  </si>
  <si>
    <t>5-2020</t>
  </si>
  <si>
    <t>Salary Indirect</t>
  </si>
  <si>
    <t>5-2110</t>
  </si>
  <si>
    <t>Overtime Direct</t>
  </si>
  <si>
    <t>5-2120</t>
  </si>
  <si>
    <t>Overtime Indirect</t>
  </si>
  <si>
    <t>5-2210</t>
  </si>
  <si>
    <t>Jamsostek Direct</t>
  </si>
  <si>
    <t>5-2220</t>
  </si>
  <si>
    <t>Jamsostek Indirect</t>
  </si>
  <si>
    <t>5-2310</t>
  </si>
  <si>
    <t>Bonus,THR-Direct</t>
  </si>
  <si>
    <t>5-2315</t>
  </si>
  <si>
    <t>Performance Bonus-Direct</t>
  </si>
  <si>
    <t>5-2320</t>
  </si>
  <si>
    <t>Bonus,THR-Indirect</t>
  </si>
  <si>
    <t>5-2325</t>
  </si>
  <si>
    <t>Performance Bonus-Indirect</t>
  </si>
  <si>
    <t>5-2410</t>
  </si>
  <si>
    <t>Personal Income Tax-Direct</t>
  </si>
  <si>
    <t>5-2420</t>
  </si>
  <si>
    <t>Personal Income Tax-Indirect</t>
  </si>
  <si>
    <t>5-2510</t>
  </si>
  <si>
    <t>Uniform,Protect Clothe-Direct</t>
  </si>
  <si>
    <t>5-2520</t>
  </si>
  <si>
    <t>Uniform,Protect Cloth-Indirect</t>
  </si>
  <si>
    <t>5-2600</t>
  </si>
  <si>
    <t>Business Trip Allowance</t>
  </si>
  <si>
    <t>5-2700</t>
  </si>
  <si>
    <t>Meal</t>
  </si>
  <si>
    <t>5-2800</t>
  </si>
  <si>
    <t>Severance Pay - Project</t>
  </si>
  <si>
    <t>5-2900</t>
  </si>
  <si>
    <t>Sub Contractor</t>
  </si>
  <si>
    <t>5-3000</t>
  </si>
  <si>
    <t>Overhead Expenses</t>
  </si>
  <si>
    <t>5-3010</t>
  </si>
  <si>
    <t>Consumables</t>
  </si>
  <si>
    <t>5-3020</t>
  </si>
  <si>
    <t>Spare Parts</t>
  </si>
  <si>
    <t>5-3030</t>
  </si>
  <si>
    <t>5-3040</t>
  </si>
  <si>
    <t>Utilities</t>
  </si>
  <si>
    <t>5-3110</t>
  </si>
  <si>
    <t>Stationery &amp; Printing</t>
  </si>
  <si>
    <t>5-3120</t>
  </si>
  <si>
    <t>Postage &amp; Courier Service</t>
  </si>
  <si>
    <t>5-3210</t>
  </si>
  <si>
    <t>Telephone Expenses</t>
  </si>
  <si>
    <t>5-3220</t>
  </si>
  <si>
    <t>5-3300</t>
  </si>
  <si>
    <t>Insurance Expenses</t>
  </si>
  <si>
    <t>5-3410</t>
  </si>
  <si>
    <t>Property Rental/Lease</t>
  </si>
  <si>
    <t>5-3420</t>
  </si>
  <si>
    <t>Hire of Other Plant &amp; Equipt</t>
  </si>
  <si>
    <t>5-3430</t>
  </si>
  <si>
    <t>Property Repair &amp; Maintenance</t>
  </si>
  <si>
    <t>5-3440</t>
  </si>
  <si>
    <t>IT Expenses</t>
  </si>
  <si>
    <t>5-3510</t>
  </si>
  <si>
    <t>Hire of Motor Vehicle</t>
  </si>
  <si>
    <t>5-3520</t>
  </si>
  <si>
    <t>MV-Fuel &amp; Oil</t>
  </si>
  <si>
    <t>5-3530</t>
  </si>
  <si>
    <t>MV-Repair &amp; Maintenance</t>
  </si>
  <si>
    <t>5-3540</t>
  </si>
  <si>
    <t>MV-Tyres, Tubes</t>
  </si>
  <si>
    <t>5-3550</t>
  </si>
  <si>
    <t>MV-Spare Parts</t>
  </si>
  <si>
    <t>5-3560</t>
  </si>
  <si>
    <t>MV-Accessories</t>
  </si>
  <si>
    <t>5-3570</t>
  </si>
  <si>
    <t>MV Other</t>
  </si>
  <si>
    <t>5-3610</t>
  </si>
  <si>
    <t>Local Transport</t>
  </si>
  <si>
    <t>5-3620</t>
  </si>
  <si>
    <t>Business Travelling</t>
  </si>
  <si>
    <t>5-3630</t>
  </si>
  <si>
    <t>Travel &amp; Fares</t>
  </si>
  <si>
    <t>5-3640</t>
  </si>
  <si>
    <t>Freight Expenses</t>
  </si>
  <si>
    <t>5-3650</t>
  </si>
  <si>
    <t>Custom Clearance</t>
  </si>
  <si>
    <t>5-3710</t>
  </si>
  <si>
    <t>Infrastructure</t>
  </si>
  <si>
    <t>5-3720</t>
  </si>
  <si>
    <t>Tender Cost</t>
  </si>
  <si>
    <t>5-3730</t>
  </si>
  <si>
    <t>Sitac Expenses</t>
  </si>
  <si>
    <t>5-3740</t>
  </si>
  <si>
    <t>Loss, Damage &amp; Pinalty</t>
  </si>
  <si>
    <t>5-3750</t>
  </si>
  <si>
    <t>Supervision Expenses</t>
  </si>
  <si>
    <t>5-3760</t>
  </si>
  <si>
    <t>Power Supply</t>
  </si>
  <si>
    <t>5-3770</t>
  </si>
  <si>
    <t>Civil  Work</t>
  </si>
  <si>
    <t>5-3780</t>
  </si>
  <si>
    <t>Moblilization &amp; demobilization</t>
  </si>
  <si>
    <t>5-4100</t>
  </si>
  <si>
    <t>Entertainment-Deductable</t>
  </si>
  <si>
    <t>5-4200</t>
  </si>
  <si>
    <t>Entertainment-Undeductable</t>
  </si>
  <si>
    <t>5-4300</t>
  </si>
  <si>
    <t>Non Meal Entertaint-Ded.</t>
  </si>
  <si>
    <t>5-4400</t>
  </si>
  <si>
    <t>Non Meal Entertaint-Unded.</t>
  </si>
  <si>
    <t>5-4500</t>
  </si>
  <si>
    <t>Donation</t>
  </si>
  <si>
    <t>5-5100</t>
  </si>
  <si>
    <t>Depre - Building Improvement</t>
  </si>
  <si>
    <t>5-5200</t>
  </si>
  <si>
    <t>Depre - IT Equipment</t>
  </si>
  <si>
    <t>5-5300</t>
  </si>
  <si>
    <t>Depre - Office Machine &amp; Equip</t>
  </si>
  <si>
    <t>5-5400</t>
  </si>
  <si>
    <t>Depre - Sundry Plant &amp; Equipt</t>
  </si>
  <si>
    <t>5-5500</t>
  </si>
  <si>
    <t>Depre - Test Equipment</t>
  </si>
  <si>
    <t>5-5600</t>
  </si>
  <si>
    <t>Depre - Motor Vehicle</t>
  </si>
  <si>
    <t>5-5700</t>
  </si>
  <si>
    <t>Depre - Tools</t>
  </si>
  <si>
    <t>5-5800</t>
  </si>
  <si>
    <t>Depre - Furniture Fitting</t>
  </si>
  <si>
    <t>5-5900</t>
  </si>
  <si>
    <t>Depre - Mobile Phone</t>
  </si>
  <si>
    <t>5-5950</t>
  </si>
  <si>
    <t>Customer Claims</t>
  </si>
  <si>
    <t>5-9000</t>
  </si>
  <si>
    <t>Other Overhead</t>
  </si>
  <si>
    <t>6-0000</t>
  </si>
  <si>
    <t>General &amp; Adm Expenses</t>
  </si>
  <si>
    <t>6-1010</t>
  </si>
  <si>
    <t>Salary</t>
  </si>
  <si>
    <t>6-1020</t>
  </si>
  <si>
    <t>Overtime</t>
  </si>
  <si>
    <t>6-1030</t>
  </si>
  <si>
    <t>Bonus, THR</t>
  </si>
  <si>
    <t>6-1035</t>
  </si>
  <si>
    <t>Performance Bonus</t>
  </si>
  <si>
    <t>6-1040</t>
  </si>
  <si>
    <t>Jamsostek</t>
  </si>
  <si>
    <t>6-1050</t>
  </si>
  <si>
    <t>Personal Income Tax</t>
  </si>
  <si>
    <t>6-1055</t>
  </si>
  <si>
    <t>Post Employee benefit Expense</t>
  </si>
  <si>
    <t>6-1060</t>
  </si>
  <si>
    <t>Medical Expense</t>
  </si>
  <si>
    <t>6-1065</t>
  </si>
  <si>
    <t>Accrual for Operation Staff</t>
  </si>
  <si>
    <t>6-1070</t>
  </si>
  <si>
    <t>Meal Allowance</t>
  </si>
  <si>
    <t>6-1080</t>
  </si>
  <si>
    <t>Staff Welfare</t>
  </si>
  <si>
    <t>6-1085</t>
  </si>
  <si>
    <t>Housing Allowance</t>
  </si>
  <si>
    <t>6-1090</t>
  </si>
  <si>
    <t>Uniform</t>
  </si>
  <si>
    <t>6-1100</t>
  </si>
  <si>
    <t>Recruitment expense</t>
  </si>
  <si>
    <t>6-1110</t>
  </si>
  <si>
    <t>Seminar, Confrences, Meeting</t>
  </si>
  <si>
    <t>6-1120</t>
  </si>
  <si>
    <t>Skill Development Expense</t>
  </si>
  <si>
    <t>6-1130</t>
  </si>
  <si>
    <t>Severance Pay - Admin</t>
  </si>
  <si>
    <t>6-1150</t>
  </si>
  <si>
    <t>6-1200</t>
  </si>
  <si>
    <t>Stamp Duty</t>
  </si>
  <si>
    <t>6-1300</t>
  </si>
  <si>
    <t>Postage &amp; Courier</t>
  </si>
  <si>
    <t>6-1900</t>
  </si>
  <si>
    <t>Other Admin Expenses</t>
  </si>
  <si>
    <t>6-2100</t>
  </si>
  <si>
    <t>Office Supplies</t>
  </si>
  <si>
    <t>6-2200</t>
  </si>
  <si>
    <t>Office Equipment &lt; $500</t>
  </si>
  <si>
    <t>6-2300</t>
  </si>
  <si>
    <t>Furniture &amp; Fitting &lt; $500</t>
  </si>
  <si>
    <t>6-2400</t>
  </si>
  <si>
    <t>Light &amp; Power Equipment</t>
  </si>
  <si>
    <t>6-2500</t>
  </si>
  <si>
    <t>6-3100</t>
  </si>
  <si>
    <t>Telephone, Telex, Fax</t>
  </si>
  <si>
    <t>6-3110</t>
  </si>
  <si>
    <t>Telephone - Sales</t>
  </si>
  <si>
    <t>6-3200</t>
  </si>
  <si>
    <t>Mobile Phones &lt; $500</t>
  </si>
  <si>
    <t>6-3300</t>
  </si>
  <si>
    <t>6-4100</t>
  </si>
  <si>
    <t>Local Transportation</t>
  </si>
  <si>
    <t>6-4200</t>
  </si>
  <si>
    <t>6-4300</t>
  </si>
  <si>
    <t>6-4310</t>
  </si>
  <si>
    <t>MV - Fuel &amp; Oil</t>
  </si>
  <si>
    <t>6-4320</t>
  </si>
  <si>
    <t>MV - Repair &amp; Maintenance</t>
  </si>
  <si>
    <t>6-4330</t>
  </si>
  <si>
    <t>MV - Tyres, Tubes</t>
  </si>
  <si>
    <t>6-4340</t>
  </si>
  <si>
    <t>MV - Spare Parts</t>
  </si>
  <si>
    <t>6-4350</t>
  </si>
  <si>
    <t>MV - Accessories</t>
  </si>
  <si>
    <t>6-4360</t>
  </si>
  <si>
    <t>MV - Other</t>
  </si>
  <si>
    <t>6-4400</t>
  </si>
  <si>
    <t>6-4450</t>
  </si>
  <si>
    <t>Travel&amp;Fares - Sales</t>
  </si>
  <si>
    <t>6-5100</t>
  </si>
  <si>
    <t>6-5200</t>
  </si>
  <si>
    <t>6-5300</t>
  </si>
  <si>
    <t>6-6100</t>
  </si>
  <si>
    <t>6-6200</t>
  </si>
  <si>
    <t>6-6300</t>
  </si>
  <si>
    <t>Non Meal Entertainment-Ded.</t>
  </si>
  <si>
    <t>6-6400</t>
  </si>
  <si>
    <t>6-6500</t>
  </si>
  <si>
    <t>Marketing Expense</t>
  </si>
  <si>
    <t>6-6600</t>
  </si>
  <si>
    <t>Sales Call Expense</t>
  </si>
  <si>
    <t>6-7100</t>
  </si>
  <si>
    <t>Profesional Fee</t>
  </si>
  <si>
    <t>6-7200</t>
  </si>
  <si>
    <t>Legal Fee</t>
  </si>
  <si>
    <t>6-7300</t>
  </si>
  <si>
    <t>Audit Fee</t>
  </si>
  <si>
    <t>6-7600</t>
  </si>
  <si>
    <t>Advertising &amp; Promotion</t>
  </si>
  <si>
    <t>6-7700</t>
  </si>
  <si>
    <t>Bad debt expense</t>
  </si>
  <si>
    <t>6-7800</t>
  </si>
  <si>
    <t>Project Costs (closed CFS)</t>
  </si>
  <si>
    <t>6-8100</t>
  </si>
  <si>
    <t>6-8110</t>
  </si>
  <si>
    <t>Depre - Building Office</t>
  </si>
  <si>
    <t>6-8200</t>
  </si>
  <si>
    <t>Depre -  IT-Equipment</t>
  </si>
  <si>
    <t>6-8300</t>
  </si>
  <si>
    <t>6-8400</t>
  </si>
  <si>
    <t>Depre - Sundry Plant &amp; Equip</t>
  </si>
  <si>
    <t>6-8500</t>
  </si>
  <si>
    <t>6-8600</t>
  </si>
  <si>
    <t>6-8700</t>
  </si>
  <si>
    <t>6-8800</t>
  </si>
  <si>
    <t>6-8900</t>
  </si>
  <si>
    <t>6-9900</t>
  </si>
  <si>
    <t>6-9901</t>
  </si>
  <si>
    <t>Bank Charge (Excl. Interest)</t>
  </si>
  <si>
    <t>8-0000</t>
  </si>
  <si>
    <t>Other Income/Expense</t>
  </si>
  <si>
    <t>8-1010</t>
  </si>
  <si>
    <t>Interest Received - Current Ac</t>
  </si>
  <si>
    <t>8-1020</t>
  </si>
  <si>
    <t>Interest Received - Bank</t>
  </si>
  <si>
    <t>8-1090</t>
  </si>
  <si>
    <t>Interest Received - Other</t>
  </si>
  <si>
    <t>8-1091</t>
  </si>
  <si>
    <t>Interest income promesory Note</t>
  </si>
  <si>
    <t>8-1110</t>
  </si>
  <si>
    <t>Gain (Loss) Disposal of FA</t>
  </si>
  <si>
    <t>8-1210</t>
  </si>
  <si>
    <t>Gain (Loss) Exchange Rate Diff</t>
  </si>
  <si>
    <t>8-1220</t>
  </si>
  <si>
    <t>Gain/Loss)Diff Exc Rate Downer</t>
  </si>
  <si>
    <t>8-1910</t>
  </si>
  <si>
    <t>Other Revenue</t>
  </si>
  <si>
    <t>8-1911</t>
  </si>
  <si>
    <t>Income(loss) Subsidiary DHD</t>
  </si>
  <si>
    <t>8-1912</t>
  </si>
  <si>
    <t>Income(Loss) subsidiary KHA</t>
  </si>
  <si>
    <t>8-1920</t>
  </si>
  <si>
    <t>Other Expense</t>
  </si>
  <si>
    <t>8-2200</t>
  </si>
  <si>
    <t>Interest Expenses</t>
  </si>
  <si>
    <t>8-2300</t>
  </si>
  <si>
    <t>Interest Expense Downer</t>
  </si>
  <si>
    <t>8-2400</t>
  </si>
  <si>
    <t>Interest Expense Redi</t>
  </si>
  <si>
    <t>8-3100</t>
  </si>
  <si>
    <t>Late Charges for Downer</t>
  </si>
  <si>
    <t>8-3200</t>
  </si>
  <si>
    <t>Late Charges for Redi</t>
  </si>
  <si>
    <t>8-9100</t>
  </si>
  <si>
    <t>Other Expenses - Other</t>
  </si>
  <si>
    <t>9-0000</t>
  </si>
  <si>
    <t>Tax Income/Expense</t>
  </si>
  <si>
    <t>9-9100</t>
  </si>
  <si>
    <t>Income Tax Expenses</t>
  </si>
  <si>
    <t>9-9200</t>
  </si>
  <si>
    <t>Fiscal</t>
  </si>
  <si>
    <t>9-9300</t>
  </si>
  <si>
    <t>Deferred Tax Expense/Income</t>
  </si>
  <si>
    <t>9-9400</t>
  </si>
  <si>
    <t>Tax  Dues</t>
  </si>
  <si>
    <t>3-9999</t>
  </si>
  <si>
    <t>Historical Balancing</t>
  </si>
  <si>
    <t>SQL String : 
SELECT
  "Level",
  "Code",
  "Name"
FROM
   "SchAccounting"."TblChartOfAccount"
ORDER BY "Code"</t>
  </si>
  <si>
    <t>SELECT * FROM "SchSystem"."FuncSys_General_SetEmptyTableAndResetSequence"('SchAccounting', 'TblChartOfAccount');</t>
  </si>
  <si>
    <t>COA Uplink</t>
  </si>
  <si>
    <t>Enitities</t>
  </si>
  <si>
    <t>Bank</t>
  </si>
  <si>
    <t>Company's Bank Account (IDR)</t>
  </si>
  <si>
    <t>Bank - IDR</t>
  </si>
  <si>
    <t>Company's Bank Account (USD)</t>
  </si>
  <si>
    <t>Bank - USD</t>
  </si>
  <si>
    <t>Company's Supplier</t>
  </si>
  <si>
    <t>Bank IDR</t>
  </si>
  <si>
    <t>Bank USD</t>
  </si>
  <si>
    <t>BCA 001</t>
  </si>
  <si>
    <t>BCA 002</t>
  </si>
  <si>
    <t>BNI 003</t>
  </si>
  <si>
    <t>Bank AUD</t>
  </si>
  <si>
    <t>BCA 005</t>
  </si>
  <si>
    <t>BRI 001</t>
  </si>
  <si>
    <t>BRI 002</t>
  </si>
  <si>
    <t>Kas Bank</t>
  </si>
  <si>
    <t>AP</t>
  </si>
  <si>
    <t>AP IDR</t>
  </si>
  <si>
    <t>AP USD</t>
  </si>
  <si>
    <t>AR</t>
  </si>
  <si>
    <t>AR IDR</t>
  </si>
  <si>
    <t>AR USD</t>
  </si>
  <si>
    <t>Liabilities IDR</t>
  </si>
  <si>
    <t>Liabilities USD</t>
  </si>
  <si>
    <t>Retur Penjualan</t>
  </si>
  <si>
    <t>Company's Customer</t>
  </si>
  <si>
    <t>Retur Pembelian</t>
  </si>
  <si>
    <t>Petty Cash IDR</t>
  </si>
  <si>
    <t>Company's Employee</t>
  </si>
  <si>
    <t>Penyisihan Piutang Ragu2</t>
  </si>
  <si>
    <t>Dll…</t>
  </si>
  <si>
    <t>Aset</t>
  </si>
  <si>
    <t>Hutang</t>
  </si>
  <si>
    <t>Modal</t>
  </si>
  <si>
    <t>Pendapatan</t>
  </si>
  <si>
    <t>HPP (COGS)</t>
  </si>
  <si>
    <t>Biaya Adm &amp; Umum</t>
  </si>
  <si>
    <t>Pendapatan Lain2</t>
  </si>
  <si>
    <t>8-00.000.000</t>
  </si>
  <si>
    <t>Biaya Lain2</t>
  </si>
  <si>
    <t>Other Current Asset</t>
  </si>
  <si>
    <t>7-0000</t>
  </si>
  <si>
    <t>Aset Tetap</t>
  </si>
  <si>
    <t>Aset Lancar</t>
  </si>
  <si>
    <t>1-1102.01</t>
  </si>
  <si>
    <t>1-1102.02</t>
  </si>
  <si>
    <t>BCA IDR 001</t>
  </si>
  <si>
    <t>1-1102.01.01</t>
  </si>
  <si>
    <t>1-1102.01.02</t>
  </si>
  <si>
    <t>BCA IDR 021</t>
  </si>
  <si>
    <t>1-1102.02.01</t>
  </si>
  <si>
    <t>BRI IDR 341</t>
  </si>
  <si>
    <t>1-1102.01.03</t>
  </si>
  <si>
    <t>MT IDR</t>
  </si>
  <si>
    <t>1-1102.01.99</t>
  </si>
  <si>
    <t>MT USD</t>
  </si>
  <si>
    <t>1-1102.02.99</t>
  </si>
  <si>
    <t>BNI USD 322</t>
  </si>
  <si>
    <t>1-1101.01</t>
  </si>
  <si>
    <t>PettyCash IDR</t>
  </si>
  <si>
    <t>1-1101.01.01</t>
  </si>
  <si>
    <t>Petty Cash IDR Kantor Pusat</t>
  </si>
  <si>
    <t>1-1101.01.02</t>
  </si>
  <si>
    <t>Petty Cash IDR Project ABC</t>
  </si>
  <si>
    <t>1-1101.01.03</t>
  </si>
  <si>
    <t>Petty Cash IDR Project XYZ</t>
  </si>
  <si>
    <t>LEVEL 3</t>
  </si>
  <si>
    <t>LEVEL 4</t>
  </si>
  <si>
    <t>LEVEL 5</t>
  </si>
  <si>
    <t>LEVEL 6</t>
  </si>
  <si>
    <t>Name</t>
  </si>
  <si>
    <t>Piutang Usaha</t>
  </si>
  <si>
    <t>1-1201.01</t>
  </si>
  <si>
    <t>1-1201.02</t>
  </si>
  <si>
    <t>1-1202</t>
  </si>
  <si>
    <t>Cadangan Kerugian Piutang</t>
  </si>
  <si>
    <t>1-1202.01</t>
  </si>
  <si>
    <t>1-1202.02</t>
  </si>
  <si>
    <t>Cadangan Kerugian Piutang IDR</t>
  </si>
  <si>
    <t>Cadangan Kerugian Piutang USD</t>
  </si>
  <si>
    <t>Piutang Non Usaha</t>
  </si>
  <si>
    <t>1-1203.01</t>
  </si>
  <si>
    <t>Piutang Non Usaha IDR</t>
  </si>
  <si>
    <t>1-1204</t>
  </si>
  <si>
    <t>Piutang Antar Perusahaan</t>
  </si>
  <si>
    <t>1-1204.01</t>
  </si>
  <si>
    <t>Piutang Antar Perusahaan - IDR</t>
  </si>
  <si>
    <t>1-1204.01.01</t>
  </si>
  <si>
    <t>Piutang Antar Perusahaan - IDR - IMD</t>
  </si>
  <si>
    <t>Piutang Antar Perusahaan - IDR - EML</t>
  </si>
  <si>
    <t>1-1204.01.02</t>
  </si>
  <si>
    <t>Inventory - IDR</t>
  </si>
  <si>
    <t>1-1301</t>
  </si>
  <si>
    <t>1-1301.01</t>
  </si>
  <si>
    <t>1-1301.01.01</t>
  </si>
  <si>
    <t>Inventory IDR Kantor Pusat</t>
  </si>
  <si>
    <t>Inventory IDR Project ABC</t>
  </si>
  <si>
    <t>1-1301.01.02</t>
  </si>
  <si>
    <t>1-9900</t>
  </si>
  <si>
    <t>Biaya Dibayar Dimuka</t>
  </si>
  <si>
    <t>Pajak Dibayar Dimuka</t>
  </si>
  <si>
    <t>Perlengkapan Kantor</t>
  </si>
  <si>
    <t>Uang Muka</t>
  </si>
  <si>
    <t>1-9901</t>
  </si>
  <si>
    <t>1-9902</t>
  </si>
  <si>
    <t>1-9903</t>
  </si>
  <si>
    <t>1-9904</t>
  </si>
  <si>
    <t>1-9905</t>
  </si>
  <si>
    <t>1-9999</t>
  </si>
  <si>
    <t>1-9901.01</t>
  </si>
  <si>
    <t>1-9902.01</t>
  </si>
  <si>
    <t>1-9903.01</t>
  </si>
  <si>
    <t>1-9999.01</t>
  </si>
  <si>
    <t>Paid in Advance - IDR</t>
  </si>
  <si>
    <t>Suspense - IDR</t>
  </si>
  <si>
    <t>Security Deposit - IDR</t>
  </si>
  <si>
    <t>Other Prepayment - IDR</t>
  </si>
  <si>
    <t>VAT IN</t>
  </si>
  <si>
    <t>1-1501</t>
  </si>
  <si>
    <t>1-1502</t>
  </si>
  <si>
    <t>1-1503</t>
  </si>
  <si>
    <t>1-9904.01</t>
  </si>
  <si>
    <t>1-9905.01</t>
  </si>
  <si>
    <t>Unbilled Receivable - IDR</t>
  </si>
  <si>
    <t>Work in Progress - IDR</t>
  </si>
  <si>
    <t>1-1504</t>
  </si>
  <si>
    <t>1-1501.01</t>
  </si>
  <si>
    <t>1-1502.01</t>
  </si>
  <si>
    <t>1-1503.01</t>
  </si>
  <si>
    <t>1-1504.01</t>
  </si>
  <si>
    <t>VAT IN - IDR</t>
  </si>
  <si>
    <t>Prepaid Tax 22 - IDR</t>
  </si>
  <si>
    <t>Prepaid Tax 23 - IDR</t>
  </si>
  <si>
    <t>Prepaid Tax 25 - IDR</t>
  </si>
  <si>
    <t>Investasi Jangka Panjang</t>
  </si>
  <si>
    <t>Investasi Saham</t>
  </si>
  <si>
    <t>1-2101</t>
  </si>
  <si>
    <t>Investasi Saham IMD</t>
  </si>
  <si>
    <t>Investasi Saham EML</t>
  </si>
  <si>
    <t>1-2101.01</t>
  </si>
  <si>
    <t>1-2102</t>
  </si>
  <si>
    <t>1-2103</t>
  </si>
  <si>
    <t>1-2102.01</t>
  </si>
  <si>
    <t>1-2103.01</t>
  </si>
  <si>
    <t>Investasi Saham IMD - IDR</t>
  </si>
  <si>
    <t>Investasi Saham EML - IDR</t>
  </si>
  <si>
    <t>Investasi Saham DHD - IDR</t>
  </si>
  <si>
    <t>Aktiva Tetap</t>
  </si>
  <si>
    <t>1-3200</t>
  </si>
  <si>
    <t>1-3101</t>
  </si>
  <si>
    <t>1-3102</t>
  </si>
  <si>
    <t>1-3103</t>
  </si>
  <si>
    <t>1-3104</t>
  </si>
  <si>
    <t>1-3105</t>
  </si>
  <si>
    <t>1-3106</t>
  </si>
  <si>
    <t>1-3107</t>
  </si>
  <si>
    <t>1-3108</t>
  </si>
  <si>
    <t>1-3109</t>
  </si>
  <si>
    <t>1-3110</t>
  </si>
  <si>
    <t>Acc Penyusutan</t>
  </si>
  <si>
    <t>1-3201</t>
  </si>
  <si>
    <t>1-3202</t>
  </si>
  <si>
    <t>1-3203</t>
  </si>
  <si>
    <t>1-3204</t>
  </si>
  <si>
    <t>1-3205</t>
  </si>
  <si>
    <t>1-3206</t>
  </si>
  <si>
    <t>1-3207</t>
  </si>
  <si>
    <t>1-3208</t>
  </si>
  <si>
    <t>1-3209</t>
  </si>
  <si>
    <t>1-3210</t>
  </si>
  <si>
    <t>1-3111</t>
  </si>
  <si>
    <t>Land</t>
  </si>
  <si>
    <t>Aktiva Lain2</t>
  </si>
  <si>
    <t>Aktiva Tetap Tidak Berwujud</t>
  </si>
  <si>
    <t>Pre Ops Project</t>
  </si>
  <si>
    <t>1-5100</t>
  </si>
  <si>
    <t>1-5103</t>
  </si>
  <si>
    <t>Hutang lancar</t>
  </si>
  <si>
    <t>Hutang Jangka Panjang</t>
  </si>
  <si>
    <t>2-2000</t>
  </si>
  <si>
    <t>Hutang Dagang</t>
  </si>
  <si>
    <t>Biaya yang ditangguhkan</t>
  </si>
  <si>
    <t>2-3000</t>
  </si>
  <si>
    <t>Hutang Lain2</t>
  </si>
  <si>
    <t>Hutang Pajak</t>
  </si>
  <si>
    <t>2-1302</t>
  </si>
  <si>
    <t>2-1303</t>
  </si>
  <si>
    <t>2-1304</t>
  </si>
  <si>
    <t>2-1305</t>
  </si>
  <si>
    <t>2-1306</t>
  </si>
  <si>
    <t>2-1307</t>
  </si>
  <si>
    <t>2-1308</t>
  </si>
  <si>
    <t>2-1309</t>
  </si>
  <si>
    <t>Witholding Tax 21</t>
  </si>
  <si>
    <t>Witholding Tax 22</t>
  </si>
  <si>
    <t>Witholding Tax 25</t>
  </si>
  <si>
    <t>Witholding Tax 23</t>
  </si>
  <si>
    <t>Witholding Tax 4(2)</t>
  </si>
  <si>
    <t>2-1500</t>
  </si>
  <si>
    <t>2-1100.01</t>
  </si>
  <si>
    <t>2-1100.02</t>
  </si>
  <si>
    <t>Hutang Dagang - IDR</t>
  </si>
  <si>
    <t>Hutang Dagang - USD</t>
  </si>
  <si>
    <t>Hutang Dagang - AUD</t>
  </si>
  <si>
    <t>2-3001</t>
  </si>
  <si>
    <t>2-2001</t>
  </si>
  <si>
    <t>2-1600</t>
  </si>
  <si>
    <t>Hutang Karyawan</t>
  </si>
  <si>
    <t>Hutang Pemegang Saham</t>
  </si>
  <si>
    <t>2-2002</t>
  </si>
  <si>
    <t>2-1700</t>
  </si>
  <si>
    <t>Hutang Antar Perusahaan</t>
  </si>
  <si>
    <t>2-1601</t>
  </si>
  <si>
    <t>Hutang Antar Perusahaan - IMD</t>
  </si>
  <si>
    <t>Hutang Antar Perusahaan - DHD</t>
  </si>
  <si>
    <t>Hutang Antar Perusahaan - EML</t>
  </si>
  <si>
    <t>2-1602</t>
  </si>
  <si>
    <t>2-1603</t>
  </si>
  <si>
    <t>2-3003</t>
  </si>
  <si>
    <t>2-3099</t>
  </si>
  <si>
    <t>2-3004</t>
  </si>
  <si>
    <t>4-4000</t>
  </si>
  <si>
    <t>4-5000</t>
  </si>
  <si>
    <t>4-6000</t>
  </si>
  <si>
    <t>Cost of Labor</t>
  </si>
  <si>
    <t>Indirect Cost</t>
  </si>
  <si>
    <t>5-1001</t>
  </si>
  <si>
    <t>5-1002</t>
  </si>
  <si>
    <t>5-1003</t>
  </si>
  <si>
    <t>5-1004</t>
  </si>
  <si>
    <t>5-1005</t>
  </si>
  <si>
    <t>5-1006</t>
  </si>
  <si>
    <t>5-1007</t>
  </si>
  <si>
    <t>5-1008</t>
  </si>
  <si>
    <t>5-1009</t>
  </si>
  <si>
    <t>5-2001</t>
  </si>
  <si>
    <t>5-2002</t>
  </si>
  <si>
    <t>5-2003</t>
  </si>
  <si>
    <t>5-2004</t>
  </si>
  <si>
    <t>5-2006</t>
  </si>
  <si>
    <t>5-2007</t>
  </si>
  <si>
    <t>5-2008</t>
  </si>
  <si>
    <t>5-2009</t>
  </si>
  <si>
    <t>5-2011</t>
  </si>
  <si>
    <t>5-2012</t>
  </si>
  <si>
    <t>5-2013</t>
  </si>
  <si>
    <t>5-2014</t>
  </si>
  <si>
    <t>5-2015</t>
  </si>
  <si>
    <t>5-2016</t>
  </si>
  <si>
    <t>5-2017</t>
  </si>
  <si>
    <t>5-2018</t>
  </si>
  <si>
    <t>5-2019</t>
  </si>
  <si>
    <t>5-3001</t>
  </si>
  <si>
    <t>5-3002</t>
  </si>
  <si>
    <t>5-3003</t>
  </si>
  <si>
    <t>5-3004</t>
  </si>
  <si>
    <t>5-3005</t>
  </si>
  <si>
    <t>5-3006</t>
  </si>
  <si>
    <t>5-3007</t>
  </si>
  <si>
    <t>5-3008</t>
  </si>
  <si>
    <t>5-3009</t>
  </si>
  <si>
    <t>5-3011</t>
  </si>
  <si>
    <t>5-3012</t>
  </si>
  <si>
    <t>5-3013</t>
  </si>
  <si>
    <t>5-3014</t>
  </si>
  <si>
    <t>5-3015</t>
  </si>
  <si>
    <t>5-3016</t>
  </si>
  <si>
    <t>5-3017</t>
  </si>
  <si>
    <t>5-3018</t>
  </si>
  <si>
    <t>5-3019</t>
  </si>
  <si>
    <t>5-3021</t>
  </si>
  <si>
    <t>5-3022</t>
  </si>
  <si>
    <t>5-3023</t>
  </si>
  <si>
    <t>5-3024</t>
  </si>
  <si>
    <t>5-3025</t>
  </si>
  <si>
    <t>5-3026</t>
  </si>
  <si>
    <t>5-3027</t>
  </si>
  <si>
    <t>5-3028</t>
  </si>
  <si>
    <t>5-3029</t>
  </si>
  <si>
    <t>5-3031</t>
  </si>
  <si>
    <t>5-3032</t>
  </si>
  <si>
    <t>5-3033</t>
  </si>
  <si>
    <t>5-3034</t>
  </si>
  <si>
    <t>5-3035</t>
  </si>
  <si>
    <t>5-3036</t>
  </si>
  <si>
    <t>5-3037</t>
  </si>
  <si>
    <t>5-3038</t>
  </si>
  <si>
    <t>5-3039</t>
  </si>
  <si>
    <t>5-3041</t>
  </si>
  <si>
    <t>5-3042</t>
  </si>
  <si>
    <t>5-3043</t>
  </si>
  <si>
    <t>5-3044</t>
  </si>
  <si>
    <t>5-3045</t>
  </si>
  <si>
    <t>5-3046</t>
  </si>
  <si>
    <t>5-3047</t>
  </si>
  <si>
    <t>5-3048</t>
  </si>
  <si>
    <t>5-3049</t>
  </si>
  <si>
    <t>6-0001</t>
  </si>
  <si>
    <t>6-0002</t>
  </si>
  <si>
    <t>6-0003</t>
  </si>
  <si>
    <t>6-0004</t>
  </si>
  <si>
    <t>6-0005</t>
  </si>
  <si>
    <t>6-0006</t>
  </si>
  <si>
    <t>6-0007</t>
  </si>
  <si>
    <t>6-0008</t>
  </si>
  <si>
    <t>6-0009</t>
  </si>
  <si>
    <t>6-0010</t>
  </si>
  <si>
    <t>6-0011</t>
  </si>
  <si>
    <t>6-0012</t>
  </si>
  <si>
    <t>6-0013</t>
  </si>
  <si>
    <t>6-0014</t>
  </si>
  <si>
    <t>6-0015</t>
  </si>
  <si>
    <t>6-0016</t>
  </si>
  <si>
    <t>6-0017</t>
  </si>
  <si>
    <t>6-0018</t>
  </si>
  <si>
    <t>6-0019</t>
  </si>
  <si>
    <t>6-0020</t>
  </si>
  <si>
    <t>6-0021</t>
  </si>
  <si>
    <t>6-0022</t>
  </si>
  <si>
    <t>6-0023</t>
  </si>
  <si>
    <t>6-0024</t>
  </si>
  <si>
    <t>6-0025</t>
  </si>
  <si>
    <t>6-0026</t>
  </si>
  <si>
    <t>6-0027</t>
  </si>
  <si>
    <t>6-0028</t>
  </si>
  <si>
    <t>6-0029</t>
  </si>
  <si>
    <t>6-0030</t>
  </si>
  <si>
    <t>6-0031</t>
  </si>
  <si>
    <t>6-0032</t>
  </si>
  <si>
    <t>6-0033</t>
  </si>
  <si>
    <t>6-0034</t>
  </si>
  <si>
    <t>6-0035</t>
  </si>
  <si>
    <t>6-0036</t>
  </si>
  <si>
    <t>6-0037</t>
  </si>
  <si>
    <t>6-0038</t>
  </si>
  <si>
    <t>6-0039</t>
  </si>
  <si>
    <t>6-0040</t>
  </si>
  <si>
    <t>6-0041</t>
  </si>
  <si>
    <t>6-0042</t>
  </si>
  <si>
    <t>6-0043</t>
  </si>
  <si>
    <t>6-0044</t>
  </si>
  <si>
    <t>6-0045</t>
  </si>
  <si>
    <t>6-0046</t>
  </si>
  <si>
    <t>6-0047</t>
  </si>
  <si>
    <t>6-0048</t>
  </si>
  <si>
    <t>6-0049</t>
  </si>
  <si>
    <t>6-0050</t>
  </si>
  <si>
    <t>6-0051</t>
  </si>
  <si>
    <t>6-0052</t>
  </si>
  <si>
    <t>6-0053</t>
  </si>
  <si>
    <t>6-0054</t>
  </si>
  <si>
    <t>6-0055</t>
  </si>
  <si>
    <t>6-0056</t>
  </si>
  <si>
    <t>6-0057</t>
  </si>
  <si>
    <t>6-0058</t>
  </si>
  <si>
    <t>6-0059</t>
  </si>
  <si>
    <t>6-0060</t>
  </si>
  <si>
    <t>6-0061</t>
  </si>
  <si>
    <t>6-0062</t>
  </si>
  <si>
    <t>6-0063</t>
  </si>
  <si>
    <t>6-0064</t>
  </si>
  <si>
    <t>6-0065</t>
  </si>
  <si>
    <t>6-0066</t>
  </si>
  <si>
    <t>6-0067</t>
  </si>
  <si>
    <t>6-0068</t>
  </si>
  <si>
    <t>7-0100</t>
  </si>
  <si>
    <t>7-0200</t>
  </si>
  <si>
    <t>7-0300</t>
  </si>
  <si>
    <t>7-0400</t>
  </si>
  <si>
    <t>7-0500</t>
  </si>
  <si>
    <t>7-0600</t>
  </si>
  <si>
    <t>7-0700</t>
  </si>
  <si>
    <t>7-0701</t>
  </si>
  <si>
    <t>7-0702</t>
  </si>
  <si>
    <t>Income(loss) Subsidiary IMD</t>
  </si>
  <si>
    <t>Income(loss) Subsidiary EML</t>
  </si>
  <si>
    <t>7-0703</t>
  </si>
  <si>
    <t>Tax Expenses</t>
  </si>
  <si>
    <t>7-0704</t>
  </si>
  <si>
    <t>Income Tax</t>
  </si>
  <si>
    <t>8-0100</t>
  </si>
  <si>
    <t>8-0200</t>
  </si>
  <si>
    <t>Late Charges</t>
  </si>
  <si>
    <t>8-0101</t>
  </si>
  <si>
    <t>8-0102</t>
  </si>
  <si>
    <t>8-0201</t>
  </si>
  <si>
    <t>8-0202</t>
  </si>
  <si>
    <t>8-0300</t>
  </si>
  <si>
    <t>8-0301</t>
  </si>
  <si>
    <t>3-9000</t>
  </si>
  <si>
    <t>1-1203.02</t>
  </si>
  <si>
    <t>1-1204.02</t>
  </si>
  <si>
    <r>
      <rPr>
        <b/>
        <sz val="10"/>
        <color rgb="FFFF0000"/>
        <rFont val="Arial Narrow"/>
        <family val="2"/>
      </rPr>
      <t>a</t>
    </r>
    <r>
      <rPr>
        <b/>
        <sz val="10"/>
        <color theme="1"/>
        <rFont val="Arial Narrow"/>
        <family val="2"/>
      </rPr>
      <t>-bcdd.ee.ff</t>
    </r>
  </si>
  <si>
    <r>
      <t>a-</t>
    </r>
    <r>
      <rPr>
        <b/>
        <sz val="10"/>
        <color rgb="FFFF0000"/>
        <rFont val="Arial Narrow"/>
        <family val="2"/>
      </rPr>
      <t>b</t>
    </r>
    <r>
      <rPr>
        <b/>
        <sz val="10"/>
        <rFont val="Arial Narrow"/>
        <family val="2"/>
      </rPr>
      <t>cdd.ee.ff</t>
    </r>
  </si>
  <si>
    <r>
      <t>a-b</t>
    </r>
    <r>
      <rPr>
        <b/>
        <sz val="10"/>
        <color rgb="FFFF0000"/>
        <rFont val="Arial Narrow"/>
        <family val="2"/>
      </rPr>
      <t>c</t>
    </r>
    <r>
      <rPr>
        <b/>
        <sz val="10"/>
        <rFont val="Arial Narrow"/>
        <family val="2"/>
      </rPr>
      <t>dd.ee.ff</t>
    </r>
  </si>
  <si>
    <r>
      <t>a-bc</t>
    </r>
    <r>
      <rPr>
        <b/>
        <sz val="10"/>
        <color rgb="FFFF0000"/>
        <rFont val="Arial Narrow"/>
        <family val="2"/>
      </rPr>
      <t>dd</t>
    </r>
    <r>
      <rPr>
        <b/>
        <sz val="10"/>
        <rFont val="Arial Narrow"/>
        <family val="2"/>
      </rPr>
      <t>.ee.ff</t>
    </r>
  </si>
  <si>
    <r>
      <t>a-bcdd.</t>
    </r>
    <r>
      <rPr>
        <b/>
        <sz val="10"/>
        <color rgb="FFFF0000"/>
        <rFont val="Arial Narrow"/>
        <family val="2"/>
      </rPr>
      <t>ee</t>
    </r>
    <r>
      <rPr>
        <b/>
        <sz val="10"/>
        <rFont val="Arial Narrow"/>
        <family val="2"/>
      </rPr>
      <t>.ff</t>
    </r>
  </si>
  <si>
    <r>
      <t>a-bcdd.ee.</t>
    </r>
    <r>
      <rPr>
        <b/>
        <sz val="10"/>
        <color rgb="FFFF0000"/>
        <rFont val="Arial Narrow"/>
        <family val="2"/>
      </rPr>
      <t>ff</t>
    </r>
  </si>
  <si>
    <r>
      <rPr>
        <b/>
        <sz val="10"/>
        <color rgb="FFFF0000"/>
        <rFont val="Arial Narrow"/>
        <family val="2"/>
      </rPr>
      <t>1</t>
    </r>
    <r>
      <rPr>
        <b/>
        <sz val="10"/>
        <rFont val="Arial Narrow"/>
        <family val="2"/>
      </rPr>
      <t>-0000</t>
    </r>
  </si>
  <si>
    <r>
      <rPr>
        <b/>
        <sz val="10"/>
        <color rgb="FFFF0000"/>
        <rFont val="Arial Narrow"/>
        <family val="2"/>
      </rPr>
      <t>2</t>
    </r>
    <r>
      <rPr>
        <b/>
        <sz val="10"/>
        <rFont val="Arial Narrow"/>
        <family val="2"/>
      </rPr>
      <t>-0000</t>
    </r>
  </si>
  <si>
    <r>
      <rPr>
        <b/>
        <sz val="10"/>
        <color rgb="FFFF0000"/>
        <rFont val="Arial Narrow"/>
        <family val="2"/>
      </rPr>
      <t>3</t>
    </r>
    <r>
      <rPr>
        <b/>
        <sz val="10"/>
        <rFont val="Arial Narrow"/>
        <family val="2"/>
      </rPr>
      <t>-0000</t>
    </r>
  </si>
  <si>
    <r>
      <rPr>
        <b/>
        <sz val="10"/>
        <color rgb="FFFF0000"/>
        <rFont val="Arial Narrow"/>
        <family val="2"/>
      </rPr>
      <t>4</t>
    </r>
    <r>
      <rPr>
        <b/>
        <sz val="10"/>
        <rFont val="Arial Narrow"/>
        <family val="2"/>
      </rPr>
      <t>-0000</t>
    </r>
  </si>
  <si>
    <r>
      <rPr>
        <b/>
        <sz val="10"/>
        <color rgb="FFFF0000"/>
        <rFont val="Arial Narrow"/>
        <family val="2"/>
      </rPr>
      <t>5</t>
    </r>
    <r>
      <rPr>
        <b/>
        <sz val="10"/>
        <rFont val="Arial Narrow"/>
        <family val="2"/>
      </rPr>
      <t>-0000</t>
    </r>
  </si>
  <si>
    <r>
      <rPr>
        <b/>
        <sz val="10"/>
        <color rgb="FFFF0000"/>
        <rFont val="Arial Narrow"/>
        <family val="2"/>
      </rPr>
      <t>6</t>
    </r>
    <r>
      <rPr>
        <b/>
        <sz val="10"/>
        <rFont val="Arial Narrow"/>
        <family val="2"/>
      </rPr>
      <t>-0000</t>
    </r>
  </si>
  <si>
    <r>
      <rPr>
        <b/>
        <sz val="10"/>
        <color rgb="FFFF0000"/>
        <rFont val="Arial Narrow"/>
        <family val="2"/>
      </rPr>
      <t>7</t>
    </r>
    <r>
      <rPr>
        <b/>
        <sz val="10"/>
        <rFont val="Arial Narrow"/>
        <family val="2"/>
      </rPr>
      <t>-0000</t>
    </r>
  </si>
  <si>
    <r>
      <rPr>
        <b/>
        <sz val="10"/>
        <color rgb="FFFF0000"/>
        <rFont val="Arial Narrow"/>
        <family val="2"/>
      </rPr>
      <t>1-1</t>
    </r>
    <r>
      <rPr>
        <b/>
        <sz val="10"/>
        <rFont val="Arial Narrow"/>
        <family val="2"/>
      </rPr>
      <t>000</t>
    </r>
  </si>
  <si>
    <r>
      <rPr>
        <b/>
        <sz val="10"/>
        <color rgb="FFFF0000"/>
        <rFont val="Arial Narrow"/>
        <family val="2"/>
      </rPr>
      <t>1-2</t>
    </r>
    <r>
      <rPr>
        <b/>
        <sz val="10"/>
        <rFont val="Arial Narrow"/>
        <family val="2"/>
      </rPr>
      <t>000</t>
    </r>
  </si>
  <si>
    <r>
      <rPr>
        <b/>
        <sz val="10"/>
        <color rgb="FFFF0000"/>
        <rFont val="Arial Narrow"/>
        <family val="2"/>
      </rPr>
      <t>1-3</t>
    </r>
    <r>
      <rPr>
        <b/>
        <sz val="10"/>
        <rFont val="Arial Narrow"/>
        <family val="2"/>
      </rPr>
      <t>000</t>
    </r>
  </si>
  <si>
    <r>
      <rPr>
        <b/>
        <sz val="10"/>
        <color rgb="FFFF0000"/>
        <rFont val="Arial Narrow"/>
        <family val="2"/>
      </rPr>
      <t>1-4</t>
    </r>
    <r>
      <rPr>
        <b/>
        <sz val="10"/>
        <rFont val="Arial Narrow"/>
        <family val="2"/>
      </rPr>
      <t>000</t>
    </r>
  </si>
  <si>
    <r>
      <rPr>
        <b/>
        <sz val="10"/>
        <color rgb="FFFF0000"/>
        <rFont val="Arial Narrow"/>
        <family val="2"/>
      </rPr>
      <t>1-5</t>
    </r>
    <r>
      <rPr>
        <b/>
        <sz val="10"/>
        <rFont val="Arial Narrow"/>
        <family val="2"/>
      </rPr>
      <t>000</t>
    </r>
  </si>
  <si>
    <r>
      <rPr>
        <b/>
        <sz val="10"/>
        <color rgb="FFFF0000"/>
        <rFont val="Arial Narrow"/>
        <family val="2"/>
      </rPr>
      <t>2-1</t>
    </r>
    <r>
      <rPr>
        <b/>
        <sz val="10"/>
        <rFont val="Arial Narrow"/>
        <family val="2"/>
      </rPr>
      <t>000</t>
    </r>
  </si>
  <si>
    <r>
      <rPr>
        <b/>
        <sz val="10"/>
        <color rgb="FFFF0000"/>
        <rFont val="Arial Narrow"/>
        <family val="2"/>
      </rPr>
      <t>2-2</t>
    </r>
    <r>
      <rPr>
        <b/>
        <sz val="10"/>
        <rFont val="Arial Narrow"/>
        <family val="2"/>
      </rPr>
      <t>000</t>
    </r>
  </si>
  <si>
    <r>
      <rPr>
        <b/>
        <sz val="10"/>
        <color rgb="FFFF0000"/>
        <rFont val="Arial Narrow"/>
        <family val="2"/>
      </rPr>
      <t>2-3</t>
    </r>
    <r>
      <rPr>
        <b/>
        <sz val="10"/>
        <rFont val="Arial Narrow"/>
        <family val="2"/>
      </rPr>
      <t>000</t>
    </r>
  </si>
  <si>
    <r>
      <rPr>
        <b/>
        <sz val="10"/>
        <color rgb="FFFF0000"/>
        <rFont val="Arial Narrow"/>
        <family val="2"/>
      </rPr>
      <t>3-1</t>
    </r>
    <r>
      <rPr>
        <b/>
        <sz val="10"/>
        <rFont val="Arial Narrow"/>
        <family val="2"/>
      </rPr>
      <t>000</t>
    </r>
  </si>
  <si>
    <r>
      <rPr>
        <b/>
        <sz val="10"/>
        <color rgb="FFFF0000"/>
        <rFont val="Arial Narrow"/>
        <family val="2"/>
      </rPr>
      <t>3-2</t>
    </r>
    <r>
      <rPr>
        <b/>
        <sz val="10"/>
        <rFont val="Arial Narrow"/>
        <family val="2"/>
      </rPr>
      <t>000</t>
    </r>
  </si>
  <si>
    <r>
      <rPr>
        <b/>
        <sz val="10"/>
        <color rgb="FFFF0000"/>
        <rFont val="Arial Narrow"/>
        <family val="2"/>
      </rPr>
      <t>3-3</t>
    </r>
    <r>
      <rPr>
        <b/>
        <sz val="10"/>
        <rFont val="Arial Narrow"/>
        <family val="2"/>
      </rPr>
      <t>000</t>
    </r>
  </si>
  <si>
    <r>
      <rPr>
        <b/>
        <sz val="10"/>
        <color rgb="FFFF0000"/>
        <rFont val="Arial Narrow"/>
        <family val="2"/>
      </rPr>
      <t>3-9</t>
    </r>
    <r>
      <rPr>
        <b/>
        <sz val="10"/>
        <rFont val="Arial Narrow"/>
        <family val="2"/>
      </rPr>
      <t>000</t>
    </r>
  </si>
  <si>
    <r>
      <rPr>
        <b/>
        <sz val="10"/>
        <color rgb="FFFF0000"/>
        <rFont val="Arial Narrow"/>
        <family val="2"/>
      </rPr>
      <t>4-1</t>
    </r>
    <r>
      <rPr>
        <b/>
        <sz val="10"/>
        <rFont val="Arial Narrow"/>
        <family val="2"/>
      </rPr>
      <t>000</t>
    </r>
  </si>
  <si>
    <r>
      <rPr>
        <b/>
        <sz val="10"/>
        <color rgb="FFFF0000"/>
        <rFont val="Arial Narrow"/>
        <family val="2"/>
      </rPr>
      <t>4-2</t>
    </r>
    <r>
      <rPr>
        <b/>
        <sz val="10"/>
        <rFont val="Arial Narrow"/>
        <family val="2"/>
      </rPr>
      <t>000</t>
    </r>
  </si>
  <si>
    <r>
      <rPr>
        <b/>
        <sz val="10"/>
        <color rgb="FFFF0000"/>
        <rFont val="Arial Narrow"/>
        <family val="2"/>
      </rPr>
      <t>4-3</t>
    </r>
    <r>
      <rPr>
        <b/>
        <sz val="10"/>
        <rFont val="Arial Narrow"/>
        <family val="2"/>
      </rPr>
      <t>000</t>
    </r>
  </si>
  <si>
    <r>
      <rPr>
        <b/>
        <sz val="10"/>
        <color rgb="FFFF0000"/>
        <rFont val="Arial Narrow"/>
        <family val="2"/>
      </rPr>
      <t>4-4</t>
    </r>
    <r>
      <rPr>
        <b/>
        <sz val="10"/>
        <rFont val="Arial Narrow"/>
        <family val="2"/>
      </rPr>
      <t>000</t>
    </r>
  </si>
  <si>
    <r>
      <rPr>
        <b/>
        <sz val="10"/>
        <color rgb="FFFF0000"/>
        <rFont val="Arial Narrow"/>
        <family val="2"/>
      </rPr>
      <t>4-5</t>
    </r>
    <r>
      <rPr>
        <b/>
        <sz val="10"/>
        <rFont val="Arial Narrow"/>
        <family val="2"/>
      </rPr>
      <t>000</t>
    </r>
  </si>
  <si>
    <r>
      <rPr>
        <b/>
        <sz val="10"/>
        <color rgb="FFFF0000"/>
        <rFont val="Arial Narrow"/>
        <family val="2"/>
      </rPr>
      <t>4-6</t>
    </r>
    <r>
      <rPr>
        <b/>
        <sz val="10"/>
        <rFont val="Arial Narrow"/>
        <family val="2"/>
      </rPr>
      <t>000</t>
    </r>
  </si>
  <si>
    <r>
      <rPr>
        <b/>
        <sz val="10"/>
        <color rgb="FFFF0000"/>
        <rFont val="Arial Narrow"/>
        <family val="2"/>
      </rPr>
      <t>5-1</t>
    </r>
    <r>
      <rPr>
        <b/>
        <sz val="10"/>
        <rFont val="Arial Narrow"/>
        <family val="2"/>
      </rPr>
      <t>000</t>
    </r>
  </si>
  <si>
    <r>
      <rPr>
        <b/>
        <sz val="10"/>
        <color rgb="FFFF0000"/>
        <rFont val="Arial Narrow"/>
        <family val="2"/>
      </rPr>
      <t>5-2</t>
    </r>
    <r>
      <rPr>
        <b/>
        <sz val="10"/>
        <rFont val="Arial Narrow"/>
        <family val="2"/>
      </rPr>
      <t>000</t>
    </r>
  </si>
  <si>
    <r>
      <rPr>
        <b/>
        <sz val="10"/>
        <color rgb="FFFF0000"/>
        <rFont val="Arial Narrow"/>
        <family val="2"/>
      </rPr>
      <t>5-3</t>
    </r>
    <r>
      <rPr>
        <b/>
        <sz val="10"/>
        <rFont val="Arial Narrow"/>
        <family val="2"/>
      </rPr>
      <t>000</t>
    </r>
  </si>
  <si>
    <r>
      <rPr>
        <b/>
        <sz val="10"/>
        <color rgb="FFFF0000"/>
        <rFont val="Arial Narrow"/>
        <family val="2"/>
      </rPr>
      <t>1-11</t>
    </r>
    <r>
      <rPr>
        <b/>
        <sz val="10"/>
        <rFont val="Arial Narrow"/>
        <family val="2"/>
      </rPr>
      <t>00</t>
    </r>
  </si>
  <si>
    <r>
      <rPr>
        <b/>
        <sz val="10"/>
        <color rgb="FFFF0000"/>
        <rFont val="Arial Narrow"/>
        <family val="2"/>
      </rPr>
      <t>1-12</t>
    </r>
    <r>
      <rPr>
        <b/>
        <sz val="10"/>
        <rFont val="Arial Narrow"/>
        <family val="2"/>
      </rPr>
      <t>00</t>
    </r>
  </si>
  <si>
    <r>
      <rPr>
        <b/>
        <sz val="10"/>
        <color rgb="FFFF0000"/>
        <rFont val="Arial Narrow"/>
        <family val="2"/>
      </rPr>
      <t>1-13</t>
    </r>
    <r>
      <rPr>
        <b/>
        <sz val="10"/>
        <rFont val="Arial Narrow"/>
        <family val="2"/>
      </rPr>
      <t>00</t>
    </r>
  </si>
  <si>
    <r>
      <rPr>
        <b/>
        <sz val="10"/>
        <color rgb="FFFF0000"/>
        <rFont val="Arial Narrow"/>
        <family val="2"/>
      </rPr>
      <t>1-14</t>
    </r>
    <r>
      <rPr>
        <b/>
        <sz val="10"/>
        <rFont val="Arial Narrow"/>
        <family val="2"/>
      </rPr>
      <t>00</t>
    </r>
  </si>
  <si>
    <r>
      <rPr>
        <b/>
        <sz val="10"/>
        <color rgb="FFFF0000"/>
        <rFont val="Arial Narrow"/>
        <family val="2"/>
      </rPr>
      <t>1-15</t>
    </r>
    <r>
      <rPr>
        <b/>
        <sz val="10"/>
        <rFont val="Arial Narrow"/>
        <family val="2"/>
      </rPr>
      <t>00</t>
    </r>
  </si>
  <si>
    <r>
      <rPr>
        <b/>
        <sz val="10"/>
        <color rgb="FFFF0000"/>
        <rFont val="Arial Narrow"/>
        <family val="2"/>
      </rPr>
      <t>1-16</t>
    </r>
    <r>
      <rPr>
        <b/>
        <sz val="10"/>
        <rFont val="Arial Narrow"/>
        <family val="2"/>
      </rPr>
      <t>00</t>
    </r>
  </si>
  <si>
    <r>
      <rPr>
        <b/>
        <sz val="10"/>
        <color rgb="FFFF0000"/>
        <rFont val="Arial Narrow"/>
        <family val="2"/>
      </rPr>
      <t>1-17</t>
    </r>
    <r>
      <rPr>
        <b/>
        <sz val="10"/>
        <rFont val="Arial Narrow"/>
        <family val="2"/>
      </rPr>
      <t>00</t>
    </r>
  </si>
  <si>
    <r>
      <rPr>
        <b/>
        <sz val="10"/>
        <color rgb="FFFF0000"/>
        <rFont val="Arial Narrow"/>
        <family val="2"/>
      </rPr>
      <t>1-19</t>
    </r>
    <r>
      <rPr>
        <b/>
        <sz val="10"/>
        <rFont val="Arial Narrow"/>
        <family val="2"/>
      </rPr>
      <t>00</t>
    </r>
  </si>
  <si>
    <t>1-1901</t>
  </si>
  <si>
    <t>1-1902</t>
  </si>
  <si>
    <t>1-1903</t>
  </si>
  <si>
    <t>1-1904</t>
  </si>
  <si>
    <t>1-1905</t>
  </si>
  <si>
    <t>1-1999</t>
  </si>
  <si>
    <t>1-1901.01</t>
  </si>
  <si>
    <t>1-1902.01</t>
  </si>
  <si>
    <t>1-1903.01</t>
  </si>
  <si>
    <t>1-1904.01</t>
  </si>
  <si>
    <t>1-1905.01</t>
  </si>
  <si>
    <t>1-1999.01</t>
  </si>
  <si>
    <t>LEVEL 5 (Currency)</t>
  </si>
  <si>
    <t>LEVEL 6 (Data Linkage)</t>
  </si>
  <si>
    <r>
      <rPr>
        <b/>
        <sz val="10"/>
        <color rgb="FFFF0000"/>
        <rFont val="Arial Narrow"/>
        <family val="2"/>
      </rPr>
      <t>1-31</t>
    </r>
    <r>
      <rPr>
        <b/>
        <sz val="10"/>
        <rFont val="Arial Narrow"/>
        <family val="2"/>
      </rPr>
      <t>00</t>
    </r>
  </si>
  <si>
    <r>
      <rPr>
        <b/>
        <sz val="10"/>
        <color rgb="FFFF0000"/>
        <rFont val="Arial Narrow"/>
        <family val="2"/>
      </rPr>
      <t>1-32</t>
    </r>
    <r>
      <rPr>
        <b/>
        <sz val="10"/>
        <rFont val="Arial Narrow"/>
        <family val="2"/>
      </rPr>
      <t>00</t>
    </r>
  </si>
  <si>
    <t>Akumulasi Penyusutan Aktiva Tetap</t>
  </si>
  <si>
    <t>Akumulasi Penyusutan Building - Improvement</t>
  </si>
  <si>
    <t>Akumulasi Penyusutan Building - Office</t>
  </si>
  <si>
    <t>Akumulasi Penyusutan Info Tech Equipment</t>
  </si>
  <si>
    <t>Akumulasi Penyusutan Office Machine &amp; Equipment</t>
  </si>
  <si>
    <t>Akumulasi Penyusutan Sundry Plant &amp; Equipment</t>
  </si>
  <si>
    <t>Akumulasi Penyusutan Test Equipment</t>
  </si>
  <si>
    <t>Akumulasi Penyusutan Tools</t>
  </si>
  <si>
    <t>Akumulasi Penyusutan Motor Vehicle</t>
  </si>
  <si>
    <t>Akumulasi Penyusutan Furniture Fitting</t>
  </si>
  <si>
    <t>Akumulasi Penyusutan Mobile Phone</t>
  </si>
  <si>
    <t>1-3101.01</t>
  </si>
  <si>
    <t>1-3102.01</t>
  </si>
  <si>
    <t>1-3103.01</t>
  </si>
  <si>
    <t>1-3104.01</t>
  </si>
  <si>
    <t>1-3105.01</t>
  </si>
  <si>
    <t>1-3106.01</t>
  </si>
  <si>
    <t>1-3107.01</t>
  </si>
  <si>
    <t>1-3108.01</t>
  </si>
  <si>
    <t>1-3109.01</t>
  </si>
  <si>
    <t>1-3110.01</t>
  </si>
  <si>
    <t>1-3111.01</t>
  </si>
  <si>
    <t>1-3201.01</t>
  </si>
  <si>
    <t>1-3202.01</t>
  </si>
  <si>
    <t>1-3203.01</t>
  </si>
  <si>
    <t>1-3204.01</t>
  </si>
  <si>
    <t>1-3205.01</t>
  </si>
  <si>
    <t>1-3206.01</t>
  </si>
  <si>
    <t>1-3207.01</t>
  </si>
  <si>
    <t>1-3208.01</t>
  </si>
  <si>
    <t>1-3209.01</t>
  </si>
  <si>
    <t>1-3210.01</t>
  </si>
  <si>
    <r>
      <rPr>
        <b/>
        <sz val="10"/>
        <color rgb="FFFF0000"/>
        <rFont val="Arial Narrow"/>
        <family val="2"/>
      </rPr>
      <t>1-51</t>
    </r>
    <r>
      <rPr>
        <b/>
        <sz val="10"/>
        <rFont val="Arial Narrow"/>
        <family val="2"/>
      </rPr>
      <t>00</t>
    </r>
  </si>
  <si>
    <t>Pre Opr Costproject - Labor Cost</t>
  </si>
  <si>
    <t>1-5101.01</t>
  </si>
  <si>
    <t>1-5102.01</t>
  </si>
  <si>
    <t>1-5103.01</t>
  </si>
  <si>
    <r>
      <rPr>
        <b/>
        <sz val="10"/>
        <color rgb="FFFF0000"/>
        <rFont val="Arial Narrow"/>
        <family val="2"/>
      </rPr>
      <t>2-11</t>
    </r>
    <r>
      <rPr>
        <b/>
        <sz val="10"/>
        <rFont val="Arial Narrow"/>
        <family val="2"/>
      </rPr>
      <t>00</t>
    </r>
  </si>
  <si>
    <t>2-1101</t>
  </si>
  <si>
    <r>
      <rPr>
        <b/>
        <sz val="10"/>
        <color rgb="FFFF0000"/>
        <rFont val="Arial Narrow"/>
        <family val="2"/>
      </rPr>
      <t>2-12</t>
    </r>
    <r>
      <rPr>
        <b/>
        <sz val="10"/>
        <rFont val="Arial Narrow"/>
        <family val="2"/>
      </rPr>
      <t>00</t>
    </r>
  </si>
  <si>
    <t>Hutang Lancar Lainnya</t>
  </si>
  <si>
    <t>Hutang Lain - Lain</t>
  </si>
  <si>
    <t>Other Cost of Material</t>
  </si>
  <si>
    <t>Other Cost of Labor</t>
  </si>
  <si>
    <r>
      <rPr>
        <b/>
        <sz val="10"/>
        <color rgb="FFFF0000"/>
        <rFont val="Arial Narrow"/>
        <family val="2"/>
      </rPr>
      <t>6-1</t>
    </r>
    <r>
      <rPr>
        <b/>
        <sz val="10"/>
        <rFont val="Arial Narrow"/>
        <family val="2"/>
      </rPr>
      <t>000</t>
    </r>
  </si>
  <si>
    <t>Biaya Adm &amp; Umum Lainnya</t>
  </si>
  <si>
    <t>Travel &amp;Fares - Sales</t>
  </si>
  <si>
    <t>Biaya Pegawai</t>
  </si>
  <si>
    <t>Biaya Kantor</t>
  </si>
  <si>
    <t>Biaya Depresiasi</t>
  </si>
  <si>
    <t>Biaya Marketing</t>
  </si>
  <si>
    <t>Biaya Administrasi Umum</t>
  </si>
  <si>
    <t>Biaya Marketing Lainnya</t>
  </si>
  <si>
    <t>Biaya Kantor Lainnya</t>
  </si>
  <si>
    <t>Biaya Pegawai Lainnya</t>
  </si>
  <si>
    <t>Pendapatan Lain - Lain</t>
  </si>
  <si>
    <r>
      <rPr>
        <b/>
        <sz val="10"/>
        <color rgb="FFFF0000"/>
        <rFont val="Arial Narrow"/>
        <family val="2"/>
      </rPr>
      <t>7-1</t>
    </r>
    <r>
      <rPr>
        <b/>
        <sz val="10"/>
        <rFont val="Arial Narrow"/>
        <family val="2"/>
      </rPr>
      <t>000</t>
    </r>
  </si>
  <si>
    <t>Gain (Loss) Disposal of FA (IDR)</t>
  </si>
  <si>
    <t>Interest Received - Other (IDR)</t>
  </si>
  <si>
    <t>Interest Received - Bank (IDR)</t>
  </si>
  <si>
    <r>
      <rPr>
        <b/>
        <sz val="10"/>
        <color rgb="FFFF0000"/>
        <rFont val="Arial Narrow"/>
        <family val="2"/>
      </rPr>
      <t>8</t>
    </r>
    <r>
      <rPr>
        <b/>
        <sz val="10"/>
        <rFont val="Arial Narrow"/>
        <family val="2"/>
      </rPr>
      <t>-0000</t>
    </r>
  </si>
  <si>
    <t>Biaya Lain - Lain</t>
  </si>
  <si>
    <t>Income (loss) Subsidiary IMD (IDR)</t>
  </si>
  <si>
    <t>Income Tax (IDR)</t>
  </si>
  <si>
    <r>
      <rPr>
        <b/>
        <sz val="10"/>
        <color rgb="FFFF0000"/>
        <rFont val="Arial Narrow"/>
        <family val="2"/>
      </rPr>
      <t>7-2</t>
    </r>
    <r>
      <rPr>
        <b/>
        <sz val="10"/>
        <rFont val="Arial Narrow"/>
        <family val="2"/>
      </rPr>
      <t>000</t>
    </r>
  </si>
  <si>
    <r>
      <rPr>
        <b/>
        <sz val="10"/>
        <color rgb="FFFF0000"/>
        <rFont val="Arial Narrow"/>
        <family val="2"/>
      </rPr>
      <t>7-3</t>
    </r>
    <r>
      <rPr>
        <b/>
        <sz val="10"/>
        <rFont val="Arial Narrow"/>
        <family val="2"/>
      </rPr>
      <t>000</t>
    </r>
  </si>
  <si>
    <r>
      <rPr>
        <b/>
        <sz val="10"/>
        <color rgb="FFFF0000"/>
        <rFont val="Arial Narrow"/>
        <family val="2"/>
      </rPr>
      <t>7-4</t>
    </r>
    <r>
      <rPr>
        <b/>
        <sz val="10"/>
        <rFont val="Arial Narrow"/>
        <family val="2"/>
      </rPr>
      <t>000</t>
    </r>
  </si>
  <si>
    <t>Gain (Loss) Exchange Rate Difference</t>
  </si>
  <si>
    <t>Gain (Loss) Exchange Rate Difference (IDR)</t>
  </si>
  <si>
    <t>Gain (Loss) Exchange Rate Difference Downer</t>
  </si>
  <si>
    <t>Gain (Loss) Exchange Rate Difference Downer (IDR)</t>
  </si>
  <si>
    <t>Income (loss) Subsidiary</t>
  </si>
  <si>
    <r>
      <rPr>
        <b/>
        <sz val="10"/>
        <color rgb="FFFF0000"/>
        <rFont val="Arial Narrow"/>
        <family val="2"/>
      </rPr>
      <t>7-41</t>
    </r>
    <r>
      <rPr>
        <b/>
        <sz val="10"/>
        <rFont val="Arial Narrow"/>
        <family val="2"/>
      </rPr>
      <t>00</t>
    </r>
  </si>
  <si>
    <r>
      <rPr>
        <b/>
        <sz val="10"/>
        <color rgb="FFFF0000"/>
        <rFont val="Arial Narrow"/>
        <family val="2"/>
      </rPr>
      <t>7-42</t>
    </r>
    <r>
      <rPr>
        <b/>
        <sz val="10"/>
        <rFont val="Arial Narrow"/>
        <family val="2"/>
      </rPr>
      <t>00</t>
    </r>
  </si>
  <si>
    <t>7-4201</t>
  </si>
  <si>
    <t>7-4201.01</t>
  </si>
  <si>
    <t>Interest Income Promesory Note</t>
  </si>
  <si>
    <t>Interest Income Promesory Note (IDR)</t>
  </si>
  <si>
    <r>
      <rPr>
        <b/>
        <sz val="10"/>
        <color rgb="FFFF0000"/>
        <rFont val="Arial Narrow"/>
        <family val="2"/>
      </rPr>
      <t>8-1</t>
    </r>
    <r>
      <rPr>
        <b/>
        <sz val="10"/>
        <rFont val="Arial Narrow"/>
        <family val="2"/>
      </rPr>
      <t>000</t>
    </r>
  </si>
  <si>
    <t>Interest Expense Downer (IDR)</t>
  </si>
  <si>
    <t>Interest Expense Redi (IDR)</t>
  </si>
  <si>
    <r>
      <rPr>
        <b/>
        <sz val="10"/>
        <color rgb="FFFF0000"/>
        <rFont val="Arial Narrow"/>
        <family val="2"/>
      </rPr>
      <t>8-2</t>
    </r>
    <r>
      <rPr>
        <b/>
        <sz val="10"/>
        <rFont val="Arial Narrow"/>
        <family val="2"/>
      </rPr>
      <t>000</t>
    </r>
  </si>
  <si>
    <t>Late Charges for Downer (IDR)</t>
  </si>
  <si>
    <t>Late Charges for Redi (IDR)</t>
  </si>
  <si>
    <r>
      <rPr>
        <b/>
        <sz val="10"/>
        <color rgb="FFFF0000"/>
        <rFont val="Arial Narrow"/>
        <family val="2"/>
      </rPr>
      <t>8-3</t>
    </r>
    <r>
      <rPr>
        <b/>
        <sz val="10"/>
        <rFont val="Arial Narrow"/>
        <family val="2"/>
      </rPr>
      <t>000</t>
    </r>
  </si>
  <si>
    <t>Tax Expenses (IDR)</t>
  </si>
  <si>
    <t>Other Revenue - Other</t>
  </si>
  <si>
    <t>Interest Received</t>
  </si>
  <si>
    <t>Biaya Administrasi &amp; Umum</t>
  </si>
  <si>
    <t>Piutang Antar Perusahaan (IDR)</t>
  </si>
  <si>
    <t>Inventory (IDR)</t>
  </si>
  <si>
    <t>VAT IN (IDR)</t>
  </si>
  <si>
    <t>Prepaid Tax 22 (IDR)</t>
  </si>
  <si>
    <t>Prepaid Tax 23 (IDR)</t>
  </si>
  <si>
    <t>Prepaid Tax 25 (IDR)</t>
  </si>
  <si>
    <t>Paid in Advance (IDR)</t>
  </si>
  <si>
    <t>Suspense (IDR)</t>
  </si>
  <si>
    <t>Security Deposit (IDR)</t>
  </si>
  <si>
    <t>Unbilled Receivable (IDR)</t>
  </si>
  <si>
    <t>Work in Progress (IDR)</t>
  </si>
  <si>
    <t>Other Prepayment (IDR)</t>
  </si>
  <si>
    <t>Land (IDR)</t>
  </si>
  <si>
    <t>Building - Improvement (IDR)</t>
  </si>
  <si>
    <t>Building - Office (IDR)</t>
  </si>
  <si>
    <t>Info Tech Equipment (IDR)</t>
  </si>
  <si>
    <t>Office Machine &amp; Equipment (IDR)</t>
  </si>
  <si>
    <t>Sundry Plant &amp; Equipment (IDR)</t>
  </si>
  <si>
    <t>Test Equipment (IDR)</t>
  </si>
  <si>
    <t>Motor Vehicle (IDR)</t>
  </si>
  <si>
    <t>Tools (IDR)</t>
  </si>
  <si>
    <t>Furniture Fitting (IDR)</t>
  </si>
  <si>
    <t>Mobile Phone (IDR)</t>
  </si>
  <si>
    <t>Akumulasi Penyusutan Building - Improvement (IDR)</t>
  </si>
  <si>
    <t>Akumulasi Penyusutan Building - Office (IDR)</t>
  </si>
  <si>
    <t>Akumulasi Penyusutan Info Tech Equipment (IDR)</t>
  </si>
  <si>
    <t>Akumulasi Penyusutan Office Machine &amp; Equipment (IDR)</t>
  </si>
  <si>
    <t>Akumulasi Penyusutan Sundry Plant &amp; Equipment (IDR)</t>
  </si>
  <si>
    <t>Akumulasi Penyusutan Test Equipment (IDR)</t>
  </si>
  <si>
    <t>Akumulasi Penyusutan Motor Vehicle (IDR)</t>
  </si>
  <si>
    <t>Akumulasi Penyusutan Tools (IDR)</t>
  </si>
  <si>
    <t>Akumulasi Penyusutan Furniture Fitting (IDR)</t>
  </si>
  <si>
    <t>Akumulasi Penyusutan Mobile Phone (IDR)</t>
  </si>
  <si>
    <t>Aktiva Tetap Tidak Berwujud (IDR)</t>
  </si>
  <si>
    <t>Pre Opr Costproject - Material (IDR)</t>
  </si>
  <si>
    <t>Pre Opr Costproject - Labor Cost (IDR)</t>
  </si>
  <si>
    <t>Pre Opr Costproject - Overhead (IDR)</t>
  </si>
  <si>
    <t>Hutang Dagang (IDR)</t>
  </si>
  <si>
    <t>Biaya yang ditangguhkan (IDR)</t>
  </si>
  <si>
    <t>GST - Output Tax (IDR)</t>
  </si>
  <si>
    <t>Witholding Tax 4(2) (IDR)</t>
  </si>
  <si>
    <t>Witholding Tax 21 (IDR)</t>
  </si>
  <si>
    <t>Witholding Tax 22 (IDR)</t>
  </si>
  <si>
    <t>Witholding Tax 23 (IDR)</t>
  </si>
  <si>
    <t>Witholding Tax 25 (IDR)</t>
  </si>
  <si>
    <t>Tax Paid Current Year (IDR)</t>
  </si>
  <si>
    <t>Provision for Tax Current Year (IDR)</t>
  </si>
  <si>
    <t>Defferred Tax Liability (IDR)</t>
  </si>
  <si>
    <t>Unearned Revenue (IDR)</t>
  </si>
  <si>
    <t>Month end CFS Accrual (IDR)</t>
  </si>
  <si>
    <t>Hutang Karyawan (IDR)</t>
  </si>
  <si>
    <t>Hutang Lancar Lainnya (IDR)</t>
  </si>
  <si>
    <t>Bank Loan (IDR)</t>
  </si>
  <si>
    <t>Hutang Pemegang Saham (IDR)</t>
  </si>
  <si>
    <t>Hutang Lain - Lain (IDR)</t>
  </si>
  <si>
    <t>R/E Profits/Losses Prev Year (IDR)</t>
  </si>
  <si>
    <t>Current Year Earnings (IDR)</t>
  </si>
  <si>
    <t>Historical Balancing (IDR)</t>
  </si>
  <si>
    <t>Completed Project (IDR)</t>
  </si>
  <si>
    <t>Construction Project (IDR)</t>
  </si>
  <si>
    <t>WIP Adjustment (IDR)</t>
  </si>
  <si>
    <t>Under/Overclaim Adjustment (IDR)</t>
  </si>
  <si>
    <t>Discount (IDR)</t>
  </si>
  <si>
    <t>Commision (IDR)</t>
  </si>
  <si>
    <t>Opening Balance - Material (IDR)</t>
  </si>
  <si>
    <t>Opening Balance - Supplies (IDR)</t>
  </si>
  <si>
    <t>Purchase - Material (IDR)</t>
  </si>
  <si>
    <t>Purchase - Supplies (IDR)</t>
  </si>
  <si>
    <t>Ending Balance - Material (IDR)</t>
  </si>
  <si>
    <t>Ending Balance - Supplies (IDR)</t>
  </si>
  <si>
    <t>Material Used (IDR)</t>
  </si>
  <si>
    <t>Supplies Used (IDR)</t>
  </si>
  <si>
    <t>Material Other (IDR)</t>
  </si>
  <si>
    <t>IT Hardware Purchase (IDR)</t>
  </si>
  <si>
    <t>Other Cost of Material (IDR)</t>
  </si>
  <si>
    <t>Salary Daily Worker (IDR)</t>
  </si>
  <si>
    <t>Salary Direct (IDR)</t>
  </si>
  <si>
    <t>Salary Indirect (IDR)</t>
  </si>
  <si>
    <t>Overtime Direct (IDR)</t>
  </si>
  <si>
    <t>Overtime Indirect (IDR)</t>
  </si>
  <si>
    <t>Jamsostek Direct (IDR)</t>
  </si>
  <si>
    <t>Jamsostek Indirect (IDR)</t>
  </si>
  <si>
    <t>Bonus,THR-Direct (IDR)</t>
  </si>
  <si>
    <t>Performance Bonus-Direct (IDR)</t>
  </si>
  <si>
    <t>Bonus,THR-Indirect (IDR)</t>
  </si>
  <si>
    <t>Performance Bonus-Indirect (IDR)</t>
  </si>
  <si>
    <t>Personal Income Tax-Direct (IDR)</t>
  </si>
  <si>
    <t>Personal Income Tax-Indirect (IDR)</t>
  </si>
  <si>
    <t>Uniform,Protect Clothe-Direct (IDR)</t>
  </si>
  <si>
    <t>Uniform,Protect Cloth-Indirect (IDR)</t>
  </si>
  <si>
    <t>Business Trip Allowance (IDR)</t>
  </si>
  <si>
    <t>Meal (IDR)</t>
  </si>
  <si>
    <t>Severance Pay - Project (IDR)</t>
  </si>
  <si>
    <t>Sub Contractor (IDR)</t>
  </si>
  <si>
    <t>Other Cost of Labor (IDR)</t>
  </si>
  <si>
    <t>Consumables (IDR)</t>
  </si>
  <si>
    <t>Spare Parts (IDR)</t>
  </si>
  <si>
    <t>Utilities (IDR)</t>
  </si>
  <si>
    <t>Stationery &amp; Printing (IDR)</t>
  </si>
  <si>
    <t>Postage &amp; Courier Service (IDR)</t>
  </si>
  <si>
    <t>Telephone Expenses (IDR)</t>
  </si>
  <si>
    <t>Insurance Expenses (IDR)</t>
  </si>
  <si>
    <t>Property Rental/Lease (IDR)</t>
  </si>
  <si>
    <t>Hire of Other Plant &amp; Equipt (IDR)</t>
  </si>
  <si>
    <t>Property Repair &amp; Maintenance (IDR)</t>
  </si>
  <si>
    <t>IT Expenses (IDR)</t>
  </si>
  <si>
    <t>Hire of Motor Vehicle (IDR)</t>
  </si>
  <si>
    <t>MV-Fuel &amp; Oil (IDR)</t>
  </si>
  <si>
    <t>MV-Repair &amp; Maintenance (IDR)</t>
  </si>
  <si>
    <t>MV-Tyres, Tubes (IDR)</t>
  </si>
  <si>
    <t>MV-Spare Parts (IDR)</t>
  </si>
  <si>
    <t>MV-Accessories (IDR)</t>
  </si>
  <si>
    <t>MV Other (IDR)</t>
  </si>
  <si>
    <t>Local Transport (IDR)</t>
  </si>
  <si>
    <t>Business Travelling (IDR)</t>
  </si>
  <si>
    <t>Travel &amp; Fares (IDR)</t>
  </si>
  <si>
    <t>Freight Expenses (IDR)</t>
  </si>
  <si>
    <t>Custom Clearance (IDR)</t>
  </si>
  <si>
    <t>Infrastructure (IDR)</t>
  </si>
  <si>
    <t>Tender Cost (IDR)</t>
  </si>
  <si>
    <t>Sitac Expenses (IDR)</t>
  </si>
  <si>
    <t>Loss, Damage &amp; Pinalty (IDR)</t>
  </si>
  <si>
    <t>Supervision Expenses (IDR)</t>
  </si>
  <si>
    <t>Power Supply (IDR)</t>
  </si>
  <si>
    <t>Civil  Work (IDR)</t>
  </si>
  <si>
    <t>Moblilization &amp; demobilization (IDR)</t>
  </si>
  <si>
    <t>Entertainment-Deductable (IDR)</t>
  </si>
  <si>
    <t>Entertainment-Undeductable (IDR)</t>
  </si>
  <si>
    <t>Non Meal Entertaint-Ded. (IDR)</t>
  </si>
  <si>
    <t>Non Meal Entertaint-Unded. (IDR)</t>
  </si>
  <si>
    <t>Donation (IDR)</t>
  </si>
  <si>
    <t>Depre - Building Improvement (IDR)</t>
  </si>
  <si>
    <t>Depre - IT Equipment (IDR)</t>
  </si>
  <si>
    <t>Depre - Office Machine &amp; Equip (IDR)</t>
  </si>
  <si>
    <t>Depre - Sundry Plant &amp; Equipt (IDR)</t>
  </si>
  <si>
    <t>Depre - Test Equipment (IDR)</t>
  </si>
  <si>
    <t>Depre - Motor Vehicle (IDR)</t>
  </si>
  <si>
    <t>Depre - Tools (IDR)</t>
  </si>
  <si>
    <t>Depre - Furniture Fitting (IDR)</t>
  </si>
  <si>
    <t>Depre - Mobile Phone (IDR)</t>
  </si>
  <si>
    <t>Customer Claims (IDR)</t>
  </si>
  <si>
    <t>Other Overhead (IDR)</t>
  </si>
  <si>
    <t>Salary (IDR)</t>
  </si>
  <si>
    <t>Overtime (IDR)</t>
  </si>
  <si>
    <t>Bonus, THR (IDR)</t>
  </si>
  <si>
    <t>Performance Bonus (IDR)</t>
  </si>
  <si>
    <t>Jamsostek (IDR)</t>
  </si>
  <si>
    <t>Personal Income Tax (IDR)</t>
  </si>
  <si>
    <t>Post Employee benefit Expense (IDR)</t>
  </si>
  <si>
    <t>Medical Expense (IDR)</t>
  </si>
  <si>
    <t>Accrual for Operation Staff (IDR)</t>
  </si>
  <si>
    <t>Meal Allowance (IDR)</t>
  </si>
  <si>
    <t>Staff Welfare (IDR)</t>
  </si>
  <si>
    <t>Housing Allowance (IDR)</t>
  </si>
  <si>
    <t>Uniform (IDR)</t>
  </si>
  <si>
    <t>Recruitment expense (IDR)</t>
  </si>
  <si>
    <t>Seminar, Confrences, Meeting (IDR)</t>
  </si>
  <si>
    <t>Skill Development Expense (IDR)</t>
  </si>
  <si>
    <t>Severance Pay - Admin (IDR)</t>
  </si>
  <si>
    <t>Biaya Pegawai Lainnya (IDR)</t>
  </si>
  <si>
    <t>Stamp Duty (IDR)</t>
  </si>
  <si>
    <t>Postage &amp; Courier (IDR)</t>
  </si>
  <si>
    <t>Other Admin Expenses (IDR)</t>
  </si>
  <si>
    <t>Office Supplies (IDR)</t>
  </si>
  <si>
    <t>Office Equipment &lt; $500 (IDR)</t>
  </si>
  <si>
    <t>Furniture &amp; Fitting &lt; $500 (IDR)</t>
  </si>
  <si>
    <t>Light &amp; Power Equipment (IDR)</t>
  </si>
  <si>
    <t>Telephone, Telex, Fax (IDR)</t>
  </si>
  <si>
    <t>Telephone - Sales (IDR)</t>
  </si>
  <si>
    <t>Mobile Phones &lt; $500 (IDR)</t>
  </si>
  <si>
    <t>Local Transportation (IDR)</t>
  </si>
  <si>
    <t>MV - Fuel &amp; Oil (IDR)</t>
  </si>
  <si>
    <t>MV - Repair &amp; Maintenance (IDR)</t>
  </si>
  <si>
    <t>MV - Tyres, Tubes (IDR)</t>
  </si>
  <si>
    <t>MV - Spare Parts (IDR)</t>
  </si>
  <si>
    <t>MV - Accessories (IDR)</t>
  </si>
  <si>
    <t>MV - Other (IDR)</t>
  </si>
  <si>
    <t>Travel &amp;Fares - Sales (IDR)</t>
  </si>
  <si>
    <t>Biaya Kantor Lainnya (IDR)</t>
  </si>
  <si>
    <t>Non Meal Entertainment-Ded. (IDR)</t>
  </si>
  <si>
    <t>Marketing Expense (IDR)</t>
  </si>
  <si>
    <t>Sales Call Expense (IDR)</t>
  </si>
  <si>
    <t>Biaya Marketing Lainnya (IDR)</t>
  </si>
  <si>
    <t>Profesional Fee (IDR)</t>
  </si>
  <si>
    <t>Legal Fee (IDR)</t>
  </si>
  <si>
    <t>Audit Fee (IDR)</t>
  </si>
  <si>
    <t>Advertising &amp; Promotion (IDR)</t>
  </si>
  <si>
    <t>Bad debt expense (IDR)</t>
  </si>
  <si>
    <t>Project Costs (closed CFS) (IDR)</t>
  </si>
  <si>
    <t>Bank Charge (Excl. Interest) (IDR)</t>
  </si>
  <si>
    <t>Biaya Adm &amp; Umum Lainnya (IDR)</t>
  </si>
  <si>
    <t>Depre - Building Office (IDR)</t>
  </si>
  <si>
    <t>Depre -  IT-Equipment (IDR)</t>
  </si>
  <si>
    <t>Depre - Sundry Plant &amp; Equip (IDR)</t>
  </si>
  <si>
    <t xml:space="preserve"> </t>
  </si>
  <si>
    <t>Petty Cash (IDR)</t>
  </si>
  <si>
    <t>Bank (IDR)</t>
  </si>
  <si>
    <t>Bank (USD)</t>
  </si>
  <si>
    <t>AR (IDR)</t>
  </si>
  <si>
    <t>AR (USD)</t>
  </si>
  <si>
    <t>Cadangan Kerugian Piutang (IDR)</t>
  </si>
  <si>
    <t>Cadangan Kerugian Piutang (USD)</t>
  </si>
  <si>
    <t>Piutang Non Usaha (IDR)</t>
  </si>
  <si>
    <t>Piutang Non Usaha (USD)</t>
  </si>
  <si>
    <t>SYS_PID</t>
  </si>
  <si>
    <t>PARENT ID</t>
  </si>
  <si>
    <t>L1</t>
  </si>
  <si>
    <t>L2</t>
  </si>
  <si>
    <t>L3</t>
  </si>
  <si>
    <t>L4</t>
  </si>
  <si>
    <t>L5</t>
  </si>
  <si>
    <t>8-3001</t>
  </si>
  <si>
    <t>8-3001.01</t>
  </si>
  <si>
    <t>2-1101.01</t>
  </si>
  <si>
    <t>2-3001.01</t>
  </si>
  <si>
    <t>Share Capital (IDR)</t>
  </si>
  <si>
    <r>
      <rPr>
        <b/>
        <sz val="10"/>
        <color rgb="FFFF0000"/>
        <rFont val="Arial Narrow"/>
        <family val="2"/>
      </rPr>
      <t>4-1001</t>
    </r>
  </si>
  <si>
    <r>
      <rPr>
        <b/>
        <sz val="10"/>
        <color rgb="FFFF0000"/>
        <rFont val="Arial Narrow"/>
        <family val="2"/>
      </rPr>
      <t>4-1001.01</t>
    </r>
  </si>
  <si>
    <r>
      <rPr>
        <b/>
        <sz val="10"/>
        <color rgb="FFFF0000"/>
        <rFont val="Arial Narrow"/>
        <family val="2"/>
      </rPr>
      <t>4-2001</t>
    </r>
  </si>
  <si>
    <r>
      <rPr>
        <b/>
        <sz val="10"/>
        <color rgb="FFFF0000"/>
        <rFont val="Arial Narrow"/>
        <family val="2"/>
      </rPr>
      <t>4-2001.01</t>
    </r>
  </si>
  <si>
    <r>
      <rPr>
        <b/>
        <sz val="10"/>
        <color rgb="FFFF0000"/>
        <rFont val="Arial Narrow"/>
        <family val="2"/>
      </rPr>
      <t>4-3001</t>
    </r>
  </si>
  <si>
    <r>
      <rPr>
        <b/>
        <sz val="10"/>
        <color rgb="FFFF0000"/>
        <rFont val="Arial Narrow"/>
        <family val="2"/>
      </rPr>
      <t>4-3001.01</t>
    </r>
  </si>
  <si>
    <r>
      <rPr>
        <b/>
        <sz val="10"/>
        <color rgb="FFFF0000"/>
        <rFont val="Arial Narrow"/>
        <family val="2"/>
      </rPr>
      <t>4-4001</t>
    </r>
  </si>
  <si>
    <r>
      <rPr>
        <b/>
        <sz val="10"/>
        <color rgb="FFFF0000"/>
        <rFont val="Arial Narrow"/>
        <family val="2"/>
      </rPr>
      <t>4-4001.01</t>
    </r>
  </si>
  <si>
    <r>
      <rPr>
        <b/>
        <sz val="10"/>
        <color rgb="FFFF0000"/>
        <rFont val="Arial Narrow"/>
        <family val="2"/>
      </rPr>
      <t>4-5001</t>
    </r>
  </si>
  <si>
    <r>
      <rPr>
        <b/>
        <sz val="10"/>
        <color rgb="FFFF0000"/>
        <rFont val="Arial Narrow"/>
        <family val="2"/>
      </rPr>
      <t>4-5001.01</t>
    </r>
  </si>
  <si>
    <r>
      <rPr>
        <b/>
        <sz val="10"/>
        <color rgb="FFFF0000"/>
        <rFont val="Arial Narrow"/>
        <family val="2"/>
      </rPr>
      <t>4-6001</t>
    </r>
  </si>
  <si>
    <r>
      <rPr>
        <b/>
        <sz val="10"/>
        <color rgb="FFFF0000"/>
        <rFont val="Arial Narrow"/>
        <family val="2"/>
      </rPr>
      <t>4-6001.01</t>
    </r>
  </si>
  <si>
    <t>5-1099</t>
  </si>
  <si>
    <t>5-1099.01</t>
  </si>
  <si>
    <t>5-1001.01</t>
  </si>
  <si>
    <t>5-1002.01</t>
  </si>
  <si>
    <t>5-1003.01</t>
  </si>
  <si>
    <t>5-1004.01</t>
  </si>
  <si>
    <t>5-1005.01</t>
  </si>
  <si>
    <t>5-1006.01</t>
  </si>
  <si>
    <t>5-1007.01</t>
  </si>
  <si>
    <t>5-1008.01</t>
  </si>
  <si>
    <t>5-1009.01</t>
  </si>
  <si>
    <t>5-1010.01</t>
  </si>
  <si>
    <t>5-2001.01</t>
  </si>
  <si>
    <t>5-2002.01</t>
  </si>
  <si>
    <t>5-2003.01</t>
  </si>
  <si>
    <t>5-2004.01</t>
  </si>
  <si>
    <t>5-2005.01</t>
  </si>
  <si>
    <t>5-2006.01</t>
  </si>
  <si>
    <t>5-2007.01</t>
  </si>
  <si>
    <t>5-2008.01</t>
  </si>
  <si>
    <t>5-2009.01</t>
  </si>
  <si>
    <t>5-2010.01</t>
  </si>
  <si>
    <t>5-2011.01</t>
  </si>
  <si>
    <t>5-2012.01</t>
  </si>
  <si>
    <t>5-2013.01</t>
  </si>
  <si>
    <t>5-2014.01</t>
  </si>
  <si>
    <t>5-2015.01</t>
  </si>
  <si>
    <t>5-2016.01</t>
  </si>
  <si>
    <t>5-2017.01</t>
  </si>
  <si>
    <t>5-2018.01</t>
  </si>
  <si>
    <t>5-2019.01</t>
  </si>
  <si>
    <t>5-2099</t>
  </si>
  <si>
    <t>5-2099.01</t>
  </si>
  <si>
    <t>5-3001.01</t>
  </si>
  <si>
    <t>5-3002.01</t>
  </si>
  <si>
    <t>5-3003.01</t>
  </si>
  <si>
    <t>5-3004.01</t>
  </si>
  <si>
    <t>5-3005.01</t>
  </si>
  <si>
    <t>5-3006.01</t>
  </si>
  <si>
    <t>5-3007.01</t>
  </si>
  <si>
    <t>5-3008.01</t>
  </si>
  <si>
    <t>5-3009.01</t>
  </si>
  <si>
    <t>5-3010.01</t>
  </si>
  <si>
    <t>5-3011.01</t>
  </si>
  <si>
    <t>5-3012.01</t>
  </si>
  <si>
    <t>5-3013.01</t>
  </si>
  <si>
    <t>5-3014.01</t>
  </si>
  <si>
    <t>5-3015.01</t>
  </si>
  <si>
    <t>5-3016.01</t>
  </si>
  <si>
    <t>5-3017.01</t>
  </si>
  <si>
    <t>5-3018.01</t>
  </si>
  <si>
    <t>5-3019.01</t>
  </si>
  <si>
    <t>5-3020.01</t>
  </si>
  <si>
    <t>5-3021.01</t>
  </si>
  <si>
    <t>5-3022.01</t>
  </si>
  <si>
    <t>5-3023.01</t>
  </si>
  <si>
    <t>5-3024.01</t>
  </si>
  <si>
    <t>5-3025.01</t>
  </si>
  <si>
    <t>5-3026.01</t>
  </si>
  <si>
    <t>5-3027.01</t>
  </si>
  <si>
    <t>5-3028.01</t>
  </si>
  <si>
    <t>5-3029.01</t>
  </si>
  <si>
    <t>5-3030.01</t>
  </si>
  <si>
    <t>5-3031.01</t>
  </si>
  <si>
    <t>5-3032.01</t>
  </si>
  <si>
    <t>5-3033.01</t>
  </si>
  <si>
    <t>5-3034.01</t>
  </si>
  <si>
    <t>5-3035.01</t>
  </si>
  <si>
    <t>5-3036.01</t>
  </si>
  <si>
    <t>5-3037.01</t>
  </si>
  <si>
    <t>5-3038.01</t>
  </si>
  <si>
    <t>5-3039.01</t>
  </si>
  <si>
    <t>5-3040.01</t>
  </si>
  <si>
    <t>5-3041.01</t>
  </si>
  <si>
    <t>5-3042.01</t>
  </si>
  <si>
    <t>5-3043.01</t>
  </si>
  <si>
    <t>5-3044.01</t>
  </si>
  <si>
    <t>5-3045.01</t>
  </si>
  <si>
    <t>5-3046.01</t>
  </si>
  <si>
    <t>5-3047.01</t>
  </si>
  <si>
    <t>5-3048.01</t>
  </si>
  <si>
    <t>5-3099</t>
  </si>
  <si>
    <t>5-3099.01</t>
  </si>
  <si>
    <r>
      <rPr>
        <b/>
        <sz val="10"/>
        <color rgb="FFFF0000"/>
        <rFont val="Arial Narrow"/>
        <family val="2"/>
      </rPr>
      <t>6-2</t>
    </r>
    <r>
      <rPr>
        <b/>
        <sz val="10"/>
        <rFont val="Arial Narrow"/>
        <family val="2"/>
      </rPr>
      <t>000</t>
    </r>
  </si>
  <si>
    <r>
      <rPr>
        <b/>
        <sz val="10"/>
        <color rgb="FFFF0000"/>
        <rFont val="Arial Narrow"/>
        <family val="2"/>
      </rPr>
      <t>6-3</t>
    </r>
    <r>
      <rPr>
        <b/>
        <sz val="10"/>
        <rFont val="Arial Narrow"/>
        <family val="2"/>
      </rPr>
      <t>000</t>
    </r>
  </si>
  <si>
    <r>
      <rPr>
        <b/>
        <sz val="10"/>
        <color rgb="FFFF0000"/>
        <rFont val="Arial Narrow"/>
        <family val="2"/>
      </rPr>
      <t>6-4</t>
    </r>
    <r>
      <rPr>
        <b/>
        <sz val="10"/>
        <rFont val="Arial Narrow"/>
        <family val="2"/>
      </rPr>
      <t>000</t>
    </r>
  </si>
  <si>
    <r>
      <rPr>
        <b/>
        <sz val="10"/>
        <color rgb="FFFF0000"/>
        <rFont val="Arial Narrow"/>
        <family val="2"/>
      </rPr>
      <t>6-5</t>
    </r>
    <r>
      <rPr>
        <b/>
        <sz val="10"/>
        <rFont val="Arial Narrow"/>
        <family val="2"/>
      </rPr>
      <t>000</t>
    </r>
  </si>
  <si>
    <t>6-5001</t>
  </si>
  <si>
    <t>6-5001.01</t>
  </si>
  <si>
    <t>6-5002</t>
  </si>
  <si>
    <t>6-5002.01</t>
  </si>
  <si>
    <t>6-5003</t>
  </si>
  <si>
    <t>6-5003.01</t>
  </si>
  <si>
    <t>6-5004</t>
  </si>
  <si>
    <t>6-5004.01</t>
  </si>
  <si>
    <t>6-5005</t>
  </si>
  <si>
    <t>6-5005.01</t>
  </si>
  <si>
    <t>6-5006</t>
  </si>
  <si>
    <t>6-5006.01</t>
  </si>
  <si>
    <t>6-5007</t>
  </si>
  <si>
    <t>6-5007.01</t>
  </si>
  <si>
    <t>6-5008</t>
  </si>
  <si>
    <t>6-5008.01</t>
  </si>
  <si>
    <t>6-5009</t>
  </si>
  <si>
    <t>6-5009.01</t>
  </si>
  <si>
    <t>6-5010</t>
  </si>
  <si>
    <t>6-5010.01</t>
  </si>
  <si>
    <t>6-4001</t>
  </si>
  <si>
    <t>6-4001.01</t>
  </si>
  <si>
    <t>6-4002</t>
  </si>
  <si>
    <t>6-4002.01</t>
  </si>
  <si>
    <t>6-4003</t>
  </si>
  <si>
    <t>6-4003.01</t>
  </si>
  <si>
    <t>6-4004</t>
  </si>
  <si>
    <t>6-4004.01</t>
  </si>
  <si>
    <t>6-4005</t>
  </si>
  <si>
    <t>6-4005.01</t>
  </si>
  <si>
    <t>6-4006</t>
  </si>
  <si>
    <t>6-4006.01</t>
  </si>
  <si>
    <t>6-4007</t>
  </si>
  <si>
    <t>6-4007.01</t>
  </si>
  <si>
    <t>6-4008</t>
  </si>
  <si>
    <t>6-4008.01</t>
  </si>
  <si>
    <t>6-4099</t>
  </si>
  <si>
    <t>6-4099.01</t>
  </si>
  <si>
    <t>6-3001</t>
  </si>
  <si>
    <t>6-3001.01</t>
  </si>
  <si>
    <t>6-3002</t>
  </si>
  <si>
    <t>6-3002.01</t>
  </si>
  <si>
    <t>6-3003</t>
  </si>
  <si>
    <t>6-3003.01</t>
  </si>
  <si>
    <t>6-3004</t>
  </si>
  <si>
    <t>6-3004.01</t>
  </si>
  <si>
    <t>6-3005</t>
  </si>
  <si>
    <t>6-3005.01</t>
  </si>
  <si>
    <t>6-3006</t>
  </si>
  <si>
    <t>6-3006.01</t>
  </si>
  <si>
    <t>6-3099</t>
  </si>
  <si>
    <t>6-3099.01</t>
  </si>
  <si>
    <t>6-2001</t>
  </si>
  <si>
    <t>6-2001.01</t>
  </si>
  <si>
    <t>6-2002</t>
  </si>
  <si>
    <t>6-2002.01</t>
  </si>
  <si>
    <t>6-2003</t>
  </si>
  <si>
    <t>6-2003.01</t>
  </si>
  <si>
    <t>6-2004</t>
  </si>
  <si>
    <t>6-2004.01</t>
  </si>
  <si>
    <t>6-2005</t>
  </si>
  <si>
    <t>6-2005.01</t>
  </si>
  <si>
    <t>6-2006</t>
  </si>
  <si>
    <t>6-2006.01</t>
  </si>
  <si>
    <t>6-2007</t>
  </si>
  <si>
    <t>6-2007.01</t>
  </si>
  <si>
    <t>6-2008</t>
  </si>
  <si>
    <t>6-2008.01</t>
  </si>
  <si>
    <t>6-2009</t>
  </si>
  <si>
    <t>6-2009.01</t>
  </si>
  <si>
    <t>6-2010</t>
  </si>
  <si>
    <t>6-2010.01</t>
  </si>
  <si>
    <t>6-2011</t>
  </si>
  <si>
    <t>6-2011.01</t>
  </si>
  <si>
    <t>6-2012</t>
  </si>
  <si>
    <t>6-2012.01</t>
  </si>
  <si>
    <t>6-2013</t>
  </si>
  <si>
    <t>6-2013.01</t>
  </si>
  <si>
    <t>6-2014</t>
  </si>
  <si>
    <t>6-2014.01</t>
  </si>
  <si>
    <t>6-2015</t>
  </si>
  <si>
    <t>6-2015.01</t>
  </si>
  <si>
    <t>6-2016</t>
  </si>
  <si>
    <t>6-2016.01</t>
  </si>
  <si>
    <t>6-2017</t>
  </si>
  <si>
    <t>6-2017.01</t>
  </si>
  <si>
    <t>6-2018</t>
  </si>
  <si>
    <t>6-2018.01</t>
  </si>
  <si>
    <t>6-2019</t>
  </si>
  <si>
    <t>6-2019.01</t>
  </si>
  <si>
    <t>6-2020</t>
  </si>
  <si>
    <t>6-2020.01</t>
  </si>
  <si>
    <t>6-2021</t>
  </si>
  <si>
    <t>6-2021.01</t>
  </si>
  <si>
    <t>6-2022</t>
  </si>
  <si>
    <t>6-2022.01</t>
  </si>
  <si>
    <t>6-2023</t>
  </si>
  <si>
    <t>6-2023.01</t>
  </si>
  <si>
    <t>6-2024</t>
  </si>
  <si>
    <t>6-2024.01</t>
  </si>
  <si>
    <t>6-2025</t>
  </si>
  <si>
    <t>6-2025.01</t>
  </si>
  <si>
    <t>6-2026</t>
  </si>
  <si>
    <t>6-2026.01</t>
  </si>
  <si>
    <t>6-2027</t>
  </si>
  <si>
    <t>6-2027.01</t>
  </si>
  <si>
    <t>6-2099</t>
  </si>
  <si>
    <t>6-2099.01</t>
  </si>
  <si>
    <t>6-1001</t>
  </si>
  <si>
    <t>6-1001.01</t>
  </si>
  <si>
    <t>6-1002</t>
  </si>
  <si>
    <t>6-1002.01</t>
  </si>
  <si>
    <t>6-1003</t>
  </si>
  <si>
    <t>6-1003.01</t>
  </si>
  <si>
    <t>6-1004</t>
  </si>
  <si>
    <t>6-1004.01</t>
  </si>
  <si>
    <t>6-1005</t>
  </si>
  <si>
    <t>6-1005.01</t>
  </si>
  <si>
    <t>6-1006</t>
  </si>
  <si>
    <t>6-1006.01</t>
  </si>
  <si>
    <t>6-1007</t>
  </si>
  <si>
    <t>6-1007.01</t>
  </si>
  <si>
    <t>6-1008</t>
  </si>
  <si>
    <t>6-1008.01</t>
  </si>
  <si>
    <t>6-1009</t>
  </si>
  <si>
    <t>6-1009.01</t>
  </si>
  <si>
    <t>6-1010.01</t>
  </si>
  <si>
    <t>6-1011</t>
  </si>
  <si>
    <t>6-1011.01</t>
  </si>
  <si>
    <t>6-1012</t>
  </si>
  <si>
    <t>6-1012.01</t>
  </si>
  <si>
    <t>6-1013</t>
  </si>
  <si>
    <t>6-1013.01</t>
  </si>
  <si>
    <t>6-1014</t>
  </si>
  <si>
    <t>6-1014.01</t>
  </si>
  <si>
    <t>6-1015</t>
  </si>
  <si>
    <t>6-1015.01</t>
  </si>
  <si>
    <t>6-1016</t>
  </si>
  <si>
    <t>6-1016.01</t>
  </si>
  <si>
    <t>6-1017</t>
  </si>
  <si>
    <t>6-1017.01</t>
  </si>
  <si>
    <t>6-1099</t>
  </si>
  <si>
    <t>6-1099.01</t>
  </si>
  <si>
    <r>
      <rPr>
        <b/>
        <sz val="10"/>
        <color rgb="FFFF0000"/>
        <rFont val="Arial Narrow"/>
        <family val="2"/>
      </rPr>
      <t>7-3001</t>
    </r>
  </si>
  <si>
    <r>
      <rPr>
        <b/>
        <sz val="10"/>
        <color rgb="FFFF0000"/>
        <rFont val="Arial Narrow"/>
        <family val="2"/>
      </rPr>
      <t>7-3001.01</t>
    </r>
  </si>
  <si>
    <r>
      <rPr>
        <b/>
        <sz val="10"/>
        <color rgb="FFFF0000"/>
        <rFont val="Arial Narrow"/>
        <family val="2"/>
      </rPr>
      <t>7-3002</t>
    </r>
  </si>
  <si>
    <r>
      <rPr>
        <b/>
        <sz val="10"/>
        <color rgb="FFFF0000"/>
        <rFont val="Arial Narrow"/>
        <family val="2"/>
      </rPr>
      <t>7-3002.01</t>
    </r>
  </si>
  <si>
    <t>8-1001</t>
  </si>
  <si>
    <t>8-1002</t>
  </si>
  <si>
    <t>8-1001.01</t>
  </si>
  <si>
    <t>8-1002.01</t>
  </si>
  <si>
    <t>8-2001</t>
  </si>
  <si>
    <t>8-2002</t>
  </si>
  <si>
    <t>8-2001.01</t>
  </si>
  <si>
    <t>8-2002.01</t>
  </si>
  <si>
    <t>2-2001.01</t>
  </si>
  <si>
    <t>2-2002.01</t>
  </si>
  <si>
    <t>2-1001</t>
  </si>
  <si>
    <r>
      <rPr>
        <b/>
        <sz val="10"/>
        <color rgb="FFFF0000"/>
        <rFont val="Arial Narrow"/>
        <family val="2"/>
      </rPr>
      <t>2-1002</t>
    </r>
  </si>
  <si>
    <t>2-1001.01</t>
  </si>
  <si>
    <t>2-1001.02</t>
  </si>
  <si>
    <r>
      <rPr>
        <b/>
        <sz val="10"/>
        <color rgb="FFFF0000"/>
        <rFont val="Arial Narrow"/>
        <family val="2"/>
      </rPr>
      <t>2-1002.01</t>
    </r>
  </si>
  <si>
    <t>2-1102</t>
  </si>
  <si>
    <t>2-1102.01</t>
  </si>
  <si>
    <t>2-1103</t>
  </si>
  <si>
    <t>2-1103.01</t>
  </si>
  <si>
    <t>2-1104</t>
  </si>
  <si>
    <t>2-1104.01</t>
  </si>
  <si>
    <t>2-1105</t>
  </si>
  <si>
    <t>2-1105.01</t>
  </si>
  <si>
    <t>2-1106</t>
  </si>
  <si>
    <t>2-1106.01</t>
  </si>
  <si>
    <t>2-1107</t>
  </si>
  <si>
    <t>2-1107.01</t>
  </si>
  <si>
    <t>2-1108</t>
  </si>
  <si>
    <t>2-1108.01</t>
  </si>
  <si>
    <t>2-1109</t>
  </si>
  <si>
    <t>2-1109.01</t>
  </si>
  <si>
    <t>2-1003</t>
  </si>
  <si>
    <t>2-1003.01</t>
  </si>
  <si>
    <t>2-1003.02</t>
  </si>
  <si>
    <t>Hutang Dagang (USD)</t>
  </si>
  <si>
    <t>Hutang Dagang (AUD)</t>
  </si>
  <si>
    <t>Unearned Revenue (USD)</t>
  </si>
  <si>
    <t>2-1004</t>
  </si>
  <si>
    <t>2-1004.01</t>
  </si>
  <si>
    <t>2-1005</t>
  </si>
  <si>
    <t>2-1005.01</t>
  </si>
  <si>
    <t>2-1006</t>
  </si>
  <si>
    <t>2-1006.01</t>
  </si>
  <si>
    <t>ALL LEVEL</t>
  </si>
  <si>
    <t>SEQUENCE</t>
  </si>
  <si>
    <t>1-1600.01</t>
  </si>
  <si>
    <t>Perlengkapan Kantor (IDR)</t>
  </si>
  <si>
    <t>1-1700.01</t>
  </si>
  <si>
    <t>Uang Muka (IDR)</t>
  </si>
  <si>
    <t>Biaya Dibayar Dimuka (IDR)</t>
  </si>
  <si>
    <t>1-1400.01</t>
  </si>
  <si>
    <t>Piutang Antar Perusahaan (USD)</t>
  </si>
  <si>
    <t>L6</t>
  </si>
  <si>
    <t>1-2001</t>
  </si>
  <si>
    <t>Investasi Saham (IDR)</t>
  </si>
  <si>
    <t>1-2001.01</t>
  </si>
  <si>
    <t>Tag : Bank-USD</t>
  </si>
  <si>
    <t>Tag : Bank-IDR</t>
  </si>
  <si>
    <t>Tag : Customer-IDR</t>
  </si>
  <si>
    <t>Tag : SisterCompany-IDR</t>
  </si>
  <si>
    <t>Tag : Supplier-IDR</t>
  </si>
  <si>
    <t>Hutang Antar Perusahaan (IDR)</t>
  </si>
  <si>
    <t>7-4100.01</t>
  </si>
  <si>
    <r>
      <rPr>
        <b/>
        <sz val="10"/>
        <color rgb="FFFF0000"/>
        <rFont val="Arial Narrow"/>
        <family val="2"/>
      </rPr>
      <t>7-1001</t>
    </r>
  </si>
  <si>
    <r>
      <rPr>
        <b/>
        <sz val="10"/>
        <color rgb="FFFF0000"/>
        <rFont val="Arial Narrow"/>
        <family val="2"/>
      </rPr>
      <t>7-1002</t>
    </r>
  </si>
  <si>
    <r>
      <rPr>
        <b/>
        <sz val="10"/>
        <color rgb="FFFF0000"/>
        <rFont val="Arial Narrow"/>
        <family val="2"/>
      </rPr>
      <t>7-1003</t>
    </r>
  </si>
  <si>
    <r>
      <rPr>
        <b/>
        <sz val="10"/>
        <color rgb="FFFF0000"/>
        <rFont val="Arial Narrow"/>
        <family val="2"/>
      </rPr>
      <t>7-1001.01</t>
    </r>
  </si>
  <si>
    <r>
      <rPr>
        <b/>
        <sz val="10"/>
        <color rgb="FFFF0000"/>
        <rFont val="Arial Narrow"/>
        <family val="2"/>
      </rPr>
      <t>7-1002.01</t>
    </r>
  </si>
  <si>
    <r>
      <rPr>
        <b/>
        <sz val="10"/>
        <color rgb="FFFF0000"/>
        <rFont val="Arial Narrow"/>
        <family val="2"/>
      </rPr>
      <t>7-1003.01</t>
    </r>
  </si>
  <si>
    <r>
      <rPr>
        <b/>
        <sz val="10"/>
        <color rgb="FFFF0000"/>
        <rFont val="Arial Narrow"/>
        <family val="2"/>
      </rPr>
      <t>7-2000.01</t>
    </r>
  </si>
  <si>
    <r>
      <rPr>
        <b/>
        <sz val="10"/>
        <rFont val="Arial Narrow"/>
        <family val="2"/>
      </rPr>
      <t>3-1000.</t>
    </r>
    <r>
      <rPr>
        <b/>
        <sz val="10"/>
        <color rgb="FFFF0000"/>
        <rFont val="Arial Narrow"/>
        <family val="2"/>
      </rPr>
      <t>01</t>
    </r>
  </si>
  <si>
    <r>
      <rPr>
        <b/>
        <sz val="10"/>
        <rFont val="Arial Narrow"/>
        <family val="2"/>
      </rPr>
      <t>3-2000.</t>
    </r>
    <r>
      <rPr>
        <b/>
        <sz val="10"/>
        <color rgb="FFFF0000"/>
        <rFont val="Arial Narrow"/>
        <family val="2"/>
      </rPr>
      <t>01</t>
    </r>
  </si>
  <si>
    <r>
      <rPr>
        <b/>
        <sz val="10"/>
        <rFont val="Arial Narrow"/>
        <family val="2"/>
      </rPr>
      <t>3-3000.</t>
    </r>
    <r>
      <rPr>
        <b/>
        <sz val="10"/>
        <color rgb="FFFF0000"/>
        <rFont val="Arial Narrow"/>
        <family val="2"/>
      </rPr>
      <t>01</t>
    </r>
  </si>
  <si>
    <r>
      <rPr>
        <b/>
        <sz val="10"/>
        <rFont val="Arial Narrow"/>
        <family val="2"/>
      </rPr>
      <t>3-9000.</t>
    </r>
    <r>
      <rPr>
        <b/>
        <sz val="10"/>
        <color rgb="FFFF0000"/>
        <rFont val="Arial Narrow"/>
        <family val="2"/>
      </rPr>
      <t>01</t>
    </r>
  </si>
  <si>
    <r>
      <rPr>
        <b/>
        <sz val="10"/>
        <rFont val="Arial Narrow"/>
        <family val="2"/>
      </rPr>
      <t>2-1200.</t>
    </r>
    <r>
      <rPr>
        <b/>
        <sz val="10"/>
        <color rgb="FFFF0000"/>
        <rFont val="Arial Narrow"/>
        <family val="2"/>
      </rPr>
      <t>01</t>
    </r>
  </si>
  <si>
    <r>
      <rPr>
        <b/>
        <sz val="10"/>
        <rFont val="Arial Narrow"/>
        <family val="2"/>
      </rPr>
      <t>1-4000.</t>
    </r>
    <r>
      <rPr>
        <b/>
        <sz val="10"/>
        <color rgb="FFFF0000"/>
        <rFont val="Arial Narrow"/>
        <family val="2"/>
      </rPr>
      <t>01</t>
    </r>
  </si>
  <si>
    <t>Tag : Employee</t>
  </si>
  <si>
    <t>PARENT</t>
  </si>
  <si>
    <t>null</t>
  </si>
  <si>
    <t>PERUBAHAN</t>
  </si>
  <si>
    <t>Conclution</t>
  </si>
  <si>
    <t>Business Trip</t>
  </si>
  <si>
    <t>Loan To Company</t>
  </si>
  <si>
    <t>SYS_PID Prediction</t>
  </si>
  <si>
    <t>SQL Syntax</t>
  </si>
  <si>
    <t>Sys_PID</t>
  </si>
  <si>
    <t>COA Name</t>
  </si>
  <si>
    <t>2-1001.03</t>
  </si>
  <si>
    <t>Hutang Lain - Lain (USD)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</si>
</sst>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color theme="1"/>
      <name val="Arial Narrow"/>
      <family val="2"/>
    </font>
    <font>
      <sz val="11"/>
      <color rgb="FFFF0000"/>
      <name val="Calibri"/>
      <family val="2"/>
      <charset val="1"/>
      <scheme val="minor"/>
    </font>
    <font>
      <b/>
      <sz val="10"/>
      <color theme="1"/>
      <name val="Arial Narrow"/>
      <family val="2"/>
    </font>
    <font>
      <sz val="10"/>
      <color rgb="FFFF0000"/>
      <name val="Arial Narrow"/>
      <family val="2"/>
    </font>
    <font>
      <b/>
      <sz val="10"/>
      <color rgb="FFFF0000"/>
      <name val="Arial Narrow"/>
      <family val="2"/>
    </font>
    <font>
      <b/>
      <sz val="10"/>
      <name val="Arial Narrow"/>
      <family val="2"/>
    </font>
    <font>
      <sz val="10"/>
      <name val="Arial Narrow"/>
      <family val="2"/>
    </font>
    <font>
      <sz val="11"/>
      <color theme="1"/>
      <name val="Calibri"/>
      <family val="2"/>
      <scheme val="minor"/>
    </font>
    <font>
      <i/>
      <sz val="10"/>
      <color rgb="FFC00000"/>
      <name val="Arial Narrow"/>
      <family val="2"/>
    </font>
    <font>
      <b/>
      <sz val="10"/>
      <color theme="0"/>
      <name val="Arial Narrow"/>
      <family val="2"/>
    </font>
    <font>
      <i/>
      <sz val="10"/>
      <color rgb="FF0070C0"/>
      <name val="Arial Narrow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43" fontId="9" fillId="0" borderId="0" applyFont="0" applyFill="0" applyBorder="0" applyAlignment="0" applyProtection="0"/>
  </cellStyleXfs>
  <cellXfs count="105">
    <xf numFmtId="0" fontId="0" fillId="0" borderId="0" xfId="0"/>
    <xf numFmtId="0" fontId="2" fillId="0" borderId="0" xfId="1" applyFont="1"/>
    <xf numFmtId="49" fontId="2" fillId="0" borderId="0" xfId="1" applyNumberFormat="1" applyFont="1"/>
    <xf numFmtId="0" fontId="1" fillId="2" borderId="0" xfId="1" applyFill="1"/>
    <xf numFmtId="0" fontId="3" fillId="0" borderId="0" xfId="1" applyFont="1"/>
    <xf numFmtId="0" fontId="1" fillId="0" borderId="0" xfId="1"/>
    <xf numFmtId="0" fontId="4" fillId="2" borderId="0" xfId="1" applyFont="1" applyFill="1" applyAlignment="1">
      <alignment horizontal="center" vertical="center"/>
    </xf>
    <xf numFmtId="0" fontId="4" fillId="3" borderId="1" xfId="1" applyFont="1" applyFill="1" applyBorder="1" applyAlignment="1">
      <alignment horizontal="center" vertical="center"/>
    </xf>
    <xf numFmtId="0" fontId="5" fillId="0" borderId="0" xfId="1" applyFont="1"/>
    <xf numFmtId="0" fontId="4" fillId="2" borderId="0" xfId="1" applyFont="1" applyFill="1" applyBorder="1" applyAlignment="1">
      <alignment horizontal="center"/>
    </xf>
    <xf numFmtId="0" fontId="4" fillId="2" borderId="0" xfId="1" applyFont="1" applyFill="1" applyBorder="1" applyAlignment="1">
      <alignment horizontal="center" vertical="center"/>
    </xf>
    <xf numFmtId="0" fontId="2" fillId="2" borderId="0" xfId="1" applyFont="1" applyFill="1"/>
    <xf numFmtId="0" fontId="3" fillId="2" borderId="0" xfId="1" applyFont="1" applyFill="1"/>
    <xf numFmtId="49" fontId="2" fillId="2" borderId="0" xfId="1" applyNumberFormat="1" applyFont="1" applyFill="1"/>
    <xf numFmtId="0" fontId="2" fillId="0" borderId="0" xfId="0" applyFont="1" applyAlignment="1">
      <alignment vertical="top" wrapText="1"/>
    </xf>
    <xf numFmtId="0" fontId="4" fillId="2" borderId="2" xfId="0" applyFont="1" applyFill="1" applyBorder="1" applyAlignment="1">
      <alignment horizontal="center" vertical="top" wrapText="1"/>
    </xf>
    <xf numFmtId="0" fontId="2" fillId="0" borderId="2" xfId="0" quotePrefix="1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2" fillId="0" borderId="3" xfId="0" quotePrefix="1" applyFont="1" applyBorder="1" applyAlignment="1">
      <alignment vertical="top" wrapText="1"/>
    </xf>
    <xf numFmtId="17" fontId="2" fillId="0" borderId="3" xfId="0" quotePrefix="1" applyNumberFormat="1" applyFont="1" applyBorder="1" applyAlignment="1">
      <alignment vertical="top" wrapText="1"/>
    </xf>
    <xf numFmtId="0" fontId="2" fillId="4" borderId="0" xfId="1" applyFont="1" applyFill="1"/>
    <xf numFmtId="0" fontId="2" fillId="5" borderId="0" xfId="1" applyFont="1" applyFill="1"/>
    <xf numFmtId="0" fontId="2" fillId="6" borderId="0" xfId="1" applyFont="1" applyFill="1"/>
    <xf numFmtId="0" fontId="2" fillId="0" borderId="4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4" xfId="0" quotePrefix="1" applyFont="1" applyBorder="1" applyAlignment="1">
      <alignment vertical="top" wrapText="1"/>
    </xf>
    <xf numFmtId="0" fontId="4" fillId="2" borderId="1" xfId="0" applyFont="1" applyFill="1" applyBorder="1" applyAlignment="1">
      <alignment horizontal="center" vertical="top" wrapText="1"/>
    </xf>
    <xf numFmtId="0" fontId="2" fillId="0" borderId="1" xfId="0" quotePrefix="1" applyFont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2" fillId="0" borderId="6" xfId="0" applyFont="1" applyBorder="1" applyAlignment="1">
      <alignment vertical="top" wrapText="1"/>
    </xf>
    <xf numFmtId="17" fontId="2" fillId="0" borderId="4" xfId="0" quotePrefix="1" applyNumberFormat="1" applyFont="1" applyBorder="1" applyAlignment="1">
      <alignment vertical="top" wrapText="1"/>
    </xf>
    <xf numFmtId="0" fontId="2" fillId="0" borderId="0" xfId="0" applyFont="1"/>
    <xf numFmtId="0" fontId="2" fillId="0" borderId="3" xfId="0" applyFont="1" applyBorder="1"/>
    <xf numFmtId="0" fontId="2" fillId="0" borderId="4" xfId="0" applyFont="1" applyBorder="1"/>
    <xf numFmtId="0" fontId="4" fillId="0" borderId="0" xfId="0" applyFont="1"/>
    <xf numFmtId="0" fontId="5" fillId="0" borderId="0" xfId="0" applyFont="1"/>
    <xf numFmtId="0" fontId="7" fillId="0" borderId="2" xfId="0" quotePrefix="1" applyFont="1" applyBorder="1" applyAlignment="1">
      <alignment vertical="top" wrapText="1"/>
    </xf>
    <xf numFmtId="0" fontId="8" fillId="0" borderId="2" xfId="0" applyFont="1" applyBorder="1" applyAlignment="1">
      <alignment vertical="top" wrapText="1"/>
    </xf>
    <xf numFmtId="0" fontId="7" fillId="0" borderId="3" xfId="0" applyFont="1" applyBorder="1"/>
    <xf numFmtId="0" fontId="8" fillId="0" borderId="3" xfId="0" applyFont="1" applyBorder="1"/>
    <xf numFmtId="0" fontId="7" fillId="0" borderId="3" xfId="0" applyFont="1" applyBorder="1" applyAlignment="1">
      <alignment vertical="top" wrapText="1"/>
    </xf>
    <xf numFmtId="0" fontId="8" fillId="0" borderId="3" xfId="0" applyFont="1" applyBorder="1" applyAlignment="1">
      <alignment vertical="top" wrapText="1"/>
    </xf>
    <xf numFmtId="0" fontId="7" fillId="0" borderId="3" xfId="0" quotePrefix="1" applyFont="1" applyBorder="1" applyAlignment="1">
      <alignment vertical="top" wrapText="1"/>
    </xf>
    <xf numFmtId="0" fontId="7" fillId="0" borderId="4" xfId="0" applyFont="1" applyBorder="1"/>
    <xf numFmtId="0" fontId="8" fillId="0" borderId="4" xfId="0" applyFont="1" applyBorder="1"/>
    <xf numFmtId="17" fontId="7" fillId="0" borderId="3" xfId="0" quotePrefix="1" applyNumberFormat="1" applyFont="1" applyBorder="1" applyAlignment="1">
      <alignment vertical="top" wrapText="1"/>
    </xf>
    <xf numFmtId="0" fontId="7" fillId="0" borderId="4" xfId="0" applyFont="1" applyBorder="1" applyAlignment="1">
      <alignment vertical="top" wrapText="1"/>
    </xf>
    <xf numFmtId="0" fontId="8" fillId="0" borderId="4" xfId="0" applyFont="1" applyBorder="1" applyAlignment="1">
      <alignment vertical="top" wrapText="1"/>
    </xf>
    <xf numFmtId="0" fontId="7" fillId="0" borderId="4" xfId="0" quotePrefix="1" applyFont="1" applyBorder="1" applyAlignment="1">
      <alignment vertical="top" wrapText="1"/>
    </xf>
    <xf numFmtId="0" fontId="6" fillId="0" borderId="3" xfId="0" applyFont="1" applyBorder="1"/>
    <xf numFmtId="0" fontId="6" fillId="0" borderId="3" xfId="0" quotePrefix="1" applyFont="1" applyBorder="1" applyAlignment="1">
      <alignment vertical="top" wrapText="1"/>
    </xf>
    <xf numFmtId="0" fontId="6" fillId="0" borderId="4" xfId="0" applyFont="1" applyBorder="1"/>
    <xf numFmtId="17" fontId="6" fillId="0" borderId="3" xfId="0" quotePrefix="1" applyNumberFormat="1" applyFont="1" applyBorder="1" applyAlignment="1">
      <alignment vertical="top" wrapText="1"/>
    </xf>
    <xf numFmtId="0" fontId="6" fillId="0" borderId="4" xfId="0" quotePrefix="1" applyFont="1" applyBorder="1" applyAlignment="1">
      <alignment vertical="top" wrapText="1"/>
    </xf>
    <xf numFmtId="0" fontId="6" fillId="0" borderId="0" xfId="0" applyFont="1"/>
    <xf numFmtId="0" fontId="7" fillId="0" borderId="3" xfId="0" quotePrefix="1" applyFont="1" applyBorder="1"/>
    <xf numFmtId="0" fontId="6" fillId="0" borderId="3" xfId="0" quotePrefix="1" applyFont="1" applyBorder="1"/>
    <xf numFmtId="0" fontId="2" fillId="0" borderId="0" xfId="0" applyFont="1" applyAlignment="1">
      <alignment vertical="top"/>
    </xf>
    <xf numFmtId="0" fontId="10" fillId="0" borderId="0" xfId="0" applyFont="1" applyAlignment="1">
      <alignment vertical="top"/>
    </xf>
    <xf numFmtId="1" fontId="2" fillId="0" borderId="0" xfId="0" applyNumberFormat="1" applyFont="1" applyAlignment="1">
      <alignment vertical="top"/>
    </xf>
    <xf numFmtId="1" fontId="2" fillId="0" borderId="0" xfId="2" applyNumberFormat="1" applyFont="1" applyAlignment="1">
      <alignment vertical="top"/>
    </xf>
    <xf numFmtId="1" fontId="11" fillId="7" borderId="0" xfId="0" applyNumberFormat="1" applyFont="1" applyFill="1" applyAlignment="1">
      <alignment horizontal="center" vertical="top"/>
    </xf>
    <xf numFmtId="1" fontId="2" fillId="0" borderId="0" xfId="0" applyNumberFormat="1" applyFont="1" applyAlignment="1">
      <alignment horizontal="center" vertical="top"/>
    </xf>
    <xf numFmtId="1" fontId="2" fillId="0" borderId="0" xfId="0" applyNumberFormat="1" applyFont="1"/>
    <xf numFmtId="1" fontId="2" fillId="5" borderId="3" xfId="0" applyNumberFormat="1" applyFont="1" applyFill="1" applyBorder="1" applyAlignment="1">
      <alignment horizontal="center" vertical="top"/>
    </xf>
    <xf numFmtId="1" fontId="2" fillId="0" borderId="0" xfId="0" applyNumberFormat="1" applyFont="1" applyAlignment="1">
      <alignment horizontal="center" vertical="top"/>
    </xf>
    <xf numFmtId="1" fontId="2" fillId="2" borderId="3" xfId="0" applyNumberFormat="1" applyFont="1" applyFill="1" applyBorder="1" applyAlignment="1">
      <alignment horizontal="center" vertical="top"/>
    </xf>
    <xf numFmtId="0" fontId="2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  <xf numFmtId="1" fontId="2" fillId="2" borderId="0" xfId="0" applyNumberFormat="1" applyFont="1" applyFill="1" applyAlignment="1">
      <alignment vertical="top"/>
    </xf>
    <xf numFmtId="1" fontId="2" fillId="8" borderId="0" xfId="2" applyNumberFormat="1" applyFont="1" applyFill="1" applyAlignment="1">
      <alignment vertical="top"/>
    </xf>
    <xf numFmtId="1" fontId="2" fillId="8" borderId="0" xfId="0" applyNumberFormat="1" applyFont="1" applyFill="1" applyAlignment="1">
      <alignment vertical="top"/>
    </xf>
    <xf numFmtId="0" fontId="2" fillId="0" borderId="0" xfId="0" applyFont="1" applyAlignment="1">
      <alignment horizontal="center"/>
    </xf>
    <xf numFmtId="1" fontId="11" fillId="7" borderId="9" xfId="0" applyNumberFormat="1" applyFont="1" applyFill="1" applyBorder="1" applyAlignment="1">
      <alignment horizontal="center" vertical="center" wrapText="1"/>
    </xf>
    <xf numFmtId="1" fontId="11" fillId="7" borderId="10" xfId="0" applyNumberFormat="1" applyFont="1" applyFill="1" applyBorder="1" applyAlignment="1">
      <alignment horizontal="center" vertical="center" wrapText="1"/>
    </xf>
    <xf numFmtId="1" fontId="7" fillId="9" borderId="12" xfId="0" applyNumberFormat="1" applyFont="1" applyFill="1" applyBorder="1" applyAlignment="1"/>
    <xf numFmtId="1" fontId="7" fillId="9" borderId="11" xfId="0" applyNumberFormat="1" applyFont="1" applyFill="1" applyBorder="1" applyAlignment="1">
      <alignment horizontal="center"/>
    </xf>
    <xf numFmtId="1" fontId="8" fillId="5" borderId="3" xfId="0" applyNumberFormat="1" applyFont="1" applyFill="1" applyBorder="1" applyAlignment="1">
      <alignment horizontal="center"/>
    </xf>
    <xf numFmtId="1" fontId="8" fillId="5" borderId="13" xfId="0" applyNumberFormat="1" applyFont="1" applyFill="1" applyBorder="1" applyAlignment="1">
      <alignment horizontal="center"/>
    </xf>
    <xf numFmtId="1" fontId="12" fillId="0" borderId="13" xfId="0" applyNumberFormat="1" applyFont="1" applyBorder="1"/>
    <xf numFmtId="1" fontId="12" fillId="0" borderId="3" xfId="0" applyNumberFormat="1" applyFont="1" applyBorder="1"/>
    <xf numFmtId="0" fontId="4" fillId="10" borderId="15" xfId="0" applyFont="1" applyFill="1" applyBorder="1" applyAlignment="1">
      <alignment horizontal="center" vertical="center" wrapText="1"/>
    </xf>
    <xf numFmtId="1" fontId="4" fillId="10" borderId="14" xfId="0" applyNumberFormat="1" applyFont="1" applyFill="1" applyBorder="1" applyAlignment="1">
      <alignment horizontal="center" vertical="center" wrapText="1"/>
    </xf>
    <xf numFmtId="1" fontId="2" fillId="3" borderId="16" xfId="0" applyNumberFormat="1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2" fillId="3" borderId="17" xfId="0" applyFont="1" applyFill="1" applyBorder="1" applyAlignment="1">
      <alignment horizontal="left"/>
    </xf>
    <xf numFmtId="0" fontId="4" fillId="10" borderId="18" xfId="0" applyFont="1" applyFill="1" applyBorder="1" applyAlignment="1">
      <alignment horizontal="center" vertical="center" wrapText="1"/>
    </xf>
    <xf numFmtId="0" fontId="2" fillId="3" borderId="19" xfId="0" applyFont="1" applyFill="1" applyBorder="1" applyAlignment="1">
      <alignment horizontal="center"/>
    </xf>
    <xf numFmtId="1" fontId="2" fillId="0" borderId="3" xfId="0" applyNumberFormat="1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2" fillId="11" borderId="13" xfId="0" applyFont="1" applyFill="1" applyBorder="1" applyAlignment="1">
      <alignment horizontal="left"/>
    </xf>
    <xf numFmtId="0" fontId="2" fillId="11" borderId="3" xfId="0" applyFont="1" applyFill="1" applyBorder="1" applyAlignment="1">
      <alignment horizontal="left"/>
    </xf>
    <xf numFmtId="1" fontId="2" fillId="2" borderId="13" xfId="0" applyNumberFormat="1" applyFont="1" applyFill="1" applyBorder="1" applyAlignment="1">
      <alignment horizontal="center"/>
    </xf>
    <xf numFmtId="1" fontId="2" fillId="2" borderId="3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" fontId="2" fillId="0" borderId="0" xfId="0" applyNumberFormat="1" applyFont="1" applyAlignment="1">
      <alignment horizontal="center" vertical="top"/>
    </xf>
    <xf numFmtId="0" fontId="7" fillId="2" borderId="7" xfId="0" applyFont="1" applyFill="1" applyBorder="1" applyAlignment="1">
      <alignment horizontal="center" vertical="top" wrapText="1"/>
    </xf>
    <xf numFmtId="0" fontId="7" fillId="2" borderId="8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top" wrapText="1"/>
    </xf>
    <xf numFmtId="0" fontId="4" fillId="2" borderId="7" xfId="0" applyFont="1" applyFill="1" applyBorder="1" applyAlignment="1">
      <alignment horizontal="center" vertical="top" wrapText="1"/>
    </xf>
    <xf numFmtId="0" fontId="4" fillId="2" borderId="8" xfId="0" applyFont="1" applyFill="1" applyBorder="1" applyAlignment="1">
      <alignment horizontal="center" vertical="top" wrapText="1"/>
    </xf>
    <xf numFmtId="0" fontId="4" fillId="3" borderId="1" xfId="1" applyFont="1" applyFill="1" applyBorder="1" applyAlignment="1">
      <alignment horizontal="center"/>
    </xf>
    <xf numFmtId="0" fontId="4" fillId="3" borderId="1" xfId="1" applyFont="1" applyFill="1" applyBorder="1" applyAlignment="1">
      <alignment horizontal="center" vertical="center"/>
    </xf>
    <xf numFmtId="0" fontId="1" fillId="0" borderId="0" xfId="1" applyAlignment="1">
      <alignment horizontal="center" wrapText="1"/>
    </xf>
  </cellXfs>
  <cellStyles count="3">
    <cellStyle name="Comma" xfId="2" builtinId="3"/>
    <cellStyle name="Normal" xfId="0" builtinId="0"/>
    <cellStyle name="Normal 2" xfId="1"/>
  </cellStyles>
  <dxfs count="1">
    <dxf>
      <fill>
        <patternFill>
          <bgColor theme="1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BC552"/>
  <sheetViews>
    <sheetView tabSelected="1" zoomScale="80" zoomScaleNormal="80" workbookViewId="0">
      <pane xSplit="3" ySplit="4" topLeftCell="BI5" activePane="bottomRight" state="frozen"/>
      <selection pane="topRight" activeCell="D1" sqref="D1"/>
      <selection pane="bottomLeft" activeCell="A4" sqref="A4"/>
      <selection pane="bottomRight" activeCell="CD8" sqref="CD8"/>
    </sheetView>
  </sheetViews>
  <sheetFormatPr defaultRowHeight="12.75" x14ac:dyDescent="0.2"/>
  <cols>
    <col min="1" max="1" width="1.42578125" style="32" customWidth="1"/>
    <col min="2" max="2" width="6.28515625" style="35" bestFit="1" customWidth="1"/>
    <col min="3" max="3" width="14.5703125" style="32" bestFit="1" customWidth="1"/>
    <col min="4" max="4" width="5.85546875" style="35" bestFit="1" customWidth="1"/>
    <col min="5" max="5" width="20.85546875" style="32" bestFit="1" customWidth="1"/>
    <col min="6" max="6" width="5.85546875" style="35" bestFit="1" customWidth="1"/>
    <col min="7" max="7" width="16.28515625" style="32" bestFit="1" customWidth="1"/>
    <col min="8" max="8" width="5.85546875" style="32" bestFit="1" customWidth="1"/>
    <col min="9" max="9" width="20.42578125" style="32" bestFit="1" customWidth="1"/>
    <col min="10" max="10" width="8.5703125" style="32" bestFit="1" customWidth="1"/>
    <col min="11" max="11" width="25.5703125" style="32" bestFit="1" customWidth="1"/>
    <col min="12" max="12" width="10.140625" style="35" bestFit="1" customWidth="1"/>
    <col min="13" max="13" width="28" style="32" bestFit="1" customWidth="1"/>
    <col min="14" max="14" width="2.85546875" style="32" customWidth="1"/>
    <col min="15" max="15" width="2.85546875" style="58" customWidth="1"/>
    <col min="16" max="20" width="2.42578125" style="58" customWidth="1"/>
    <col min="21" max="21" width="3.28515625" style="58" customWidth="1"/>
    <col min="22" max="28" width="7.42578125" style="60" customWidth="1"/>
    <col min="29" max="29" width="8.28515625" style="60" customWidth="1"/>
    <col min="30" max="32" width="2.7109375" style="60" customWidth="1"/>
    <col min="33" max="33" width="3.5703125" style="60" customWidth="1"/>
    <col min="34" max="35" width="2.7109375" style="60" customWidth="1"/>
    <col min="36" max="36" width="8.5703125" style="60" customWidth="1"/>
    <col min="37" max="37" width="11.42578125" style="68" hidden="1" customWidth="1"/>
    <col min="38" max="38" width="2.7109375" style="32" hidden="1" customWidth="1"/>
    <col min="39" max="39" width="3.7109375" style="64" hidden="1" customWidth="1"/>
    <col min="40" max="43" width="13.7109375" style="64" hidden="1" customWidth="1"/>
    <col min="44" max="44" width="4" style="32" hidden="1" customWidth="1"/>
    <col min="45" max="45" width="13.7109375" style="64" hidden="1" customWidth="1"/>
    <col min="46" max="46" width="0" style="32" hidden="1" customWidth="1"/>
    <col min="47" max="47" width="24.140625" style="59" customWidth="1"/>
    <col min="48" max="48" width="14" style="58" customWidth="1"/>
    <col min="49" max="49" width="13.7109375" style="58" bestFit="1" customWidth="1"/>
    <col min="50" max="50" width="17.42578125" style="64" customWidth="1"/>
    <col min="51" max="52" width="9.140625" style="32"/>
    <col min="53" max="53" width="15.85546875" style="73" customWidth="1"/>
    <col min="54" max="54" width="10.5703125" style="32" bestFit="1" customWidth="1"/>
    <col min="55" max="16384" width="9.140625" style="32"/>
  </cols>
  <sheetData>
    <row r="1" spans="2:55" x14ac:dyDescent="0.2">
      <c r="AD1" s="96" t="s">
        <v>1721</v>
      </c>
      <c r="AE1" s="96"/>
      <c r="AF1" s="96"/>
      <c r="AG1" s="96"/>
      <c r="AH1" s="96"/>
      <c r="AI1" s="96"/>
      <c r="AM1" s="95" t="s">
        <v>1754</v>
      </c>
      <c r="AN1" s="95"/>
      <c r="AO1" s="95"/>
      <c r="AP1" s="95"/>
      <c r="AQ1" s="95"/>
      <c r="AR1" s="95"/>
      <c r="AS1" s="95"/>
    </row>
    <row r="2" spans="2:55" ht="12.75" customHeight="1" thickBot="1" x14ac:dyDescent="0.25">
      <c r="B2" s="99" t="s">
        <v>3</v>
      </c>
      <c r="C2" s="99"/>
      <c r="D2" s="99" t="s">
        <v>4</v>
      </c>
      <c r="E2" s="99"/>
      <c r="F2" s="99" t="s">
        <v>742</v>
      </c>
      <c r="G2" s="99"/>
      <c r="H2" s="99" t="s">
        <v>743</v>
      </c>
      <c r="I2" s="99"/>
      <c r="J2" s="99" t="s">
        <v>1122</v>
      </c>
      <c r="K2" s="99"/>
      <c r="L2" s="99" t="s">
        <v>1123</v>
      </c>
      <c r="M2" s="99"/>
      <c r="V2" s="60" t="s">
        <v>1720</v>
      </c>
      <c r="W2" s="63" t="s">
        <v>1421</v>
      </c>
      <c r="X2" s="63" t="s">
        <v>1422</v>
      </c>
      <c r="Y2" s="63" t="s">
        <v>1423</v>
      </c>
      <c r="Z2" s="63" t="s">
        <v>1424</v>
      </c>
      <c r="AA2" s="63" t="s">
        <v>1425</v>
      </c>
      <c r="AB2" s="66" t="s">
        <v>1729</v>
      </c>
      <c r="AD2" s="60" t="s">
        <v>1421</v>
      </c>
      <c r="AE2" s="60" t="s">
        <v>1422</v>
      </c>
      <c r="AF2" s="60" t="s">
        <v>1423</v>
      </c>
      <c r="AG2" s="60" t="s">
        <v>1424</v>
      </c>
      <c r="AH2" s="60" t="s">
        <v>1425</v>
      </c>
      <c r="AI2" s="60" t="s">
        <v>1729</v>
      </c>
      <c r="AK2" s="68" t="s">
        <v>1756</v>
      </c>
      <c r="AM2" s="69" t="s">
        <v>1421</v>
      </c>
      <c r="AN2" s="69" t="s">
        <v>1422</v>
      </c>
      <c r="AO2" s="69" t="s">
        <v>1423</v>
      </c>
      <c r="AP2" s="69" t="s">
        <v>1424</v>
      </c>
      <c r="AQ2" s="69" t="s">
        <v>1425</v>
      </c>
      <c r="AR2" s="68"/>
      <c r="AS2" s="64" t="s">
        <v>1757</v>
      </c>
    </row>
    <row r="3" spans="2:55" ht="12.75" customHeight="1" x14ac:dyDescent="0.2">
      <c r="B3" s="100" t="s">
        <v>1068</v>
      </c>
      <c r="C3" s="101"/>
      <c r="D3" s="97" t="s">
        <v>1069</v>
      </c>
      <c r="E3" s="98"/>
      <c r="F3" s="97" t="s">
        <v>1070</v>
      </c>
      <c r="G3" s="98"/>
      <c r="H3" s="97" t="s">
        <v>1071</v>
      </c>
      <c r="I3" s="98"/>
      <c r="J3" s="97" t="s">
        <v>1072</v>
      </c>
      <c r="K3" s="98"/>
      <c r="L3" s="97" t="s">
        <v>1073</v>
      </c>
      <c r="M3" s="98"/>
      <c r="O3" s="58" t="s">
        <v>1421</v>
      </c>
      <c r="P3" s="58" t="s">
        <v>1422</v>
      </c>
      <c r="Q3" s="58" t="s">
        <v>1423</v>
      </c>
      <c r="R3" s="58" t="s">
        <v>1424</v>
      </c>
      <c r="S3" s="58" t="s">
        <v>1425</v>
      </c>
      <c r="T3" s="58" t="s">
        <v>1729</v>
      </c>
      <c r="W3" s="61"/>
      <c r="X3" s="61"/>
      <c r="Y3" s="61"/>
      <c r="Z3" s="61"/>
      <c r="AA3" s="61"/>
      <c r="AB3" s="61"/>
      <c r="BA3" s="74" t="s">
        <v>1760</v>
      </c>
      <c r="BB3" s="75" t="s">
        <v>1761</v>
      </c>
      <c r="BC3" s="32" t="str">
        <f>IF(EXACT(LEFT($B5, 1), "1"), "TRUE", "FALSE")</f>
        <v>TRUE</v>
      </c>
    </row>
    <row r="4" spans="2:55" ht="13.5" thickBot="1" x14ac:dyDescent="0.25">
      <c r="B4" s="15" t="s">
        <v>1</v>
      </c>
      <c r="C4" s="15" t="s">
        <v>746</v>
      </c>
      <c r="D4" s="27" t="s">
        <v>1</v>
      </c>
      <c r="E4" s="27" t="s">
        <v>746</v>
      </c>
      <c r="F4" s="27" t="s">
        <v>1</v>
      </c>
      <c r="G4" s="27" t="s">
        <v>746</v>
      </c>
      <c r="H4" s="27" t="s">
        <v>1</v>
      </c>
      <c r="I4" s="27" t="s">
        <v>746</v>
      </c>
      <c r="J4" s="27" t="s">
        <v>1</v>
      </c>
      <c r="K4" s="27" t="s">
        <v>746</v>
      </c>
      <c r="L4" s="27" t="s">
        <v>1</v>
      </c>
      <c r="M4" s="27" t="s">
        <v>746</v>
      </c>
      <c r="O4" s="58" t="s">
        <v>1409</v>
      </c>
      <c r="P4" s="58" t="s">
        <v>1409</v>
      </c>
      <c r="Q4" s="58" t="s">
        <v>1409</v>
      </c>
      <c r="R4" s="58" t="s">
        <v>1409</v>
      </c>
      <c r="S4" s="58" t="s">
        <v>1409</v>
      </c>
      <c r="T4" s="58" t="s">
        <v>1409</v>
      </c>
      <c r="V4" s="71">
        <v>65000000000000</v>
      </c>
      <c r="W4" s="61">
        <f t="shared" ref="W4:AB4" si="0">$V4</f>
        <v>65000000000000</v>
      </c>
      <c r="X4" s="61">
        <f t="shared" si="0"/>
        <v>65000000000000</v>
      </c>
      <c r="Y4" s="61">
        <f t="shared" si="0"/>
        <v>65000000000000</v>
      </c>
      <c r="Z4" s="61">
        <f t="shared" si="0"/>
        <v>65000000000000</v>
      </c>
      <c r="AA4" s="61">
        <f t="shared" si="0"/>
        <v>65000000000000</v>
      </c>
      <c r="AB4" s="61">
        <f t="shared" si="0"/>
        <v>65000000000000</v>
      </c>
      <c r="AC4" s="61"/>
      <c r="AD4" s="61"/>
      <c r="AE4" s="61"/>
      <c r="AF4" s="61"/>
      <c r="AG4" s="61"/>
      <c r="AH4" s="61"/>
      <c r="AI4" s="61"/>
      <c r="AJ4" s="61"/>
      <c r="AM4" s="64" t="s">
        <v>1755</v>
      </c>
      <c r="AV4" s="62" t="s">
        <v>1419</v>
      </c>
      <c r="AW4" s="62" t="s">
        <v>1420</v>
      </c>
      <c r="BA4" s="77">
        <v>65000000000000</v>
      </c>
      <c r="BB4" s="76"/>
    </row>
    <row r="5" spans="2:55" x14ac:dyDescent="0.2">
      <c r="B5" s="37" t="s">
        <v>1074</v>
      </c>
      <c r="C5" s="38" t="s">
        <v>707</v>
      </c>
      <c r="D5" s="39"/>
      <c r="E5" s="40"/>
      <c r="F5" s="39"/>
      <c r="G5" s="40"/>
      <c r="H5" s="50"/>
      <c r="I5" s="33"/>
      <c r="J5" s="50"/>
      <c r="K5" s="33"/>
      <c r="L5" s="50"/>
      <c r="M5" s="33"/>
      <c r="O5" s="58" t="str">
        <f>IF(EXACT($B5, ""), $O4, $B5)</f>
        <v>1-0000</v>
      </c>
      <c r="P5" s="58" t="str">
        <f>IF(EXACT($D5, ""), $P4, $D5)</f>
        <v xml:space="preserve"> </v>
      </c>
      <c r="Q5" s="58" t="str">
        <f>IF(EXACT($F5, ""), $Q4, $F5)</f>
        <v xml:space="preserve"> </v>
      </c>
      <c r="R5" s="58" t="str">
        <f>IF(EXACT($H5, ""), $R4, $H5)</f>
        <v xml:space="preserve"> </v>
      </c>
      <c r="S5" s="58" t="str">
        <f>IF(EXACT($J5, ""), $S4, $J5)</f>
        <v xml:space="preserve"> </v>
      </c>
      <c r="T5" s="58" t="str">
        <f>IF(EXACT($L5, ""), $T4, $L5)</f>
        <v xml:space="preserve"> </v>
      </c>
      <c r="V5" s="72">
        <f>V4+IF(AND(EXACT(B5, ""), EXACT(D5, ""), EXACT(F5, ""), EXACT(H5, ""), EXACT(J5, ""), EXACT(L5, "")), 0, 1)</f>
        <v>65000000000001</v>
      </c>
      <c r="W5" s="60">
        <f>IF(EXACT($B5, ""), $W4, $V5)</f>
        <v>65000000000001</v>
      </c>
      <c r="X5" s="60">
        <f>IF(EXACT($D5, ""), $X4, $V5)</f>
        <v>65000000000000</v>
      </c>
      <c r="Y5" s="60">
        <f>IF(EXACT($F5, ""), $Y4, $V5)</f>
        <v>65000000000000</v>
      </c>
      <c r="Z5" s="60">
        <f>IF(EXACT($H5, ""), $Z4, $V5)</f>
        <v>65000000000000</v>
      </c>
      <c r="AA5" s="60">
        <f t="shared" ref="AA5:AA68" si="1">IF(EXACT($J5, ""), $AA4, $V5)</f>
        <v>65000000000000</v>
      </c>
      <c r="AB5" s="60">
        <f>IF(EXACT($L5, ""), $AB4, $V5)</f>
        <v>65000000000000</v>
      </c>
      <c r="AD5" s="60">
        <f t="shared" ref="AD5" si="2">AD4 + IF(W5&lt;&gt;W4, 1, 0)</f>
        <v>1</v>
      </c>
      <c r="AE5" s="60">
        <f>IF(AD4&lt;&gt;AD5, 1, AE4) + IF(X5&lt;&gt;X4, 1, 0)</f>
        <v>1</v>
      </c>
      <c r="AF5" s="60">
        <f>IF(AE4&lt;&gt;AE5, 1, AF4) + IF(Y5&lt;&gt;Y4, 1, 0)</f>
        <v>1</v>
      </c>
      <c r="AG5" s="60">
        <f>IF(AF4&lt;&gt;AF5, 1, AG4) + IF(Z5&lt;&gt;Z4, 1, 0)</f>
        <v>1</v>
      </c>
      <c r="AH5" s="60">
        <f>IF(AG4&lt;&gt;AG5, 1, AH4) + IF(AA5&lt;&gt;AA4, 1, 0)</f>
        <v>1</v>
      </c>
      <c r="AI5" s="60">
        <f>IF(AH4&lt;&gt;AH5, 1, AI4) + IF(AB5&lt;&gt;AB4, 1, 0)</f>
        <v>1</v>
      </c>
      <c r="AK5" s="68" t="str">
        <f t="shared" ref="AK5:AK68" si="3" xml:space="preserve">
IF(AA5&lt;&gt;AA4,
     "L5",
     IF(Z5&lt;&gt;Z4,
          "L4",
          IF(Y5&lt;&gt;Y4,
               "L3",
               IF(X5&lt;&gt;X4,
                    "L2",
                     IF(W5&lt;&gt;W4,
                         "L1",
                         "L1"
                         )
                    )
               )
          )
     )</f>
        <v>L1</v>
      </c>
      <c r="AM5" s="64" t="s">
        <v>1755</v>
      </c>
      <c r="AN5" s="64">
        <f t="shared" ref="AN5:AN68" si="4">IF(EXACT($AK4, "L1"), $W4, AN4)</f>
        <v>0</v>
      </c>
      <c r="AO5" s="64">
        <f t="shared" ref="AO5:AO68" si="5">IF(EXACT($AK4, "L1"), $W4, IF(EXACT($AK4, "L2"), $X4, AO4))</f>
        <v>0</v>
      </c>
      <c r="AP5" s="64">
        <f t="shared" ref="AP5:AP68" si="6">IF(EXACT($AK4, "L1"), $W4, IF(EXACT($AK4, "L2"), $X4, IF(EXACT($AK4, "L3"), $Y4, AP4)))</f>
        <v>0</v>
      </c>
      <c r="AQ5" s="64">
        <f t="shared" ref="AQ5:AQ68" si="7">IF(EXACT($AK4, "L1"), $W4, IF(EXACT($AK4, "L2"), $X4, IF(EXACT($AK4, "L3"), $Y4, IF(EXACT($AK4, "L4"), $Z4, AQ4))))</f>
        <v>0</v>
      </c>
      <c r="AS5" s="64" t="str">
        <f t="shared" ref="AS5:AS68" si="8">IF(EXACT($AK5, "L1"), AM5, IF(EXACT($AK5, "L2"), AN5, IF(EXACT($AK5, "L3"), AO5, IF(EXACT($AK5, "L4"), AP5, IF(EXACT($AK5, "L5"), AQ5, "")))))</f>
        <v>null</v>
      </c>
      <c r="AU5" s="59" t="str">
        <f>IF(AND(EXACT(B5, ""), EXACT(D5, ""), EXACT(F5, ""), EXACT(H5, ""), EXACT(J5, ""), EXACT(L5, "")), "", CONCATENATE(
"PERFORM * FROM ""SchData-OLTP-Accounting"".""Func_TblChartOfAccount_SET""(varSystemLoginSession, null, null, null, varInstitutionBranchID, 62000000000001::bigint,'",
IF(EXACT(B5, ""), IF(EXACT(D5, ""), IF(EXACT(F5, ""), IF(EXACT(H5, ""), IF(EXACT(J5, ""), IF(EXACT(L5, ""), "", L5), J5), H5), F5), D5), B5),
"', '",
IF(EXACT(B5, ""), IF(EXACT(D5, ""), IF(EXACT(F5, ""), IF(EXACT(H5, ""), IF(EXACT(J5, ""), IF(EXACT(L5, ""), "", M5), K5), I5), G5), E5), C5),
"', ",
IF(EXACT(J5, ""), "62000000000001::bigint", IF((RIGHT(J5, 2)*1 = 1), "62000000000001::bigint", IF((RIGHT(J5, 2)*1 = 2), "62000000000002::bigint", "null"))),
", '2016-01-01 00:00:00'::timestamp, null::timestamp, ", AW5, "::bigint, 66000000000001::bigint);"))</f>
        <v>PERFORM * FROM "SchData-OLTP-Accounting"."Func_TblChartOfAccount_SET"(varSystemLoginSession, null, null, null, varInstitutionBranchID, 62000000000001::bigint,'1-0000', 'Aset', 62000000000001::bigint, '2016-01-01 00:00:00'::timestamp, null::timestamp, null::bigint, 66000000000001::bigint);</v>
      </c>
      <c r="AV5" s="65">
        <f>IF(AND(EXACT($B5, ""), EXACT($D5, ""), EXACT($F5, ""), EXACT($H5, ""), EXACT($J5, ""), EXACT($L5, "")), "", V5)</f>
        <v>65000000000001</v>
      </c>
      <c r="AW5" s="65" t="str">
        <f>AS5</f>
        <v>null</v>
      </c>
      <c r="AY5" s="65" t="str">
        <f>IF(AND(EXACT($B5, ""), EXACT($D5, ""), EXACT($F5, ""), EXACT($H5, ""), EXACT($J5, ""), EXACT($L5, "")), "",
IF(NOT(EXACT($B5, "")), "null",
IF(NOT(EXACT($D5, "")), IF($W4&lt;&gt;$W3, $W4, $W5),
IF(NOT(EXACT($F5, "")), IF($X4&lt;&gt;$X3, $X4, IF($W4&lt;&gt;$W3, $W4, $X5)),
IF(NOT(EXACT($H5, "")), IF($Y4&lt;&gt;$Y3, $Y4, IF($X4&lt;&gt;$X3, $X4, IF($W4&lt;&gt;$W3, $W4, $Y5))),
IF(NOT(EXACT($J5, "")), IF($Z4&lt;&gt;$Z3, $Z4, IF($Y4&lt;&gt;$Y3, $Y4, IF($X4&lt;&gt;$X3, $X4, IF($W4&lt;&gt;$W3, $W4, $Z5)))),
IF(NOT(EXACT($L5, "")), IF($AA4&lt;&gt;$AA3, $AA4, IF($Z4&lt;&gt;$Z3, $Z4, IF($Y4&lt;&gt;$Y3, $Y4, IF($X4&lt;&gt;$X3, $X4, IF($W4&lt;&gt;$W3, $W4, $AA5))))),
"others")))))))</f>
        <v>null</v>
      </c>
      <c r="BA5" s="79">
        <f xml:space="preserve"> BA4 + IF(EXACT(BB5, ""), 0, 1)</f>
        <v>65000000000001</v>
      </c>
      <c r="BB5" s="80" t="str">
        <f>IF(AND(EXACT($B5, ""), EXACT($D5, ""), EXACT($F5, ""), EXACT($H5, ""), EXACT($J5, ""), EXACT($L5, "")), "", CONCATENATE(
"PERFORM * FROM ""SchData-OLTP-Accounting"".""Func_TblChartOfAccount_SET""(varSystemLoginSession, null, null, null, null, null, varInstitutionBranchID, 62000000000001::bigint,'",
IF(EXACT($B5, ""), IF(EXACT($D5, ""), IF(EXACT($F5, ""), IF(EXACT($H5, ""), IF(EXACT($J5, ""), IF(EXACT($L5, ""), "", $L5), $J5), $H5), $F5), $D5), $B5),
"', '",
IF(EXACT($B5, ""), IF(EXACT($D5, ""), IF(EXACT($F5, ""), IF(EXACT($H5, ""), IF(EXACT($J5, ""), IF(EXACT($L5, ""), "", $M5), $K5), $I5), $G5), $E5), $C5),
"', ",
IF(EXACT($J5, ""), "62000000000001::bigint", IF((RIGHT($J5, 2)*1 = 1), "62000000000001::bigint", IF((RIGHT($J5, 2)*1 = 2), "62000000000002::bigint", "null"))),
", '2016-01-01 00:00:00'::timestamp, null::timestamp, ", $AW5, "::bigint, 66000000000001::bigint, ", IF(EXACT(LEFT(IF(EXACT($B5, ""), IF(EXACT($D5, ""), IF(EXACT($F5, ""), IF(EXACT($H5, ""), IF(EXACT($J5, ""), IF(EXACT($L5, ""), "", $L5), $J5), $H5), $F5), $D5), $B5), 1), "1"), "TRUE", "FALSE"), "::boolean);"))</f>
        <v>PERFORM * FROM "SchData-OLTP-Accounting"."Func_TblChartOfAccount_SET"(varSystemLoginSession, null, null, null, null, null, varInstitutionBranchID, 62000000000001::bigint,'1-0000', 'Aset', 62000000000001::bigint, '2016-01-01 00:00:00'::timestamp, null::timestamp, null::bigint, 66000000000001::bigint, TRUE::boolean);</v>
      </c>
    </row>
    <row r="6" spans="2:55" x14ac:dyDescent="0.2">
      <c r="B6" s="39"/>
      <c r="C6" s="40"/>
      <c r="D6" s="39" t="s">
        <v>1081</v>
      </c>
      <c r="E6" s="40" t="s">
        <v>719</v>
      </c>
      <c r="F6" s="39"/>
      <c r="G6" s="40"/>
      <c r="H6" s="50"/>
      <c r="I6" s="33"/>
      <c r="J6" s="50"/>
      <c r="K6" s="33"/>
      <c r="L6" s="50"/>
      <c r="M6" s="33"/>
      <c r="O6" s="58" t="str">
        <f t="shared" ref="O6:O69" si="9">IF(EXACT($B6, ""), $O5, $B6)</f>
        <v>1-0000</v>
      </c>
      <c r="P6" s="58" t="str">
        <f t="shared" ref="P6:P69" si="10">IF(EXACT($D6, ""), $P5, $D6)</f>
        <v>1-1000</v>
      </c>
      <c r="Q6" s="58" t="str">
        <f t="shared" ref="Q6:Q69" si="11">IF(EXACT($F6, ""), $Q5, $F6)</f>
        <v xml:space="preserve"> </v>
      </c>
      <c r="R6" s="58" t="str">
        <f t="shared" ref="R6:R69" si="12">IF(EXACT($H6, ""), $R5, $H6)</f>
        <v xml:space="preserve"> </v>
      </c>
      <c r="S6" s="58" t="str">
        <f t="shared" ref="S6:S69" si="13">IF(EXACT($J6, ""), $S5, $J6)</f>
        <v xml:space="preserve"> </v>
      </c>
      <c r="T6" s="58" t="str">
        <f t="shared" ref="T6:T69" si="14">IF(EXACT($L6, ""), $T5, $L6)</f>
        <v xml:space="preserve"> </v>
      </c>
      <c r="V6" s="72">
        <f t="shared" ref="V6:V69" si="15">V5+IF(AND(EXACT(B6, ""), EXACT(D6, ""), EXACT(F6, ""), EXACT(H6, ""), EXACT(J6, ""), EXACT(L6, "")), 0, 1)</f>
        <v>65000000000002</v>
      </c>
      <c r="W6" s="60">
        <f t="shared" ref="W6:W69" si="16">IF(EXACT($B6, ""), $W5, $V6)</f>
        <v>65000000000001</v>
      </c>
      <c r="X6" s="60">
        <f t="shared" ref="X6:X69" si="17">IF(EXACT($D6, ""), $X5, $V6)</f>
        <v>65000000000002</v>
      </c>
      <c r="Y6" s="60">
        <f t="shared" ref="Y6:Y69" si="18">IF(EXACT($F6, ""), $Y5, $V6)</f>
        <v>65000000000000</v>
      </c>
      <c r="Z6" s="60">
        <f t="shared" ref="Z6:Z69" si="19">IF(EXACT($H6, ""), $Z5, $V6)</f>
        <v>65000000000000</v>
      </c>
      <c r="AA6" s="60">
        <f t="shared" si="1"/>
        <v>65000000000000</v>
      </c>
      <c r="AB6" s="60">
        <f t="shared" ref="AB6:AB69" si="20">IF(EXACT($L6, ""), $AB5, $V6)</f>
        <v>65000000000000</v>
      </c>
      <c r="AD6" s="60">
        <f t="shared" ref="AD6" si="21">AD5 + IF(W6&lt;&gt;W5, 1, 0)</f>
        <v>1</v>
      </c>
      <c r="AE6" s="60">
        <f t="shared" ref="AE6" si="22">IF(AD5&lt;&gt;AD6, 1, AE5) + IF(X6&lt;&gt;X5, 1, 0)</f>
        <v>2</v>
      </c>
      <c r="AF6" s="60">
        <f t="shared" ref="AF6" si="23">IF(AE5&lt;&gt;AE6, 1, AF5) + IF(Y6&lt;&gt;Y5, 1, 0)</f>
        <v>1</v>
      </c>
      <c r="AG6" s="60">
        <f t="shared" ref="AG6" si="24">IF(AF5&lt;&gt;AF6, 1, AG5) + IF(Z6&lt;&gt;Z5, 1, 0)</f>
        <v>1</v>
      </c>
      <c r="AH6" s="60">
        <f t="shared" ref="AH6" si="25">IF(AG5&lt;&gt;AG6, 1, AH5) + IF(AA6&lt;&gt;AA5, 1, 0)</f>
        <v>1</v>
      </c>
      <c r="AI6" s="60">
        <f t="shared" ref="AI6" si="26">IF(AH5&lt;&gt;AH6, 1, AI5) + IF(AB6&lt;&gt;AB5, 1, 0)</f>
        <v>1</v>
      </c>
      <c r="AK6" s="68" t="str">
        <f t="shared" si="3"/>
        <v>L2</v>
      </c>
      <c r="AM6" s="64" t="s">
        <v>1755</v>
      </c>
      <c r="AN6" s="64">
        <f t="shared" si="4"/>
        <v>65000000000001</v>
      </c>
      <c r="AO6" s="64">
        <f t="shared" si="5"/>
        <v>65000000000001</v>
      </c>
      <c r="AP6" s="64">
        <f t="shared" si="6"/>
        <v>65000000000001</v>
      </c>
      <c r="AQ6" s="64">
        <f t="shared" si="7"/>
        <v>65000000000001</v>
      </c>
      <c r="AS6" s="64">
        <f t="shared" si="8"/>
        <v>65000000000001</v>
      </c>
      <c r="AU6" s="59" t="str">
        <f>IF(AND(EXACT(B6, ""), EXACT(D6, ""), EXACT(F6, ""), EXACT(H6, ""), EXACT(J6, ""), EXACT(L6, "")), "", CONCATENATE(
"PERFORM * FROM ""SchData-OLTP-Accounting"".""Func_TblChartOfAccount_SET""(varSystemLoginSession, null, null, null, varInstitutionBranchID, 62000000000001::bigint,'",
IF(EXACT(B6, ""), IF(EXACT(D6, ""), IF(EXACT(F6, ""), IF(EXACT(H6, ""), IF(EXACT(J6, ""), IF(EXACT(L6, ""), "", L6), J6), H6), F6), D6), B6),
"', '",
IF(EXACT(B6, ""), IF(EXACT(D6, ""), IF(EXACT(F6, ""), IF(EXACT(H6, ""), IF(EXACT(J6, ""), IF(EXACT(L6, ""), "", M6), K6), I6), G6), E6), C6),
"', ",
IF(EXACT(J6, ""), "62000000000001::bigint", IF((RIGHT(J6, 2)*1 = 1), "62000000000001::bigint", IF((RIGHT(J6, 2)*1 = 2), "62000000000002::bigint", "null"))),
", '2016-01-01 00:00:00'::timestamp, null::timestamp, ", AW6, "::bigint, 66000000000001::bigint);"))</f>
        <v>PERFORM * FROM "SchData-OLTP-Accounting"."Func_TblChartOfAccount_SET"(varSystemLoginSession, null, null, null, varInstitutionBranchID, 62000000000001::bigint,'1-1000', 'Aset Lancar', 62000000000001::bigint, '2016-01-01 00:00:00'::timestamp, null::timestamp, 65000000000001::bigint, 66000000000001::bigint);</v>
      </c>
      <c r="AV6" s="65">
        <f t="shared" ref="AV6" si="27">IF(AND(EXACT($B6, ""), EXACT($D6, ""), EXACT($F6, ""), EXACT($H6, ""), EXACT($J6, ""), EXACT($L6, "")), "", V6)</f>
        <v>65000000000002</v>
      </c>
      <c r="AW6" s="65">
        <f>AS6</f>
        <v>65000000000001</v>
      </c>
      <c r="AY6" s="65">
        <f t="shared" ref="AY6:AY69" si="28">IF(AND(EXACT($B6, ""), EXACT($D6, ""), EXACT($F6, ""), EXACT($H6, ""), EXACT($J6, ""), EXACT($L6, "")), "",
IF(NOT(EXACT($B6, "")), "null",
IF(NOT(EXACT($D6, "")), IF($W5&lt;&gt;$W4, $W5, $W6),
IF(NOT(EXACT($F6, "")), IF($X5&lt;&gt;$X4, $X5, IF($W5&lt;&gt;$W4, $W5, $X6)),
IF(NOT(EXACT($H6, "")), IF($Y5&lt;&gt;$Y4, $Y5, IF($X5&lt;&gt;$X4, $X5, IF($W5&lt;&gt;$W4, $W5, $Y6))),
IF(NOT(EXACT($J6, "")), IF($Z5&lt;&gt;$Z4, $Z5, IF($Y5&lt;&gt;$Y4, $Y5, IF($X5&lt;&gt;$X4, $X5, IF($W5&lt;&gt;$W4, $W5, $Z6)))),
IF(NOT(EXACT($L6, "")), IF($AA5&lt;&gt;$AA4, $AA5, IF($Z5&lt;&gt;$Z4, $Z5, IF($Y5&lt;&gt;$Y4, $Y5, IF($X5&lt;&gt;$X4, $X5, IF($W5&lt;&gt;$W4, $W5, $AA6))))),
"others")))))))</f>
        <v>65000000000001</v>
      </c>
      <c r="BA6" s="78">
        <f t="shared" ref="BA6" si="29" xml:space="preserve"> BA5 + IF(EXACT(BB6, ""), 0, 1)</f>
        <v>65000000000002</v>
      </c>
      <c r="BB6" s="81" t="str">
        <f t="shared" ref="BB6:BB69" si="30">IF(AND(EXACT($B6, ""), EXACT($D6, ""), EXACT($F6, ""), EXACT($H6, ""), EXACT($J6, ""), EXACT($L6, "")), "", CONCATENATE(
"PERFORM * FROM ""SchData-OLTP-Accounting"".""Func_TblChartOfAccount_SET""(varSystemLoginSession, null, null, null, null, null, varInstitutionBranchID, 62000000000001::bigint,'",
IF(EXACT($B6, ""), IF(EXACT($D6, ""), IF(EXACT($F6, ""), IF(EXACT($H6, ""), IF(EXACT($J6, ""), IF(EXACT($L6, ""), "", $L6), $J6), $H6), $F6), $D6), $B6),
"', '",
IF(EXACT($B6, ""), IF(EXACT($D6, ""), IF(EXACT($F6, ""), IF(EXACT($H6, ""), IF(EXACT($J6, ""), IF(EXACT($L6, ""), "", $M6), $K6), $I6), $G6), $E6), $C6),
"', ",
IF(EXACT($J6, ""), "62000000000001::bigint", IF((RIGHT($J6, 2)*1 = 1), "62000000000001::bigint", IF((RIGHT($J6, 2)*1 = 2), "62000000000002::bigint", "null"))),
", '2016-01-01 00:00:00'::timestamp, null::timestamp, ", $AW6, "::bigint, 66000000000001::bigint, ", IF(EXACT(LEFT(IF(EXACT($B6, ""), IF(EXACT($D6, ""), IF(EXACT($F6, ""), IF(EXACT($H6, ""), IF(EXACT($J6, ""), IF(EXACT($L6, ""), "", $L6), $J6), $H6), $F6), $D6), $B6), 1), "1"), "TRUE", "FALSE"), "::boolean);"))</f>
        <v>PERFORM * FROM "SchData-OLTP-Accounting"."Func_TblChartOfAccount_SET"(varSystemLoginSession, null, null, null, null, null, varInstitutionBranchID, 62000000000001::bigint,'1-1000', 'Aset Lancar', 62000000000001::bigint, '2016-01-01 00:00:00'::timestamp, null::timestamp, 65000000000001::bigint, 66000000000001::bigint, TRUE::boolean);</v>
      </c>
    </row>
    <row r="7" spans="2:55" x14ac:dyDescent="0.2">
      <c r="B7" s="39"/>
      <c r="C7" s="40"/>
      <c r="D7" s="39"/>
      <c r="E7" s="40"/>
      <c r="F7" s="39" t="s">
        <v>1102</v>
      </c>
      <c r="G7" s="40" t="s">
        <v>10</v>
      </c>
      <c r="H7" s="50"/>
      <c r="I7" s="33"/>
      <c r="J7" s="50"/>
      <c r="K7" s="33"/>
      <c r="L7" s="50"/>
      <c r="M7" s="33"/>
      <c r="O7" s="58" t="str">
        <f t="shared" si="9"/>
        <v>1-0000</v>
      </c>
      <c r="P7" s="58" t="str">
        <f t="shared" si="10"/>
        <v>1-1000</v>
      </c>
      <c r="Q7" s="58" t="str">
        <f t="shared" si="11"/>
        <v>1-1100</v>
      </c>
      <c r="R7" s="58" t="str">
        <f t="shared" si="12"/>
        <v xml:space="preserve"> </v>
      </c>
      <c r="S7" s="58" t="str">
        <f t="shared" si="13"/>
        <v xml:space="preserve"> </v>
      </c>
      <c r="T7" s="58" t="str">
        <f t="shared" si="14"/>
        <v xml:space="preserve"> </v>
      </c>
      <c r="V7" s="72">
        <f t="shared" si="15"/>
        <v>65000000000003</v>
      </c>
      <c r="W7" s="60">
        <f t="shared" si="16"/>
        <v>65000000000001</v>
      </c>
      <c r="X7" s="60">
        <f t="shared" si="17"/>
        <v>65000000000002</v>
      </c>
      <c r="Y7" s="60">
        <f t="shared" si="18"/>
        <v>65000000000003</v>
      </c>
      <c r="Z7" s="60">
        <f t="shared" si="19"/>
        <v>65000000000000</v>
      </c>
      <c r="AA7" s="60">
        <f t="shared" si="1"/>
        <v>65000000000000</v>
      </c>
      <c r="AB7" s="60">
        <f t="shared" si="20"/>
        <v>65000000000000</v>
      </c>
      <c r="AD7" s="60">
        <f t="shared" ref="AD7:AD70" si="31">AD6 + IF(W7&lt;&gt;W6, 1, 0)</f>
        <v>1</v>
      </c>
      <c r="AE7" s="60">
        <f t="shared" ref="AE7:AE70" si="32">IF(AD6&lt;&gt;AD7, 1, AE6) + IF(X7&lt;&gt;X6, 1, 0)</f>
        <v>2</v>
      </c>
      <c r="AF7" s="60">
        <f t="shared" ref="AF7:AF70" si="33">IF(AE6&lt;&gt;AE7, 1, AF6) + IF(Y7&lt;&gt;Y6, 1, 0)</f>
        <v>2</v>
      </c>
      <c r="AG7" s="60">
        <f t="shared" ref="AG7:AG70" si="34">IF(AF6&lt;&gt;AF7, 1, AG6) + IF(Z7&lt;&gt;Z6, 1, 0)</f>
        <v>1</v>
      </c>
      <c r="AH7" s="60">
        <f t="shared" ref="AH7:AH70" si="35">IF(AG6&lt;&gt;AG7, 1, AH6) + IF(AA7&lt;&gt;AA6, 1, 0)</f>
        <v>1</v>
      </c>
      <c r="AI7" s="60">
        <f t="shared" ref="AI7:AI70" si="36">IF(AH6&lt;&gt;AH7, 1, AI6) + IF(AB7&lt;&gt;AB6, 1, 0)</f>
        <v>1</v>
      </c>
      <c r="AK7" s="68" t="str">
        <f t="shared" si="3"/>
        <v>L3</v>
      </c>
      <c r="AM7" s="64" t="s">
        <v>1755</v>
      </c>
      <c r="AN7" s="64">
        <f t="shared" si="4"/>
        <v>65000000000001</v>
      </c>
      <c r="AO7" s="64">
        <f t="shared" si="5"/>
        <v>65000000000002</v>
      </c>
      <c r="AP7" s="64">
        <f t="shared" si="6"/>
        <v>65000000000002</v>
      </c>
      <c r="AQ7" s="64">
        <f t="shared" si="7"/>
        <v>65000000000002</v>
      </c>
      <c r="AS7" s="64">
        <f t="shared" si="8"/>
        <v>65000000000002</v>
      </c>
      <c r="AU7" s="59" t="str">
        <f t="shared" ref="AU7:AU70" si="37">IF(AND(EXACT(B7, ""), EXACT(D7, ""), EXACT(F7, ""), EXACT(H7, ""), EXACT(J7, ""), EXACT(L7, "")), "", CONCATENATE(
"PERFORM * FROM ""SchData-OLTP-Accounting"".""Func_TblChartOfAccount_SET""(varSystemLoginSession, null, null, null, varInstitutionBranchID, 62000000000001::bigint,'",
IF(EXACT(B7, ""), IF(EXACT(D7, ""), IF(EXACT(F7, ""), IF(EXACT(H7, ""), IF(EXACT(J7, ""), IF(EXACT(L7, ""), "", L7), J7), H7), F7), D7), B7),
"', '",
IF(EXACT(B7, ""), IF(EXACT(D7, ""), IF(EXACT(F7, ""), IF(EXACT(H7, ""), IF(EXACT(J7, ""), IF(EXACT(L7, ""), "", M7), K7), I7), G7), E7), C7),
"', ",
IF(EXACT(J7, ""), "62000000000001::bigint", IF((RIGHT(J7, 2)*1 = 1), "62000000000001::bigint", IF((RIGHT(J7, 2)*1 = 2), "62000000000002::bigint", "null"))),
", '2016-01-01 00:00:00'::timestamp, null::timestamp, ", AW7, "::bigint, 66000000000001::bigint);"))</f>
        <v>PERFORM * FROM "SchData-OLTP-Accounting"."Func_TblChartOfAccount_SET"(varSystemLoginSession, null, null, null, varInstitutionBranchID, 62000000000001::bigint,'1-1100', 'Cash &amp; Bank', 62000000000001::bigint, '2016-01-01 00:00:00'::timestamp, null::timestamp, 65000000000002::bigint, 66000000000001::bigint);</v>
      </c>
      <c r="AV7" s="65">
        <f t="shared" ref="AV7:AV70" si="38">IF(AND(EXACT($B7, ""), EXACT($D7, ""), EXACT($F7, ""), EXACT($H7, ""), EXACT($J7, ""), EXACT($L7, "")), "", V7)</f>
        <v>65000000000003</v>
      </c>
      <c r="AW7" s="65">
        <f t="shared" ref="AW7:AW70" si="39">AS7</f>
        <v>65000000000002</v>
      </c>
      <c r="AY7" s="65">
        <f t="shared" si="28"/>
        <v>65000000000002</v>
      </c>
      <c r="BA7" s="78">
        <f t="shared" ref="BA7:BA14" si="40" xml:space="preserve"> BA6 + IF(EXACT(BB7, ""), 0, 1)</f>
        <v>65000000000003</v>
      </c>
      <c r="BB7" s="81" t="str">
        <f t="shared" si="30"/>
        <v>PERFORM * FROM "SchData-OLTP-Accounting"."Func_TblChartOfAccount_SET"(varSystemLoginSession, null, null, null, null, null, varInstitutionBranchID, 62000000000001::bigint,'1-1100', 'Cash &amp; Bank', 62000000000001::bigint, '2016-01-01 00:00:00'::timestamp, null::timestamp, 65000000000002::bigint, 66000000000001::bigint, TRUE::boolean);</v>
      </c>
    </row>
    <row r="8" spans="2:55" x14ac:dyDescent="0.2">
      <c r="B8" s="39"/>
      <c r="C8" s="40"/>
      <c r="D8" s="39"/>
      <c r="E8" s="40"/>
      <c r="F8" s="39"/>
      <c r="G8" s="40"/>
      <c r="H8" s="50" t="s">
        <v>13</v>
      </c>
      <c r="I8" s="33" t="s">
        <v>12</v>
      </c>
      <c r="J8" s="50"/>
      <c r="K8" s="33"/>
      <c r="L8" s="50"/>
      <c r="M8" s="33"/>
      <c r="O8" s="58" t="str">
        <f t="shared" si="9"/>
        <v>1-0000</v>
      </c>
      <c r="P8" s="58" t="str">
        <f t="shared" si="10"/>
        <v>1-1000</v>
      </c>
      <c r="Q8" s="58" t="str">
        <f t="shared" si="11"/>
        <v>1-1100</v>
      </c>
      <c r="R8" s="58" t="str">
        <f t="shared" si="12"/>
        <v>1-1101</v>
      </c>
      <c r="S8" s="58" t="str">
        <f t="shared" si="13"/>
        <v xml:space="preserve"> </v>
      </c>
      <c r="T8" s="58" t="str">
        <f t="shared" si="14"/>
        <v xml:space="preserve"> </v>
      </c>
      <c r="V8" s="72">
        <f t="shared" si="15"/>
        <v>65000000000004</v>
      </c>
      <c r="W8" s="60">
        <f t="shared" si="16"/>
        <v>65000000000001</v>
      </c>
      <c r="X8" s="60">
        <f t="shared" si="17"/>
        <v>65000000000002</v>
      </c>
      <c r="Y8" s="60">
        <f t="shared" si="18"/>
        <v>65000000000003</v>
      </c>
      <c r="Z8" s="60">
        <f t="shared" si="19"/>
        <v>65000000000004</v>
      </c>
      <c r="AA8" s="60">
        <f t="shared" si="1"/>
        <v>65000000000000</v>
      </c>
      <c r="AB8" s="60">
        <f t="shared" si="20"/>
        <v>65000000000000</v>
      </c>
      <c r="AD8" s="60">
        <f t="shared" si="31"/>
        <v>1</v>
      </c>
      <c r="AE8" s="60">
        <f t="shared" si="32"/>
        <v>2</v>
      </c>
      <c r="AF8" s="60">
        <f t="shared" si="33"/>
        <v>2</v>
      </c>
      <c r="AG8" s="60">
        <f t="shared" si="34"/>
        <v>2</v>
      </c>
      <c r="AH8" s="60">
        <f t="shared" si="35"/>
        <v>1</v>
      </c>
      <c r="AI8" s="60">
        <f t="shared" si="36"/>
        <v>1</v>
      </c>
      <c r="AK8" s="68" t="str">
        <f t="shared" si="3"/>
        <v>L4</v>
      </c>
      <c r="AM8" s="64" t="s">
        <v>1755</v>
      </c>
      <c r="AN8" s="64">
        <f t="shared" si="4"/>
        <v>65000000000001</v>
      </c>
      <c r="AO8" s="64">
        <f t="shared" si="5"/>
        <v>65000000000002</v>
      </c>
      <c r="AP8" s="64">
        <f t="shared" si="6"/>
        <v>65000000000003</v>
      </c>
      <c r="AQ8" s="64">
        <f t="shared" si="7"/>
        <v>65000000000003</v>
      </c>
      <c r="AS8" s="64">
        <f t="shared" si="8"/>
        <v>65000000000003</v>
      </c>
      <c r="AU8" s="59" t="str">
        <f t="shared" si="37"/>
        <v>PERFORM * FROM "SchData-OLTP-Accounting"."Func_TblChartOfAccount_SET"(varSystemLoginSession, null, null, null, varInstitutionBranchID, 62000000000001::bigint,'1-1101', 'Petty Cash', 62000000000001::bigint, '2016-01-01 00:00:00'::timestamp, null::timestamp, 65000000000003::bigint, 66000000000001::bigint);</v>
      </c>
      <c r="AV8" s="65">
        <f t="shared" si="38"/>
        <v>65000000000004</v>
      </c>
      <c r="AW8" s="65">
        <f t="shared" si="39"/>
        <v>65000000000003</v>
      </c>
      <c r="AY8" s="65">
        <f t="shared" si="28"/>
        <v>65000000000003</v>
      </c>
      <c r="BA8" s="78">
        <f t="shared" si="40"/>
        <v>65000000000004</v>
      </c>
      <c r="BB8" s="81" t="str">
        <f t="shared" si="30"/>
        <v>PERFORM * FROM "SchData-OLTP-Accounting"."Func_TblChartOfAccount_SET"(varSystemLoginSession, null, null, null, null, null, varInstitutionBranchID, 62000000000001::bigint,'1-1101', 'Petty Cash', 62000000000001::bigint, '2016-01-01 00:00:00'::timestamp, null::timestamp, 65000000000003::bigint, 66000000000001::bigint, TRUE::boolean);</v>
      </c>
    </row>
    <row r="9" spans="2:55" x14ac:dyDescent="0.2">
      <c r="B9" s="39"/>
      <c r="C9" s="40"/>
      <c r="D9" s="39"/>
      <c r="E9" s="40"/>
      <c r="F9" s="39"/>
      <c r="G9" s="40"/>
      <c r="H9" s="50"/>
      <c r="I9" s="33"/>
      <c r="J9" s="50" t="s">
        <v>734</v>
      </c>
      <c r="K9" s="33" t="s">
        <v>1410</v>
      </c>
      <c r="L9" s="50"/>
      <c r="M9" s="33"/>
      <c r="O9" s="58" t="str">
        <f t="shared" si="9"/>
        <v>1-0000</v>
      </c>
      <c r="P9" s="58" t="str">
        <f t="shared" si="10"/>
        <v>1-1000</v>
      </c>
      <c r="Q9" s="58" t="str">
        <f t="shared" si="11"/>
        <v>1-1100</v>
      </c>
      <c r="R9" s="58" t="str">
        <f t="shared" si="12"/>
        <v>1-1101</v>
      </c>
      <c r="S9" s="58" t="str">
        <f t="shared" si="13"/>
        <v>1-1101.01</v>
      </c>
      <c r="T9" s="58" t="str">
        <f t="shared" si="14"/>
        <v xml:space="preserve"> </v>
      </c>
      <c r="V9" s="72">
        <f t="shared" si="15"/>
        <v>65000000000005</v>
      </c>
      <c r="W9" s="60">
        <f t="shared" si="16"/>
        <v>65000000000001</v>
      </c>
      <c r="X9" s="60">
        <f t="shared" si="17"/>
        <v>65000000000002</v>
      </c>
      <c r="Y9" s="60">
        <f t="shared" si="18"/>
        <v>65000000000003</v>
      </c>
      <c r="Z9" s="60">
        <f t="shared" si="19"/>
        <v>65000000000004</v>
      </c>
      <c r="AA9" s="60">
        <f t="shared" si="1"/>
        <v>65000000000005</v>
      </c>
      <c r="AB9" s="60">
        <f t="shared" si="20"/>
        <v>65000000000000</v>
      </c>
      <c r="AD9" s="60">
        <f t="shared" si="31"/>
        <v>1</v>
      </c>
      <c r="AE9" s="60">
        <f t="shared" si="32"/>
        <v>2</v>
      </c>
      <c r="AF9" s="60">
        <f t="shared" si="33"/>
        <v>2</v>
      </c>
      <c r="AG9" s="60">
        <f t="shared" si="34"/>
        <v>2</v>
      </c>
      <c r="AH9" s="60">
        <f t="shared" si="35"/>
        <v>2</v>
      </c>
      <c r="AI9" s="60">
        <f t="shared" si="36"/>
        <v>1</v>
      </c>
      <c r="AK9" s="68" t="str">
        <f t="shared" si="3"/>
        <v>L5</v>
      </c>
      <c r="AM9" s="64" t="s">
        <v>1755</v>
      </c>
      <c r="AN9" s="64">
        <f t="shared" si="4"/>
        <v>65000000000001</v>
      </c>
      <c r="AO9" s="64">
        <f t="shared" si="5"/>
        <v>65000000000002</v>
      </c>
      <c r="AP9" s="64">
        <f t="shared" si="6"/>
        <v>65000000000003</v>
      </c>
      <c r="AQ9" s="64">
        <f t="shared" si="7"/>
        <v>65000000000004</v>
      </c>
      <c r="AS9" s="64">
        <f t="shared" si="8"/>
        <v>65000000000004</v>
      </c>
      <c r="AU9" s="59" t="str">
        <f t="shared" si="37"/>
        <v>PERFORM * FROM "SchData-OLTP-Accounting"."Func_TblChartOfAccount_SET"(varSystemLoginSession, null, null, null, varInstitutionBranchID, 62000000000001::bigint,'1-1101.01', 'Petty Cash (IDR)', 62000000000001::bigint, '2016-01-01 00:00:00'::timestamp, null::timestamp, 65000000000004::bigint, 66000000000001::bigint);</v>
      </c>
      <c r="AV9" s="65">
        <f t="shared" si="38"/>
        <v>65000000000005</v>
      </c>
      <c r="AW9" s="65">
        <f t="shared" si="39"/>
        <v>65000000000004</v>
      </c>
      <c r="AY9" s="65">
        <f t="shared" si="28"/>
        <v>65000000000004</v>
      </c>
      <c r="BA9" s="78">
        <f t="shared" si="40"/>
        <v>65000000000005</v>
      </c>
      <c r="BB9" s="81" t="str">
        <f t="shared" si="30"/>
        <v>PERFORM * FROM "SchData-OLTP-Accounting"."Func_TblChartOfAccount_SET"(varSystemLoginSession, null, null, null, null, null, varInstitutionBranchID, 62000000000001::bigint,'1-1101.01', 'Petty Cash (IDR)', 62000000000001::bigint, '2016-01-01 00:00:00'::timestamp, null::timestamp, 65000000000004::bigint, 66000000000001::bigint, TRUE::boolean);</v>
      </c>
    </row>
    <row r="10" spans="2:55" x14ac:dyDescent="0.2">
      <c r="B10" s="39"/>
      <c r="C10" s="40"/>
      <c r="D10" s="39"/>
      <c r="E10" s="40"/>
      <c r="F10" s="39"/>
      <c r="G10" s="40"/>
      <c r="H10" s="50" t="s">
        <v>15</v>
      </c>
      <c r="I10" s="33" t="s">
        <v>676</v>
      </c>
      <c r="J10" s="50"/>
      <c r="K10" s="33"/>
      <c r="L10" s="50"/>
      <c r="M10" s="33"/>
      <c r="O10" s="58" t="str">
        <f t="shared" si="9"/>
        <v>1-0000</v>
      </c>
      <c r="P10" s="58" t="str">
        <f t="shared" si="10"/>
        <v>1-1000</v>
      </c>
      <c r="Q10" s="58" t="str">
        <f t="shared" si="11"/>
        <v>1-1100</v>
      </c>
      <c r="R10" s="58" t="str">
        <f t="shared" si="12"/>
        <v>1-1102</v>
      </c>
      <c r="S10" s="58" t="str">
        <f t="shared" si="13"/>
        <v>1-1101.01</v>
      </c>
      <c r="T10" s="58" t="str">
        <f t="shared" si="14"/>
        <v xml:space="preserve"> </v>
      </c>
      <c r="V10" s="72">
        <f t="shared" si="15"/>
        <v>65000000000006</v>
      </c>
      <c r="W10" s="60">
        <f t="shared" si="16"/>
        <v>65000000000001</v>
      </c>
      <c r="X10" s="60">
        <f t="shared" si="17"/>
        <v>65000000000002</v>
      </c>
      <c r="Y10" s="60">
        <f t="shared" si="18"/>
        <v>65000000000003</v>
      </c>
      <c r="Z10" s="60">
        <f t="shared" si="19"/>
        <v>65000000000006</v>
      </c>
      <c r="AA10" s="60">
        <f t="shared" si="1"/>
        <v>65000000000005</v>
      </c>
      <c r="AB10" s="60">
        <f t="shared" si="20"/>
        <v>65000000000000</v>
      </c>
      <c r="AD10" s="60">
        <f t="shared" si="31"/>
        <v>1</v>
      </c>
      <c r="AE10" s="60">
        <f t="shared" si="32"/>
        <v>2</v>
      </c>
      <c r="AF10" s="60">
        <f t="shared" si="33"/>
        <v>2</v>
      </c>
      <c r="AG10" s="60">
        <f t="shared" si="34"/>
        <v>3</v>
      </c>
      <c r="AH10" s="60">
        <f t="shared" si="35"/>
        <v>1</v>
      </c>
      <c r="AI10" s="60">
        <f t="shared" si="36"/>
        <v>1</v>
      </c>
      <c r="AK10" s="68" t="str">
        <f t="shared" si="3"/>
        <v>L4</v>
      </c>
      <c r="AM10" s="64" t="s">
        <v>1755</v>
      </c>
      <c r="AN10" s="64">
        <f t="shared" si="4"/>
        <v>65000000000001</v>
      </c>
      <c r="AO10" s="64">
        <f t="shared" si="5"/>
        <v>65000000000002</v>
      </c>
      <c r="AP10" s="64">
        <f t="shared" si="6"/>
        <v>65000000000003</v>
      </c>
      <c r="AQ10" s="64">
        <f t="shared" si="7"/>
        <v>65000000000004</v>
      </c>
      <c r="AS10" s="64">
        <f t="shared" si="8"/>
        <v>65000000000003</v>
      </c>
      <c r="AU10" s="59" t="str">
        <f t="shared" si="37"/>
        <v>PERFORM * FROM "SchData-OLTP-Accounting"."Func_TblChartOfAccount_SET"(varSystemLoginSession, null, null, null, varInstitutionBranchID, 62000000000001::bigint,'1-1102', 'Bank', 62000000000001::bigint, '2016-01-01 00:00:00'::timestamp, null::timestamp, 65000000000003::bigint, 66000000000001::bigint);</v>
      </c>
      <c r="AV10" s="65">
        <f t="shared" si="38"/>
        <v>65000000000006</v>
      </c>
      <c r="AW10" s="65">
        <f t="shared" si="39"/>
        <v>65000000000003</v>
      </c>
      <c r="AY10" s="65">
        <f t="shared" si="28"/>
        <v>65000000000003</v>
      </c>
      <c r="BA10" s="78">
        <f t="shared" si="40"/>
        <v>65000000000006</v>
      </c>
      <c r="BB10" s="81" t="str">
        <f t="shared" si="30"/>
        <v>PERFORM * FROM "SchData-OLTP-Accounting"."Func_TblChartOfAccount_SET"(varSystemLoginSession, null, null, null, null, null, varInstitutionBranchID, 62000000000001::bigint,'1-1102', 'Bank', 62000000000001::bigint, '2016-01-01 00:00:00'::timestamp, null::timestamp, 65000000000003::bigint, 66000000000001::bigint, TRUE::boolean);</v>
      </c>
    </row>
    <row r="11" spans="2:55" x14ac:dyDescent="0.2">
      <c r="B11" s="39"/>
      <c r="C11" s="40"/>
      <c r="D11" s="39"/>
      <c r="E11" s="40"/>
      <c r="F11" s="39"/>
      <c r="G11" s="40"/>
      <c r="H11" s="50"/>
      <c r="I11" s="33"/>
      <c r="J11" s="50" t="s">
        <v>720</v>
      </c>
      <c r="K11" s="33" t="s">
        <v>1411</v>
      </c>
      <c r="L11" s="50"/>
      <c r="M11" s="33" t="s">
        <v>1734</v>
      </c>
      <c r="O11" s="58" t="str">
        <f t="shared" si="9"/>
        <v>1-0000</v>
      </c>
      <c r="P11" s="58" t="str">
        <f t="shared" si="10"/>
        <v>1-1000</v>
      </c>
      <c r="Q11" s="58" t="str">
        <f t="shared" si="11"/>
        <v>1-1100</v>
      </c>
      <c r="R11" s="58" t="str">
        <f t="shared" si="12"/>
        <v>1-1102</v>
      </c>
      <c r="S11" s="58" t="str">
        <f t="shared" si="13"/>
        <v>1-1102.01</v>
      </c>
      <c r="T11" s="58" t="str">
        <f t="shared" si="14"/>
        <v xml:space="preserve"> </v>
      </c>
      <c r="V11" s="72">
        <f t="shared" si="15"/>
        <v>65000000000007</v>
      </c>
      <c r="W11" s="60">
        <f t="shared" si="16"/>
        <v>65000000000001</v>
      </c>
      <c r="X11" s="60">
        <f t="shared" si="17"/>
        <v>65000000000002</v>
      </c>
      <c r="Y11" s="60">
        <f t="shared" si="18"/>
        <v>65000000000003</v>
      </c>
      <c r="Z11" s="60">
        <f t="shared" si="19"/>
        <v>65000000000006</v>
      </c>
      <c r="AA11" s="60">
        <f t="shared" si="1"/>
        <v>65000000000007</v>
      </c>
      <c r="AB11" s="60">
        <f t="shared" si="20"/>
        <v>65000000000000</v>
      </c>
      <c r="AD11" s="60">
        <f t="shared" si="31"/>
        <v>1</v>
      </c>
      <c r="AE11" s="60">
        <f t="shared" si="32"/>
        <v>2</v>
      </c>
      <c r="AF11" s="60">
        <f t="shared" si="33"/>
        <v>2</v>
      </c>
      <c r="AG11" s="60">
        <f t="shared" si="34"/>
        <v>3</v>
      </c>
      <c r="AH11" s="60">
        <f t="shared" si="35"/>
        <v>2</v>
      </c>
      <c r="AI11" s="60">
        <f t="shared" si="36"/>
        <v>1</v>
      </c>
      <c r="AK11" s="68" t="str">
        <f t="shared" si="3"/>
        <v>L5</v>
      </c>
      <c r="AM11" s="64" t="s">
        <v>1755</v>
      </c>
      <c r="AN11" s="64">
        <f t="shared" si="4"/>
        <v>65000000000001</v>
      </c>
      <c r="AO11" s="64">
        <f t="shared" si="5"/>
        <v>65000000000002</v>
      </c>
      <c r="AP11" s="64">
        <f t="shared" si="6"/>
        <v>65000000000003</v>
      </c>
      <c r="AQ11" s="64">
        <f t="shared" si="7"/>
        <v>65000000000006</v>
      </c>
      <c r="AS11" s="64">
        <f t="shared" si="8"/>
        <v>65000000000006</v>
      </c>
      <c r="AU11" s="59" t="str">
        <f t="shared" si="37"/>
        <v>PERFORM * FROM "SchData-OLTP-Accounting"."Func_TblChartOfAccount_SET"(varSystemLoginSession, null, null, null, varInstitutionBranchID, 62000000000001::bigint,'1-1102.01', 'Bank (IDR)', 62000000000001::bigint, '2016-01-01 00:00:00'::timestamp, null::timestamp, 65000000000006::bigint, 66000000000001::bigint);</v>
      </c>
      <c r="AV11" s="65">
        <f t="shared" si="38"/>
        <v>65000000000007</v>
      </c>
      <c r="AW11" s="65">
        <f t="shared" si="39"/>
        <v>65000000000006</v>
      </c>
      <c r="AY11" s="65">
        <f t="shared" si="28"/>
        <v>65000000000006</v>
      </c>
      <c r="BA11" s="78">
        <f t="shared" si="40"/>
        <v>65000000000007</v>
      </c>
      <c r="BB11" s="81" t="str">
        <f t="shared" si="30"/>
        <v>PERFORM * FROM "SchData-OLTP-Accounting"."Func_TblChartOfAccount_SET"(varSystemLoginSession, null, null, null, null, null, varInstitutionBranchID, 62000000000001::bigint,'1-1102.01', 'Bank (IDR)', 62000000000001::bigint, '2016-01-01 00:00:00'::timestamp, null::timestamp, 65000000000006::bigint, 66000000000001::bigint, TRUE::boolean);</v>
      </c>
    </row>
    <row r="12" spans="2:55" x14ac:dyDescent="0.2">
      <c r="B12" s="39"/>
      <c r="C12" s="40"/>
      <c r="D12" s="39"/>
      <c r="E12" s="40"/>
      <c r="F12" s="39"/>
      <c r="G12" s="40"/>
      <c r="H12" s="50"/>
      <c r="I12" s="33"/>
      <c r="J12" s="50" t="s">
        <v>721</v>
      </c>
      <c r="K12" s="33" t="s">
        <v>1412</v>
      </c>
      <c r="L12" s="50"/>
      <c r="M12" s="33" t="s">
        <v>1733</v>
      </c>
      <c r="O12" s="58" t="str">
        <f t="shared" si="9"/>
        <v>1-0000</v>
      </c>
      <c r="P12" s="58" t="str">
        <f t="shared" si="10"/>
        <v>1-1000</v>
      </c>
      <c r="Q12" s="58" t="str">
        <f t="shared" si="11"/>
        <v>1-1100</v>
      </c>
      <c r="R12" s="58" t="str">
        <f t="shared" si="12"/>
        <v>1-1102</v>
      </c>
      <c r="S12" s="58" t="str">
        <f t="shared" si="13"/>
        <v>1-1102.02</v>
      </c>
      <c r="T12" s="58" t="str">
        <f t="shared" si="14"/>
        <v xml:space="preserve"> </v>
      </c>
      <c r="V12" s="72">
        <f t="shared" si="15"/>
        <v>65000000000008</v>
      </c>
      <c r="W12" s="60">
        <f t="shared" si="16"/>
        <v>65000000000001</v>
      </c>
      <c r="X12" s="60">
        <f t="shared" si="17"/>
        <v>65000000000002</v>
      </c>
      <c r="Y12" s="60">
        <f t="shared" si="18"/>
        <v>65000000000003</v>
      </c>
      <c r="Z12" s="60">
        <f t="shared" si="19"/>
        <v>65000000000006</v>
      </c>
      <c r="AA12" s="60">
        <f t="shared" si="1"/>
        <v>65000000000008</v>
      </c>
      <c r="AB12" s="60">
        <f t="shared" si="20"/>
        <v>65000000000000</v>
      </c>
      <c r="AD12" s="60">
        <f t="shared" si="31"/>
        <v>1</v>
      </c>
      <c r="AE12" s="60">
        <f t="shared" si="32"/>
        <v>2</v>
      </c>
      <c r="AF12" s="60">
        <f t="shared" si="33"/>
        <v>2</v>
      </c>
      <c r="AG12" s="60">
        <f t="shared" si="34"/>
        <v>3</v>
      </c>
      <c r="AH12" s="60">
        <f t="shared" si="35"/>
        <v>3</v>
      </c>
      <c r="AI12" s="60">
        <f t="shared" si="36"/>
        <v>1</v>
      </c>
      <c r="AK12" s="68" t="str">
        <f t="shared" si="3"/>
        <v>L5</v>
      </c>
      <c r="AM12" s="64" t="s">
        <v>1755</v>
      </c>
      <c r="AN12" s="64">
        <f t="shared" si="4"/>
        <v>65000000000001</v>
      </c>
      <c r="AO12" s="64">
        <f t="shared" si="5"/>
        <v>65000000000002</v>
      </c>
      <c r="AP12" s="64">
        <f t="shared" si="6"/>
        <v>65000000000003</v>
      </c>
      <c r="AQ12" s="64">
        <f t="shared" si="7"/>
        <v>65000000000006</v>
      </c>
      <c r="AS12" s="64">
        <f t="shared" si="8"/>
        <v>65000000000006</v>
      </c>
      <c r="AU12" s="59" t="str">
        <f t="shared" si="37"/>
        <v>PERFORM * FROM "SchData-OLTP-Accounting"."Func_TblChartOfAccount_SET"(varSystemLoginSession, null, null, null, varInstitutionBranchID, 62000000000001::bigint,'1-1102.02', 'Bank (USD)', 62000000000002::bigint, '2016-01-01 00:00:00'::timestamp, null::timestamp, 65000000000006::bigint, 66000000000001::bigint);</v>
      </c>
      <c r="AV12" s="65">
        <f t="shared" si="38"/>
        <v>65000000000008</v>
      </c>
      <c r="AW12" s="65">
        <f t="shared" si="39"/>
        <v>65000000000006</v>
      </c>
      <c r="AY12" s="65">
        <f t="shared" si="28"/>
        <v>65000000000006</v>
      </c>
      <c r="BA12" s="78">
        <f t="shared" si="40"/>
        <v>65000000000008</v>
      </c>
      <c r="BB12" s="81" t="str">
        <f t="shared" si="30"/>
        <v>PERFORM * FROM "SchData-OLTP-Accounting"."Func_TblChartOfAccount_SET"(varSystemLoginSession, null, null, null, null, null, varInstitutionBranchID, 62000000000001::bigint,'1-1102.02', 'Bank (USD)', 62000000000002::bigint, '2016-01-01 00:00:00'::timestamp, null::timestamp, 65000000000006::bigint, 66000000000001::bigint, TRUE::boolean);</v>
      </c>
    </row>
    <row r="13" spans="2:55" x14ac:dyDescent="0.2">
      <c r="B13" s="39"/>
      <c r="C13" s="40"/>
      <c r="D13" s="39"/>
      <c r="E13" s="40"/>
      <c r="F13" s="41" t="s">
        <v>1103</v>
      </c>
      <c r="G13" s="42" t="s">
        <v>102</v>
      </c>
      <c r="H13" s="50"/>
      <c r="I13" s="33"/>
      <c r="J13" s="50"/>
      <c r="K13" s="33"/>
      <c r="L13" s="50"/>
      <c r="M13" s="33"/>
      <c r="O13" s="58" t="str">
        <f t="shared" si="9"/>
        <v>1-0000</v>
      </c>
      <c r="P13" s="58" t="str">
        <f t="shared" si="10"/>
        <v>1-1000</v>
      </c>
      <c r="Q13" s="58" t="str">
        <f t="shared" si="11"/>
        <v>1-1200</v>
      </c>
      <c r="R13" s="58" t="str">
        <f t="shared" si="12"/>
        <v>1-1102</v>
      </c>
      <c r="S13" s="58" t="str">
        <f t="shared" si="13"/>
        <v>1-1102.02</v>
      </c>
      <c r="T13" s="58" t="str">
        <f t="shared" si="14"/>
        <v xml:space="preserve"> </v>
      </c>
      <c r="V13" s="72">
        <f t="shared" si="15"/>
        <v>65000000000009</v>
      </c>
      <c r="W13" s="60">
        <f t="shared" si="16"/>
        <v>65000000000001</v>
      </c>
      <c r="X13" s="60">
        <f t="shared" si="17"/>
        <v>65000000000002</v>
      </c>
      <c r="Y13" s="60">
        <f t="shared" si="18"/>
        <v>65000000000009</v>
      </c>
      <c r="Z13" s="60">
        <f t="shared" si="19"/>
        <v>65000000000006</v>
      </c>
      <c r="AA13" s="60">
        <f t="shared" si="1"/>
        <v>65000000000008</v>
      </c>
      <c r="AB13" s="60">
        <f t="shared" si="20"/>
        <v>65000000000000</v>
      </c>
      <c r="AD13" s="60">
        <f t="shared" si="31"/>
        <v>1</v>
      </c>
      <c r="AE13" s="60">
        <f t="shared" si="32"/>
        <v>2</v>
      </c>
      <c r="AF13" s="60">
        <f t="shared" si="33"/>
        <v>3</v>
      </c>
      <c r="AG13" s="60">
        <f t="shared" si="34"/>
        <v>1</v>
      </c>
      <c r="AH13" s="60">
        <f t="shared" si="35"/>
        <v>1</v>
      </c>
      <c r="AI13" s="60">
        <f t="shared" si="36"/>
        <v>1</v>
      </c>
      <c r="AK13" s="68" t="str">
        <f t="shared" si="3"/>
        <v>L3</v>
      </c>
      <c r="AM13" s="64" t="s">
        <v>1755</v>
      </c>
      <c r="AN13" s="64">
        <f t="shared" si="4"/>
        <v>65000000000001</v>
      </c>
      <c r="AO13" s="64">
        <f t="shared" si="5"/>
        <v>65000000000002</v>
      </c>
      <c r="AP13" s="64">
        <f t="shared" si="6"/>
        <v>65000000000003</v>
      </c>
      <c r="AQ13" s="64">
        <f t="shared" si="7"/>
        <v>65000000000006</v>
      </c>
      <c r="AS13" s="64">
        <f t="shared" si="8"/>
        <v>65000000000002</v>
      </c>
      <c r="AU13" s="59" t="str">
        <f t="shared" si="37"/>
        <v>PERFORM * FROM "SchData-OLTP-Accounting"."Func_TblChartOfAccount_SET"(varSystemLoginSession, null, null, null, varInstitutionBranchID, 62000000000001::bigint,'1-1200', 'Account Receivable', 62000000000001::bigint, '2016-01-01 00:00:00'::timestamp, null::timestamp, 65000000000002::bigint, 66000000000001::bigint);</v>
      </c>
      <c r="AV13" s="65">
        <f t="shared" si="38"/>
        <v>65000000000009</v>
      </c>
      <c r="AW13" s="65">
        <f t="shared" si="39"/>
        <v>65000000000002</v>
      </c>
      <c r="AY13" s="65">
        <f t="shared" si="28"/>
        <v>65000000000002</v>
      </c>
      <c r="BA13" s="78">
        <f t="shared" si="40"/>
        <v>65000000000009</v>
      </c>
      <c r="BB13" s="81" t="str">
        <f t="shared" si="30"/>
        <v>PERFORM * FROM "SchData-OLTP-Accounting"."Func_TblChartOfAccount_SET"(varSystemLoginSession, null, null, null, null, null, varInstitutionBranchID, 62000000000001::bigint,'1-1200', 'Account Receivable', 62000000000001::bigint, '2016-01-01 00:00:00'::timestamp, null::timestamp, 65000000000002::bigint, 66000000000001::bigint, TRUE::boolean);</v>
      </c>
    </row>
    <row r="14" spans="2:55" x14ac:dyDescent="0.2">
      <c r="B14" s="39"/>
      <c r="C14" s="40"/>
      <c r="D14" s="39"/>
      <c r="E14" s="40"/>
      <c r="F14" s="41"/>
      <c r="G14" s="42"/>
      <c r="H14" s="50" t="s">
        <v>41</v>
      </c>
      <c r="I14" s="33" t="s">
        <v>747</v>
      </c>
      <c r="J14" s="50"/>
      <c r="K14" s="33"/>
      <c r="L14" s="50"/>
      <c r="M14" s="33"/>
      <c r="O14" s="58" t="str">
        <f t="shared" si="9"/>
        <v>1-0000</v>
      </c>
      <c r="P14" s="58" t="str">
        <f t="shared" si="10"/>
        <v>1-1000</v>
      </c>
      <c r="Q14" s="58" t="str">
        <f t="shared" si="11"/>
        <v>1-1200</v>
      </c>
      <c r="R14" s="58" t="str">
        <f t="shared" si="12"/>
        <v>1-1201</v>
      </c>
      <c r="S14" s="58" t="str">
        <f t="shared" si="13"/>
        <v>1-1102.02</v>
      </c>
      <c r="T14" s="58" t="str">
        <f t="shared" si="14"/>
        <v xml:space="preserve"> </v>
      </c>
      <c r="V14" s="72">
        <f t="shared" si="15"/>
        <v>65000000000010</v>
      </c>
      <c r="W14" s="60">
        <f t="shared" si="16"/>
        <v>65000000000001</v>
      </c>
      <c r="X14" s="60">
        <f t="shared" si="17"/>
        <v>65000000000002</v>
      </c>
      <c r="Y14" s="60">
        <f t="shared" si="18"/>
        <v>65000000000009</v>
      </c>
      <c r="Z14" s="60">
        <f t="shared" si="19"/>
        <v>65000000000010</v>
      </c>
      <c r="AA14" s="60">
        <f t="shared" si="1"/>
        <v>65000000000008</v>
      </c>
      <c r="AB14" s="60">
        <f t="shared" si="20"/>
        <v>65000000000000</v>
      </c>
      <c r="AD14" s="60">
        <f t="shared" si="31"/>
        <v>1</v>
      </c>
      <c r="AE14" s="60">
        <f t="shared" si="32"/>
        <v>2</v>
      </c>
      <c r="AF14" s="60">
        <f t="shared" si="33"/>
        <v>3</v>
      </c>
      <c r="AG14" s="60">
        <f t="shared" si="34"/>
        <v>2</v>
      </c>
      <c r="AH14" s="60">
        <f t="shared" si="35"/>
        <v>1</v>
      </c>
      <c r="AI14" s="60">
        <f t="shared" si="36"/>
        <v>1</v>
      </c>
      <c r="AK14" s="68" t="str">
        <f t="shared" si="3"/>
        <v>L4</v>
      </c>
      <c r="AM14" s="64" t="s">
        <v>1755</v>
      </c>
      <c r="AN14" s="64">
        <f t="shared" si="4"/>
        <v>65000000000001</v>
      </c>
      <c r="AO14" s="64">
        <f t="shared" si="5"/>
        <v>65000000000002</v>
      </c>
      <c r="AP14" s="64">
        <f t="shared" si="6"/>
        <v>65000000000009</v>
      </c>
      <c r="AQ14" s="64">
        <f t="shared" si="7"/>
        <v>65000000000009</v>
      </c>
      <c r="AS14" s="64">
        <f t="shared" si="8"/>
        <v>65000000000009</v>
      </c>
      <c r="AU14" s="59" t="str">
        <f t="shared" si="37"/>
        <v>PERFORM * FROM "SchData-OLTP-Accounting"."Func_TblChartOfAccount_SET"(varSystemLoginSession, null, null, null, varInstitutionBranchID, 62000000000001::bigint,'1-1201', 'Piutang Usaha', 62000000000001::bigint, '2016-01-01 00:00:00'::timestamp, null::timestamp, 65000000000009::bigint, 66000000000001::bigint);</v>
      </c>
      <c r="AV14" s="65">
        <f t="shared" si="38"/>
        <v>65000000000010</v>
      </c>
      <c r="AW14" s="65">
        <f t="shared" si="39"/>
        <v>65000000000009</v>
      </c>
      <c r="AY14" s="65">
        <f t="shared" si="28"/>
        <v>65000000000009</v>
      </c>
      <c r="BA14" s="78">
        <f t="shared" si="40"/>
        <v>65000000000010</v>
      </c>
      <c r="BB14" s="81" t="str">
        <f t="shared" si="30"/>
        <v>PERFORM * FROM "SchData-OLTP-Accounting"."Func_TblChartOfAccount_SET"(varSystemLoginSession, null, null, null, null, null, varInstitutionBranchID, 62000000000001::bigint,'1-1201', 'Piutang Usaha', 62000000000001::bigint, '2016-01-01 00:00:00'::timestamp, null::timestamp, 65000000000009::bigint, 66000000000001::bigint, TRUE::boolean);</v>
      </c>
    </row>
    <row r="15" spans="2:55" x14ac:dyDescent="0.2">
      <c r="B15" s="39"/>
      <c r="C15" s="40"/>
      <c r="D15" s="39"/>
      <c r="E15" s="40"/>
      <c r="F15" s="41"/>
      <c r="G15" s="42"/>
      <c r="H15" s="50"/>
      <c r="I15" s="33"/>
      <c r="J15" s="50" t="s">
        <v>748</v>
      </c>
      <c r="K15" s="33" t="s">
        <v>1413</v>
      </c>
      <c r="L15" s="50"/>
      <c r="M15" s="33" t="s">
        <v>1735</v>
      </c>
      <c r="O15" s="58" t="str">
        <f t="shared" si="9"/>
        <v>1-0000</v>
      </c>
      <c r="P15" s="58" t="str">
        <f t="shared" si="10"/>
        <v>1-1000</v>
      </c>
      <c r="Q15" s="58" t="str">
        <f t="shared" si="11"/>
        <v>1-1200</v>
      </c>
      <c r="R15" s="58" t="str">
        <f t="shared" si="12"/>
        <v>1-1201</v>
      </c>
      <c r="S15" s="58" t="str">
        <f t="shared" si="13"/>
        <v>1-1201.01</v>
      </c>
      <c r="T15" s="58" t="str">
        <f t="shared" si="14"/>
        <v xml:space="preserve"> </v>
      </c>
      <c r="V15" s="72">
        <f t="shared" si="15"/>
        <v>65000000000011</v>
      </c>
      <c r="W15" s="60">
        <f t="shared" si="16"/>
        <v>65000000000001</v>
      </c>
      <c r="X15" s="60">
        <f t="shared" si="17"/>
        <v>65000000000002</v>
      </c>
      <c r="Y15" s="60">
        <f t="shared" si="18"/>
        <v>65000000000009</v>
      </c>
      <c r="Z15" s="60">
        <f t="shared" si="19"/>
        <v>65000000000010</v>
      </c>
      <c r="AA15" s="60">
        <f t="shared" si="1"/>
        <v>65000000000011</v>
      </c>
      <c r="AB15" s="60">
        <f t="shared" si="20"/>
        <v>65000000000000</v>
      </c>
      <c r="AD15" s="60">
        <f t="shared" si="31"/>
        <v>1</v>
      </c>
      <c r="AE15" s="60">
        <f t="shared" si="32"/>
        <v>2</v>
      </c>
      <c r="AF15" s="60">
        <f t="shared" si="33"/>
        <v>3</v>
      </c>
      <c r="AG15" s="60">
        <f t="shared" si="34"/>
        <v>2</v>
      </c>
      <c r="AH15" s="60">
        <f t="shared" si="35"/>
        <v>2</v>
      </c>
      <c r="AI15" s="60">
        <f t="shared" si="36"/>
        <v>1</v>
      </c>
      <c r="AK15" s="68" t="str">
        <f t="shared" si="3"/>
        <v>L5</v>
      </c>
      <c r="AM15" s="64" t="s">
        <v>1755</v>
      </c>
      <c r="AN15" s="64">
        <f t="shared" si="4"/>
        <v>65000000000001</v>
      </c>
      <c r="AO15" s="64">
        <f t="shared" si="5"/>
        <v>65000000000002</v>
      </c>
      <c r="AP15" s="64">
        <f t="shared" si="6"/>
        <v>65000000000009</v>
      </c>
      <c r="AQ15" s="64">
        <f t="shared" si="7"/>
        <v>65000000000010</v>
      </c>
      <c r="AS15" s="64">
        <f t="shared" si="8"/>
        <v>65000000000010</v>
      </c>
      <c r="AU15" s="59" t="str">
        <f t="shared" si="37"/>
        <v>PERFORM * FROM "SchData-OLTP-Accounting"."Func_TblChartOfAccount_SET"(varSystemLoginSession, null, null, null, varInstitutionBranchID, 62000000000001::bigint,'1-1201.01', 'AR (IDR)', 62000000000001::bigint, '2016-01-01 00:00:00'::timestamp, null::timestamp, 65000000000010::bigint, 66000000000001::bigint);</v>
      </c>
      <c r="AV15" s="65">
        <f t="shared" si="38"/>
        <v>65000000000011</v>
      </c>
      <c r="AW15" s="65">
        <f t="shared" si="39"/>
        <v>65000000000010</v>
      </c>
      <c r="AY15" s="65">
        <f t="shared" si="28"/>
        <v>65000000000010</v>
      </c>
      <c r="BA15" s="78">
        <f t="shared" ref="BA15:BA78" si="41" xml:space="preserve"> BA14 + IF(EXACT(BB15, ""), 0, 1)</f>
        <v>65000000000011</v>
      </c>
      <c r="BB15" s="81" t="str">
        <f t="shared" si="30"/>
        <v>PERFORM * FROM "SchData-OLTP-Accounting"."Func_TblChartOfAccount_SET"(varSystemLoginSession, null, null, null, null, null, varInstitutionBranchID, 62000000000001::bigint,'1-1201.01', 'AR (IDR)', 62000000000001::bigint, '2016-01-01 00:00:00'::timestamp, null::timestamp, 65000000000010::bigint, 66000000000001::bigint, TRUE::boolean);</v>
      </c>
    </row>
    <row r="16" spans="2:55" x14ac:dyDescent="0.2">
      <c r="B16" s="39"/>
      <c r="C16" s="40"/>
      <c r="D16" s="39"/>
      <c r="E16" s="40"/>
      <c r="F16" s="41"/>
      <c r="G16" s="42"/>
      <c r="H16" s="50"/>
      <c r="I16" s="33"/>
      <c r="J16" s="50" t="s">
        <v>749</v>
      </c>
      <c r="K16" s="33" t="s">
        <v>1414</v>
      </c>
      <c r="L16" s="50"/>
      <c r="M16" s="33"/>
      <c r="O16" s="58" t="str">
        <f t="shared" si="9"/>
        <v>1-0000</v>
      </c>
      <c r="P16" s="58" t="str">
        <f t="shared" si="10"/>
        <v>1-1000</v>
      </c>
      <c r="Q16" s="58" t="str">
        <f t="shared" si="11"/>
        <v>1-1200</v>
      </c>
      <c r="R16" s="58" t="str">
        <f t="shared" si="12"/>
        <v>1-1201</v>
      </c>
      <c r="S16" s="58" t="str">
        <f t="shared" si="13"/>
        <v>1-1201.02</v>
      </c>
      <c r="T16" s="58" t="str">
        <f t="shared" si="14"/>
        <v xml:space="preserve"> </v>
      </c>
      <c r="V16" s="72">
        <f t="shared" si="15"/>
        <v>65000000000012</v>
      </c>
      <c r="W16" s="60">
        <f t="shared" si="16"/>
        <v>65000000000001</v>
      </c>
      <c r="X16" s="60">
        <f t="shared" si="17"/>
        <v>65000000000002</v>
      </c>
      <c r="Y16" s="60">
        <f t="shared" si="18"/>
        <v>65000000000009</v>
      </c>
      <c r="Z16" s="60">
        <f t="shared" si="19"/>
        <v>65000000000010</v>
      </c>
      <c r="AA16" s="60">
        <f t="shared" si="1"/>
        <v>65000000000012</v>
      </c>
      <c r="AB16" s="60">
        <f t="shared" si="20"/>
        <v>65000000000000</v>
      </c>
      <c r="AD16" s="60">
        <f t="shared" si="31"/>
        <v>1</v>
      </c>
      <c r="AE16" s="60">
        <f t="shared" si="32"/>
        <v>2</v>
      </c>
      <c r="AF16" s="60">
        <f t="shared" si="33"/>
        <v>3</v>
      </c>
      <c r="AG16" s="60">
        <f t="shared" si="34"/>
        <v>2</v>
      </c>
      <c r="AH16" s="60">
        <f t="shared" si="35"/>
        <v>3</v>
      </c>
      <c r="AI16" s="60">
        <f t="shared" si="36"/>
        <v>1</v>
      </c>
      <c r="AK16" s="68" t="str">
        <f t="shared" si="3"/>
        <v>L5</v>
      </c>
      <c r="AM16" s="64" t="s">
        <v>1755</v>
      </c>
      <c r="AN16" s="64">
        <f t="shared" si="4"/>
        <v>65000000000001</v>
      </c>
      <c r="AO16" s="64">
        <f t="shared" si="5"/>
        <v>65000000000002</v>
      </c>
      <c r="AP16" s="64">
        <f t="shared" si="6"/>
        <v>65000000000009</v>
      </c>
      <c r="AQ16" s="64">
        <f t="shared" si="7"/>
        <v>65000000000010</v>
      </c>
      <c r="AS16" s="64">
        <f t="shared" si="8"/>
        <v>65000000000010</v>
      </c>
      <c r="AU16" s="59" t="str">
        <f t="shared" si="37"/>
        <v>PERFORM * FROM "SchData-OLTP-Accounting"."Func_TblChartOfAccount_SET"(varSystemLoginSession, null, null, null, varInstitutionBranchID, 62000000000001::bigint,'1-1201.02', 'AR (USD)', 62000000000002::bigint, '2016-01-01 00:00:00'::timestamp, null::timestamp, 65000000000010::bigint, 66000000000001::bigint);</v>
      </c>
      <c r="AV16" s="65">
        <f t="shared" si="38"/>
        <v>65000000000012</v>
      </c>
      <c r="AW16" s="65">
        <f t="shared" si="39"/>
        <v>65000000000010</v>
      </c>
      <c r="AY16" s="65">
        <f t="shared" si="28"/>
        <v>65000000000010</v>
      </c>
      <c r="BA16" s="78">
        <f t="shared" si="41"/>
        <v>65000000000012</v>
      </c>
      <c r="BB16" s="81" t="str">
        <f t="shared" si="30"/>
        <v>PERFORM * FROM "SchData-OLTP-Accounting"."Func_TblChartOfAccount_SET"(varSystemLoginSession, null, null, null, null, null, varInstitutionBranchID, 62000000000001::bigint,'1-1201.02', 'AR (USD)', 62000000000002::bigint, '2016-01-01 00:00:00'::timestamp, null::timestamp, 65000000000010::bigint, 66000000000001::bigint, TRUE::boolean);</v>
      </c>
    </row>
    <row r="17" spans="2:54" x14ac:dyDescent="0.2">
      <c r="B17" s="39"/>
      <c r="C17" s="40"/>
      <c r="D17" s="39"/>
      <c r="E17" s="40"/>
      <c r="F17" s="41"/>
      <c r="G17" s="42"/>
      <c r="H17" s="50" t="s">
        <v>750</v>
      </c>
      <c r="I17" s="33" t="s">
        <v>751</v>
      </c>
      <c r="J17" s="50"/>
      <c r="K17" s="33"/>
      <c r="L17" s="50"/>
      <c r="M17" s="33"/>
      <c r="O17" s="58" t="str">
        <f t="shared" si="9"/>
        <v>1-0000</v>
      </c>
      <c r="P17" s="58" t="str">
        <f t="shared" si="10"/>
        <v>1-1000</v>
      </c>
      <c r="Q17" s="58" t="str">
        <f t="shared" si="11"/>
        <v>1-1200</v>
      </c>
      <c r="R17" s="58" t="str">
        <f t="shared" si="12"/>
        <v>1-1202</v>
      </c>
      <c r="S17" s="58" t="str">
        <f t="shared" si="13"/>
        <v>1-1201.02</v>
      </c>
      <c r="T17" s="58" t="str">
        <f t="shared" si="14"/>
        <v xml:space="preserve"> </v>
      </c>
      <c r="V17" s="72">
        <f t="shared" si="15"/>
        <v>65000000000013</v>
      </c>
      <c r="W17" s="60">
        <f t="shared" si="16"/>
        <v>65000000000001</v>
      </c>
      <c r="X17" s="60">
        <f t="shared" si="17"/>
        <v>65000000000002</v>
      </c>
      <c r="Y17" s="60">
        <f t="shared" si="18"/>
        <v>65000000000009</v>
      </c>
      <c r="Z17" s="60">
        <f t="shared" si="19"/>
        <v>65000000000013</v>
      </c>
      <c r="AA17" s="60">
        <f t="shared" si="1"/>
        <v>65000000000012</v>
      </c>
      <c r="AB17" s="60">
        <f t="shared" si="20"/>
        <v>65000000000000</v>
      </c>
      <c r="AD17" s="60">
        <f t="shared" si="31"/>
        <v>1</v>
      </c>
      <c r="AE17" s="60">
        <f t="shared" si="32"/>
        <v>2</v>
      </c>
      <c r="AF17" s="60">
        <f t="shared" si="33"/>
        <v>3</v>
      </c>
      <c r="AG17" s="60">
        <f t="shared" si="34"/>
        <v>3</v>
      </c>
      <c r="AH17" s="60">
        <f t="shared" si="35"/>
        <v>1</v>
      </c>
      <c r="AI17" s="60">
        <f t="shared" si="36"/>
        <v>1</v>
      </c>
      <c r="AK17" s="68" t="str">
        <f t="shared" si="3"/>
        <v>L4</v>
      </c>
      <c r="AM17" s="64" t="s">
        <v>1755</v>
      </c>
      <c r="AN17" s="64">
        <f t="shared" si="4"/>
        <v>65000000000001</v>
      </c>
      <c r="AO17" s="64">
        <f t="shared" si="5"/>
        <v>65000000000002</v>
      </c>
      <c r="AP17" s="64">
        <f t="shared" si="6"/>
        <v>65000000000009</v>
      </c>
      <c r="AQ17" s="64">
        <f t="shared" si="7"/>
        <v>65000000000010</v>
      </c>
      <c r="AS17" s="64">
        <f t="shared" si="8"/>
        <v>65000000000009</v>
      </c>
      <c r="AU17" s="59" t="str">
        <f t="shared" si="37"/>
        <v>PERFORM * FROM "SchData-OLTP-Accounting"."Func_TblChartOfAccount_SET"(varSystemLoginSession, null, null, null, varInstitutionBranchID, 62000000000001::bigint,'1-1202', 'Cadangan Kerugian Piutang', 62000000000001::bigint, '2016-01-01 00:00:00'::timestamp, null::timestamp, 65000000000009::bigint, 66000000000001::bigint);</v>
      </c>
      <c r="AV17" s="65">
        <f t="shared" si="38"/>
        <v>65000000000013</v>
      </c>
      <c r="AW17" s="65">
        <f t="shared" si="39"/>
        <v>65000000000009</v>
      </c>
      <c r="AY17" s="65">
        <f t="shared" si="28"/>
        <v>65000000000009</v>
      </c>
      <c r="BA17" s="78">
        <f t="shared" si="41"/>
        <v>65000000000013</v>
      </c>
      <c r="BB17" s="81" t="str">
        <f t="shared" si="30"/>
        <v>PERFORM * FROM "SchData-OLTP-Accounting"."Func_TblChartOfAccount_SET"(varSystemLoginSession, null, null, null, null, null, varInstitutionBranchID, 62000000000001::bigint,'1-1202', 'Cadangan Kerugian Piutang', 62000000000001::bigint, '2016-01-01 00:00:00'::timestamp, null::timestamp, 65000000000009::bigint, 66000000000001::bigint, TRUE::boolean);</v>
      </c>
    </row>
    <row r="18" spans="2:54" x14ac:dyDescent="0.2">
      <c r="B18" s="39"/>
      <c r="C18" s="40"/>
      <c r="D18" s="39"/>
      <c r="E18" s="40"/>
      <c r="F18" s="41"/>
      <c r="G18" s="42"/>
      <c r="H18" s="50"/>
      <c r="I18" s="33"/>
      <c r="J18" s="50" t="s">
        <v>752</v>
      </c>
      <c r="K18" s="33" t="s">
        <v>1415</v>
      </c>
      <c r="L18" s="50"/>
      <c r="M18" s="33" t="s">
        <v>1735</v>
      </c>
      <c r="O18" s="58" t="str">
        <f t="shared" si="9"/>
        <v>1-0000</v>
      </c>
      <c r="P18" s="58" t="str">
        <f t="shared" si="10"/>
        <v>1-1000</v>
      </c>
      <c r="Q18" s="58" t="str">
        <f t="shared" si="11"/>
        <v>1-1200</v>
      </c>
      <c r="R18" s="58" t="str">
        <f t="shared" si="12"/>
        <v>1-1202</v>
      </c>
      <c r="S18" s="58" t="str">
        <f t="shared" si="13"/>
        <v>1-1202.01</v>
      </c>
      <c r="T18" s="58" t="str">
        <f t="shared" si="14"/>
        <v xml:space="preserve"> </v>
      </c>
      <c r="V18" s="72">
        <f t="shared" si="15"/>
        <v>65000000000014</v>
      </c>
      <c r="W18" s="60">
        <f t="shared" si="16"/>
        <v>65000000000001</v>
      </c>
      <c r="X18" s="60">
        <f t="shared" si="17"/>
        <v>65000000000002</v>
      </c>
      <c r="Y18" s="60">
        <f t="shared" si="18"/>
        <v>65000000000009</v>
      </c>
      <c r="Z18" s="60">
        <f t="shared" si="19"/>
        <v>65000000000013</v>
      </c>
      <c r="AA18" s="60">
        <f t="shared" si="1"/>
        <v>65000000000014</v>
      </c>
      <c r="AB18" s="60">
        <f t="shared" si="20"/>
        <v>65000000000000</v>
      </c>
      <c r="AD18" s="60">
        <f t="shared" si="31"/>
        <v>1</v>
      </c>
      <c r="AE18" s="60">
        <f t="shared" si="32"/>
        <v>2</v>
      </c>
      <c r="AF18" s="60">
        <f t="shared" si="33"/>
        <v>3</v>
      </c>
      <c r="AG18" s="60">
        <f t="shared" si="34"/>
        <v>3</v>
      </c>
      <c r="AH18" s="60">
        <f t="shared" si="35"/>
        <v>2</v>
      </c>
      <c r="AI18" s="60">
        <f t="shared" si="36"/>
        <v>1</v>
      </c>
      <c r="AK18" s="68" t="str">
        <f t="shared" si="3"/>
        <v>L5</v>
      </c>
      <c r="AM18" s="64" t="s">
        <v>1755</v>
      </c>
      <c r="AN18" s="64">
        <f t="shared" si="4"/>
        <v>65000000000001</v>
      </c>
      <c r="AO18" s="64">
        <f t="shared" si="5"/>
        <v>65000000000002</v>
      </c>
      <c r="AP18" s="64">
        <f t="shared" si="6"/>
        <v>65000000000009</v>
      </c>
      <c r="AQ18" s="64">
        <f t="shared" si="7"/>
        <v>65000000000013</v>
      </c>
      <c r="AS18" s="64">
        <f t="shared" si="8"/>
        <v>65000000000013</v>
      </c>
      <c r="AU18" s="59" t="str">
        <f t="shared" si="37"/>
        <v>PERFORM * FROM "SchData-OLTP-Accounting"."Func_TblChartOfAccount_SET"(varSystemLoginSession, null, null, null, varInstitutionBranchID, 62000000000001::bigint,'1-1202.01', 'Cadangan Kerugian Piutang (IDR)', 62000000000001::bigint, '2016-01-01 00:00:00'::timestamp, null::timestamp, 65000000000013::bigint, 66000000000001::bigint);</v>
      </c>
      <c r="AV18" s="65">
        <f t="shared" si="38"/>
        <v>65000000000014</v>
      </c>
      <c r="AW18" s="65">
        <f t="shared" si="39"/>
        <v>65000000000013</v>
      </c>
      <c r="AY18" s="65">
        <f t="shared" si="28"/>
        <v>65000000000013</v>
      </c>
      <c r="BA18" s="78">
        <f t="shared" si="41"/>
        <v>65000000000014</v>
      </c>
      <c r="BB18" s="81" t="str">
        <f t="shared" si="30"/>
        <v>PERFORM * FROM "SchData-OLTP-Accounting"."Func_TblChartOfAccount_SET"(varSystemLoginSession, null, null, null, null, null, varInstitutionBranchID, 62000000000001::bigint,'1-1202.01', 'Cadangan Kerugian Piutang (IDR)', 62000000000001::bigint, '2016-01-01 00:00:00'::timestamp, null::timestamp, 65000000000013::bigint, 66000000000001::bigint, TRUE::boolean);</v>
      </c>
    </row>
    <row r="19" spans="2:54" x14ac:dyDescent="0.2">
      <c r="B19" s="39"/>
      <c r="C19" s="40"/>
      <c r="D19" s="39"/>
      <c r="E19" s="40"/>
      <c r="F19" s="41"/>
      <c r="G19" s="42"/>
      <c r="H19" s="50"/>
      <c r="I19" s="33"/>
      <c r="J19" s="50" t="s">
        <v>753</v>
      </c>
      <c r="K19" s="33" t="s">
        <v>1416</v>
      </c>
      <c r="L19" s="50"/>
      <c r="M19" s="33"/>
      <c r="O19" s="58" t="str">
        <f t="shared" si="9"/>
        <v>1-0000</v>
      </c>
      <c r="P19" s="58" t="str">
        <f t="shared" si="10"/>
        <v>1-1000</v>
      </c>
      <c r="Q19" s="58" t="str">
        <f t="shared" si="11"/>
        <v>1-1200</v>
      </c>
      <c r="R19" s="58" t="str">
        <f t="shared" si="12"/>
        <v>1-1202</v>
      </c>
      <c r="S19" s="58" t="str">
        <f t="shared" si="13"/>
        <v>1-1202.02</v>
      </c>
      <c r="T19" s="58" t="str">
        <f t="shared" si="14"/>
        <v xml:space="preserve"> </v>
      </c>
      <c r="V19" s="72">
        <f t="shared" si="15"/>
        <v>65000000000015</v>
      </c>
      <c r="W19" s="60">
        <f t="shared" si="16"/>
        <v>65000000000001</v>
      </c>
      <c r="X19" s="60">
        <f t="shared" si="17"/>
        <v>65000000000002</v>
      </c>
      <c r="Y19" s="60">
        <f t="shared" si="18"/>
        <v>65000000000009</v>
      </c>
      <c r="Z19" s="60">
        <f t="shared" si="19"/>
        <v>65000000000013</v>
      </c>
      <c r="AA19" s="60">
        <f t="shared" si="1"/>
        <v>65000000000015</v>
      </c>
      <c r="AB19" s="60">
        <f t="shared" si="20"/>
        <v>65000000000000</v>
      </c>
      <c r="AD19" s="60">
        <f t="shared" si="31"/>
        <v>1</v>
      </c>
      <c r="AE19" s="60">
        <f t="shared" si="32"/>
        <v>2</v>
      </c>
      <c r="AF19" s="60">
        <f t="shared" si="33"/>
        <v>3</v>
      </c>
      <c r="AG19" s="60">
        <f t="shared" si="34"/>
        <v>3</v>
      </c>
      <c r="AH19" s="60">
        <f t="shared" si="35"/>
        <v>3</v>
      </c>
      <c r="AI19" s="60">
        <f t="shared" si="36"/>
        <v>1</v>
      </c>
      <c r="AK19" s="68" t="str">
        <f t="shared" si="3"/>
        <v>L5</v>
      </c>
      <c r="AM19" s="64" t="s">
        <v>1755</v>
      </c>
      <c r="AN19" s="64">
        <f t="shared" si="4"/>
        <v>65000000000001</v>
      </c>
      <c r="AO19" s="64">
        <f t="shared" si="5"/>
        <v>65000000000002</v>
      </c>
      <c r="AP19" s="64">
        <f t="shared" si="6"/>
        <v>65000000000009</v>
      </c>
      <c r="AQ19" s="64">
        <f t="shared" si="7"/>
        <v>65000000000013</v>
      </c>
      <c r="AS19" s="64">
        <f t="shared" si="8"/>
        <v>65000000000013</v>
      </c>
      <c r="AU19" s="59" t="str">
        <f t="shared" si="37"/>
        <v>PERFORM * FROM "SchData-OLTP-Accounting"."Func_TblChartOfAccount_SET"(varSystemLoginSession, null, null, null, varInstitutionBranchID, 62000000000001::bigint,'1-1202.02', 'Cadangan Kerugian Piutang (USD)', 62000000000002::bigint, '2016-01-01 00:00:00'::timestamp, null::timestamp, 65000000000013::bigint, 66000000000001::bigint);</v>
      </c>
      <c r="AV19" s="65">
        <f t="shared" si="38"/>
        <v>65000000000015</v>
      </c>
      <c r="AW19" s="65">
        <f t="shared" si="39"/>
        <v>65000000000013</v>
      </c>
      <c r="AY19" s="65">
        <f t="shared" si="28"/>
        <v>65000000000013</v>
      </c>
      <c r="BA19" s="78">
        <f t="shared" si="41"/>
        <v>65000000000015</v>
      </c>
      <c r="BB19" s="81" t="str">
        <f t="shared" si="30"/>
        <v>PERFORM * FROM "SchData-OLTP-Accounting"."Func_TblChartOfAccount_SET"(varSystemLoginSession, null, null, null, null, null, varInstitutionBranchID, 62000000000001::bigint,'1-1202.02', 'Cadangan Kerugian Piutang (USD)', 62000000000002::bigint, '2016-01-01 00:00:00'::timestamp, null::timestamp, 65000000000013::bigint, 66000000000001::bigint, TRUE::boolean);</v>
      </c>
    </row>
    <row r="20" spans="2:54" x14ac:dyDescent="0.2">
      <c r="B20" s="39"/>
      <c r="C20" s="40"/>
      <c r="D20" s="39"/>
      <c r="E20" s="40"/>
      <c r="F20" s="41"/>
      <c r="G20" s="42"/>
      <c r="H20" s="50" t="s">
        <v>43</v>
      </c>
      <c r="I20" s="33" t="s">
        <v>756</v>
      </c>
      <c r="J20" s="50"/>
      <c r="K20" s="33"/>
      <c r="L20" s="50"/>
      <c r="M20" s="33"/>
      <c r="O20" s="58" t="str">
        <f t="shared" si="9"/>
        <v>1-0000</v>
      </c>
      <c r="P20" s="58" t="str">
        <f t="shared" si="10"/>
        <v>1-1000</v>
      </c>
      <c r="Q20" s="58" t="str">
        <f t="shared" si="11"/>
        <v>1-1200</v>
      </c>
      <c r="R20" s="58" t="str">
        <f t="shared" si="12"/>
        <v>1-1203</v>
      </c>
      <c r="S20" s="58" t="str">
        <f t="shared" si="13"/>
        <v>1-1202.02</v>
      </c>
      <c r="T20" s="58" t="str">
        <f t="shared" si="14"/>
        <v xml:space="preserve"> </v>
      </c>
      <c r="V20" s="72">
        <f t="shared" si="15"/>
        <v>65000000000016</v>
      </c>
      <c r="W20" s="60">
        <f t="shared" si="16"/>
        <v>65000000000001</v>
      </c>
      <c r="X20" s="60">
        <f t="shared" si="17"/>
        <v>65000000000002</v>
      </c>
      <c r="Y20" s="60">
        <f t="shared" si="18"/>
        <v>65000000000009</v>
      </c>
      <c r="Z20" s="60">
        <f t="shared" si="19"/>
        <v>65000000000016</v>
      </c>
      <c r="AA20" s="60">
        <f t="shared" si="1"/>
        <v>65000000000015</v>
      </c>
      <c r="AB20" s="60">
        <f t="shared" si="20"/>
        <v>65000000000000</v>
      </c>
      <c r="AD20" s="60">
        <f t="shared" si="31"/>
        <v>1</v>
      </c>
      <c r="AE20" s="60">
        <f t="shared" si="32"/>
        <v>2</v>
      </c>
      <c r="AF20" s="60">
        <f t="shared" si="33"/>
        <v>3</v>
      </c>
      <c r="AG20" s="60">
        <f t="shared" si="34"/>
        <v>4</v>
      </c>
      <c r="AH20" s="60">
        <f t="shared" si="35"/>
        <v>1</v>
      </c>
      <c r="AI20" s="60">
        <f t="shared" si="36"/>
        <v>1</v>
      </c>
      <c r="AK20" s="68" t="str">
        <f t="shared" si="3"/>
        <v>L4</v>
      </c>
      <c r="AM20" s="64" t="s">
        <v>1755</v>
      </c>
      <c r="AN20" s="64">
        <f t="shared" si="4"/>
        <v>65000000000001</v>
      </c>
      <c r="AO20" s="64">
        <f t="shared" si="5"/>
        <v>65000000000002</v>
      </c>
      <c r="AP20" s="64">
        <f t="shared" si="6"/>
        <v>65000000000009</v>
      </c>
      <c r="AQ20" s="64">
        <f t="shared" si="7"/>
        <v>65000000000013</v>
      </c>
      <c r="AS20" s="64">
        <f t="shared" si="8"/>
        <v>65000000000009</v>
      </c>
      <c r="AU20" s="59" t="str">
        <f t="shared" si="37"/>
        <v>PERFORM * FROM "SchData-OLTP-Accounting"."Func_TblChartOfAccount_SET"(varSystemLoginSession, null, null, null, varInstitutionBranchID, 62000000000001::bigint,'1-1203', 'Piutang Non Usaha', 62000000000001::bigint, '2016-01-01 00:00:00'::timestamp, null::timestamp, 65000000000009::bigint, 66000000000001::bigint);</v>
      </c>
      <c r="AV20" s="65">
        <f t="shared" si="38"/>
        <v>65000000000016</v>
      </c>
      <c r="AW20" s="65">
        <f t="shared" si="39"/>
        <v>65000000000009</v>
      </c>
      <c r="AY20" s="65">
        <f t="shared" si="28"/>
        <v>65000000000009</v>
      </c>
      <c r="BA20" s="78">
        <f t="shared" si="41"/>
        <v>65000000000016</v>
      </c>
      <c r="BB20" s="81" t="str">
        <f t="shared" si="30"/>
        <v>PERFORM * FROM "SchData-OLTP-Accounting"."Func_TblChartOfAccount_SET"(varSystemLoginSession, null, null, null, null, null, varInstitutionBranchID, 62000000000001::bigint,'1-1203', 'Piutang Non Usaha', 62000000000001::bigint, '2016-01-01 00:00:00'::timestamp, null::timestamp, 65000000000009::bigint, 66000000000001::bigint, TRUE::boolean);</v>
      </c>
    </row>
    <row r="21" spans="2:54" x14ac:dyDescent="0.2">
      <c r="B21" s="39"/>
      <c r="C21" s="40"/>
      <c r="D21" s="39"/>
      <c r="E21" s="40"/>
      <c r="F21" s="41"/>
      <c r="G21" s="42"/>
      <c r="H21" s="50"/>
      <c r="I21" s="33"/>
      <c r="J21" s="50" t="s">
        <v>757</v>
      </c>
      <c r="K21" s="33" t="s">
        <v>1417</v>
      </c>
      <c r="L21" s="50"/>
      <c r="M21" s="33"/>
      <c r="O21" s="58" t="str">
        <f t="shared" si="9"/>
        <v>1-0000</v>
      </c>
      <c r="P21" s="58" t="str">
        <f t="shared" si="10"/>
        <v>1-1000</v>
      </c>
      <c r="Q21" s="58" t="str">
        <f t="shared" si="11"/>
        <v>1-1200</v>
      </c>
      <c r="R21" s="58" t="str">
        <f t="shared" si="12"/>
        <v>1-1203</v>
      </c>
      <c r="S21" s="58" t="str">
        <f t="shared" si="13"/>
        <v>1-1203.01</v>
      </c>
      <c r="T21" s="58" t="str">
        <f t="shared" si="14"/>
        <v xml:space="preserve"> </v>
      </c>
      <c r="V21" s="72">
        <f t="shared" si="15"/>
        <v>65000000000017</v>
      </c>
      <c r="W21" s="60">
        <f t="shared" si="16"/>
        <v>65000000000001</v>
      </c>
      <c r="X21" s="60">
        <f t="shared" si="17"/>
        <v>65000000000002</v>
      </c>
      <c r="Y21" s="60">
        <f t="shared" si="18"/>
        <v>65000000000009</v>
      </c>
      <c r="Z21" s="60">
        <f t="shared" si="19"/>
        <v>65000000000016</v>
      </c>
      <c r="AA21" s="60">
        <f t="shared" si="1"/>
        <v>65000000000017</v>
      </c>
      <c r="AB21" s="60">
        <f t="shared" si="20"/>
        <v>65000000000000</v>
      </c>
      <c r="AD21" s="60">
        <f t="shared" si="31"/>
        <v>1</v>
      </c>
      <c r="AE21" s="60">
        <f t="shared" si="32"/>
        <v>2</v>
      </c>
      <c r="AF21" s="60">
        <f t="shared" si="33"/>
        <v>3</v>
      </c>
      <c r="AG21" s="60">
        <f t="shared" si="34"/>
        <v>4</v>
      </c>
      <c r="AH21" s="60">
        <f t="shared" si="35"/>
        <v>2</v>
      </c>
      <c r="AI21" s="60">
        <f t="shared" si="36"/>
        <v>1</v>
      </c>
      <c r="AK21" s="68" t="str">
        <f t="shared" si="3"/>
        <v>L5</v>
      </c>
      <c r="AM21" s="64" t="s">
        <v>1755</v>
      </c>
      <c r="AN21" s="64">
        <f t="shared" si="4"/>
        <v>65000000000001</v>
      </c>
      <c r="AO21" s="64">
        <f t="shared" si="5"/>
        <v>65000000000002</v>
      </c>
      <c r="AP21" s="64">
        <f t="shared" si="6"/>
        <v>65000000000009</v>
      </c>
      <c r="AQ21" s="64">
        <f t="shared" si="7"/>
        <v>65000000000016</v>
      </c>
      <c r="AS21" s="64">
        <f t="shared" si="8"/>
        <v>65000000000016</v>
      </c>
      <c r="AU21" s="59" t="str">
        <f t="shared" si="37"/>
        <v>PERFORM * FROM "SchData-OLTP-Accounting"."Func_TblChartOfAccount_SET"(varSystemLoginSession, null, null, null, varInstitutionBranchID, 62000000000001::bigint,'1-1203.01', 'Piutang Non Usaha (IDR)', 62000000000001::bigint, '2016-01-01 00:00:00'::timestamp, null::timestamp, 65000000000016::bigint, 66000000000001::bigint);</v>
      </c>
      <c r="AV21" s="65">
        <f t="shared" si="38"/>
        <v>65000000000017</v>
      </c>
      <c r="AW21" s="65">
        <f t="shared" si="39"/>
        <v>65000000000016</v>
      </c>
      <c r="AY21" s="65">
        <f t="shared" si="28"/>
        <v>65000000000016</v>
      </c>
      <c r="BA21" s="78">
        <f t="shared" si="41"/>
        <v>65000000000017</v>
      </c>
      <c r="BB21" s="81" t="str">
        <f t="shared" si="30"/>
        <v>PERFORM * FROM "SchData-OLTP-Accounting"."Func_TblChartOfAccount_SET"(varSystemLoginSession, null, null, null, null, null, varInstitutionBranchID, 62000000000001::bigint,'1-1203.01', 'Piutang Non Usaha (IDR)', 62000000000001::bigint, '2016-01-01 00:00:00'::timestamp, null::timestamp, 65000000000016::bigint, 66000000000001::bigint, TRUE::boolean);</v>
      </c>
    </row>
    <row r="22" spans="2:54" x14ac:dyDescent="0.2">
      <c r="B22" s="39"/>
      <c r="C22" s="40"/>
      <c r="D22" s="39"/>
      <c r="E22" s="40"/>
      <c r="F22" s="41"/>
      <c r="G22" s="42"/>
      <c r="H22" s="50"/>
      <c r="I22" s="33"/>
      <c r="J22" s="50" t="s">
        <v>1066</v>
      </c>
      <c r="K22" s="33" t="s">
        <v>1418</v>
      </c>
      <c r="L22" s="50"/>
      <c r="M22" s="33"/>
      <c r="O22" s="58" t="str">
        <f t="shared" si="9"/>
        <v>1-0000</v>
      </c>
      <c r="P22" s="58" t="str">
        <f t="shared" si="10"/>
        <v>1-1000</v>
      </c>
      <c r="Q22" s="58" t="str">
        <f t="shared" si="11"/>
        <v>1-1200</v>
      </c>
      <c r="R22" s="58" t="str">
        <f t="shared" si="12"/>
        <v>1-1203</v>
      </c>
      <c r="S22" s="58" t="str">
        <f t="shared" si="13"/>
        <v>1-1203.02</v>
      </c>
      <c r="T22" s="58" t="str">
        <f t="shared" si="14"/>
        <v xml:space="preserve"> </v>
      </c>
      <c r="V22" s="72">
        <f t="shared" si="15"/>
        <v>65000000000018</v>
      </c>
      <c r="W22" s="60">
        <f t="shared" si="16"/>
        <v>65000000000001</v>
      </c>
      <c r="X22" s="60">
        <f t="shared" si="17"/>
        <v>65000000000002</v>
      </c>
      <c r="Y22" s="60">
        <f t="shared" si="18"/>
        <v>65000000000009</v>
      </c>
      <c r="Z22" s="60">
        <f t="shared" si="19"/>
        <v>65000000000016</v>
      </c>
      <c r="AA22" s="60">
        <f t="shared" si="1"/>
        <v>65000000000018</v>
      </c>
      <c r="AB22" s="60">
        <f t="shared" si="20"/>
        <v>65000000000000</v>
      </c>
      <c r="AD22" s="60">
        <f t="shared" si="31"/>
        <v>1</v>
      </c>
      <c r="AE22" s="60">
        <f t="shared" si="32"/>
        <v>2</v>
      </c>
      <c r="AF22" s="60">
        <f t="shared" si="33"/>
        <v>3</v>
      </c>
      <c r="AG22" s="60">
        <f t="shared" si="34"/>
        <v>4</v>
      </c>
      <c r="AH22" s="60">
        <f t="shared" si="35"/>
        <v>3</v>
      </c>
      <c r="AI22" s="60">
        <f t="shared" si="36"/>
        <v>1</v>
      </c>
      <c r="AK22" s="68" t="str">
        <f t="shared" si="3"/>
        <v>L5</v>
      </c>
      <c r="AM22" s="64" t="s">
        <v>1755</v>
      </c>
      <c r="AN22" s="64">
        <f t="shared" si="4"/>
        <v>65000000000001</v>
      </c>
      <c r="AO22" s="64">
        <f t="shared" si="5"/>
        <v>65000000000002</v>
      </c>
      <c r="AP22" s="64">
        <f t="shared" si="6"/>
        <v>65000000000009</v>
      </c>
      <c r="AQ22" s="64">
        <f t="shared" si="7"/>
        <v>65000000000016</v>
      </c>
      <c r="AS22" s="64">
        <f t="shared" si="8"/>
        <v>65000000000016</v>
      </c>
      <c r="AU22" s="59" t="str">
        <f t="shared" si="37"/>
        <v>PERFORM * FROM "SchData-OLTP-Accounting"."Func_TblChartOfAccount_SET"(varSystemLoginSession, null, null, null, varInstitutionBranchID, 62000000000001::bigint,'1-1203.02', 'Piutang Non Usaha (USD)', 62000000000002::bigint, '2016-01-01 00:00:00'::timestamp, null::timestamp, 65000000000016::bigint, 66000000000001::bigint);</v>
      </c>
      <c r="AV22" s="65">
        <f t="shared" si="38"/>
        <v>65000000000018</v>
      </c>
      <c r="AW22" s="65">
        <f t="shared" si="39"/>
        <v>65000000000016</v>
      </c>
      <c r="AY22" s="65">
        <f t="shared" si="28"/>
        <v>65000000000016</v>
      </c>
      <c r="BA22" s="78">
        <f t="shared" si="41"/>
        <v>65000000000018</v>
      </c>
      <c r="BB22" s="81" t="str">
        <f t="shared" si="30"/>
        <v>PERFORM * FROM "SchData-OLTP-Accounting"."Func_TblChartOfAccount_SET"(varSystemLoginSession, null, null, null, null, null, varInstitutionBranchID, 62000000000001::bigint,'1-1203.02', 'Piutang Non Usaha (USD)', 62000000000002::bigint, '2016-01-01 00:00:00'::timestamp, null::timestamp, 65000000000016::bigint, 66000000000001::bigint, TRUE::boolean);</v>
      </c>
    </row>
    <row r="23" spans="2:54" x14ac:dyDescent="0.2">
      <c r="B23" s="39"/>
      <c r="C23" s="40"/>
      <c r="D23" s="39"/>
      <c r="E23" s="40"/>
      <c r="F23" s="41"/>
      <c r="G23" s="42"/>
      <c r="H23" s="50" t="s">
        <v>759</v>
      </c>
      <c r="I23" s="33" t="s">
        <v>760</v>
      </c>
      <c r="J23" s="50"/>
      <c r="K23" s="33"/>
      <c r="L23" s="50"/>
      <c r="M23" s="33"/>
      <c r="O23" s="58" t="str">
        <f t="shared" si="9"/>
        <v>1-0000</v>
      </c>
      <c r="P23" s="58" t="str">
        <f t="shared" si="10"/>
        <v>1-1000</v>
      </c>
      <c r="Q23" s="58" t="str">
        <f t="shared" si="11"/>
        <v>1-1200</v>
      </c>
      <c r="R23" s="58" t="str">
        <f t="shared" si="12"/>
        <v>1-1204</v>
      </c>
      <c r="S23" s="58" t="str">
        <f t="shared" si="13"/>
        <v>1-1203.02</v>
      </c>
      <c r="T23" s="58" t="str">
        <f t="shared" si="14"/>
        <v xml:space="preserve"> </v>
      </c>
      <c r="V23" s="72">
        <f t="shared" si="15"/>
        <v>65000000000019</v>
      </c>
      <c r="W23" s="60">
        <f t="shared" si="16"/>
        <v>65000000000001</v>
      </c>
      <c r="X23" s="60">
        <f t="shared" si="17"/>
        <v>65000000000002</v>
      </c>
      <c r="Y23" s="60">
        <f t="shared" si="18"/>
        <v>65000000000009</v>
      </c>
      <c r="Z23" s="60">
        <f t="shared" si="19"/>
        <v>65000000000019</v>
      </c>
      <c r="AA23" s="60">
        <f t="shared" si="1"/>
        <v>65000000000018</v>
      </c>
      <c r="AB23" s="60">
        <f t="shared" si="20"/>
        <v>65000000000000</v>
      </c>
      <c r="AD23" s="60">
        <f t="shared" si="31"/>
        <v>1</v>
      </c>
      <c r="AE23" s="60">
        <f t="shared" si="32"/>
        <v>2</v>
      </c>
      <c r="AF23" s="60">
        <f t="shared" si="33"/>
        <v>3</v>
      </c>
      <c r="AG23" s="60">
        <f t="shared" si="34"/>
        <v>5</v>
      </c>
      <c r="AH23" s="60">
        <f t="shared" si="35"/>
        <v>1</v>
      </c>
      <c r="AI23" s="60">
        <f t="shared" si="36"/>
        <v>1</v>
      </c>
      <c r="AK23" s="68" t="str">
        <f t="shared" si="3"/>
        <v>L4</v>
      </c>
      <c r="AM23" s="64" t="s">
        <v>1755</v>
      </c>
      <c r="AN23" s="64">
        <f t="shared" si="4"/>
        <v>65000000000001</v>
      </c>
      <c r="AO23" s="64">
        <f t="shared" si="5"/>
        <v>65000000000002</v>
      </c>
      <c r="AP23" s="64">
        <f t="shared" si="6"/>
        <v>65000000000009</v>
      </c>
      <c r="AQ23" s="64">
        <f t="shared" si="7"/>
        <v>65000000000016</v>
      </c>
      <c r="AS23" s="64">
        <f t="shared" si="8"/>
        <v>65000000000009</v>
      </c>
      <c r="AU23" s="59" t="str">
        <f t="shared" si="37"/>
        <v>PERFORM * FROM "SchData-OLTP-Accounting"."Func_TblChartOfAccount_SET"(varSystemLoginSession, null, null, null, varInstitutionBranchID, 62000000000001::bigint,'1-1204', 'Piutang Antar Perusahaan', 62000000000001::bigint, '2016-01-01 00:00:00'::timestamp, null::timestamp, 65000000000009::bigint, 66000000000001::bigint);</v>
      </c>
      <c r="AV23" s="65">
        <f t="shared" si="38"/>
        <v>65000000000019</v>
      </c>
      <c r="AW23" s="65">
        <f t="shared" si="39"/>
        <v>65000000000009</v>
      </c>
      <c r="AY23" s="65">
        <f t="shared" si="28"/>
        <v>65000000000009</v>
      </c>
      <c r="BA23" s="78">
        <f t="shared" si="41"/>
        <v>65000000000019</v>
      </c>
      <c r="BB23" s="81" t="str">
        <f t="shared" si="30"/>
        <v>PERFORM * FROM "SchData-OLTP-Accounting"."Func_TblChartOfAccount_SET"(varSystemLoginSession, null, null, null, null, null, varInstitutionBranchID, 62000000000001::bigint,'1-1204', 'Piutang Antar Perusahaan', 62000000000001::bigint, '2016-01-01 00:00:00'::timestamp, null::timestamp, 65000000000009::bigint, 66000000000001::bigint, TRUE::boolean);</v>
      </c>
    </row>
    <row r="24" spans="2:54" x14ac:dyDescent="0.2">
      <c r="B24" s="39"/>
      <c r="C24" s="40"/>
      <c r="D24" s="39"/>
      <c r="E24" s="40"/>
      <c r="F24" s="41"/>
      <c r="G24" s="42"/>
      <c r="H24" s="50"/>
      <c r="I24" s="33"/>
      <c r="J24" s="50" t="s">
        <v>761</v>
      </c>
      <c r="K24" s="33" t="s">
        <v>1215</v>
      </c>
      <c r="L24" s="50"/>
      <c r="M24" s="33" t="s">
        <v>1736</v>
      </c>
      <c r="O24" s="58" t="str">
        <f t="shared" si="9"/>
        <v>1-0000</v>
      </c>
      <c r="P24" s="58" t="str">
        <f t="shared" si="10"/>
        <v>1-1000</v>
      </c>
      <c r="Q24" s="58" t="str">
        <f t="shared" si="11"/>
        <v>1-1200</v>
      </c>
      <c r="R24" s="58" t="str">
        <f t="shared" si="12"/>
        <v>1-1204</v>
      </c>
      <c r="S24" s="58" t="str">
        <f t="shared" si="13"/>
        <v>1-1204.01</v>
      </c>
      <c r="T24" s="58" t="str">
        <f t="shared" si="14"/>
        <v xml:space="preserve"> </v>
      </c>
      <c r="V24" s="72">
        <f t="shared" si="15"/>
        <v>65000000000020</v>
      </c>
      <c r="W24" s="60">
        <f t="shared" si="16"/>
        <v>65000000000001</v>
      </c>
      <c r="X24" s="60">
        <f t="shared" si="17"/>
        <v>65000000000002</v>
      </c>
      <c r="Y24" s="60">
        <f t="shared" si="18"/>
        <v>65000000000009</v>
      </c>
      <c r="Z24" s="60">
        <f t="shared" si="19"/>
        <v>65000000000019</v>
      </c>
      <c r="AA24" s="60">
        <f t="shared" si="1"/>
        <v>65000000000020</v>
      </c>
      <c r="AB24" s="60">
        <f t="shared" si="20"/>
        <v>65000000000000</v>
      </c>
      <c r="AD24" s="60">
        <f t="shared" si="31"/>
        <v>1</v>
      </c>
      <c r="AE24" s="60">
        <f t="shared" si="32"/>
        <v>2</v>
      </c>
      <c r="AF24" s="60">
        <f t="shared" si="33"/>
        <v>3</v>
      </c>
      <c r="AG24" s="60">
        <f t="shared" si="34"/>
        <v>5</v>
      </c>
      <c r="AH24" s="60">
        <f t="shared" si="35"/>
        <v>2</v>
      </c>
      <c r="AI24" s="60">
        <f t="shared" si="36"/>
        <v>1</v>
      </c>
      <c r="AK24" s="68" t="str">
        <f t="shared" si="3"/>
        <v>L5</v>
      </c>
      <c r="AM24" s="64" t="s">
        <v>1755</v>
      </c>
      <c r="AN24" s="64">
        <f t="shared" si="4"/>
        <v>65000000000001</v>
      </c>
      <c r="AO24" s="64">
        <f t="shared" si="5"/>
        <v>65000000000002</v>
      </c>
      <c r="AP24" s="64">
        <f t="shared" si="6"/>
        <v>65000000000009</v>
      </c>
      <c r="AQ24" s="64">
        <f t="shared" si="7"/>
        <v>65000000000019</v>
      </c>
      <c r="AS24" s="64">
        <f t="shared" si="8"/>
        <v>65000000000019</v>
      </c>
      <c r="AU24" s="59" t="str">
        <f t="shared" si="37"/>
        <v>PERFORM * FROM "SchData-OLTP-Accounting"."Func_TblChartOfAccount_SET"(varSystemLoginSession, null, null, null, varInstitutionBranchID, 62000000000001::bigint,'1-1204.01', 'Piutang Antar Perusahaan (IDR)', 62000000000001::bigint, '2016-01-01 00:00:00'::timestamp, null::timestamp, 65000000000019::bigint, 66000000000001::bigint);</v>
      </c>
      <c r="AV24" s="65">
        <f t="shared" si="38"/>
        <v>65000000000020</v>
      </c>
      <c r="AW24" s="65">
        <f t="shared" si="39"/>
        <v>65000000000019</v>
      </c>
      <c r="AY24" s="65">
        <f t="shared" si="28"/>
        <v>65000000000019</v>
      </c>
      <c r="BA24" s="78">
        <f t="shared" si="41"/>
        <v>65000000000020</v>
      </c>
      <c r="BB24" s="81" t="str">
        <f t="shared" si="30"/>
        <v>PERFORM * FROM "SchData-OLTP-Accounting"."Func_TblChartOfAccount_SET"(varSystemLoginSession, null, null, null, null, null, varInstitutionBranchID, 62000000000001::bigint,'1-1204.01', 'Piutang Antar Perusahaan (IDR)', 62000000000001::bigint, '2016-01-01 00:00:00'::timestamp, null::timestamp, 65000000000019::bigint, 66000000000001::bigint, TRUE::boolean);</v>
      </c>
    </row>
    <row r="25" spans="2:54" x14ac:dyDescent="0.2">
      <c r="B25" s="39"/>
      <c r="C25" s="40"/>
      <c r="D25" s="39"/>
      <c r="E25" s="40"/>
      <c r="F25" s="39"/>
      <c r="G25" s="40"/>
      <c r="H25" s="50"/>
      <c r="I25" s="33"/>
      <c r="J25" s="50" t="s">
        <v>1067</v>
      </c>
      <c r="K25" s="33" t="s">
        <v>1728</v>
      </c>
      <c r="L25" s="50"/>
      <c r="M25" s="33"/>
      <c r="O25" s="58" t="str">
        <f t="shared" si="9"/>
        <v>1-0000</v>
      </c>
      <c r="P25" s="58" t="str">
        <f t="shared" si="10"/>
        <v>1-1000</v>
      </c>
      <c r="Q25" s="58" t="str">
        <f t="shared" si="11"/>
        <v>1-1200</v>
      </c>
      <c r="R25" s="58" t="str">
        <f t="shared" si="12"/>
        <v>1-1204</v>
      </c>
      <c r="S25" s="58" t="str">
        <f t="shared" si="13"/>
        <v>1-1204.02</v>
      </c>
      <c r="T25" s="58" t="str">
        <f t="shared" si="14"/>
        <v xml:space="preserve"> </v>
      </c>
      <c r="V25" s="72">
        <f t="shared" si="15"/>
        <v>65000000000021</v>
      </c>
      <c r="W25" s="60">
        <f t="shared" si="16"/>
        <v>65000000000001</v>
      </c>
      <c r="X25" s="60">
        <f t="shared" si="17"/>
        <v>65000000000002</v>
      </c>
      <c r="Y25" s="60">
        <f t="shared" si="18"/>
        <v>65000000000009</v>
      </c>
      <c r="Z25" s="60">
        <f t="shared" si="19"/>
        <v>65000000000019</v>
      </c>
      <c r="AA25" s="60">
        <f t="shared" si="1"/>
        <v>65000000000021</v>
      </c>
      <c r="AB25" s="60">
        <f t="shared" si="20"/>
        <v>65000000000000</v>
      </c>
      <c r="AD25" s="60">
        <f t="shared" si="31"/>
        <v>1</v>
      </c>
      <c r="AE25" s="60">
        <f t="shared" si="32"/>
        <v>2</v>
      </c>
      <c r="AF25" s="60">
        <f t="shared" si="33"/>
        <v>3</v>
      </c>
      <c r="AG25" s="60">
        <f t="shared" si="34"/>
        <v>5</v>
      </c>
      <c r="AH25" s="60">
        <f t="shared" si="35"/>
        <v>3</v>
      </c>
      <c r="AI25" s="60">
        <f t="shared" si="36"/>
        <v>1</v>
      </c>
      <c r="AK25" s="68" t="str">
        <f t="shared" si="3"/>
        <v>L5</v>
      </c>
      <c r="AM25" s="64" t="s">
        <v>1755</v>
      </c>
      <c r="AN25" s="64">
        <f t="shared" si="4"/>
        <v>65000000000001</v>
      </c>
      <c r="AO25" s="64">
        <f t="shared" si="5"/>
        <v>65000000000002</v>
      </c>
      <c r="AP25" s="64">
        <f t="shared" si="6"/>
        <v>65000000000009</v>
      </c>
      <c r="AQ25" s="64">
        <f t="shared" si="7"/>
        <v>65000000000019</v>
      </c>
      <c r="AS25" s="64">
        <f t="shared" si="8"/>
        <v>65000000000019</v>
      </c>
      <c r="AU25" s="59" t="str">
        <f t="shared" si="37"/>
        <v>PERFORM * FROM "SchData-OLTP-Accounting"."Func_TblChartOfAccount_SET"(varSystemLoginSession, null, null, null, varInstitutionBranchID, 62000000000001::bigint,'1-1204.02', 'Piutang Antar Perusahaan (USD)', 62000000000002::bigint, '2016-01-01 00:00:00'::timestamp, null::timestamp, 65000000000019::bigint, 66000000000001::bigint);</v>
      </c>
      <c r="AV25" s="65">
        <f t="shared" si="38"/>
        <v>65000000000021</v>
      </c>
      <c r="AW25" s="65">
        <f t="shared" si="39"/>
        <v>65000000000019</v>
      </c>
      <c r="AY25" s="65">
        <f t="shared" si="28"/>
        <v>65000000000019</v>
      </c>
      <c r="BA25" s="78">
        <f t="shared" si="41"/>
        <v>65000000000021</v>
      </c>
      <c r="BB25" s="81" t="str">
        <f t="shared" si="30"/>
        <v>PERFORM * FROM "SchData-OLTP-Accounting"."Func_TblChartOfAccount_SET"(varSystemLoginSession, null, null, null, null, null, varInstitutionBranchID, 62000000000001::bigint,'1-1204.02', 'Piutang Antar Perusahaan (USD)', 62000000000002::bigint, '2016-01-01 00:00:00'::timestamp, null::timestamp, 65000000000019::bigint, 66000000000001::bigint, TRUE::boolean);</v>
      </c>
    </row>
    <row r="26" spans="2:54" x14ac:dyDescent="0.2">
      <c r="B26" s="39"/>
      <c r="C26" s="40"/>
      <c r="D26" s="39"/>
      <c r="E26" s="40"/>
      <c r="F26" s="39" t="s">
        <v>1104</v>
      </c>
      <c r="G26" s="40" t="s">
        <v>126</v>
      </c>
      <c r="H26" s="50"/>
      <c r="I26" s="33"/>
      <c r="J26" s="50"/>
      <c r="K26" s="33"/>
      <c r="L26" s="50"/>
      <c r="M26" s="33"/>
      <c r="O26" s="58" t="str">
        <f t="shared" si="9"/>
        <v>1-0000</v>
      </c>
      <c r="P26" s="58" t="str">
        <f t="shared" si="10"/>
        <v>1-1000</v>
      </c>
      <c r="Q26" s="58" t="str">
        <f t="shared" si="11"/>
        <v>1-1300</v>
      </c>
      <c r="R26" s="58" t="str">
        <f t="shared" si="12"/>
        <v>1-1204</v>
      </c>
      <c r="S26" s="58" t="str">
        <f t="shared" si="13"/>
        <v>1-1204.02</v>
      </c>
      <c r="T26" s="58" t="str">
        <f t="shared" si="14"/>
        <v xml:space="preserve"> </v>
      </c>
      <c r="V26" s="72">
        <f t="shared" si="15"/>
        <v>65000000000022</v>
      </c>
      <c r="W26" s="60">
        <f t="shared" si="16"/>
        <v>65000000000001</v>
      </c>
      <c r="X26" s="60">
        <f t="shared" si="17"/>
        <v>65000000000002</v>
      </c>
      <c r="Y26" s="60">
        <f t="shared" si="18"/>
        <v>65000000000022</v>
      </c>
      <c r="Z26" s="60">
        <f t="shared" si="19"/>
        <v>65000000000019</v>
      </c>
      <c r="AA26" s="60">
        <f t="shared" si="1"/>
        <v>65000000000021</v>
      </c>
      <c r="AB26" s="60">
        <f t="shared" si="20"/>
        <v>65000000000000</v>
      </c>
      <c r="AD26" s="60">
        <f t="shared" si="31"/>
        <v>1</v>
      </c>
      <c r="AE26" s="60">
        <f t="shared" si="32"/>
        <v>2</v>
      </c>
      <c r="AF26" s="60">
        <f t="shared" si="33"/>
        <v>4</v>
      </c>
      <c r="AG26" s="60">
        <f t="shared" si="34"/>
        <v>1</v>
      </c>
      <c r="AH26" s="60">
        <f t="shared" si="35"/>
        <v>1</v>
      </c>
      <c r="AI26" s="60">
        <f t="shared" si="36"/>
        <v>1</v>
      </c>
      <c r="AK26" s="68" t="str">
        <f t="shared" si="3"/>
        <v>L3</v>
      </c>
      <c r="AM26" s="64" t="s">
        <v>1755</v>
      </c>
      <c r="AN26" s="64">
        <f t="shared" si="4"/>
        <v>65000000000001</v>
      </c>
      <c r="AO26" s="64">
        <f t="shared" si="5"/>
        <v>65000000000002</v>
      </c>
      <c r="AP26" s="64">
        <f t="shared" si="6"/>
        <v>65000000000009</v>
      </c>
      <c r="AQ26" s="64">
        <f t="shared" si="7"/>
        <v>65000000000019</v>
      </c>
      <c r="AS26" s="64">
        <f t="shared" si="8"/>
        <v>65000000000002</v>
      </c>
      <c r="AU26" s="59" t="str">
        <f t="shared" si="37"/>
        <v>PERFORM * FROM "SchData-OLTP-Accounting"."Func_TblChartOfAccount_SET"(varSystemLoginSession, null, null, null, varInstitutionBranchID, 62000000000001::bigint,'1-1300', 'Inventory', 62000000000001::bigint, '2016-01-01 00:00:00'::timestamp, null::timestamp, 65000000000002::bigint, 66000000000001::bigint);</v>
      </c>
      <c r="AV26" s="65">
        <f t="shared" si="38"/>
        <v>65000000000022</v>
      </c>
      <c r="AW26" s="65">
        <f t="shared" si="39"/>
        <v>65000000000002</v>
      </c>
      <c r="AY26" s="65">
        <f t="shared" si="28"/>
        <v>65000000000002</v>
      </c>
      <c r="BA26" s="78">
        <f t="shared" si="41"/>
        <v>65000000000022</v>
      </c>
      <c r="BB26" s="81" t="str">
        <f t="shared" si="30"/>
        <v>PERFORM * FROM "SchData-OLTP-Accounting"."Func_TblChartOfAccount_SET"(varSystemLoginSession, null, null, null, null, null, varInstitutionBranchID, 62000000000001::bigint,'1-1300', 'Inventory', 62000000000001::bigint, '2016-01-01 00:00:00'::timestamp, null::timestamp, 65000000000002::bigint, 66000000000001::bigint, TRUE::boolean);</v>
      </c>
    </row>
    <row r="27" spans="2:54" x14ac:dyDescent="0.2">
      <c r="B27" s="39"/>
      <c r="C27" s="40"/>
      <c r="D27" s="39"/>
      <c r="E27" s="40"/>
      <c r="F27" s="39"/>
      <c r="G27" s="40"/>
      <c r="H27" s="50" t="s">
        <v>768</v>
      </c>
      <c r="I27" s="33" t="s">
        <v>126</v>
      </c>
      <c r="J27" s="50"/>
      <c r="K27" s="33"/>
      <c r="L27" s="50"/>
      <c r="M27" s="33"/>
      <c r="O27" s="58" t="str">
        <f t="shared" si="9"/>
        <v>1-0000</v>
      </c>
      <c r="P27" s="58" t="str">
        <f t="shared" si="10"/>
        <v>1-1000</v>
      </c>
      <c r="Q27" s="58" t="str">
        <f t="shared" si="11"/>
        <v>1-1300</v>
      </c>
      <c r="R27" s="58" t="str">
        <f t="shared" si="12"/>
        <v>1-1301</v>
      </c>
      <c r="S27" s="58" t="str">
        <f t="shared" si="13"/>
        <v>1-1204.02</v>
      </c>
      <c r="T27" s="58" t="str">
        <f t="shared" si="14"/>
        <v xml:space="preserve"> </v>
      </c>
      <c r="V27" s="72">
        <f t="shared" si="15"/>
        <v>65000000000023</v>
      </c>
      <c r="W27" s="60">
        <f t="shared" si="16"/>
        <v>65000000000001</v>
      </c>
      <c r="X27" s="60">
        <f t="shared" si="17"/>
        <v>65000000000002</v>
      </c>
      <c r="Y27" s="60">
        <f t="shared" si="18"/>
        <v>65000000000022</v>
      </c>
      <c r="Z27" s="60">
        <f t="shared" si="19"/>
        <v>65000000000023</v>
      </c>
      <c r="AA27" s="60">
        <f t="shared" si="1"/>
        <v>65000000000021</v>
      </c>
      <c r="AB27" s="60">
        <f t="shared" si="20"/>
        <v>65000000000000</v>
      </c>
      <c r="AD27" s="60">
        <f t="shared" si="31"/>
        <v>1</v>
      </c>
      <c r="AE27" s="60">
        <f t="shared" si="32"/>
        <v>2</v>
      </c>
      <c r="AF27" s="60">
        <f t="shared" si="33"/>
        <v>4</v>
      </c>
      <c r="AG27" s="60">
        <f t="shared" si="34"/>
        <v>2</v>
      </c>
      <c r="AH27" s="60">
        <f t="shared" si="35"/>
        <v>1</v>
      </c>
      <c r="AI27" s="60">
        <f t="shared" si="36"/>
        <v>1</v>
      </c>
      <c r="AK27" s="68" t="str">
        <f t="shared" si="3"/>
        <v>L4</v>
      </c>
      <c r="AM27" s="64" t="s">
        <v>1755</v>
      </c>
      <c r="AN27" s="64">
        <f t="shared" si="4"/>
        <v>65000000000001</v>
      </c>
      <c r="AO27" s="64">
        <f t="shared" si="5"/>
        <v>65000000000002</v>
      </c>
      <c r="AP27" s="64">
        <f t="shared" si="6"/>
        <v>65000000000022</v>
      </c>
      <c r="AQ27" s="64">
        <f t="shared" si="7"/>
        <v>65000000000022</v>
      </c>
      <c r="AS27" s="64">
        <f t="shared" si="8"/>
        <v>65000000000022</v>
      </c>
      <c r="AU27" s="59" t="str">
        <f t="shared" si="37"/>
        <v>PERFORM * FROM "SchData-OLTP-Accounting"."Func_TblChartOfAccount_SET"(varSystemLoginSession, null, null, null, varInstitutionBranchID, 62000000000001::bigint,'1-1301', 'Inventory', 62000000000001::bigint, '2016-01-01 00:00:00'::timestamp, null::timestamp, 65000000000022::bigint, 66000000000001::bigint);</v>
      </c>
      <c r="AV27" s="65">
        <f t="shared" si="38"/>
        <v>65000000000023</v>
      </c>
      <c r="AW27" s="65">
        <f t="shared" si="39"/>
        <v>65000000000022</v>
      </c>
      <c r="AY27" s="65">
        <f t="shared" si="28"/>
        <v>65000000000022</v>
      </c>
      <c r="BA27" s="78">
        <f t="shared" si="41"/>
        <v>65000000000023</v>
      </c>
      <c r="BB27" s="81" t="str">
        <f t="shared" si="30"/>
        <v>PERFORM * FROM "SchData-OLTP-Accounting"."Func_TblChartOfAccount_SET"(varSystemLoginSession, null, null, null, null, null, varInstitutionBranchID, 62000000000001::bigint,'1-1301', 'Inventory', 62000000000001::bigint, '2016-01-01 00:00:00'::timestamp, null::timestamp, 65000000000022::bigint, 66000000000001::bigint, TRUE::boolean);</v>
      </c>
    </row>
    <row r="28" spans="2:54" x14ac:dyDescent="0.2">
      <c r="B28" s="39"/>
      <c r="C28" s="40"/>
      <c r="D28" s="39"/>
      <c r="E28" s="40"/>
      <c r="F28" s="39"/>
      <c r="G28" s="40"/>
      <c r="H28" s="50"/>
      <c r="I28" s="33"/>
      <c r="J28" s="50" t="s">
        <v>769</v>
      </c>
      <c r="K28" s="33" t="s">
        <v>1216</v>
      </c>
      <c r="L28" s="50"/>
      <c r="M28" s="33"/>
      <c r="O28" s="58" t="str">
        <f t="shared" si="9"/>
        <v>1-0000</v>
      </c>
      <c r="P28" s="58" t="str">
        <f t="shared" si="10"/>
        <v>1-1000</v>
      </c>
      <c r="Q28" s="58" t="str">
        <f t="shared" si="11"/>
        <v>1-1300</v>
      </c>
      <c r="R28" s="58" t="str">
        <f t="shared" si="12"/>
        <v>1-1301</v>
      </c>
      <c r="S28" s="58" t="str">
        <f t="shared" si="13"/>
        <v>1-1301.01</v>
      </c>
      <c r="T28" s="58" t="str">
        <f t="shared" si="14"/>
        <v xml:space="preserve"> </v>
      </c>
      <c r="V28" s="72">
        <f t="shared" si="15"/>
        <v>65000000000024</v>
      </c>
      <c r="W28" s="60">
        <f t="shared" si="16"/>
        <v>65000000000001</v>
      </c>
      <c r="X28" s="60">
        <f t="shared" si="17"/>
        <v>65000000000002</v>
      </c>
      <c r="Y28" s="60">
        <f t="shared" si="18"/>
        <v>65000000000022</v>
      </c>
      <c r="Z28" s="60">
        <f t="shared" si="19"/>
        <v>65000000000023</v>
      </c>
      <c r="AA28" s="60">
        <f t="shared" si="1"/>
        <v>65000000000024</v>
      </c>
      <c r="AB28" s="60">
        <f t="shared" si="20"/>
        <v>65000000000000</v>
      </c>
      <c r="AD28" s="60">
        <f t="shared" si="31"/>
        <v>1</v>
      </c>
      <c r="AE28" s="60">
        <f t="shared" si="32"/>
        <v>2</v>
      </c>
      <c r="AF28" s="60">
        <f t="shared" si="33"/>
        <v>4</v>
      </c>
      <c r="AG28" s="60">
        <f t="shared" si="34"/>
        <v>2</v>
      </c>
      <c r="AH28" s="60">
        <f t="shared" si="35"/>
        <v>2</v>
      </c>
      <c r="AI28" s="60">
        <f t="shared" si="36"/>
        <v>1</v>
      </c>
      <c r="AK28" s="68" t="str">
        <f t="shared" si="3"/>
        <v>L5</v>
      </c>
      <c r="AM28" s="64" t="s">
        <v>1755</v>
      </c>
      <c r="AN28" s="64">
        <f t="shared" si="4"/>
        <v>65000000000001</v>
      </c>
      <c r="AO28" s="64">
        <f t="shared" si="5"/>
        <v>65000000000002</v>
      </c>
      <c r="AP28" s="64">
        <f t="shared" si="6"/>
        <v>65000000000022</v>
      </c>
      <c r="AQ28" s="64">
        <f t="shared" si="7"/>
        <v>65000000000023</v>
      </c>
      <c r="AS28" s="64">
        <f t="shared" si="8"/>
        <v>65000000000023</v>
      </c>
      <c r="AU28" s="59" t="str">
        <f t="shared" si="37"/>
        <v>PERFORM * FROM "SchData-OLTP-Accounting"."Func_TblChartOfAccount_SET"(varSystemLoginSession, null, null, null, varInstitutionBranchID, 62000000000001::bigint,'1-1301.01', 'Inventory (IDR)', 62000000000001::bigint, '2016-01-01 00:00:00'::timestamp, null::timestamp, 65000000000023::bigint, 66000000000001::bigint);</v>
      </c>
      <c r="AV28" s="65">
        <f t="shared" si="38"/>
        <v>65000000000024</v>
      </c>
      <c r="AW28" s="65">
        <f t="shared" si="39"/>
        <v>65000000000023</v>
      </c>
      <c r="AY28" s="65">
        <f t="shared" si="28"/>
        <v>65000000000023</v>
      </c>
      <c r="BA28" s="78">
        <f t="shared" si="41"/>
        <v>65000000000024</v>
      </c>
      <c r="BB28" s="81" t="str">
        <f t="shared" si="30"/>
        <v>PERFORM * FROM "SchData-OLTP-Accounting"."Func_TblChartOfAccount_SET"(varSystemLoginSession, null, null, null, null, null, varInstitutionBranchID, 62000000000001::bigint,'1-1301.01', 'Inventory (IDR)', 62000000000001::bigint, '2016-01-01 00:00:00'::timestamp, null::timestamp, 65000000000023::bigint, 66000000000001::bigint, TRUE::boolean);</v>
      </c>
    </row>
    <row r="29" spans="2:54" x14ac:dyDescent="0.2">
      <c r="B29" s="39"/>
      <c r="C29" s="40"/>
      <c r="D29" s="39"/>
      <c r="E29" s="40"/>
      <c r="F29" s="39" t="s">
        <v>1105</v>
      </c>
      <c r="G29" s="40" t="s">
        <v>775</v>
      </c>
      <c r="H29" s="50"/>
      <c r="I29" s="33"/>
      <c r="J29" s="50"/>
      <c r="K29" s="33"/>
      <c r="L29" s="50"/>
      <c r="M29" s="33"/>
      <c r="O29" s="58" t="str">
        <f t="shared" si="9"/>
        <v>1-0000</v>
      </c>
      <c r="P29" s="58" t="str">
        <f t="shared" si="10"/>
        <v>1-1000</v>
      </c>
      <c r="Q29" s="58" t="str">
        <f t="shared" si="11"/>
        <v>1-1400</v>
      </c>
      <c r="R29" s="58" t="str">
        <f t="shared" si="12"/>
        <v>1-1301</v>
      </c>
      <c r="S29" s="58" t="str">
        <f t="shared" si="13"/>
        <v>1-1301.01</v>
      </c>
      <c r="T29" s="58" t="str">
        <f t="shared" si="14"/>
        <v xml:space="preserve"> </v>
      </c>
      <c r="V29" s="72">
        <f t="shared" si="15"/>
        <v>65000000000025</v>
      </c>
      <c r="W29" s="60">
        <f t="shared" si="16"/>
        <v>65000000000001</v>
      </c>
      <c r="X29" s="60">
        <f t="shared" si="17"/>
        <v>65000000000002</v>
      </c>
      <c r="Y29" s="60">
        <f t="shared" si="18"/>
        <v>65000000000025</v>
      </c>
      <c r="Z29" s="60">
        <f t="shared" si="19"/>
        <v>65000000000023</v>
      </c>
      <c r="AA29" s="60">
        <f t="shared" si="1"/>
        <v>65000000000024</v>
      </c>
      <c r="AB29" s="60">
        <f t="shared" si="20"/>
        <v>65000000000000</v>
      </c>
      <c r="AD29" s="60">
        <f t="shared" si="31"/>
        <v>1</v>
      </c>
      <c r="AE29" s="60">
        <f t="shared" si="32"/>
        <v>2</v>
      </c>
      <c r="AF29" s="60">
        <f t="shared" si="33"/>
        <v>5</v>
      </c>
      <c r="AG29" s="60">
        <f t="shared" si="34"/>
        <v>1</v>
      </c>
      <c r="AH29" s="60">
        <f t="shared" si="35"/>
        <v>1</v>
      </c>
      <c r="AI29" s="60">
        <f t="shared" si="36"/>
        <v>1</v>
      </c>
      <c r="AK29" s="68" t="str">
        <f t="shared" si="3"/>
        <v>L3</v>
      </c>
      <c r="AM29" s="64" t="s">
        <v>1755</v>
      </c>
      <c r="AN29" s="64">
        <f t="shared" si="4"/>
        <v>65000000000001</v>
      </c>
      <c r="AO29" s="64">
        <f t="shared" si="5"/>
        <v>65000000000002</v>
      </c>
      <c r="AP29" s="64">
        <f t="shared" si="6"/>
        <v>65000000000022</v>
      </c>
      <c r="AQ29" s="64">
        <f t="shared" si="7"/>
        <v>65000000000023</v>
      </c>
      <c r="AS29" s="64">
        <f t="shared" si="8"/>
        <v>65000000000002</v>
      </c>
      <c r="AU29" s="59" t="str">
        <f t="shared" si="37"/>
        <v>PERFORM * FROM "SchData-OLTP-Accounting"."Func_TblChartOfAccount_SET"(varSystemLoginSession, null, null, null, varInstitutionBranchID, 62000000000001::bigint,'1-1400', 'Biaya Dibayar Dimuka', 62000000000001::bigint, '2016-01-01 00:00:00'::timestamp, null::timestamp, 65000000000002::bigint, 66000000000001::bigint);</v>
      </c>
      <c r="AV29" s="65">
        <f t="shared" si="38"/>
        <v>65000000000025</v>
      </c>
      <c r="AW29" s="65">
        <f t="shared" si="39"/>
        <v>65000000000002</v>
      </c>
      <c r="AY29" s="65">
        <f t="shared" si="28"/>
        <v>65000000000002</v>
      </c>
      <c r="BA29" s="78">
        <f t="shared" si="41"/>
        <v>65000000000025</v>
      </c>
      <c r="BB29" s="81" t="str">
        <f t="shared" si="30"/>
        <v>PERFORM * FROM "SchData-OLTP-Accounting"."Func_TblChartOfAccount_SET"(varSystemLoginSession, null, null, null, null, null, varInstitutionBranchID, 62000000000001::bigint,'1-1400', 'Biaya Dibayar Dimuka', 62000000000001::bigint, '2016-01-01 00:00:00'::timestamp, null::timestamp, 65000000000002::bigint, 66000000000001::bigint, TRUE::boolean);</v>
      </c>
    </row>
    <row r="30" spans="2:54" x14ac:dyDescent="0.2">
      <c r="B30" s="39"/>
      <c r="C30" s="40"/>
      <c r="D30" s="39"/>
      <c r="E30" s="40"/>
      <c r="F30" s="39"/>
      <c r="G30" s="40"/>
      <c r="H30" s="50"/>
      <c r="I30" s="33"/>
      <c r="J30" s="50" t="s">
        <v>1727</v>
      </c>
      <c r="K30" s="40" t="s">
        <v>1726</v>
      </c>
      <c r="L30" s="50"/>
      <c r="M30" s="33" t="s">
        <v>1737</v>
      </c>
      <c r="O30" s="58" t="str">
        <f t="shared" si="9"/>
        <v>1-0000</v>
      </c>
      <c r="P30" s="58" t="str">
        <f t="shared" si="10"/>
        <v>1-1000</v>
      </c>
      <c r="Q30" s="58" t="str">
        <f t="shared" si="11"/>
        <v>1-1400</v>
      </c>
      <c r="R30" s="58" t="str">
        <f t="shared" si="12"/>
        <v>1-1301</v>
      </c>
      <c r="S30" s="58" t="str">
        <f t="shared" si="13"/>
        <v>1-1400.01</v>
      </c>
      <c r="T30" s="58" t="str">
        <f t="shared" si="14"/>
        <v xml:space="preserve"> </v>
      </c>
      <c r="V30" s="72">
        <f t="shared" si="15"/>
        <v>65000000000026</v>
      </c>
      <c r="W30" s="60">
        <f t="shared" si="16"/>
        <v>65000000000001</v>
      </c>
      <c r="X30" s="60">
        <f t="shared" si="17"/>
        <v>65000000000002</v>
      </c>
      <c r="Y30" s="60">
        <f t="shared" si="18"/>
        <v>65000000000025</v>
      </c>
      <c r="Z30" s="60">
        <f t="shared" si="19"/>
        <v>65000000000023</v>
      </c>
      <c r="AA30" s="60">
        <f t="shared" si="1"/>
        <v>65000000000026</v>
      </c>
      <c r="AB30" s="60">
        <f t="shared" si="20"/>
        <v>65000000000000</v>
      </c>
      <c r="AD30" s="60">
        <f t="shared" si="31"/>
        <v>1</v>
      </c>
      <c r="AE30" s="60">
        <f t="shared" si="32"/>
        <v>2</v>
      </c>
      <c r="AF30" s="60">
        <f t="shared" si="33"/>
        <v>5</v>
      </c>
      <c r="AG30" s="60">
        <f t="shared" si="34"/>
        <v>1</v>
      </c>
      <c r="AH30" s="60">
        <f t="shared" si="35"/>
        <v>2</v>
      </c>
      <c r="AI30" s="60">
        <f t="shared" si="36"/>
        <v>1</v>
      </c>
      <c r="AK30" s="68" t="str">
        <f t="shared" si="3"/>
        <v>L5</v>
      </c>
      <c r="AM30" s="64" t="s">
        <v>1755</v>
      </c>
      <c r="AN30" s="64">
        <f t="shared" si="4"/>
        <v>65000000000001</v>
      </c>
      <c r="AO30" s="64">
        <f t="shared" si="5"/>
        <v>65000000000002</v>
      </c>
      <c r="AP30" s="64">
        <f t="shared" si="6"/>
        <v>65000000000025</v>
      </c>
      <c r="AQ30" s="64">
        <f t="shared" si="7"/>
        <v>65000000000025</v>
      </c>
      <c r="AS30" s="64">
        <f t="shared" si="8"/>
        <v>65000000000025</v>
      </c>
      <c r="AU30" s="59" t="str">
        <f t="shared" si="37"/>
        <v>PERFORM * FROM "SchData-OLTP-Accounting"."Func_TblChartOfAccount_SET"(varSystemLoginSession, null, null, null, varInstitutionBranchID, 62000000000001::bigint,'1-1400.01', 'Biaya Dibayar Dimuka (IDR)', 62000000000001::bigint, '2016-01-01 00:00:00'::timestamp, null::timestamp, 65000000000025::bigint, 66000000000001::bigint);</v>
      </c>
      <c r="AV30" s="65">
        <f t="shared" si="38"/>
        <v>65000000000026</v>
      </c>
      <c r="AW30" s="65">
        <f t="shared" si="39"/>
        <v>65000000000025</v>
      </c>
      <c r="AY30" s="65">
        <f t="shared" si="28"/>
        <v>65000000000025</v>
      </c>
      <c r="BA30" s="78">
        <f t="shared" si="41"/>
        <v>65000000000026</v>
      </c>
      <c r="BB30" s="81" t="str">
        <f t="shared" si="30"/>
        <v>PERFORM * FROM "SchData-OLTP-Accounting"."Func_TblChartOfAccount_SET"(varSystemLoginSession, null, null, null, null, null, varInstitutionBranchID, 62000000000001::bigint,'1-1400.01', 'Biaya Dibayar Dimuka (IDR)', 62000000000001::bigint, '2016-01-01 00:00:00'::timestamp, null::timestamp, 65000000000025::bigint, 66000000000001::bigint, TRUE::boolean);</v>
      </c>
    </row>
    <row r="31" spans="2:54" x14ac:dyDescent="0.2">
      <c r="B31" s="39"/>
      <c r="C31" s="40"/>
      <c r="D31" s="39"/>
      <c r="E31" s="40"/>
      <c r="F31" s="39" t="s">
        <v>1106</v>
      </c>
      <c r="G31" s="40" t="s">
        <v>776</v>
      </c>
      <c r="H31" s="50"/>
      <c r="I31" s="33"/>
      <c r="J31" s="50"/>
      <c r="K31" s="33"/>
      <c r="L31" s="50"/>
      <c r="M31" s="33"/>
      <c r="O31" s="58" t="str">
        <f t="shared" si="9"/>
        <v>1-0000</v>
      </c>
      <c r="P31" s="58" t="str">
        <f t="shared" si="10"/>
        <v>1-1000</v>
      </c>
      <c r="Q31" s="58" t="str">
        <f t="shared" si="11"/>
        <v>1-1500</v>
      </c>
      <c r="R31" s="58" t="str">
        <f t="shared" si="12"/>
        <v>1-1301</v>
      </c>
      <c r="S31" s="58" t="str">
        <f t="shared" si="13"/>
        <v>1-1400.01</v>
      </c>
      <c r="T31" s="58" t="str">
        <f t="shared" si="14"/>
        <v xml:space="preserve"> </v>
      </c>
      <c r="V31" s="72">
        <f t="shared" si="15"/>
        <v>65000000000027</v>
      </c>
      <c r="W31" s="60">
        <f t="shared" si="16"/>
        <v>65000000000001</v>
      </c>
      <c r="X31" s="60">
        <f t="shared" si="17"/>
        <v>65000000000002</v>
      </c>
      <c r="Y31" s="60">
        <f t="shared" si="18"/>
        <v>65000000000027</v>
      </c>
      <c r="Z31" s="60">
        <f t="shared" si="19"/>
        <v>65000000000023</v>
      </c>
      <c r="AA31" s="60">
        <f t="shared" si="1"/>
        <v>65000000000026</v>
      </c>
      <c r="AB31" s="60">
        <f t="shared" si="20"/>
        <v>65000000000000</v>
      </c>
      <c r="AD31" s="60">
        <f t="shared" si="31"/>
        <v>1</v>
      </c>
      <c r="AE31" s="60">
        <f t="shared" si="32"/>
        <v>2</v>
      </c>
      <c r="AF31" s="60">
        <f t="shared" si="33"/>
        <v>6</v>
      </c>
      <c r="AG31" s="60">
        <f t="shared" si="34"/>
        <v>1</v>
      </c>
      <c r="AH31" s="60">
        <f t="shared" si="35"/>
        <v>2</v>
      </c>
      <c r="AI31" s="60">
        <f t="shared" si="36"/>
        <v>1</v>
      </c>
      <c r="AK31" s="68" t="str">
        <f t="shared" si="3"/>
        <v>L3</v>
      </c>
      <c r="AM31" s="64" t="s">
        <v>1755</v>
      </c>
      <c r="AN31" s="64">
        <f t="shared" si="4"/>
        <v>65000000000001</v>
      </c>
      <c r="AO31" s="64">
        <f t="shared" si="5"/>
        <v>65000000000002</v>
      </c>
      <c r="AP31" s="64">
        <f t="shared" si="6"/>
        <v>65000000000025</v>
      </c>
      <c r="AQ31" s="64">
        <f t="shared" si="7"/>
        <v>65000000000025</v>
      </c>
      <c r="AS31" s="64">
        <f t="shared" si="8"/>
        <v>65000000000002</v>
      </c>
      <c r="AU31" s="59" t="str">
        <f t="shared" si="37"/>
        <v>PERFORM * FROM "SchData-OLTP-Accounting"."Func_TblChartOfAccount_SET"(varSystemLoginSession, null, null, null, varInstitutionBranchID, 62000000000001::bigint,'1-1500', 'Pajak Dibayar Dimuka', 62000000000001::bigint, '2016-01-01 00:00:00'::timestamp, null::timestamp, 65000000000002::bigint, 66000000000001::bigint);</v>
      </c>
      <c r="AV31" s="65">
        <f t="shared" si="38"/>
        <v>65000000000027</v>
      </c>
      <c r="AW31" s="65">
        <f t="shared" si="39"/>
        <v>65000000000002</v>
      </c>
      <c r="AY31" s="65">
        <f t="shared" si="28"/>
        <v>65000000000002</v>
      </c>
      <c r="BA31" s="78">
        <f t="shared" si="41"/>
        <v>65000000000027</v>
      </c>
      <c r="BB31" s="81" t="str">
        <f t="shared" si="30"/>
        <v>PERFORM * FROM "SchData-OLTP-Accounting"."Func_TblChartOfAccount_SET"(varSystemLoginSession, null, null, null, null, null, varInstitutionBranchID, 62000000000001::bigint,'1-1500', 'Pajak Dibayar Dimuka', 62000000000001::bigint, '2016-01-01 00:00:00'::timestamp, null::timestamp, 65000000000002::bigint, 66000000000001::bigint, TRUE::boolean);</v>
      </c>
    </row>
    <row r="32" spans="2:54" x14ac:dyDescent="0.2">
      <c r="B32" s="39"/>
      <c r="C32" s="40"/>
      <c r="D32" s="39"/>
      <c r="E32" s="40"/>
      <c r="F32" s="39"/>
      <c r="G32" s="40"/>
      <c r="H32" s="50" t="s">
        <v>794</v>
      </c>
      <c r="I32" s="33" t="s">
        <v>793</v>
      </c>
      <c r="J32" s="50"/>
      <c r="K32" s="33"/>
      <c r="L32" s="50"/>
      <c r="M32" s="33"/>
      <c r="O32" s="58" t="str">
        <f t="shared" si="9"/>
        <v>1-0000</v>
      </c>
      <c r="P32" s="58" t="str">
        <f t="shared" si="10"/>
        <v>1-1000</v>
      </c>
      <c r="Q32" s="58" t="str">
        <f t="shared" si="11"/>
        <v>1-1500</v>
      </c>
      <c r="R32" s="58" t="str">
        <f t="shared" si="12"/>
        <v>1-1501</v>
      </c>
      <c r="S32" s="58" t="str">
        <f t="shared" si="13"/>
        <v>1-1400.01</v>
      </c>
      <c r="T32" s="58" t="str">
        <f t="shared" si="14"/>
        <v xml:space="preserve"> </v>
      </c>
      <c r="V32" s="72">
        <f t="shared" si="15"/>
        <v>65000000000028</v>
      </c>
      <c r="W32" s="60">
        <f t="shared" si="16"/>
        <v>65000000000001</v>
      </c>
      <c r="X32" s="60">
        <f t="shared" si="17"/>
        <v>65000000000002</v>
      </c>
      <c r="Y32" s="60">
        <f t="shared" si="18"/>
        <v>65000000000027</v>
      </c>
      <c r="Z32" s="60">
        <f t="shared" si="19"/>
        <v>65000000000028</v>
      </c>
      <c r="AA32" s="60">
        <f t="shared" si="1"/>
        <v>65000000000026</v>
      </c>
      <c r="AB32" s="60">
        <f t="shared" si="20"/>
        <v>65000000000000</v>
      </c>
      <c r="AD32" s="60">
        <f t="shared" si="31"/>
        <v>1</v>
      </c>
      <c r="AE32" s="60">
        <f t="shared" si="32"/>
        <v>2</v>
      </c>
      <c r="AF32" s="60">
        <f t="shared" si="33"/>
        <v>6</v>
      </c>
      <c r="AG32" s="60">
        <f t="shared" si="34"/>
        <v>2</v>
      </c>
      <c r="AH32" s="60">
        <f t="shared" si="35"/>
        <v>1</v>
      </c>
      <c r="AI32" s="60">
        <f t="shared" si="36"/>
        <v>1</v>
      </c>
      <c r="AK32" s="68" t="str">
        <f t="shared" si="3"/>
        <v>L4</v>
      </c>
      <c r="AM32" s="64" t="s">
        <v>1755</v>
      </c>
      <c r="AN32" s="64">
        <f t="shared" si="4"/>
        <v>65000000000001</v>
      </c>
      <c r="AO32" s="64">
        <f t="shared" si="5"/>
        <v>65000000000002</v>
      </c>
      <c r="AP32" s="64">
        <f t="shared" si="6"/>
        <v>65000000000027</v>
      </c>
      <c r="AQ32" s="64">
        <f t="shared" si="7"/>
        <v>65000000000027</v>
      </c>
      <c r="AS32" s="64">
        <f t="shared" si="8"/>
        <v>65000000000027</v>
      </c>
      <c r="AU32" s="59" t="str">
        <f t="shared" si="37"/>
        <v>PERFORM * FROM "SchData-OLTP-Accounting"."Func_TblChartOfAccount_SET"(varSystemLoginSession, null, null, null, varInstitutionBranchID, 62000000000001::bigint,'1-1501', 'VAT IN', 62000000000001::bigint, '2016-01-01 00:00:00'::timestamp, null::timestamp, 65000000000027::bigint, 66000000000001::bigint);</v>
      </c>
      <c r="AV32" s="65">
        <f t="shared" si="38"/>
        <v>65000000000028</v>
      </c>
      <c r="AW32" s="65">
        <f t="shared" si="39"/>
        <v>65000000000027</v>
      </c>
      <c r="AY32" s="65">
        <f t="shared" si="28"/>
        <v>65000000000027</v>
      </c>
      <c r="BA32" s="78">
        <f t="shared" si="41"/>
        <v>65000000000028</v>
      </c>
      <c r="BB32" s="81" t="str">
        <f t="shared" si="30"/>
        <v>PERFORM * FROM "SchData-OLTP-Accounting"."Func_TblChartOfAccount_SET"(varSystemLoginSession, null, null, null, null, null, varInstitutionBranchID, 62000000000001::bigint,'1-1501', 'VAT IN', 62000000000001::bigint, '2016-01-01 00:00:00'::timestamp, null::timestamp, 65000000000027::bigint, 66000000000001::bigint, TRUE::boolean);</v>
      </c>
    </row>
    <row r="33" spans="2:54" x14ac:dyDescent="0.2">
      <c r="B33" s="39"/>
      <c r="C33" s="40"/>
      <c r="D33" s="39"/>
      <c r="E33" s="40"/>
      <c r="F33" s="39"/>
      <c r="G33" s="40"/>
      <c r="H33" s="50"/>
      <c r="I33" s="33"/>
      <c r="J33" s="50" t="s">
        <v>802</v>
      </c>
      <c r="K33" s="33" t="s">
        <v>1217</v>
      </c>
      <c r="L33" s="50"/>
      <c r="M33" s="33"/>
      <c r="O33" s="58" t="str">
        <f t="shared" si="9"/>
        <v>1-0000</v>
      </c>
      <c r="P33" s="58" t="str">
        <f t="shared" si="10"/>
        <v>1-1000</v>
      </c>
      <c r="Q33" s="58" t="str">
        <f t="shared" si="11"/>
        <v>1-1500</v>
      </c>
      <c r="R33" s="58" t="str">
        <f t="shared" si="12"/>
        <v>1-1501</v>
      </c>
      <c r="S33" s="58" t="str">
        <f t="shared" si="13"/>
        <v>1-1501.01</v>
      </c>
      <c r="T33" s="58" t="str">
        <f t="shared" si="14"/>
        <v xml:space="preserve"> </v>
      </c>
      <c r="V33" s="72">
        <f t="shared" si="15"/>
        <v>65000000000029</v>
      </c>
      <c r="W33" s="60">
        <f t="shared" si="16"/>
        <v>65000000000001</v>
      </c>
      <c r="X33" s="60">
        <f t="shared" si="17"/>
        <v>65000000000002</v>
      </c>
      <c r="Y33" s="60">
        <f t="shared" si="18"/>
        <v>65000000000027</v>
      </c>
      <c r="Z33" s="60">
        <f t="shared" si="19"/>
        <v>65000000000028</v>
      </c>
      <c r="AA33" s="60">
        <f t="shared" si="1"/>
        <v>65000000000029</v>
      </c>
      <c r="AB33" s="60">
        <f t="shared" si="20"/>
        <v>65000000000000</v>
      </c>
      <c r="AD33" s="60">
        <f t="shared" si="31"/>
        <v>1</v>
      </c>
      <c r="AE33" s="60">
        <f t="shared" si="32"/>
        <v>2</v>
      </c>
      <c r="AF33" s="60">
        <f t="shared" si="33"/>
        <v>6</v>
      </c>
      <c r="AG33" s="60">
        <f t="shared" si="34"/>
        <v>2</v>
      </c>
      <c r="AH33" s="60">
        <f t="shared" si="35"/>
        <v>2</v>
      </c>
      <c r="AI33" s="60">
        <f t="shared" si="36"/>
        <v>1</v>
      </c>
      <c r="AK33" s="68" t="str">
        <f t="shared" si="3"/>
        <v>L5</v>
      </c>
      <c r="AM33" s="64" t="s">
        <v>1755</v>
      </c>
      <c r="AN33" s="64">
        <f t="shared" si="4"/>
        <v>65000000000001</v>
      </c>
      <c r="AO33" s="64">
        <f t="shared" si="5"/>
        <v>65000000000002</v>
      </c>
      <c r="AP33" s="64">
        <f t="shared" si="6"/>
        <v>65000000000027</v>
      </c>
      <c r="AQ33" s="64">
        <f t="shared" si="7"/>
        <v>65000000000028</v>
      </c>
      <c r="AS33" s="64">
        <f t="shared" si="8"/>
        <v>65000000000028</v>
      </c>
      <c r="AU33" s="59" t="str">
        <f t="shared" si="37"/>
        <v>PERFORM * FROM "SchData-OLTP-Accounting"."Func_TblChartOfAccount_SET"(varSystemLoginSession, null, null, null, varInstitutionBranchID, 62000000000001::bigint,'1-1501.01', 'VAT IN (IDR)', 62000000000001::bigint, '2016-01-01 00:00:00'::timestamp, null::timestamp, 65000000000028::bigint, 66000000000001::bigint);</v>
      </c>
      <c r="AV33" s="65">
        <f t="shared" si="38"/>
        <v>65000000000029</v>
      </c>
      <c r="AW33" s="65">
        <f t="shared" si="39"/>
        <v>65000000000028</v>
      </c>
      <c r="AY33" s="65">
        <f t="shared" si="28"/>
        <v>65000000000028</v>
      </c>
      <c r="BA33" s="78">
        <f t="shared" si="41"/>
        <v>65000000000029</v>
      </c>
      <c r="BB33" s="81" t="str">
        <f t="shared" si="30"/>
        <v>PERFORM * FROM "SchData-OLTP-Accounting"."Func_TblChartOfAccount_SET"(varSystemLoginSession, null, null, null, null, null, varInstitutionBranchID, 62000000000001::bigint,'1-1501.01', 'VAT IN (IDR)', 62000000000001::bigint, '2016-01-01 00:00:00'::timestamp, null::timestamp, 65000000000028::bigint, 66000000000001::bigint, TRUE::boolean);</v>
      </c>
    </row>
    <row r="34" spans="2:54" x14ac:dyDescent="0.2">
      <c r="B34" s="39"/>
      <c r="C34" s="40"/>
      <c r="D34" s="39"/>
      <c r="E34" s="40"/>
      <c r="F34" s="39"/>
      <c r="G34" s="40"/>
      <c r="H34" s="50" t="s">
        <v>795</v>
      </c>
      <c r="I34" s="33" t="s">
        <v>173</v>
      </c>
      <c r="J34" s="50"/>
      <c r="K34" s="33"/>
      <c r="L34" s="50"/>
      <c r="M34" s="33"/>
      <c r="O34" s="58" t="str">
        <f t="shared" si="9"/>
        <v>1-0000</v>
      </c>
      <c r="P34" s="58" t="str">
        <f t="shared" si="10"/>
        <v>1-1000</v>
      </c>
      <c r="Q34" s="58" t="str">
        <f t="shared" si="11"/>
        <v>1-1500</v>
      </c>
      <c r="R34" s="58" t="str">
        <f t="shared" si="12"/>
        <v>1-1502</v>
      </c>
      <c r="S34" s="58" t="str">
        <f t="shared" si="13"/>
        <v>1-1501.01</v>
      </c>
      <c r="T34" s="58" t="str">
        <f t="shared" si="14"/>
        <v xml:space="preserve"> </v>
      </c>
      <c r="V34" s="72">
        <f t="shared" si="15"/>
        <v>65000000000030</v>
      </c>
      <c r="W34" s="60">
        <f t="shared" si="16"/>
        <v>65000000000001</v>
      </c>
      <c r="X34" s="60">
        <f t="shared" si="17"/>
        <v>65000000000002</v>
      </c>
      <c r="Y34" s="60">
        <f t="shared" si="18"/>
        <v>65000000000027</v>
      </c>
      <c r="Z34" s="60">
        <f t="shared" si="19"/>
        <v>65000000000030</v>
      </c>
      <c r="AA34" s="60">
        <f t="shared" si="1"/>
        <v>65000000000029</v>
      </c>
      <c r="AB34" s="60">
        <f t="shared" si="20"/>
        <v>65000000000000</v>
      </c>
      <c r="AD34" s="60">
        <f t="shared" si="31"/>
        <v>1</v>
      </c>
      <c r="AE34" s="60">
        <f t="shared" si="32"/>
        <v>2</v>
      </c>
      <c r="AF34" s="60">
        <f t="shared" si="33"/>
        <v>6</v>
      </c>
      <c r="AG34" s="60">
        <f t="shared" si="34"/>
        <v>3</v>
      </c>
      <c r="AH34" s="60">
        <f t="shared" si="35"/>
        <v>1</v>
      </c>
      <c r="AI34" s="60">
        <f t="shared" si="36"/>
        <v>1</v>
      </c>
      <c r="AK34" s="68" t="str">
        <f t="shared" si="3"/>
        <v>L4</v>
      </c>
      <c r="AM34" s="64" t="s">
        <v>1755</v>
      </c>
      <c r="AN34" s="64">
        <f t="shared" si="4"/>
        <v>65000000000001</v>
      </c>
      <c r="AO34" s="64">
        <f t="shared" si="5"/>
        <v>65000000000002</v>
      </c>
      <c r="AP34" s="64">
        <f t="shared" si="6"/>
        <v>65000000000027</v>
      </c>
      <c r="AQ34" s="64">
        <f t="shared" si="7"/>
        <v>65000000000028</v>
      </c>
      <c r="AS34" s="64">
        <f t="shared" si="8"/>
        <v>65000000000027</v>
      </c>
      <c r="AU34" s="59" t="str">
        <f t="shared" si="37"/>
        <v>PERFORM * FROM "SchData-OLTP-Accounting"."Func_TblChartOfAccount_SET"(varSystemLoginSession, null, null, null, varInstitutionBranchID, 62000000000001::bigint,'1-1502', 'Prepaid Tax 22', 62000000000001::bigint, '2016-01-01 00:00:00'::timestamp, null::timestamp, 65000000000027::bigint, 66000000000001::bigint);</v>
      </c>
      <c r="AV34" s="65">
        <f t="shared" si="38"/>
        <v>65000000000030</v>
      </c>
      <c r="AW34" s="65">
        <f t="shared" si="39"/>
        <v>65000000000027</v>
      </c>
      <c r="AY34" s="65">
        <f t="shared" si="28"/>
        <v>65000000000027</v>
      </c>
      <c r="BA34" s="78">
        <f t="shared" si="41"/>
        <v>65000000000030</v>
      </c>
      <c r="BB34" s="81" t="str">
        <f t="shared" si="30"/>
        <v>PERFORM * FROM "SchData-OLTP-Accounting"."Func_TblChartOfAccount_SET"(varSystemLoginSession, null, null, null, null, null, varInstitutionBranchID, 62000000000001::bigint,'1-1502', 'Prepaid Tax 22', 62000000000001::bigint, '2016-01-01 00:00:00'::timestamp, null::timestamp, 65000000000027::bigint, 66000000000001::bigint, TRUE::boolean);</v>
      </c>
    </row>
    <row r="35" spans="2:54" x14ac:dyDescent="0.2">
      <c r="B35" s="39"/>
      <c r="C35" s="40"/>
      <c r="D35" s="39"/>
      <c r="E35" s="40"/>
      <c r="F35" s="39"/>
      <c r="G35" s="40"/>
      <c r="H35" s="50"/>
      <c r="I35" s="33"/>
      <c r="J35" s="50" t="s">
        <v>803</v>
      </c>
      <c r="K35" s="33" t="s">
        <v>1218</v>
      </c>
      <c r="L35" s="50"/>
      <c r="M35" s="33"/>
      <c r="O35" s="58" t="str">
        <f t="shared" si="9"/>
        <v>1-0000</v>
      </c>
      <c r="P35" s="58" t="str">
        <f t="shared" si="10"/>
        <v>1-1000</v>
      </c>
      <c r="Q35" s="58" t="str">
        <f t="shared" si="11"/>
        <v>1-1500</v>
      </c>
      <c r="R35" s="58" t="str">
        <f t="shared" si="12"/>
        <v>1-1502</v>
      </c>
      <c r="S35" s="58" t="str">
        <f t="shared" si="13"/>
        <v>1-1502.01</v>
      </c>
      <c r="T35" s="58" t="str">
        <f t="shared" si="14"/>
        <v xml:space="preserve"> </v>
      </c>
      <c r="V35" s="72">
        <f t="shared" si="15"/>
        <v>65000000000031</v>
      </c>
      <c r="W35" s="60">
        <f t="shared" si="16"/>
        <v>65000000000001</v>
      </c>
      <c r="X35" s="60">
        <f t="shared" si="17"/>
        <v>65000000000002</v>
      </c>
      <c r="Y35" s="60">
        <f t="shared" si="18"/>
        <v>65000000000027</v>
      </c>
      <c r="Z35" s="60">
        <f t="shared" si="19"/>
        <v>65000000000030</v>
      </c>
      <c r="AA35" s="60">
        <f t="shared" si="1"/>
        <v>65000000000031</v>
      </c>
      <c r="AB35" s="60">
        <f t="shared" si="20"/>
        <v>65000000000000</v>
      </c>
      <c r="AD35" s="60">
        <f t="shared" si="31"/>
        <v>1</v>
      </c>
      <c r="AE35" s="60">
        <f t="shared" si="32"/>
        <v>2</v>
      </c>
      <c r="AF35" s="60">
        <f t="shared" si="33"/>
        <v>6</v>
      </c>
      <c r="AG35" s="60">
        <f t="shared" si="34"/>
        <v>3</v>
      </c>
      <c r="AH35" s="60">
        <f t="shared" si="35"/>
        <v>2</v>
      </c>
      <c r="AI35" s="60">
        <f t="shared" si="36"/>
        <v>1</v>
      </c>
      <c r="AK35" s="68" t="str">
        <f t="shared" si="3"/>
        <v>L5</v>
      </c>
      <c r="AM35" s="64" t="s">
        <v>1755</v>
      </c>
      <c r="AN35" s="64">
        <f t="shared" si="4"/>
        <v>65000000000001</v>
      </c>
      <c r="AO35" s="64">
        <f t="shared" si="5"/>
        <v>65000000000002</v>
      </c>
      <c r="AP35" s="64">
        <f t="shared" si="6"/>
        <v>65000000000027</v>
      </c>
      <c r="AQ35" s="64">
        <f t="shared" si="7"/>
        <v>65000000000030</v>
      </c>
      <c r="AS35" s="64">
        <f t="shared" si="8"/>
        <v>65000000000030</v>
      </c>
      <c r="AU35" s="59" t="str">
        <f t="shared" si="37"/>
        <v>PERFORM * FROM "SchData-OLTP-Accounting"."Func_TblChartOfAccount_SET"(varSystemLoginSession, null, null, null, varInstitutionBranchID, 62000000000001::bigint,'1-1502.01', 'Prepaid Tax 22 (IDR)', 62000000000001::bigint, '2016-01-01 00:00:00'::timestamp, null::timestamp, 65000000000030::bigint, 66000000000001::bigint);</v>
      </c>
      <c r="AV35" s="65">
        <f t="shared" si="38"/>
        <v>65000000000031</v>
      </c>
      <c r="AW35" s="65">
        <f t="shared" si="39"/>
        <v>65000000000030</v>
      </c>
      <c r="AY35" s="65">
        <f t="shared" si="28"/>
        <v>65000000000030</v>
      </c>
      <c r="BA35" s="78">
        <f t="shared" si="41"/>
        <v>65000000000031</v>
      </c>
      <c r="BB35" s="81" t="str">
        <f t="shared" si="30"/>
        <v>PERFORM * FROM "SchData-OLTP-Accounting"."Func_TblChartOfAccount_SET"(varSystemLoginSession, null, null, null, null, null, varInstitutionBranchID, 62000000000001::bigint,'1-1502.01', 'Prepaid Tax 22 (IDR)', 62000000000001::bigint, '2016-01-01 00:00:00'::timestamp, null::timestamp, 65000000000030::bigint, 66000000000001::bigint, TRUE::boolean);</v>
      </c>
    </row>
    <row r="36" spans="2:54" x14ac:dyDescent="0.2">
      <c r="B36" s="39"/>
      <c r="C36" s="40"/>
      <c r="D36" s="39"/>
      <c r="E36" s="40"/>
      <c r="F36" s="39"/>
      <c r="G36" s="40"/>
      <c r="H36" s="50" t="s">
        <v>796</v>
      </c>
      <c r="I36" s="33" t="s">
        <v>175</v>
      </c>
      <c r="J36" s="50"/>
      <c r="K36" s="33"/>
      <c r="L36" s="50"/>
      <c r="M36" s="33"/>
      <c r="O36" s="58" t="str">
        <f t="shared" si="9"/>
        <v>1-0000</v>
      </c>
      <c r="P36" s="58" t="str">
        <f t="shared" si="10"/>
        <v>1-1000</v>
      </c>
      <c r="Q36" s="58" t="str">
        <f t="shared" si="11"/>
        <v>1-1500</v>
      </c>
      <c r="R36" s="58" t="str">
        <f t="shared" si="12"/>
        <v>1-1503</v>
      </c>
      <c r="S36" s="58" t="str">
        <f t="shared" si="13"/>
        <v>1-1502.01</v>
      </c>
      <c r="T36" s="58" t="str">
        <f t="shared" si="14"/>
        <v xml:space="preserve"> </v>
      </c>
      <c r="V36" s="72">
        <f t="shared" si="15"/>
        <v>65000000000032</v>
      </c>
      <c r="W36" s="60">
        <f t="shared" si="16"/>
        <v>65000000000001</v>
      </c>
      <c r="X36" s="60">
        <f t="shared" si="17"/>
        <v>65000000000002</v>
      </c>
      <c r="Y36" s="60">
        <f t="shared" si="18"/>
        <v>65000000000027</v>
      </c>
      <c r="Z36" s="60">
        <f t="shared" si="19"/>
        <v>65000000000032</v>
      </c>
      <c r="AA36" s="60">
        <f t="shared" si="1"/>
        <v>65000000000031</v>
      </c>
      <c r="AB36" s="60">
        <f t="shared" si="20"/>
        <v>65000000000000</v>
      </c>
      <c r="AD36" s="60">
        <f t="shared" si="31"/>
        <v>1</v>
      </c>
      <c r="AE36" s="60">
        <f t="shared" si="32"/>
        <v>2</v>
      </c>
      <c r="AF36" s="60">
        <f t="shared" si="33"/>
        <v>6</v>
      </c>
      <c r="AG36" s="60">
        <f t="shared" si="34"/>
        <v>4</v>
      </c>
      <c r="AH36" s="60">
        <f t="shared" si="35"/>
        <v>1</v>
      </c>
      <c r="AI36" s="60">
        <f t="shared" si="36"/>
        <v>1</v>
      </c>
      <c r="AK36" s="68" t="str">
        <f t="shared" si="3"/>
        <v>L4</v>
      </c>
      <c r="AM36" s="64" t="s">
        <v>1755</v>
      </c>
      <c r="AN36" s="64">
        <f t="shared" si="4"/>
        <v>65000000000001</v>
      </c>
      <c r="AO36" s="64">
        <f t="shared" si="5"/>
        <v>65000000000002</v>
      </c>
      <c r="AP36" s="64">
        <f t="shared" si="6"/>
        <v>65000000000027</v>
      </c>
      <c r="AQ36" s="64">
        <f t="shared" si="7"/>
        <v>65000000000030</v>
      </c>
      <c r="AS36" s="64">
        <f t="shared" si="8"/>
        <v>65000000000027</v>
      </c>
      <c r="AU36" s="59" t="str">
        <f t="shared" si="37"/>
        <v>PERFORM * FROM "SchData-OLTP-Accounting"."Func_TblChartOfAccount_SET"(varSystemLoginSession, null, null, null, varInstitutionBranchID, 62000000000001::bigint,'1-1503', 'Prepaid Tax 23', 62000000000001::bigint, '2016-01-01 00:00:00'::timestamp, null::timestamp, 65000000000027::bigint, 66000000000001::bigint);</v>
      </c>
      <c r="AV36" s="65">
        <f t="shared" si="38"/>
        <v>65000000000032</v>
      </c>
      <c r="AW36" s="65">
        <f t="shared" si="39"/>
        <v>65000000000027</v>
      </c>
      <c r="AY36" s="65">
        <f t="shared" si="28"/>
        <v>65000000000027</v>
      </c>
      <c r="BA36" s="78">
        <f t="shared" si="41"/>
        <v>65000000000032</v>
      </c>
      <c r="BB36" s="81" t="str">
        <f t="shared" si="30"/>
        <v>PERFORM * FROM "SchData-OLTP-Accounting"."Func_TblChartOfAccount_SET"(varSystemLoginSession, null, null, null, null, null, varInstitutionBranchID, 62000000000001::bigint,'1-1503', 'Prepaid Tax 23', 62000000000001::bigint, '2016-01-01 00:00:00'::timestamp, null::timestamp, 65000000000027::bigint, 66000000000001::bigint, TRUE::boolean);</v>
      </c>
    </row>
    <row r="37" spans="2:54" x14ac:dyDescent="0.2">
      <c r="B37" s="39"/>
      <c r="C37" s="40"/>
      <c r="D37" s="39"/>
      <c r="E37" s="40"/>
      <c r="F37" s="39"/>
      <c r="G37" s="40"/>
      <c r="H37" s="50"/>
      <c r="I37" s="33"/>
      <c r="J37" s="50" t="s">
        <v>804</v>
      </c>
      <c r="K37" s="33" t="s">
        <v>1219</v>
      </c>
      <c r="L37" s="50"/>
      <c r="M37" s="33"/>
      <c r="O37" s="58" t="str">
        <f t="shared" si="9"/>
        <v>1-0000</v>
      </c>
      <c r="P37" s="58" t="str">
        <f t="shared" si="10"/>
        <v>1-1000</v>
      </c>
      <c r="Q37" s="58" t="str">
        <f t="shared" si="11"/>
        <v>1-1500</v>
      </c>
      <c r="R37" s="58" t="str">
        <f t="shared" si="12"/>
        <v>1-1503</v>
      </c>
      <c r="S37" s="58" t="str">
        <f t="shared" si="13"/>
        <v>1-1503.01</v>
      </c>
      <c r="T37" s="58" t="str">
        <f t="shared" si="14"/>
        <v xml:space="preserve"> </v>
      </c>
      <c r="V37" s="72">
        <f t="shared" si="15"/>
        <v>65000000000033</v>
      </c>
      <c r="W37" s="60">
        <f t="shared" si="16"/>
        <v>65000000000001</v>
      </c>
      <c r="X37" s="60">
        <f t="shared" si="17"/>
        <v>65000000000002</v>
      </c>
      <c r="Y37" s="60">
        <f t="shared" si="18"/>
        <v>65000000000027</v>
      </c>
      <c r="Z37" s="60">
        <f t="shared" si="19"/>
        <v>65000000000032</v>
      </c>
      <c r="AA37" s="60">
        <f t="shared" si="1"/>
        <v>65000000000033</v>
      </c>
      <c r="AB37" s="60">
        <f t="shared" si="20"/>
        <v>65000000000000</v>
      </c>
      <c r="AD37" s="60">
        <f t="shared" si="31"/>
        <v>1</v>
      </c>
      <c r="AE37" s="60">
        <f t="shared" si="32"/>
        <v>2</v>
      </c>
      <c r="AF37" s="60">
        <f t="shared" si="33"/>
        <v>6</v>
      </c>
      <c r="AG37" s="60">
        <f t="shared" si="34"/>
        <v>4</v>
      </c>
      <c r="AH37" s="60">
        <f t="shared" si="35"/>
        <v>2</v>
      </c>
      <c r="AI37" s="60">
        <f t="shared" si="36"/>
        <v>1</v>
      </c>
      <c r="AK37" s="68" t="str">
        <f t="shared" si="3"/>
        <v>L5</v>
      </c>
      <c r="AM37" s="64" t="s">
        <v>1755</v>
      </c>
      <c r="AN37" s="64">
        <f t="shared" si="4"/>
        <v>65000000000001</v>
      </c>
      <c r="AO37" s="64">
        <f t="shared" si="5"/>
        <v>65000000000002</v>
      </c>
      <c r="AP37" s="64">
        <f t="shared" si="6"/>
        <v>65000000000027</v>
      </c>
      <c r="AQ37" s="64">
        <f t="shared" si="7"/>
        <v>65000000000032</v>
      </c>
      <c r="AS37" s="64">
        <f t="shared" si="8"/>
        <v>65000000000032</v>
      </c>
      <c r="AU37" s="59" t="str">
        <f t="shared" si="37"/>
        <v>PERFORM * FROM "SchData-OLTP-Accounting"."Func_TblChartOfAccount_SET"(varSystemLoginSession, null, null, null, varInstitutionBranchID, 62000000000001::bigint,'1-1503.01', 'Prepaid Tax 23 (IDR)', 62000000000001::bigint, '2016-01-01 00:00:00'::timestamp, null::timestamp, 65000000000032::bigint, 66000000000001::bigint);</v>
      </c>
      <c r="AV37" s="65">
        <f t="shared" si="38"/>
        <v>65000000000033</v>
      </c>
      <c r="AW37" s="65">
        <f t="shared" si="39"/>
        <v>65000000000032</v>
      </c>
      <c r="AY37" s="65">
        <f t="shared" si="28"/>
        <v>65000000000032</v>
      </c>
      <c r="BA37" s="78">
        <f t="shared" si="41"/>
        <v>65000000000033</v>
      </c>
      <c r="BB37" s="81" t="str">
        <f t="shared" si="30"/>
        <v>PERFORM * FROM "SchData-OLTP-Accounting"."Func_TblChartOfAccount_SET"(varSystemLoginSession, null, null, null, null, null, varInstitutionBranchID, 62000000000001::bigint,'1-1503.01', 'Prepaid Tax 23 (IDR)', 62000000000001::bigint, '2016-01-01 00:00:00'::timestamp, null::timestamp, 65000000000032::bigint, 66000000000001::bigint, TRUE::boolean);</v>
      </c>
    </row>
    <row r="38" spans="2:54" x14ac:dyDescent="0.2">
      <c r="B38" s="39"/>
      <c r="C38" s="40"/>
      <c r="D38" s="39"/>
      <c r="E38" s="40"/>
      <c r="F38" s="39"/>
      <c r="G38" s="40"/>
      <c r="H38" s="50" t="s">
        <v>801</v>
      </c>
      <c r="I38" s="33" t="s">
        <v>177</v>
      </c>
      <c r="J38" s="50"/>
      <c r="K38" s="33"/>
      <c r="L38" s="50"/>
      <c r="M38" s="33"/>
      <c r="O38" s="58" t="str">
        <f t="shared" si="9"/>
        <v>1-0000</v>
      </c>
      <c r="P38" s="58" t="str">
        <f t="shared" si="10"/>
        <v>1-1000</v>
      </c>
      <c r="Q38" s="58" t="str">
        <f t="shared" si="11"/>
        <v>1-1500</v>
      </c>
      <c r="R38" s="58" t="str">
        <f t="shared" si="12"/>
        <v>1-1504</v>
      </c>
      <c r="S38" s="58" t="str">
        <f t="shared" si="13"/>
        <v>1-1503.01</v>
      </c>
      <c r="T38" s="58" t="str">
        <f t="shared" si="14"/>
        <v xml:space="preserve"> </v>
      </c>
      <c r="V38" s="72">
        <f t="shared" si="15"/>
        <v>65000000000034</v>
      </c>
      <c r="W38" s="60">
        <f t="shared" si="16"/>
        <v>65000000000001</v>
      </c>
      <c r="X38" s="60">
        <f t="shared" si="17"/>
        <v>65000000000002</v>
      </c>
      <c r="Y38" s="60">
        <f t="shared" si="18"/>
        <v>65000000000027</v>
      </c>
      <c r="Z38" s="60">
        <f t="shared" si="19"/>
        <v>65000000000034</v>
      </c>
      <c r="AA38" s="60">
        <f t="shared" si="1"/>
        <v>65000000000033</v>
      </c>
      <c r="AB38" s="60">
        <f t="shared" si="20"/>
        <v>65000000000000</v>
      </c>
      <c r="AD38" s="60">
        <f t="shared" si="31"/>
        <v>1</v>
      </c>
      <c r="AE38" s="60">
        <f t="shared" si="32"/>
        <v>2</v>
      </c>
      <c r="AF38" s="60">
        <f t="shared" si="33"/>
        <v>6</v>
      </c>
      <c r="AG38" s="60">
        <f t="shared" si="34"/>
        <v>5</v>
      </c>
      <c r="AH38" s="60">
        <f t="shared" si="35"/>
        <v>1</v>
      </c>
      <c r="AI38" s="60">
        <f t="shared" si="36"/>
        <v>1</v>
      </c>
      <c r="AK38" s="68" t="str">
        <f t="shared" si="3"/>
        <v>L4</v>
      </c>
      <c r="AM38" s="64" t="s">
        <v>1755</v>
      </c>
      <c r="AN38" s="64">
        <f t="shared" si="4"/>
        <v>65000000000001</v>
      </c>
      <c r="AO38" s="64">
        <f t="shared" si="5"/>
        <v>65000000000002</v>
      </c>
      <c r="AP38" s="64">
        <f t="shared" si="6"/>
        <v>65000000000027</v>
      </c>
      <c r="AQ38" s="64">
        <f t="shared" si="7"/>
        <v>65000000000032</v>
      </c>
      <c r="AS38" s="64">
        <f t="shared" si="8"/>
        <v>65000000000027</v>
      </c>
      <c r="AU38" s="59" t="str">
        <f t="shared" si="37"/>
        <v>PERFORM * FROM "SchData-OLTP-Accounting"."Func_TblChartOfAccount_SET"(varSystemLoginSession, null, null, null, varInstitutionBranchID, 62000000000001::bigint,'1-1504', 'Prepaid Tax 25', 62000000000001::bigint, '2016-01-01 00:00:00'::timestamp, null::timestamp, 65000000000027::bigint, 66000000000001::bigint);</v>
      </c>
      <c r="AV38" s="65">
        <f t="shared" si="38"/>
        <v>65000000000034</v>
      </c>
      <c r="AW38" s="65">
        <f t="shared" si="39"/>
        <v>65000000000027</v>
      </c>
      <c r="AY38" s="65">
        <f t="shared" si="28"/>
        <v>65000000000027</v>
      </c>
      <c r="BA38" s="78">
        <f t="shared" si="41"/>
        <v>65000000000034</v>
      </c>
      <c r="BB38" s="81" t="str">
        <f t="shared" si="30"/>
        <v>PERFORM * FROM "SchData-OLTP-Accounting"."Func_TblChartOfAccount_SET"(varSystemLoginSession, null, null, null, null, null, varInstitutionBranchID, 62000000000001::bigint,'1-1504', 'Prepaid Tax 25', 62000000000001::bigint, '2016-01-01 00:00:00'::timestamp, null::timestamp, 65000000000027::bigint, 66000000000001::bigint, TRUE::boolean);</v>
      </c>
    </row>
    <row r="39" spans="2:54" x14ac:dyDescent="0.2">
      <c r="B39" s="39"/>
      <c r="C39" s="40"/>
      <c r="D39" s="39"/>
      <c r="E39" s="40"/>
      <c r="F39" s="39"/>
      <c r="G39" s="40"/>
      <c r="H39" s="50"/>
      <c r="I39" s="33"/>
      <c r="J39" s="50" t="s">
        <v>805</v>
      </c>
      <c r="K39" s="33" t="s">
        <v>1220</v>
      </c>
      <c r="L39" s="50"/>
      <c r="M39" s="33"/>
      <c r="O39" s="58" t="str">
        <f t="shared" si="9"/>
        <v>1-0000</v>
      </c>
      <c r="P39" s="58" t="str">
        <f t="shared" si="10"/>
        <v>1-1000</v>
      </c>
      <c r="Q39" s="58" t="str">
        <f t="shared" si="11"/>
        <v>1-1500</v>
      </c>
      <c r="R39" s="58" t="str">
        <f t="shared" si="12"/>
        <v>1-1504</v>
      </c>
      <c r="S39" s="58" t="str">
        <f t="shared" si="13"/>
        <v>1-1504.01</v>
      </c>
      <c r="T39" s="58" t="str">
        <f t="shared" si="14"/>
        <v xml:space="preserve"> </v>
      </c>
      <c r="V39" s="72">
        <f t="shared" si="15"/>
        <v>65000000000035</v>
      </c>
      <c r="W39" s="60">
        <f t="shared" si="16"/>
        <v>65000000000001</v>
      </c>
      <c r="X39" s="60">
        <f t="shared" si="17"/>
        <v>65000000000002</v>
      </c>
      <c r="Y39" s="60">
        <f t="shared" si="18"/>
        <v>65000000000027</v>
      </c>
      <c r="Z39" s="60">
        <f t="shared" si="19"/>
        <v>65000000000034</v>
      </c>
      <c r="AA39" s="60">
        <f t="shared" si="1"/>
        <v>65000000000035</v>
      </c>
      <c r="AB39" s="60">
        <f t="shared" si="20"/>
        <v>65000000000000</v>
      </c>
      <c r="AD39" s="60">
        <f t="shared" si="31"/>
        <v>1</v>
      </c>
      <c r="AE39" s="60">
        <f t="shared" si="32"/>
        <v>2</v>
      </c>
      <c r="AF39" s="60">
        <f t="shared" si="33"/>
        <v>6</v>
      </c>
      <c r="AG39" s="60">
        <f t="shared" si="34"/>
        <v>5</v>
      </c>
      <c r="AH39" s="60">
        <f t="shared" si="35"/>
        <v>2</v>
      </c>
      <c r="AI39" s="60">
        <f t="shared" si="36"/>
        <v>1</v>
      </c>
      <c r="AK39" s="68" t="str">
        <f t="shared" si="3"/>
        <v>L5</v>
      </c>
      <c r="AM39" s="64" t="s">
        <v>1755</v>
      </c>
      <c r="AN39" s="64">
        <f t="shared" si="4"/>
        <v>65000000000001</v>
      </c>
      <c r="AO39" s="64">
        <f t="shared" si="5"/>
        <v>65000000000002</v>
      </c>
      <c r="AP39" s="64">
        <f t="shared" si="6"/>
        <v>65000000000027</v>
      </c>
      <c r="AQ39" s="64">
        <f t="shared" si="7"/>
        <v>65000000000034</v>
      </c>
      <c r="AS39" s="64">
        <f t="shared" si="8"/>
        <v>65000000000034</v>
      </c>
      <c r="AU39" s="59" t="str">
        <f t="shared" si="37"/>
        <v>PERFORM * FROM "SchData-OLTP-Accounting"."Func_TblChartOfAccount_SET"(varSystemLoginSession, null, null, null, varInstitutionBranchID, 62000000000001::bigint,'1-1504.01', 'Prepaid Tax 25 (IDR)', 62000000000001::bigint, '2016-01-01 00:00:00'::timestamp, null::timestamp, 65000000000034::bigint, 66000000000001::bigint);</v>
      </c>
      <c r="AV39" s="65">
        <f t="shared" si="38"/>
        <v>65000000000035</v>
      </c>
      <c r="AW39" s="65">
        <f t="shared" si="39"/>
        <v>65000000000034</v>
      </c>
      <c r="AY39" s="65">
        <f t="shared" si="28"/>
        <v>65000000000034</v>
      </c>
      <c r="BA39" s="78">
        <f t="shared" si="41"/>
        <v>65000000000035</v>
      </c>
      <c r="BB39" s="81" t="str">
        <f t="shared" si="30"/>
        <v>PERFORM * FROM "SchData-OLTP-Accounting"."Func_TblChartOfAccount_SET"(varSystemLoginSession, null, null, null, null, null, varInstitutionBranchID, 62000000000001::bigint,'1-1504.01', 'Prepaid Tax 25 (IDR)', 62000000000001::bigint, '2016-01-01 00:00:00'::timestamp, null::timestamp, 65000000000034::bigint, 66000000000001::bigint, TRUE::boolean);</v>
      </c>
    </row>
    <row r="40" spans="2:54" x14ac:dyDescent="0.2">
      <c r="B40" s="39"/>
      <c r="C40" s="40"/>
      <c r="D40" s="39"/>
      <c r="E40" s="40"/>
      <c r="F40" s="39" t="s">
        <v>1107</v>
      </c>
      <c r="G40" s="40" t="s">
        <v>777</v>
      </c>
      <c r="H40" s="50"/>
      <c r="I40" s="33"/>
      <c r="J40" s="50"/>
      <c r="K40" s="33"/>
      <c r="L40" s="50"/>
      <c r="M40" s="33"/>
      <c r="O40" s="58" t="str">
        <f t="shared" si="9"/>
        <v>1-0000</v>
      </c>
      <c r="P40" s="58" t="str">
        <f t="shared" si="10"/>
        <v>1-1000</v>
      </c>
      <c r="Q40" s="58" t="str">
        <f t="shared" si="11"/>
        <v>1-1600</v>
      </c>
      <c r="R40" s="58" t="str">
        <f t="shared" si="12"/>
        <v>1-1504</v>
      </c>
      <c r="S40" s="58" t="str">
        <f t="shared" si="13"/>
        <v>1-1504.01</v>
      </c>
      <c r="T40" s="58" t="str">
        <f t="shared" si="14"/>
        <v xml:space="preserve"> </v>
      </c>
      <c r="V40" s="72">
        <f t="shared" si="15"/>
        <v>65000000000036</v>
      </c>
      <c r="W40" s="60">
        <f t="shared" si="16"/>
        <v>65000000000001</v>
      </c>
      <c r="X40" s="60">
        <f t="shared" si="17"/>
        <v>65000000000002</v>
      </c>
      <c r="Y40" s="60">
        <f t="shared" si="18"/>
        <v>65000000000036</v>
      </c>
      <c r="Z40" s="60">
        <f t="shared" si="19"/>
        <v>65000000000034</v>
      </c>
      <c r="AA40" s="60">
        <f t="shared" si="1"/>
        <v>65000000000035</v>
      </c>
      <c r="AB40" s="60">
        <f t="shared" si="20"/>
        <v>65000000000000</v>
      </c>
      <c r="AD40" s="60">
        <f t="shared" si="31"/>
        <v>1</v>
      </c>
      <c r="AE40" s="60">
        <f t="shared" si="32"/>
        <v>2</v>
      </c>
      <c r="AF40" s="60">
        <f t="shared" si="33"/>
        <v>7</v>
      </c>
      <c r="AG40" s="60">
        <f t="shared" si="34"/>
        <v>1</v>
      </c>
      <c r="AH40" s="60">
        <f t="shared" si="35"/>
        <v>1</v>
      </c>
      <c r="AI40" s="60">
        <f t="shared" si="36"/>
        <v>1</v>
      </c>
      <c r="AK40" s="68" t="str">
        <f t="shared" si="3"/>
        <v>L3</v>
      </c>
      <c r="AM40" s="64" t="s">
        <v>1755</v>
      </c>
      <c r="AN40" s="64">
        <f t="shared" si="4"/>
        <v>65000000000001</v>
      </c>
      <c r="AO40" s="64">
        <f t="shared" si="5"/>
        <v>65000000000002</v>
      </c>
      <c r="AP40" s="64">
        <f t="shared" si="6"/>
        <v>65000000000027</v>
      </c>
      <c r="AQ40" s="64">
        <f t="shared" si="7"/>
        <v>65000000000034</v>
      </c>
      <c r="AS40" s="64">
        <f t="shared" si="8"/>
        <v>65000000000002</v>
      </c>
      <c r="AU40" s="59" t="str">
        <f t="shared" si="37"/>
        <v>PERFORM * FROM "SchData-OLTP-Accounting"."Func_TblChartOfAccount_SET"(varSystemLoginSession, null, null, null, varInstitutionBranchID, 62000000000001::bigint,'1-1600', 'Perlengkapan Kantor', 62000000000001::bigint, '2016-01-01 00:00:00'::timestamp, null::timestamp, 65000000000002::bigint, 66000000000001::bigint);</v>
      </c>
      <c r="AV40" s="65">
        <f t="shared" si="38"/>
        <v>65000000000036</v>
      </c>
      <c r="AW40" s="65">
        <f t="shared" si="39"/>
        <v>65000000000002</v>
      </c>
      <c r="AY40" s="65">
        <f t="shared" si="28"/>
        <v>65000000000002</v>
      </c>
      <c r="BA40" s="78">
        <f t="shared" si="41"/>
        <v>65000000000036</v>
      </c>
      <c r="BB40" s="81" t="str">
        <f t="shared" si="30"/>
        <v>PERFORM * FROM "SchData-OLTP-Accounting"."Func_TblChartOfAccount_SET"(varSystemLoginSession, null, null, null, null, null, varInstitutionBranchID, 62000000000001::bigint,'1-1600', 'Perlengkapan Kantor', 62000000000001::bigint, '2016-01-01 00:00:00'::timestamp, null::timestamp, 65000000000002::bigint, 66000000000001::bigint, TRUE::boolean);</v>
      </c>
    </row>
    <row r="41" spans="2:54" x14ac:dyDescent="0.2">
      <c r="B41" s="39"/>
      <c r="C41" s="40"/>
      <c r="D41" s="39"/>
      <c r="E41" s="40"/>
      <c r="F41" s="39"/>
      <c r="G41" s="40"/>
      <c r="H41" s="50"/>
      <c r="I41" s="33"/>
      <c r="J41" s="50" t="s">
        <v>1722</v>
      </c>
      <c r="K41" s="40" t="s">
        <v>1723</v>
      </c>
      <c r="L41" s="50"/>
      <c r="M41" s="33"/>
      <c r="O41" s="58" t="str">
        <f t="shared" si="9"/>
        <v>1-0000</v>
      </c>
      <c r="P41" s="58" t="str">
        <f t="shared" si="10"/>
        <v>1-1000</v>
      </c>
      <c r="Q41" s="58" t="str">
        <f t="shared" si="11"/>
        <v>1-1600</v>
      </c>
      <c r="R41" s="58" t="str">
        <f t="shared" si="12"/>
        <v>1-1504</v>
      </c>
      <c r="S41" s="58" t="str">
        <f t="shared" si="13"/>
        <v>1-1600.01</v>
      </c>
      <c r="T41" s="58" t="str">
        <f t="shared" si="14"/>
        <v xml:space="preserve"> </v>
      </c>
      <c r="V41" s="72">
        <f t="shared" si="15"/>
        <v>65000000000037</v>
      </c>
      <c r="W41" s="60">
        <f t="shared" si="16"/>
        <v>65000000000001</v>
      </c>
      <c r="X41" s="60">
        <f t="shared" si="17"/>
        <v>65000000000002</v>
      </c>
      <c r="Y41" s="60">
        <f t="shared" si="18"/>
        <v>65000000000036</v>
      </c>
      <c r="Z41" s="60">
        <f t="shared" si="19"/>
        <v>65000000000034</v>
      </c>
      <c r="AA41" s="60">
        <f t="shared" si="1"/>
        <v>65000000000037</v>
      </c>
      <c r="AB41" s="60">
        <f t="shared" si="20"/>
        <v>65000000000000</v>
      </c>
      <c r="AD41" s="60">
        <f t="shared" si="31"/>
        <v>1</v>
      </c>
      <c r="AE41" s="60">
        <f t="shared" si="32"/>
        <v>2</v>
      </c>
      <c r="AF41" s="60">
        <f t="shared" si="33"/>
        <v>7</v>
      </c>
      <c r="AG41" s="60">
        <f t="shared" si="34"/>
        <v>1</v>
      </c>
      <c r="AH41" s="60">
        <f t="shared" si="35"/>
        <v>2</v>
      </c>
      <c r="AI41" s="60">
        <f t="shared" si="36"/>
        <v>1</v>
      </c>
      <c r="AK41" s="68" t="str">
        <f t="shared" si="3"/>
        <v>L5</v>
      </c>
      <c r="AM41" s="64" t="s">
        <v>1755</v>
      </c>
      <c r="AN41" s="64">
        <f t="shared" si="4"/>
        <v>65000000000001</v>
      </c>
      <c r="AO41" s="64">
        <f t="shared" si="5"/>
        <v>65000000000002</v>
      </c>
      <c r="AP41" s="64">
        <f t="shared" si="6"/>
        <v>65000000000036</v>
      </c>
      <c r="AQ41" s="64">
        <f t="shared" si="7"/>
        <v>65000000000036</v>
      </c>
      <c r="AS41" s="64">
        <f t="shared" si="8"/>
        <v>65000000000036</v>
      </c>
      <c r="AU41" s="59" t="str">
        <f t="shared" si="37"/>
        <v>PERFORM * FROM "SchData-OLTP-Accounting"."Func_TblChartOfAccount_SET"(varSystemLoginSession, null, null, null, varInstitutionBranchID, 62000000000001::bigint,'1-1600.01', 'Perlengkapan Kantor (IDR)', 62000000000001::bigint, '2016-01-01 00:00:00'::timestamp, null::timestamp, 65000000000036::bigint, 66000000000001::bigint);</v>
      </c>
      <c r="AV41" s="65">
        <f t="shared" si="38"/>
        <v>65000000000037</v>
      </c>
      <c r="AW41" s="65">
        <f t="shared" si="39"/>
        <v>65000000000036</v>
      </c>
      <c r="AY41" s="65">
        <f t="shared" si="28"/>
        <v>65000000000036</v>
      </c>
      <c r="BA41" s="78">
        <f t="shared" si="41"/>
        <v>65000000000037</v>
      </c>
      <c r="BB41" s="81" t="str">
        <f t="shared" si="30"/>
        <v>PERFORM * FROM "SchData-OLTP-Accounting"."Func_TblChartOfAccount_SET"(varSystemLoginSession, null, null, null, null, null, varInstitutionBranchID, 62000000000001::bigint,'1-1600.01', 'Perlengkapan Kantor (IDR)', 62000000000001::bigint, '2016-01-01 00:00:00'::timestamp, null::timestamp, 65000000000036::bigint, 66000000000001::bigint, TRUE::boolean);</v>
      </c>
    </row>
    <row r="42" spans="2:54" x14ac:dyDescent="0.2">
      <c r="B42" s="39"/>
      <c r="C42" s="40"/>
      <c r="D42" s="39"/>
      <c r="E42" s="40"/>
      <c r="F42" s="39" t="s">
        <v>1108</v>
      </c>
      <c r="G42" s="40" t="s">
        <v>778</v>
      </c>
      <c r="H42" s="50"/>
      <c r="I42" s="33"/>
      <c r="J42" s="50"/>
      <c r="K42" s="33"/>
      <c r="L42" s="50"/>
      <c r="M42" s="33"/>
      <c r="O42" s="58" t="str">
        <f t="shared" si="9"/>
        <v>1-0000</v>
      </c>
      <c r="P42" s="58" t="str">
        <f t="shared" si="10"/>
        <v>1-1000</v>
      </c>
      <c r="Q42" s="58" t="str">
        <f t="shared" si="11"/>
        <v>1-1700</v>
      </c>
      <c r="R42" s="58" t="str">
        <f t="shared" si="12"/>
        <v>1-1504</v>
      </c>
      <c r="S42" s="58" t="str">
        <f t="shared" si="13"/>
        <v>1-1600.01</v>
      </c>
      <c r="T42" s="58" t="str">
        <f t="shared" si="14"/>
        <v xml:space="preserve"> </v>
      </c>
      <c r="V42" s="72">
        <f t="shared" si="15"/>
        <v>65000000000038</v>
      </c>
      <c r="W42" s="60">
        <f t="shared" si="16"/>
        <v>65000000000001</v>
      </c>
      <c r="X42" s="60">
        <f t="shared" si="17"/>
        <v>65000000000002</v>
      </c>
      <c r="Y42" s="60">
        <f t="shared" si="18"/>
        <v>65000000000038</v>
      </c>
      <c r="Z42" s="60">
        <f t="shared" si="19"/>
        <v>65000000000034</v>
      </c>
      <c r="AA42" s="60">
        <f t="shared" si="1"/>
        <v>65000000000037</v>
      </c>
      <c r="AB42" s="60">
        <f t="shared" si="20"/>
        <v>65000000000000</v>
      </c>
      <c r="AD42" s="60">
        <f t="shared" si="31"/>
        <v>1</v>
      </c>
      <c r="AE42" s="60">
        <f t="shared" si="32"/>
        <v>2</v>
      </c>
      <c r="AF42" s="60">
        <f t="shared" si="33"/>
        <v>8</v>
      </c>
      <c r="AG42" s="60">
        <f t="shared" si="34"/>
        <v>1</v>
      </c>
      <c r="AH42" s="60">
        <f t="shared" si="35"/>
        <v>2</v>
      </c>
      <c r="AI42" s="60">
        <f t="shared" si="36"/>
        <v>1</v>
      </c>
      <c r="AK42" s="68" t="str">
        <f t="shared" si="3"/>
        <v>L3</v>
      </c>
      <c r="AM42" s="64" t="s">
        <v>1755</v>
      </c>
      <c r="AN42" s="64">
        <f t="shared" si="4"/>
        <v>65000000000001</v>
      </c>
      <c r="AO42" s="64">
        <f t="shared" si="5"/>
        <v>65000000000002</v>
      </c>
      <c r="AP42" s="64">
        <f t="shared" si="6"/>
        <v>65000000000036</v>
      </c>
      <c r="AQ42" s="64">
        <f t="shared" si="7"/>
        <v>65000000000036</v>
      </c>
      <c r="AS42" s="64">
        <f t="shared" si="8"/>
        <v>65000000000002</v>
      </c>
      <c r="AU42" s="59" t="str">
        <f t="shared" si="37"/>
        <v>PERFORM * FROM "SchData-OLTP-Accounting"."Func_TblChartOfAccount_SET"(varSystemLoginSession, null, null, null, varInstitutionBranchID, 62000000000001::bigint,'1-1700', 'Uang Muka', 62000000000001::bigint, '2016-01-01 00:00:00'::timestamp, null::timestamp, 65000000000002::bigint, 66000000000001::bigint);</v>
      </c>
      <c r="AV42" s="65">
        <f t="shared" si="38"/>
        <v>65000000000038</v>
      </c>
      <c r="AW42" s="65">
        <f t="shared" si="39"/>
        <v>65000000000002</v>
      </c>
      <c r="AY42" s="65">
        <f t="shared" si="28"/>
        <v>65000000000002</v>
      </c>
      <c r="BA42" s="78">
        <f t="shared" si="41"/>
        <v>65000000000038</v>
      </c>
      <c r="BB42" s="81" t="str">
        <f t="shared" si="30"/>
        <v>PERFORM * FROM "SchData-OLTP-Accounting"."Func_TblChartOfAccount_SET"(varSystemLoginSession, null, null, null, null, null, varInstitutionBranchID, 62000000000001::bigint,'1-1700', 'Uang Muka', 62000000000001::bigint, '2016-01-01 00:00:00'::timestamp, null::timestamp, 65000000000002::bigint, 66000000000001::bigint, TRUE::boolean);</v>
      </c>
    </row>
    <row r="43" spans="2:54" x14ac:dyDescent="0.2">
      <c r="B43" s="39"/>
      <c r="C43" s="40"/>
      <c r="D43" s="39"/>
      <c r="E43" s="40"/>
      <c r="F43" s="39"/>
      <c r="G43" s="40"/>
      <c r="H43" s="50"/>
      <c r="I43" s="33"/>
      <c r="J43" s="50" t="s">
        <v>1724</v>
      </c>
      <c r="K43" s="40" t="s">
        <v>1725</v>
      </c>
      <c r="L43" s="50"/>
      <c r="M43" s="33" t="s">
        <v>1753</v>
      </c>
      <c r="O43" s="58" t="str">
        <f t="shared" si="9"/>
        <v>1-0000</v>
      </c>
      <c r="P43" s="58" t="str">
        <f t="shared" si="10"/>
        <v>1-1000</v>
      </c>
      <c r="Q43" s="58" t="str">
        <f t="shared" si="11"/>
        <v>1-1700</v>
      </c>
      <c r="R43" s="58" t="str">
        <f t="shared" si="12"/>
        <v>1-1504</v>
      </c>
      <c r="S43" s="58" t="str">
        <f t="shared" si="13"/>
        <v>1-1700.01</v>
      </c>
      <c r="T43" s="58" t="str">
        <f t="shared" si="14"/>
        <v xml:space="preserve"> </v>
      </c>
      <c r="V43" s="72">
        <f t="shared" si="15"/>
        <v>65000000000039</v>
      </c>
      <c r="W43" s="60">
        <f t="shared" si="16"/>
        <v>65000000000001</v>
      </c>
      <c r="X43" s="60">
        <f t="shared" si="17"/>
        <v>65000000000002</v>
      </c>
      <c r="Y43" s="60">
        <f t="shared" si="18"/>
        <v>65000000000038</v>
      </c>
      <c r="Z43" s="60">
        <f t="shared" si="19"/>
        <v>65000000000034</v>
      </c>
      <c r="AA43" s="60">
        <f t="shared" si="1"/>
        <v>65000000000039</v>
      </c>
      <c r="AB43" s="60">
        <f t="shared" si="20"/>
        <v>65000000000000</v>
      </c>
      <c r="AD43" s="60">
        <f t="shared" si="31"/>
        <v>1</v>
      </c>
      <c r="AE43" s="60">
        <f t="shared" si="32"/>
        <v>2</v>
      </c>
      <c r="AF43" s="60">
        <f t="shared" si="33"/>
        <v>8</v>
      </c>
      <c r="AG43" s="60">
        <f t="shared" si="34"/>
        <v>1</v>
      </c>
      <c r="AH43" s="60">
        <f t="shared" si="35"/>
        <v>3</v>
      </c>
      <c r="AI43" s="60">
        <f t="shared" si="36"/>
        <v>1</v>
      </c>
      <c r="AK43" s="68" t="str">
        <f t="shared" si="3"/>
        <v>L5</v>
      </c>
      <c r="AM43" s="64" t="s">
        <v>1755</v>
      </c>
      <c r="AN43" s="64">
        <f t="shared" si="4"/>
        <v>65000000000001</v>
      </c>
      <c r="AO43" s="64">
        <f t="shared" si="5"/>
        <v>65000000000002</v>
      </c>
      <c r="AP43" s="64">
        <f t="shared" si="6"/>
        <v>65000000000038</v>
      </c>
      <c r="AQ43" s="64">
        <f t="shared" si="7"/>
        <v>65000000000038</v>
      </c>
      <c r="AS43" s="64">
        <f t="shared" si="8"/>
        <v>65000000000038</v>
      </c>
      <c r="AU43" s="59" t="str">
        <f t="shared" si="37"/>
        <v>PERFORM * FROM "SchData-OLTP-Accounting"."Func_TblChartOfAccount_SET"(varSystemLoginSession, null, null, null, varInstitutionBranchID, 62000000000001::bigint,'1-1700.01', 'Uang Muka (IDR)', 62000000000001::bigint, '2016-01-01 00:00:00'::timestamp, null::timestamp, 65000000000038::bigint, 66000000000001::bigint);</v>
      </c>
      <c r="AV43" s="65">
        <f t="shared" si="38"/>
        <v>65000000000039</v>
      </c>
      <c r="AW43" s="65">
        <f t="shared" si="39"/>
        <v>65000000000038</v>
      </c>
      <c r="AY43" s="65">
        <f t="shared" si="28"/>
        <v>65000000000038</v>
      </c>
      <c r="BA43" s="78">
        <f t="shared" si="41"/>
        <v>65000000000039</v>
      </c>
      <c r="BB43" s="81" t="str">
        <f t="shared" si="30"/>
        <v>PERFORM * FROM "SchData-OLTP-Accounting"."Func_TblChartOfAccount_SET"(varSystemLoginSession, null, null, null, null, null, varInstitutionBranchID, 62000000000001::bigint,'1-1700.01', 'Uang Muka (IDR)', 62000000000001::bigint, '2016-01-01 00:00:00'::timestamp, null::timestamp, 65000000000038::bigint, 66000000000001::bigint, TRUE::boolean);</v>
      </c>
    </row>
    <row r="44" spans="2:54" x14ac:dyDescent="0.2">
      <c r="B44" s="39"/>
      <c r="C44" s="40"/>
      <c r="D44" s="39"/>
      <c r="E44" s="40"/>
      <c r="F44" s="56" t="s">
        <v>1109</v>
      </c>
      <c r="G44" s="40" t="s">
        <v>716</v>
      </c>
      <c r="H44" s="50"/>
      <c r="I44" s="33"/>
      <c r="J44" s="50"/>
      <c r="K44" s="33"/>
      <c r="L44" s="50"/>
      <c r="M44" s="33"/>
      <c r="O44" s="58" t="str">
        <f t="shared" si="9"/>
        <v>1-0000</v>
      </c>
      <c r="P44" s="58" t="str">
        <f t="shared" si="10"/>
        <v>1-1000</v>
      </c>
      <c r="Q44" s="58" t="str">
        <f t="shared" si="11"/>
        <v>1-1900</v>
      </c>
      <c r="R44" s="58" t="str">
        <f t="shared" si="12"/>
        <v>1-1504</v>
      </c>
      <c r="S44" s="58" t="str">
        <f t="shared" si="13"/>
        <v>1-1700.01</v>
      </c>
      <c r="T44" s="58" t="str">
        <f t="shared" si="14"/>
        <v xml:space="preserve"> </v>
      </c>
      <c r="V44" s="72">
        <f t="shared" si="15"/>
        <v>65000000000040</v>
      </c>
      <c r="W44" s="60">
        <f t="shared" si="16"/>
        <v>65000000000001</v>
      </c>
      <c r="X44" s="60">
        <f t="shared" si="17"/>
        <v>65000000000002</v>
      </c>
      <c r="Y44" s="60">
        <f t="shared" si="18"/>
        <v>65000000000040</v>
      </c>
      <c r="Z44" s="60">
        <f t="shared" si="19"/>
        <v>65000000000034</v>
      </c>
      <c r="AA44" s="60">
        <f t="shared" si="1"/>
        <v>65000000000039</v>
      </c>
      <c r="AB44" s="60">
        <f t="shared" si="20"/>
        <v>65000000000000</v>
      </c>
      <c r="AD44" s="60">
        <f t="shared" si="31"/>
        <v>1</v>
      </c>
      <c r="AE44" s="60">
        <f t="shared" si="32"/>
        <v>2</v>
      </c>
      <c r="AF44" s="60">
        <f t="shared" si="33"/>
        <v>9</v>
      </c>
      <c r="AG44" s="60">
        <f t="shared" si="34"/>
        <v>1</v>
      </c>
      <c r="AH44" s="60">
        <f t="shared" si="35"/>
        <v>3</v>
      </c>
      <c r="AI44" s="60">
        <f t="shared" si="36"/>
        <v>1</v>
      </c>
      <c r="AK44" s="68" t="str">
        <f t="shared" si="3"/>
        <v>L3</v>
      </c>
      <c r="AM44" s="64" t="s">
        <v>1755</v>
      </c>
      <c r="AN44" s="64">
        <f t="shared" si="4"/>
        <v>65000000000001</v>
      </c>
      <c r="AO44" s="64">
        <f t="shared" si="5"/>
        <v>65000000000002</v>
      </c>
      <c r="AP44" s="64">
        <f t="shared" si="6"/>
        <v>65000000000038</v>
      </c>
      <c r="AQ44" s="64">
        <f t="shared" si="7"/>
        <v>65000000000038</v>
      </c>
      <c r="AS44" s="64">
        <f t="shared" si="8"/>
        <v>65000000000002</v>
      </c>
      <c r="AU44" s="59" t="str">
        <f t="shared" si="37"/>
        <v>PERFORM * FROM "SchData-OLTP-Accounting"."Func_TblChartOfAccount_SET"(varSystemLoginSession, null, null, null, varInstitutionBranchID, 62000000000001::bigint,'1-1900', 'Other Current Asset', 62000000000001::bigint, '2016-01-01 00:00:00'::timestamp, null::timestamp, 65000000000002::bigint, 66000000000001::bigint);</v>
      </c>
      <c r="AV44" s="65">
        <f t="shared" si="38"/>
        <v>65000000000040</v>
      </c>
      <c r="AW44" s="65">
        <f t="shared" si="39"/>
        <v>65000000000002</v>
      </c>
      <c r="AY44" s="65">
        <f t="shared" si="28"/>
        <v>65000000000002</v>
      </c>
      <c r="BA44" s="78">
        <f t="shared" si="41"/>
        <v>65000000000040</v>
      </c>
      <c r="BB44" s="81" t="str">
        <f t="shared" si="30"/>
        <v>PERFORM * FROM "SchData-OLTP-Accounting"."Func_TblChartOfAccount_SET"(varSystemLoginSession, null, null, null, null, null, varInstitutionBranchID, 62000000000001::bigint,'1-1900', 'Other Current Asset', 62000000000001::bigint, '2016-01-01 00:00:00'::timestamp, null::timestamp, 65000000000002::bigint, 66000000000001::bigint, TRUE::boolean);</v>
      </c>
    </row>
    <row r="45" spans="2:54" x14ac:dyDescent="0.2">
      <c r="B45" s="39"/>
      <c r="C45" s="40"/>
      <c r="D45" s="39"/>
      <c r="E45" s="40"/>
      <c r="F45" s="56"/>
      <c r="G45" s="40"/>
      <c r="H45" s="57" t="s">
        <v>1110</v>
      </c>
      <c r="I45" s="33" t="s">
        <v>152</v>
      </c>
      <c r="J45" s="50"/>
      <c r="K45" s="33"/>
      <c r="L45" s="50"/>
      <c r="M45" s="33"/>
      <c r="O45" s="58" t="str">
        <f t="shared" si="9"/>
        <v>1-0000</v>
      </c>
      <c r="P45" s="58" t="str">
        <f t="shared" si="10"/>
        <v>1-1000</v>
      </c>
      <c r="Q45" s="58" t="str">
        <f t="shared" si="11"/>
        <v>1-1900</v>
      </c>
      <c r="R45" s="58" t="str">
        <f t="shared" si="12"/>
        <v>1-1901</v>
      </c>
      <c r="S45" s="58" t="str">
        <f t="shared" si="13"/>
        <v>1-1700.01</v>
      </c>
      <c r="T45" s="58" t="str">
        <f t="shared" si="14"/>
        <v xml:space="preserve"> </v>
      </c>
      <c r="V45" s="72">
        <f t="shared" si="15"/>
        <v>65000000000041</v>
      </c>
      <c r="W45" s="60">
        <f t="shared" si="16"/>
        <v>65000000000001</v>
      </c>
      <c r="X45" s="60">
        <f t="shared" si="17"/>
        <v>65000000000002</v>
      </c>
      <c r="Y45" s="60">
        <f t="shared" si="18"/>
        <v>65000000000040</v>
      </c>
      <c r="Z45" s="60">
        <f t="shared" si="19"/>
        <v>65000000000041</v>
      </c>
      <c r="AA45" s="60">
        <f t="shared" si="1"/>
        <v>65000000000039</v>
      </c>
      <c r="AB45" s="60">
        <f t="shared" si="20"/>
        <v>65000000000000</v>
      </c>
      <c r="AD45" s="60">
        <f t="shared" si="31"/>
        <v>1</v>
      </c>
      <c r="AE45" s="60">
        <f t="shared" si="32"/>
        <v>2</v>
      </c>
      <c r="AF45" s="60">
        <f t="shared" si="33"/>
        <v>9</v>
      </c>
      <c r="AG45" s="60">
        <f t="shared" si="34"/>
        <v>2</v>
      </c>
      <c r="AH45" s="60">
        <f t="shared" si="35"/>
        <v>1</v>
      </c>
      <c r="AI45" s="60">
        <f t="shared" si="36"/>
        <v>1</v>
      </c>
      <c r="AK45" s="68" t="str">
        <f t="shared" si="3"/>
        <v>L4</v>
      </c>
      <c r="AM45" s="64" t="s">
        <v>1755</v>
      </c>
      <c r="AN45" s="64">
        <f t="shared" si="4"/>
        <v>65000000000001</v>
      </c>
      <c r="AO45" s="64">
        <f t="shared" si="5"/>
        <v>65000000000002</v>
      </c>
      <c r="AP45" s="64">
        <f t="shared" si="6"/>
        <v>65000000000040</v>
      </c>
      <c r="AQ45" s="64">
        <f t="shared" si="7"/>
        <v>65000000000040</v>
      </c>
      <c r="AS45" s="64">
        <f t="shared" si="8"/>
        <v>65000000000040</v>
      </c>
      <c r="AU45" s="59" t="str">
        <f t="shared" si="37"/>
        <v>PERFORM * FROM "SchData-OLTP-Accounting"."Func_TblChartOfAccount_SET"(varSystemLoginSession, null, null, null, varInstitutionBranchID, 62000000000001::bigint,'1-1901', 'Paid in Advance', 62000000000001::bigint, '2016-01-01 00:00:00'::timestamp, null::timestamp, 65000000000040::bigint, 66000000000001::bigint);</v>
      </c>
      <c r="AV45" s="65">
        <f t="shared" si="38"/>
        <v>65000000000041</v>
      </c>
      <c r="AW45" s="65">
        <f t="shared" si="39"/>
        <v>65000000000040</v>
      </c>
      <c r="AY45" s="65">
        <f t="shared" si="28"/>
        <v>65000000000040</v>
      </c>
      <c r="BA45" s="78">
        <f t="shared" si="41"/>
        <v>65000000000041</v>
      </c>
      <c r="BB45" s="81" t="str">
        <f t="shared" si="30"/>
        <v>PERFORM * FROM "SchData-OLTP-Accounting"."Func_TblChartOfAccount_SET"(varSystemLoginSession, null, null, null, null, null, varInstitutionBranchID, 62000000000001::bigint,'1-1901', 'Paid in Advance', 62000000000001::bigint, '2016-01-01 00:00:00'::timestamp, null::timestamp, 65000000000040::bigint, 66000000000001::bigint, TRUE::boolean);</v>
      </c>
    </row>
    <row r="46" spans="2:54" x14ac:dyDescent="0.2">
      <c r="B46" s="39"/>
      <c r="C46" s="40"/>
      <c r="D46" s="39"/>
      <c r="E46" s="40"/>
      <c r="F46" s="56"/>
      <c r="G46" s="40"/>
      <c r="H46" s="57"/>
      <c r="I46" s="33"/>
      <c r="J46" s="57" t="s">
        <v>1116</v>
      </c>
      <c r="K46" s="33" t="s">
        <v>1221</v>
      </c>
      <c r="L46" s="50"/>
      <c r="M46" s="33"/>
      <c r="O46" s="58" t="str">
        <f t="shared" si="9"/>
        <v>1-0000</v>
      </c>
      <c r="P46" s="58" t="str">
        <f t="shared" si="10"/>
        <v>1-1000</v>
      </c>
      <c r="Q46" s="58" t="str">
        <f t="shared" si="11"/>
        <v>1-1900</v>
      </c>
      <c r="R46" s="58" t="str">
        <f t="shared" si="12"/>
        <v>1-1901</v>
      </c>
      <c r="S46" s="58" t="str">
        <f t="shared" si="13"/>
        <v>1-1901.01</v>
      </c>
      <c r="T46" s="58" t="str">
        <f t="shared" si="14"/>
        <v xml:space="preserve"> </v>
      </c>
      <c r="V46" s="72">
        <f t="shared" si="15"/>
        <v>65000000000042</v>
      </c>
      <c r="W46" s="60">
        <f t="shared" si="16"/>
        <v>65000000000001</v>
      </c>
      <c r="X46" s="60">
        <f t="shared" si="17"/>
        <v>65000000000002</v>
      </c>
      <c r="Y46" s="60">
        <f t="shared" si="18"/>
        <v>65000000000040</v>
      </c>
      <c r="Z46" s="60">
        <f t="shared" si="19"/>
        <v>65000000000041</v>
      </c>
      <c r="AA46" s="60">
        <f t="shared" si="1"/>
        <v>65000000000042</v>
      </c>
      <c r="AB46" s="60">
        <f t="shared" si="20"/>
        <v>65000000000000</v>
      </c>
      <c r="AD46" s="60">
        <f t="shared" si="31"/>
        <v>1</v>
      </c>
      <c r="AE46" s="60">
        <f t="shared" si="32"/>
        <v>2</v>
      </c>
      <c r="AF46" s="60">
        <f t="shared" si="33"/>
        <v>9</v>
      </c>
      <c r="AG46" s="60">
        <f t="shared" si="34"/>
        <v>2</v>
      </c>
      <c r="AH46" s="60">
        <f t="shared" si="35"/>
        <v>2</v>
      </c>
      <c r="AI46" s="60">
        <f t="shared" si="36"/>
        <v>1</v>
      </c>
      <c r="AK46" s="68" t="str">
        <f t="shared" si="3"/>
        <v>L5</v>
      </c>
      <c r="AM46" s="64" t="s">
        <v>1755</v>
      </c>
      <c r="AN46" s="64">
        <f t="shared" si="4"/>
        <v>65000000000001</v>
      </c>
      <c r="AO46" s="64">
        <f t="shared" si="5"/>
        <v>65000000000002</v>
      </c>
      <c r="AP46" s="64">
        <f t="shared" si="6"/>
        <v>65000000000040</v>
      </c>
      <c r="AQ46" s="64">
        <f t="shared" si="7"/>
        <v>65000000000041</v>
      </c>
      <c r="AS46" s="64">
        <f t="shared" si="8"/>
        <v>65000000000041</v>
      </c>
      <c r="AU46" s="59" t="str">
        <f t="shared" si="37"/>
        <v>PERFORM * FROM "SchData-OLTP-Accounting"."Func_TblChartOfAccount_SET"(varSystemLoginSession, null, null, null, varInstitutionBranchID, 62000000000001::bigint,'1-1901.01', 'Paid in Advance (IDR)', 62000000000001::bigint, '2016-01-01 00:00:00'::timestamp, null::timestamp, 65000000000041::bigint, 66000000000001::bigint);</v>
      </c>
      <c r="AV46" s="65">
        <f t="shared" si="38"/>
        <v>65000000000042</v>
      </c>
      <c r="AW46" s="65">
        <f t="shared" si="39"/>
        <v>65000000000041</v>
      </c>
      <c r="AY46" s="65">
        <f t="shared" si="28"/>
        <v>65000000000041</v>
      </c>
      <c r="BA46" s="78">
        <f t="shared" si="41"/>
        <v>65000000000042</v>
      </c>
      <c r="BB46" s="81" t="str">
        <f t="shared" si="30"/>
        <v>PERFORM * FROM "SchData-OLTP-Accounting"."Func_TblChartOfAccount_SET"(varSystemLoginSession, null, null, null, null, null, varInstitutionBranchID, 62000000000001::bigint,'1-1901.01', 'Paid in Advance (IDR)', 62000000000001::bigint, '2016-01-01 00:00:00'::timestamp, null::timestamp, 65000000000041::bigint, 66000000000001::bigint, TRUE::boolean);</v>
      </c>
    </row>
    <row r="47" spans="2:54" x14ac:dyDescent="0.2">
      <c r="B47" s="39"/>
      <c r="C47" s="40"/>
      <c r="D47" s="39"/>
      <c r="E47" s="40"/>
      <c r="F47" s="56"/>
      <c r="G47" s="40"/>
      <c r="H47" s="57" t="s">
        <v>1111</v>
      </c>
      <c r="I47" s="33" t="s">
        <v>158</v>
      </c>
      <c r="J47" s="57"/>
      <c r="K47" s="33"/>
      <c r="L47" s="50"/>
      <c r="M47" s="33"/>
      <c r="O47" s="58" t="str">
        <f t="shared" si="9"/>
        <v>1-0000</v>
      </c>
      <c r="P47" s="58" t="str">
        <f t="shared" si="10"/>
        <v>1-1000</v>
      </c>
      <c r="Q47" s="58" t="str">
        <f t="shared" si="11"/>
        <v>1-1900</v>
      </c>
      <c r="R47" s="58" t="str">
        <f t="shared" si="12"/>
        <v>1-1902</v>
      </c>
      <c r="S47" s="58" t="str">
        <f t="shared" si="13"/>
        <v>1-1901.01</v>
      </c>
      <c r="T47" s="58" t="str">
        <f t="shared" si="14"/>
        <v xml:space="preserve"> </v>
      </c>
      <c r="V47" s="72">
        <f t="shared" si="15"/>
        <v>65000000000043</v>
      </c>
      <c r="W47" s="60">
        <f t="shared" si="16"/>
        <v>65000000000001</v>
      </c>
      <c r="X47" s="60">
        <f t="shared" si="17"/>
        <v>65000000000002</v>
      </c>
      <c r="Y47" s="60">
        <f t="shared" si="18"/>
        <v>65000000000040</v>
      </c>
      <c r="Z47" s="60">
        <f t="shared" si="19"/>
        <v>65000000000043</v>
      </c>
      <c r="AA47" s="60">
        <f t="shared" si="1"/>
        <v>65000000000042</v>
      </c>
      <c r="AB47" s="60">
        <f t="shared" si="20"/>
        <v>65000000000000</v>
      </c>
      <c r="AD47" s="60">
        <f t="shared" si="31"/>
        <v>1</v>
      </c>
      <c r="AE47" s="60">
        <f t="shared" si="32"/>
        <v>2</v>
      </c>
      <c r="AF47" s="60">
        <f t="shared" si="33"/>
        <v>9</v>
      </c>
      <c r="AG47" s="60">
        <f t="shared" si="34"/>
        <v>3</v>
      </c>
      <c r="AH47" s="60">
        <f t="shared" si="35"/>
        <v>1</v>
      </c>
      <c r="AI47" s="60">
        <f t="shared" si="36"/>
        <v>1</v>
      </c>
      <c r="AK47" s="68" t="str">
        <f t="shared" si="3"/>
        <v>L4</v>
      </c>
      <c r="AM47" s="64" t="s">
        <v>1755</v>
      </c>
      <c r="AN47" s="64">
        <f t="shared" si="4"/>
        <v>65000000000001</v>
      </c>
      <c r="AO47" s="64">
        <f t="shared" si="5"/>
        <v>65000000000002</v>
      </c>
      <c r="AP47" s="64">
        <f t="shared" si="6"/>
        <v>65000000000040</v>
      </c>
      <c r="AQ47" s="64">
        <f t="shared" si="7"/>
        <v>65000000000041</v>
      </c>
      <c r="AS47" s="64">
        <f t="shared" si="8"/>
        <v>65000000000040</v>
      </c>
      <c r="AU47" s="59" t="str">
        <f t="shared" si="37"/>
        <v>PERFORM * FROM "SchData-OLTP-Accounting"."Func_TblChartOfAccount_SET"(varSystemLoginSession, null, null, null, varInstitutionBranchID, 62000000000001::bigint,'1-1902', 'Suspense', 62000000000001::bigint, '2016-01-01 00:00:00'::timestamp, null::timestamp, 65000000000040::bigint, 66000000000001::bigint);</v>
      </c>
      <c r="AV47" s="65">
        <f t="shared" si="38"/>
        <v>65000000000043</v>
      </c>
      <c r="AW47" s="65">
        <f t="shared" si="39"/>
        <v>65000000000040</v>
      </c>
      <c r="AY47" s="65">
        <f t="shared" si="28"/>
        <v>65000000000040</v>
      </c>
      <c r="BA47" s="78">
        <f t="shared" si="41"/>
        <v>65000000000043</v>
      </c>
      <c r="BB47" s="81" t="str">
        <f t="shared" si="30"/>
        <v>PERFORM * FROM "SchData-OLTP-Accounting"."Func_TblChartOfAccount_SET"(varSystemLoginSession, null, null, null, null, null, varInstitutionBranchID, 62000000000001::bigint,'1-1902', 'Suspense', 62000000000001::bigint, '2016-01-01 00:00:00'::timestamp, null::timestamp, 65000000000040::bigint, 66000000000001::bigint, TRUE::boolean);</v>
      </c>
    </row>
    <row r="48" spans="2:54" x14ac:dyDescent="0.2">
      <c r="B48" s="39"/>
      <c r="C48" s="40"/>
      <c r="D48" s="39"/>
      <c r="E48" s="40"/>
      <c r="F48" s="56"/>
      <c r="G48" s="40"/>
      <c r="H48" s="57"/>
      <c r="I48" s="33"/>
      <c r="J48" s="57" t="s">
        <v>1117</v>
      </c>
      <c r="K48" s="33" t="s">
        <v>1222</v>
      </c>
      <c r="L48" s="50"/>
      <c r="M48" s="33"/>
      <c r="O48" s="58" t="str">
        <f t="shared" si="9"/>
        <v>1-0000</v>
      </c>
      <c r="P48" s="58" t="str">
        <f t="shared" si="10"/>
        <v>1-1000</v>
      </c>
      <c r="Q48" s="58" t="str">
        <f t="shared" si="11"/>
        <v>1-1900</v>
      </c>
      <c r="R48" s="58" t="str">
        <f t="shared" si="12"/>
        <v>1-1902</v>
      </c>
      <c r="S48" s="58" t="str">
        <f t="shared" si="13"/>
        <v>1-1902.01</v>
      </c>
      <c r="T48" s="58" t="str">
        <f t="shared" si="14"/>
        <v xml:space="preserve"> </v>
      </c>
      <c r="V48" s="72">
        <f t="shared" si="15"/>
        <v>65000000000044</v>
      </c>
      <c r="W48" s="60">
        <f t="shared" si="16"/>
        <v>65000000000001</v>
      </c>
      <c r="X48" s="60">
        <f t="shared" si="17"/>
        <v>65000000000002</v>
      </c>
      <c r="Y48" s="60">
        <f t="shared" si="18"/>
        <v>65000000000040</v>
      </c>
      <c r="Z48" s="60">
        <f t="shared" si="19"/>
        <v>65000000000043</v>
      </c>
      <c r="AA48" s="60">
        <f t="shared" si="1"/>
        <v>65000000000044</v>
      </c>
      <c r="AB48" s="60">
        <f t="shared" si="20"/>
        <v>65000000000000</v>
      </c>
      <c r="AD48" s="60">
        <f t="shared" si="31"/>
        <v>1</v>
      </c>
      <c r="AE48" s="60">
        <f t="shared" si="32"/>
        <v>2</v>
      </c>
      <c r="AF48" s="60">
        <f t="shared" si="33"/>
        <v>9</v>
      </c>
      <c r="AG48" s="60">
        <f t="shared" si="34"/>
        <v>3</v>
      </c>
      <c r="AH48" s="60">
        <f t="shared" si="35"/>
        <v>2</v>
      </c>
      <c r="AI48" s="60">
        <f t="shared" si="36"/>
        <v>1</v>
      </c>
      <c r="AK48" s="68" t="str">
        <f t="shared" si="3"/>
        <v>L5</v>
      </c>
      <c r="AM48" s="64" t="s">
        <v>1755</v>
      </c>
      <c r="AN48" s="64">
        <f t="shared" si="4"/>
        <v>65000000000001</v>
      </c>
      <c r="AO48" s="64">
        <f t="shared" si="5"/>
        <v>65000000000002</v>
      </c>
      <c r="AP48" s="64">
        <f t="shared" si="6"/>
        <v>65000000000040</v>
      </c>
      <c r="AQ48" s="64">
        <f t="shared" si="7"/>
        <v>65000000000043</v>
      </c>
      <c r="AS48" s="64">
        <f t="shared" si="8"/>
        <v>65000000000043</v>
      </c>
      <c r="AU48" s="59" t="str">
        <f t="shared" si="37"/>
        <v>PERFORM * FROM "SchData-OLTP-Accounting"."Func_TblChartOfAccount_SET"(varSystemLoginSession, null, null, null, varInstitutionBranchID, 62000000000001::bigint,'1-1902.01', 'Suspense (IDR)', 62000000000001::bigint, '2016-01-01 00:00:00'::timestamp, null::timestamp, 65000000000043::bigint, 66000000000001::bigint);</v>
      </c>
      <c r="AV48" s="65">
        <f t="shared" si="38"/>
        <v>65000000000044</v>
      </c>
      <c r="AW48" s="65">
        <f t="shared" si="39"/>
        <v>65000000000043</v>
      </c>
      <c r="AY48" s="65">
        <f t="shared" si="28"/>
        <v>65000000000043</v>
      </c>
      <c r="BA48" s="78">
        <f t="shared" si="41"/>
        <v>65000000000044</v>
      </c>
      <c r="BB48" s="81" t="str">
        <f t="shared" si="30"/>
        <v>PERFORM * FROM "SchData-OLTP-Accounting"."Func_TblChartOfAccount_SET"(varSystemLoginSession, null, null, null, null, null, varInstitutionBranchID, 62000000000001::bigint,'1-1902.01', 'Suspense (IDR)', 62000000000001::bigint, '2016-01-01 00:00:00'::timestamp, null::timestamp, 65000000000043::bigint, 66000000000001::bigint, TRUE::boolean);</v>
      </c>
    </row>
    <row r="49" spans="2:54" x14ac:dyDescent="0.2">
      <c r="B49" s="39"/>
      <c r="C49" s="40"/>
      <c r="D49" s="39"/>
      <c r="E49" s="40"/>
      <c r="F49" s="56"/>
      <c r="G49" s="40"/>
      <c r="H49" s="57" t="s">
        <v>1112</v>
      </c>
      <c r="I49" s="33" t="s">
        <v>162</v>
      </c>
      <c r="J49" s="57"/>
      <c r="K49" s="33"/>
      <c r="L49" s="50"/>
      <c r="M49" s="33"/>
      <c r="O49" s="58" t="str">
        <f t="shared" si="9"/>
        <v>1-0000</v>
      </c>
      <c r="P49" s="58" t="str">
        <f t="shared" si="10"/>
        <v>1-1000</v>
      </c>
      <c r="Q49" s="58" t="str">
        <f t="shared" si="11"/>
        <v>1-1900</v>
      </c>
      <c r="R49" s="58" t="str">
        <f t="shared" si="12"/>
        <v>1-1903</v>
      </c>
      <c r="S49" s="58" t="str">
        <f t="shared" si="13"/>
        <v>1-1902.01</v>
      </c>
      <c r="T49" s="58" t="str">
        <f t="shared" si="14"/>
        <v xml:space="preserve"> </v>
      </c>
      <c r="V49" s="72">
        <f t="shared" si="15"/>
        <v>65000000000045</v>
      </c>
      <c r="W49" s="60">
        <f t="shared" si="16"/>
        <v>65000000000001</v>
      </c>
      <c r="X49" s="60">
        <f t="shared" si="17"/>
        <v>65000000000002</v>
      </c>
      <c r="Y49" s="60">
        <f t="shared" si="18"/>
        <v>65000000000040</v>
      </c>
      <c r="Z49" s="60">
        <f t="shared" si="19"/>
        <v>65000000000045</v>
      </c>
      <c r="AA49" s="60">
        <f t="shared" si="1"/>
        <v>65000000000044</v>
      </c>
      <c r="AB49" s="60">
        <f t="shared" si="20"/>
        <v>65000000000000</v>
      </c>
      <c r="AD49" s="60">
        <f t="shared" si="31"/>
        <v>1</v>
      </c>
      <c r="AE49" s="60">
        <f t="shared" si="32"/>
        <v>2</v>
      </c>
      <c r="AF49" s="60">
        <f t="shared" si="33"/>
        <v>9</v>
      </c>
      <c r="AG49" s="60">
        <f t="shared" si="34"/>
        <v>4</v>
      </c>
      <c r="AH49" s="60">
        <f t="shared" si="35"/>
        <v>1</v>
      </c>
      <c r="AI49" s="60">
        <f t="shared" si="36"/>
        <v>1</v>
      </c>
      <c r="AK49" s="68" t="str">
        <f t="shared" si="3"/>
        <v>L4</v>
      </c>
      <c r="AM49" s="64" t="s">
        <v>1755</v>
      </c>
      <c r="AN49" s="64">
        <f t="shared" si="4"/>
        <v>65000000000001</v>
      </c>
      <c r="AO49" s="64">
        <f t="shared" si="5"/>
        <v>65000000000002</v>
      </c>
      <c r="AP49" s="64">
        <f t="shared" si="6"/>
        <v>65000000000040</v>
      </c>
      <c r="AQ49" s="64">
        <f t="shared" si="7"/>
        <v>65000000000043</v>
      </c>
      <c r="AS49" s="64">
        <f t="shared" si="8"/>
        <v>65000000000040</v>
      </c>
      <c r="AU49" s="59" t="str">
        <f t="shared" si="37"/>
        <v>PERFORM * FROM "SchData-OLTP-Accounting"."Func_TblChartOfAccount_SET"(varSystemLoginSession, null, null, null, varInstitutionBranchID, 62000000000001::bigint,'1-1903', 'Security Deposit', 62000000000001::bigint, '2016-01-01 00:00:00'::timestamp, null::timestamp, 65000000000040::bigint, 66000000000001::bigint);</v>
      </c>
      <c r="AV49" s="65">
        <f t="shared" si="38"/>
        <v>65000000000045</v>
      </c>
      <c r="AW49" s="65">
        <f t="shared" si="39"/>
        <v>65000000000040</v>
      </c>
      <c r="AY49" s="65">
        <f t="shared" si="28"/>
        <v>65000000000040</v>
      </c>
      <c r="BA49" s="78">
        <f t="shared" si="41"/>
        <v>65000000000045</v>
      </c>
      <c r="BB49" s="81" t="str">
        <f t="shared" si="30"/>
        <v>PERFORM * FROM "SchData-OLTP-Accounting"."Func_TblChartOfAccount_SET"(varSystemLoginSession, null, null, null, null, null, varInstitutionBranchID, 62000000000001::bigint,'1-1903', 'Security Deposit', 62000000000001::bigint, '2016-01-01 00:00:00'::timestamp, null::timestamp, 65000000000040::bigint, 66000000000001::bigint, TRUE::boolean);</v>
      </c>
    </row>
    <row r="50" spans="2:54" x14ac:dyDescent="0.2">
      <c r="B50" s="39"/>
      <c r="C50" s="40"/>
      <c r="D50" s="39"/>
      <c r="E50" s="40"/>
      <c r="F50" s="56"/>
      <c r="G50" s="40"/>
      <c r="H50" s="57"/>
      <c r="I50" s="33"/>
      <c r="J50" s="57" t="s">
        <v>1118</v>
      </c>
      <c r="K50" s="33" t="s">
        <v>1223</v>
      </c>
      <c r="L50" s="50"/>
      <c r="M50" s="33"/>
      <c r="O50" s="58" t="str">
        <f t="shared" si="9"/>
        <v>1-0000</v>
      </c>
      <c r="P50" s="58" t="str">
        <f t="shared" si="10"/>
        <v>1-1000</v>
      </c>
      <c r="Q50" s="58" t="str">
        <f t="shared" si="11"/>
        <v>1-1900</v>
      </c>
      <c r="R50" s="58" t="str">
        <f t="shared" si="12"/>
        <v>1-1903</v>
      </c>
      <c r="S50" s="58" t="str">
        <f t="shared" si="13"/>
        <v>1-1903.01</v>
      </c>
      <c r="T50" s="58" t="str">
        <f t="shared" si="14"/>
        <v xml:space="preserve"> </v>
      </c>
      <c r="V50" s="72">
        <f t="shared" si="15"/>
        <v>65000000000046</v>
      </c>
      <c r="W50" s="60">
        <f t="shared" si="16"/>
        <v>65000000000001</v>
      </c>
      <c r="X50" s="60">
        <f t="shared" si="17"/>
        <v>65000000000002</v>
      </c>
      <c r="Y50" s="60">
        <f t="shared" si="18"/>
        <v>65000000000040</v>
      </c>
      <c r="Z50" s="60">
        <f t="shared" si="19"/>
        <v>65000000000045</v>
      </c>
      <c r="AA50" s="60">
        <f t="shared" si="1"/>
        <v>65000000000046</v>
      </c>
      <c r="AB50" s="60">
        <f t="shared" si="20"/>
        <v>65000000000000</v>
      </c>
      <c r="AD50" s="60">
        <f t="shared" si="31"/>
        <v>1</v>
      </c>
      <c r="AE50" s="60">
        <f t="shared" si="32"/>
        <v>2</v>
      </c>
      <c r="AF50" s="60">
        <f t="shared" si="33"/>
        <v>9</v>
      </c>
      <c r="AG50" s="60">
        <f t="shared" si="34"/>
        <v>4</v>
      </c>
      <c r="AH50" s="60">
        <f t="shared" si="35"/>
        <v>2</v>
      </c>
      <c r="AI50" s="60">
        <f t="shared" si="36"/>
        <v>1</v>
      </c>
      <c r="AK50" s="68" t="str">
        <f t="shared" si="3"/>
        <v>L5</v>
      </c>
      <c r="AM50" s="64" t="s">
        <v>1755</v>
      </c>
      <c r="AN50" s="64">
        <f t="shared" si="4"/>
        <v>65000000000001</v>
      </c>
      <c r="AO50" s="64">
        <f t="shared" si="5"/>
        <v>65000000000002</v>
      </c>
      <c r="AP50" s="64">
        <f t="shared" si="6"/>
        <v>65000000000040</v>
      </c>
      <c r="AQ50" s="64">
        <f t="shared" si="7"/>
        <v>65000000000045</v>
      </c>
      <c r="AS50" s="64">
        <f t="shared" si="8"/>
        <v>65000000000045</v>
      </c>
      <c r="AU50" s="59" t="str">
        <f t="shared" si="37"/>
        <v>PERFORM * FROM "SchData-OLTP-Accounting"."Func_TblChartOfAccount_SET"(varSystemLoginSession, null, null, null, varInstitutionBranchID, 62000000000001::bigint,'1-1903.01', 'Security Deposit (IDR)', 62000000000001::bigint, '2016-01-01 00:00:00'::timestamp, null::timestamp, 65000000000045::bigint, 66000000000001::bigint);</v>
      </c>
      <c r="AV50" s="65">
        <f t="shared" si="38"/>
        <v>65000000000046</v>
      </c>
      <c r="AW50" s="65">
        <f t="shared" si="39"/>
        <v>65000000000045</v>
      </c>
      <c r="AY50" s="65">
        <f t="shared" si="28"/>
        <v>65000000000045</v>
      </c>
      <c r="BA50" s="78">
        <f t="shared" si="41"/>
        <v>65000000000046</v>
      </c>
      <c r="BB50" s="81" t="str">
        <f t="shared" si="30"/>
        <v>PERFORM * FROM "SchData-OLTP-Accounting"."Func_TblChartOfAccount_SET"(varSystemLoginSession, null, null, null, null, null, varInstitutionBranchID, 62000000000001::bigint,'1-1903.01', 'Security Deposit (IDR)', 62000000000001::bigint, '2016-01-01 00:00:00'::timestamp, null::timestamp, 65000000000045::bigint, 66000000000001::bigint, TRUE::boolean);</v>
      </c>
    </row>
    <row r="51" spans="2:54" x14ac:dyDescent="0.2">
      <c r="B51" s="39"/>
      <c r="C51" s="40"/>
      <c r="D51" s="39"/>
      <c r="E51" s="40"/>
      <c r="F51" s="56"/>
      <c r="G51" s="40"/>
      <c r="H51" s="57" t="s">
        <v>1113</v>
      </c>
      <c r="I51" s="33" t="s">
        <v>179</v>
      </c>
      <c r="J51" s="57"/>
      <c r="K51" s="33"/>
      <c r="L51" s="50"/>
      <c r="M51" s="33"/>
      <c r="O51" s="58" t="str">
        <f t="shared" si="9"/>
        <v>1-0000</v>
      </c>
      <c r="P51" s="58" t="str">
        <f t="shared" si="10"/>
        <v>1-1000</v>
      </c>
      <c r="Q51" s="58" t="str">
        <f t="shared" si="11"/>
        <v>1-1900</v>
      </c>
      <c r="R51" s="58" t="str">
        <f t="shared" si="12"/>
        <v>1-1904</v>
      </c>
      <c r="S51" s="58" t="str">
        <f t="shared" si="13"/>
        <v>1-1903.01</v>
      </c>
      <c r="T51" s="58" t="str">
        <f t="shared" si="14"/>
        <v xml:space="preserve"> </v>
      </c>
      <c r="V51" s="72">
        <f t="shared" si="15"/>
        <v>65000000000047</v>
      </c>
      <c r="W51" s="60">
        <f t="shared" si="16"/>
        <v>65000000000001</v>
      </c>
      <c r="X51" s="60">
        <f t="shared" si="17"/>
        <v>65000000000002</v>
      </c>
      <c r="Y51" s="60">
        <f t="shared" si="18"/>
        <v>65000000000040</v>
      </c>
      <c r="Z51" s="60">
        <f t="shared" si="19"/>
        <v>65000000000047</v>
      </c>
      <c r="AA51" s="60">
        <f t="shared" si="1"/>
        <v>65000000000046</v>
      </c>
      <c r="AB51" s="60">
        <f t="shared" si="20"/>
        <v>65000000000000</v>
      </c>
      <c r="AD51" s="60">
        <f t="shared" si="31"/>
        <v>1</v>
      </c>
      <c r="AE51" s="60">
        <f t="shared" si="32"/>
        <v>2</v>
      </c>
      <c r="AF51" s="60">
        <f t="shared" si="33"/>
        <v>9</v>
      </c>
      <c r="AG51" s="60">
        <f t="shared" si="34"/>
        <v>5</v>
      </c>
      <c r="AH51" s="60">
        <f t="shared" si="35"/>
        <v>1</v>
      </c>
      <c r="AI51" s="60">
        <f t="shared" si="36"/>
        <v>1</v>
      </c>
      <c r="AK51" s="68" t="str">
        <f t="shared" si="3"/>
        <v>L4</v>
      </c>
      <c r="AM51" s="64" t="s">
        <v>1755</v>
      </c>
      <c r="AN51" s="64">
        <f t="shared" si="4"/>
        <v>65000000000001</v>
      </c>
      <c r="AO51" s="64">
        <f t="shared" si="5"/>
        <v>65000000000002</v>
      </c>
      <c r="AP51" s="64">
        <f t="shared" si="6"/>
        <v>65000000000040</v>
      </c>
      <c r="AQ51" s="64">
        <f t="shared" si="7"/>
        <v>65000000000045</v>
      </c>
      <c r="AS51" s="64">
        <f t="shared" si="8"/>
        <v>65000000000040</v>
      </c>
      <c r="AU51" s="59" t="str">
        <f t="shared" si="37"/>
        <v>PERFORM * FROM "SchData-OLTP-Accounting"."Func_TblChartOfAccount_SET"(varSystemLoginSession, null, null, null, varInstitutionBranchID, 62000000000001::bigint,'1-1904', 'Unbilled Receivable', 62000000000001::bigint, '2016-01-01 00:00:00'::timestamp, null::timestamp, 65000000000040::bigint, 66000000000001::bigint);</v>
      </c>
      <c r="AV51" s="65">
        <f t="shared" si="38"/>
        <v>65000000000047</v>
      </c>
      <c r="AW51" s="65">
        <f t="shared" si="39"/>
        <v>65000000000040</v>
      </c>
      <c r="AY51" s="65">
        <f t="shared" si="28"/>
        <v>65000000000040</v>
      </c>
      <c r="BA51" s="78">
        <f t="shared" si="41"/>
        <v>65000000000047</v>
      </c>
      <c r="BB51" s="81" t="str">
        <f t="shared" si="30"/>
        <v>PERFORM * FROM "SchData-OLTP-Accounting"."Func_TblChartOfAccount_SET"(varSystemLoginSession, null, null, null, null, null, varInstitutionBranchID, 62000000000001::bigint,'1-1904', 'Unbilled Receivable', 62000000000001::bigint, '2016-01-01 00:00:00'::timestamp, null::timestamp, 65000000000040::bigint, 66000000000001::bigint, TRUE::boolean);</v>
      </c>
    </row>
    <row r="52" spans="2:54" x14ac:dyDescent="0.2">
      <c r="B52" s="39"/>
      <c r="C52" s="40"/>
      <c r="D52" s="39"/>
      <c r="E52" s="40"/>
      <c r="F52" s="56"/>
      <c r="G52" s="40"/>
      <c r="H52" s="57"/>
      <c r="I52" s="33"/>
      <c r="J52" s="57" t="s">
        <v>1119</v>
      </c>
      <c r="K52" s="33" t="s">
        <v>1224</v>
      </c>
      <c r="L52" s="50"/>
      <c r="M52" s="33"/>
      <c r="O52" s="58" t="str">
        <f t="shared" si="9"/>
        <v>1-0000</v>
      </c>
      <c r="P52" s="58" t="str">
        <f t="shared" si="10"/>
        <v>1-1000</v>
      </c>
      <c r="Q52" s="58" t="str">
        <f t="shared" si="11"/>
        <v>1-1900</v>
      </c>
      <c r="R52" s="58" t="str">
        <f t="shared" si="12"/>
        <v>1-1904</v>
      </c>
      <c r="S52" s="58" t="str">
        <f t="shared" si="13"/>
        <v>1-1904.01</v>
      </c>
      <c r="T52" s="58" t="str">
        <f t="shared" si="14"/>
        <v xml:space="preserve"> </v>
      </c>
      <c r="V52" s="72">
        <f t="shared" si="15"/>
        <v>65000000000048</v>
      </c>
      <c r="W52" s="60">
        <f t="shared" si="16"/>
        <v>65000000000001</v>
      </c>
      <c r="X52" s="60">
        <f t="shared" si="17"/>
        <v>65000000000002</v>
      </c>
      <c r="Y52" s="60">
        <f t="shared" si="18"/>
        <v>65000000000040</v>
      </c>
      <c r="Z52" s="60">
        <f t="shared" si="19"/>
        <v>65000000000047</v>
      </c>
      <c r="AA52" s="60">
        <f t="shared" si="1"/>
        <v>65000000000048</v>
      </c>
      <c r="AB52" s="60">
        <f t="shared" si="20"/>
        <v>65000000000000</v>
      </c>
      <c r="AD52" s="60">
        <f t="shared" si="31"/>
        <v>1</v>
      </c>
      <c r="AE52" s="60">
        <f t="shared" si="32"/>
        <v>2</v>
      </c>
      <c r="AF52" s="60">
        <f t="shared" si="33"/>
        <v>9</v>
      </c>
      <c r="AG52" s="60">
        <f t="shared" si="34"/>
        <v>5</v>
      </c>
      <c r="AH52" s="60">
        <f t="shared" si="35"/>
        <v>2</v>
      </c>
      <c r="AI52" s="60">
        <f t="shared" si="36"/>
        <v>1</v>
      </c>
      <c r="AK52" s="68" t="str">
        <f t="shared" si="3"/>
        <v>L5</v>
      </c>
      <c r="AM52" s="64" t="s">
        <v>1755</v>
      </c>
      <c r="AN52" s="64">
        <f t="shared" si="4"/>
        <v>65000000000001</v>
      </c>
      <c r="AO52" s="64">
        <f t="shared" si="5"/>
        <v>65000000000002</v>
      </c>
      <c r="AP52" s="64">
        <f t="shared" si="6"/>
        <v>65000000000040</v>
      </c>
      <c r="AQ52" s="64">
        <f t="shared" si="7"/>
        <v>65000000000047</v>
      </c>
      <c r="AS52" s="64">
        <f t="shared" si="8"/>
        <v>65000000000047</v>
      </c>
      <c r="AU52" s="59" t="str">
        <f t="shared" si="37"/>
        <v>PERFORM * FROM "SchData-OLTP-Accounting"."Func_TblChartOfAccount_SET"(varSystemLoginSession, null, null, null, varInstitutionBranchID, 62000000000001::bigint,'1-1904.01', 'Unbilled Receivable (IDR)', 62000000000001::bigint, '2016-01-01 00:00:00'::timestamp, null::timestamp, 65000000000047::bigint, 66000000000001::bigint);</v>
      </c>
      <c r="AV52" s="65">
        <f t="shared" si="38"/>
        <v>65000000000048</v>
      </c>
      <c r="AW52" s="65">
        <f t="shared" si="39"/>
        <v>65000000000047</v>
      </c>
      <c r="AY52" s="65">
        <f t="shared" si="28"/>
        <v>65000000000047</v>
      </c>
      <c r="BA52" s="78">
        <f t="shared" si="41"/>
        <v>65000000000048</v>
      </c>
      <c r="BB52" s="81" t="str">
        <f t="shared" si="30"/>
        <v>PERFORM * FROM "SchData-OLTP-Accounting"."Func_TblChartOfAccount_SET"(varSystemLoginSession, null, null, null, null, null, varInstitutionBranchID, 62000000000001::bigint,'1-1904.01', 'Unbilled Receivable (IDR)', 62000000000001::bigint, '2016-01-01 00:00:00'::timestamp, null::timestamp, 65000000000047::bigint, 66000000000001::bigint, TRUE::boolean);</v>
      </c>
    </row>
    <row r="53" spans="2:54" x14ac:dyDescent="0.2">
      <c r="B53" s="39"/>
      <c r="C53" s="40"/>
      <c r="D53" s="39"/>
      <c r="E53" s="40"/>
      <c r="F53" s="56"/>
      <c r="G53" s="40"/>
      <c r="H53" s="57" t="s">
        <v>1114</v>
      </c>
      <c r="I53" s="33" t="s">
        <v>181</v>
      </c>
      <c r="J53" s="57"/>
      <c r="K53" s="33"/>
      <c r="L53" s="50"/>
      <c r="M53" s="33"/>
      <c r="O53" s="58" t="str">
        <f t="shared" si="9"/>
        <v>1-0000</v>
      </c>
      <c r="P53" s="58" t="str">
        <f t="shared" si="10"/>
        <v>1-1000</v>
      </c>
      <c r="Q53" s="58" t="str">
        <f t="shared" si="11"/>
        <v>1-1900</v>
      </c>
      <c r="R53" s="58" t="str">
        <f t="shared" si="12"/>
        <v>1-1905</v>
      </c>
      <c r="S53" s="58" t="str">
        <f t="shared" si="13"/>
        <v>1-1904.01</v>
      </c>
      <c r="T53" s="58" t="str">
        <f t="shared" si="14"/>
        <v xml:space="preserve"> </v>
      </c>
      <c r="V53" s="72">
        <f t="shared" si="15"/>
        <v>65000000000049</v>
      </c>
      <c r="W53" s="60">
        <f t="shared" si="16"/>
        <v>65000000000001</v>
      </c>
      <c r="X53" s="60">
        <f t="shared" si="17"/>
        <v>65000000000002</v>
      </c>
      <c r="Y53" s="60">
        <f t="shared" si="18"/>
        <v>65000000000040</v>
      </c>
      <c r="Z53" s="60">
        <f t="shared" si="19"/>
        <v>65000000000049</v>
      </c>
      <c r="AA53" s="60">
        <f t="shared" si="1"/>
        <v>65000000000048</v>
      </c>
      <c r="AB53" s="60">
        <f t="shared" si="20"/>
        <v>65000000000000</v>
      </c>
      <c r="AD53" s="60">
        <f t="shared" si="31"/>
        <v>1</v>
      </c>
      <c r="AE53" s="60">
        <f t="shared" si="32"/>
        <v>2</v>
      </c>
      <c r="AF53" s="60">
        <f t="shared" si="33"/>
        <v>9</v>
      </c>
      <c r="AG53" s="60">
        <f t="shared" si="34"/>
        <v>6</v>
      </c>
      <c r="AH53" s="60">
        <f t="shared" si="35"/>
        <v>1</v>
      </c>
      <c r="AI53" s="60">
        <f t="shared" si="36"/>
        <v>1</v>
      </c>
      <c r="AK53" s="68" t="str">
        <f t="shared" si="3"/>
        <v>L4</v>
      </c>
      <c r="AM53" s="64" t="s">
        <v>1755</v>
      </c>
      <c r="AN53" s="64">
        <f t="shared" si="4"/>
        <v>65000000000001</v>
      </c>
      <c r="AO53" s="64">
        <f t="shared" si="5"/>
        <v>65000000000002</v>
      </c>
      <c r="AP53" s="64">
        <f t="shared" si="6"/>
        <v>65000000000040</v>
      </c>
      <c r="AQ53" s="64">
        <f t="shared" si="7"/>
        <v>65000000000047</v>
      </c>
      <c r="AS53" s="64">
        <f t="shared" si="8"/>
        <v>65000000000040</v>
      </c>
      <c r="AU53" s="59" t="str">
        <f t="shared" si="37"/>
        <v>PERFORM * FROM "SchData-OLTP-Accounting"."Func_TblChartOfAccount_SET"(varSystemLoginSession, null, null, null, varInstitutionBranchID, 62000000000001::bigint,'1-1905', 'Work in Progress', 62000000000001::bigint, '2016-01-01 00:00:00'::timestamp, null::timestamp, 65000000000040::bigint, 66000000000001::bigint);</v>
      </c>
      <c r="AV53" s="65">
        <f t="shared" si="38"/>
        <v>65000000000049</v>
      </c>
      <c r="AW53" s="65">
        <f t="shared" si="39"/>
        <v>65000000000040</v>
      </c>
      <c r="AY53" s="65">
        <f t="shared" si="28"/>
        <v>65000000000040</v>
      </c>
      <c r="BA53" s="78">
        <f t="shared" si="41"/>
        <v>65000000000049</v>
      </c>
      <c r="BB53" s="81" t="str">
        <f t="shared" si="30"/>
        <v>PERFORM * FROM "SchData-OLTP-Accounting"."Func_TblChartOfAccount_SET"(varSystemLoginSession, null, null, null, null, null, varInstitutionBranchID, 62000000000001::bigint,'1-1905', 'Work in Progress', 62000000000001::bigint, '2016-01-01 00:00:00'::timestamp, null::timestamp, 65000000000040::bigint, 66000000000001::bigint, TRUE::boolean);</v>
      </c>
    </row>
    <row r="54" spans="2:54" x14ac:dyDescent="0.2">
      <c r="B54" s="39"/>
      <c r="C54" s="40"/>
      <c r="D54" s="39"/>
      <c r="E54" s="40"/>
      <c r="F54" s="56"/>
      <c r="G54" s="40"/>
      <c r="H54" s="57"/>
      <c r="I54" s="33"/>
      <c r="J54" s="57" t="s">
        <v>1120</v>
      </c>
      <c r="K54" s="33" t="s">
        <v>1225</v>
      </c>
      <c r="L54" s="50"/>
      <c r="M54" s="33"/>
      <c r="O54" s="58" t="str">
        <f t="shared" si="9"/>
        <v>1-0000</v>
      </c>
      <c r="P54" s="58" t="str">
        <f t="shared" si="10"/>
        <v>1-1000</v>
      </c>
      <c r="Q54" s="58" t="str">
        <f t="shared" si="11"/>
        <v>1-1900</v>
      </c>
      <c r="R54" s="58" t="str">
        <f t="shared" si="12"/>
        <v>1-1905</v>
      </c>
      <c r="S54" s="58" t="str">
        <f t="shared" si="13"/>
        <v>1-1905.01</v>
      </c>
      <c r="T54" s="58" t="str">
        <f t="shared" si="14"/>
        <v xml:space="preserve"> </v>
      </c>
      <c r="V54" s="72">
        <f t="shared" si="15"/>
        <v>65000000000050</v>
      </c>
      <c r="W54" s="60">
        <f t="shared" si="16"/>
        <v>65000000000001</v>
      </c>
      <c r="X54" s="60">
        <f t="shared" si="17"/>
        <v>65000000000002</v>
      </c>
      <c r="Y54" s="60">
        <f t="shared" si="18"/>
        <v>65000000000040</v>
      </c>
      <c r="Z54" s="60">
        <f t="shared" si="19"/>
        <v>65000000000049</v>
      </c>
      <c r="AA54" s="60">
        <f t="shared" si="1"/>
        <v>65000000000050</v>
      </c>
      <c r="AB54" s="60">
        <f t="shared" si="20"/>
        <v>65000000000000</v>
      </c>
      <c r="AD54" s="60">
        <f t="shared" si="31"/>
        <v>1</v>
      </c>
      <c r="AE54" s="60">
        <f t="shared" si="32"/>
        <v>2</v>
      </c>
      <c r="AF54" s="60">
        <f t="shared" si="33"/>
        <v>9</v>
      </c>
      <c r="AG54" s="60">
        <f t="shared" si="34"/>
        <v>6</v>
      </c>
      <c r="AH54" s="60">
        <f t="shared" si="35"/>
        <v>2</v>
      </c>
      <c r="AI54" s="60">
        <f t="shared" si="36"/>
        <v>1</v>
      </c>
      <c r="AK54" s="68" t="str">
        <f t="shared" si="3"/>
        <v>L5</v>
      </c>
      <c r="AM54" s="64" t="s">
        <v>1755</v>
      </c>
      <c r="AN54" s="64">
        <f t="shared" si="4"/>
        <v>65000000000001</v>
      </c>
      <c r="AO54" s="64">
        <f t="shared" si="5"/>
        <v>65000000000002</v>
      </c>
      <c r="AP54" s="64">
        <f t="shared" si="6"/>
        <v>65000000000040</v>
      </c>
      <c r="AQ54" s="64">
        <f t="shared" si="7"/>
        <v>65000000000049</v>
      </c>
      <c r="AS54" s="64">
        <f t="shared" si="8"/>
        <v>65000000000049</v>
      </c>
      <c r="AU54" s="59" t="str">
        <f t="shared" si="37"/>
        <v>PERFORM * FROM "SchData-OLTP-Accounting"."Func_TblChartOfAccount_SET"(varSystemLoginSession, null, null, null, varInstitutionBranchID, 62000000000001::bigint,'1-1905.01', 'Work in Progress (IDR)', 62000000000001::bigint, '2016-01-01 00:00:00'::timestamp, null::timestamp, 65000000000049::bigint, 66000000000001::bigint);</v>
      </c>
      <c r="AV54" s="65">
        <f t="shared" si="38"/>
        <v>65000000000050</v>
      </c>
      <c r="AW54" s="65">
        <f t="shared" si="39"/>
        <v>65000000000049</v>
      </c>
      <c r="AY54" s="65">
        <f t="shared" si="28"/>
        <v>65000000000049</v>
      </c>
      <c r="BA54" s="78">
        <f t="shared" si="41"/>
        <v>65000000000050</v>
      </c>
      <c r="BB54" s="81" t="str">
        <f t="shared" si="30"/>
        <v>PERFORM * FROM "SchData-OLTP-Accounting"."Func_TblChartOfAccount_SET"(varSystemLoginSession, null, null, null, null, null, varInstitutionBranchID, 62000000000001::bigint,'1-1905.01', 'Work in Progress (IDR)', 62000000000001::bigint, '2016-01-01 00:00:00'::timestamp, null::timestamp, 65000000000049::bigint, 66000000000001::bigint, TRUE::boolean);</v>
      </c>
    </row>
    <row r="55" spans="2:54" x14ac:dyDescent="0.2">
      <c r="B55" s="39"/>
      <c r="C55" s="40"/>
      <c r="D55" s="39"/>
      <c r="E55" s="40"/>
      <c r="F55" s="56"/>
      <c r="G55" s="40"/>
      <c r="H55" s="57" t="s">
        <v>1115</v>
      </c>
      <c r="I55" s="33" t="s">
        <v>164</v>
      </c>
      <c r="J55" s="57"/>
      <c r="K55" s="33"/>
      <c r="L55" s="50"/>
      <c r="M55" s="33"/>
      <c r="O55" s="58" t="str">
        <f t="shared" si="9"/>
        <v>1-0000</v>
      </c>
      <c r="P55" s="58" t="str">
        <f t="shared" si="10"/>
        <v>1-1000</v>
      </c>
      <c r="Q55" s="58" t="str">
        <f t="shared" si="11"/>
        <v>1-1900</v>
      </c>
      <c r="R55" s="58" t="str">
        <f t="shared" si="12"/>
        <v>1-1999</v>
      </c>
      <c r="S55" s="58" t="str">
        <f t="shared" si="13"/>
        <v>1-1905.01</v>
      </c>
      <c r="T55" s="58" t="str">
        <f t="shared" si="14"/>
        <v xml:space="preserve"> </v>
      </c>
      <c r="V55" s="72">
        <f t="shared" si="15"/>
        <v>65000000000051</v>
      </c>
      <c r="W55" s="60">
        <f t="shared" si="16"/>
        <v>65000000000001</v>
      </c>
      <c r="X55" s="60">
        <f t="shared" si="17"/>
        <v>65000000000002</v>
      </c>
      <c r="Y55" s="60">
        <f t="shared" si="18"/>
        <v>65000000000040</v>
      </c>
      <c r="Z55" s="60">
        <f t="shared" si="19"/>
        <v>65000000000051</v>
      </c>
      <c r="AA55" s="60">
        <f t="shared" si="1"/>
        <v>65000000000050</v>
      </c>
      <c r="AB55" s="60">
        <f t="shared" si="20"/>
        <v>65000000000000</v>
      </c>
      <c r="AD55" s="60">
        <f t="shared" si="31"/>
        <v>1</v>
      </c>
      <c r="AE55" s="60">
        <f t="shared" si="32"/>
        <v>2</v>
      </c>
      <c r="AF55" s="60">
        <f t="shared" si="33"/>
        <v>9</v>
      </c>
      <c r="AG55" s="60">
        <f t="shared" si="34"/>
        <v>7</v>
      </c>
      <c r="AH55" s="60">
        <f t="shared" si="35"/>
        <v>1</v>
      </c>
      <c r="AI55" s="60">
        <f t="shared" si="36"/>
        <v>1</v>
      </c>
      <c r="AK55" s="68" t="str">
        <f t="shared" si="3"/>
        <v>L4</v>
      </c>
      <c r="AM55" s="64" t="s">
        <v>1755</v>
      </c>
      <c r="AN55" s="64">
        <f t="shared" si="4"/>
        <v>65000000000001</v>
      </c>
      <c r="AO55" s="64">
        <f t="shared" si="5"/>
        <v>65000000000002</v>
      </c>
      <c r="AP55" s="64">
        <f t="shared" si="6"/>
        <v>65000000000040</v>
      </c>
      <c r="AQ55" s="64">
        <f t="shared" si="7"/>
        <v>65000000000049</v>
      </c>
      <c r="AS55" s="64">
        <f t="shared" si="8"/>
        <v>65000000000040</v>
      </c>
      <c r="AU55" s="59" t="str">
        <f t="shared" si="37"/>
        <v>PERFORM * FROM "SchData-OLTP-Accounting"."Func_TblChartOfAccount_SET"(varSystemLoginSession, null, null, null, varInstitutionBranchID, 62000000000001::bigint,'1-1999', 'Other Prepayment', 62000000000001::bigint, '2016-01-01 00:00:00'::timestamp, null::timestamp, 65000000000040::bigint, 66000000000001::bigint);</v>
      </c>
      <c r="AV55" s="65">
        <f t="shared" si="38"/>
        <v>65000000000051</v>
      </c>
      <c r="AW55" s="65">
        <f t="shared" si="39"/>
        <v>65000000000040</v>
      </c>
      <c r="AY55" s="65">
        <f t="shared" si="28"/>
        <v>65000000000040</v>
      </c>
      <c r="BA55" s="78">
        <f t="shared" si="41"/>
        <v>65000000000051</v>
      </c>
      <c r="BB55" s="81" t="str">
        <f t="shared" si="30"/>
        <v>PERFORM * FROM "SchData-OLTP-Accounting"."Func_TblChartOfAccount_SET"(varSystemLoginSession, null, null, null, null, null, varInstitutionBranchID, 62000000000001::bigint,'1-1999', 'Other Prepayment', 62000000000001::bigint, '2016-01-01 00:00:00'::timestamp, null::timestamp, 65000000000040::bigint, 66000000000001::bigint, TRUE::boolean);</v>
      </c>
    </row>
    <row r="56" spans="2:54" x14ac:dyDescent="0.2">
      <c r="B56" s="39"/>
      <c r="C56" s="40"/>
      <c r="D56" s="39"/>
      <c r="E56" s="40"/>
      <c r="F56" s="56"/>
      <c r="G56" s="40"/>
      <c r="H56" s="57"/>
      <c r="I56" s="33"/>
      <c r="J56" s="57" t="s">
        <v>1121</v>
      </c>
      <c r="K56" s="33" t="s">
        <v>1226</v>
      </c>
      <c r="L56" s="50"/>
      <c r="M56" s="33"/>
      <c r="O56" s="58" t="str">
        <f t="shared" si="9"/>
        <v>1-0000</v>
      </c>
      <c r="P56" s="58" t="str">
        <f t="shared" si="10"/>
        <v>1-1000</v>
      </c>
      <c r="Q56" s="58" t="str">
        <f t="shared" si="11"/>
        <v>1-1900</v>
      </c>
      <c r="R56" s="58" t="str">
        <f t="shared" si="12"/>
        <v>1-1999</v>
      </c>
      <c r="S56" s="58" t="str">
        <f t="shared" si="13"/>
        <v>1-1999.01</v>
      </c>
      <c r="T56" s="58" t="str">
        <f t="shared" si="14"/>
        <v xml:space="preserve"> </v>
      </c>
      <c r="V56" s="72">
        <f t="shared" si="15"/>
        <v>65000000000052</v>
      </c>
      <c r="W56" s="60">
        <f t="shared" si="16"/>
        <v>65000000000001</v>
      </c>
      <c r="X56" s="60">
        <f t="shared" si="17"/>
        <v>65000000000002</v>
      </c>
      <c r="Y56" s="60">
        <f t="shared" si="18"/>
        <v>65000000000040</v>
      </c>
      <c r="Z56" s="60">
        <f t="shared" si="19"/>
        <v>65000000000051</v>
      </c>
      <c r="AA56" s="60">
        <f t="shared" si="1"/>
        <v>65000000000052</v>
      </c>
      <c r="AB56" s="60">
        <f t="shared" si="20"/>
        <v>65000000000000</v>
      </c>
      <c r="AD56" s="60">
        <f t="shared" si="31"/>
        <v>1</v>
      </c>
      <c r="AE56" s="60">
        <f t="shared" si="32"/>
        <v>2</v>
      </c>
      <c r="AF56" s="60">
        <f t="shared" si="33"/>
        <v>9</v>
      </c>
      <c r="AG56" s="60">
        <f t="shared" si="34"/>
        <v>7</v>
      </c>
      <c r="AH56" s="60">
        <f t="shared" si="35"/>
        <v>2</v>
      </c>
      <c r="AI56" s="60">
        <f t="shared" si="36"/>
        <v>1</v>
      </c>
      <c r="AK56" s="68" t="str">
        <f t="shared" si="3"/>
        <v>L5</v>
      </c>
      <c r="AM56" s="64" t="s">
        <v>1755</v>
      </c>
      <c r="AN56" s="64">
        <f t="shared" si="4"/>
        <v>65000000000001</v>
      </c>
      <c r="AO56" s="64">
        <f t="shared" si="5"/>
        <v>65000000000002</v>
      </c>
      <c r="AP56" s="64">
        <f t="shared" si="6"/>
        <v>65000000000040</v>
      </c>
      <c r="AQ56" s="64">
        <f t="shared" si="7"/>
        <v>65000000000051</v>
      </c>
      <c r="AS56" s="64">
        <f t="shared" si="8"/>
        <v>65000000000051</v>
      </c>
      <c r="AU56" s="59" t="str">
        <f t="shared" si="37"/>
        <v>PERFORM * FROM "SchData-OLTP-Accounting"."Func_TblChartOfAccount_SET"(varSystemLoginSession, null, null, null, varInstitutionBranchID, 62000000000001::bigint,'1-1999.01', 'Other Prepayment (IDR)', 62000000000001::bigint, '2016-01-01 00:00:00'::timestamp, null::timestamp, 65000000000051::bigint, 66000000000001::bigint);</v>
      </c>
      <c r="AV56" s="65">
        <f t="shared" si="38"/>
        <v>65000000000052</v>
      </c>
      <c r="AW56" s="65">
        <f t="shared" si="39"/>
        <v>65000000000051</v>
      </c>
      <c r="AY56" s="65">
        <f t="shared" si="28"/>
        <v>65000000000051</v>
      </c>
      <c r="BA56" s="78">
        <f t="shared" si="41"/>
        <v>65000000000052</v>
      </c>
      <c r="BB56" s="81" t="str">
        <f t="shared" si="30"/>
        <v>PERFORM * FROM "SchData-OLTP-Accounting"."Func_TblChartOfAccount_SET"(varSystemLoginSession, null, null, null, null, null, varInstitutionBranchID, 62000000000001::bigint,'1-1999.01', 'Other Prepayment (IDR)', 62000000000001::bigint, '2016-01-01 00:00:00'::timestamp, null::timestamp, 65000000000051::bigint, 66000000000001::bigint, TRUE::boolean);</v>
      </c>
    </row>
    <row r="57" spans="2:54" x14ac:dyDescent="0.2">
      <c r="B57" s="39"/>
      <c r="C57" s="40"/>
      <c r="D57" s="43" t="s">
        <v>1082</v>
      </c>
      <c r="E57" s="42" t="s">
        <v>810</v>
      </c>
      <c r="F57" s="43"/>
      <c r="G57" s="42"/>
      <c r="H57" s="51"/>
      <c r="I57" s="18"/>
      <c r="J57" s="51"/>
      <c r="K57" s="18"/>
      <c r="L57" s="51"/>
      <c r="M57" s="18"/>
      <c r="O57" s="58" t="str">
        <f t="shared" si="9"/>
        <v>1-0000</v>
      </c>
      <c r="P57" s="58" t="str">
        <f t="shared" si="10"/>
        <v>1-2000</v>
      </c>
      <c r="Q57" s="58" t="str">
        <f t="shared" si="11"/>
        <v>1-1900</v>
      </c>
      <c r="R57" s="58" t="str">
        <f t="shared" si="12"/>
        <v>1-1999</v>
      </c>
      <c r="S57" s="58" t="str">
        <f t="shared" si="13"/>
        <v>1-1999.01</v>
      </c>
      <c r="T57" s="58" t="str">
        <f t="shared" si="14"/>
        <v xml:space="preserve"> </v>
      </c>
      <c r="V57" s="72">
        <f t="shared" si="15"/>
        <v>65000000000053</v>
      </c>
      <c r="W57" s="60">
        <f t="shared" si="16"/>
        <v>65000000000001</v>
      </c>
      <c r="X57" s="60">
        <f t="shared" si="17"/>
        <v>65000000000053</v>
      </c>
      <c r="Y57" s="60">
        <f t="shared" si="18"/>
        <v>65000000000040</v>
      </c>
      <c r="Z57" s="60">
        <f t="shared" si="19"/>
        <v>65000000000051</v>
      </c>
      <c r="AA57" s="60">
        <f t="shared" si="1"/>
        <v>65000000000052</v>
      </c>
      <c r="AB57" s="60">
        <f t="shared" si="20"/>
        <v>65000000000000</v>
      </c>
      <c r="AD57" s="60">
        <f t="shared" si="31"/>
        <v>1</v>
      </c>
      <c r="AE57" s="60">
        <f t="shared" si="32"/>
        <v>3</v>
      </c>
      <c r="AF57" s="60">
        <f t="shared" si="33"/>
        <v>1</v>
      </c>
      <c r="AG57" s="60">
        <f t="shared" si="34"/>
        <v>1</v>
      </c>
      <c r="AH57" s="60">
        <f t="shared" si="35"/>
        <v>1</v>
      </c>
      <c r="AI57" s="60">
        <f t="shared" si="36"/>
        <v>1</v>
      </c>
      <c r="AK57" s="68" t="str">
        <f t="shared" si="3"/>
        <v>L2</v>
      </c>
      <c r="AM57" s="64" t="s">
        <v>1755</v>
      </c>
      <c r="AN57" s="64">
        <f t="shared" si="4"/>
        <v>65000000000001</v>
      </c>
      <c r="AO57" s="64">
        <f t="shared" si="5"/>
        <v>65000000000002</v>
      </c>
      <c r="AP57" s="64">
        <f t="shared" si="6"/>
        <v>65000000000040</v>
      </c>
      <c r="AQ57" s="64">
        <f t="shared" si="7"/>
        <v>65000000000051</v>
      </c>
      <c r="AS57" s="64">
        <f t="shared" si="8"/>
        <v>65000000000001</v>
      </c>
      <c r="AU57" s="59" t="str">
        <f t="shared" si="37"/>
        <v>PERFORM * FROM "SchData-OLTP-Accounting"."Func_TblChartOfAccount_SET"(varSystemLoginSession, null, null, null, varInstitutionBranchID, 62000000000001::bigint,'1-2000', 'Investasi Jangka Panjang', 62000000000001::bigint, '2016-01-01 00:00:00'::timestamp, null::timestamp, 65000000000001::bigint, 66000000000001::bigint);</v>
      </c>
      <c r="AV57" s="65">
        <f t="shared" si="38"/>
        <v>65000000000053</v>
      </c>
      <c r="AW57" s="65">
        <f t="shared" si="39"/>
        <v>65000000000001</v>
      </c>
      <c r="AY57" s="65">
        <f t="shared" si="28"/>
        <v>65000000000001</v>
      </c>
      <c r="BA57" s="78">
        <f t="shared" si="41"/>
        <v>65000000000053</v>
      </c>
      <c r="BB57" s="81" t="str">
        <f t="shared" si="30"/>
        <v>PERFORM * FROM "SchData-OLTP-Accounting"."Func_TblChartOfAccount_SET"(varSystemLoginSession, null, null, null, null, null, varInstitutionBranchID, 62000000000001::bigint,'1-2000', 'Investasi Jangka Panjang', 62000000000001::bigint, '2016-01-01 00:00:00'::timestamp, null::timestamp, 65000000000001::bigint, 66000000000001::bigint, TRUE::boolean);</v>
      </c>
    </row>
    <row r="58" spans="2:54" x14ac:dyDescent="0.2">
      <c r="B58" s="39"/>
      <c r="C58" s="40"/>
      <c r="D58" s="43"/>
      <c r="E58" s="42"/>
      <c r="F58" s="43"/>
      <c r="G58" s="42"/>
      <c r="H58" s="51" t="s">
        <v>1730</v>
      </c>
      <c r="I58" s="18" t="s">
        <v>811</v>
      </c>
      <c r="J58" s="51"/>
      <c r="K58" s="18"/>
      <c r="L58" s="51"/>
      <c r="M58" s="18"/>
      <c r="O58" s="58" t="str">
        <f t="shared" si="9"/>
        <v>1-0000</v>
      </c>
      <c r="P58" s="58" t="str">
        <f t="shared" si="10"/>
        <v>1-2000</v>
      </c>
      <c r="Q58" s="58" t="str">
        <f t="shared" si="11"/>
        <v>1-1900</v>
      </c>
      <c r="R58" s="58" t="str">
        <f t="shared" si="12"/>
        <v>1-2001</v>
      </c>
      <c r="S58" s="58" t="str">
        <f t="shared" si="13"/>
        <v>1-1999.01</v>
      </c>
      <c r="T58" s="58" t="str">
        <f t="shared" si="14"/>
        <v xml:space="preserve"> </v>
      </c>
      <c r="V58" s="72">
        <f t="shared" si="15"/>
        <v>65000000000054</v>
      </c>
      <c r="W58" s="60">
        <f t="shared" si="16"/>
        <v>65000000000001</v>
      </c>
      <c r="X58" s="60">
        <f t="shared" si="17"/>
        <v>65000000000053</v>
      </c>
      <c r="Y58" s="60">
        <f t="shared" si="18"/>
        <v>65000000000040</v>
      </c>
      <c r="Z58" s="60">
        <f t="shared" si="19"/>
        <v>65000000000054</v>
      </c>
      <c r="AA58" s="60">
        <f t="shared" si="1"/>
        <v>65000000000052</v>
      </c>
      <c r="AB58" s="60">
        <f t="shared" si="20"/>
        <v>65000000000000</v>
      </c>
      <c r="AD58" s="60">
        <f t="shared" si="31"/>
        <v>1</v>
      </c>
      <c r="AE58" s="60">
        <f t="shared" si="32"/>
        <v>3</v>
      </c>
      <c r="AF58" s="60">
        <f t="shared" si="33"/>
        <v>1</v>
      </c>
      <c r="AG58" s="60">
        <f t="shared" si="34"/>
        <v>2</v>
      </c>
      <c r="AH58" s="60">
        <f t="shared" si="35"/>
        <v>1</v>
      </c>
      <c r="AI58" s="60">
        <f t="shared" si="36"/>
        <v>1</v>
      </c>
      <c r="AK58" s="68" t="str">
        <f t="shared" si="3"/>
        <v>L4</v>
      </c>
      <c r="AM58" s="64" t="s">
        <v>1755</v>
      </c>
      <c r="AN58" s="64">
        <f t="shared" si="4"/>
        <v>65000000000001</v>
      </c>
      <c r="AO58" s="64">
        <f t="shared" si="5"/>
        <v>65000000000053</v>
      </c>
      <c r="AP58" s="64">
        <f t="shared" si="6"/>
        <v>65000000000053</v>
      </c>
      <c r="AQ58" s="64">
        <f t="shared" si="7"/>
        <v>65000000000053</v>
      </c>
      <c r="AS58" s="64">
        <f t="shared" si="8"/>
        <v>65000000000053</v>
      </c>
      <c r="AU58" s="59" t="str">
        <f t="shared" si="37"/>
        <v>PERFORM * FROM "SchData-OLTP-Accounting"."Func_TblChartOfAccount_SET"(varSystemLoginSession, null, null, null, varInstitutionBranchID, 62000000000001::bigint,'1-2001', 'Investasi Saham', 62000000000001::bigint, '2016-01-01 00:00:00'::timestamp, null::timestamp, 65000000000053::bigint, 66000000000001::bigint);</v>
      </c>
      <c r="AV58" s="65">
        <f t="shared" si="38"/>
        <v>65000000000054</v>
      </c>
      <c r="AW58" s="65">
        <f t="shared" si="39"/>
        <v>65000000000053</v>
      </c>
      <c r="AY58" s="65">
        <f t="shared" si="28"/>
        <v>65000000000053</v>
      </c>
      <c r="BA58" s="78">
        <f t="shared" si="41"/>
        <v>65000000000054</v>
      </c>
      <c r="BB58" s="81" t="str">
        <f t="shared" si="30"/>
        <v>PERFORM * FROM "SchData-OLTP-Accounting"."Func_TblChartOfAccount_SET"(varSystemLoginSession, null, null, null, null, null, varInstitutionBranchID, 62000000000001::bigint,'1-2001', 'Investasi Saham', 62000000000001::bigint, '2016-01-01 00:00:00'::timestamp, null::timestamp, 65000000000053::bigint, 66000000000001::bigint, TRUE::boolean);</v>
      </c>
    </row>
    <row r="59" spans="2:54" x14ac:dyDescent="0.2">
      <c r="B59" s="39"/>
      <c r="C59" s="40"/>
      <c r="D59" s="43"/>
      <c r="E59" s="42"/>
      <c r="F59" s="43"/>
      <c r="G59" s="42"/>
      <c r="H59" s="51"/>
      <c r="I59" s="18"/>
      <c r="J59" s="51" t="s">
        <v>1732</v>
      </c>
      <c r="K59" s="18" t="s">
        <v>1731</v>
      </c>
      <c r="L59" s="51"/>
      <c r="M59" s="18"/>
      <c r="O59" s="58" t="str">
        <f t="shared" si="9"/>
        <v>1-0000</v>
      </c>
      <c r="P59" s="58" t="str">
        <f t="shared" si="10"/>
        <v>1-2000</v>
      </c>
      <c r="Q59" s="58" t="str">
        <f t="shared" si="11"/>
        <v>1-1900</v>
      </c>
      <c r="R59" s="58" t="str">
        <f t="shared" si="12"/>
        <v>1-2001</v>
      </c>
      <c r="S59" s="58" t="str">
        <f t="shared" si="13"/>
        <v>1-2001.01</v>
      </c>
      <c r="T59" s="58" t="str">
        <f t="shared" si="14"/>
        <v xml:space="preserve"> </v>
      </c>
      <c r="V59" s="72">
        <f t="shared" si="15"/>
        <v>65000000000055</v>
      </c>
      <c r="W59" s="60">
        <f t="shared" si="16"/>
        <v>65000000000001</v>
      </c>
      <c r="X59" s="60">
        <f t="shared" si="17"/>
        <v>65000000000053</v>
      </c>
      <c r="Y59" s="60">
        <f t="shared" si="18"/>
        <v>65000000000040</v>
      </c>
      <c r="Z59" s="60">
        <f t="shared" si="19"/>
        <v>65000000000054</v>
      </c>
      <c r="AA59" s="60">
        <f t="shared" si="1"/>
        <v>65000000000055</v>
      </c>
      <c r="AB59" s="60">
        <f t="shared" si="20"/>
        <v>65000000000000</v>
      </c>
      <c r="AD59" s="60">
        <f t="shared" si="31"/>
        <v>1</v>
      </c>
      <c r="AE59" s="60">
        <f t="shared" si="32"/>
        <v>3</v>
      </c>
      <c r="AF59" s="60">
        <f t="shared" si="33"/>
        <v>1</v>
      </c>
      <c r="AG59" s="60">
        <f t="shared" si="34"/>
        <v>2</v>
      </c>
      <c r="AH59" s="60">
        <f t="shared" si="35"/>
        <v>2</v>
      </c>
      <c r="AI59" s="60">
        <f t="shared" si="36"/>
        <v>1</v>
      </c>
      <c r="AK59" s="68" t="str">
        <f t="shared" si="3"/>
        <v>L5</v>
      </c>
      <c r="AM59" s="64" t="s">
        <v>1755</v>
      </c>
      <c r="AN59" s="64">
        <f t="shared" si="4"/>
        <v>65000000000001</v>
      </c>
      <c r="AO59" s="64">
        <f t="shared" si="5"/>
        <v>65000000000053</v>
      </c>
      <c r="AP59" s="64">
        <f t="shared" si="6"/>
        <v>65000000000053</v>
      </c>
      <c r="AQ59" s="64">
        <f t="shared" si="7"/>
        <v>65000000000054</v>
      </c>
      <c r="AS59" s="64">
        <f t="shared" si="8"/>
        <v>65000000000054</v>
      </c>
      <c r="AU59" s="59" t="str">
        <f t="shared" si="37"/>
        <v>PERFORM * FROM "SchData-OLTP-Accounting"."Func_TblChartOfAccount_SET"(varSystemLoginSession, null, null, null, varInstitutionBranchID, 62000000000001::bigint,'1-2001.01', 'Investasi Saham (IDR)', 62000000000001::bigint, '2016-01-01 00:00:00'::timestamp, null::timestamp, 65000000000054::bigint, 66000000000001::bigint);</v>
      </c>
      <c r="AV59" s="65">
        <f t="shared" si="38"/>
        <v>65000000000055</v>
      </c>
      <c r="AW59" s="65">
        <f t="shared" si="39"/>
        <v>65000000000054</v>
      </c>
      <c r="AY59" s="65">
        <f t="shared" si="28"/>
        <v>65000000000054</v>
      </c>
      <c r="BA59" s="78">
        <f t="shared" si="41"/>
        <v>65000000000055</v>
      </c>
      <c r="BB59" s="81" t="str">
        <f t="shared" si="30"/>
        <v>PERFORM * FROM "SchData-OLTP-Accounting"."Func_TblChartOfAccount_SET"(varSystemLoginSession, null, null, null, null, null, varInstitutionBranchID, 62000000000001::bigint,'1-2001.01', 'Investasi Saham (IDR)', 62000000000001::bigint, '2016-01-01 00:00:00'::timestamp, null::timestamp, 65000000000054::bigint, 66000000000001::bigint, TRUE::boolean);</v>
      </c>
    </row>
    <row r="60" spans="2:54" x14ac:dyDescent="0.2">
      <c r="B60" s="39"/>
      <c r="C60" s="40"/>
      <c r="D60" s="43" t="s">
        <v>1083</v>
      </c>
      <c r="E60" s="42" t="s">
        <v>823</v>
      </c>
      <c r="F60" s="43"/>
      <c r="G60" s="42"/>
      <c r="H60" s="51"/>
      <c r="I60" s="18"/>
      <c r="J60" s="51"/>
      <c r="K60" s="18"/>
      <c r="L60" s="51"/>
      <c r="M60" s="18"/>
      <c r="O60" s="58" t="str">
        <f t="shared" si="9"/>
        <v>1-0000</v>
      </c>
      <c r="P60" s="58" t="str">
        <f t="shared" si="10"/>
        <v>1-3000</v>
      </c>
      <c r="Q60" s="58" t="str">
        <f t="shared" si="11"/>
        <v>1-1900</v>
      </c>
      <c r="R60" s="58" t="str">
        <f t="shared" si="12"/>
        <v>1-2001</v>
      </c>
      <c r="S60" s="58" t="str">
        <f t="shared" si="13"/>
        <v>1-2001.01</v>
      </c>
      <c r="T60" s="58" t="str">
        <f t="shared" si="14"/>
        <v xml:space="preserve"> </v>
      </c>
      <c r="V60" s="72">
        <f t="shared" si="15"/>
        <v>65000000000056</v>
      </c>
      <c r="W60" s="60">
        <f t="shared" si="16"/>
        <v>65000000000001</v>
      </c>
      <c r="X60" s="60">
        <f t="shared" si="17"/>
        <v>65000000000056</v>
      </c>
      <c r="Y60" s="60">
        <f t="shared" si="18"/>
        <v>65000000000040</v>
      </c>
      <c r="Z60" s="60">
        <f t="shared" si="19"/>
        <v>65000000000054</v>
      </c>
      <c r="AA60" s="60">
        <f t="shared" si="1"/>
        <v>65000000000055</v>
      </c>
      <c r="AB60" s="60">
        <f t="shared" si="20"/>
        <v>65000000000000</v>
      </c>
      <c r="AD60" s="60">
        <f t="shared" si="31"/>
        <v>1</v>
      </c>
      <c r="AE60" s="60">
        <f t="shared" si="32"/>
        <v>4</v>
      </c>
      <c r="AF60" s="60">
        <f t="shared" si="33"/>
        <v>1</v>
      </c>
      <c r="AG60" s="60">
        <f t="shared" si="34"/>
        <v>2</v>
      </c>
      <c r="AH60" s="60">
        <f t="shared" si="35"/>
        <v>2</v>
      </c>
      <c r="AI60" s="60">
        <f t="shared" si="36"/>
        <v>1</v>
      </c>
      <c r="AK60" s="68" t="str">
        <f t="shared" si="3"/>
        <v>L2</v>
      </c>
      <c r="AM60" s="64" t="s">
        <v>1755</v>
      </c>
      <c r="AN60" s="64">
        <f t="shared" si="4"/>
        <v>65000000000001</v>
      </c>
      <c r="AO60" s="64">
        <f t="shared" si="5"/>
        <v>65000000000053</v>
      </c>
      <c r="AP60" s="64">
        <f t="shared" si="6"/>
        <v>65000000000053</v>
      </c>
      <c r="AQ60" s="64">
        <f t="shared" si="7"/>
        <v>65000000000054</v>
      </c>
      <c r="AS60" s="64">
        <f t="shared" si="8"/>
        <v>65000000000001</v>
      </c>
      <c r="AU60" s="59" t="str">
        <f t="shared" si="37"/>
        <v>PERFORM * FROM "SchData-OLTP-Accounting"."Func_TblChartOfAccount_SET"(varSystemLoginSession, null, null, null, varInstitutionBranchID, 62000000000001::bigint,'1-3000', 'Aktiva Tetap', 62000000000001::bigint, '2016-01-01 00:00:00'::timestamp, null::timestamp, 65000000000001::bigint, 66000000000001::bigint);</v>
      </c>
      <c r="AV60" s="65">
        <f t="shared" si="38"/>
        <v>65000000000056</v>
      </c>
      <c r="AW60" s="65">
        <f t="shared" si="39"/>
        <v>65000000000001</v>
      </c>
      <c r="AY60" s="65">
        <f t="shared" si="28"/>
        <v>65000000000001</v>
      </c>
      <c r="BA60" s="78">
        <f t="shared" si="41"/>
        <v>65000000000056</v>
      </c>
      <c r="BB60" s="81" t="str">
        <f t="shared" si="30"/>
        <v>PERFORM * FROM "SchData-OLTP-Accounting"."Func_TblChartOfAccount_SET"(varSystemLoginSession, null, null, null, null, null, varInstitutionBranchID, 62000000000001::bigint,'1-3000', 'Aktiva Tetap', 62000000000001::bigint, '2016-01-01 00:00:00'::timestamp, null::timestamp, 65000000000001::bigint, 66000000000001::bigint, TRUE::boolean);</v>
      </c>
    </row>
    <row r="61" spans="2:54" x14ac:dyDescent="0.2">
      <c r="B61" s="39"/>
      <c r="C61" s="40"/>
      <c r="D61" s="43"/>
      <c r="E61" s="42"/>
      <c r="F61" s="43" t="s">
        <v>1124</v>
      </c>
      <c r="G61" s="42" t="s">
        <v>718</v>
      </c>
      <c r="H61" s="51"/>
      <c r="I61" s="18"/>
      <c r="J61" s="51"/>
      <c r="K61" s="18"/>
      <c r="L61" s="51"/>
      <c r="M61" s="18"/>
      <c r="O61" s="58" t="str">
        <f t="shared" si="9"/>
        <v>1-0000</v>
      </c>
      <c r="P61" s="58" t="str">
        <f t="shared" si="10"/>
        <v>1-3000</v>
      </c>
      <c r="Q61" s="58" t="str">
        <f t="shared" si="11"/>
        <v>1-3100</v>
      </c>
      <c r="R61" s="58" t="str">
        <f t="shared" si="12"/>
        <v>1-2001</v>
      </c>
      <c r="S61" s="58" t="str">
        <f t="shared" si="13"/>
        <v>1-2001.01</v>
      </c>
      <c r="T61" s="58" t="str">
        <f t="shared" si="14"/>
        <v xml:space="preserve"> </v>
      </c>
      <c r="V61" s="72">
        <f t="shared" si="15"/>
        <v>65000000000057</v>
      </c>
      <c r="W61" s="60">
        <f t="shared" si="16"/>
        <v>65000000000001</v>
      </c>
      <c r="X61" s="60">
        <f t="shared" si="17"/>
        <v>65000000000056</v>
      </c>
      <c r="Y61" s="60">
        <f t="shared" si="18"/>
        <v>65000000000057</v>
      </c>
      <c r="Z61" s="60">
        <f t="shared" si="19"/>
        <v>65000000000054</v>
      </c>
      <c r="AA61" s="60">
        <f t="shared" si="1"/>
        <v>65000000000055</v>
      </c>
      <c r="AB61" s="60">
        <f t="shared" si="20"/>
        <v>65000000000000</v>
      </c>
      <c r="AD61" s="60">
        <f t="shared" si="31"/>
        <v>1</v>
      </c>
      <c r="AE61" s="60">
        <f t="shared" si="32"/>
        <v>4</v>
      </c>
      <c r="AF61" s="60">
        <f t="shared" si="33"/>
        <v>2</v>
      </c>
      <c r="AG61" s="60">
        <f t="shared" si="34"/>
        <v>1</v>
      </c>
      <c r="AH61" s="60">
        <f t="shared" si="35"/>
        <v>1</v>
      </c>
      <c r="AI61" s="60">
        <f t="shared" si="36"/>
        <v>1</v>
      </c>
      <c r="AK61" s="68" t="str">
        <f t="shared" si="3"/>
        <v>L3</v>
      </c>
      <c r="AM61" s="64" t="s">
        <v>1755</v>
      </c>
      <c r="AN61" s="64">
        <f t="shared" si="4"/>
        <v>65000000000001</v>
      </c>
      <c r="AO61" s="64">
        <f t="shared" si="5"/>
        <v>65000000000056</v>
      </c>
      <c r="AP61" s="64">
        <f t="shared" si="6"/>
        <v>65000000000056</v>
      </c>
      <c r="AQ61" s="64">
        <f t="shared" si="7"/>
        <v>65000000000056</v>
      </c>
      <c r="AS61" s="64">
        <f t="shared" si="8"/>
        <v>65000000000056</v>
      </c>
      <c r="AU61" s="59" t="str">
        <f t="shared" si="37"/>
        <v>PERFORM * FROM "SchData-OLTP-Accounting"."Func_TblChartOfAccount_SET"(varSystemLoginSession, null, null, null, varInstitutionBranchID, 62000000000001::bigint,'1-3100', 'Aset Tetap', 62000000000001::bigint, '2016-01-01 00:00:00'::timestamp, null::timestamp, 65000000000056::bigint, 66000000000001::bigint);</v>
      </c>
      <c r="AV61" s="65">
        <f t="shared" si="38"/>
        <v>65000000000057</v>
      </c>
      <c r="AW61" s="65">
        <f t="shared" si="39"/>
        <v>65000000000056</v>
      </c>
      <c r="AY61" s="65">
        <f t="shared" si="28"/>
        <v>65000000000056</v>
      </c>
      <c r="BA61" s="78">
        <f t="shared" si="41"/>
        <v>65000000000057</v>
      </c>
      <c r="BB61" s="81" t="str">
        <f t="shared" si="30"/>
        <v>PERFORM * FROM "SchData-OLTP-Accounting"."Func_TblChartOfAccount_SET"(varSystemLoginSession, null, null, null, null, null, varInstitutionBranchID, 62000000000001::bigint,'1-3100', 'Aset Tetap', 62000000000001::bigint, '2016-01-01 00:00:00'::timestamp, null::timestamp, 65000000000056::bigint, 66000000000001::bigint, TRUE::boolean);</v>
      </c>
    </row>
    <row r="62" spans="2:54" x14ac:dyDescent="0.2">
      <c r="B62" s="39"/>
      <c r="C62" s="40"/>
      <c r="D62" s="43"/>
      <c r="E62" s="42"/>
      <c r="F62" s="43"/>
      <c r="G62" s="42"/>
      <c r="H62" s="51" t="s">
        <v>825</v>
      </c>
      <c r="I62" s="18" t="s">
        <v>847</v>
      </c>
      <c r="J62" s="51"/>
      <c r="K62" s="18"/>
      <c r="L62" s="51"/>
      <c r="M62" s="18"/>
      <c r="O62" s="58" t="str">
        <f t="shared" si="9"/>
        <v>1-0000</v>
      </c>
      <c r="P62" s="58" t="str">
        <f t="shared" si="10"/>
        <v>1-3000</v>
      </c>
      <c r="Q62" s="58" t="str">
        <f t="shared" si="11"/>
        <v>1-3100</v>
      </c>
      <c r="R62" s="58" t="str">
        <f t="shared" si="12"/>
        <v>1-3101</v>
      </c>
      <c r="S62" s="58" t="str">
        <f t="shared" si="13"/>
        <v>1-2001.01</v>
      </c>
      <c r="T62" s="58" t="str">
        <f t="shared" si="14"/>
        <v xml:space="preserve"> </v>
      </c>
      <c r="V62" s="72">
        <f t="shared" si="15"/>
        <v>65000000000058</v>
      </c>
      <c r="W62" s="60">
        <f t="shared" si="16"/>
        <v>65000000000001</v>
      </c>
      <c r="X62" s="60">
        <f t="shared" si="17"/>
        <v>65000000000056</v>
      </c>
      <c r="Y62" s="60">
        <f t="shared" si="18"/>
        <v>65000000000057</v>
      </c>
      <c r="Z62" s="60">
        <f t="shared" si="19"/>
        <v>65000000000058</v>
      </c>
      <c r="AA62" s="60">
        <f t="shared" si="1"/>
        <v>65000000000055</v>
      </c>
      <c r="AB62" s="60">
        <f t="shared" si="20"/>
        <v>65000000000000</v>
      </c>
      <c r="AD62" s="60">
        <f t="shared" si="31"/>
        <v>1</v>
      </c>
      <c r="AE62" s="60">
        <f t="shared" si="32"/>
        <v>4</v>
      </c>
      <c r="AF62" s="60">
        <f t="shared" si="33"/>
        <v>2</v>
      </c>
      <c r="AG62" s="60">
        <f t="shared" si="34"/>
        <v>2</v>
      </c>
      <c r="AH62" s="60">
        <f t="shared" si="35"/>
        <v>1</v>
      </c>
      <c r="AI62" s="60">
        <f t="shared" si="36"/>
        <v>1</v>
      </c>
      <c r="AK62" s="68" t="str">
        <f t="shared" si="3"/>
        <v>L4</v>
      </c>
      <c r="AM62" s="64" t="s">
        <v>1755</v>
      </c>
      <c r="AN62" s="64">
        <f t="shared" si="4"/>
        <v>65000000000001</v>
      </c>
      <c r="AO62" s="64">
        <f t="shared" si="5"/>
        <v>65000000000056</v>
      </c>
      <c r="AP62" s="64">
        <f t="shared" si="6"/>
        <v>65000000000057</v>
      </c>
      <c r="AQ62" s="64">
        <f t="shared" si="7"/>
        <v>65000000000057</v>
      </c>
      <c r="AS62" s="64">
        <f t="shared" si="8"/>
        <v>65000000000057</v>
      </c>
      <c r="AU62" s="59" t="str">
        <f t="shared" si="37"/>
        <v>PERFORM * FROM "SchData-OLTP-Accounting"."Func_TblChartOfAccount_SET"(varSystemLoginSession, null, null, null, varInstitutionBranchID, 62000000000001::bigint,'1-3101', 'Land', 62000000000001::bigint, '2016-01-01 00:00:00'::timestamp, null::timestamp, 65000000000057::bigint, 66000000000001::bigint);</v>
      </c>
      <c r="AV62" s="65">
        <f t="shared" si="38"/>
        <v>65000000000058</v>
      </c>
      <c r="AW62" s="65">
        <f t="shared" si="39"/>
        <v>65000000000057</v>
      </c>
      <c r="AY62" s="65">
        <f t="shared" si="28"/>
        <v>65000000000057</v>
      </c>
      <c r="BA62" s="78">
        <f t="shared" si="41"/>
        <v>65000000000058</v>
      </c>
      <c r="BB62" s="81" t="str">
        <f t="shared" si="30"/>
        <v>PERFORM * FROM "SchData-OLTP-Accounting"."Func_TblChartOfAccount_SET"(varSystemLoginSession, null, null, null, null, null, varInstitutionBranchID, 62000000000001::bigint,'1-3101', 'Land', 62000000000001::bigint, '2016-01-01 00:00:00'::timestamp, null::timestamp, 65000000000057::bigint, 66000000000001::bigint, TRUE::boolean);</v>
      </c>
    </row>
    <row r="63" spans="2:54" x14ac:dyDescent="0.2">
      <c r="B63" s="39"/>
      <c r="C63" s="40"/>
      <c r="D63" s="43"/>
      <c r="E63" s="42"/>
      <c r="F63" s="43"/>
      <c r="G63" s="42"/>
      <c r="H63" s="51"/>
      <c r="I63" s="18"/>
      <c r="J63" s="51" t="s">
        <v>1137</v>
      </c>
      <c r="K63" s="18" t="s">
        <v>1227</v>
      </c>
      <c r="L63" s="51"/>
      <c r="M63" s="18"/>
      <c r="O63" s="58" t="str">
        <f t="shared" si="9"/>
        <v>1-0000</v>
      </c>
      <c r="P63" s="58" t="str">
        <f t="shared" si="10"/>
        <v>1-3000</v>
      </c>
      <c r="Q63" s="58" t="str">
        <f t="shared" si="11"/>
        <v>1-3100</v>
      </c>
      <c r="R63" s="58" t="str">
        <f t="shared" si="12"/>
        <v>1-3101</v>
      </c>
      <c r="S63" s="58" t="str">
        <f t="shared" si="13"/>
        <v>1-3101.01</v>
      </c>
      <c r="T63" s="58" t="str">
        <f t="shared" si="14"/>
        <v xml:space="preserve"> </v>
      </c>
      <c r="V63" s="72">
        <f t="shared" si="15"/>
        <v>65000000000059</v>
      </c>
      <c r="W63" s="60">
        <f t="shared" si="16"/>
        <v>65000000000001</v>
      </c>
      <c r="X63" s="60">
        <f t="shared" si="17"/>
        <v>65000000000056</v>
      </c>
      <c r="Y63" s="60">
        <f t="shared" si="18"/>
        <v>65000000000057</v>
      </c>
      <c r="Z63" s="60">
        <f t="shared" si="19"/>
        <v>65000000000058</v>
      </c>
      <c r="AA63" s="60">
        <f t="shared" si="1"/>
        <v>65000000000059</v>
      </c>
      <c r="AB63" s="60">
        <f t="shared" si="20"/>
        <v>65000000000000</v>
      </c>
      <c r="AD63" s="60">
        <f t="shared" si="31"/>
        <v>1</v>
      </c>
      <c r="AE63" s="60">
        <f t="shared" si="32"/>
        <v>4</v>
      </c>
      <c r="AF63" s="60">
        <f t="shared" si="33"/>
        <v>2</v>
      </c>
      <c r="AG63" s="60">
        <f t="shared" si="34"/>
        <v>2</v>
      </c>
      <c r="AH63" s="60">
        <f t="shared" si="35"/>
        <v>2</v>
      </c>
      <c r="AI63" s="60">
        <f t="shared" si="36"/>
        <v>1</v>
      </c>
      <c r="AK63" s="68" t="str">
        <f t="shared" si="3"/>
        <v>L5</v>
      </c>
      <c r="AM63" s="64" t="s">
        <v>1755</v>
      </c>
      <c r="AN63" s="64">
        <f t="shared" si="4"/>
        <v>65000000000001</v>
      </c>
      <c r="AO63" s="64">
        <f t="shared" si="5"/>
        <v>65000000000056</v>
      </c>
      <c r="AP63" s="64">
        <f t="shared" si="6"/>
        <v>65000000000057</v>
      </c>
      <c r="AQ63" s="64">
        <f t="shared" si="7"/>
        <v>65000000000058</v>
      </c>
      <c r="AS63" s="64">
        <f t="shared" si="8"/>
        <v>65000000000058</v>
      </c>
      <c r="AU63" s="59" t="str">
        <f t="shared" si="37"/>
        <v>PERFORM * FROM "SchData-OLTP-Accounting"."Func_TblChartOfAccount_SET"(varSystemLoginSession, null, null, null, varInstitutionBranchID, 62000000000001::bigint,'1-3101.01', 'Land (IDR)', 62000000000001::bigint, '2016-01-01 00:00:00'::timestamp, null::timestamp, 65000000000058::bigint, 66000000000001::bigint);</v>
      </c>
      <c r="AV63" s="65">
        <f t="shared" si="38"/>
        <v>65000000000059</v>
      </c>
      <c r="AW63" s="65">
        <f t="shared" si="39"/>
        <v>65000000000058</v>
      </c>
      <c r="AY63" s="65">
        <f t="shared" si="28"/>
        <v>65000000000058</v>
      </c>
      <c r="BA63" s="78">
        <f t="shared" si="41"/>
        <v>65000000000059</v>
      </c>
      <c r="BB63" s="81" t="str">
        <f t="shared" si="30"/>
        <v>PERFORM * FROM "SchData-OLTP-Accounting"."Func_TblChartOfAccount_SET"(varSystemLoginSession, null, null, null, null, null, varInstitutionBranchID, 62000000000001::bigint,'1-3101.01', 'Land (IDR)', 62000000000001::bigint, '2016-01-01 00:00:00'::timestamp, null::timestamp, 65000000000058::bigint, 66000000000001::bigint, TRUE::boolean);</v>
      </c>
    </row>
    <row r="64" spans="2:54" x14ac:dyDescent="0.2">
      <c r="B64" s="39"/>
      <c r="C64" s="40"/>
      <c r="D64" s="43"/>
      <c r="E64" s="42"/>
      <c r="F64" s="43"/>
      <c r="G64" s="42"/>
      <c r="H64" s="51" t="s">
        <v>826</v>
      </c>
      <c r="I64" s="18" t="s">
        <v>191</v>
      </c>
      <c r="J64" s="51"/>
      <c r="K64" s="18"/>
      <c r="L64" s="51"/>
      <c r="M64" s="18"/>
      <c r="O64" s="58" t="str">
        <f t="shared" si="9"/>
        <v>1-0000</v>
      </c>
      <c r="P64" s="58" t="str">
        <f t="shared" si="10"/>
        <v>1-3000</v>
      </c>
      <c r="Q64" s="58" t="str">
        <f t="shared" si="11"/>
        <v>1-3100</v>
      </c>
      <c r="R64" s="58" t="str">
        <f t="shared" si="12"/>
        <v>1-3102</v>
      </c>
      <c r="S64" s="58" t="str">
        <f t="shared" si="13"/>
        <v>1-3101.01</v>
      </c>
      <c r="T64" s="58" t="str">
        <f t="shared" si="14"/>
        <v xml:space="preserve"> </v>
      </c>
      <c r="V64" s="72">
        <f t="shared" si="15"/>
        <v>65000000000060</v>
      </c>
      <c r="W64" s="60">
        <f t="shared" si="16"/>
        <v>65000000000001</v>
      </c>
      <c r="X64" s="60">
        <f t="shared" si="17"/>
        <v>65000000000056</v>
      </c>
      <c r="Y64" s="60">
        <f t="shared" si="18"/>
        <v>65000000000057</v>
      </c>
      <c r="Z64" s="60">
        <f t="shared" si="19"/>
        <v>65000000000060</v>
      </c>
      <c r="AA64" s="60">
        <f t="shared" si="1"/>
        <v>65000000000059</v>
      </c>
      <c r="AB64" s="60">
        <f t="shared" si="20"/>
        <v>65000000000000</v>
      </c>
      <c r="AD64" s="60">
        <f t="shared" si="31"/>
        <v>1</v>
      </c>
      <c r="AE64" s="60">
        <f t="shared" si="32"/>
        <v>4</v>
      </c>
      <c r="AF64" s="60">
        <f t="shared" si="33"/>
        <v>2</v>
      </c>
      <c r="AG64" s="60">
        <f t="shared" si="34"/>
        <v>3</v>
      </c>
      <c r="AH64" s="60">
        <f t="shared" si="35"/>
        <v>1</v>
      </c>
      <c r="AI64" s="60">
        <f t="shared" si="36"/>
        <v>1</v>
      </c>
      <c r="AK64" s="68" t="str">
        <f t="shared" si="3"/>
        <v>L4</v>
      </c>
      <c r="AM64" s="64" t="s">
        <v>1755</v>
      </c>
      <c r="AN64" s="64">
        <f t="shared" si="4"/>
        <v>65000000000001</v>
      </c>
      <c r="AO64" s="64">
        <f t="shared" si="5"/>
        <v>65000000000056</v>
      </c>
      <c r="AP64" s="64">
        <f t="shared" si="6"/>
        <v>65000000000057</v>
      </c>
      <c r="AQ64" s="64">
        <f t="shared" si="7"/>
        <v>65000000000058</v>
      </c>
      <c r="AS64" s="64">
        <f t="shared" si="8"/>
        <v>65000000000057</v>
      </c>
      <c r="AU64" s="59" t="str">
        <f t="shared" si="37"/>
        <v>PERFORM * FROM "SchData-OLTP-Accounting"."Func_TblChartOfAccount_SET"(varSystemLoginSession, null, null, null, varInstitutionBranchID, 62000000000001::bigint,'1-3102', 'Building - Improvement', 62000000000001::bigint, '2016-01-01 00:00:00'::timestamp, null::timestamp, 65000000000057::bigint, 66000000000001::bigint);</v>
      </c>
      <c r="AV64" s="65">
        <f t="shared" si="38"/>
        <v>65000000000060</v>
      </c>
      <c r="AW64" s="65">
        <f t="shared" si="39"/>
        <v>65000000000057</v>
      </c>
      <c r="AY64" s="65">
        <f t="shared" si="28"/>
        <v>65000000000057</v>
      </c>
      <c r="BA64" s="78">
        <f t="shared" si="41"/>
        <v>65000000000060</v>
      </c>
      <c r="BB64" s="81" t="str">
        <f t="shared" si="30"/>
        <v>PERFORM * FROM "SchData-OLTP-Accounting"."Func_TblChartOfAccount_SET"(varSystemLoginSession, null, null, null, null, null, varInstitutionBranchID, 62000000000001::bigint,'1-3102', 'Building - Improvement', 62000000000001::bigint, '2016-01-01 00:00:00'::timestamp, null::timestamp, 65000000000057::bigint, 66000000000001::bigint, TRUE::boolean);</v>
      </c>
    </row>
    <row r="65" spans="2:54" x14ac:dyDescent="0.2">
      <c r="B65" s="39"/>
      <c r="C65" s="40"/>
      <c r="D65" s="43"/>
      <c r="E65" s="42"/>
      <c r="F65" s="43"/>
      <c r="G65" s="42"/>
      <c r="H65" s="51"/>
      <c r="I65" s="18"/>
      <c r="J65" s="51" t="s">
        <v>1138</v>
      </c>
      <c r="K65" s="18" t="s">
        <v>1228</v>
      </c>
      <c r="L65" s="51"/>
      <c r="M65" s="18"/>
      <c r="O65" s="58" t="str">
        <f t="shared" si="9"/>
        <v>1-0000</v>
      </c>
      <c r="P65" s="58" t="str">
        <f t="shared" si="10"/>
        <v>1-3000</v>
      </c>
      <c r="Q65" s="58" t="str">
        <f t="shared" si="11"/>
        <v>1-3100</v>
      </c>
      <c r="R65" s="58" t="str">
        <f t="shared" si="12"/>
        <v>1-3102</v>
      </c>
      <c r="S65" s="58" t="str">
        <f t="shared" si="13"/>
        <v>1-3102.01</v>
      </c>
      <c r="T65" s="58" t="str">
        <f t="shared" si="14"/>
        <v xml:space="preserve"> </v>
      </c>
      <c r="V65" s="72">
        <f t="shared" si="15"/>
        <v>65000000000061</v>
      </c>
      <c r="W65" s="60">
        <f t="shared" si="16"/>
        <v>65000000000001</v>
      </c>
      <c r="X65" s="60">
        <f t="shared" si="17"/>
        <v>65000000000056</v>
      </c>
      <c r="Y65" s="60">
        <f t="shared" si="18"/>
        <v>65000000000057</v>
      </c>
      <c r="Z65" s="60">
        <f t="shared" si="19"/>
        <v>65000000000060</v>
      </c>
      <c r="AA65" s="60">
        <f t="shared" si="1"/>
        <v>65000000000061</v>
      </c>
      <c r="AB65" s="60">
        <f t="shared" si="20"/>
        <v>65000000000000</v>
      </c>
      <c r="AD65" s="60">
        <f t="shared" si="31"/>
        <v>1</v>
      </c>
      <c r="AE65" s="60">
        <f t="shared" si="32"/>
        <v>4</v>
      </c>
      <c r="AF65" s="60">
        <f t="shared" si="33"/>
        <v>2</v>
      </c>
      <c r="AG65" s="60">
        <f t="shared" si="34"/>
        <v>3</v>
      </c>
      <c r="AH65" s="60">
        <f t="shared" si="35"/>
        <v>2</v>
      </c>
      <c r="AI65" s="60">
        <f t="shared" si="36"/>
        <v>1</v>
      </c>
      <c r="AK65" s="68" t="str">
        <f t="shared" si="3"/>
        <v>L5</v>
      </c>
      <c r="AM65" s="64" t="s">
        <v>1755</v>
      </c>
      <c r="AN65" s="64">
        <f t="shared" si="4"/>
        <v>65000000000001</v>
      </c>
      <c r="AO65" s="64">
        <f t="shared" si="5"/>
        <v>65000000000056</v>
      </c>
      <c r="AP65" s="64">
        <f t="shared" si="6"/>
        <v>65000000000057</v>
      </c>
      <c r="AQ65" s="64">
        <f t="shared" si="7"/>
        <v>65000000000060</v>
      </c>
      <c r="AS65" s="64">
        <f t="shared" si="8"/>
        <v>65000000000060</v>
      </c>
      <c r="AU65" s="59" t="str">
        <f t="shared" si="37"/>
        <v>PERFORM * FROM "SchData-OLTP-Accounting"."Func_TblChartOfAccount_SET"(varSystemLoginSession, null, null, null, varInstitutionBranchID, 62000000000001::bigint,'1-3102.01', 'Building - Improvement (IDR)', 62000000000001::bigint, '2016-01-01 00:00:00'::timestamp, null::timestamp, 65000000000060::bigint, 66000000000001::bigint);</v>
      </c>
      <c r="AV65" s="65">
        <f t="shared" si="38"/>
        <v>65000000000061</v>
      </c>
      <c r="AW65" s="65">
        <f t="shared" si="39"/>
        <v>65000000000060</v>
      </c>
      <c r="AY65" s="65">
        <f t="shared" si="28"/>
        <v>65000000000060</v>
      </c>
      <c r="BA65" s="78">
        <f t="shared" si="41"/>
        <v>65000000000061</v>
      </c>
      <c r="BB65" s="81" t="str">
        <f t="shared" si="30"/>
        <v>PERFORM * FROM "SchData-OLTP-Accounting"."Func_TblChartOfAccount_SET"(varSystemLoginSession, null, null, null, null, null, varInstitutionBranchID, 62000000000001::bigint,'1-3102.01', 'Building - Improvement (IDR)', 62000000000001::bigint, '2016-01-01 00:00:00'::timestamp, null::timestamp, 65000000000060::bigint, 66000000000001::bigint, TRUE::boolean);</v>
      </c>
    </row>
    <row r="66" spans="2:54" x14ac:dyDescent="0.2">
      <c r="B66" s="39"/>
      <c r="C66" s="40"/>
      <c r="D66" s="43"/>
      <c r="E66" s="42"/>
      <c r="F66" s="43"/>
      <c r="G66" s="42"/>
      <c r="H66" s="51" t="s">
        <v>827</v>
      </c>
      <c r="I66" s="18" t="s">
        <v>193</v>
      </c>
      <c r="J66" s="51"/>
      <c r="K66" s="18"/>
      <c r="L66" s="51"/>
      <c r="M66" s="18"/>
      <c r="O66" s="58" t="str">
        <f t="shared" si="9"/>
        <v>1-0000</v>
      </c>
      <c r="P66" s="58" t="str">
        <f t="shared" si="10"/>
        <v>1-3000</v>
      </c>
      <c r="Q66" s="58" t="str">
        <f t="shared" si="11"/>
        <v>1-3100</v>
      </c>
      <c r="R66" s="58" t="str">
        <f t="shared" si="12"/>
        <v>1-3103</v>
      </c>
      <c r="S66" s="58" t="str">
        <f t="shared" si="13"/>
        <v>1-3102.01</v>
      </c>
      <c r="T66" s="58" t="str">
        <f t="shared" si="14"/>
        <v xml:space="preserve"> </v>
      </c>
      <c r="V66" s="72">
        <f t="shared" si="15"/>
        <v>65000000000062</v>
      </c>
      <c r="W66" s="60">
        <f t="shared" si="16"/>
        <v>65000000000001</v>
      </c>
      <c r="X66" s="60">
        <f t="shared" si="17"/>
        <v>65000000000056</v>
      </c>
      <c r="Y66" s="60">
        <f t="shared" si="18"/>
        <v>65000000000057</v>
      </c>
      <c r="Z66" s="60">
        <f t="shared" si="19"/>
        <v>65000000000062</v>
      </c>
      <c r="AA66" s="60">
        <f t="shared" si="1"/>
        <v>65000000000061</v>
      </c>
      <c r="AB66" s="60">
        <f t="shared" si="20"/>
        <v>65000000000000</v>
      </c>
      <c r="AD66" s="60">
        <f t="shared" si="31"/>
        <v>1</v>
      </c>
      <c r="AE66" s="60">
        <f t="shared" si="32"/>
        <v>4</v>
      </c>
      <c r="AF66" s="60">
        <f t="shared" si="33"/>
        <v>2</v>
      </c>
      <c r="AG66" s="60">
        <f t="shared" si="34"/>
        <v>4</v>
      </c>
      <c r="AH66" s="60">
        <f t="shared" si="35"/>
        <v>1</v>
      </c>
      <c r="AI66" s="60">
        <f t="shared" si="36"/>
        <v>1</v>
      </c>
      <c r="AK66" s="68" t="str">
        <f t="shared" si="3"/>
        <v>L4</v>
      </c>
      <c r="AM66" s="64" t="s">
        <v>1755</v>
      </c>
      <c r="AN66" s="64">
        <f t="shared" si="4"/>
        <v>65000000000001</v>
      </c>
      <c r="AO66" s="64">
        <f t="shared" si="5"/>
        <v>65000000000056</v>
      </c>
      <c r="AP66" s="64">
        <f t="shared" si="6"/>
        <v>65000000000057</v>
      </c>
      <c r="AQ66" s="64">
        <f t="shared" si="7"/>
        <v>65000000000060</v>
      </c>
      <c r="AS66" s="64">
        <f t="shared" si="8"/>
        <v>65000000000057</v>
      </c>
      <c r="AU66" s="59" t="str">
        <f t="shared" si="37"/>
        <v>PERFORM * FROM "SchData-OLTP-Accounting"."Func_TblChartOfAccount_SET"(varSystemLoginSession, null, null, null, varInstitutionBranchID, 62000000000001::bigint,'1-3103', 'Building - Office', 62000000000001::bigint, '2016-01-01 00:00:00'::timestamp, null::timestamp, 65000000000057::bigint, 66000000000001::bigint);</v>
      </c>
      <c r="AV66" s="65">
        <f t="shared" si="38"/>
        <v>65000000000062</v>
      </c>
      <c r="AW66" s="65">
        <f t="shared" si="39"/>
        <v>65000000000057</v>
      </c>
      <c r="AY66" s="65">
        <f t="shared" si="28"/>
        <v>65000000000057</v>
      </c>
      <c r="BA66" s="78">
        <f t="shared" si="41"/>
        <v>65000000000062</v>
      </c>
      <c r="BB66" s="81" t="str">
        <f t="shared" si="30"/>
        <v>PERFORM * FROM "SchData-OLTP-Accounting"."Func_TblChartOfAccount_SET"(varSystemLoginSession, null, null, null, null, null, varInstitutionBranchID, 62000000000001::bigint,'1-3103', 'Building - Office', 62000000000001::bigint, '2016-01-01 00:00:00'::timestamp, null::timestamp, 65000000000057::bigint, 66000000000001::bigint, TRUE::boolean);</v>
      </c>
    </row>
    <row r="67" spans="2:54" x14ac:dyDescent="0.2">
      <c r="B67" s="39"/>
      <c r="C67" s="40"/>
      <c r="D67" s="43"/>
      <c r="E67" s="42"/>
      <c r="F67" s="43"/>
      <c r="G67" s="42"/>
      <c r="H67" s="51"/>
      <c r="I67" s="18"/>
      <c r="J67" s="51" t="s">
        <v>1139</v>
      </c>
      <c r="K67" s="18" t="s">
        <v>1229</v>
      </c>
      <c r="L67" s="51"/>
      <c r="M67" s="18"/>
      <c r="O67" s="58" t="str">
        <f t="shared" si="9"/>
        <v>1-0000</v>
      </c>
      <c r="P67" s="58" t="str">
        <f t="shared" si="10"/>
        <v>1-3000</v>
      </c>
      <c r="Q67" s="58" t="str">
        <f t="shared" si="11"/>
        <v>1-3100</v>
      </c>
      <c r="R67" s="58" t="str">
        <f t="shared" si="12"/>
        <v>1-3103</v>
      </c>
      <c r="S67" s="58" t="str">
        <f t="shared" si="13"/>
        <v>1-3103.01</v>
      </c>
      <c r="T67" s="58" t="str">
        <f t="shared" si="14"/>
        <v xml:space="preserve"> </v>
      </c>
      <c r="V67" s="72">
        <f t="shared" si="15"/>
        <v>65000000000063</v>
      </c>
      <c r="W67" s="60">
        <f t="shared" si="16"/>
        <v>65000000000001</v>
      </c>
      <c r="X67" s="60">
        <f t="shared" si="17"/>
        <v>65000000000056</v>
      </c>
      <c r="Y67" s="60">
        <f t="shared" si="18"/>
        <v>65000000000057</v>
      </c>
      <c r="Z67" s="60">
        <f t="shared" si="19"/>
        <v>65000000000062</v>
      </c>
      <c r="AA67" s="60">
        <f t="shared" si="1"/>
        <v>65000000000063</v>
      </c>
      <c r="AB67" s="60">
        <f t="shared" si="20"/>
        <v>65000000000000</v>
      </c>
      <c r="AD67" s="60">
        <f t="shared" si="31"/>
        <v>1</v>
      </c>
      <c r="AE67" s="60">
        <f t="shared" si="32"/>
        <v>4</v>
      </c>
      <c r="AF67" s="60">
        <f t="shared" si="33"/>
        <v>2</v>
      </c>
      <c r="AG67" s="60">
        <f t="shared" si="34"/>
        <v>4</v>
      </c>
      <c r="AH67" s="60">
        <f t="shared" si="35"/>
        <v>2</v>
      </c>
      <c r="AI67" s="60">
        <f t="shared" si="36"/>
        <v>1</v>
      </c>
      <c r="AK67" s="68" t="str">
        <f t="shared" si="3"/>
        <v>L5</v>
      </c>
      <c r="AM67" s="64" t="s">
        <v>1755</v>
      </c>
      <c r="AN67" s="64">
        <f t="shared" si="4"/>
        <v>65000000000001</v>
      </c>
      <c r="AO67" s="64">
        <f t="shared" si="5"/>
        <v>65000000000056</v>
      </c>
      <c r="AP67" s="64">
        <f t="shared" si="6"/>
        <v>65000000000057</v>
      </c>
      <c r="AQ67" s="64">
        <f t="shared" si="7"/>
        <v>65000000000062</v>
      </c>
      <c r="AS67" s="64">
        <f t="shared" si="8"/>
        <v>65000000000062</v>
      </c>
      <c r="AU67" s="59" t="str">
        <f t="shared" si="37"/>
        <v>PERFORM * FROM "SchData-OLTP-Accounting"."Func_TblChartOfAccount_SET"(varSystemLoginSession, null, null, null, varInstitutionBranchID, 62000000000001::bigint,'1-3103.01', 'Building - Office (IDR)', 62000000000001::bigint, '2016-01-01 00:00:00'::timestamp, null::timestamp, 65000000000062::bigint, 66000000000001::bigint);</v>
      </c>
      <c r="AV67" s="65">
        <f t="shared" si="38"/>
        <v>65000000000063</v>
      </c>
      <c r="AW67" s="65">
        <f t="shared" si="39"/>
        <v>65000000000062</v>
      </c>
      <c r="AY67" s="65">
        <f t="shared" si="28"/>
        <v>65000000000062</v>
      </c>
      <c r="BA67" s="78">
        <f t="shared" si="41"/>
        <v>65000000000063</v>
      </c>
      <c r="BB67" s="81" t="str">
        <f t="shared" si="30"/>
        <v>PERFORM * FROM "SchData-OLTP-Accounting"."Func_TblChartOfAccount_SET"(varSystemLoginSession, null, null, null, null, null, varInstitutionBranchID, 62000000000001::bigint,'1-3103.01', 'Building - Office (IDR)', 62000000000001::bigint, '2016-01-01 00:00:00'::timestamp, null::timestamp, 65000000000062::bigint, 66000000000001::bigint, TRUE::boolean);</v>
      </c>
    </row>
    <row r="68" spans="2:54" x14ac:dyDescent="0.2">
      <c r="B68" s="39"/>
      <c r="C68" s="40"/>
      <c r="D68" s="43"/>
      <c r="E68" s="42"/>
      <c r="F68" s="43"/>
      <c r="G68" s="42"/>
      <c r="H68" s="51" t="s">
        <v>828</v>
      </c>
      <c r="I68" s="18" t="s">
        <v>195</v>
      </c>
      <c r="J68" s="51"/>
      <c r="K68" s="18"/>
      <c r="L68" s="51"/>
      <c r="M68" s="18"/>
      <c r="O68" s="58" t="str">
        <f t="shared" si="9"/>
        <v>1-0000</v>
      </c>
      <c r="P68" s="58" t="str">
        <f t="shared" si="10"/>
        <v>1-3000</v>
      </c>
      <c r="Q68" s="58" t="str">
        <f t="shared" si="11"/>
        <v>1-3100</v>
      </c>
      <c r="R68" s="58" t="str">
        <f t="shared" si="12"/>
        <v>1-3104</v>
      </c>
      <c r="S68" s="58" t="str">
        <f t="shared" si="13"/>
        <v>1-3103.01</v>
      </c>
      <c r="T68" s="58" t="str">
        <f t="shared" si="14"/>
        <v xml:space="preserve"> </v>
      </c>
      <c r="V68" s="72">
        <f t="shared" si="15"/>
        <v>65000000000064</v>
      </c>
      <c r="W68" s="60">
        <f t="shared" si="16"/>
        <v>65000000000001</v>
      </c>
      <c r="X68" s="60">
        <f t="shared" si="17"/>
        <v>65000000000056</v>
      </c>
      <c r="Y68" s="60">
        <f t="shared" si="18"/>
        <v>65000000000057</v>
      </c>
      <c r="Z68" s="60">
        <f t="shared" si="19"/>
        <v>65000000000064</v>
      </c>
      <c r="AA68" s="60">
        <f t="shared" si="1"/>
        <v>65000000000063</v>
      </c>
      <c r="AB68" s="60">
        <f t="shared" si="20"/>
        <v>65000000000000</v>
      </c>
      <c r="AD68" s="60">
        <f t="shared" si="31"/>
        <v>1</v>
      </c>
      <c r="AE68" s="60">
        <f t="shared" si="32"/>
        <v>4</v>
      </c>
      <c r="AF68" s="60">
        <f t="shared" si="33"/>
        <v>2</v>
      </c>
      <c r="AG68" s="60">
        <f t="shared" si="34"/>
        <v>5</v>
      </c>
      <c r="AH68" s="60">
        <f t="shared" si="35"/>
        <v>1</v>
      </c>
      <c r="AI68" s="60">
        <f t="shared" si="36"/>
        <v>1</v>
      </c>
      <c r="AK68" s="68" t="str">
        <f t="shared" si="3"/>
        <v>L4</v>
      </c>
      <c r="AM68" s="64" t="s">
        <v>1755</v>
      </c>
      <c r="AN68" s="64">
        <f t="shared" si="4"/>
        <v>65000000000001</v>
      </c>
      <c r="AO68" s="64">
        <f t="shared" si="5"/>
        <v>65000000000056</v>
      </c>
      <c r="AP68" s="64">
        <f t="shared" si="6"/>
        <v>65000000000057</v>
      </c>
      <c r="AQ68" s="64">
        <f t="shared" si="7"/>
        <v>65000000000062</v>
      </c>
      <c r="AS68" s="64">
        <f t="shared" si="8"/>
        <v>65000000000057</v>
      </c>
      <c r="AU68" s="59" t="str">
        <f t="shared" si="37"/>
        <v>PERFORM * FROM "SchData-OLTP-Accounting"."Func_TblChartOfAccount_SET"(varSystemLoginSession, null, null, null, varInstitutionBranchID, 62000000000001::bigint,'1-3104', 'Info Tech Equipment', 62000000000001::bigint, '2016-01-01 00:00:00'::timestamp, null::timestamp, 65000000000057::bigint, 66000000000001::bigint);</v>
      </c>
      <c r="AV68" s="65">
        <f t="shared" si="38"/>
        <v>65000000000064</v>
      </c>
      <c r="AW68" s="65">
        <f t="shared" si="39"/>
        <v>65000000000057</v>
      </c>
      <c r="AY68" s="65">
        <f t="shared" si="28"/>
        <v>65000000000057</v>
      </c>
      <c r="BA68" s="78">
        <f t="shared" si="41"/>
        <v>65000000000064</v>
      </c>
      <c r="BB68" s="81" t="str">
        <f t="shared" si="30"/>
        <v>PERFORM * FROM "SchData-OLTP-Accounting"."Func_TblChartOfAccount_SET"(varSystemLoginSession, null, null, null, null, null, varInstitutionBranchID, 62000000000001::bigint,'1-3104', 'Info Tech Equipment', 62000000000001::bigint, '2016-01-01 00:00:00'::timestamp, null::timestamp, 65000000000057::bigint, 66000000000001::bigint, TRUE::boolean);</v>
      </c>
    </row>
    <row r="69" spans="2:54" x14ac:dyDescent="0.2">
      <c r="B69" s="39"/>
      <c r="C69" s="40"/>
      <c r="D69" s="43"/>
      <c r="E69" s="42"/>
      <c r="F69" s="43"/>
      <c r="G69" s="42"/>
      <c r="H69" s="51"/>
      <c r="I69" s="18"/>
      <c r="J69" s="51" t="s">
        <v>1140</v>
      </c>
      <c r="K69" s="18" t="s">
        <v>1230</v>
      </c>
      <c r="L69" s="51"/>
      <c r="M69" s="18"/>
      <c r="O69" s="58" t="str">
        <f t="shared" si="9"/>
        <v>1-0000</v>
      </c>
      <c r="P69" s="58" t="str">
        <f t="shared" si="10"/>
        <v>1-3000</v>
      </c>
      <c r="Q69" s="58" t="str">
        <f t="shared" si="11"/>
        <v>1-3100</v>
      </c>
      <c r="R69" s="58" t="str">
        <f t="shared" si="12"/>
        <v>1-3104</v>
      </c>
      <c r="S69" s="58" t="str">
        <f t="shared" si="13"/>
        <v>1-3104.01</v>
      </c>
      <c r="T69" s="58" t="str">
        <f t="shared" si="14"/>
        <v xml:space="preserve"> </v>
      </c>
      <c r="V69" s="72">
        <f t="shared" si="15"/>
        <v>65000000000065</v>
      </c>
      <c r="W69" s="60">
        <f t="shared" si="16"/>
        <v>65000000000001</v>
      </c>
      <c r="X69" s="60">
        <f t="shared" si="17"/>
        <v>65000000000056</v>
      </c>
      <c r="Y69" s="60">
        <f t="shared" si="18"/>
        <v>65000000000057</v>
      </c>
      <c r="Z69" s="60">
        <f t="shared" si="19"/>
        <v>65000000000064</v>
      </c>
      <c r="AA69" s="60">
        <f t="shared" ref="AA69:AA132" si="42">IF(EXACT($J69, ""), $AA68, $V69)</f>
        <v>65000000000065</v>
      </c>
      <c r="AB69" s="60">
        <f t="shared" si="20"/>
        <v>65000000000000</v>
      </c>
      <c r="AD69" s="60">
        <f t="shared" si="31"/>
        <v>1</v>
      </c>
      <c r="AE69" s="60">
        <f t="shared" si="32"/>
        <v>4</v>
      </c>
      <c r="AF69" s="60">
        <f t="shared" si="33"/>
        <v>2</v>
      </c>
      <c r="AG69" s="60">
        <f t="shared" si="34"/>
        <v>5</v>
      </c>
      <c r="AH69" s="60">
        <f t="shared" si="35"/>
        <v>2</v>
      </c>
      <c r="AI69" s="60">
        <f t="shared" si="36"/>
        <v>1</v>
      </c>
      <c r="AK69" s="68" t="str">
        <f t="shared" ref="AK69:AK132" si="43" xml:space="preserve">
IF(AA69&lt;&gt;AA68,
     "L5",
     IF(Z69&lt;&gt;Z68,
          "L4",
          IF(Y69&lt;&gt;Y68,
               "L3",
               IF(X69&lt;&gt;X68,
                    "L2",
                     IF(W69&lt;&gt;W68,
                         "L1",
                         "L1"
                         )
                    )
               )
          )
     )</f>
        <v>L5</v>
      </c>
      <c r="AM69" s="64" t="s">
        <v>1755</v>
      </c>
      <c r="AN69" s="64">
        <f t="shared" ref="AN69:AN132" si="44">IF(EXACT($AK68, "L1"), $W68, AN68)</f>
        <v>65000000000001</v>
      </c>
      <c r="AO69" s="64">
        <f t="shared" ref="AO69:AO132" si="45">IF(EXACT($AK68, "L1"), $W68, IF(EXACT($AK68, "L2"), $X68, AO68))</f>
        <v>65000000000056</v>
      </c>
      <c r="AP69" s="64">
        <f t="shared" ref="AP69:AP132" si="46">IF(EXACT($AK68, "L1"), $W68, IF(EXACT($AK68, "L2"), $X68, IF(EXACT($AK68, "L3"), $Y68, AP68)))</f>
        <v>65000000000057</v>
      </c>
      <c r="AQ69" s="64">
        <f t="shared" ref="AQ69:AQ132" si="47">IF(EXACT($AK68, "L1"), $W68, IF(EXACT($AK68, "L2"), $X68, IF(EXACT($AK68, "L3"), $Y68, IF(EXACT($AK68, "L4"), $Z68, AQ68))))</f>
        <v>65000000000064</v>
      </c>
      <c r="AS69" s="64">
        <f t="shared" ref="AS69:AS132" si="48">IF(EXACT($AK69, "L1"), AM69, IF(EXACT($AK69, "L2"), AN69, IF(EXACT($AK69, "L3"), AO69, IF(EXACT($AK69, "L4"), AP69, IF(EXACT($AK69, "L5"), AQ69, "")))))</f>
        <v>65000000000064</v>
      </c>
      <c r="AU69" s="59" t="str">
        <f t="shared" si="37"/>
        <v>PERFORM * FROM "SchData-OLTP-Accounting"."Func_TblChartOfAccount_SET"(varSystemLoginSession, null, null, null, varInstitutionBranchID, 62000000000001::bigint,'1-3104.01', 'Info Tech Equipment (IDR)', 62000000000001::bigint, '2016-01-01 00:00:00'::timestamp, null::timestamp, 65000000000064::bigint, 66000000000001::bigint);</v>
      </c>
      <c r="AV69" s="65">
        <f t="shared" si="38"/>
        <v>65000000000065</v>
      </c>
      <c r="AW69" s="65">
        <f t="shared" si="39"/>
        <v>65000000000064</v>
      </c>
      <c r="AY69" s="65">
        <f t="shared" si="28"/>
        <v>65000000000064</v>
      </c>
      <c r="BA69" s="78">
        <f t="shared" si="41"/>
        <v>65000000000065</v>
      </c>
      <c r="BB69" s="81" t="str">
        <f t="shared" si="30"/>
        <v>PERFORM * FROM "SchData-OLTP-Accounting"."Func_TblChartOfAccount_SET"(varSystemLoginSession, null, null, null, null, null, varInstitutionBranchID, 62000000000001::bigint,'1-3104.01', 'Info Tech Equipment (IDR)', 62000000000001::bigint, '2016-01-01 00:00:00'::timestamp, null::timestamp, 65000000000064::bigint, 66000000000001::bigint, TRUE::boolean);</v>
      </c>
    </row>
    <row r="70" spans="2:54" x14ac:dyDescent="0.2">
      <c r="B70" s="39"/>
      <c r="C70" s="40"/>
      <c r="D70" s="43"/>
      <c r="E70" s="42"/>
      <c r="F70" s="43"/>
      <c r="G70" s="42"/>
      <c r="H70" s="51" t="s">
        <v>829</v>
      </c>
      <c r="I70" s="18" t="s">
        <v>197</v>
      </c>
      <c r="J70" s="51"/>
      <c r="K70" s="18"/>
      <c r="L70" s="51"/>
      <c r="M70" s="18"/>
      <c r="O70" s="58" t="str">
        <f t="shared" ref="O70:O133" si="49">IF(EXACT($B70, ""), $O69, $B70)</f>
        <v>1-0000</v>
      </c>
      <c r="P70" s="58" t="str">
        <f t="shared" ref="P70:P133" si="50">IF(EXACT($D70, ""), $P69, $D70)</f>
        <v>1-3000</v>
      </c>
      <c r="Q70" s="58" t="str">
        <f t="shared" ref="Q70:Q133" si="51">IF(EXACT($F70, ""), $Q69, $F70)</f>
        <v>1-3100</v>
      </c>
      <c r="R70" s="58" t="str">
        <f t="shared" ref="R70:R133" si="52">IF(EXACT($H70, ""), $R69, $H70)</f>
        <v>1-3105</v>
      </c>
      <c r="S70" s="58" t="str">
        <f t="shared" ref="S70:S133" si="53">IF(EXACT($J70, ""), $S69, $J70)</f>
        <v>1-3104.01</v>
      </c>
      <c r="T70" s="58" t="str">
        <f t="shared" ref="T70:T133" si="54">IF(EXACT($L70, ""), $T69, $L70)</f>
        <v xml:space="preserve"> </v>
      </c>
      <c r="V70" s="72">
        <f t="shared" ref="V70:V133" si="55">V69+IF(AND(EXACT(B70, ""), EXACT(D70, ""), EXACT(F70, ""), EXACT(H70, ""), EXACT(J70, ""), EXACT(L70, "")), 0, 1)</f>
        <v>65000000000066</v>
      </c>
      <c r="W70" s="60">
        <f t="shared" ref="W70:W133" si="56">IF(EXACT($B70, ""), $W69, $V70)</f>
        <v>65000000000001</v>
      </c>
      <c r="X70" s="60">
        <f t="shared" ref="X70:X133" si="57">IF(EXACT($D70, ""), $X69, $V70)</f>
        <v>65000000000056</v>
      </c>
      <c r="Y70" s="60">
        <f t="shared" ref="Y70:Y133" si="58">IF(EXACT($F70, ""), $Y69, $V70)</f>
        <v>65000000000057</v>
      </c>
      <c r="Z70" s="60">
        <f t="shared" ref="Z70:Z133" si="59">IF(EXACT($H70, ""), $Z69, $V70)</f>
        <v>65000000000066</v>
      </c>
      <c r="AA70" s="60">
        <f t="shared" si="42"/>
        <v>65000000000065</v>
      </c>
      <c r="AB70" s="60">
        <f t="shared" ref="AB70:AB133" si="60">IF(EXACT($L70, ""), $AB69, $V70)</f>
        <v>65000000000000</v>
      </c>
      <c r="AD70" s="60">
        <f t="shared" si="31"/>
        <v>1</v>
      </c>
      <c r="AE70" s="60">
        <f t="shared" si="32"/>
        <v>4</v>
      </c>
      <c r="AF70" s="60">
        <f t="shared" si="33"/>
        <v>2</v>
      </c>
      <c r="AG70" s="60">
        <f t="shared" si="34"/>
        <v>6</v>
      </c>
      <c r="AH70" s="60">
        <f t="shared" si="35"/>
        <v>1</v>
      </c>
      <c r="AI70" s="60">
        <f t="shared" si="36"/>
        <v>1</v>
      </c>
      <c r="AK70" s="68" t="str">
        <f t="shared" si="43"/>
        <v>L4</v>
      </c>
      <c r="AM70" s="64" t="s">
        <v>1755</v>
      </c>
      <c r="AN70" s="64">
        <f t="shared" si="44"/>
        <v>65000000000001</v>
      </c>
      <c r="AO70" s="64">
        <f t="shared" si="45"/>
        <v>65000000000056</v>
      </c>
      <c r="AP70" s="64">
        <f t="shared" si="46"/>
        <v>65000000000057</v>
      </c>
      <c r="AQ70" s="64">
        <f t="shared" si="47"/>
        <v>65000000000064</v>
      </c>
      <c r="AS70" s="64">
        <f t="shared" si="48"/>
        <v>65000000000057</v>
      </c>
      <c r="AU70" s="59" t="str">
        <f t="shared" si="37"/>
        <v>PERFORM * FROM "SchData-OLTP-Accounting"."Func_TblChartOfAccount_SET"(varSystemLoginSession, null, null, null, varInstitutionBranchID, 62000000000001::bigint,'1-3105', 'Office Machine &amp; Equipment', 62000000000001::bigint, '2016-01-01 00:00:00'::timestamp, null::timestamp, 65000000000057::bigint, 66000000000001::bigint);</v>
      </c>
      <c r="AV70" s="65">
        <f t="shared" si="38"/>
        <v>65000000000066</v>
      </c>
      <c r="AW70" s="65">
        <f t="shared" si="39"/>
        <v>65000000000057</v>
      </c>
      <c r="AY70" s="65">
        <f t="shared" ref="AY70:AY133" si="61">IF(AND(EXACT($B70, ""), EXACT($D70, ""), EXACT($F70, ""), EXACT($H70, ""), EXACT($J70, ""), EXACT($L70, "")), "",
IF(NOT(EXACT($B70, "")), "null",
IF(NOT(EXACT($D70, "")), IF($W69&lt;&gt;$W68, $W69, $W70),
IF(NOT(EXACT($F70, "")), IF($X69&lt;&gt;$X68, $X69, IF($W69&lt;&gt;$W68, $W69, $X70)),
IF(NOT(EXACT($H70, "")), IF($Y69&lt;&gt;$Y68, $Y69, IF($X69&lt;&gt;$X68, $X69, IF($W69&lt;&gt;$W68, $W69, $Y70))),
IF(NOT(EXACT($J70, "")), IF($Z69&lt;&gt;$Z68, $Z69, IF($Y69&lt;&gt;$Y68, $Y69, IF($X69&lt;&gt;$X68, $X69, IF($W69&lt;&gt;$W68, $W69, $Z70)))),
IF(NOT(EXACT($L70, "")), IF($AA69&lt;&gt;$AA68, $AA69, IF($Z69&lt;&gt;$Z68, $Z69, IF($Y69&lt;&gt;$Y68, $Y69, IF($X69&lt;&gt;$X68, $X69, IF($W69&lt;&gt;$W68, $W69, $AA70))))),
"others")))))))</f>
        <v>65000000000057</v>
      </c>
      <c r="BA70" s="78">
        <f t="shared" si="41"/>
        <v>65000000000066</v>
      </c>
      <c r="BB70" s="81" t="str">
        <f t="shared" ref="BB70:BB133" si="62">IF(AND(EXACT($B70, ""), EXACT($D70, ""), EXACT($F70, ""), EXACT($H70, ""), EXACT($J70, ""), EXACT($L70, "")), "", CONCATENATE(
"PERFORM * FROM ""SchData-OLTP-Accounting"".""Func_TblChartOfAccount_SET""(varSystemLoginSession, null, null, null, null, null, varInstitutionBranchID, 62000000000001::bigint,'",
IF(EXACT($B70, ""), IF(EXACT($D70, ""), IF(EXACT($F70, ""), IF(EXACT($H70, ""), IF(EXACT($J70, ""), IF(EXACT($L70, ""), "", $L70), $J70), $H70), $F70), $D70), $B70),
"', '",
IF(EXACT($B70, ""), IF(EXACT($D70, ""), IF(EXACT($F70, ""), IF(EXACT($H70, ""), IF(EXACT($J70, ""), IF(EXACT($L70, ""), "", $M70), $K70), $I70), $G70), $E70), $C70),
"', ",
IF(EXACT($J70, ""), "62000000000001::bigint", IF((RIGHT($J70, 2)*1 = 1), "62000000000001::bigint", IF((RIGHT($J70, 2)*1 = 2), "62000000000002::bigint", "null"))),
", '2016-01-01 00:00:00'::timestamp, null::timestamp, ", $AW70, "::bigint, 66000000000001::bigint, ", IF(EXACT(LEFT(IF(EXACT($B70, ""), IF(EXACT($D70, ""), IF(EXACT($F70, ""), IF(EXACT($H70, ""), IF(EXACT($J70, ""), IF(EXACT($L70, ""), "", $L70), $J70), $H70), $F70), $D70), $B70), 1), "1"), "TRUE", "FALSE"), "::boolean);"))</f>
        <v>PERFORM * FROM "SchData-OLTP-Accounting"."Func_TblChartOfAccount_SET"(varSystemLoginSession, null, null, null, null, null, varInstitutionBranchID, 62000000000001::bigint,'1-3105', 'Office Machine &amp; Equipment', 62000000000001::bigint, '2016-01-01 00:00:00'::timestamp, null::timestamp, 65000000000057::bigint, 66000000000001::bigint, TRUE::boolean);</v>
      </c>
    </row>
    <row r="71" spans="2:54" x14ac:dyDescent="0.2">
      <c r="B71" s="39"/>
      <c r="C71" s="40"/>
      <c r="D71" s="43"/>
      <c r="E71" s="42"/>
      <c r="F71" s="43"/>
      <c r="G71" s="42"/>
      <c r="H71" s="51"/>
      <c r="I71" s="18"/>
      <c r="J71" s="51" t="s">
        <v>1141</v>
      </c>
      <c r="K71" s="18" t="s">
        <v>1231</v>
      </c>
      <c r="L71" s="51"/>
      <c r="M71" s="18"/>
      <c r="O71" s="58" t="str">
        <f t="shared" si="49"/>
        <v>1-0000</v>
      </c>
      <c r="P71" s="58" t="str">
        <f t="shared" si="50"/>
        <v>1-3000</v>
      </c>
      <c r="Q71" s="58" t="str">
        <f t="shared" si="51"/>
        <v>1-3100</v>
      </c>
      <c r="R71" s="58" t="str">
        <f t="shared" si="52"/>
        <v>1-3105</v>
      </c>
      <c r="S71" s="58" t="str">
        <f t="shared" si="53"/>
        <v>1-3105.01</v>
      </c>
      <c r="T71" s="58" t="str">
        <f t="shared" si="54"/>
        <v xml:space="preserve"> </v>
      </c>
      <c r="V71" s="72">
        <f t="shared" si="55"/>
        <v>65000000000067</v>
      </c>
      <c r="W71" s="60">
        <f t="shared" si="56"/>
        <v>65000000000001</v>
      </c>
      <c r="X71" s="60">
        <f t="shared" si="57"/>
        <v>65000000000056</v>
      </c>
      <c r="Y71" s="60">
        <f t="shared" si="58"/>
        <v>65000000000057</v>
      </c>
      <c r="Z71" s="60">
        <f t="shared" si="59"/>
        <v>65000000000066</v>
      </c>
      <c r="AA71" s="60">
        <f t="shared" si="42"/>
        <v>65000000000067</v>
      </c>
      <c r="AB71" s="60">
        <f t="shared" si="60"/>
        <v>65000000000000</v>
      </c>
      <c r="AD71" s="60">
        <f t="shared" ref="AD71:AD134" si="63">AD70 + IF(W71&lt;&gt;W70, 1, 0)</f>
        <v>1</v>
      </c>
      <c r="AE71" s="60">
        <f t="shared" ref="AE71:AE134" si="64">IF(AD70&lt;&gt;AD71, 1, AE70) + IF(X71&lt;&gt;X70, 1, 0)</f>
        <v>4</v>
      </c>
      <c r="AF71" s="60">
        <f t="shared" ref="AF71:AF134" si="65">IF(AE70&lt;&gt;AE71, 1, AF70) + IF(Y71&lt;&gt;Y70, 1, 0)</f>
        <v>2</v>
      </c>
      <c r="AG71" s="60">
        <f t="shared" ref="AG71:AG134" si="66">IF(AF70&lt;&gt;AF71, 1, AG70) + IF(Z71&lt;&gt;Z70, 1, 0)</f>
        <v>6</v>
      </c>
      <c r="AH71" s="60">
        <f t="shared" ref="AH71:AH134" si="67">IF(AG70&lt;&gt;AG71, 1, AH70) + IF(AA71&lt;&gt;AA70, 1, 0)</f>
        <v>2</v>
      </c>
      <c r="AI71" s="60">
        <f t="shared" ref="AI71:AI134" si="68">IF(AH70&lt;&gt;AH71, 1, AI70) + IF(AB71&lt;&gt;AB70, 1, 0)</f>
        <v>1</v>
      </c>
      <c r="AK71" s="68" t="str">
        <f t="shared" si="43"/>
        <v>L5</v>
      </c>
      <c r="AM71" s="64" t="s">
        <v>1755</v>
      </c>
      <c r="AN71" s="64">
        <f t="shared" si="44"/>
        <v>65000000000001</v>
      </c>
      <c r="AO71" s="64">
        <f t="shared" si="45"/>
        <v>65000000000056</v>
      </c>
      <c r="AP71" s="64">
        <f t="shared" si="46"/>
        <v>65000000000057</v>
      </c>
      <c r="AQ71" s="64">
        <f t="shared" si="47"/>
        <v>65000000000066</v>
      </c>
      <c r="AS71" s="64">
        <f t="shared" si="48"/>
        <v>65000000000066</v>
      </c>
      <c r="AU71" s="59" t="str">
        <f t="shared" ref="AU71:AU134" si="69">IF(AND(EXACT(B71, ""), EXACT(D71, ""), EXACT(F71, ""), EXACT(H71, ""), EXACT(J71, ""), EXACT(L71, "")), "", CONCATENATE(
"PERFORM * FROM ""SchData-OLTP-Accounting"".""Func_TblChartOfAccount_SET""(varSystemLoginSession, null, null, null, varInstitutionBranchID, 62000000000001::bigint,'",
IF(EXACT(B71, ""), IF(EXACT(D71, ""), IF(EXACT(F71, ""), IF(EXACT(H71, ""), IF(EXACT(J71, ""), IF(EXACT(L71, ""), "", L71), J71), H71), F71), D71), B71),
"', '",
IF(EXACT(B71, ""), IF(EXACT(D71, ""), IF(EXACT(F71, ""), IF(EXACT(H71, ""), IF(EXACT(J71, ""), IF(EXACT(L71, ""), "", M71), K71), I71), G71), E71), C71),
"', ",
IF(EXACT(J71, ""), "62000000000001::bigint", IF((RIGHT(J71, 2)*1 = 1), "62000000000001::bigint", IF((RIGHT(J71, 2)*1 = 2), "62000000000002::bigint", "null"))),
", '2016-01-01 00:00:00'::timestamp, null::timestamp, ", AW71, "::bigint, 66000000000001::bigint);"))</f>
        <v>PERFORM * FROM "SchData-OLTP-Accounting"."Func_TblChartOfAccount_SET"(varSystemLoginSession, null, null, null, varInstitutionBranchID, 62000000000001::bigint,'1-3105.01', 'Office Machine &amp; Equipment (IDR)', 62000000000001::bigint, '2016-01-01 00:00:00'::timestamp, null::timestamp, 65000000000066::bigint, 66000000000001::bigint);</v>
      </c>
      <c r="AV71" s="65">
        <f t="shared" ref="AV71:AV134" si="70">IF(AND(EXACT($B71, ""), EXACT($D71, ""), EXACT($F71, ""), EXACT($H71, ""), EXACT($J71, ""), EXACT($L71, "")), "", V71)</f>
        <v>65000000000067</v>
      </c>
      <c r="AW71" s="65">
        <f t="shared" ref="AW71:AW134" si="71">AS71</f>
        <v>65000000000066</v>
      </c>
      <c r="AY71" s="65">
        <f t="shared" si="61"/>
        <v>65000000000066</v>
      </c>
      <c r="BA71" s="78">
        <f t="shared" si="41"/>
        <v>65000000000067</v>
      </c>
      <c r="BB71" s="81" t="str">
        <f t="shared" si="62"/>
        <v>PERFORM * FROM "SchData-OLTP-Accounting"."Func_TblChartOfAccount_SET"(varSystemLoginSession, null, null, null, null, null, varInstitutionBranchID, 62000000000001::bigint,'1-3105.01', 'Office Machine &amp; Equipment (IDR)', 62000000000001::bigint, '2016-01-01 00:00:00'::timestamp, null::timestamp, 65000000000066::bigint, 66000000000001::bigint, TRUE::boolean);</v>
      </c>
    </row>
    <row r="72" spans="2:54" x14ac:dyDescent="0.2">
      <c r="B72" s="39"/>
      <c r="C72" s="40"/>
      <c r="D72" s="43"/>
      <c r="E72" s="42"/>
      <c r="F72" s="43"/>
      <c r="G72" s="42"/>
      <c r="H72" s="51" t="s">
        <v>830</v>
      </c>
      <c r="I72" s="18" t="s">
        <v>199</v>
      </c>
      <c r="J72" s="51"/>
      <c r="K72" s="18"/>
      <c r="L72" s="51"/>
      <c r="M72" s="18"/>
      <c r="O72" s="58" t="str">
        <f t="shared" si="49"/>
        <v>1-0000</v>
      </c>
      <c r="P72" s="58" t="str">
        <f t="shared" si="50"/>
        <v>1-3000</v>
      </c>
      <c r="Q72" s="58" t="str">
        <f t="shared" si="51"/>
        <v>1-3100</v>
      </c>
      <c r="R72" s="58" t="str">
        <f t="shared" si="52"/>
        <v>1-3106</v>
      </c>
      <c r="S72" s="58" t="str">
        <f t="shared" si="53"/>
        <v>1-3105.01</v>
      </c>
      <c r="T72" s="58" t="str">
        <f t="shared" si="54"/>
        <v xml:space="preserve"> </v>
      </c>
      <c r="V72" s="72">
        <f t="shared" si="55"/>
        <v>65000000000068</v>
      </c>
      <c r="W72" s="60">
        <f t="shared" si="56"/>
        <v>65000000000001</v>
      </c>
      <c r="X72" s="60">
        <f t="shared" si="57"/>
        <v>65000000000056</v>
      </c>
      <c r="Y72" s="60">
        <f t="shared" si="58"/>
        <v>65000000000057</v>
      </c>
      <c r="Z72" s="60">
        <f t="shared" si="59"/>
        <v>65000000000068</v>
      </c>
      <c r="AA72" s="60">
        <f t="shared" si="42"/>
        <v>65000000000067</v>
      </c>
      <c r="AB72" s="60">
        <f t="shared" si="60"/>
        <v>65000000000000</v>
      </c>
      <c r="AD72" s="60">
        <f t="shared" si="63"/>
        <v>1</v>
      </c>
      <c r="AE72" s="60">
        <f t="shared" si="64"/>
        <v>4</v>
      </c>
      <c r="AF72" s="60">
        <f t="shared" si="65"/>
        <v>2</v>
      </c>
      <c r="AG72" s="60">
        <f t="shared" si="66"/>
        <v>7</v>
      </c>
      <c r="AH72" s="60">
        <f t="shared" si="67"/>
        <v>1</v>
      </c>
      <c r="AI72" s="60">
        <f t="shared" si="68"/>
        <v>1</v>
      </c>
      <c r="AK72" s="68" t="str">
        <f t="shared" si="43"/>
        <v>L4</v>
      </c>
      <c r="AM72" s="64" t="s">
        <v>1755</v>
      </c>
      <c r="AN72" s="64">
        <f t="shared" si="44"/>
        <v>65000000000001</v>
      </c>
      <c r="AO72" s="64">
        <f t="shared" si="45"/>
        <v>65000000000056</v>
      </c>
      <c r="AP72" s="64">
        <f t="shared" si="46"/>
        <v>65000000000057</v>
      </c>
      <c r="AQ72" s="64">
        <f t="shared" si="47"/>
        <v>65000000000066</v>
      </c>
      <c r="AS72" s="64">
        <f t="shared" si="48"/>
        <v>65000000000057</v>
      </c>
      <c r="AU72" s="59" t="str">
        <f t="shared" si="69"/>
        <v>PERFORM * FROM "SchData-OLTP-Accounting"."Func_TblChartOfAccount_SET"(varSystemLoginSession, null, null, null, varInstitutionBranchID, 62000000000001::bigint,'1-3106', 'Sundry Plant &amp; Equipment', 62000000000001::bigint, '2016-01-01 00:00:00'::timestamp, null::timestamp, 65000000000057::bigint, 66000000000001::bigint);</v>
      </c>
      <c r="AV72" s="65">
        <f t="shared" si="70"/>
        <v>65000000000068</v>
      </c>
      <c r="AW72" s="65">
        <f t="shared" si="71"/>
        <v>65000000000057</v>
      </c>
      <c r="AY72" s="65">
        <f t="shared" si="61"/>
        <v>65000000000057</v>
      </c>
      <c r="BA72" s="78">
        <f t="shared" si="41"/>
        <v>65000000000068</v>
      </c>
      <c r="BB72" s="81" t="str">
        <f t="shared" si="62"/>
        <v>PERFORM * FROM "SchData-OLTP-Accounting"."Func_TblChartOfAccount_SET"(varSystemLoginSession, null, null, null, null, null, varInstitutionBranchID, 62000000000001::bigint,'1-3106', 'Sundry Plant &amp; Equipment', 62000000000001::bigint, '2016-01-01 00:00:00'::timestamp, null::timestamp, 65000000000057::bigint, 66000000000001::bigint, TRUE::boolean);</v>
      </c>
    </row>
    <row r="73" spans="2:54" x14ac:dyDescent="0.2">
      <c r="B73" s="39"/>
      <c r="C73" s="40"/>
      <c r="D73" s="43"/>
      <c r="E73" s="42"/>
      <c r="F73" s="43"/>
      <c r="G73" s="42"/>
      <c r="H73" s="51"/>
      <c r="I73" s="18"/>
      <c r="J73" s="51" t="s">
        <v>1142</v>
      </c>
      <c r="K73" s="18" t="s">
        <v>1232</v>
      </c>
      <c r="L73" s="51"/>
      <c r="M73" s="18"/>
      <c r="O73" s="58" t="str">
        <f t="shared" si="49"/>
        <v>1-0000</v>
      </c>
      <c r="P73" s="58" t="str">
        <f t="shared" si="50"/>
        <v>1-3000</v>
      </c>
      <c r="Q73" s="58" t="str">
        <f t="shared" si="51"/>
        <v>1-3100</v>
      </c>
      <c r="R73" s="58" t="str">
        <f t="shared" si="52"/>
        <v>1-3106</v>
      </c>
      <c r="S73" s="58" t="str">
        <f t="shared" si="53"/>
        <v>1-3106.01</v>
      </c>
      <c r="T73" s="58" t="str">
        <f t="shared" si="54"/>
        <v xml:space="preserve"> </v>
      </c>
      <c r="V73" s="72">
        <f t="shared" si="55"/>
        <v>65000000000069</v>
      </c>
      <c r="W73" s="60">
        <f t="shared" si="56"/>
        <v>65000000000001</v>
      </c>
      <c r="X73" s="60">
        <f t="shared" si="57"/>
        <v>65000000000056</v>
      </c>
      <c r="Y73" s="60">
        <f t="shared" si="58"/>
        <v>65000000000057</v>
      </c>
      <c r="Z73" s="60">
        <f t="shared" si="59"/>
        <v>65000000000068</v>
      </c>
      <c r="AA73" s="60">
        <f t="shared" si="42"/>
        <v>65000000000069</v>
      </c>
      <c r="AB73" s="60">
        <f t="shared" si="60"/>
        <v>65000000000000</v>
      </c>
      <c r="AD73" s="60">
        <f t="shared" si="63"/>
        <v>1</v>
      </c>
      <c r="AE73" s="60">
        <f t="shared" si="64"/>
        <v>4</v>
      </c>
      <c r="AF73" s="60">
        <f t="shared" si="65"/>
        <v>2</v>
      </c>
      <c r="AG73" s="60">
        <f t="shared" si="66"/>
        <v>7</v>
      </c>
      <c r="AH73" s="60">
        <f t="shared" si="67"/>
        <v>2</v>
      </c>
      <c r="AI73" s="60">
        <f t="shared" si="68"/>
        <v>1</v>
      </c>
      <c r="AK73" s="68" t="str">
        <f t="shared" si="43"/>
        <v>L5</v>
      </c>
      <c r="AM73" s="64" t="s">
        <v>1755</v>
      </c>
      <c r="AN73" s="64">
        <f t="shared" si="44"/>
        <v>65000000000001</v>
      </c>
      <c r="AO73" s="64">
        <f t="shared" si="45"/>
        <v>65000000000056</v>
      </c>
      <c r="AP73" s="64">
        <f t="shared" si="46"/>
        <v>65000000000057</v>
      </c>
      <c r="AQ73" s="64">
        <f t="shared" si="47"/>
        <v>65000000000068</v>
      </c>
      <c r="AS73" s="64">
        <f t="shared" si="48"/>
        <v>65000000000068</v>
      </c>
      <c r="AU73" s="59" t="str">
        <f t="shared" si="69"/>
        <v>PERFORM * FROM "SchData-OLTP-Accounting"."Func_TblChartOfAccount_SET"(varSystemLoginSession, null, null, null, varInstitutionBranchID, 62000000000001::bigint,'1-3106.01', 'Sundry Plant &amp; Equipment (IDR)', 62000000000001::bigint, '2016-01-01 00:00:00'::timestamp, null::timestamp, 65000000000068::bigint, 66000000000001::bigint);</v>
      </c>
      <c r="AV73" s="65">
        <f t="shared" si="70"/>
        <v>65000000000069</v>
      </c>
      <c r="AW73" s="65">
        <f t="shared" si="71"/>
        <v>65000000000068</v>
      </c>
      <c r="AY73" s="65">
        <f t="shared" si="61"/>
        <v>65000000000068</v>
      </c>
      <c r="BA73" s="78">
        <f t="shared" si="41"/>
        <v>65000000000069</v>
      </c>
      <c r="BB73" s="81" t="str">
        <f t="shared" si="62"/>
        <v>PERFORM * FROM "SchData-OLTP-Accounting"."Func_TblChartOfAccount_SET"(varSystemLoginSession, null, null, null, null, null, varInstitutionBranchID, 62000000000001::bigint,'1-3106.01', 'Sundry Plant &amp; Equipment (IDR)', 62000000000001::bigint, '2016-01-01 00:00:00'::timestamp, null::timestamp, 65000000000068::bigint, 66000000000001::bigint, TRUE::boolean);</v>
      </c>
    </row>
    <row r="74" spans="2:54" x14ac:dyDescent="0.2">
      <c r="B74" s="39"/>
      <c r="C74" s="40"/>
      <c r="D74" s="43"/>
      <c r="E74" s="42"/>
      <c r="F74" s="43"/>
      <c r="G74" s="42"/>
      <c r="H74" s="51" t="s">
        <v>831</v>
      </c>
      <c r="I74" s="18" t="s">
        <v>201</v>
      </c>
      <c r="J74" s="51"/>
      <c r="K74" s="18"/>
      <c r="L74" s="51"/>
      <c r="M74" s="18"/>
      <c r="O74" s="58" t="str">
        <f t="shared" si="49"/>
        <v>1-0000</v>
      </c>
      <c r="P74" s="58" t="str">
        <f t="shared" si="50"/>
        <v>1-3000</v>
      </c>
      <c r="Q74" s="58" t="str">
        <f t="shared" si="51"/>
        <v>1-3100</v>
      </c>
      <c r="R74" s="58" t="str">
        <f t="shared" si="52"/>
        <v>1-3107</v>
      </c>
      <c r="S74" s="58" t="str">
        <f t="shared" si="53"/>
        <v>1-3106.01</v>
      </c>
      <c r="T74" s="58" t="str">
        <f t="shared" si="54"/>
        <v xml:space="preserve"> </v>
      </c>
      <c r="V74" s="72">
        <f t="shared" si="55"/>
        <v>65000000000070</v>
      </c>
      <c r="W74" s="60">
        <f t="shared" si="56"/>
        <v>65000000000001</v>
      </c>
      <c r="X74" s="60">
        <f t="shared" si="57"/>
        <v>65000000000056</v>
      </c>
      <c r="Y74" s="60">
        <f t="shared" si="58"/>
        <v>65000000000057</v>
      </c>
      <c r="Z74" s="60">
        <f t="shared" si="59"/>
        <v>65000000000070</v>
      </c>
      <c r="AA74" s="60">
        <f t="shared" si="42"/>
        <v>65000000000069</v>
      </c>
      <c r="AB74" s="60">
        <f t="shared" si="60"/>
        <v>65000000000000</v>
      </c>
      <c r="AD74" s="60">
        <f t="shared" si="63"/>
        <v>1</v>
      </c>
      <c r="AE74" s="60">
        <f t="shared" si="64"/>
        <v>4</v>
      </c>
      <c r="AF74" s="60">
        <f t="shared" si="65"/>
        <v>2</v>
      </c>
      <c r="AG74" s="60">
        <f t="shared" si="66"/>
        <v>8</v>
      </c>
      <c r="AH74" s="60">
        <f t="shared" si="67"/>
        <v>1</v>
      </c>
      <c r="AI74" s="60">
        <f t="shared" si="68"/>
        <v>1</v>
      </c>
      <c r="AK74" s="68" t="str">
        <f t="shared" si="43"/>
        <v>L4</v>
      </c>
      <c r="AM74" s="64" t="s">
        <v>1755</v>
      </c>
      <c r="AN74" s="64">
        <f t="shared" si="44"/>
        <v>65000000000001</v>
      </c>
      <c r="AO74" s="64">
        <f t="shared" si="45"/>
        <v>65000000000056</v>
      </c>
      <c r="AP74" s="64">
        <f t="shared" si="46"/>
        <v>65000000000057</v>
      </c>
      <c r="AQ74" s="64">
        <f t="shared" si="47"/>
        <v>65000000000068</v>
      </c>
      <c r="AS74" s="64">
        <f t="shared" si="48"/>
        <v>65000000000057</v>
      </c>
      <c r="AU74" s="59" t="str">
        <f t="shared" si="69"/>
        <v>PERFORM * FROM "SchData-OLTP-Accounting"."Func_TblChartOfAccount_SET"(varSystemLoginSession, null, null, null, varInstitutionBranchID, 62000000000001::bigint,'1-3107', 'Test Equipment', 62000000000001::bigint, '2016-01-01 00:00:00'::timestamp, null::timestamp, 65000000000057::bigint, 66000000000001::bigint);</v>
      </c>
      <c r="AV74" s="65">
        <f t="shared" si="70"/>
        <v>65000000000070</v>
      </c>
      <c r="AW74" s="65">
        <f t="shared" si="71"/>
        <v>65000000000057</v>
      </c>
      <c r="AY74" s="65">
        <f t="shared" si="61"/>
        <v>65000000000057</v>
      </c>
      <c r="BA74" s="78">
        <f t="shared" si="41"/>
        <v>65000000000070</v>
      </c>
      <c r="BB74" s="81" t="str">
        <f t="shared" si="62"/>
        <v>PERFORM * FROM "SchData-OLTP-Accounting"."Func_TblChartOfAccount_SET"(varSystemLoginSession, null, null, null, null, null, varInstitutionBranchID, 62000000000001::bigint,'1-3107', 'Test Equipment', 62000000000001::bigint, '2016-01-01 00:00:00'::timestamp, null::timestamp, 65000000000057::bigint, 66000000000001::bigint, TRUE::boolean);</v>
      </c>
    </row>
    <row r="75" spans="2:54" x14ac:dyDescent="0.2">
      <c r="B75" s="39"/>
      <c r="C75" s="40"/>
      <c r="D75" s="43"/>
      <c r="E75" s="42"/>
      <c r="F75" s="43"/>
      <c r="G75" s="42"/>
      <c r="H75" s="51"/>
      <c r="I75" s="18"/>
      <c r="J75" s="51" t="s">
        <v>1143</v>
      </c>
      <c r="K75" s="18" t="s">
        <v>1233</v>
      </c>
      <c r="L75" s="51"/>
      <c r="M75" s="18"/>
      <c r="O75" s="58" t="str">
        <f t="shared" si="49"/>
        <v>1-0000</v>
      </c>
      <c r="P75" s="58" t="str">
        <f t="shared" si="50"/>
        <v>1-3000</v>
      </c>
      <c r="Q75" s="58" t="str">
        <f t="shared" si="51"/>
        <v>1-3100</v>
      </c>
      <c r="R75" s="58" t="str">
        <f t="shared" si="52"/>
        <v>1-3107</v>
      </c>
      <c r="S75" s="58" t="str">
        <f t="shared" si="53"/>
        <v>1-3107.01</v>
      </c>
      <c r="T75" s="58" t="str">
        <f t="shared" si="54"/>
        <v xml:space="preserve"> </v>
      </c>
      <c r="V75" s="72">
        <f t="shared" si="55"/>
        <v>65000000000071</v>
      </c>
      <c r="W75" s="60">
        <f t="shared" si="56"/>
        <v>65000000000001</v>
      </c>
      <c r="X75" s="60">
        <f t="shared" si="57"/>
        <v>65000000000056</v>
      </c>
      <c r="Y75" s="60">
        <f t="shared" si="58"/>
        <v>65000000000057</v>
      </c>
      <c r="Z75" s="60">
        <f t="shared" si="59"/>
        <v>65000000000070</v>
      </c>
      <c r="AA75" s="60">
        <f t="shared" si="42"/>
        <v>65000000000071</v>
      </c>
      <c r="AB75" s="60">
        <f t="shared" si="60"/>
        <v>65000000000000</v>
      </c>
      <c r="AD75" s="60">
        <f t="shared" si="63"/>
        <v>1</v>
      </c>
      <c r="AE75" s="60">
        <f t="shared" si="64"/>
        <v>4</v>
      </c>
      <c r="AF75" s="60">
        <f t="shared" si="65"/>
        <v>2</v>
      </c>
      <c r="AG75" s="60">
        <f t="shared" si="66"/>
        <v>8</v>
      </c>
      <c r="AH75" s="60">
        <f t="shared" si="67"/>
        <v>2</v>
      </c>
      <c r="AI75" s="60">
        <f t="shared" si="68"/>
        <v>1</v>
      </c>
      <c r="AK75" s="68" t="str">
        <f t="shared" si="43"/>
        <v>L5</v>
      </c>
      <c r="AM75" s="64" t="s">
        <v>1755</v>
      </c>
      <c r="AN75" s="64">
        <f t="shared" si="44"/>
        <v>65000000000001</v>
      </c>
      <c r="AO75" s="64">
        <f t="shared" si="45"/>
        <v>65000000000056</v>
      </c>
      <c r="AP75" s="64">
        <f t="shared" si="46"/>
        <v>65000000000057</v>
      </c>
      <c r="AQ75" s="64">
        <f t="shared" si="47"/>
        <v>65000000000070</v>
      </c>
      <c r="AS75" s="64">
        <f t="shared" si="48"/>
        <v>65000000000070</v>
      </c>
      <c r="AU75" s="59" t="str">
        <f t="shared" si="69"/>
        <v>PERFORM * FROM "SchData-OLTP-Accounting"."Func_TblChartOfAccount_SET"(varSystemLoginSession, null, null, null, varInstitutionBranchID, 62000000000001::bigint,'1-3107.01', 'Test Equipment (IDR)', 62000000000001::bigint, '2016-01-01 00:00:00'::timestamp, null::timestamp, 65000000000070::bigint, 66000000000001::bigint);</v>
      </c>
      <c r="AV75" s="65">
        <f t="shared" si="70"/>
        <v>65000000000071</v>
      </c>
      <c r="AW75" s="65">
        <f t="shared" si="71"/>
        <v>65000000000070</v>
      </c>
      <c r="AY75" s="65">
        <f t="shared" si="61"/>
        <v>65000000000070</v>
      </c>
      <c r="BA75" s="78">
        <f t="shared" si="41"/>
        <v>65000000000071</v>
      </c>
      <c r="BB75" s="81" t="str">
        <f t="shared" si="62"/>
        <v>PERFORM * FROM "SchData-OLTP-Accounting"."Func_TblChartOfAccount_SET"(varSystemLoginSession, null, null, null, null, null, varInstitutionBranchID, 62000000000001::bigint,'1-3107.01', 'Test Equipment (IDR)', 62000000000001::bigint, '2016-01-01 00:00:00'::timestamp, null::timestamp, 65000000000070::bigint, 66000000000001::bigint, TRUE::boolean);</v>
      </c>
    </row>
    <row r="76" spans="2:54" x14ac:dyDescent="0.2">
      <c r="B76" s="39"/>
      <c r="C76" s="40"/>
      <c r="D76" s="43"/>
      <c r="E76" s="42"/>
      <c r="F76" s="43"/>
      <c r="G76" s="42"/>
      <c r="H76" s="51" t="s">
        <v>832</v>
      </c>
      <c r="I76" s="18" t="s">
        <v>203</v>
      </c>
      <c r="J76" s="51"/>
      <c r="K76" s="18"/>
      <c r="L76" s="51"/>
      <c r="M76" s="18"/>
      <c r="O76" s="58" t="str">
        <f t="shared" si="49"/>
        <v>1-0000</v>
      </c>
      <c r="P76" s="58" t="str">
        <f t="shared" si="50"/>
        <v>1-3000</v>
      </c>
      <c r="Q76" s="58" t="str">
        <f t="shared" si="51"/>
        <v>1-3100</v>
      </c>
      <c r="R76" s="58" t="str">
        <f t="shared" si="52"/>
        <v>1-3108</v>
      </c>
      <c r="S76" s="58" t="str">
        <f t="shared" si="53"/>
        <v>1-3107.01</v>
      </c>
      <c r="T76" s="58" t="str">
        <f t="shared" si="54"/>
        <v xml:space="preserve"> </v>
      </c>
      <c r="V76" s="72">
        <f t="shared" si="55"/>
        <v>65000000000072</v>
      </c>
      <c r="W76" s="60">
        <f t="shared" si="56"/>
        <v>65000000000001</v>
      </c>
      <c r="X76" s="60">
        <f t="shared" si="57"/>
        <v>65000000000056</v>
      </c>
      <c r="Y76" s="60">
        <f t="shared" si="58"/>
        <v>65000000000057</v>
      </c>
      <c r="Z76" s="60">
        <f t="shared" si="59"/>
        <v>65000000000072</v>
      </c>
      <c r="AA76" s="60">
        <f t="shared" si="42"/>
        <v>65000000000071</v>
      </c>
      <c r="AB76" s="60">
        <f t="shared" si="60"/>
        <v>65000000000000</v>
      </c>
      <c r="AD76" s="60">
        <f t="shared" si="63"/>
        <v>1</v>
      </c>
      <c r="AE76" s="60">
        <f t="shared" si="64"/>
        <v>4</v>
      </c>
      <c r="AF76" s="60">
        <f t="shared" si="65"/>
        <v>2</v>
      </c>
      <c r="AG76" s="60">
        <f t="shared" si="66"/>
        <v>9</v>
      </c>
      <c r="AH76" s="60">
        <f t="shared" si="67"/>
        <v>1</v>
      </c>
      <c r="AI76" s="60">
        <f t="shared" si="68"/>
        <v>1</v>
      </c>
      <c r="AK76" s="68" t="str">
        <f t="shared" si="43"/>
        <v>L4</v>
      </c>
      <c r="AM76" s="64" t="s">
        <v>1755</v>
      </c>
      <c r="AN76" s="64">
        <f t="shared" si="44"/>
        <v>65000000000001</v>
      </c>
      <c r="AO76" s="64">
        <f t="shared" si="45"/>
        <v>65000000000056</v>
      </c>
      <c r="AP76" s="64">
        <f t="shared" si="46"/>
        <v>65000000000057</v>
      </c>
      <c r="AQ76" s="64">
        <f t="shared" si="47"/>
        <v>65000000000070</v>
      </c>
      <c r="AS76" s="64">
        <f t="shared" si="48"/>
        <v>65000000000057</v>
      </c>
      <c r="AU76" s="59" t="str">
        <f t="shared" si="69"/>
        <v>PERFORM * FROM "SchData-OLTP-Accounting"."Func_TblChartOfAccount_SET"(varSystemLoginSession, null, null, null, varInstitutionBranchID, 62000000000001::bigint,'1-3108', 'Motor Vehicle', 62000000000001::bigint, '2016-01-01 00:00:00'::timestamp, null::timestamp, 65000000000057::bigint, 66000000000001::bigint);</v>
      </c>
      <c r="AV76" s="65">
        <f t="shared" si="70"/>
        <v>65000000000072</v>
      </c>
      <c r="AW76" s="65">
        <f t="shared" si="71"/>
        <v>65000000000057</v>
      </c>
      <c r="AY76" s="65">
        <f t="shared" si="61"/>
        <v>65000000000057</v>
      </c>
      <c r="BA76" s="78">
        <f t="shared" si="41"/>
        <v>65000000000072</v>
      </c>
      <c r="BB76" s="81" t="str">
        <f t="shared" si="62"/>
        <v>PERFORM * FROM "SchData-OLTP-Accounting"."Func_TblChartOfAccount_SET"(varSystemLoginSession, null, null, null, null, null, varInstitutionBranchID, 62000000000001::bigint,'1-3108', 'Motor Vehicle', 62000000000001::bigint, '2016-01-01 00:00:00'::timestamp, null::timestamp, 65000000000057::bigint, 66000000000001::bigint, TRUE::boolean);</v>
      </c>
    </row>
    <row r="77" spans="2:54" x14ac:dyDescent="0.2">
      <c r="B77" s="39"/>
      <c r="C77" s="40"/>
      <c r="D77" s="43"/>
      <c r="E77" s="42"/>
      <c r="F77" s="43"/>
      <c r="G77" s="42"/>
      <c r="H77" s="51"/>
      <c r="I77" s="18"/>
      <c r="J77" s="51" t="s">
        <v>1144</v>
      </c>
      <c r="K77" s="18" t="s">
        <v>1234</v>
      </c>
      <c r="L77" s="51"/>
      <c r="M77" s="18"/>
      <c r="O77" s="58" t="str">
        <f t="shared" si="49"/>
        <v>1-0000</v>
      </c>
      <c r="P77" s="58" t="str">
        <f t="shared" si="50"/>
        <v>1-3000</v>
      </c>
      <c r="Q77" s="58" t="str">
        <f t="shared" si="51"/>
        <v>1-3100</v>
      </c>
      <c r="R77" s="58" t="str">
        <f t="shared" si="52"/>
        <v>1-3108</v>
      </c>
      <c r="S77" s="58" t="str">
        <f t="shared" si="53"/>
        <v>1-3108.01</v>
      </c>
      <c r="T77" s="58" t="str">
        <f t="shared" si="54"/>
        <v xml:space="preserve"> </v>
      </c>
      <c r="V77" s="72">
        <f t="shared" si="55"/>
        <v>65000000000073</v>
      </c>
      <c r="W77" s="60">
        <f t="shared" si="56"/>
        <v>65000000000001</v>
      </c>
      <c r="X77" s="60">
        <f t="shared" si="57"/>
        <v>65000000000056</v>
      </c>
      <c r="Y77" s="60">
        <f t="shared" si="58"/>
        <v>65000000000057</v>
      </c>
      <c r="Z77" s="60">
        <f t="shared" si="59"/>
        <v>65000000000072</v>
      </c>
      <c r="AA77" s="60">
        <f t="shared" si="42"/>
        <v>65000000000073</v>
      </c>
      <c r="AB77" s="60">
        <f t="shared" si="60"/>
        <v>65000000000000</v>
      </c>
      <c r="AD77" s="60">
        <f t="shared" si="63"/>
        <v>1</v>
      </c>
      <c r="AE77" s="60">
        <f t="shared" si="64"/>
        <v>4</v>
      </c>
      <c r="AF77" s="60">
        <f t="shared" si="65"/>
        <v>2</v>
      </c>
      <c r="AG77" s="60">
        <f t="shared" si="66"/>
        <v>9</v>
      </c>
      <c r="AH77" s="60">
        <f t="shared" si="67"/>
        <v>2</v>
      </c>
      <c r="AI77" s="60">
        <f t="shared" si="68"/>
        <v>1</v>
      </c>
      <c r="AK77" s="68" t="str">
        <f t="shared" si="43"/>
        <v>L5</v>
      </c>
      <c r="AM77" s="64" t="s">
        <v>1755</v>
      </c>
      <c r="AN77" s="64">
        <f t="shared" si="44"/>
        <v>65000000000001</v>
      </c>
      <c r="AO77" s="64">
        <f t="shared" si="45"/>
        <v>65000000000056</v>
      </c>
      <c r="AP77" s="64">
        <f t="shared" si="46"/>
        <v>65000000000057</v>
      </c>
      <c r="AQ77" s="64">
        <f t="shared" si="47"/>
        <v>65000000000072</v>
      </c>
      <c r="AS77" s="64">
        <f t="shared" si="48"/>
        <v>65000000000072</v>
      </c>
      <c r="AU77" s="59" t="str">
        <f t="shared" si="69"/>
        <v>PERFORM * FROM "SchData-OLTP-Accounting"."Func_TblChartOfAccount_SET"(varSystemLoginSession, null, null, null, varInstitutionBranchID, 62000000000001::bigint,'1-3108.01', 'Motor Vehicle (IDR)', 62000000000001::bigint, '2016-01-01 00:00:00'::timestamp, null::timestamp, 65000000000072::bigint, 66000000000001::bigint);</v>
      </c>
      <c r="AV77" s="65">
        <f t="shared" si="70"/>
        <v>65000000000073</v>
      </c>
      <c r="AW77" s="65">
        <f t="shared" si="71"/>
        <v>65000000000072</v>
      </c>
      <c r="AY77" s="65">
        <f t="shared" si="61"/>
        <v>65000000000072</v>
      </c>
      <c r="BA77" s="78">
        <f t="shared" si="41"/>
        <v>65000000000073</v>
      </c>
      <c r="BB77" s="81" t="str">
        <f t="shared" si="62"/>
        <v>PERFORM * FROM "SchData-OLTP-Accounting"."Func_TblChartOfAccount_SET"(varSystemLoginSession, null, null, null, null, null, varInstitutionBranchID, 62000000000001::bigint,'1-3108.01', 'Motor Vehicle (IDR)', 62000000000001::bigint, '2016-01-01 00:00:00'::timestamp, null::timestamp, 65000000000072::bigint, 66000000000001::bigint, TRUE::boolean);</v>
      </c>
    </row>
    <row r="78" spans="2:54" x14ac:dyDescent="0.2">
      <c r="B78" s="39"/>
      <c r="C78" s="40"/>
      <c r="D78" s="43"/>
      <c r="E78" s="42"/>
      <c r="F78" s="43"/>
      <c r="G78" s="42"/>
      <c r="H78" s="51" t="s">
        <v>833</v>
      </c>
      <c r="I78" s="18" t="s">
        <v>205</v>
      </c>
      <c r="J78" s="51"/>
      <c r="K78" s="18"/>
      <c r="L78" s="51"/>
      <c r="M78" s="18"/>
      <c r="O78" s="58" t="str">
        <f t="shared" si="49"/>
        <v>1-0000</v>
      </c>
      <c r="P78" s="58" t="str">
        <f t="shared" si="50"/>
        <v>1-3000</v>
      </c>
      <c r="Q78" s="58" t="str">
        <f t="shared" si="51"/>
        <v>1-3100</v>
      </c>
      <c r="R78" s="58" t="str">
        <f t="shared" si="52"/>
        <v>1-3109</v>
      </c>
      <c r="S78" s="58" t="str">
        <f t="shared" si="53"/>
        <v>1-3108.01</v>
      </c>
      <c r="T78" s="58" t="str">
        <f t="shared" si="54"/>
        <v xml:space="preserve"> </v>
      </c>
      <c r="V78" s="72">
        <f t="shared" si="55"/>
        <v>65000000000074</v>
      </c>
      <c r="W78" s="60">
        <f t="shared" si="56"/>
        <v>65000000000001</v>
      </c>
      <c r="X78" s="60">
        <f t="shared" si="57"/>
        <v>65000000000056</v>
      </c>
      <c r="Y78" s="60">
        <f t="shared" si="58"/>
        <v>65000000000057</v>
      </c>
      <c r="Z78" s="60">
        <f t="shared" si="59"/>
        <v>65000000000074</v>
      </c>
      <c r="AA78" s="60">
        <f t="shared" si="42"/>
        <v>65000000000073</v>
      </c>
      <c r="AB78" s="60">
        <f t="shared" si="60"/>
        <v>65000000000000</v>
      </c>
      <c r="AD78" s="60">
        <f t="shared" si="63"/>
        <v>1</v>
      </c>
      <c r="AE78" s="60">
        <f t="shared" si="64"/>
        <v>4</v>
      </c>
      <c r="AF78" s="60">
        <f t="shared" si="65"/>
        <v>2</v>
      </c>
      <c r="AG78" s="60">
        <f t="shared" si="66"/>
        <v>10</v>
      </c>
      <c r="AH78" s="60">
        <f t="shared" si="67"/>
        <v>1</v>
      </c>
      <c r="AI78" s="60">
        <f t="shared" si="68"/>
        <v>1</v>
      </c>
      <c r="AK78" s="68" t="str">
        <f t="shared" si="43"/>
        <v>L4</v>
      </c>
      <c r="AM78" s="64" t="s">
        <v>1755</v>
      </c>
      <c r="AN78" s="64">
        <f t="shared" si="44"/>
        <v>65000000000001</v>
      </c>
      <c r="AO78" s="64">
        <f t="shared" si="45"/>
        <v>65000000000056</v>
      </c>
      <c r="AP78" s="64">
        <f t="shared" si="46"/>
        <v>65000000000057</v>
      </c>
      <c r="AQ78" s="64">
        <f t="shared" si="47"/>
        <v>65000000000072</v>
      </c>
      <c r="AS78" s="64">
        <f t="shared" si="48"/>
        <v>65000000000057</v>
      </c>
      <c r="AU78" s="59" t="str">
        <f t="shared" si="69"/>
        <v>PERFORM * FROM "SchData-OLTP-Accounting"."Func_TblChartOfAccount_SET"(varSystemLoginSession, null, null, null, varInstitutionBranchID, 62000000000001::bigint,'1-3109', 'Tools', 62000000000001::bigint, '2016-01-01 00:00:00'::timestamp, null::timestamp, 65000000000057::bigint, 66000000000001::bigint);</v>
      </c>
      <c r="AV78" s="65">
        <f t="shared" si="70"/>
        <v>65000000000074</v>
      </c>
      <c r="AW78" s="65">
        <f t="shared" si="71"/>
        <v>65000000000057</v>
      </c>
      <c r="AY78" s="65">
        <f t="shared" si="61"/>
        <v>65000000000057</v>
      </c>
      <c r="BA78" s="78">
        <f t="shared" si="41"/>
        <v>65000000000074</v>
      </c>
      <c r="BB78" s="81" t="str">
        <f t="shared" si="62"/>
        <v>PERFORM * FROM "SchData-OLTP-Accounting"."Func_TblChartOfAccount_SET"(varSystemLoginSession, null, null, null, null, null, varInstitutionBranchID, 62000000000001::bigint,'1-3109', 'Tools', 62000000000001::bigint, '2016-01-01 00:00:00'::timestamp, null::timestamp, 65000000000057::bigint, 66000000000001::bigint, TRUE::boolean);</v>
      </c>
    </row>
    <row r="79" spans="2:54" x14ac:dyDescent="0.2">
      <c r="B79" s="39"/>
      <c r="C79" s="40"/>
      <c r="D79" s="43"/>
      <c r="E79" s="42"/>
      <c r="F79" s="43"/>
      <c r="G79" s="42"/>
      <c r="H79" s="51"/>
      <c r="I79" s="18"/>
      <c r="J79" s="51" t="s">
        <v>1145</v>
      </c>
      <c r="K79" s="18" t="s">
        <v>1235</v>
      </c>
      <c r="L79" s="51"/>
      <c r="M79" s="18"/>
      <c r="O79" s="58" t="str">
        <f t="shared" si="49"/>
        <v>1-0000</v>
      </c>
      <c r="P79" s="58" t="str">
        <f t="shared" si="50"/>
        <v>1-3000</v>
      </c>
      <c r="Q79" s="58" t="str">
        <f t="shared" si="51"/>
        <v>1-3100</v>
      </c>
      <c r="R79" s="58" t="str">
        <f t="shared" si="52"/>
        <v>1-3109</v>
      </c>
      <c r="S79" s="58" t="str">
        <f t="shared" si="53"/>
        <v>1-3109.01</v>
      </c>
      <c r="T79" s="58" t="str">
        <f t="shared" si="54"/>
        <v xml:space="preserve"> </v>
      </c>
      <c r="V79" s="72">
        <f t="shared" si="55"/>
        <v>65000000000075</v>
      </c>
      <c r="W79" s="60">
        <f t="shared" si="56"/>
        <v>65000000000001</v>
      </c>
      <c r="X79" s="60">
        <f t="shared" si="57"/>
        <v>65000000000056</v>
      </c>
      <c r="Y79" s="60">
        <f t="shared" si="58"/>
        <v>65000000000057</v>
      </c>
      <c r="Z79" s="60">
        <f t="shared" si="59"/>
        <v>65000000000074</v>
      </c>
      <c r="AA79" s="60">
        <f t="shared" si="42"/>
        <v>65000000000075</v>
      </c>
      <c r="AB79" s="60">
        <f t="shared" si="60"/>
        <v>65000000000000</v>
      </c>
      <c r="AD79" s="60">
        <f t="shared" si="63"/>
        <v>1</v>
      </c>
      <c r="AE79" s="60">
        <f t="shared" si="64"/>
        <v>4</v>
      </c>
      <c r="AF79" s="60">
        <f t="shared" si="65"/>
        <v>2</v>
      </c>
      <c r="AG79" s="60">
        <f t="shared" si="66"/>
        <v>10</v>
      </c>
      <c r="AH79" s="60">
        <f t="shared" si="67"/>
        <v>2</v>
      </c>
      <c r="AI79" s="60">
        <f t="shared" si="68"/>
        <v>1</v>
      </c>
      <c r="AK79" s="68" t="str">
        <f t="shared" si="43"/>
        <v>L5</v>
      </c>
      <c r="AM79" s="64" t="s">
        <v>1755</v>
      </c>
      <c r="AN79" s="64">
        <f t="shared" si="44"/>
        <v>65000000000001</v>
      </c>
      <c r="AO79" s="64">
        <f t="shared" si="45"/>
        <v>65000000000056</v>
      </c>
      <c r="AP79" s="64">
        <f t="shared" si="46"/>
        <v>65000000000057</v>
      </c>
      <c r="AQ79" s="64">
        <f t="shared" si="47"/>
        <v>65000000000074</v>
      </c>
      <c r="AS79" s="64">
        <f t="shared" si="48"/>
        <v>65000000000074</v>
      </c>
      <c r="AU79" s="59" t="str">
        <f t="shared" si="69"/>
        <v>PERFORM * FROM "SchData-OLTP-Accounting"."Func_TblChartOfAccount_SET"(varSystemLoginSession, null, null, null, varInstitutionBranchID, 62000000000001::bigint,'1-3109.01', 'Tools (IDR)', 62000000000001::bigint, '2016-01-01 00:00:00'::timestamp, null::timestamp, 65000000000074::bigint, 66000000000001::bigint);</v>
      </c>
      <c r="AV79" s="65">
        <f t="shared" si="70"/>
        <v>65000000000075</v>
      </c>
      <c r="AW79" s="65">
        <f t="shared" si="71"/>
        <v>65000000000074</v>
      </c>
      <c r="AY79" s="65">
        <f t="shared" si="61"/>
        <v>65000000000074</v>
      </c>
      <c r="BA79" s="78">
        <f t="shared" ref="BA79:BA142" si="72" xml:space="preserve"> BA78 + IF(EXACT(BB79, ""), 0, 1)</f>
        <v>65000000000075</v>
      </c>
      <c r="BB79" s="81" t="str">
        <f t="shared" si="62"/>
        <v>PERFORM * FROM "SchData-OLTP-Accounting"."Func_TblChartOfAccount_SET"(varSystemLoginSession, null, null, null, null, null, varInstitutionBranchID, 62000000000001::bigint,'1-3109.01', 'Tools (IDR)', 62000000000001::bigint, '2016-01-01 00:00:00'::timestamp, null::timestamp, 65000000000074::bigint, 66000000000001::bigint, TRUE::boolean);</v>
      </c>
    </row>
    <row r="80" spans="2:54" x14ac:dyDescent="0.2">
      <c r="B80" s="39"/>
      <c r="C80" s="40"/>
      <c r="D80" s="43"/>
      <c r="E80" s="42"/>
      <c r="F80" s="43"/>
      <c r="G80" s="42"/>
      <c r="H80" s="51" t="s">
        <v>834</v>
      </c>
      <c r="I80" s="18" t="s">
        <v>207</v>
      </c>
      <c r="J80" s="51"/>
      <c r="K80" s="18"/>
      <c r="L80" s="51"/>
      <c r="M80" s="18"/>
      <c r="O80" s="58" t="str">
        <f t="shared" si="49"/>
        <v>1-0000</v>
      </c>
      <c r="P80" s="58" t="str">
        <f t="shared" si="50"/>
        <v>1-3000</v>
      </c>
      <c r="Q80" s="58" t="str">
        <f t="shared" si="51"/>
        <v>1-3100</v>
      </c>
      <c r="R80" s="58" t="str">
        <f t="shared" si="52"/>
        <v>1-3110</v>
      </c>
      <c r="S80" s="58" t="str">
        <f t="shared" si="53"/>
        <v>1-3109.01</v>
      </c>
      <c r="T80" s="58" t="str">
        <f t="shared" si="54"/>
        <v xml:space="preserve"> </v>
      </c>
      <c r="V80" s="72">
        <f t="shared" si="55"/>
        <v>65000000000076</v>
      </c>
      <c r="W80" s="60">
        <f t="shared" si="56"/>
        <v>65000000000001</v>
      </c>
      <c r="X80" s="60">
        <f t="shared" si="57"/>
        <v>65000000000056</v>
      </c>
      <c r="Y80" s="60">
        <f t="shared" si="58"/>
        <v>65000000000057</v>
      </c>
      <c r="Z80" s="60">
        <f t="shared" si="59"/>
        <v>65000000000076</v>
      </c>
      <c r="AA80" s="60">
        <f t="shared" si="42"/>
        <v>65000000000075</v>
      </c>
      <c r="AB80" s="60">
        <f t="shared" si="60"/>
        <v>65000000000000</v>
      </c>
      <c r="AD80" s="60">
        <f t="shared" si="63"/>
        <v>1</v>
      </c>
      <c r="AE80" s="60">
        <f t="shared" si="64"/>
        <v>4</v>
      </c>
      <c r="AF80" s="60">
        <f t="shared" si="65"/>
        <v>2</v>
      </c>
      <c r="AG80" s="60">
        <f t="shared" si="66"/>
        <v>11</v>
      </c>
      <c r="AH80" s="60">
        <f t="shared" si="67"/>
        <v>1</v>
      </c>
      <c r="AI80" s="60">
        <f t="shared" si="68"/>
        <v>1</v>
      </c>
      <c r="AK80" s="68" t="str">
        <f t="shared" si="43"/>
        <v>L4</v>
      </c>
      <c r="AM80" s="64" t="s">
        <v>1755</v>
      </c>
      <c r="AN80" s="64">
        <f t="shared" si="44"/>
        <v>65000000000001</v>
      </c>
      <c r="AO80" s="64">
        <f t="shared" si="45"/>
        <v>65000000000056</v>
      </c>
      <c r="AP80" s="64">
        <f t="shared" si="46"/>
        <v>65000000000057</v>
      </c>
      <c r="AQ80" s="64">
        <f t="shared" si="47"/>
        <v>65000000000074</v>
      </c>
      <c r="AS80" s="64">
        <f t="shared" si="48"/>
        <v>65000000000057</v>
      </c>
      <c r="AU80" s="59" t="str">
        <f t="shared" si="69"/>
        <v>PERFORM * FROM "SchData-OLTP-Accounting"."Func_TblChartOfAccount_SET"(varSystemLoginSession, null, null, null, varInstitutionBranchID, 62000000000001::bigint,'1-3110', 'Furniture Fitting', 62000000000001::bigint, '2016-01-01 00:00:00'::timestamp, null::timestamp, 65000000000057::bigint, 66000000000001::bigint);</v>
      </c>
      <c r="AV80" s="65">
        <f t="shared" si="70"/>
        <v>65000000000076</v>
      </c>
      <c r="AW80" s="65">
        <f t="shared" si="71"/>
        <v>65000000000057</v>
      </c>
      <c r="AY80" s="65">
        <f t="shared" si="61"/>
        <v>65000000000057</v>
      </c>
      <c r="BA80" s="78">
        <f t="shared" si="72"/>
        <v>65000000000076</v>
      </c>
      <c r="BB80" s="81" t="str">
        <f t="shared" si="62"/>
        <v>PERFORM * FROM "SchData-OLTP-Accounting"."Func_TblChartOfAccount_SET"(varSystemLoginSession, null, null, null, null, null, varInstitutionBranchID, 62000000000001::bigint,'1-3110', 'Furniture Fitting', 62000000000001::bigint, '2016-01-01 00:00:00'::timestamp, null::timestamp, 65000000000057::bigint, 66000000000001::bigint, TRUE::boolean);</v>
      </c>
    </row>
    <row r="81" spans="2:54" x14ac:dyDescent="0.2">
      <c r="B81" s="39"/>
      <c r="C81" s="40"/>
      <c r="D81" s="43"/>
      <c r="E81" s="42"/>
      <c r="F81" s="43"/>
      <c r="G81" s="42"/>
      <c r="H81" s="51"/>
      <c r="I81" s="18"/>
      <c r="J81" s="51" t="s">
        <v>1146</v>
      </c>
      <c r="K81" s="18" t="s">
        <v>1236</v>
      </c>
      <c r="L81" s="51"/>
      <c r="M81" s="18"/>
      <c r="O81" s="58" t="str">
        <f t="shared" si="49"/>
        <v>1-0000</v>
      </c>
      <c r="P81" s="58" t="str">
        <f t="shared" si="50"/>
        <v>1-3000</v>
      </c>
      <c r="Q81" s="58" t="str">
        <f t="shared" si="51"/>
        <v>1-3100</v>
      </c>
      <c r="R81" s="58" t="str">
        <f t="shared" si="52"/>
        <v>1-3110</v>
      </c>
      <c r="S81" s="58" t="str">
        <f t="shared" si="53"/>
        <v>1-3110.01</v>
      </c>
      <c r="T81" s="58" t="str">
        <f t="shared" si="54"/>
        <v xml:space="preserve"> </v>
      </c>
      <c r="V81" s="72">
        <f t="shared" si="55"/>
        <v>65000000000077</v>
      </c>
      <c r="W81" s="60">
        <f t="shared" si="56"/>
        <v>65000000000001</v>
      </c>
      <c r="X81" s="60">
        <f t="shared" si="57"/>
        <v>65000000000056</v>
      </c>
      <c r="Y81" s="60">
        <f t="shared" si="58"/>
        <v>65000000000057</v>
      </c>
      <c r="Z81" s="60">
        <f t="shared" si="59"/>
        <v>65000000000076</v>
      </c>
      <c r="AA81" s="60">
        <f t="shared" si="42"/>
        <v>65000000000077</v>
      </c>
      <c r="AB81" s="60">
        <f t="shared" si="60"/>
        <v>65000000000000</v>
      </c>
      <c r="AD81" s="60">
        <f t="shared" si="63"/>
        <v>1</v>
      </c>
      <c r="AE81" s="60">
        <f t="shared" si="64"/>
        <v>4</v>
      </c>
      <c r="AF81" s="60">
        <f t="shared" si="65"/>
        <v>2</v>
      </c>
      <c r="AG81" s="60">
        <f t="shared" si="66"/>
        <v>11</v>
      </c>
      <c r="AH81" s="60">
        <f t="shared" si="67"/>
        <v>2</v>
      </c>
      <c r="AI81" s="60">
        <f t="shared" si="68"/>
        <v>1</v>
      </c>
      <c r="AK81" s="68" t="str">
        <f t="shared" si="43"/>
        <v>L5</v>
      </c>
      <c r="AM81" s="64" t="s">
        <v>1755</v>
      </c>
      <c r="AN81" s="64">
        <f t="shared" si="44"/>
        <v>65000000000001</v>
      </c>
      <c r="AO81" s="64">
        <f t="shared" si="45"/>
        <v>65000000000056</v>
      </c>
      <c r="AP81" s="64">
        <f t="shared" si="46"/>
        <v>65000000000057</v>
      </c>
      <c r="AQ81" s="64">
        <f t="shared" si="47"/>
        <v>65000000000076</v>
      </c>
      <c r="AS81" s="64">
        <f t="shared" si="48"/>
        <v>65000000000076</v>
      </c>
      <c r="AU81" s="59" t="str">
        <f t="shared" si="69"/>
        <v>PERFORM * FROM "SchData-OLTP-Accounting"."Func_TblChartOfAccount_SET"(varSystemLoginSession, null, null, null, varInstitutionBranchID, 62000000000001::bigint,'1-3110.01', 'Furniture Fitting (IDR)', 62000000000001::bigint, '2016-01-01 00:00:00'::timestamp, null::timestamp, 65000000000076::bigint, 66000000000001::bigint);</v>
      </c>
      <c r="AV81" s="65">
        <f t="shared" si="70"/>
        <v>65000000000077</v>
      </c>
      <c r="AW81" s="65">
        <f t="shared" si="71"/>
        <v>65000000000076</v>
      </c>
      <c r="AY81" s="65">
        <f t="shared" si="61"/>
        <v>65000000000076</v>
      </c>
      <c r="BA81" s="78">
        <f t="shared" si="72"/>
        <v>65000000000077</v>
      </c>
      <c r="BB81" s="81" t="str">
        <f t="shared" si="62"/>
        <v>PERFORM * FROM "SchData-OLTP-Accounting"."Func_TblChartOfAccount_SET"(varSystemLoginSession, null, null, null, null, null, varInstitutionBranchID, 62000000000001::bigint,'1-3110.01', 'Furniture Fitting (IDR)', 62000000000001::bigint, '2016-01-01 00:00:00'::timestamp, null::timestamp, 65000000000076::bigint, 66000000000001::bigint, TRUE::boolean);</v>
      </c>
    </row>
    <row r="82" spans="2:54" x14ac:dyDescent="0.2">
      <c r="B82" s="39"/>
      <c r="C82" s="40"/>
      <c r="D82" s="43"/>
      <c r="E82" s="42"/>
      <c r="F82" s="43"/>
      <c r="G82" s="42"/>
      <c r="H82" s="51" t="s">
        <v>846</v>
      </c>
      <c r="I82" s="18" t="s">
        <v>209</v>
      </c>
      <c r="J82" s="51"/>
      <c r="K82" s="18"/>
      <c r="L82" s="51"/>
      <c r="M82" s="18"/>
      <c r="O82" s="58" t="str">
        <f t="shared" si="49"/>
        <v>1-0000</v>
      </c>
      <c r="P82" s="58" t="str">
        <f t="shared" si="50"/>
        <v>1-3000</v>
      </c>
      <c r="Q82" s="58" t="str">
        <f t="shared" si="51"/>
        <v>1-3100</v>
      </c>
      <c r="R82" s="58" t="str">
        <f t="shared" si="52"/>
        <v>1-3111</v>
      </c>
      <c r="S82" s="58" t="str">
        <f t="shared" si="53"/>
        <v>1-3110.01</v>
      </c>
      <c r="T82" s="58" t="str">
        <f t="shared" si="54"/>
        <v xml:space="preserve"> </v>
      </c>
      <c r="V82" s="72">
        <f t="shared" si="55"/>
        <v>65000000000078</v>
      </c>
      <c r="W82" s="60">
        <f t="shared" si="56"/>
        <v>65000000000001</v>
      </c>
      <c r="X82" s="60">
        <f t="shared" si="57"/>
        <v>65000000000056</v>
      </c>
      <c r="Y82" s="60">
        <f t="shared" si="58"/>
        <v>65000000000057</v>
      </c>
      <c r="Z82" s="60">
        <f t="shared" si="59"/>
        <v>65000000000078</v>
      </c>
      <c r="AA82" s="60">
        <f t="shared" si="42"/>
        <v>65000000000077</v>
      </c>
      <c r="AB82" s="60">
        <f t="shared" si="60"/>
        <v>65000000000000</v>
      </c>
      <c r="AD82" s="60">
        <f t="shared" si="63"/>
        <v>1</v>
      </c>
      <c r="AE82" s="60">
        <f t="shared" si="64"/>
        <v>4</v>
      </c>
      <c r="AF82" s="60">
        <f t="shared" si="65"/>
        <v>2</v>
      </c>
      <c r="AG82" s="60">
        <f t="shared" si="66"/>
        <v>12</v>
      </c>
      <c r="AH82" s="60">
        <f t="shared" si="67"/>
        <v>1</v>
      </c>
      <c r="AI82" s="60">
        <f t="shared" si="68"/>
        <v>1</v>
      </c>
      <c r="AK82" s="68" t="str">
        <f t="shared" si="43"/>
        <v>L4</v>
      </c>
      <c r="AM82" s="64" t="s">
        <v>1755</v>
      </c>
      <c r="AN82" s="64">
        <f t="shared" si="44"/>
        <v>65000000000001</v>
      </c>
      <c r="AO82" s="64">
        <f t="shared" si="45"/>
        <v>65000000000056</v>
      </c>
      <c r="AP82" s="64">
        <f t="shared" si="46"/>
        <v>65000000000057</v>
      </c>
      <c r="AQ82" s="64">
        <f t="shared" si="47"/>
        <v>65000000000076</v>
      </c>
      <c r="AS82" s="64">
        <f t="shared" si="48"/>
        <v>65000000000057</v>
      </c>
      <c r="AU82" s="59" t="str">
        <f t="shared" si="69"/>
        <v>PERFORM * FROM "SchData-OLTP-Accounting"."Func_TblChartOfAccount_SET"(varSystemLoginSession, null, null, null, varInstitutionBranchID, 62000000000001::bigint,'1-3111', 'Mobile Phone', 62000000000001::bigint, '2016-01-01 00:00:00'::timestamp, null::timestamp, 65000000000057::bigint, 66000000000001::bigint);</v>
      </c>
      <c r="AV82" s="65">
        <f t="shared" si="70"/>
        <v>65000000000078</v>
      </c>
      <c r="AW82" s="65">
        <f t="shared" si="71"/>
        <v>65000000000057</v>
      </c>
      <c r="AY82" s="65">
        <f t="shared" si="61"/>
        <v>65000000000057</v>
      </c>
      <c r="BA82" s="78">
        <f t="shared" si="72"/>
        <v>65000000000078</v>
      </c>
      <c r="BB82" s="81" t="str">
        <f t="shared" si="62"/>
        <v>PERFORM * FROM "SchData-OLTP-Accounting"."Func_TblChartOfAccount_SET"(varSystemLoginSession, null, null, null, null, null, varInstitutionBranchID, 62000000000001::bigint,'1-3111', 'Mobile Phone', 62000000000001::bigint, '2016-01-01 00:00:00'::timestamp, null::timestamp, 65000000000057::bigint, 66000000000001::bigint, TRUE::boolean);</v>
      </c>
    </row>
    <row r="83" spans="2:54" x14ac:dyDescent="0.2">
      <c r="B83" s="39"/>
      <c r="C83" s="40"/>
      <c r="D83" s="43"/>
      <c r="E83" s="42"/>
      <c r="F83" s="43"/>
      <c r="G83" s="42"/>
      <c r="H83" s="51"/>
      <c r="I83" s="18"/>
      <c r="J83" s="51" t="s">
        <v>1147</v>
      </c>
      <c r="K83" s="18" t="s">
        <v>1237</v>
      </c>
      <c r="L83" s="51"/>
      <c r="M83" s="18"/>
      <c r="O83" s="58" t="str">
        <f t="shared" si="49"/>
        <v>1-0000</v>
      </c>
      <c r="P83" s="58" t="str">
        <f t="shared" si="50"/>
        <v>1-3000</v>
      </c>
      <c r="Q83" s="58" t="str">
        <f t="shared" si="51"/>
        <v>1-3100</v>
      </c>
      <c r="R83" s="58" t="str">
        <f t="shared" si="52"/>
        <v>1-3111</v>
      </c>
      <c r="S83" s="58" t="str">
        <f t="shared" si="53"/>
        <v>1-3111.01</v>
      </c>
      <c r="T83" s="58" t="str">
        <f t="shared" si="54"/>
        <v xml:space="preserve"> </v>
      </c>
      <c r="V83" s="72">
        <f t="shared" si="55"/>
        <v>65000000000079</v>
      </c>
      <c r="W83" s="60">
        <f t="shared" si="56"/>
        <v>65000000000001</v>
      </c>
      <c r="X83" s="60">
        <f t="shared" si="57"/>
        <v>65000000000056</v>
      </c>
      <c r="Y83" s="60">
        <f t="shared" si="58"/>
        <v>65000000000057</v>
      </c>
      <c r="Z83" s="60">
        <f t="shared" si="59"/>
        <v>65000000000078</v>
      </c>
      <c r="AA83" s="60">
        <f t="shared" si="42"/>
        <v>65000000000079</v>
      </c>
      <c r="AB83" s="60">
        <f t="shared" si="60"/>
        <v>65000000000000</v>
      </c>
      <c r="AD83" s="60">
        <f t="shared" si="63"/>
        <v>1</v>
      </c>
      <c r="AE83" s="60">
        <f t="shared" si="64"/>
        <v>4</v>
      </c>
      <c r="AF83" s="60">
        <f t="shared" si="65"/>
        <v>2</v>
      </c>
      <c r="AG83" s="60">
        <f t="shared" si="66"/>
        <v>12</v>
      </c>
      <c r="AH83" s="60">
        <f t="shared" si="67"/>
        <v>2</v>
      </c>
      <c r="AI83" s="60">
        <f t="shared" si="68"/>
        <v>1</v>
      </c>
      <c r="AK83" s="68" t="str">
        <f t="shared" si="43"/>
        <v>L5</v>
      </c>
      <c r="AM83" s="64" t="s">
        <v>1755</v>
      </c>
      <c r="AN83" s="64">
        <f t="shared" si="44"/>
        <v>65000000000001</v>
      </c>
      <c r="AO83" s="64">
        <f t="shared" si="45"/>
        <v>65000000000056</v>
      </c>
      <c r="AP83" s="64">
        <f t="shared" si="46"/>
        <v>65000000000057</v>
      </c>
      <c r="AQ83" s="64">
        <f t="shared" si="47"/>
        <v>65000000000078</v>
      </c>
      <c r="AS83" s="64">
        <f t="shared" si="48"/>
        <v>65000000000078</v>
      </c>
      <c r="AU83" s="59" t="str">
        <f t="shared" si="69"/>
        <v>PERFORM * FROM "SchData-OLTP-Accounting"."Func_TblChartOfAccount_SET"(varSystemLoginSession, null, null, null, varInstitutionBranchID, 62000000000001::bigint,'1-3111.01', 'Mobile Phone (IDR)', 62000000000001::bigint, '2016-01-01 00:00:00'::timestamp, null::timestamp, 65000000000078::bigint, 66000000000001::bigint);</v>
      </c>
      <c r="AV83" s="65">
        <f t="shared" si="70"/>
        <v>65000000000079</v>
      </c>
      <c r="AW83" s="65">
        <f t="shared" si="71"/>
        <v>65000000000078</v>
      </c>
      <c r="AY83" s="65">
        <f t="shared" si="61"/>
        <v>65000000000078</v>
      </c>
      <c r="BA83" s="78">
        <f t="shared" si="72"/>
        <v>65000000000079</v>
      </c>
      <c r="BB83" s="81" t="str">
        <f t="shared" si="62"/>
        <v>PERFORM * FROM "SchData-OLTP-Accounting"."Func_TblChartOfAccount_SET"(varSystemLoginSession, null, null, null, null, null, varInstitutionBranchID, 62000000000001::bigint,'1-3111.01', 'Mobile Phone (IDR)', 62000000000001::bigint, '2016-01-01 00:00:00'::timestamp, null::timestamp, 65000000000078::bigint, 66000000000001::bigint, TRUE::boolean);</v>
      </c>
    </row>
    <row r="84" spans="2:54" ht="25.5" x14ac:dyDescent="0.2">
      <c r="B84" s="39"/>
      <c r="C84" s="40"/>
      <c r="D84" s="43"/>
      <c r="E84" s="42"/>
      <c r="F84" s="43" t="s">
        <v>1125</v>
      </c>
      <c r="G84" s="42" t="s">
        <v>1126</v>
      </c>
      <c r="H84" s="51"/>
      <c r="I84" s="18"/>
      <c r="J84" s="51"/>
      <c r="K84" s="18"/>
      <c r="L84" s="51"/>
      <c r="M84" s="18"/>
      <c r="O84" s="58" t="str">
        <f t="shared" si="49"/>
        <v>1-0000</v>
      </c>
      <c r="P84" s="58" t="str">
        <f t="shared" si="50"/>
        <v>1-3000</v>
      </c>
      <c r="Q84" s="58" t="str">
        <f t="shared" si="51"/>
        <v>1-3200</v>
      </c>
      <c r="R84" s="58" t="str">
        <f t="shared" si="52"/>
        <v>1-3111</v>
      </c>
      <c r="S84" s="58" t="str">
        <f t="shared" si="53"/>
        <v>1-3111.01</v>
      </c>
      <c r="T84" s="58" t="str">
        <f t="shared" si="54"/>
        <v xml:space="preserve"> </v>
      </c>
      <c r="V84" s="72">
        <f t="shared" si="55"/>
        <v>65000000000080</v>
      </c>
      <c r="W84" s="60">
        <f t="shared" si="56"/>
        <v>65000000000001</v>
      </c>
      <c r="X84" s="60">
        <f t="shared" si="57"/>
        <v>65000000000056</v>
      </c>
      <c r="Y84" s="60">
        <f t="shared" si="58"/>
        <v>65000000000080</v>
      </c>
      <c r="Z84" s="60">
        <f t="shared" si="59"/>
        <v>65000000000078</v>
      </c>
      <c r="AA84" s="60">
        <f t="shared" si="42"/>
        <v>65000000000079</v>
      </c>
      <c r="AB84" s="60">
        <f t="shared" si="60"/>
        <v>65000000000000</v>
      </c>
      <c r="AD84" s="60">
        <f t="shared" si="63"/>
        <v>1</v>
      </c>
      <c r="AE84" s="60">
        <f t="shared" si="64"/>
        <v>4</v>
      </c>
      <c r="AF84" s="60">
        <f t="shared" si="65"/>
        <v>3</v>
      </c>
      <c r="AG84" s="60">
        <f t="shared" si="66"/>
        <v>1</v>
      </c>
      <c r="AH84" s="60">
        <f t="shared" si="67"/>
        <v>1</v>
      </c>
      <c r="AI84" s="60">
        <f t="shared" si="68"/>
        <v>1</v>
      </c>
      <c r="AK84" s="68" t="str">
        <f t="shared" si="43"/>
        <v>L3</v>
      </c>
      <c r="AM84" s="64" t="s">
        <v>1755</v>
      </c>
      <c r="AN84" s="64">
        <f t="shared" si="44"/>
        <v>65000000000001</v>
      </c>
      <c r="AO84" s="64">
        <f t="shared" si="45"/>
        <v>65000000000056</v>
      </c>
      <c r="AP84" s="64">
        <f t="shared" si="46"/>
        <v>65000000000057</v>
      </c>
      <c r="AQ84" s="64">
        <f t="shared" si="47"/>
        <v>65000000000078</v>
      </c>
      <c r="AS84" s="64">
        <f t="shared" si="48"/>
        <v>65000000000056</v>
      </c>
      <c r="AU84" s="59" t="str">
        <f t="shared" si="69"/>
        <v>PERFORM * FROM "SchData-OLTP-Accounting"."Func_TblChartOfAccount_SET"(varSystemLoginSession, null, null, null, varInstitutionBranchID, 62000000000001::bigint,'1-3200', 'Akumulasi Penyusutan Aktiva Tetap', 62000000000001::bigint, '2016-01-01 00:00:00'::timestamp, null::timestamp, 65000000000056::bigint, 66000000000001::bigint);</v>
      </c>
      <c r="AV84" s="65">
        <f t="shared" si="70"/>
        <v>65000000000080</v>
      </c>
      <c r="AW84" s="65">
        <f t="shared" si="71"/>
        <v>65000000000056</v>
      </c>
      <c r="AY84" s="65">
        <f t="shared" si="61"/>
        <v>65000000000056</v>
      </c>
      <c r="BA84" s="78">
        <f t="shared" si="72"/>
        <v>65000000000080</v>
      </c>
      <c r="BB84" s="81" t="str">
        <f t="shared" si="62"/>
        <v>PERFORM * FROM "SchData-OLTP-Accounting"."Func_TblChartOfAccount_SET"(varSystemLoginSession, null, null, null, null, null, varInstitutionBranchID, 62000000000001::bigint,'1-3200', 'Akumulasi Penyusutan Aktiva Tetap', 62000000000001::bigint, '2016-01-01 00:00:00'::timestamp, null::timestamp, 65000000000056::bigint, 66000000000001::bigint, TRUE::boolean);</v>
      </c>
    </row>
    <row r="85" spans="2:54" ht="25.5" x14ac:dyDescent="0.2">
      <c r="B85" s="39"/>
      <c r="C85" s="40"/>
      <c r="D85" s="43"/>
      <c r="E85" s="42"/>
      <c r="F85" s="43"/>
      <c r="G85" s="42"/>
      <c r="H85" s="51" t="s">
        <v>836</v>
      </c>
      <c r="I85" s="18" t="s">
        <v>1127</v>
      </c>
      <c r="J85" s="51"/>
      <c r="K85" s="18"/>
      <c r="L85" s="51"/>
      <c r="M85" s="18"/>
      <c r="O85" s="58" t="str">
        <f t="shared" si="49"/>
        <v>1-0000</v>
      </c>
      <c r="P85" s="58" t="str">
        <f t="shared" si="50"/>
        <v>1-3000</v>
      </c>
      <c r="Q85" s="58" t="str">
        <f t="shared" si="51"/>
        <v>1-3200</v>
      </c>
      <c r="R85" s="58" t="str">
        <f t="shared" si="52"/>
        <v>1-3201</v>
      </c>
      <c r="S85" s="58" t="str">
        <f t="shared" si="53"/>
        <v>1-3111.01</v>
      </c>
      <c r="T85" s="58" t="str">
        <f t="shared" si="54"/>
        <v xml:space="preserve"> </v>
      </c>
      <c r="V85" s="72">
        <f t="shared" si="55"/>
        <v>65000000000081</v>
      </c>
      <c r="W85" s="60">
        <f t="shared" si="56"/>
        <v>65000000000001</v>
      </c>
      <c r="X85" s="60">
        <f t="shared" si="57"/>
        <v>65000000000056</v>
      </c>
      <c r="Y85" s="60">
        <f t="shared" si="58"/>
        <v>65000000000080</v>
      </c>
      <c r="Z85" s="60">
        <f t="shared" si="59"/>
        <v>65000000000081</v>
      </c>
      <c r="AA85" s="60">
        <f t="shared" si="42"/>
        <v>65000000000079</v>
      </c>
      <c r="AB85" s="60">
        <f t="shared" si="60"/>
        <v>65000000000000</v>
      </c>
      <c r="AD85" s="60">
        <f t="shared" si="63"/>
        <v>1</v>
      </c>
      <c r="AE85" s="60">
        <f t="shared" si="64"/>
        <v>4</v>
      </c>
      <c r="AF85" s="60">
        <f t="shared" si="65"/>
        <v>3</v>
      </c>
      <c r="AG85" s="60">
        <f t="shared" si="66"/>
        <v>2</v>
      </c>
      <c r="AH85" s="60">
        <f t="shared" si="67"/>
        <v>1</v>
      </c>
      <c r="AI85" s="60">
        <f t="shared" si="68"/>
        <v>1</v>
      </c>
      <c r="AK85" s="68" t="str">
        <f t="shared" si="43"/>
        <v>L4</v>
      </c>
      <c r="AM85" s="64" t="s">
        <v>1755</v>
      </c>
      <c r="AN85" s="64">
        <f t="shared" si="44"/>
        <v>65000000000001</v>
      </c>
      <c r="AO85" s="64">
        <f t="shared" si="45"/>
        <v>65000000000056</v>
      </c>
      <c r="AP85" s="64">
        <f t="shared" si="46"/>
        <v>65000000000080</v>
      </c>
      <c r="AQ85" s="64">
        <f t="shared" si="47"/>
        <v>65000000000080</v>
      </c>
      <c r="AS85" s="64">
        <f t="shared" si="48"/>
        <v>65000000000080</v>
      </c>
      <c r="AU85" s="59" t="str">
        <f t="shared" si="69"/>
        <v>PERFORM * FROM "SchData-OLTP-Accounting"."Func_TblChartOfAccount_SET"(varSystemLoginSession, null, null, null, varInstitutionBranchID, 62000000000001::bigint,'1-3201', 'Akumulasi Penyusutan Building - Improvement', 62000000000001::bigint, '2016-01-01 00:00:00'::timestamp, null::timestamp, 65000000000080::bigint, 66000000000001::bigint);</v>
      </c>
      <c r="AV85" s="65">
        <f t="shared" si="70"/>
        <v>65000000000081</v>
      </c>
      <c r="AW85" s="65">
        <f t="shared" si="71"/>
        <v>65000000000080</v>
      </c>
      <c r="AY85" s="65">
        <f t="shared" si="61"/>
        <v>65000000000080</v>
      </c>
      <c r="BA85" s="78">
        <f t="shared" si="72"/>
        <v>65000000000081</v>
      </c>
      <c r="BB85" s="81" t="str">
        <f t="shared" si="62"/>
        <v>PERFORM * FROM "SchData-OLTP-Accounting"."Func_TblChartOfAccount_SET"(varSystemLoginSession, null, null, null, null, null, varInstitutionBranchID, 62000000000001::bigint,'1-3201', 'Akumulasi Penyusutan Building - Improvement', 62000000000001::bigint, '2016-01-01 00:00:00'::timestamp, null::timestamp, 65000000000080::bigint, 66000000000001::bigint, TRUE::boolean);</v>
      </c>
    </row>
    <row r="86" spans="2:54" ht="25.5" x14ac:dyDescent="0.2">
      <c r="B86" s="39"/>
      <c r="C86" s="40"/>
      <c r="D86" s="43"/>
      <c r="E86" s="42"/>
      <c r="F86" s="43"/>
      <c r="G86" s="42"/>
      <c r="H86" s="51"/>
      <c r="I86" s="18"/>
      <c r="J86" s="51" t="s">
        <v>1148</v>
      </c>
      <c r="K86" s="18" t="s">
        <v>1238</v>
      </c>
      <c r="L86" s="51"/>
      <c r="M86" s="18"/>
      <c r="O86" s="58" t="str">
        <f t="shared" si="49"/>
        <v>1-0000</v>
      </c>
      <c r="P86" s="58" t="str">
        <f t="shared" si="50"/>
        <v>1-3000</v>
      </c>
      <c r="Q86" s="58" t="str">
        <f t="shared" si="51"/>
        <v>1-3200</v>
      </c>
      <c r="R86" s="58" t="str">
        <f t="shared" si="52"/>
        <v>1-3201</v>
      </c>
      <c r="S86" s="58" t="str">
        <f t="shared" si="53"/>
        <v>1-3201.01</v>
      </c>
      <c r="T86" s="58" t="str">
        <f t="shared" si="54"/>
        <v xml:space="preserve"> </v>
      </c>
      <c r="V86" s="72">
        <f t="shared" si="55"/>
        <v>65000000000082</v>
      </c>
      <c r="W86" s="60">
        <f t="shared" si="56"/>
        <v>65000000000001</v>
      </c>
      <c r="X86" s="60">
        <f t="shared" si="57"/>
        <v>65000000000056</v>
      </c>
      <c r="Y86" s="60">
        <f t="shared" si="58"/>
        <v>65000000000080</v>
      </c>
      <c r="Z86" s="60">
        <f t="shared" si="59"/>
        <v>65000000000081</v>
      </c>
      <c r="AA86" s="60">
        <f t="shared" si="42"/>
        <v>65000000000082</v>
      </c>
      <c r="AB86" s="60">
        <f t="shared" si="60"/>
        <v>65000000000000</v>
      </c>
      <c r="AD86" s="60">
        <f t="shared" si="63"/>
        <v>1</v>
      </c>
      <c r="AE86" s="60">
        <f t="shared" si="64"/>
        <v>4</v>
      </c>
      <c r="AF86" s="60">
        <f t="shared" si="65"/>
        <v>3</v>
      </c>
      <c r="AG86" s="60">
        <f t="shared" si="66"/>
        <v>2</v>
      </c>
      <c r="AH86" s="60">
        <f t="shared" si="67"/>
        <v>2</v>
      </c>
      <c r="AI86" s="60">
        <f t="shared" si="68"/>
        <v>1</v>
      </c>
      <c r="AK86" s="68" t="str">
        <f t="shared" si="43"/>
        <v>L5</v>
      </c>
      <c r="AM86" s="64" t="s">
        <v>1755</v>
      </c>
      <c r="AN86" s="64">
        <f t="shared" si="44"/>
        <v>65000000000001</v>
      </c>
      <c r="AO86" s="64">
        <f t="shared" si="45"/>
        <v>65000000000056</v>
      </c>
      <c r="AP86" s="64">
        <f t="shared" si="46"/>
        <v>65000000000080</v>
      </c>
      <c r="AQ86" s="64">
        <f t="shared" si="47"/>
        <v>65000000000081</v>
      </c>
      <c r="AS86" s="64">
        <f t="shared" si="48"/>
        <v>65000000000081</v>
      </c>
      <c r="AU86" s="59" t="str">
        <f t="shared" si="69"/>
        <v>PERFORM * FROM "SchData-OLTP-Accounting"."Func_TblChartOfAccount_SET"(varSystemLoginSession, null, null, null, varInstitutionBranchID, 62000000000001::bigint,'1-3201.01', 'Akumulasi Penyusutan Building - Improvement (IDR)', 62000000000001::bigint, '2016-01-01 00:00:00'::timestamp, null::timestamp, 65000000000081::bigint, 66000000000001::bigint);</v>
      </c>
      <c r="AV86" s="65">
        <f t="shared" si="70"/>
        <v>65000000000082</v>
      </c>
      <c r="AW86" s="65">
        <f t="shared" si="71"/>
        <v>65000000000081</v>
      </c>
      <c r="AY86" s="65">
        <f t="shared" si="61"/>
        <v>65000000000081</v>
      </c>
      <c r="BA86" s="78">
        <f t="shared" si="72"/>
        <v>65000000000082</v>
      </c>
      <c r="BB86" s="81" t="str">
        <f t="shared" si="62"/>
        <v>PERFORM * FROM "SchData-OLTP-Accounting"."Func_TblChartOfAccount_SET"(varSystemLoginSession, null, null, null, null, null, varInstitutionBranchID, 62000000000001::bigint,'1-3201.01', 'Akumulasi Penyusutan Building - Improvement (IDR)', 62000000000001::bigint, '2016-01-01 00:00:00'::timestamp, null::timestamp, 65000000000081::bigint, 66000000000001::bigint, TRUE::boolean);</v>
      </c>
    </row>
    <row r="87" spans="2:54" ht="25.5" x14ac:dyDescent="0.2">
      <c r="B87" s="39"/>
      <c r="C87" s="40"/>
      <c r="D87" s="43"/>
      <c r="E87" s="42"/>
      <c r="F87" s="43"/>
      <c r="G87" s="42"/>
      <c r="H87" s="51" t="s">
        <v>837</v>
      </c>
      <c r="I87" s="18" t="s">
        <v>1128</v>
      </c>
      <c r="J87" s="51"/>
      <c r="K87" s="18"/>
      <c r="L87" s="51"/>
      <c r="M87" s="18"/>
      <c r="O87" s="58" t="str">
        <f t="shared" si="49"/>
        <v>1-0000</v>
      </c>
      <c r="P87" s="58" t="str">
        <f t="shared" si="50"/>
        <v>1-3000</v>
      </c>
      <c r="Q87" s="58" t="str">
        <f t="shared" si="51"/>
        <v>1-3200</v>
      </c>
      <c r="R87" s="58" t="str">
        <f t="shared" si="52"/>
        <v>1-3202</v>
      </c>
      <c r="S87" s="58" t="str">
        <f t="shared" si="53"/>
        <v>1-3201.01</v>
      </c>
      <c r="T87" s="58" t="str">
        <f t="shared" si="54"/>
        <v xml:space="preserve"> </v>
      </c>
      <c r="V87" s="72">
        <f t="shared" si="55"/>
        <v>65000000000083</v>
      </c>
      <c r="W87" s="60">
        <f t="shared" si="56"/>
        <v>65000000000001</v>
      </c>
      <c r="X87" s="60">
        <f t="shared" si="57"/>
        <v>65000000000056</v>
      </c>
      <c r="Y87" s="60">
        <f t="shared" si="58"/>
        <v>65000000000080</v>
      </c>
      <c r="Z87" s="60">
        <f t="shared" si="59"/>
        <v>65000000000083</v>
      </c>
      <c r="AA87" s="60">
        <f t="shared" si="42"/>
        <v>65000000000082</v>
      </c>
      <c r="AB87" s="60">
        <f t="shared" si="60"/>
        <v>65000000000000</v>
      </c>
      <c r="AD87" s="60">
        <f t="shared" si="63"/>
        <v>1</v>
      </c>
      <c r="AE87" s="60">
        <f t="shared" si="64"/>
        <v>4</v>
      </c>
      <c r="AF87" s="60">
        <f t="shared" si="65"/>
        <v>3</v>
      </c>
      <c r="AG87" s="60">
        <f t="shared" si="66"/>
        <v>3</v>
      </c>
      <c r="AH87" s="60">
        <f t="shared" si="67"/>
        <v>1</v>
      </c>
      <c r="AI87" s="60">
        <f t="shared" si="68"/>
        <v>1</v>
      </c>
      <c r="AK87" s="68" t="str">
        <f t="shared" si="43"/>
        <v>L4</v>
      </c>
      <c r="AM87" s="64" t="s">
        <v>1755</v>
      </c>
      <c r="AN87" s="64">
        <f t="shared" si="44"/>
        <v>65000000000001</v>
      </c>
      <c r="AO87" s="64">
        <f t="shared" si="45"/>
        <v>65000000000056</v>
      </c>
      <c r="AP87" s="64">
        <f t="shared" si="46"/>
        <v>65000000000080</v>
      </c>
      <c r="AQ87" s="64">
        <f t="shared" si="47"/>
        <v>65000000000081</v>
      </c>
      <c r="AS87" s="64">
        <f t="shared" si="48"/>
        <v>65000000000080</v>
      </c>
      <c r="AU87" s="59" t="str">
        <f t="shared" si="69"/>
        <v>PERFORM * FROM "SchData-OLTP-Accounting"."Func_TblChartOfAccount_SET"(varSystemLoginSession, null, null, null, varInstitutionBranchID, 62000000000001::bigint,'1-3202', 'Akumulasi Penyusutan Building - Office', 62000000000001::bigint, '2016-01-01 00:00:00'::timestamp, null::timestamp, 65000000000080::bigint, 66000000000001::bigint);</v>
      </c>
      <c r="AV87" s="65">
        <f t="shared" si="70"/>
        <v>65000000000083</v>
      </c>
      <c r="AW87" s="65">
        <f t="shared" si="71"/>
        <v>65000000000080</v>
      </c>
      <c r="AY87" s="65">
        <f t="shared" si="61"/>
        <v>65000000000080</v>
      </c>
      <c r="BA87" s="78">
        <f t="shared" si="72"/>
        <v>65000000000083</v>
      </c>
      <c r="BB87" s="81" t="str">
        <f t="shared" si="62"/>
        <v>PERFORM * FROM "SchData-OLTP-Accounting"."Func_TblChartOfAccount_SET"(varSystemLoginSession, null, null, null, null, null, varInstitutionBranchID, 62000000000001::bigint,'1-3202', 'Akumulasi Penyusutan Building - Office', 62000000000001::bigint, '2016-01-01 00:00:00'::timestamp, null::timestamp, 65000000000080::bigint, 66000000000001::bigint, TRUE::boolean);</v>
      </c>
    </row>
    <row r="88" spans="2:54" ht="25.5" x14ac:dyDescent="0.2">
      <c r="B88" s="39"/>
      <c r="C88" s="40"/>
      <c r="D88" s="43"/>
      <c r="E88" s="42"/>
      <c r="F88" s="43"/>
      <c r="G88" s="42"/>
      <c r="H88" s="51"/>
      <c r="I88" s="18"/>
      <c r="J88" s="51" t="s">
        <v>1149</v>
      </c>
      <c r="K88" s="18" t="s">
        <v>1239</v>
      </c>
      <c r="L88" s="51"/>
      <c r="M88" s="18"/>
      <c r="O88" s="58" t="str">
        <f t="shared" si="49"/>
        <v>1-0000</v>
      </c>
      <c r="P88" s="58" t="str">
        <f t="shared" si="50"/>
        <v>1-3000</v>
      </c>
      <c r="Q88" s="58" t="str">
        <f t="shared" si="51"/>
        <v>1-3200</v>
      </c>
      <c r="R88" s="58" t="str">
        <f t="shared" si="52"/>
        <v>1-3202</v>
      </c>
      <c r="S88" s="58" t="str">
        <f t="shared" si="53"/>
        <v>1-3202.01</v>
      </c>
      <c r="T88" s="58" t="str">
        <f t="shared" si="54"/>
        <v xml:space="preserve"> </v>
      </c>
      <c r="V88" s="72">
        <f t="shared" si="55"/>
        <v>65000000000084</v>
      </c>
      <c r="W88" s="60">
        <f t="shared" si="56"/>
        <v>65000000000001</v>
      </c>
      <c r="X88" s="60">
        <f t="shared" si="57"/>
        <v>65000000000056</v>
      </c>
      <c r="Y88" s="60">
        <f t="shared" si="58"/>
        <v>65000000000080</v>
      </c>
      <c r="Z88" s="60">
        <f t="shared" si="59"/>
        <v>65000000000083</v>
      </c>
      <c r="AA88" s="60">
        <f t="shared" si="42"/>
        <v>65000000000084</v>
      </c>
      <c r="AB88" s="60">
        <f t="shared" si="60"/>
        <v>65000000000000</v>
      </c>
      <c r="AD88" s="60">
        <f t="shared" si="63"/>
        <v>1</v>
      </c>
      <c r="AE88" s="60">
        <f t="shared" si="64"/>
        <v>4</v>
      </c>
      <c r="AF88" s="60">
        <f t="shared" si="65"/>
        <v>3</v>
      </c>
      <c r="AG88" s="60">
        <f t="shared" si="66"/>
        <v>3</v>
      </c>
      <c r="AH88" s="60">
        <f t="shared" si="67"/>
        <v>2</v>
      </c>
      <c r="AI88" s="60">
        <f t="shared" si="68"/>
        <v>1</v>
      </c>
      <c r="AK88" s="68" t="str">
        <f t="shared" si="43"/>
        <v>L5</v>
      </c>
      <c r="AM88" s="64" t="s">
        <v>1755</v>
      </c>
      <c r="AN88" s="64">
        <f t="shared" si="44"/>
        <v>65000000000001</v>
      </c>
      <c r="AO88" s="64">
        <f t="shared" si="45"/>
        <v>65000000000056</v>
      </c>
      <c r="AP88" s="64">
        <f t="shared" si="46"/>
        <v>65000000000080</v>
      </c>
      <c r="AQ88" s="64">
        <f t="shared" si="47"/>
        <v>65000000000083</v>
      </c>
      <c r="AS88" s="64">
        <f t="shared" si="48"/>
        <v>65000000000083</v>
      </c>
      <c r="AU88" s="59" t="str">
        <f t="shared" si="69"/>
        <v>PERFORM * FROM "SchData-OLTP-Accounting"."Func_TblChartOfAccount_SET"(varSystemLoginSession, null, null, null, varInstitutionBranchID, 62000000000001::bigint,'1-3202.01', 'Akumulasi Penyusutan Building - Office (IDR)', 62000000000001::bigint, '2016-01-01 00:00:00'::timestamp, null::timestamp, 65000000000083::bigint, 66000000000001::bigint);</v>
      </c>
      <c r="AV88" s="65">
        <f t="shared" si="70"/>
        <v>65000000000084</v>
      </c>
      <c r="AW88" s="65">
        <f t="shared" si="71"/>
        <v>65000000000083</v>
      </c>
      <c r="AY88" s="65">
        <f t="shared" si="61"/>
        <v>65000000000083</v>
      </c>
      <c r="BA88" s="78">
        <f t="shared" si="72"/>
        <v>65000000000084</v>
      </c>
      <c r="BB88" s="81" t="str">
        <f t="shared" si="62"/>
        <v>PERFORM * FROM "SchData-OLTP-Accounting"."Func_TblChartOfAccount_SET"(varSystemLoginSession, null, null, null, null, null, varInstitutionBranchID, 62000000000001::bigint,'1-3202.01', 'Akumulasi Penyusutan Building - Office (IDR)', 62000000000001::bigint, '2016-01-01 00:00:00'::timestamp, null::timestamp, 65000000000083::bigint, 66000000000001::bigint, TRUE::boolean);</v>
      </c>
    </row>
    <row r="89" spans="2:54" ht="25.5" x14ac:dyDescent="0.2">
      <c r="B89" s="39"/>
      <c r="C89" s="40"/>
      <c r="D89" s="43"/>
      <c r="E89" s="42"/>
      <c r="F89" s="43"/>
      <c r="G89" s="42"/>
      <c r="H89" s="51" t="s">
        <v>838</v>
      </c>
      <c r="I89" s="18" t="s">
        <v>1129</v>
      </c>
      <c r="J89" s="51"/>
      <c r="K89" s="18"/>
      <c r="L89" s="51"/>
      <c r="M89" s="18"/>
      <c r="O89" s="58" t="str">
        <f t="shared" si="49"/>
        <v>1-0000</v>
      </c>
      <c r="P89" s="58" t="str">
        <f t="shared" si="50"/>
        <v>1-3000</v>
      </c>
      <c r="Q89" s="58" t="str">
        <f t="shared" si="51"/>
        <v>1-3200</v>
      </c>
      <c r="R89" s="58" t="str">
        <f t="shared" si="52"/>
        <v>1-3203</v>
      </c>
      <c r="S89" s="58" t="str">
        <f t="shared" si="53"/>
        <v>1-3202.01</v>
      </c>
      <c r="T89" s="58" t="str">
        <f t="shared" si="54"/>
        <v xml:space="preserve"> </v>
      </c>
      <c r="V89" s="72">
        <f t="shared" si="55"/>
        <v>65000000000085</v>
      </c>
      <c r="W89" s="60">
        <f t="shared" si="56"/>
        <v>65000000000001</v>
      </c>
      <c r="X89" s="60">
        <f t="shared" si="57"/>
        <v>65000000000056</v>
      </c>
      <c r="Y89" s="60">
        <f t="shared" si="58"/>
        <v>65000000000080</v>
      </c>
      <c r="Z89" s="60">
        <f t="shared" si="59"/>
        <v>65000000000085</v>
      </c>
      <c r="AA89" s="60">
        <f t="shared" si="42"/>
        <v>65000000000084</v>
      </c>
      <c r="AB89" s="60">
        <f t="shared" si="60"/>
        <v>65000000000000</v>
      </c>
      <c r="AD89" s="60">
        <f t="shared" si="63"/>
        <v>1</v>
      </c>
      <c r="AE89" s="60">
        <f t="shared" si="64"/>
        <v>4</v>
      </c>
      <c r="AF89" s="60">
        <f t="shared" si="65"/>
        <v>3</v>
      </c>
      <c r="AG89" s="60">
        <f t="shared" si="66"/>
        <v>4</v>
      </c>
      <c r="AH89" s="60">
        <f t="shared" si="67"/>
        <v>1</v>
      </c>
      <c r="AI89" s="60">
        <f t="shared" si="68"/>
        <v>1</v>
      </c>
      <c r="AK89" s="68" t="str">
        <f t="shared" si="43"/>
        <v>L4</v>
      </c>
      <c r="AM89" s="64" t="s">
        <v>1755</v>
      </c>
      <c r="AN89" s="64">
        <f t="shared" si="44"/>
        <v>65000000000001</v>
      </c>
      <c r="AO89" s="64">
        <f t="shared" si="45"/>
        <v>65000000000056</v>
      </c>
      <c r="AP89" s="64">
        <f t="shared" si="46"/>
        <v>65000000000080</v>
      </c>
      <c r="AQ89" s="64">
        <f t="shared" si="47"/>
        <v>65000000000083</v>
      </c>
      <c r="AS89" s="64">
        <f t="shared" si="48"/>
        <v>65000000000080</v>
      </c>
      <c r="AU89" s="59" t="str">
        <f t="shared" si="69"/>
        <v>PERFORM * FROM "SchData-OLTP-Accounting"."Func_TblChartOfAccount_SET"(varSystemLoginSession, null, null, null, varInstitutionBranchID, 62000000000001::bigint,'1-3203', 'Akumulasi Penyusutan Info Tech Equipment', 62000000000001::bigint, '2016-01-01 00:00:00'::timestamp, null::timestamp, 65000000000080::bigint, 66000000000001::bigint);</v>
      </c>
      <c r="AV89" s="65">
        <f t="shared" si="70"/>
        <v>65000000000085</v>
      </c>
      <c r="AW89" s="65">
        <f t="shared" si="71"/>
        <v>65000000000080</v>
      </c>
      <c r="AY89" s="65">
        <f t="shared" si="61"/>
        <v>65000000000080</v>
      </c>
      <c r="BA89" s="78">
        <f t="shared" si="72"/>
        <v>65000000000085</v>
      </c>
      <c r="BB89" s="81" t="str">
        <f t="shared" si="62"/>
        <v>PERFORM * FROM "SchData-OLTP-Accounting"."Func_TblChartOfAccount_SET"(varSystemLoginSession, null, null, null, null, null, varInstitutionBranchID, 62000000000001::bigint,'1-3203', 'Akumulasi Penyusutan Info Tech Equipment', 62000000000001::bigint, '2016-01-01 00:00:00'::timestamp, null::timestamp, 65000000000080::bigint, 66000000000001::bigint, TRUE::boolean);</v>
      </c>
    </row>
    <row r="90" spans="2:54" ht="25.5" x14ac:dyDescent="0.2">
      <c r="B90" s="39"/>
      <c r="C90" s="40"/>
      <c r="D90" s="43"/>
      <c r="E90" s="42"/>
      <c r="F90" s="43"/>
      <c r="G90" s="42"/>
      <c r="H90" s="51"/>
      <c r="I90" s="18"/>
      <c r="J90" s="51" t="s">
        <v>1150</v>
      </c>
      <c r="K90" s="18" t="s">
        <v>1240</v>
      </c>
      <c r="L90" s="51"/>
      <c r="M90" s="18"/>
      <c r="O90" s="58" t="str">
        <f t="shared" si="49"/>
        <v>1-0000</v>
      </c>
      <c r="P90" s="58" t="str">
        <f t="shared" si="50"/>
        <v>1-3000</v>
      </c>
      <c r="Q90" s="58" t="str">
        <f t="shared" si="51"/>
        <v>1-3200</v>
      </c>
      <c r="R90" s="58" t="str">
        <f t="shared" si="52"/>
        <v>1-3203</v>
      </c>
      <c r="S90" s="58" t="str">
        <f t="shared" si="53"/>
        <v>1-3203.01</v>
      </c>
      <c r="T90" s="58" t="str">
        <f t="shared" si="54"/>
        <v xml:space="preserve"> </v>
      </c>
      <c r="V90" s="72">
        <f t="shared" si="55"/>
        <v>65000000000086</v>
      </c>
      <c r="W90" s="60">
        <f t="shared" si="56"/>
        <v>65000000000001</v>
      </c>
      <c r="X90" s="60">
        <f t="shared" si="57"/>
        <v>65000000000056</v>
      </c>
      <c r="Y90" s="60">
        <f t="shared" si="58"/>
        <v>65000000000080</v>
      </c>
      <c r="Z90" s="60">
        <f t="shared" si="59"/>
        <v>65000000000085</v>
      </c>
      <c r="AA90" s="60">
        <f t="shared" si="42"/>
        <v>65000000000086</v>
      </c>
      <c r="AB90" s="60">
        <f t="shared" si="60"/>
        <v>65000000000000</v>
      </c>
      <c r="AD90" s="60">
        <f t="shared" si="63"/>
        <v>1</v>
      </c>
      <c r="AE90" s="60">
        <f t="shared" si="64"/>
        <v>4</v>
      </c>
      <c r="AF90" s="60">
        <f t="shared" si="65"/>
        <v>3</v>
      </c>
      <c r="AG90" s="60">
        <f t="shared" si="66"/>
        <v>4</v>
      </c>
      <c r="AH90" s="60">
        <f t="shared" si="67"/>
        <v>2</v>
      </c>
      <c r="AI90" s="60">
        <f t="shared" si="68"/>
        <v>1</v>
      </c>
      <c r="AK90" s="68" t="str">
        <f t="shared" si="43"/>
        <v>L5</v>
      </c>
      <c r="AM90" s="64" t="s">
        <v>1755</v>
      </c>
      <c r="AN90" s="64">
        <f t="shared" si="44"/>
        <v>65000000000001</v>
      </c>
      <c r="AO90" s="64">
        <f t="shared" si="45"/>
        <v>65000000000056</v>
      </c>
      <c r="AP90" s="64">
        <f t="shared" si="46"/>
        <v>65000000000080</v>
      </c>
      <c r="AQ90" s="64">
        <f t="shared" si="47"/>
        <v>65000000000085</v>
      </c>
      <c r="AS90" s="64">
        <f t="shared" si="48"/>
        <v>65000000000085</v>
      </c>
      <c r="AU90" s="59" t="str">
        <f t="shared" si="69"/>
        <v>PERFORM * FROM "SchData-OLTP-Accounting"."Func_TblChartOfAccount_SET"(varSystemLoginSession, null, null, null, varInstitutionBranchID, 62000000000001::bigint,'1-3203.01', 'Akumulasi Penyusutan Info Tech Equipment (IDR)', 62000000000001::bigint, '2016-01-01 00:00:00'::timestamp, null::timestamp, 65000000000085::bigint, 66000000000001::bigint);</v>
      </c>
      <c r="AV90" s="65">
        <f t="shared" si="70"/>
        <v>65000000000086</v>
      </c>
      <c r="AW90" s="65">
        <f t="shared" si="71"/>
        <v>65000000000085</v>
      </c>
      <c r="AY90" s="65">
        <f t="shared" si="61"/>
        <v>65000000000085</v>
      </c>
      <c r="BA90" s="78">
        <f t="shared" si="72"/>
        <v>65000000000086</v>
      </c>
      <c r="BB90" s="81" t="str">
        <f t="shared" si="62"/>
        <v>PERFORM * FROM "SchData-OLTP-Accounting"."Func_TblChartOfAccount_SET"(varSystemLoginSession, null, null, null, null, null, varInstitutionBranchID, 62000000000001::bigint,'1-3203.01', 'Akumulasi Penyusutan Info Tech Equipment (IDR)', 62000000000001::bigint, '2016-01-01 00:00:00'::timestamp, null::timestamp, 65000000000085::bigint, 66000000000001::bigint, TRUE::boolean);</v>
      </c>
    </row>
    <row r="91" spans="2:54" ht="25.5" x14ac:dyDescent="0.2">
      <c r="B91" s="39"/>
      <c r="C91" s="40"/>
      <c r="D91" s="43"/>
      <c r="E91" s="42"/>
      <c r="F91" s="43"/>
      <c r="G91" s="42"/>
      <c r="H91" s="51" t="s">
        <v>839</v>
      </c>
      <c r="I91" s="18" t="s">
        <v>1130</v>
      </c>
      <c r="J91" s="51"/>
      <c r="K91" s="18"/>
      <c r="L91" s="51"/>
      <c r="M91" s="18"/>
      <c r="O91" s="58" t="str">
        <f t="shared" si="49"/>
        <v>1-0000</v>
      </c>
      <c r="P91" s="58" t="str">
        <f t="shared" si="50"/>
        <v>1-3000</v>
      </c>
      <c r="Q91" s="58" t="str">
        <f t="shared" si="51"/>
        <v>1-3200</v>
      </c>
      <c r="R91" s="58" t="str">
        <f t="shared" si="52"/>
        <v>1-3204</v>
      </c>
      <c r="S91" s="58" t="str">
        <f t="shared" si="53"/>
        <v>1-3203.01</v>
      </c>
      <c r="T91" s="58" t="str">
        <f t="shared" si="54"/>
        <v xml:space="preserve"> </v>
      </c>
      <c r="V91" s="72">
        <f t="shared" si="55"/>
        <v>65000000000087</v>
      </c>
      <c r="W91" s="60">
        <f t="shared" si="56"/>
        <v>65000000000001</v>
      </c>
      <c r="X91" s="60">
        <f t="shared" si="57"/>
        <v>65000000000056</v>
      </c>
      <c r="Y91" s="60">
        <f t="shared" si="58"/>
        <v>65000000000080</v>
      </c>
      <c r="Z91" s="60">
        <f t="shared" si="59"/>
        <v>65000000000087</v>
      </c>
      <c r="AA91" s="60">
        <f t="shared" si="42"/>
        <v>65000000000086</v>
      </c>
      <c r="AB91" s="60">
        <f t="shared" si="60"/>
        <v>65000000000000</v>
      </c>
      <c r="AD91" s="60">
        <f t="shared" si="63"/>
        <v>1</v>
      </c>
      <c r="AE91" s="60">
        <f t="shared" si="64"/>
        <v>4</v>
      </c>
      <c r="AF91" s="60">
        <f t="shared" si="65"/>
        <v>3</v>
      </c>
      <c r="AG91" s="60">
        <f t="shared" si="66"/>
        <v>5</v>
      </c>
      <c r="AH91" s="60">
        <f t="shared" si="67"/>
        <v>1</v>
      </c>
      <c r="AI91" s="60">
        <f t="shared" si="68"/>
        <v>1</v>
      </c>
      <c r="AK91" s="68" t="str">
        <f t="shared" si="43"/>
        <v>L4</v>
      </c>
      <c r="AM91" s="64" t="s">
        <v>1755</v>
      </c>
      <c r="AN91" s="64">
        <f t="shared" si="44"/>
        <v>65000000000001</v>
      </c>
      <c r="AO91" s="64">
        <f t="shared" si="45"/>
        <v>65000000000056</v>
      </c>
      <c r="AP91" s="64">
        <f t="shared" si="46"/>
        <v>65000000000080</v>
      </c>
      <c r="AQ91" s="64">
        <f t="shared" si="47"/>
        <v>65000000000085</v>
      </c>
      <c r="AS91" s="64">
        <f t="shared" si="48"/>
        <v>65000000000080</v>
      </c>
      <c r="AU91" s="59" t="str">
        <f t="shared" si="69"/>
        <v>PERFORM * FROM "SchData-OLTP-Accounting"."Func_TblChartOfAccount_SET"(varSystemLoginSession, null, null, null, varInstitutionBranchID, 62000000000001::bigint,'1-3204', 'Akumulasi Penyusutan Office Machine &amp; Equipment', 62000000000001::bigint, '2016-01-01 00:00:00'::timestamp, null::timestamp, 65000000000080::bigint, 66000000000001::bigint);</v>
      </c>
      <c r="AV91" s="65">
        <f t="shared" si="70"/>
        <v>65000000000087</v>
      </c>
      <c r="AW91" s="65">
        <f t="shared" si="71"/>
        <v>65000000000080</v>
      </c>
      <c r="AY91" s="65">
        <f t="shared" si="61"/>
        <v>65000000000080</v>
      </c>
      <c r="BA91" s="78">
        <f t="shared" si="72"/>
        <v>65000000000087</v>
      </c>
      <c r="BB91" s="81" t="str">
        <f t="shared" si="62"/>
        <v>PERFORM * FROM "SchData-OLTP-Accounting"."Func_TblChartOfAccount_SET"(varSystemLoginSession, null, null, null, null, null, varInstitutionBranchID, 62000000000001::bigint,'1-3204', 'Akumulasi Penyusutan Office Machine &amp; Equipment', 62000000000001::bigint, '2016-01-01 00:00:00'::timestamp, null::timestamp, 65000000000080::bigint, 66000000000001::bigint, TRUE::boolean);</v>
      </c>
    </row>
    <row r="92" spans="2:54" ht="25.5" x14ac:dyDescent="0.2">
      <c r="B92" s="39"/>
      <c r="C92" s="40"/>
      <c r="D92" s="43"/>
      <c r="E92" s="42"/>
      <c r="F92" s="43"/>
      <c r="G92" s="42"/>
      <c r="H92" s="51"/>
      <c r="I92" s="18"/>
      <c r="J92" s="51" t="s">
        <v>1151</v>
      </c>
      <c r="K92" s="18" t="s">
        <v>1241</v>
      </c>
      <c r="L92" s="51"/>
      <c r="M92" s="18"/>
      <c r="O92" s="58" t="str">
        <f t="shared" si="49"/>
        <v>1-0000</v>
      </c>
      <c r="P92" s="58" t="str">
        <f t="shared" si="50"/>
        <v>1-3000</v>
      </c>
      <c r="Q92" s="58" t="str">
        <f t="shared" si="51"/>
        <v>1-3200</v>
      </c>
      <c r="R92" s="58" t="str">
        <f t="shared" si="52"/>
        <v>1-3204</v>
      </c>
      <c r="S92" s="58" t="str">
        <f t="shared" si="53"/>
        <v>1-3204.01</v>
      </c>
      <c r="T92" s="58" t="str">
        <f t="shared" si="54"/>
        <v xml:space="preserve"> </v>
      </c>
      <c r="V92" s="72">
        <f t="shared" si="55"/>
        <v>65000000000088</v>
      </c>
      <c r="W92" s="60">
        <f t="shared" si="56"/>
        <v>65000000000001</v>
      </c>
      <c r="X92" s="60">
        <f t="shared" si="57"/>
        <v>65000000000056</v>
      </c>
      <c r="Y92" s="60">
        <f t="shared" si="58"/>
        <v>65000000000080</v>
      </c>
      <c r="Z92" s="60">
        <f t="shared" si="59"/>
        <v>65000000000087</v>
      </c>
      <c r="AA92" s="60">
        <f t="shared" si="42"/>
        <v>65000000000088</v>
      </c>
      <c r="AB92" s="60">
        <f t="shared" si="60"/>
        <v>65000000000000</v>
      </c>
      <c r="AD92" s="60">
        <f t="shared" si="63"/>
        <v>1</v>
      </c>
      <c r="AE92" s="60">
        <f t="shared" si="64"/>
        <v>4</v>
      </c>
      <c r="AF92" s="60">
        <f t="shared" si="65"/>
        <v>3</v>
      </c>
      <c r="AG92" s="60">
        <f t="shared" si="66"/>
        <v>5</v>
      </c>
      <c r="AH92" s="60">
        <f t="shared" si="67"/>
        <v>2</v>
      </c>
      <c r="AI92" s="60">
        <f t="shared" si="68"/>
        <v>1</v>
      </c>
      <c r="AK92" s="68" t="str">
        <f t="shared" si="43"/>
        <v>L5</v>
      </c>
      <c r="AM92" s="64" t="s">
        <v>1755</v>
      </c>
      <c r="AN92" s="64">
        <f t="shared" si="44"/>
        <v>65000000000001</v>
      </c>
      <c r="AO92" s="64">
        <f t="shared" si="45"/>
        <v>65000000000056</v>
      </c>
      <c r="AP92" s="64">
        <f t="shared" si="46"/>
        <v>65000000000080</v>
      </c>
      <c r="AQ92" s="64">
        <f t="shared" si="47"/>
        <v>65000000000087</v>
      </c>
      <c r="AS92" s="64">
        <f t="shared" si="48"/>
        <v>65000000000087</v>
      </c>
      <c r="AU92" s="59" t="str">
        <f t="shared" si="69"/>
        <v>PERFORM * FROM "SchData-OLTP-Accounting"."Func_TblChartOfAccount_SET"(varSystemLoginSession, null, null, null, varInstitutionBranchID, 62000000000001::bigint,'1-3204.01', 'Akumulasi Penyusutan Office Machine &amp; Equipment (IDR)', 62000000000001::bigint, '2016-01-01 00:00:00'::timestamp, null::timestamp, 65000000000087::bigint, 66000000000001::bigint);</v>
      </c>
      <c r="AV92" s="65">
        <f t="shared" si="70"/>
        <v>65000000000088</v>
      </c>
      <c r="AW92" s="65">
        <f t="shared" si="71"/>
        <v>65000000000087</v>
      </c>
      <c r="AY92" s="65">
        <f t="shared" si="61"/>
        <v>65000000000087</v>
      </c>
      <c r="BA92" s="78">
        <f t="shared" si="72"/>
        <v>65000000000088</v>
      </c>
      <c r="BB92" s="81" t="str">
        <f t="shared" si="62"/>
        <v>PERFORM * FROM "SchData-OLTP-Accounting"."Func_TblChartOfAccount_SET"(varSystemLoginSession, null, null, null, null, null, varInstitutionBranchID, 62000000000001::bigint,'1-3204.01', 'Akumulasi Penyusutan Office Machine &amp; Equipment (IDR)', 62000000000001::bigint, '2016-01-01 00:00:00'::timestamp, null::timestamp, 65000000000087::bigint, 66000000000001::bigint, TRUE::boolean);</v>
      </c>
    </row>
    <row r="93" spans="2:54" ht="25.5" x14ac:dyDescent="0.2">
      <c r="B93" s="39"/>
      <c r="C93" s="40"/>
      <c r="D93" s="43"/>
      <c r="E93" s="42"/>
      <c r="F93" s="43"/>
      <c r="G93" s="42"/>
      <c r="H93" s="51" t="s">
        <v>840</v>
      </c>
      <c r="I93" s="18" t="s">
        <v>1131</v>
      </c>
      <c r="J93" s="51"/>
      <c r="K93" s="18"/>
      <c r="L93" s="51"/>
      <c r="M93" s="18"/>
      <c r="O93" s="58" t="str">
        <f t="shared" si="49"/>
        <v>1-0000</v>
      </c>
      <c r="P93" s="58" t="str">
        <f t="shared" si="50"/>
        <v>1-3000</v>
      </c>
      <c r="Q93" s="58" t="str">
        <f t="shared" si="51"/>
        <v>1-3200</v>
      </c>
      <c r="R93" s="58" t="str">
        <f t="shared" si="52"/>
        <v>1-3205</v>
      </c>
      <c r="S93" s="58" t="str">
        <f t="shared" si="53"/>
        <v>1-3204.01</v>
      </c>
      <c r="T93" s="58" t="str">
        <f t="shared" si="54"/>
        <v xml:space="preserve"> </v>
      </c>
      <c r="V93" s="72">
        <f t="shared" si="55"/>
        <v>65000000000089</v>
      </c>
      <c r="W93" s="60">
        <f t="shared" si="56"/>
        <v>65000000000001</v>
      </c>
      <c r="X93" s="60">
        <f t="shared" si="57"/>
        <v>65000000000056</v>
      </c>
      <c r="Y93" s="60">
        <f t="shared" si="58"/>
        <v>65000000000080</v>
      </c>
      <c r="Z93" s="60">
        <f t="shared" si="59"/>
        <v>65000000000089</v>
      </c>
      <c r="AA93" s="60">
        <f t="shared" si="42"/>
        <v>65000000000088</v>
      </c>
      <c r="AB93" s="60">
        <f t="shared" si="60"/>
        <v>65000000000000</v>
      </c>
      <c r="AD93" s="60">
        <f t="shared" si="63"/>
        <v>1</v>
      </c>
      <c r="AE93" s="60">
        <f t="shared" si="64"/>
        <v>4</v>
      </c>
      <c r="AF93" s="60">
        <f t="shared" si="65"/>
        <v>3</v>
      </c>
      <c r="AG93" s="60">
        <f t="shared" si="66"/>
        <v>6</v>
      </c>
      <c r="AH93" s="60">
        <f t="shared" si="67"/>
        <v>1</v>
      </c>
      <c r="AI93" s="60">
        <f t="shared" si="68"/>
        <v>1</v>
      </c>
      <c r="AK93" s="68" t="str">
        <f t="shared" si="43"/>
        <v>L4</v>
      </c>
      <c r="AM93" s="64" t="s">
        <v>1755</v>
      </c>
      <c r="AN93" s="64">
        <f t="shared" si="44"/>
        <v>65000000000001</v>
      </c>
      <c r="AO93" s="64">
        <f t="shared" si="45"/>
        <v>65000000000056</v>
      </c>
      <c r="AP93" s="64">
        <f t="shared" si="46"/>
        <v>65000000000080</v>
      </c>
      <c r="AQ93" s="64">
        <f t="shared" si="47"/>
        <v>65000000000087</v>
      </c>
      <c r="AS93" s="64">
        <f t="shared" si="48"/>
        <v>65000000000080</v>
      </c>
      <c r="AU93" s="59" t="str">
        <f t="shared" si="69"/>
        <v>PERFORM * FROM "SchData-OLTP-Accounting"."Func_TblChartOfAccount_SET"(varSystemLoginSession, null, null, null, varInstitutionBranchID, 62000000000001::bigint,'1-3205', 'Akumulasi Penyusutan Sundry Plant &amp; Equipment', 62000000000001::bigint, '2016-01-01 00:00:00'::timestamp, null::timestamp, 65000000000080::bigint, 66000000000001::bigint);</v>
      </c>
      <c r="AV93" s="65">
        <f t="shared" si="70"/>
        <v>65000000000089</v>
      </c>
      <c r="AW93" s="65">
        <f t="shared" si="71"/>
        <v>65000000000080</v>
      </c>
      <c r="AY93" s="65">
        <f t="shared" si="61"/>
        <v>65000000000080</v>
      </c>
      <c r="BA93" s="78">
        <f t="shared" si="72"/>
        <v>65000000000089</v>
      </c>
      <c r="BB93" s="81" t="str">
        <f t="shared" si="62"/>
        <v>PERFORM * FROM "SchData-OLTP-Accounting"."Func_TblChartOfAccount_SET"(varSystemLoginSession, null, null, null, null, null, varInstitutionBranchID, 62000000000001::bigint,'1-3205', 'Akumulasi Penyusutan Sundry Plant &amp; Equipment', 62000000000001::bigint, '2016-01-01 00:00:00'::timestamp, null::timestamp, 65000000000080::bigint, 66000000000001::bigint, TRUE::boolean);</v>
      </c>
    </row>
    <row r="94" spans="2:54" ht="25.5" x14ac:dyDescent="0.2">
      <c r="B94" s="39"/>
      <c r="C94" s="40"/>
      <c r="D94" s="43"/>
      <c r="E94" s="42"/>
      <c r="F94" s="43"/>
      <c r="G94" s="42"/>
      <c r="H94" s="51"/>
      <c r="I94" s="18"/>
      <c r="J94" s="51" t="s">
        <v>1152</v>
      </c>
      <c r="K94" s="18" t="s">
        <v>1242</v>
      </c>
      <c r="L94" s="51"/>
      <c r="M94" s="18"/>
      <c r="O94" s="58" t="str">
        <f t="shared" si="49"/>
        <v>1-0000</v>
      </c>
      <c r="P94" s="58" t="str">
        <f t="shared" si="50"/>
        <v>1-3000</v>
      </c>
      <c r="Q94" s="58" t="str">
        <f t="shared" si="51"/>
        <v>1-3200</v>
      </c>
      <c r="R94" s="58" t="str">
        <f t="shared" si="52"/>
        <v>1-3205</v>
      </c>
      <c r="S94" s="58" t="str">
        <f t="shared" si="53"/>
        <v>1-3205.01</v>
      </c>
      <c r="T94" s="58" t="str">
        <f t="shared" si="54"/>
        <v xml:space="preserve"> </v>
      </c>
      <c r="V94" s="72">
        <f t="shared" si="55"/>
        <v>65000000000090</v>
      </c>
      <c r="W94" s="60">
        <f t="shared" si="56"/>
        <v>65000000000001</v>
      </c>
      <c r="X94" s="60">
        <f t="shared" si="57"/>
        <v>65000000000056</v>
      </c>
      <c r="Y94" s="60">
        <f t="shared" si="58"/>
        <v>65000000000080</v>
      </c>
      <c r="Z94" s="60">
        <f t="shared" si="59"/>
        <v>65000000000089</v>
      </c>
      <c r="AA94" s="60">
        <f t="shared" si="42"/>
        <v>65000000000090</v>
      </c>
      <c r="AB94" s="60">
        <f t="shared" si="60"/>
        <v>65000000000000</v>
      </c>
      <c r="AD94" s="60">
        <f t="shared" si="63"/>
        <v>1</v>
      </c>
      <c r="AE94" s="60">
        <f t="shared" si="64"/>
        <v>4</v>
      </c>
      <c r="AF94" s="60">
        <f t="shared" si="65"/>
        <v>3</v>
      </c>
      <c r="AG94" s="60">
        <f t="shared" si="66"/>
        <v>6</v>
      </c>
      <c r="AH94" s="60">
        <f t="shared" si="67"/>
        <v>2</v>
      </c>
      <c r="AI94" s="60">
        <f t="shared" si="68"/>
        <v>1</v>
      </c>
      <c r="AK94" s="68" t="str">
        <f t="shared" si="43"/>
        <v>L5</v>
      </c>
      <c r="AM94" s="64" t="s">
        <v>1755</v>
      </c>
      <c r="AN94" s="64">
        <f t="shared" si="44"/>
        <v>65000000000001</v>
      </c>
      <c r="AO94" s="64">
        <f t="shared" si="45"/>
        <v>65000000000056</v>
      </c>
      <c r="AP94" s="64">
        <f t="shared" si="46"/>
        <v>65000000000080</v>
      </c>
      <c r="AQ94" s="64">
        <f t="shared" si="47"/>
        <v>65000000000089</v>
      </c>
      <c r="AS94" s="64">
        <f t="shared" si="48"/>
        <v>65000000000089</v>
      </c>
      <c r="AU94" s="59" t="str">
        <f t="shared" si="69"/>
        <v>PERFORM * FROM "SchData-OLTP-Accounting"."Func_TblChartOfAccount_SET"(varSystemLoginSession, null, null, null, varInstitutionBranchID, 62000000000001::bigint,'1-3205.01', 'Akumulasi Penyusutan Sundry Plant &amp; Equipment (IDR)', 62000000000001::bigint, '2016-01-01 00:00:00'::timestamp, null::timestamp, 65000000000089::bigint, 66000000000001::bigint);</v>
      </c>
      <c r="AV94" s="65">
        <f t="shared" si="70"/>
        <v>65000000000090</v>
      </c>
      <c r="AW94" s="65">
        <f t="shared" si="71"/>
        <v>65000000000089</v>
      </c>
      <c r="AY94" s="65">
        <f t="shared" si="61"/>
        <v>65000000000089</v>
      </c>
      <c r="BA94" s="78">
        <f t="shared" si="72"/>
        <v>65000000000090</v>
      </c>
      <c r="BB94" s="81" t="str">
        <f t="shared" si="62"/>
        <v>PERFORM * FROM "SchData-OLTP-Accounting"."Func_TblChartOfAccount_SET"(varSystemLoginSession, null, null, null, null, null, varInstitutionBranchID, 62000000000001::bigint,'1-3205.01', 'Akumulasi Penyusutan Sundry Plant &amp; Equipment (IDR)', 62000000000001::bigint, '2016-01-01 00:00:00'::timestamp, null::timestamp, 65000000000089::bigint, 66000000000001::bigint, TRUE::boolean);</v>
      </c>
    </row>
    <row r="95" spans="2:54" ht="25.5" x14ac:dyDescent="0.2">
      <c r="B95" s="39"/>
      <c r="C95" s="40"/>
      <c r="D95" s="43"/>
      <c r="E95" s="42"/>
      <c r="F95" s="43"/>
      <c r="G95" s="42"/>
      <c r="H95" s="51" t="s">
        <v>841</v>
      </c>
      <c r="I95" s="18" t="s">
        <v>1132</v>
      </c>
      <c r="J95" s="51"/>
      <c r="K95" s="18"/>
      <c r="L95" s="51"/>
      <c r="M95" s="18"/>
      <c r="O95" s="58" t="str">
        <f t="shared" si="49"/>
        <v>1-0000</v>
      </c>
      <c r="P95" s="58" t="str">
        <f t="shared" si="50"/>
        <v>1-3000</v>
      </c>
      <c r="Q95" s="58" t="str">
        <f t="shared" si="51"/>
        <v>1-3200</v>
      </c>
      <c r="R95" s="58" t="str">
        <f t="shared" si="52"/>
        <v>1-3206</v>
      </c>
      <c r="S95" s="58" t="str">
        <f t="shared" si="53"/>
        <v>1-3205.01</v>
      </c>
      <c r="T95" s="58" t="str">
        <f t="shared" si="54"/>
        <v xml:space="preserve"> </v>
      </c>
      <c r="V95" s="72">
        <f t="shared" si="55"/>
        <v>65000000000091</v>
      </c>
      <c r="W95" s="60">
        <f t="shared" si="56"/>
        <v>65000000000001</v>
      </c>
      <c r="X95" s="60">
        <f t="shared" si="57"/>
        <v>65000000000056</v>
      </c>
      <c r="Y95" s="60">
        <f t="shared" si="58"/>
        <v>65000000000080</v>
      </c>
      <c r="Z95" s="60">
        <f t="shared" si="59"/>
        <v>65000000000091</v>
      </c>
      <c r="AA95" s="60">
        <f t="shared" si="42"/>
        <v>65000000000090</v>
      </c>
      <c r="AB95" s="60">
        <f t="shared" si="60"/>
        <v>65000000000000</v>
      </c>
      <c r="AD95" s="60">
        <f t="shared" si="63"/>
        <v>1</v>
      </c>
      <c r="AE95" s="60">
        <f t="shared" si="64"/>
        <v>4</v>
      </c>
      <c r="AF95" s="60">
        <f t="shared" si="65"/>
        <v>3</v>
      </c>
      <c r="AG95" s="60">
        <f t="shared" si="66"/>
        <v>7</v>
      </c>
      <c r="AH95" s="60">
        <f t="shared" si="67"/>
        <v>1</v>
      </c>
      <c r="AI95" s="60">
        <f t="shared" si="68"/>
        <v>1</v>
      </c>
      <c r="AK95" s="68" t="str">
        <f t="shared" si="43"/>
        <v>L4</v>
      </c>
      <c r="AM95" s="64" t="s">
        <v>1755</v>
      </c>
      <c r="AN95" s="64">
        <f t="shared" si="44"/>
        <v>65000000000001</v>
      </c>
      <c r="AO95" s="64">
        <f t="shared" si="45"/>
        <v>65000000000056</v>
      </c>
      <c r="AP95" s="64">
        <f t="shared" si="46"/>
        <v>65000000000080</v>
      </c>
      <c r="AQ95" s="64">
        <f t="shared" si="47"/>
        <v>65000000000089</v>
      </c>
      <c r="AS95" s="64">
        <f t="shared" si="48"/>
        <v>65000000000080</v>
      </c>
      <c r="AU95" s="59" t="str">
        <f t="shared" si="69"/>
        <v>PERFORM * FROM "SchData-OLTP-Accounting"."Func_TblChartOfAccount_SET"(varSystemLoginSession, null, null, null, varInstitutionBranchID, 62000000000001::bigint,'1-3206', 'Akumulasi Penyusutan Test Equipment', 62000000000001::bigint, '2016-01-01 00:00:00'::timestamp, null::timestamp, 65000000000080::bigint, 66000000000001::bigint);</v>
      </c>
      <c r="AV95" s="65">
        <f t="shared" si="70"/>
        <v>65000000000091</v>
      </c>
      <c r="AW95" s="65">
        <f t="shared" si="71"/>
        <v>65000000000080</v>
      </c>
      <c r="AY95" s="65">
        <f t="shared" si="61"/>
        <v>65000000000080</v>
      </c>
      <c r="BA95" s="78">
        <f t="shared" si="72"/>
        <v>65000000000091</v>
      </c>
      <c r="BB95" s="81" t="str">
        <f t="shared" si="62"/>
        <v>PERFORM * FROM "SchData-OLTP-Accounting"."Func_TblChartOfAccount_SET"(varSystemLoginSession, null, null, null, null, null, varInstitutionBranchID, 62000000000001::bigint,'1-3206', 'Akumulasi Penyusutan Test Equipment', 62000000000001::bigint, '2016-01-01 00:00:00'::timestamp, null::timestamp, 65000000000080::bigint, 66000000000001::bigint, TRUE::boolean);</v>
      </c>
    </row>
    <row r="96" spans="2:54" ht="25.5" x14ac:dyDescent="0.2">
      <c r="B96" s="39"/>
      <c r="C96" s="40"/>
      <c r="D96" s="43"/>
      <c r="E96" s="42"/>
      <c r="F96" s="43"/>
      <c r="G96" s="42"/>
      <c r="H96" s="51"/>
      <c r="I96" s="18"/>
      <c r="J96" s="51" t="s">
        <v>1153</v>
      </c>
      <c r="K96" s="18" t="s">
        <v>1243</v>
      </c>
      <c r="L96" s="51"/>
      <c r="M96" s="18"/>
      <c r="O96" s="58" t="str">
        <f t="shared" si="49"/>
        <v>1-0000</v>
      </c>
      <c r="P96" s="58" t="str">
        <f t="shared" si="50"/>
        <v>1-3000</v>
      </c>
      <c r="Q96" s="58" t="str">
        <f t="shared" si="51"/>
        <v>1-3200</v>
      </c>
      <c r="R96" s="58" t="str">
        <f t="shared" si="52"/>
        <v>1-3206</v>
      </c>
      <c r="S96" s="58" t="str">
        <f t="shared" si="53"/>
        <v>1-3206.01</v>
      </c>
      <c r="T96" s="58" t="str">
        <f t="shared" si="54"/>
        <v xml:space="preserve"> </v>
      </c>
      <c r="V96" s="72">
        <f t="shared" si="55"/>
        <v>65000000000092</v>
      </c>
      <c r="W96" s="60">
        <f t="shared" si="56"/>
        <v>65000000000001</v>
      </c>
      <c r="X96" s="60">
        <f t="shared" si="57"/>
        <v>65000000000056</v>
      </c>
      <c r="Y96" s="60">
        <f t="shared" si="58"/>
        <v>65000000000080</v>
      </c>
      <c r="Z96" s="60">
        <f t="shared" si="59"/>
        <v>65000000000091</v>
      </c>
      <c r="AA96" s="60">
        <f t="shared" si="42"/>
        <v>65000000000092</v>
      </c>
      <c r="AB96" s="60">
        <f t="shared" si="60"/>
        <v>65000000000000</v>
      </c>
      <c r="AD96" s="60">
        <f t="shared" si="63"/>
        <v>1</v>
      </c>
      <c r="AE96" s="60">
        <f t="shared" si="64"/>
        <v>4</v>
      </c>
      <c r="AF96" s="60">
        <f t="shared" si="65"/>
        <v>3</v>
      </c>
      <c r="AG96" s="60">
        <f t="shared" si="66"/>
        <v>7</v>
      </c>
      <c r="AH96" s="60">
        <f t="shared" si="67"/>
        <v>2</v>
      </c>
      <c r="AI96" s="60">
        <f t="shared" si="68"/>
        <v>1</v>
      </c>
      <c r="AK96" s="68" t="str">
        <f t="shared" si="43"/>
        <v>L5</v>
      </c>
      <c r="AM96" s="64" t="s">
        <v>1755</v>
      </c>
      <c r="AN96" s="64">
        <f t="shared" si="44"/>
        <v>65000000000001</v>
      </c>
      <c r="AO96" s="64">
        <f t="shared" si="45"/>
        <v>65000000000056</v>
      </c>
      <c r="AP96" s="64">
        <f t="shared" si="46"/>
        <v>65000000000080</v>
      </c>
      <c r="AQ96" s="64">
        <f t="shared" si="47"/>
        <v>65000000000091</v>
      </c>
      <c r="AS96" s="64">
        <f t="shared" si="48"/>
        <v>65000000000091</v>
      </c>
      <c r="AU96" s="59" t="str">
        <f t="shared" si="69"/>
        <v>PERFORM * FROM "SchData-OLTP-Accounting"."Func_TblChartOfAccount_SET"(varSystemLoginSession, null, null, null, varInstitutionBranchID, 62000000000001::bigint,'1-3206.01', 'Akumulasi Penyusutan Test Equipment (IDR)', 62000000000001::bigint, '2016-01-01 00:00:00'::timestamp, null::timestamp, 65000000000091::bigint, 66000000000001::bigint);</v>
      </c>
      <c r="AV96" s="65">
        <f t="shared" si="70"/>
        <v>65000000000092</v>
      </c>
      <c r="AW96" s="65">
        <f t="shared" si="71"/>
        <v>65000000000091</v>
      </c>
      <c r="AY96" s="65">
        <f t="shared" si="61"/>
        <v>65000000000091</v>
      </c>
      <c r="BA96" s="78">
        <f t="shared" si="72"/>
        <v>65000000000092</v>
      </c>
      <c r="BB96" s="81" t="str">
        <f t="shared" si="62"/>
        <v>PERFORM * FROM "SchData-OLTP-Accounting"."Func_TblChartOfAccount_SET"(varSystemLoginSession, null, null, null, null, null, varInstitutionBranchID, 62000000000001::bigint,'1-3206.01', 'Akumulasi Penyusutan Test Equipment (IDR)', 62000000000001::bigint, '2016-01-01 00:00:00'::timestamp, null::timestamp, 65000000000091::bigint, 66000000000001::bigint, TRUE::boolean);</v>
      </c>
    </row>
    <row r="97" spans="2:54" ht="25.5" x14ac:dyDescent="0.2">
      <c r="B97" s="39"/>
      <c r="C97" s="40"/>
      <c r="D97" s="43"/>
      <c r="E97" s="42"/>
      <c r="F97" s="43"/>
      <c r="G97" s="42"/>
      <c r="H97" s="51" t="s">
        <v>842</v>
      </c>
      <c r="I97" s="18" t="s">
        <v>1134</v>
      </c>
      <c r="J97" s="51"/>
      <c r="K97" s="18"/>
      <c r="L97" s="51"/>
      <c r="M97" s="18"/>
      <c r="O97" s="58" t="str">
        <f t="shared" si="49"/>
        <v>1-0000</v>
      </c>
      <c r="P97" s="58" t="str">
        <f t="shared" si="50"/>
        <v>1-3000</v>
      </c>
      <c r="Q97" s="58" t="str">
        <f t="shared" si="51"/>
        <v>1-3200</v>
      </c>
      <c r="R97" s="58" t="str">
        <f t="shared" si="52"/>
        <v>1-3207</v>
      </c>
      <c r="S97" s="58" t="str">
        <f t="shared" si="53"/>
        <v>1-3206.01</v>
      </c>
      <c r="T97" s="58" t="str">
        <f t="shared" si="54"/>
        <v xml:space="preserve"> </v>
      </c>
      <c r="V97" s="72">
        <f t="shared" si="55"/>
        <v>65000000000093</v>
      </c>
      <c r="W97" s="60">
        <f t="shared" si="56"/>
        <v>65000000000001</v>
      </c>
      <c r="X97" s="60">
        <f t="shared" si="57"/>
        <v>65000000000056</v>
      </c>
      <c r="Y97" s="60">
        <f t="shared" si="58"/>
        <v>65000000000080</v>
      </c>
      <c r="Z97" s="60">
        <f t="shared" si="59"/>
        <v>65000000000093</v>
      </c>
      <c r="AA97" s="60">
        <f t="shared" si="42"/>
        <v>65000000000092</v>
      </c>
      <c r="AB97" s="60">
        <f t="shared" si="60"/>
        <v>65000000000000</v>
      </c>
      <c r="AD97" s="60">
        <f t="shared" si="63"/>
        <v>1</v>
      </c>
      <c r="AE97" s="60">
        <f t="shared" si="64"/>
        <v>4</v>
      </c>
      <c r="AF97" s="60">
        <f t="shared" si="65"/>
        <v>3</v>
      </c>
      <c r="AG97" s="60">
        <f t="shared" si="66"/>
        <v>8</v>
      </c>
      <c r="AH97" s="60">
        <f t="shared" si="67"/>
        <v>1</v>
      </c>
      <c r="AI97" s="60">
        <f t="shared" si="68"/>
        <v>1</v>
      </c>
      <c r="AK97" s="68" t="str">
        <f t="shared" si="43"/>
        <v>L4</v>
      </c>
      <c r="AM97" s="64" t="s">
        <v>1755</v>
      </c>
      <c r="AN97" s="64">
        <f t="shared" si="44"/>
        <v>65000000000001</v>
      </c>
      <c r="AO97" s="64">
        <f t="shared" si="45"/>
        <v>65000000000056</v>
      </c>
      <c r="AP97" s="64">
        <f t="shared" si="46"/>
        <v>65000000000080</v>
      </c>
      <c r="AQ97" s="64">
        <f t="shared" si="47"/>
        <v>65000000000091</v>
      </c>
      <c r="AS97" s="64">
        <f t="shared" si="48"/>
        <v>65000000000080</v>
      </c>
      <c r="AU97" s="59" t="str">
        <f t="shared" si="69"/>
        <v>PERFORM * FROM "SchData-OLTP-Accounting"."Func_TblChartOfAccount_SET"(varSystemLoginSession, null, null, null, varInstitutionBranchID, 62000000000001::bigint,'1-3207', 'Akumulasi Penyusutan Motor Vehicle', 62000000000001::bigint, '2016-01-01 00:00:00'::timestamp, null::timestamp, 65000000000080::bigint, 66000000000001::bigint);</v>
      </c>
      <c r="AV97" s="65">
        <f t="shared" si="70"/>
        <v>65000000000093</v>
      </c>
      <c r="AW97" s="65">
        <f t="shared" si="71"/>
        <v>65000000000080</v>
      </c>
      <c r="AY97" s="65">
        <f t="shared" si="61"/>
        <v>65000000000080</v>
      </c>
      <c r="BA97" s="78">
        <f t="shared" si="72"/>
        <v>65000000000093</v>
      </c>
      <c r="BB97" s="81" t="str">
        <f t="shared" si="62"/>
        <v>PERFORM * FROM "SchData-OLTP-Accounting"."Func_TblChartOfAccount_SET"(varSystemLoginSession, null, null, null, null, null, varInstitutionBranchID, 62000000000001::bigint,'1-3207', 'Akumulasi Penyusutan Motor Vehicle', 62000000000001::bigint, '2016-01-01 00:00:00'::timestamp, null::timestamp, 65000000000080::bigint, 66000000000001::bigint, TRUE::boolean);</v>
      </c>
    </row>
    <row r="98" spans="2:54" ht="25.5" x14ac:dyDescent="0.2">
      <c r="B98" s="39"/>
      <c r="C98" s="40"/>
      <c r="D98" s="43"/>
      <c r="E98" s="42"/>
      <c r="F98" s="43"/>
      <c r="G98" s="42"/>
      <c r="H98" s="51"/>
      <c r="I98" s="18"/>
      <c r="J98" s="51" t="s">
        <v>1154</v>
      </c>
      <c r="K98" s="18" t="s">
        <v>1244</v>
      </c>
      <c r="L98" s="51"/>
      <c r="M98" s="18"/>
      <c r="O98" s="58" t="str">
        <f t="shared" si="49"/>
        <v>1-0000</v>
      </c>
      <c r="P98" s="58" t="str">
        <f t="shared" si="50"/>
        <v>1-3000</v>
      </c>
      <c r="Q98" s="58" t="str">
        <f t="shared" si="51"/>
        <v>1-3200</v>
      </c>
      <c r="R98" s="58" t="str">
        <f t="shared" si="52"/>
        <v>1-3207</v>
      </c>
      <c r="S98" s="58" t="str">
        <f t="shared" si="53"/>
        <v>1-3207.01</v>
      </c>
      <c r="T98" s="58" t="str">
        <f t="shared" si="54"/>
        <v xml:space="preserve"> </v>
      </c>
      <c r="V98" s="72">
        <f t="shared" si="55"/>
        <v>65000000000094</v>
      </c>
      <c r="W98" s="60">
        <f t="shared" si="56"/>
        <v>65000000000001</v>
      </c>
      <c r="X98" s="60">
        <f t="shared" si="57"/>
        <v>65000000000056</v>
      </c>
      <c r="Y98" s="60">
        <f t="shared" si="58"/>
        <v>65000000000080</v>
      </c>
      <c r="Z98" s="60">
        <f t="shared" si="59"/>
        <v>65000000000093</v>
      </c>
      <c r="AA98" s="60">
        <f t="shared" si="42"/>
        <v>65000000000094</v>
      </c>
      <c r="AB98" s="60">
        <f t="shared" si="60"/>
        <v>65000000000000</v>
      </c>
      <c r="AD98" s="60">
        <f t="shared" si="63"/>
        <v>1</v>
      </c>
      <c r="AE98" s="60">
        <f t="shared" si="64"/>
        <v>4</v>
      </c>
      <c r="AF98" s="60">
        <f t="shared" si="65"/>
        <v>3</v>
      </c>
      <c r="AG98" s="60">
        <f t="shared" si="66"/>
        <v>8</v>
      </c>
      <c r="AH98" s="60">
        <f t="shared" si="67"/>
        <v>2</v>
      </c>
      <c r="AI98" s="60">
        <f t="shared" si="68"/>
        <v>1</v>
      </c>
      <c r="AK98" s="68" t="str">
        <f t="shared" si="43"/>
        <v>L5</v>
      </c>
      <c r="AM98" s="64" t="s">
        <v>1755</v>
      </c>
      <c r="AN98" s="64">
        <f t="shared" si="44"/>
        <v>65000000000001</v>
      </c>
      <c r="AO98" s="64">
        <f t="shared" si="45"/>
        <v>65000000000056</v>
      </c>
      <c r="AP98" s="64">
        <f t="shared" si="46"/>
        <v>65000000000080</v>
      </c>
      <c r="AQ98" s="64">
        <f t="shared" si="47"/>
        <v>65000000000093</v>
      </c>
      <c r="AS98" s="64">
        <f t="shared" si="48"/>
        <v>65000000000093</v>
      </c>
      <c r="AU98" s="59" t="str">
        <f t="shared" si="69"/>
        <v>PERFORM * FROM "SchData-OLTP-Accounting"."Func_TblChartOfAccount_SET"(varSystemLoginSession, null, null, null, varInstitutionBranchID, 62000000000001::bigint,'1-3207.01', 'Akumulasi Penyusutan Motor Vehicle (IDR)', 62000000000001::bigint, '2016-01-01 00:00:00'::timestamp, null::timestamp, 65000000000093::bigint, 66000000000001::bigint);</v>
      </c>
      <c r="AV98" s="65">
        <f t="shared" si="70"/>
        <v>65000000000094</v>
      </c>
      <c r="AW98" s="65">
        <f t="shared" si="71"/>
        <v>65000000000093</v>
      </c>
      <c r="AY98" s="65">
        <f t="shared" si="61"/>
        <v>65000000000093</v>
      </c>
      <c r="BA98" s="78">
        <f t="shared" si="72"/>
        <v>65000000000094</v>
      </c>
      <c r="BB98" s="81" t="str">
        <f t="shared" si="62"/>
        <v>PERFORM * FROM "SchData-OLTP-Accounting"."Func_TblChartOfAccount_SET"(varSystemLoginSession, null, null, null, null, null, varInstitutionBranchID, 62000000000001::bigint,'1-3207.01', 'Akumulasi Penyusutan Motor Vehicle (IDR)', 62000000000001::bigint, '2016-01-01 00:00:00'::timestamp, null::timestamp, 65000000000093::bigint, 66000000000001::bigint, TRUE::boolean);</v>
      </c>
    </row>
    <row r="99" spans="2:54" ht="25.5" x14ac:dyDescent="0.2">
      <c r="B99" s="39"/>
      <c r="C99" s="40"/>
      <c r="D99" s="43"/>
      <c r="E99" s="42"/>
      <c r="F99" s="43"/>
      <c r="G99" s="42"/>
      <c r="H99" s="51" t="s">
        <v>843</v>
      </c>
      <c r="I99" s="18" t="s">
        <v>1133</v>
      </c>
      <c r="J99" s="51"/>
      <c r="K99" s="18"/>
      <c r="L99" s="51"/>
      <c r="M99" s="18"/>
      <c r="O99" s="58" t="str">
        <f t="shared" si="49"/>
        <v>1-0000</v>
      </c>
      <c r="P99" s="58" t="str">
        <f t="shared" si="50"/>
        <v>1-3000</v>
      </c>
      <c r="Q99" s="58" t="str">
        <f t="shared" si="51"/>
        <v>1-3200</v>
      </c>
      <c r="R99" s="58" t="str">
        <f t="shared" si="52"/>
        <v>1-3208</v>
      </c>
      <c r="S99" s="58" t="str">
        <f t="shared" si="53"/>
        <v>1-3207.01</v>
      </c>
      <c r="T99" s="58" t="str">
        <f t="shared" si="54"/>
        <v xml:space="preserve"> </v>
      </c>
      <c r="V99" s="72">
        <f t="shared" si="55"/>
        <v>65000000000095</v>
      </c>
      <c r="W99" s="60">
        <f t="shared" si="56"/>
        <v>65000000000001</v>
      </c>
      <c r="X99" s="60">
        <f t="shared" si="57"/>
        <v>65000000000056</v>
      </c>
      <c r="Y99" s="60">
        <f t="shared" si="58"/>
        <v>65000000000080</v>
      </c>
      <c r="Z99" s="60">
        <f t="shared" si="59"/>
        <v>65000000000095</v>
      </c>
      <c r="AA99" s="60">
        <f t="shared" si="42"/>
        <v>65000000000094</v>
      </c>
      <c r="AB99" s="60">
        <f t="shared" si="60"/>
        <v>65000000000000</v>
      </c>
      <c r="AD99" s="60">
        <f t="shared" si="63"/>
        <v>1</v>
      </c>
      <c r="AE99" s="60">
        <f t="shared" si="64"/>
        <v>4</v>
      </c>
      <c r="AF99" s="60">
        <f t="shared" si="65"/>
        <v>3</v>
      </c>
      <c r="AG99" s="60">
        <f t="shared" si="66"/>
        <v>9</v>
      </c>
      <c r="AH99" s="60">
        <f t="shared" si="67"/>
        <v>1</v>
      </c>
      <c r="AI99" s="60">
        <f t="shared" si="68"/>
        <v>1</v>
      </c>
      <c r="AK99" s="68" t="str">
        <f t="shared" si="43"/>
        <v>L4</v>
      </c>
      <c r="AM99" s="64" t="s">
        <v>1755</v>
      </c>
      <c r="AN99" s="64">
        <f t="shared" si="44"/>
        <v>65000000000001</v>
      </c>
      <c r="AO99" s="64">
        <f t="shared" si="45"/>
        <v>65000000000056</v>
      </c>
      <c r="AP99" s="64">
        <f t="shared" si="46"/>
        <v>65000000000080</v>
      </c>
      <c r="AQ99" s="64">
        <f t="shared" si="47"/>
        <v>65000000000093</v>
      </c>
      <c r="AS99" s="64">
        <f t="shared" si="48"/>
        <v>65000000000080</v>
      </c>
      <c r="AU99" s="59" t="str">
        <f t="shared" si="69"/>
        <v>PERFORM * FROM "SchData-OLTP-Accounting"."Func_TblChartOfAccount_SET"(varSystemLoginSession, null, null, null, varInstitutionBranchID, 62000000000001::bigint,'1-3208', 'Akumulasi Penyusutan Tools', 62000000000001::bigint, '2016-01-01 00:00:00'::timestamp, null::timestamp, 65000000000080::bigint, 66000000000001::bigint);</v>
      </c>
      <c r="AV99" s="65">
        <f t="shared" si="70"/>
        <v>65000000000095</v>
      </c>
      <c r="AW99" s="65">
        <f t="shared" si="71"/>
        <v>65000000000080</v>
      </c>
      <c r="AY99" s="65">
        <f t="shared" si="61"/>
        <v>65000000000080</v>
      </c>
      <c r="BA99" s="78">
        <f t="shared" si="72"/>
        <v>65000000000095</v>
      </c>
      <c r="BB99" s="81" t="str">
        <f t="shared" si="62"/>
        <v>PERFORM * FROM "SchData-OLTP-Accounting"."Func_TblChartOfAccount_SET"(varSystemLoginSession, null, null, null, null, null, varInstitutionBranchID, 62000000000001::bigint,'1-3208', 'Akumulasi Penyusutan Tools', 62000000000001::bigint, '2016-01-01 00:00:00'::timestamp, null::timestamp, 65000000000080::bigint, 66000000000001::bigint, TRUE::boolean);</v>
      </c>
    </row>
    <row r="100" spans="2:54" x14ac:dyDescent="0.2">
      <c r="B100" s="39"/>
      <c r="C100" s="40"/>
      <c r="D100" s="43"/>
      <c r="E100" s="42"/>
      <c r="F100" s="43"/>
      <c r="G100" s="42"/>
      <c r="H100" s="51"/>
      <c r="I100" s="18"/>
      <c r="J100" s="51" t="s">
        <v>1155</v>
      </c>
      <c r="K100" s="18" t="s">
        <v>1245</v>
      </c>
      <c r="L100" s="51"/>
      <c r="M100" s="18"/>
      <c r="O100" s="58" t="str">
        <f t="shared" si="49"/>
        <v>1-0000</v>
      </c>
      <c r="P100" s="58" t="str">
        <f t="shared" si="50"/>
        <v>1-3000</v>
      </c>
      <c r="Q100" s="58" t="str">
        <f t="shared" si="51"/>
        <v>1-3200</v>
      </c>
      <c r="R100" s="58" t="str">
        <f t="shared" si="52"/>
        <v>1-3208</v>
      </c>
      <c r="S100" s="58" t="str">
        <f t="shared" si="53"/>
        <v>1-3208.01</v>
      </c>
      <c r="T100" s="58" t="str">
        <f t="shared" si="54"/>
        <v xml:space="preserve"> </v>
      </c>
      <c r="V100" s="72">
        <f t="shared" si="55"/>
        <v>65000000000096</v>
      </c>
      <c r="W100" s="60">
        <f t="shared" si="56"/>
        <v>65000000000001</v>
      </c>
      <c r="X100" s="60">
        <f t="shared" si="57"/>
        <v>65000000000056</v>
      </c>
      <c r="Y100" s="60">
        <f t="shared" si="58"/>
        <v>65000000000080</v>
      </c>
      <c r="Z100" s="60">
        <f t="shared" si="59"/>
        <v>65000000000095</v>
      </c>
      <c r="AA100" s="60">
        <f t="shared" si="42"/>
        <v>65000000000096</v>
      </c>
      <c r="AB100" s="60">
        <f t="shared" si="60"/>
        <v>65000000000000</v>
      </c>
      <c r="AD100" s="60">
        <f t="shared" si="63"/>
        <v>1</v>
      </c>
      <c r="AE100" s="60">
        <f t="shared" si="64"/>
        <v>4</v>
      </c>
      <c r="AF100" s="60">
        <f t="shared" si="65"/>
        <v>3</v>
      </c>
      <c r="AG100" s="60">
        <f t="shared" si="66"/>
        <v>9</v>
      </c>
      <c r="AH100" s="60">
        <f t="shared" si="67"/>
        <v>2</v>
      </c>
      <c r="AI100" s="60">
        <f t="shared" si="68"/>
        <v>1</v>
      </c>
      <c r="AK100" s="68" t="str">
        <f t="shared" si="43"/>
        <v>L5</v>
      </c>
      <c r="AM100" s="64" t="s">
        <v>1755</v>
      </c>
      <c r="AN100" s="64">
        <f t="shared" si="44"/>
        <v>65000000000001</v>
      </c>
      <c r="AO100" s="64">
        <f t="shared" si="45"/>
        <v>65000000000056</v>
      </c>
      <c r="AP100" s="64">
        <f t="shared" si="46"/>
        <v>65000000000080</v>
      </c>
      <c r="AQ100" s="64">
        <f t="shared" si="47"/>
        <v>65000000000095</v>
      </c>
      <c r="AS100" s="64">
        <f t="shared" si="48"/>
        <v>65000000000095</v>
      </c>
      <c r="AU100" s="59" t="str">
        <f t="shared" si="69"/>
        <v>PERFORM * FROM "SchData-OLTP-Accounting"."Func_TblChartOfAccount_SET"(varSystemLoginSession, null, null, null, varInstitutionBranchID, 62000000000001::bigint,'1-3208.01', 'Akumulasi Penyusutan Tools (IDR)', 62000000000001::bigint, '2016-01-01 00:00:00'::timestamp, null::timestamp, 65000000000095::bigint, 66000000000001::bigint);</v>
      </c>
      <c r="AV100" s="65">
        <f t="shared" si="70"/>
        <v>65000000000096</v>
      </c>
      <c r="AW100" s="65">
        <f t="shared" si="71"/>
        <v>65000000000095</v>
      </c>
      <c r="AY100" s="65">
        <f t="shared" si="61"/>
        <v>65000000000095</v>
      </c>
      <c r="BA100" s="78">
        <f t="shared" si="72"/>
        <v>65000000000096</v>
      </c>
      <c r="BB100" s="81" t="str">
        <f t="shared" si="62"/>
        <v>PERFORM * FROM "SchData-OLTP-Accounting"."Func_TblChartOfAccount_SET"(varSystemLoginSession, null, null, null, null, null, varInstitutionBranchID, 62000000000001::bigint,'1-3208.01', 'Akumulasi Penyusutan Tools (IDR)', 62000000000001::bigint, '2016-01-01 00:00:00'::timestamp, null::timestamp, 65000000000095::bigint, 66000000000001::bigint, TRUE::boolean);</v>
      </c>
    </row>
    <row r="101" spans="2:54" ht="25.5" x14ac:dyDescent="0.2">
      <c r="B101" s="39"/>
      <c r="C101" s="40"/>
      <c r="D101" s="43"/>
      <c r="E101" s="42"/>
      <c r="F101" s="43"/>
      <c r="G101" s="42"/>
      <c r="H101" s="51" t="s">
        <v>844</v>
      </c>
      <c r="I101" s="18" t="s">
        <v>1135</v>
      </c>
      <c r="J101" s="51"/>
      <c r="K101" s="18"/>
      <c r="L101" s="51"/>
      <c r="M101" s="18"/>
      <c r="O101" s="58" t="str">
        <f t="shared" si="49"/>
        <v>1-0000</v>
      </c>
      <c r="P101" s="58" t="str">
        <f t="shared" si="50"/>
        <v>1-3000</v>
      </c>
      <c r="Q101" s="58" t="str">
        <f t="shared" si="51"/>
        <v>1-3200</v>
      </c>
      <c r="R101" s="58" t="str">
        <f t="shared" si="52"/>
        <v>1-3209</v>
      </c>
      <c r="S101" s="58" t="str">
        <f t="shared" si="53"/>
        <v>1-3208.01</v>
      </c>
      <c r="T101" s="58" t="str">
        <f t="shared" si="54"/>
        <v xml:space="preserve"> </v>
      </c>
      <c r="V101" s="72">
        <f t="shared" si="55"/>
        <v>65000000000097</v>
      </c>
      <c r="W101" s="60">
        <f t="shared" si="56"/>
        <v>65000000000001</v>
      </c>
      <c r="X101" s="60">
        <f t="shared" si="57"/>
        <v>65000000000056</v>
      </c>
      <c r="Y101" s="60">
        <f t="shared" si="58"/>
        <v>65000000000080</v>
      </c>
      <c r="Z101" s="60">
        <f t="shared" si="59"/>
        <v>65000000000097</v>
      </c>
      <c r="AA101" s="60">
        <f t="shared" si="42"/>
        <v>65000000000096</v>
      </c>
      <c r="AB101" s="60">
        <f t="shared" si="60"/>
        <v>65000000000000</v>
      </c>
      <c r="AD101" s="60">
        <f t="shared" si="63"/>
        <v>1</v>
      </c>
      <c r="AE101" s="60">
        <f t="shared" si="64"/>
        <v>4</v>
      </c>
      <c r="AF101" s="60">
        <f t="shared" si="65"/>
        <v>3</v>
      </c>
      <c r="AG101" s="60">
        <f t="shared" si="66"/>
        <v>10</v>
      </c>
      <c r="AH101" s="60">
        <f t="shared" si="67"/>
        <v>1</v>
      </c>
      <c r="AI101" s="60">
        <f t="shared" si="68"/>
        <v>1</v>
      </c>
      <c r="AK101" s="68" t="str">
        <f t="shared" si="43"/>
        <v>L4</v>
      </c>
      <c r="AM101" s="64" t="s">
        <v>1755</v>
      </c>
      <c r="AN101" s="64">
        <f t="shared" si="44"/>
        <v>65000000000001</v>
      </c>
      <c r="AO101" s="64">
        <f t="shared" si="45"/>
        <v>65000000000056</v>
      </c>
      <c r="AP101" s="64">
        <f t="shared" si="46"/>
        <v>65000000000080</v>
      </c>
      <c r="AQ101" s="64">
        <f t="shared" si="47"/>
        <v>65000000000095</v>
      </c>
      <c r="AS101" s="64">
        <f t="shared" si="48"/>
        <v>65000000000080</v>
      </c>
      <c r="AU101" s="59" t="str">
        <f t="shared" si="69"/>
        <v>PERFORM * FROM "SchData-OLTP-Accounting"."Func_TblChartOfAccount_SET"(varSystemLoginSession, null, null, null, varInstitutionBranchID, 62000000000001::bigint,'1-3209', 'Akumulasi Penyusutan Furniture Fitting', 62000000000001::bigint, '2016-01-01 00:00:00'::timestamp, null::timestamp, 65000000000080::bigint, 66000000000001::bigint);</v>
      </c>
      <c r="AV101" s="65">
        <f t="shared" si="70"/>
        <v>65000000000097</v>
      </c>
      <c r="AW101" s="65">
        <f t="shared" si="71"/>
        <v>65000000000080</v>
      </c>
      <c r="AY101" s="65">
        <f t="shared" si="61"/>
        <v>65000000000080</v>
      </c>
      <c r="BA101" s="78">
        <f t="shared" si="72"/>
        <v>65000000000097</v>
      </c>
      <c r="BB101" s="81" t="str">
        <f t="shared" si="62"/>
        <v>PERFORM * FROM "SchData-OLTP-Accounting"."Func_TblChartOfAccount_SET"(varSystemLoginSession, null, null, null, null, null, varInstitutionBranchID, 62000000000001::bigint,'1-3209', 'Akumulasi Penyusutan Furniture Fitting', 62000000000001::bigint, '2016-01-01 00:00:00'::timestamp, null::timestamp, 65000000000080::bigint, 66000000000001::bigint, TRUE::boolean);</v>
      </c>
    </row>
    <row r="102" spans="2:54" ht="25.5" x14ac:dyDescent="0.2">
      <c r="B102" s="39"/>
      <c r="C102" s="40"/>
      <c r="D102" s="43"/>
      <c r="E102" s="42"/>
      <c r="F102" s="43"/>
      <c r="G102" s="42"/>
      <c r="H102" s="51"/>
      <c r="I102" s="18"/>
      <c r="J102" s="51" t="s">
        <v>1156</v>
      </c>
      <c r="K102" s="18" t="s">
        <v>1246</v>
      </c>
      <c r="L102" s="51"/>
      <c r="M102" s="18"/>
      <c r="O102" s="58" t="str">
        <f t="shared" si="49"/>
        <v>1-0000</v>
      </c>
      <c r="P102" s="58" t="str">
        <f t="shared" si="50"/>
        <v>1-3000</v>
      </c>
      <c r="Q102" s="58" t="str">
        <f t="shared" si="51"/>
        <v>1-3200</v>
      </c>
      <c r="R102" s="58" t="str">
        <f t="shared" si="52"/>
        <v>1-3209</v>
      </c>
      <c r="S102" s="58" t="str">
        <f t="shared" si="53"/>
        <v>1-3209.01</v>
      </c>
      <c r="T102" s="58" t="str">
        <f t="shared" si="54"/>
        <v xml:space="preserve"> </v>
      </c>
      <c r="V102" s="72">
        <f t="shared" si="55"/>
        <v>65000000000098</v>
      </c>
      <c r="W102" s="60">
        <f t="shared" si="56"/>
        <v>65000000000001</v>
      </c>
      <c r="X102" s="60">
        <f t="shared" si="57"/>
        <v>65000000000056</v>
      </c>
      <c r="Y102" s="60">
        <f t="shared" si="58"/>
        <v>65000000000080</v>
      </c>
      <c r="Z102" s="60">
        <f t="shared" si="59"/>
        <v>65000000000097</v>
      </c>
      <c r="AA102" s="60">
        <f t="shared" si="42"/>
        <v>65000000000098</v>
      </c>
      <c r="AB102" s="60">
        <f t="shared" si="60"/>
        <v>65000000000000</v>
      </c>
      <c r="AD102" s="60">
        <f t="shared" si="63"/>
        <v>1</v>
      </c>
      <c r="AE102" s="60">
        <f t="shared" si="64"/>
        <v>4</v>
      </c>
      <c r="AF102" s="60">
        <f t="shared" si="65"/>
        <v>3</v>
      </c>
      <c r="AG102" s="60">
        <f t="shared" si="66"/>
        <v>10</v>
      </c>
      <c r="AH102" s="60">
        <f t="shared" si="67"/>
        <v>2</v>
      </c>
      <c r="AI102" s="60">
        <f t="shared" si="68"/>
        <v>1</v>
      </c>
      <c r="AK102" s="68" t="str">
        <f t="shared" si="43"/>
        <v>L5</v>
      </c>
      <c r="AM102" s="64" t="s">
        <v>1755</v>
      </c>
      <c r="AN102" s="64">
        <f t="shared" si="44"/>
        <v>65000000000001</v>
      </c>
      <c r="AO102" s="64">
        <f t="shared" si="45"/>
        <v>65000000000056</v>
      </c>
      <c r="AP102" s="64">
        <f t="shared" si="46"/>
        <v>65000000000080</v>
      </c>
      <c r="AQ102" s="64">
        <f t="shared" si="47"/>
        <v>65000000000097</v>
      </c>
      <c r="AS102" s="64">
        <f t="shared" si="48"/>
        <v>65000000000097</v>
      </c>
      <c r="AU102" s="59" t="str">
        <f t="shared" si="69"/>
        <v>PERFORM * FROM "SchData-OLTP-Accounting"."Func_TblChartOfAccount_SET"(varSystemLoginSession, null, null, null, varInstitutionBranchID, 62000000000001::bigint,'1-3209.01', 'Akumulasi Penyusutan Furniture Fitting (IDR)', 62000000000001::bigint, '2016-01-01 00:00:00'::timestamp, null::timestamp, 65000000000097::bigint, 66000000000001::bigint);</v>
      </c>
      <c r="AV102" s="65">
        <f t="shared" si="70"/>
        <v>65000000000098</v>
      </c>
      <c r="AW102" s="65">
        <f t="shared" si="71"/>
        <v>65000000000097</v>
      </c>
      <c r="AY102" s="65">
        <f t="shared" si="61"/>
        <v>65000000000097</v>
      </c>
      <c r="BA102" s="78">
        <f t="shared" si="72"/>
        <v>65000000000098</v>
      </c>
      <c r="BB102" s="81" t="str">
        <f t="shared" si="62"/>
        <v>PERFORM * FROM "SchData-OLTP-Accounting"."Func_TblChartOfAccount_SET"(varSystemLoginSession, null, null, null, null, null, varInstitutionBranchID, 62000000000001::bigint,'1-3209.01', 'Akumulasi Penyusutan Furniture Fitting (IDR)', 62000000000001::bigint, '2016-01-01 00:00:00'::timestamp, null::timestamp, 65000000000097::bigint, 66000000000001::bigint, TRUE::boolean);</v>
      </c>
    </row>
    <row r="103" spans="2:54" ht="25.5" x14ac:dyDescent="0.2">
      <c r="B103" s="39"/>
      <c r="C103" s="40"/>
      <c r="D103" s="43"/>
      <c r="E103" s="42"/>
      <c r="F103" s="43"/>
      <c r="G103" s="42"/>
      <c r="H103" s="51" t="s">
        <v>845</v>
      </c>
      <c r="I103" s="18" t="s">
        <v>1136</v>
      </c>
      <c r="J103" s="51"/>
      <c r="K103" s="18"/>
      <c r="L103" s="51"/>
      <c r="M103" s="18"/>
      <c r="O103" s="58" t="str">
        <f t="shared" si="49"/>
        <v>1-0000</v>
      </c>
      <c r="P103" s="58" t="str">
        <f t="shared" si="50"/>
        <v>1-3000</v>
      </c>
      <c r="Q103" s="58" t="str">
        <f t="shared" si="51"/>
        <v>1-3200</v>
      </c>
      <c r="R103" s="58" t="str">
        <f t="shared" si="52"/>
        <v>1-3210</v>
      </c>
      <c r="S103" s="58" t="str">
        <f t="shared" si="53"/>
        <v>1-3209.01</v>
      </c>
      <c r="T103" s="58" t="str">
        <f t="shared" si="54"/>
        <v xml:space="preserve"> </v>
      </c>
      <c r="V103" s="72">
        <f t="shared" si="55"/>
        <v>65000000000099</v>
      </c>
      <c r="W103" s="60">
        <f t="shared" si="56"/>
        <v>65000000000001</v>
      </c>
      <c r="X103" s="60">
        <f t="shared" si="57"/>
        <v>65000000000056</v>
      </c>
      <c r="Y103" s="60">
        <f t="shared" si="58"/>
        <v>65000000000080</v>
      </c>
      <c r="Z103" s="60">
        <f t="shared" si="59"/>
        <v>65000000000099</v>
      </c>
      <c r="AA103" s="60">
        <f t="shared" si="42"/>
        <v>65000000000098</v>
      </c>
      <c r="AB103" s="60">
        <f t="shared" si="60"/>
        <v>65000000000000</v>
      </c>
      <c r="AD103" s="60">
        <f t="shared" si="63"/>
        <v>1</v>
      </c>
      <c r="AE103" s="60">
        <f t="shared" si="64"/>
        <v>4</v>
      </c>
      <c r="AF103" s="60">
        <f t="shared" si="65"/>
        <v>3</v>
      </c>
      <c r="AG103" s="60">
        <f t="shared" si="66"/>
        <v>11</v>
      </c>
      <c r="AH103" s="60">
        <f t="shared" si="67"/>
        <v>1</v>
      </c>
      <c r="AI103" s="60">
        <f t="shared" si="68"/>
        <v>1</v>
      </c>
      <c r="AK103" s="68" t="str">
        <f t="shared" si="43"/>
        <v>L4</v>
      </c>
      <c r="AM103" s="64" t="s">
        <v>1755</v>
      </c>
      <c r="AN103" s="64">
        <f t="shared" si="44"/>
        <v>65000000000001</v>
      </c>
      <c r="AO103" s="64">
        <f t="shared" si="45"/>
        <v>65000000000056</v>
      </c>
      <c r="AP103" s="64">
        <f t="shared" si="46"/>
        <v>65000000000080</v>
      </c>
      <c r="AQ103" s="64">
        <f t="shared" si="47"/>
        <v>65000000000097</v>
      </c>
      <c r="AS103" s="64">
        <f t="shared" si="48"/>
        <v>65000000000080</v>
      </c>
      <c r="AU103" s="59" t="str">
        <f t="shared" si="69"/>
        <v>PERFORM * FROM "SchData-OLTP-Accounting"."Func_TblChartOfAccount_SET"(varSystemLoginSession, null, null, null, varInstitutionBranchID, 62000000000001::bigint,'1-3210', 'Akumulasi Penyusutan Mobile Phone', 62000000000001::bigint, '2016-01-01 00:00:00'::timestamp, null::timestamp, 65000000000080::bigint, 66000000000001::bigint);</v>
      </c>
      <c r="AV103" s="65">
        <f t="shared" si="70"/>
        <v>65000000000099</v>
      </c>
      <c r="AW103" s="65">
        <f t="shared" si="71"/>
        <v>65000000000080</v>
      </c>
      <c r="AY103" s="65">
        <f t="shared" si="61"/>
        <v>65000000000080</v>
      </c>
      <c r="BA103" s="78">
        <f t="shared" si="72"/>
        <v>65000000000099</v>
      </c>
      <c r="BB103" s="81" t="str">
        <f t="shared" si="62"/>
        <v>PERFORM * FROM "SchData-OLTP-Accounting"."Func_TblChartOfAccount_SET"(varSystemLoginSession, null, null, null, null, null, varInstitutionBranchID, 62000000000001::bigint,'1-3210', 'Akumulasi Penyusutan Mobile Phone', 62000000000001::bigint, '2016-01-01 00:00:00'::timestamp, null::timestamp, 65000000000080::bigint, 66000000000001::bigint, TRUE::boolean);</v>
      </c>
    </row>
    <row r="104" spans="2:54" ht="25.5" x14ac:dyDescent="0.2">
      <c r="B104" s="39"/>
      <c r="C104" s="40"/>
      <c r="D104" s="43"/>
      <c r="E104" s="42"/>
      <c r="F104" s="43"/>
      <c r="G104" s="42"/>
      <c r="H104" s="51"/>
      <c r="I104" s="18"/>
      <c r="J104" s="51" t="s">
        <v>1157</v>
      </c>
      <c r="K104" s="18" t="s">
        <v>1247</v>
      </c>
      <c r="L104" s="51"/>
      <c r="M104" s="18"/>
      <c r="O104" s="58" t="str">
        <f t="shared" si="49"/>
        <v>1-0000</v>
      </c>
      <c r="P104" s="58" t="str">
        <f t="shared" si="50"/>
        <v>1-3000</v>
      </c>
      <c r="Q104" s="58" t="str">
        <f t="shared" si="51"/>
        <v>1-3200</v>
      </c>
      <c r="R104" s="58" t="str">
        <f t="shared" si="52"/>
        <v>1-3210</v>
      </c>
      <c r="S104" s="58" t="str">
        <f t="shared" si="53"/>
        <v>1-3210.01</v>
      </c>
      <c r="T104" s="58" t="str">
        <f t="shared" si="54"/>
        <v xml:space="preserve"> </v>
      </c>
      <c r="V104" s="72">
        <f t="shared" si="55"/>
        <v>65000000000100</v>
      </c>
      <c r="W104" s="60">
        <f t="shared" si="56"/>
        <v>65000000000001</v>
      </c>
      <c r="X104" s="60">
        <f t="shared" si="57"/>
        <v>65000000000056</v>
      </c>
      <c r="Y104" s="60">
        <f t="shared" si="58"/>
        <v>65000000000080</v>
      </c>
      <c r="Z104" s="60">
        <f t="shared" si="59"/>
        <v>65000000000099</v>
      </c>
      <c r="AA104" s="60">
        <f t="shared" si="42"/>
        <v>65000000000100</v>
      </c>
      <c r="AB104" s="60">
        <f t="shared" si="60"/>
        <v>65000000000000</v>
      </c>
      <c r="AD104" s="60">
        <f t="shared" si="63"/>
        <v>1</v>
      </c>
      <c r="AE104" s="60">
        <f t="shared" si="64"/>
        <v>4</v>
      </c>
      <c r="AF104" s="60">
        <f t="shared" si="65"/>
        <v>3</v>
      </c>
      <c r="AG104" s="60">
        <f t="shared" si="66"/>
        <v>11</v>
      </c>
      <c r="AH104" s="60">
        <f t="shared" si="67"/>
        <v>2</v>
      </c>
      <c r="AI104" s="60">
        <f t="shared" si="68"/>
        <v>1</v>
      </c>
      <c r="AK104" s="68" t="str">
        <f t="shared" si="43"/>
        <v>L5</v>
      </c>
      <c r="AM104" s="64" t="s">
        <v>1755</v>
      </c>
      <c r="AN104" s="64">
        <f t="shared" si="44"/>
        <v>65000000000001</v>
      </c>
      <c r="AO104" s="64">
        <f t="shared" si="45"/>
        <v>65000000000056</v>
      </c>
      <c r="AP104" s="64">
        <f t="shared" si="46"/>
        <v>65000000000080</v>
      </c>
      <c r="AQ104" s="64">
        <f t="shared" si="47"/>
        <v>65000000000099</v>
      </c>
      <c r="AS104" s="64">
        <f t="shared" si="48"/>
        <v>65000000000099</v>
      </c>
      <c r="AU104" s="59" t="str">
        <f t="shared" si="69"/>
        <v>PERFORM * FROM "SchData-OLTP-Accounting"."Func_TblChartOfAccount_SET"(varSystemLoginSession, null, null, null, varInstitutionBranchID, 62000000000001::bigint,'1-3210.01', 'Akumulasi Penyusutan Mobile Phone (IDR)', 62000000000001::bigint, '2016-01-01 00:00:00'::timestamp, null::timestamp, 65000000000099::bigint, 66000000000001::bigint);</v>
      </c>
      <c r="AV104" s="65">
        <f t="shared" si="70"/>
        <v>65000000000100</v>
      </c>
      <c r="AW104" s="65">
        <f t="shared" si="71"/>
        <v>65000000000099</v>
      </c>
      <c r="AY104" s="65">
        <f t="shared" si="61"/>
        <v>65000000000099</v>
      </c>
      <c r="BA104" s="78">
        <f t="shared" si="72"/>
        <v>65000000000100</v>
      </c>
      <c r="BB104" s="81" t="str">
        <f t="shared" si="62"/>
        <v>PERFORM * FROM "SchData-OLTP-Accounting"."Func_TblChartOfAccount_SET"(varSystemLoginSession, null, null, null, null, null, varInstitutionBranchID, 62000000000001::bigint,'1-3210.01', 'Akumulasi Penyusutan Mobile Phone (IDR)', 62000000000001::bigint, '2016-01-01 00:00:00'::timestamp, null::timestamp, 65000000000099::bigint, 66000000000001::bigint, TRUE::boolean);</v>
      </c>
    </row>
    <row r="105" spans="2:54" x14ac:dyDescent="0.2">
      <c r="B105" s="39"/>
      <c r="C105" s="40"/>
      <c r="D105" s="39"/>
      <c r="E105" s="40"/>
      <c r="F105" s="39"/>
      <c r="G105" s="40"/>
      <c r="H105" s="50"/>
      <c r="I105" s="33"/>
      <c r="J105" s="51"/>
      <c r="K105" s="18"/>
      <c r="L105" s="50"/>
      <c r="M105" s="33"/>
      <c r="O105" s="58" t="str">
        <f t="shared" si="49"/>
        <v>1-0000</v>
      </c>
      <c r="P105" s="58" t="str">
        <f t="shared" si="50"/>
        <v>1-3000</v>
      </c>
      <c r="Q105" s="58" t="str">
        <f t="shared" si="51"/>
        <v>1-3200</v>
      </c>
      <c r="R105" s="58" t="str">
        <f t="shared" si="52"/>
        <v>1-3210</v>
      </c>
      <c r="S105" s="58" t="str">
        <f t="shared" si="53"/>
        <v>1-3210.01</v>
      </c>
      <c r="T105" s="58" t="str">
        <f t="shared" si="54"/>
        <v xml:space="preserve"> </v>
      </c>
      <c r="V105" s="72">
        <f t="shared" si="55"/>
        <v>65000000000100</v>
      </c>
      <c r="W105" s="60">
        <f t="shared" si="56"/>
        <v>65000000000001</v>
      </c>
      <c r="X105" s="60">
        <f t="shared" si="57"/>
        <v>65000000000056</v>
      </c>
      <c r="Y105" s="60">
        <f t="shared" si="58"/>
        <v>65000000000080</v>
      </c>
      <c r="Z105" s="60">
        <f t="shared" si="59"/>
        <v>65000000000099</v>
      </c>
      <c r="AA105" s="60">
        <f t="shared" si="42"/>
        <v>65000000000100</v>
      </c>
      <c r="AB105" s="60">
        <f t="shared" si="60"/>
        <v>65000000000000</v>
      </c>
      <c r="AD105" s="60">
        <f t="shared" si="63"/>
        <v>1</v>
      </c>
      <c r="AE105" s="60">
        <f t="shared" si="64"/>
        <v>4</v>
      </c>
      <c r="AF105" s="60">
        <f t="shared" si="65"/>
        <v>3</v>
      </c>
      <c r="AG105" s="60">
        <f t="shared" si="66"/>
        <v>11</v>
      </c>
      <c r="AH105" s="60">
        <f t="shared" si="67"/>
        <v>2</v>
      </c>
      <c r="AI105" s="60">
        <f t="shared" si="68"/>
        <v>1</v>
      </c>
      <c r="AK105" s="68" t="str">
        <f t="shared" si="43"/>
        <v>L1</v>
      </c>
      <c r="AM105" s="64" t="s">
        <v>1755</v>
      </c>
      <c r="AN105" s="64">
        <f t="shared" si="44"/>
        <v>65000000000001</v>
      </c>
      <c r="AO105" s="64">
        <f t="shared" si="45"/>
        <v>65000000000056</v>
      </c>
      <c r="AP105" s="64">
        <f t="shared" si="46"/>
        <v>65000000000080</v>
      </c>
      <c r="AQ105" s="64">
        <f t="shared" si="47"/>
        <v>65000000000099</v>
      </c>
      <c r="AS105" s="64" t="str">
        <f t="shared" si="48"/>
        <v>null</v>
      </c>
      <c r="AU105" s="59" t="str">
        <f t="shared" si="69"/>
        <v/>
      </c>
      <c r="AV105" s="65" t="str">
        <f t="shared" si="70"/>
        <v/>
      </c>
      <c r="AW105" s="65" t="str">
        <f t="shared" si="71"/>
        <v>null</v>
      </c>
      <c r="AY105" s="65" t="str">
        <f t="shared" si="61"/>
        <v/>
      </c>
      <c r="BA105" s="78">
        <f t="shared" si="72"/>
        <v>65000000000100</v>
      </c>
      <c r="BB105" s="81" t="str">
        <f t="shared" si="62"/>
        <v/>
      </c>
    </row>
    <row r="106" spans="2:54" x14ac:dyDescent="0.2">
      <c r="B106" s="39"/>
      <c r="C106" s="40"/>
      <c r="D106" s="43" t="s">
        <v>1084</v>
      </c>
      <c r="E106" s="42" t="s">
        <v>849</v>
      </c>
      <c r="F106" s="43"/>
      <c r="G106" s="42"/>
      <c r="H106" s="51"/>
      <c r="I106" s="18"/>
      <c r="J106" s="51"/>
      <c r="K106" s="18"/>
      <c r="L106" s="51"/>
      <c r="M106" s="18"/>
      <c r="O106" s="58" t="str">
        <f t="shared" si="49"/>
        <v>1-0000</v>
      </c>
      <c r="P106" s="58" t="str">
        <f t="shared" si="50"/>
        <v>1-4000</v>
      </c>
      <c r="Q106" s="58" t="str">
        <f t="shared" si="51"/>
        <v>1-3200</v>
      </c>
      <c r="R106" s="58" t="str">
        <f t="shared" si="52"/>
        <v>1-3210</v>
      </c>
      <c r="S106" s="58" t="str">
        <f t="shared" si="53"/>
        <v>1-3210.01</v>
      </c>
      <c r="T106" s="58" t="str">
        <f t="shared" si="54"/>
        <v xml:space="preserve"> </v>
      </c>
      <c r="V106" s="72">
        <f t="shared" si="55"/>
        <v>65000000000101</v>
      </c>
      <c r="W106" s="60">
        <f t="shared" si="56"/>
        <v>65000000000001</v>
      </c>
      <c r="X106" s="60">
        <f t="shared" si="57"/>
        <v>65000000000101</v>
      </c>
      <c r="Y106" s="60">
        <f t="shared" si="58"/>
        <v>65000000000080</v>
      </c>
      <c r="Z106" s="60">
        <f t="shared" si="59"/>
        <v>65000000000099</v>
      </c>
      <c r="AA106" s="60">
        <f t="shared" si="42"/>
        <v>65000000000100</v>
      </c>
      <c r="AB106" s="60">
        <f t="shared" si="60"/>
        <v>65000000000000</v>
      </c>
      <c r="AD106" s="60">
        <f t="shared" si="63"/>
        <v>1</v>
      </c>
      <c r="AE106" s="60">
        <f t="shared" si="64"/>
        <v>5</v>
      </c>
      <c r="AF106" s="60">
        <f t="shared" si="65"/>
        <v>1</v>
      </c>
      <c r="AG106" s="60">
        <f t="shared" si="66"/>
        <v>1</v>
      </c>
      <c r="AH106" s="60">
        <f t="shared" si="67"/>
        <v>1</v>
      </c>
      <c r="AI106" s="60">
        <f t="shared" si="68"/>
        <v>1</v>
      </c>
      <c r="AK106" s="68" t="str">
        <f t="shared" si="43"/>
        <v>L2</v>
      </c>
      <c r="AM106" s="64" t="s">
        <v>1755</v>
      </c>
      <c r="AN106" s="64">
        <f t="shared" si="44"/>
        <v>65000000000001</v>
      </c>
      <c r="AO106" s="64">
        <f t="shared" si="45"/>
        <v>65000000000001</v>
      </c>
      <c r="AP106" s="64">
        <f t="shared" si="46"/>
        <v>65000000000001</v>
      </c>
      <c r="AQ106" s="64">
        <f t="shared" si="47"/>
        <v>65000000000001</v>
      </c>
      <c r="AS106" s="64">
        <f t="shared" si="48"/>
        <v>65000000000001</v>
      </c>
      <c r="AU106" s="59" t="str">
        <f t="shared" si="69"/>
        <v>PERFORM * FROM "SchData-OLTP-Accounting"."Func_TblChartOfAccount_SET"(varSystemLoginSession, null, null, null, varInstitutionBranchID, 62000000000001::bigint,'1-4000', 'Aktiva Tetap Tidak Berwujud', 62000000000001::bigint, '2016-01-01 00:00:00'::timestamp, null::timestamp, 65000000000001::bigint, 66000000000001::bigint);</v>
      </c>
      <c r="AV106" s="65">
        <f t="shared" si="70"/>
        <v>65000000000101</v>
      </c>
      <c r="AW106" s="65">
        <f t="shared" si="71"/>
        <v>65000000000001</v>
      </c>
      <c r="AY106" s="65">
        <f t="shared" si="61"/>
        <v>65000000000001</v>
      </c>
      <c r="BA106" s="78">
        <f t="shared" si="72"/>
        <v>65000000000101</v>
      </c>
      <c r="BB106" s="81" t="str">
        <f t="shared" si="62"/>
        <v>PERFORM * FROM "SchData-OLTP-Accounting"."Func_TblChartOfAccount_SET"(varSystemLoginSession, null, null, null, null, null, varInstitutionBranchID, 62000000000001::bigint,'1-4000', 'Aktiva Tetap Tidak Berwujud', 62000000000001::bigint, '2016-01-01 00:00:00'::timestamp, null::timestamp, 65000000000001::bigint, 66000000000001::bigint, TRUE::boolean);</v>
      </c>
    </row>
    <row r="107" spans="2:54" x14ac:dyDescent="0.2">
      <c r="B107" s="39"/>
      <c r="C107" s="40"/>
      <c r="D107" s="43"/>
      <c r="E107" s="42"/>
      <c r="F107" s="43"/>
      <c r="G107" s="42"/>
      <c r="H107" s="51"/>
      <c r="I107" s="42"/>
      <c r="J107" s="51" t="s">
        <v>1752</v>
      </c>
      <c r="K107" s="42" t="s">
        <v>1248</v>
      </c>
      <c r="L107" s="51"/>
      <c r="M107" s="18"/>
      <c r="O107" s="58" t="str">
        <f t="shared" si="49"/>
        <v>1-0000</v>
      </c>
      <c r="P107" s="58" t="str">
        <f t="shared" si="50"/>
        <v>1-4000</v>
      </c>
      <c r="Q107" s="58" t="str">
        <f t="shared" si="51"/>
        <v>1-3200</v>
      </c>
      <c r="R107" s="58" t="str">
        <f t="shared" si="52"/>
        <v>1-3210</v>
      </c>
      <c r="S107" s="58" t="str">
        <f t="shared" si="53"/>
        <v>1-4000.01</v>
      </c>
      <c r="T107" s="58" t="str">
        <f t="shared" si="54"/>
        <v xml:space="preserve"> </v>
      </c>
      <c r="V107" s="72">
        <f t="shared" si="55"/>
        <v>65000000000102</v>
      </c>
      <c r="W107" s="60">
        <f t="shared" si="56"/>
        <v>65000000000001</v>
      </c>
      <c r="X107" s="60">
        <f t="shared" si="57"/>
        <v>65000000000101</v>
      </c>
      <c r="Y107" s="60">
        <f t="shared" si="58"/>
        <v>65000000000080</v>
      </c>
      <c r="Z107" s="60">
        <f t="shared" si="59"/>
        <v>65000000000099</v>
      </c>
      <c r="AA107" s="60">
        <f t="shared" si="42"/>
        <v>65000000000102</v>
      </c>
      <c r="AB107" s="60">
        <f t="shared" si="60"/>
        <v>65000000000000</v>
      </c>
      <c r="AD107" s="60">
        <f t="shared" si="63"/>
        <v>1</v>
      </c>
      <c r="AE107" s="60">
        <f t="shared" si="64"/>
        <v>5</v>
      </c>
      <c r="AF107" s="60">
        <f t="shared" si="65"/>
        <v>1</v>
      </c>
      <c r="AG107" s="60">
        <f t="shared" si="66"/>
        <v>1</v>
      </c>
      <c r="AH107" s="60">
        <f t="shared" si="67"/>
        <v>2</v>
      </c>
      <c r="AI107" s="60">
        <f t="shared" si="68"/>
        <v>1</v>
      </c>
      <c r="AK107" s="68" t="str">
        <f t="shared" si="43"/>
        <v>L5</v>
      </c>
      <c r="AM107" s="64" t="s">
        <v>1755</v>
      </c>
      <c r="AN107" s="64">
        <f t="shared" si="44"/>
        <v>65000000000001</v>
      </c>
      <c r="AO107" s="64">
        <f t="shared" si="45"/>
        <v>65000000000101</v>
      </c>
      <c r="AP107" s="64">
        <f t="shared" si="46"/>
        <v>65000000000101</v>
      </c>
      <c r="AQ107" s="64">
        <f t="shared" si="47"/>
        <v>65000000000101</v>
      </c>
      <c r="AS107" s="64">
        <f t="shared" si="48"/>
        <v>65000000000101</v>
      </c>
      <c r="AU107" s="59" t="str">
        <f t="shared" si="69"/>
        <v>PERFORM * FROM "SchData-OLTP-Accounting"."Func_TblChartOfAccount_SET"(varSystemLoginSession, null, null, null, varInstitutionBranchID, 62000000000001::bigint,'1-4000.01', 'Aktiva Tetap Tidak Berwujud (IDR)', 62000000000001::bigint, '2016-01-01 00:00:00'::timestamp, null::timestamp, 65000000000101::bigint, 66000000000001::bigint);</v>
      </c>
      <c r="AV107" s="65">
        <f t="shared" si="70"/>
        <v>65000000000102</v>
      </c>
      <c r="AW107" s="65">
        <f t="shared" si="71"/>
        <v>65000000000101</v>
      </c>
      <c r="AY107" s="65">
        <f t="shared" si="61"/>
        <v>65000000000101</v>
      </c>
      <c r="BA107" s="78">
        <f t="shared" si="72"/>
        <v>65000000000102</v>
      </c>
      <c r="BB107" s="81" t="str">
        <f t="shared" si="62"/>
        <v>PERFORM * FROM "SchData-OLTP-Accounting"."Func_TblChartOfAccount_SET"(varSystemLoginSession, null, null, null, null, null, varInstitutionBranchID, 62000000000001::bigint,'1-4000.01', 'Aktiva Tetap Tidak Berwujud (IDR)', 62000000000001::bigint, '2016-01-01 00:00:00'::timestamp, null::timestamp, 65000000000101::bigint, 66000000000001::bigint, TRUE::boolean);</v>
      </c>
    </row>
    <row r="108" spans="2:54" x14ac:dyDescent="0.2">
      <c r="B108" s="39"/>
      <c r="C108" s="40"/>
      <c r="D108" s="43" t="s">
        <v>1085</v>
      </c>
      <c r="E108" s="42" t="s">
        <v>848</v>
      </c>
      <c r="F108" s="43"/>
      <c r="G108" s="42"/>
      <c r="H108" s="51"/>
      <c r="I108" s="18"/>
      <c r="J108" s="51"/>
      <c r="K108" s="18"/>
      <c r="L108" s="51"/>
      <c r="M108" s="18"/>
      <c r="O108" s="58" t="str">
        <f t="shared" si="49"/>
        <v>1-0000</v>
      </c>
      <c r="P108" s="58" t="str">
        <f t="shared" si="50"/>
        <v>1-5000</v>
      </c>
      <c r="Q108" s="58" t="str">
        <f t="shared" si="51"/>
        <v>1-3200</v>
      </c>
      <c r="R108" s="58" t="str">
        <f t="shared" si="52"/>
        <v>1-3210</v>
      </c>
      <c r="S108" s="58" t="str">
        <f t="shared" si="53"/>
        <v>1-4000.01</v>
      </c>
      <c r="T108" s="58" t="str">
        <f t="shared" si="54"/>
        <v xml:space="preserve"> </v>
      </c>
      <c r="V108" s="72">
        <f t="shared" si="55"/>
        <v>65000000000103</v>
      </c>
      <c r="W108" s="60">
        <f t="shared" si="56"/>
        <v>65000000000001</v>
      </c>
      <c r="X108" s="60">
        <f t="shared" si="57"/>
        <v>65000000000103</v>
      </c>
      <c r="Y108" s="60">
        <f t="shared" si="58"/>
        <v>65000000000080</v>
      </c>
      <c r="Z108" s="60">
        <f t="shared" si="59"/>
        <v>65000000000099</v>
      </c>
      <c r="AA108" s="60">
        <f t="shared" si="42"/>
        <v>65000000000102</v>
      </c>
      <c r="AB108" s="60">
        <f t="shared" si="60"/>
        <v>65000000000000</v>
      </c>
      <c r="AD108" s="60">
        <f t="shared" si="63"/>
        <v>1</v>
      </c>
      <c r="AE108" s="60">
        <f t="shared" si="64"/>
        <v>6</v>
      </c>
      <c r="AF108" s="60">
        <f t="shared" si="65"/>
        <v>1</v>
      </c>
      <c r="AG108" s="60">
        <f t="shared" si="66"/>
        <v>1</v>
      </c>
      <c r="AH108" s="60">
        <f t="shared" si="67"/>
        <v>2</v>
      </c>
      <c r="AI108" s="60">
        <f t="shared" si="68"/>
        <v>1</v>
      </c>
      <c r="AK108" s="68" t="str">
        <f t="shared" si="43"/>
        <v>L2</v>
      </c>
      <c r="AM108" s="64" t="s">
        <v>1755</v>
      </c>
      <c r="AN108" s="64">
        <f t="shared" si="44"/>
        <v>65000000000001</v>
      </c>
      <c r="AO108" s="64">
        <f t="shared" si="45"/>
        <v>65000000000101</v>
      </c>
      <c r="AP108" s="64">
        <f t="shared" si="46"/>
        <v>65000000000101</v>
      </c>
      <c r="AQ108" s="64">
        <f t="shared" si="47"/>
        <v>65000000000101</v>
      </c>
      <c r="AS108" s="64">
        <f t="shared" si="48"/>
        <v>65000000000001</v>
      </c>
      <c r="AU108" s="59" t="str">
        <f t="shared" si="69"/>
        <v>PERFORM * FROM "SchData-OLTP-Accounting"."Func_TblChartOfAccount_SET"(varSystemLoginSession, null, null, null, varInstitutionBranchID, 62000000000001::bigint,'1-5000', 'Aktiva Lain2', 62000000000001::bigint, '2016-01-01 00:00:00'::timestamp, null::timestamp, 65000000000001::bigint, 66000000000001::bigint);</v>
      </c>
      <c r="AV108" s="65">
        <f t="shared" si="70"/>
        <v>65000000000103</v>
      </c>
      <c r="AW108" s="65">
        <f t="shared" si="71"/>
        <v>65000000000001</v>
      </c>
      <c r="AY108" s="65">
        <f t="shared" si="61"/>
        <v>65000000000001</v>
      </c>
      <c r="BA108" s="78">
        <f t="shared" si="72"/>
        <v>65000000000103</v>
      </c>
      <c r="BB108" s="81" t="str">
        <f t="shared" si="62"/>
        <v>PERFORM * FROM "SchData-OLTP-Accounting"."Func_TblChartOfAccount_SET"(varSystemLoginSession, null, null, null, null, null, varInstitutionBranchID, 62000000000001::bigint,'1-5000', 'Aktiva Lain2', 62000000000001::bigint, '2016-01-01 00:00:00'::timestamp, null::timestamp, 65000000000001::bigint, 66000000000001::bigint, TRUE::boolean);</v>
      </c>
    </row>
    <row r="109" spans="2:54" x14ac:dyDescent="0.2">
      <c r="B109" s="39"/>
      <c r="C109" s="40"/>
      <c r="D109" s="43"/>
      <c r="E109" s="42"/>
      <c r="F109" s="43" t="s">
        <v>1158</v>
      </c>
      <c r="G109" s="42" t="s">
        <v>850</v>
      </c>
      <c r="H109" s="51"/>
      <c r="I109" s="18"/>
      <c r="J109" s="51"/>
      <c r="K109" s="18"/>
      <c r="L109" s="51"/>
      <c r="M109" s="18"/>
      <c r="O109" s="58" t="str">
        <f t="shared" si="49"/>
        <v>1-0000</v>
      </c>
      <c r="P109" s="58" t="str">
        <f t="shared" si="50"/>
        <v>1-5000</v>
      </c>
      <c r="Q109" s="58" t="str">
        <f t="shared" si="51"/>
        <v>1-5100</v>
      </c>
      <c r="R109" s="58" t="str">
        <f t="shared" si="52"/>
        <v>1-3210</v>
      </c>
      <c r="S109" s="58" t="str">
        <f t="shared" si="53"/>
        <v>1-4000.01</v>
      </c>
      <c r="T109" s="58" t="str">
        <f t="shared" si="54"/>
        <v xml:space="preserve"> </v>
      </c>
      <c r="V109" s="72">
        <f t="shared" si="55"/>
        <v>65000000000104</v>
      </c>
      <c r="W109" s="60">
        <f t="shared" si="56"/>
        <v>65000000000001</v>
      </c>
      <c r="X109" s="60">
        <f t="shared" si="57"/>
        <v>65000000000103</v>
      </c>
      <c r="Y109" s="60">
        <f t="shared" si="58"/>
        <v>65000000000104</v>
      </c>
      <c r="Z109" s="60">
        <f t="shared" si="59"/>
        <v>65000000000099</v>
      </c>
      <c r="AA109" s="60">
        <f t="shared" si="42"/>
        <v>65000000000102</v>
      </c>
      <c r="AB109" s="60">
        <f t="shared" si="60"/>
        <v>65000000000000</v>
      </c>
      <c r="AD109" s="60">
        <f t="shared" si="63"/>
        <v>1</v>
      </c>
      <c r="AE109" s="60">
        <f t="shared" si="64"/>
        <v>6</v>
      </c>
      <c r="AF109" s="60">
        <f t="shared" si="65"/>
        <v>2</v>
      </c>
      <c r="AG109" s="60">
        <f t="shared" si="66"/>
        <v>1</v>
      </c>
      <c r="AH109" s="60">
        <f t="shared" si="67"/>
        <v>2</v>
      </c>
      <c r="AI109" s="60">
        <f t="shared" si="68"/>
        <v>1</v>
      </c>
      <c r="AK109" s="68" t="str">
        <f t="shared" si="43"/>
        <v>L3</v>
      </c>
      <c r="AM109" s="64" t="s">
        <v>1755</v>
      </c>
      <c r="AN109" s="64">
        <f t="shared" si="44"/>
        <v>65000000000001</v>
      </c>
      <c r="AO109" s="64">
        <f t="shared" si="45"/>
        <v>65000000000103</v>
      </c>
      <c r="AP109" s="64">
        <f t="shared" si="46"/>
        <v>65000000000103</v>
      </c>
      <c r="AQ109" s="64">
        <f t="shared" si="47"/>
        <v>65000000000103</v>
      </c>
      <c r="AS109" s="64">
        <f t="shared" si="48"/>
        <v>65000000000103</v>
      </c>
      <c r="AU109" s="59" t="str">
        <f t="shared" si="69"/>
        <v>PERFORM * FROM "SchData-OLTP-Accounting"."Func_TblChartOfAccount_SET"(varSystemLoginSession, null, null, null, varInstitutionBranchID, 62000000000001::bigint,'1-5100', 'Pre Ops Project', 62000000000001::bigint, '2016-01-01 00:00:00'::timestamp, null::timestamp, 65000000000103::bigint, 66000000000001::bigint);</v>
      </c>
      <c r="AV109" s="65">
        <f t="shared" si="70"/>
        <v>65000000000104</v>
      </c>
      <c r="AW109" s="65">
        <f t="shared" si="71"/>
        <v>65000000000103</v>
      </c>
      <c r="AY109" s="65">
        <f t="shared" si="61"/>
        <v>65000000000103</v>
      </c>
      <c r="BA109" s="78">
        <f t="shared" si="72"/>
        <v>65000000000104</v>
      </c>
      <c r="BB109" s="81" t="str">
        <f t="shared" si="62"/>
        <v>PERFORM * FROM "SchData-OLTP-Accounting"."Func_TblChartOfAccount_SET"(varSystemLoginSession, null, null, null, null, null, varInstitutionBranchID, 62000000000001::bigint,'1-5100', 'Pre Ops Project', 62000000000001::bigint, '2016-01-01 00:00:00'::timestamp, null::timestamp, 65000000000103::bigint, 66000000000001::bigint, TRUE::boolean);</v>
      </c>
    </row>
    <row r="110" spans="2:54" ht="25.5" x14ac:dyDescent="0.2">
      <c r="B110" s="39"/>
      <c r="C110" s="40"/>
      <c r="D110" s="43"/>
      <c r="E110" s="42"/>
      <c r="F110" s="43"/>
      <c r="G110" s="42"/>
      <c r="H110" s="51" t="s">
        <v>184</v>
      </c>
      <c r="I110" s="18" t="s">
        <v>235</v>
      </c>
      <c r="J110" s="51"/>
      <c r="K110" s="18"/>
      <c r="L110" s="51"/>
      <c r="M110" s="18"/>
      <c r="O110" s="58" t="str">
        <f t="shared" si="49"/>
        <v>1-0000</v>
      </c>
      <c r="P110" s="58" t="str">
        <f t="shared" si="50"/>
        <v>1-5000</v>
      </c>
      <c r="Q110" s="58" t="str">
        <f t="shared" si="51"/>
        <v>1-5100</v>
      </c>
      <c r="R110" s="58" t="str">
        <f t="shared" si="52"/>
        <v>1-5101</v>
      </c>
      <c r="S110" s="58" t="str">
        <f t="shared" si="53"/>
        <v>1-4000.01</v>
      </c>
      <c r="T110" s="58" t="str">
        <f t="shared" si="54"/>
        <v xml:space="preserve"> </v>
      </c>
      <c r="V110" s="72">
        <f t="shared" si="55"/>
        <v>65000000000105</v>
      </c>
      <c r="W110" s="60">
        <f t="shared" si="56"/>
        <v>65000000000001</v>
      </c>
      <c r="X110" s="60">
        <f t="shared" si="57"/>
        <v>65000000000103</v>
      </c>
      <c r="Y110" s="60">
        <f t="shared" si="58"/>
        <v>65000000000104</v>
      </c>
      <c r="Z110" s="60">
        <f t="shared" si="59"/>
        <v>65000000000105</v>
      </c>
      <c r="AA110" s="60">
        <f t="shared" si="42"/>
        <v>65000000000102</v>
      </c>
      <c r="AB110" s="60">
        <f t="shared" si="60"/>
        <v>65000000000000</v>
      </c>
      <c r="AD110" s="60">
        <f t="shared" si="63"/>
        <v>1</v>
      </c>
      <c r="AE110" s="60">
        <f t="shared" si="64"/>
        <v>6</v>
      </c>
      <c r="AF110" s="60">
        <f t="shared" si="65"/>
        <v>2</v>
      </c>
      <c r="AG110" s="60">
        <f t="shared" si="66"/>
        <v>2</v>
      </c>
      <c r="AH110" s="60">
        <f t="shared" si="67"/>
        <v>1</v>
      </c>
      <c r="AI110" s="60">
        <f t="shared" si="68"/>
        <v>1</v>
      </c>
      <c r="AK110" s="68" t="str">
        <f t="shared" si="43"/>
        <v>L4</v>
      </c>
      <c r="AM110" s="64" t="s">
        <v>1755</v>
      </c>
      <c r="AN110" s="64">
        <f t="shared" si="44"/>
        <v>65000000000001</v>
      </c>
      <c r="AO110" s="64">
        <f t="shared" si="45"/>
        <v>65000000000103</v>
      </c>
      <c r="AP110" s="64">
        <f t="shared" si="46"/>
        <v>65000000000104</v>
      </c>
      <c r="AQ110" s="64">
        <f t="shared" si="47"/>
        <v>65000000000104</v>
      </c>
      <c r="AS110" s="64">
        <f t="shared" si="48"/>
        <v>65000000000104</v>
      </c>
      <c r="AU110" s="59" t="str">
        <f t="shared" si="69"/>
        <v>PERFORM * FROM "SchData-OLTP-Accounting"."Func_TblChartOfAccount_SET"(varSystemLoginSession, null, null, null, varInstitutionBranchID, 62000000000001::bigint,'1-5101', 'Pre Opr Costproject - Material', 62000000000001::bigint, '2016-01-01 00:00:00'::timestamp, null::timestamp, 65000000000104::bigint, 66000000000001::bigint);</v>
      </c>
      <c r="AV110" s="65">
        <f t="shared" si="70"/>
        <v>65000000000105</v>
      </c>
      <c r="AW110" s="65">
        <f t="shared" si="71"/>
        <v>65000000000104</v>
      </c>
      <c r="AY110" s="65">
        <f t="shared" si="61"/>
        <v>65000000000104</v>
      </c>
      <c r="BA110" s="78">
        <f t="shared" si="72"/>
        <v>65000000000105</v>
      </c>
      <c r="BB110" s="81" t="str">
        <f t="shared" si="62"/>
        <v>PERFORM * FROM "SchData-OLTP-Accounting"."Func_TblChartOfAccount_SET"(varSystemLoginSession, null, null, null, null, null, varInstitutionBranchID, 62000000000001::bigint,'1-5101', 'Pre Opr Costproject - Material', 62000000000001::bigint, '2016-01-01 00:00:00'::timestamp, null::timestamp, 65000000000104::bigint, 66000000000001::bigint, TRUE::boolean);</v>
      </c>
    </row>
    <row r="111" spans="2:54" ht="25.5" x14ac:dyDescent="0.2">
      <c r="B111" s="39"/>
      <c r="C111" s="40"/>
      <c r="D111" s="43"/>
      <c r="E111" s="42"/>
      <c r="F111" s="43"/>
      <c r="G111" s="42"/>
      <c r="H111" s="51"/>
      <c r="I111" s="18"/>
      <c r="J111" s="51" t="s">
        <v>1160</v>
      </c>
      <c r="K111" s="18" t="s">
        <v>1249</v>
      </c>
      <c r="L111" s="51"/>
      <c r="M111" s="18"/>
      <c r="O111" s="58" t="str">
        <f t="shared" si="49"/>
        <v>1-0000</v>
      </c>
      <c r="P111" s="58" t="str">
        <f t="shared" si="50"/>
        <v>1-5000</v>
      </c>
      <c r="Q111" s="58" t="str">
        <f t="shared" si="51"/>
        <v>1-5100</v>
      </c>
      <c r="R111" s="58" t="str">
        <f t="shared" si="52"/>
        <v>1-5101</v>
      </c>
      <c r="S111" s="58" t="str">
        <f t="shared" si="53"/>
        <v>1-5101.01</v>
      </c>
      <c r="T111" s="58" t="str">
        <f t="shared" si="54"/>
        <v xml:space="preserve"> </v>
      </c>
      <c r="V111" s="72">
        <f t="shared" si="55"/>
        <v>65000000000106</v>
      </c>
      <c r="W111" s="60">
        <f t="shared" si="56"/>
        <v>65000000000001</v>
      </c>
      <c r="X111" s="60">
        <f t="shared" si="57"/>
        <v>65000000000103</v>
      </c>
      <c r="Y111" s="60">
        <f t="shared" si="58"/>
        <v>65000000000104</v>
      </c>
      <c r="Z111" s="60">
        <f t="shared" si="59"/>
        <v>65000000000105</v>
      </c>
      <c r="AA111" s="60">
        <f t="shared" si="42"/>
        <v>65000000000106</v>
      </c>
      <c r="AB111" s="60">
        <f t="shared" si="60"/>
        <v>65000000000000</v>
      </c>
      <c r="AD111" s="60">
        <f t="shared" si="63"/>
        <v>1</v>
      </c>
      <c r="AE111" s="60">
        <f t="shared" si="64"/>
        <v>6</v>
      </c>
      <c r="AF111" s="60">
        <f t="shared" si="65"/>
        <v>2</v>
      </c>
      <c r="AG111" s="60">
        <f t="shared" si="66"/>
        <v>2</v>
      </c>
      <c r="AH111" s="60">
        <f t="shared" si="67"/>
        <v>2</v>
      </c>
      <c r="AI111" s="60">
        <f t="shared" si="68"/>
        <v>1</v>
      </c>
      <c r="AK111" s="68" t="str">
        <f t="shared" si="43"/>
        <v>L5</v>
      </c>
      <c r="AM111" s="64" t="s">
        <v>1755</v>
      </c>
      <c r="AN111" s="64">
        <f t="shared" si="44"/>
        <v>65000000000001</v>
      </c>
      <c r="AO111" s="64">
        <f t="shared" si="45"/>
        <v>65000000000103</v>
      </c>
      <c r="AP111" s="64">
        <f t="shared" si="46"/>
        <v>65000000000104</v>
      </c>
      <c r="AQ111" s="64">
        <f t="shared" si="47"/>
        <v>65000000000105</v>
      </c>
      <c r="AS111" s="64">
        <f t="shared" si="48"/>
        <v>65000000000105</v>
      </c>
      <c r="AU111" s="59" t="str">
        <f t="shared" si="69"/>
        <v>PERFORM * FROM "SchData-OLTP-Accounting"."Func_TblChartOfAccount_SET"(varSystemLoginSession, null, null, null, varInstitutionBranchID, 62000000000001::bigint,'1-5101.01', 'Pre Opr Costproject - Material (IDR)', 62000000000001::bigint, '2016-01-01 00:00:00'::timestamp, null::timestamp, 65000000000105::bigint, 66000000000001::bigint);</v>
      </c>
      <c r="AV111" s="65">
        <f t="shared" si="70"/>
        <v>65000000000106</v>
      </c>
      <c r="AW111" s="65">
        <f t="shared" si="71"/>
        <v>65000000000105</v>
      </c>
      <c r="AY111" s="65">
        <f t="shared" si="61"/>
        <v>65000000000105</v>
      </c>
      <c r="BA111" s="78">
        <f t="shared" si="72"/>
        <v>65000000000106</v>
      </c>
      <c r="BB111" s="81" t="str">
        <f t="shared" si="62"/>
        <v>PERFORM * FROM "SchData-OLTP-Accounting"."Func_TblChartOfAccount_SET"(varSystemLoginSession, null, null, null, null, null, varInstitutionBranchID, 62000000000001::bigint,'1-5101.01', 'Pre Opr Costproject - Material (IDR)', 62000000000001::bigint, '2016-01-01 00:00:00'::timestamp, null::timestamp, 65000000000105::bigint, 66000000000001::bigint, TRUE::boolean);</v>
      </c>
    </row>
    <row r="112" spans="2:54" ht="25.5" x14ac:dyDescent="0.2">
      <c r="B112" s="39"/>
      <c r="C112" s="40"/>
      <c r="D112" s="43"/>
      <c r="E112" s="42"/>
      <c r="F112" s="43"/>
      <c r="G112" s="42"/>
      <c r="H112" s="51" t="s">
        <v>186</v>
      </c>
      <c r="I112" s="18" t="s">
        <v>1159</v>
      </c>
      <c r="J112" s="51"/>
      <c r="K112" s="18"/>
      <c r="L112" s="51"/>
      <c r="M112" s="18"/>
      <c r="O112" s="58" t="str">
        <f t="shared" si="49"/>
        <v>1-0000</v>
      </c>
      <c r="P112" s="58" t="str">
        <f t="shared" si="50"/>
        <v>1-5000</v>
      </c>
      <c r="Q112" s="58" t="str">
        <f t="shared" si="51"/>
        <v>1-5100</v>
      </c>
      <c r="R112" s="58" t="str">
        <f t="shared" si="52"/>
        <v>1-5102</v>
      </c>
      <c r="S112" s="58" t="str">
        <f t="shared" si="53"/>
        <v>1-5101.01</v>
      </c>
      <c r="T112" s="58" t="str">
        <f t="shared" si="54"/>
        <v xml:space="preserve"> </v>
      </c>
      <c r="V112" s="72">
        <f t="shared" si="55"/>
        <v>65000000000107</v>
      </c>
      <c r="W112" s="60">
        <f t="shared" si="56"/>
        <v>65000000000001</v>
      </c>
      <c r="X112" s="60">
        <f t="shared" si="57"/>
        <v>65000000000103</v>
      </c>
      <c r="Y112" s="60">
        <f t="shared" si="58"/>
        <v>65000000000104</v>
      </c>
      <c r="Z112" s="60">
        <f t="shared" si="59"/>
        <v>65000000000107</v>
      </c>
      <c r="AA112" s="60">
        <f t="shared" si="42"/>
        <v>65000000000106</v>
      </c>
      <c r="AB112" s="60">
        <f t="shared" si="60"/>
        <v>65000000000000</v>
      </c>
      <c r="AD112" s="60">
        <f t="shared" si="63"/>
        <v>1</v>
      </c>
      <c r="AE112" s="60">
        <f t="shared" si="64"/>
        <v>6</v>
      </c>
      <c r="AF112" s="60">
        <f t="shared" si="65"/>
        <v>2</v>
      </c>
      <c r="AG112" s="60">
        <f t="shared" si="66"/>
        <v>3</v>
      </c>
      <c r="AH112" s="60">
        <f t="shared" si="67"/>
        <v>1</v>
      </c>
      <c r="AI112" s="60">
        <f t="shared" si="68"/>
        <v>1</v>
      </c>
      <c r="AK112" s="68" t="str">
        <f t="shared" si="43"/>
        <v>L4</v>
      </c>
      <c r="AM112" s="64" t="s">
        <v>1755</v>
      </c>
      <c r="AN112" s="64">
        <f t="shared" si="44"/>
        <v>65000000000001</v>
      </c>
      <c r="AO112" s="64">
        <f t="shared" si="45"/>
        <v>65000000000103</v>
      </c>
      <c r="AP112" s="64">
        <f t="shared" si="46"/>
        <v>65000000000104</v>
      </c>
      <c r="AQ112" s="64">
        <f t="shared" si="47"/>
        <v>65000000000105</v>
      </c>
      <c r="AS112" s="64">
        <f t="shared" si="48"/>
        <v>65000000000104</v>
      </c>
      <c r="AU112" s="59" t="str">
        <f t="shared" si="69"/>
        <v>PERFORM * FROM "SchData-OLTP-Accounting"."Func_TblChartOfAccount_SET"(varSystemLoginSession, null, null, null, varInstitutionBranchID, 62000000000001::bigint,'1-5102', 'Pre Opr Costproject - Labor Cost', 62000000000001::bigint, '2016-01-01 00:00:00'::timestamp, null::timestamp, 65000000000104::bigint, 66000000000001::bigint);</v>
      </c>
      <c r="AV112" s="65">
        <f t="shared" si="70"/>
        <v>65000000000107</v>
      </c>
      <c r="AW112" s="65">
        <f t="shared" si="71"/>
        <v>65000000000104</v>
      </c>
      <c r="AY112" s="65">
        <f t="shared" si="61"/>
        <v>65000000000104</v>
      </c>
      <c r="BA112" s="78">
        <f t="shared" si="72"/>
        <v>65000000000107</v>
      </c>
      <c r="BB112" s="81" t="str">
        <f t="shared" si="62"/>
        <v>PERFORM * FROM "SchData-OLTP-Accounting"."Func_TblChartOfAccount_SET"(varSystemLoginSession, null, null, null, null, null, varInstitutionBranchID, 62000000000001::bigint,'1-5102', 'Pre Opr Costproject - Labor Cost', 62000000000001::bigint, '2016-01-01 00:00:00'::timestamp, null::timestamp, 65000000000104::bigint, 66000000000001::bigint, TRUE::boolean);</v>
      </c>
    </row>
    <row r="113" spans="2:54" ht="25.5" x14ac:dyDescent="0.2">
      <c r="B113" s="39"/>
      <c r="C113" s="40"/>
      <c r="D113" s="43"/>
      <c r="E113" s="42"/>
      <c r="F113" s="43"/>
      <c r="G113" s="42"/>
      <c r="H113" s="51"/>
      <c r="I113" s="18"/>
      <c r="J113" s="51" t="s">
        <v>1161</v>
      </c>
      <c r="K113" s="18" t="s">
        <v>1250</v>
      </c>
      <c r="L113" s="51"/>
      <c r="M113" s="18"/>
      <c r="O113" s="58" t="str">
        <f t="shared" si="49"/>
        <v>1-0000</v>
      </c>
      <c r="P113" s="58" t="str">
        <f t="shared" si="50"/>
        <v>1-5000</v>
      </c>
      <c r="Q113" s="58" t="str">
        <f t="shared" si="51"/>
        <v>1-5100</v>
      </c>
      <c r="R113" s="58" t="str">
        <f t="shared" si="52"/>
        <v>1-5102</v>
      </c>
      <c r="S113" s="58" t="str">
        <f t="shared" si="53"/>
        <v>1-5102.01</v>
      </c>
      <c r="T113" s="58" t="str">
        <f t="shared" si="54"/>
        <v xml:space="preserve"> </v>
      </c>
      <c r="V113" s="72">
        <f t="shared" si="55"/>
        <v>65000000000108</v>
      </c>
      <c r="W113" s="60">
        <f t="shared" si="56"/>
        <v>65000000000001</v>
      </c>
      <c r="X113" s="60">
        <f t="shared" si="57"/>
        <v>65000000000103</v>
      </c>
      <c r="Y113" s="60">
        <f t="shared" si="58"/>
        <v>65000000000104</v>
      </c>
      <c r="Z113" s="60">
        <f t="shared" si="59"/>
        <v>65000000000107</v>
      </c>
      <c r="AA113" s="60">
        <f t="shared" si="42"/>
        <v>65000000000108</v>
      </c>
      <c r="AB113" s="60">
        <f t="shared" si="60"/>
        <v>65000000000000</v>
      </c>
      <c r="AD113" s="60">
        <f t="shared" si="63"/>
        <v>1</v>
      </c>
      <c r="AE113" s="60">
        <f t="shared" si="64"/>
        <v>6</v>
      </c>
      <c r="AF113" s="60">
        <f t="shared" si="65"/>
        <v>2</v>
      </c>
      <c r="AG113" s="60">
        <f t="shared" si="66"/>
        <v>3</v>
      </c>
      <c r="AH113" s="60">
        <f t="shared" si="67"/>
        <v>2</v>
      </c>
      <c r="AI113" s="60">
        <f t="shared" si="68"/>
        <v>1</v>
      </c>
      <c r="AK113" s="68" t="str">
        <f t="shared" si="43"/>
        <v>L5</v>
      </c>
      <c r="AM113" s="64" t="s">
        <v>1755</v>
      </c>
      <c r="AN113" s="64">
        <f t="shared" si="44"/>
        <v>65000000000001</v>
      </c>
      <c r="AO113" s="64">
        <f t="shared" si="45"/>
        <v>65000000000103</v>
      </c>
      <c r="AP113" s="64">
        <f t="shared" si="46"/>
        <v>65000000000104</v>
      </c>
      <c r="AQ113" s="64">
        <f t="shared" si="47"/>
        <v>65000000000107</v>
      </c>
      <c r="AS113" s="64">
        <f t="shared" si="48"/>
        <v>65000000000107</v>
      </c>
      <c r="AU113" s="59" t="str">
        <f t="shared" si="69"/>
        <v>PERFORM * FROM "SchData-OLTP-Accounting"."Func_TblChartOfAccount_SET"(varSystemLoginSession, null, null, null, varInstitutionBranchID, 62000000000001::bigint,'1-5102.01', 'Pre Opr Costproject - Labor Cost (IDR)', 62000000000001::bigint, '2016-01-01 00:00:00'::timestamp, null::timestamp, 65000000000107::bigint, 66000000000001::bigint);</v>
      </c>
      <c r="AV113" s="65">
        <f t="shared" si="70"/>
        <v>65000000000108</v>
      </c>
      <c r="AW113" s="65">
        <f t="shared" si="71"/>
        <v>65000000000107</v>
      </c>
      <c r="AY113" s="65">
        <f t="shared" si="61"/>
        <v>65000000000107</v>
      </c>
      <c r="BA113" s="78">
        <f t="shared" si="72"/>
        <v>65000000000108</v>
      </c>
      <c r="BB113" s="81" t="str">
        <f t="shared" si="62"/>
        <v>PERFORM * FROM "SchData-OLTP-Accounting"."Func_TblChartOfAccount_SET"(varSystemLoginSession, null, null, null, null, null, varInstitutionBranchID, 62000000000001::bigint,'1-5102.01', 'Pre Opr Costproject - Labor Cost (IDR)', 62000000000001::bigint, '2016-01-01 00:00:00'::timestamp, null::timestamp, 65000000000107::bigint, 66000000000001::bigint, TRUE::boolean);</v>
      </c>
    </row>
    <row r="114" spans="2:54" ht="25.5" x14ac:dyDescent="0.2">
      <c r="B114" s="39"/>
      <c r="C114" s="40"/>
      <c r="D114" s="43"/>
      <c r="E114" s="42"/>
      <c r="F114" s="43"/>
      <c r="G114" s="42"/>
      <c r="H114" s="51" t="s">
        <v>852</v>
      </c>
      <c r="I114" s="18" t="s">
        <v>239</v>
      </c>
      <c r="J114" s="51"/>
      <c r="K114" s="18"/>
      <c r="L114" s="51"/>
      <c r="M114" s="18"/>
      <c r="O114" s="58" t="str">
        <f t="shared" si="49"/>
        <v>1-0000</v>
      </c>
      <c r="P114" s="58" t="str">
        <f t="shared" si="50"/>
        <v>1-5000</v>
      </c>
      <c r="Q114" s="58" t="str">
        <f t="shared" si="51"/>
        <v>1-5100</v>
      </c>
      <c r="R114" s="58" t="str">
        <f t="shared" si="52"/>
        <v>1-5103</v>
      </c>
      <c r="S114" s="58" t="str">
        <f t="shared" si="53"/>
        <v>1-5102.01</v>
      </c>
      <c r="T114" s="58" t="str">
        <f t="shared" si="54"/>
        <v xml:space="preserve"> </v>
      </c>
      <c r="V114" s="72">
        <f t="shared" si="55"/>
        <v>65000000000109</v>
      </c>
      <c r="W114" s="60">
        <f t="shared" si="56"/>
        <v>65000000000001</v>
      </c>
      <c r="X114" s="60">
        <f t="shared" si="57"/>
        <v>65000000000103</v>
      </c>
      <c r="Y114" s="60">
        <f t="shared" si="58"/>
        <v>65000000000104</v>
      </c>
      <c r="Z114" s="60">
        <f t="shared" si="59"/>
        <v>65000000000109</v>
      </c>
      <c r="AA114" s="60">
        <f t="shared" si="42"/>
        <v>65000000000108</v>
      </c>
      <c r="AB114" s="60">
        <f t="shared" si="60"/>
        <v>65000000000000</v>
      </c>
      <c r="AD114" s="60">
        <f t="shared" si="63"/>
        <v>1</v>
      </c>
      <c r="AE114" s="60">
        <f t="shared" si="64"/>
        <v>6</v>
      </c>
      <c r="AF114" s="60">
        <f t="shared" si="65"/>
        <v>2</v>
      </c>
      <c r="AG114" s="60">
        <f t="shared" si="66"/>
        <v>4</v>
      </c>
      <c r="AH114" s="60">
        <f t="shared" si="67"/>
        <v>1</v>
      </c>
      <c r="AI114" s="60">
        <f t="shared" si="68"/>
        <v>1</v>
      </c>
      <c r="AK114" s="68" t="str">
        <f t="shared" si="43"/>
        <v>L4</v>
      </c>
      <c r="AM114" s="64" t="s">
        <v>1755</v>
      </c>
      <c r="AN114" s="64">
        <f t="shared" si="44"/>
        <v>65000000000001</v>
      </c>
      <c r="AO114" s="64">
        <f t="shared" si="45"/>
        <v>65000000000103</v>
      </c>
      <c r="AP114" s="64">
        <f t="shared" si="46"/>
        <v>65000000000104</v>
      </c>
      <c r="AQ114" s="64">
        <f t="shared" si="47"/>
        <v>65000000000107</v>
      </c>
      <c r="AS114" s="64">
        <f t="shared" si="48"/>
        <v>65000000000104</v>
      </c>
      <c r="AU114" s="59" t="str">
        <f t="shared" si="69"/>
        <v>PERFORM * FROM "SchData-OLTP-Accounting"."Func_TblChartOfAccount_SET"(varSystemLoginSession, null, null, null, varInstitutionBranchID, 62000000000001::bigint,'1-5103', 'Pre Opr Costproject - Overhead', 62000000000001::bigint, '2016-01-01 00:00:00'::timestamp, null::timestamp, 65000000000104::bigint, 66000000000001::bigint);</v>
      </c>
      <c r="AV114" s="65">
        <f t="shared" si="70"/>
        <v>65000000000109</v>
      </c>
      <c r="AW114" s="65">
        <f t="shared" si="71"/>
        <v>65000000000104</v>
      </c>
      <c r="AY114" s="65">
        <f t="shared" si="61"/>
        <v>65000000000104</v>
      </c>
      <c r="BA114" s="78">
        <f t="shared" si="72"/>
        <v>65000000000109</v>
      </c>
      <c r="BB114" s="81" t="str">
        <f t="shared" si="62"/>
        <v>PERFORM * FROM "SchData-OLTP-Accounting"."Func_TblChartOfAccount_SET"(varSystemLoginSession, null, null, null, null, null, varInstitutionBranchID, 62000000000001::bigint,'1-5103', 'Pre Opr Costproject - Overhead', 62000000000001::bigint, '2016-01-01 00:00:00'::timestamp, null::timestamp, 65000000000104::bigint, 66000000000001::bigint, TRUE::boolean);</v>
      </c>
    </row>
    <row r="115" spans="2:54" ht="25.5" x14ac:dyDescent="0.2">
      <c r="B115" s="39"/>
      <c r="C115" s="40"/>
      <c r="D115" s="39"/>
      <c r="E115" s="40"/>
      <c r="F115" s="39"/>
      <c r="G115" s="40"/>
      <c r="H115" s="50"/>
      <c r="I115" s="33"/>
      <c r="J115" s="51" t="s">
        <v>1162</v>
      </c>
      <c r="K115" s="18" t="s">
        <v>1251</v>
      </c>
      <c r="L115" s="50"/>
      <c r="M115" s="33"/>
      <c r="O115" s="58" t="str">
        <f t="shared" si="49"/>
        <v>1-0000</v>
      </c>
      <c r="P115" s="58" t="str">
        <f t="shared" si="50"/>
        <v>1-5000</v>
      </c>
      <c r="Q115" s="58" t="str">
        <f t="shared" si="51"/>
        <v>1-5100</v>
      </c>
      <c r="R115" s="58" t="str">
        <f t="shared" si="52"/>
        <v>1-5103</v>
      </c>
      <c r="S115" s="58" t="str">
        <f t="shared" si="53"/>
        <v>1-5103.01</v>
      </c>
      <c r="T115" s="58" t="str">
        <f t="shared" si="54"/>
        <v xml:space="preserve"> </v>
      </c>
      <c r="V115" s="72">
        <f t="shared" si="55"/>
        <v>65000000000110</v>
      </c>
      <c r="W115" s="60">
        <f t="shared" si="56"/>
        <v>65000000000001</v>
      </c>
      <c r="X115" s="60">
        <f t="shared" si="57"/>
        <v>65000000000103</v>
      </c>
      <c r="Y115" s="60">
        <f t="shared" si="58"/>
        <v>65000000000104</v>
      </c>
      <c r="Z115" s="60">
        <f t="shared" si="59"/>
        <v>65000000000109</v>
      </c>
      <c r="AA115" s="60">
        <f t="shared" si="42"/>
        <v>65000000000110</v>
      </c>
      <c r="AB115" s="60">
        <f t="shared" si="60"/>
        <v>65000000000000</v>
      </c>
      <c r="AD115" s="60">
        <f t="shared" si="63"/>
        <v>1</v>
      </c>
      <c r="AE115" s="60">
        <f t="shared" si="64"/>
        <v>6</v>
      </c>
      <c r="AF115" s="60">
        <f t="shared" si="65"/>
        <v>2</v>
      </c>
      <c r="AG115" s="60">
        <f t="shared" si="66"/>
        <v>4</v>
      </c>
      <c r="AH115" s="60">
        <f t="shared" si="67"/>
        <v>2</v>
      </c>
      <c r="AI115" s="60">
        <f t="shared" si="68"/>
        <v>1</v>
      </c>
      <c r="AK115" s="68" t="str">
        <f t="shared" si="43"/>
        <v>L5</v>
      </c>
      <c r="AM115" s="64" t="s">
        <v>1755</v>
      </c>
      <c r="AN115" s="64">
        <f t="shared" si="44"/>
        <v>65000000000001</v>
      </c>
      <c r="AO115" s="64">
        <f t="shared" si="45"/>
        <v>65000000000103</v>
      </c>
      <c r="AP115" s="64">
        <f t="shared" si="46"/>
        <v>65000000000104</v>
      </c>
      <c r="AQ115" s="64">
        <f t="shared" si="47"/>
        <v>65000000000109</v>
      </c>
      <c r="AS115" s="64">
        <f t="shared" si="48"/>
        <v>65000000000109</v>
      </c>
      <c r="AU115" s="59" t="str">
        <f t="shared" si="69"/>
        <v>PERFORM * FROM "SchData-OLTP-Accounting"."Func_TblChartOfAccount_SET"(varSystemLoginSession, null, null, null, varInstitutionBranchID, 62000000000001::bigint,'1-5103.01', 'Pre Opr Costproject - Overhead (IDR)', 62000000000001::bigint, '2016-01-01 00:00:00'::timestamp, null::timestamp, 65000000000109::bigint, 66000000000001::bigint);</v>
      </c>
      <c r="AV115" s="65">
        <f t="shared" si="70"/>
        <v>65000000000110</v>
      </c>
      <c r="AW115" s="65">
        <f t="shared" si="71"/>
        <v>65000000000109</v>
      </c>
      <c r="AY115" s="65">
        <f t="shared" si="61"/>
        <v>65000000000109</v>
      </c>
      <c r="BA115" s="78">
        <f t="shared" si="72"/>
        <v>65000000000110</v>
      </c>
      <c r="BB115" s="81" t="str">
        <f t="shared" si="62"/>
        <v>PERFORM * FROM "SchData-OLTP-Accounting"."Func_TblChartOfAccount_SET"(varSystemLoginSession, null, null, null, null, null, varInstitutionBranchID, 62000000000001::bigint,'1-5103.01', 'Pre Opr Costproject - Overhead (IDR)', 62000000000001::bigint, '2016-01-01 00:00:00'::timestamp, null::timestamp, 65000000000109::bigint, 66000000000001::bigint, TRUE::boolean);</v>
      </c>
    </row>
    <row r="116" spans="2:54" x14ac:dyDescent="0.2">
      <c r="B116" s="44"/>
      <c r="C116" s="45"/>
      <c r="D116" s="44"/>
      <c r="E116" s="45"/>
      <c r="F116" s="44"/>
      <c r="G116" s="45"/>
      <c r="H116" s="52"/>
      <c r="I116" s="34"/>
      <c r="J116" s="54"/>
      <c r="K116" s="24"/>
      <c r="L116" s="52"/>
      <c r="M116" s="34"/>
      <c r="O116" s="58" t="str">
        <f t="shared" si="49"/>
        <v>1-0000</v>
      </c>
      <c r="P116" s="58" t="str">
        <f t="shared" si="50"/>
        <v>1-5000</v>
      </c>
      <c r="Q116" s="58" t="str">
        <f t="shared" si="51"/>
        <v>1-5100</v>
      </c>
      <c r="R116" s="58" t="str">
        <f t="shared" si="52"/>
        <v>1-5103</v>
      </c>
      <c r="S116" s="58" t="str">
        <f t="shared" si="53"/>
        <v>1-5103.01</v>
      </c>
      <c r="T116" s="58" t="str">
        <f t="shared" si="54"/>
        <v xml:space="preserve"> </v>
      </c>
      <c r="V116" s="72">
        <f t="shared" si="55"/>
        <v>65000000000110</v>
      </c>
      <c r="W116" s="60">
        <f t="shared" si="56"/>
        <v>65000000000001</v>
      </c>
      <c r="X116" s="60">
        <f t="shared" si="57"/>
        <v>65000000000103</v>
      </c>
      <c r="Y116" s="60">
        <f t="shared" si="58"/>
        <v>65000000000104</v>
      </c>
      <c r="Z116" s="60">
        <f t="shared" si="59"/>
        <v>65000000000109</v>
      </c>
      <c r="AA116" s="60">
        <f t="shared" si="42"/>
        <v>65000000000110</v>
      </c>
      <c r="AB116" s="60">
        <f t="shared" si="60"/>
        <v>65000000000000</v>
      </c>
      <c r="AD116" s="60">
        <f t="shared" si="63"/>
        <v>1</v>
      </c>
      <c r="AE116" s="60">
        <f t="shared" si="64"/>
        <v>6</v>
      </c>
      <c r="AF116" s="60">
        <f t="shared" si="65"/>
        <v>2</v>
      </c>
      <c r="AG116" s="60">
        <f t="shared" si="66"/>
        <v>4</v>
      </c>
      <c r="AH116" s="60">
        <f t="shared" si="67"/>
        <v>2</v>
      </c>
      <c r="AI116" s="60">
        <f t="shared" si="68"/>
        <v>1</v>
      </c>
      <c r="AK116" s="68" t="str">
        <f t="shared" si="43"/>
        <v>L1</v>
      </c>
      <c r="AM116" s="64" t="s">
        <v>1755</v>
      </c>
      <c r="AN116" s="64">
        <f t="shared" si="44"/>
        <v>65000000000001</v>
      </c>
      <c r="AO116" s="64">
        <f t="shared" si="45"/>
        <v>65000000000103</v>
      </c>
      <c r="AP116" s="64">
        <f t="shared" si="46"/>
        <v>65000000000104</v>
      </c>
      <c r="AQ116" s="64">
        <f t="shared" si="47"/>
        <v>65000000000109</v>
      </c>
      <c r="AS116" s="64" t="str">
        <f t="shared" si="48"/>
        <v>null</v>
      </c>
      <c r="AU116" s="59" t="str">
        <f t="shared" si="69"/>
        <v/>
      </c>
      <c r="AV116" s="65" t="str">
        <f t="shared" si="70"/>
        <v/>
      </c>
      <c r="AW116" s="65" t="str">
        <f t="shared" si="71"/>
        <v>null</v>
      </c>
      <c r="AY116" s="65" t="str">
        <f t="shared" si="61"/>
        <v/>
      </c>
      <c r="BA116" s="78">
        <f t="shared" si="72"/>
        <v>65000000000110</v>
      </c>
      <c r="BB116" s="81" t="str">
        <f t="shared" si="62"/>
        <v/>
      </c>
    </row>
    <row r="117" spans="2:54" x14ac:dyDescent="0.2">
      <c r="B117" s="43" t="s">
        <v>1075</v>
      </c>
      <c r="C117" s="42" t="s">
        <v>708</v>
      </c>
      <c r="D117" s="39"/>
      <c r="E117" s="40"/>
      <c r="F117" s="39"/>
      <c r="G117" s="40"/>
      <c r="H117" s="50"/>
      <c r="I117" s="33"/>
      <c r="J117" s="50"/>
      <c r="K117" s="33"/>
      <c r="L117" s="50"/>
      <c r="M117" s="33"/>
      <c r="O117" s="58" t="str">
        <f t="shared" si="49"/>
        <v>2-0000</v>
      </c>
      <c r="P117" s="58" t="str">
        <f t="shared" si="50"/>
        <v>1-5000</v>
      </c>
      <c r="Q117" s="58" t="str">
        <f t="shared" si="51"/>
        <v>1-5100</v>
      </c>
      <c r="R117" s="58" t="str">
        <f t="shared" si="52"/>
        <v>1-5103</v>
      </c>
      <c r="S117" s="58" t="str">
        <f t="shared" si="53"/>
        <v>1-5103.01</v>
      </c>
      <c r="T117" s="58" t="str">
        <f t="shared" si="54"/>
        <v xml:space="preserve"> </v>
      </c>
      <c r="V117" s="72">
        <f t="shared" si="55"/>
        <v>65000000000111</v>
      </c>
      <c r="W117" s="60">
        <f t="shared" si="56"/>
        <v>65000000000111</v>
      </c>
      <c r="X117" s="60">
        <f t="shared" si="57"/>
        <v>65000000000103</v>
      </c>
      <c r="Y117" s="60">
        <f t="shared" si="58"/>
        <v>65000000000104</v>
      </c>
      <c r="Z117" s="60">
        <f t="shared" si="59"/>
        <v>65000000000109</v>
      </c>
      <c r="AA117" s="60">
        <f t="shared" si="42"/>
        <v>65000000000110</v>
      </c>
      <c r="AB117" s="60">
        <f t="shared" si="60"/>
        <v>65000000000000</v>
      </c>
      <c r="AD117" s="60">
        <f t="shared" si="63"/>
        <v>2</v>
      </c>
      <c r="AE117" s="60">
        <f t="shared" si="64"/>
        <v>1</v>
      </c>
      <c r="AF117" s="60">
        <f t="shared" si="65"/>
        <v>1</v>
      </c>
      <c r="AG117" s="60">
        <f t="shared" si="66"/>
        <v>1</v>
      </c>
      <c r="AH117" s="60">
        <f t="shared" si="67"/>
        <v>1</v>
      </c>
      <c r="AI117" s="60">
        <f t="shared" si="68"/>
        <v>1</v>
      </c>
      <c r="AK117" s="68" t="str">
        <f t="shared" si="43"/>
        <v>L1</v>
      </c>
      <c r="AM117" s="64" t="s">
        <v>1755</v>
      </c>
      <c r="AN117" s="64">
        <f t="shared" si="44"/>
        <v>65000000000001</v>
      </c>
      <c r="AO117" s="64">
        <f t="shared" si="45"/>
        <v>65000000000001</v>
      </c>
      <c r="AP117" s="64">
        <f t="shared" si="46"/>
        <v>65000000000001</v>
      </c>
      <c r="AQ117" s="64">
        <f t="shared" si="47"/>
        <v>65000000000001</v>
      </c>
      <c r="AS117" s="64" t="str">
        <f t="shared" si="48"/>
        <v>null</v>
      </c>
      <c r="AU117" s="59" t="str">
        <f t="shared" si="69"/>
        <v>PERFORM * FROM "SchData-OLTP-Accounting"."Func_TblChartOfAccount_SET"(varSystemLoginSession, null, null, null, varInstitutionBranchID, 62000000000001::bigint,'2-0000', 'Hutang', 62000000000001::bigint, '2016-01-01 00:00:00'::timestamp, null::timestamp, null::bigint, 66000000000001::bigint);</v>
      </c>
      <c r="AV117" s="65">
        <f t="shared" si="70"/>
        <v>65000000000111</v>
      </c>
      <c r="AW117" s="65" t="str">
        <f t="shared" si="71"/>
        <v>null</v>
      </c>
      <c r="AY117" s="65" t="str">
        <f t="shared" si="61"/>
        <v>null</v>
      </c>
      <c r="BA117" s="78">
        <f t="shared" si="72"/>
        <v>65000000000111</v>
      </c>
      <c r="BB117" s="81" t="str">
        <f t="shared" si="62"/>
        <v>PERFORM * FROM "SchData-OLTP-Accounting"."Func_TblChartOfAccount_SET"(varSystemLoginSession, null, null, null, null, null, varInstitutionBranchID, 62000000000001::bigint,'2-0000', 'Hutang', 62000000000001::bigint, '2016-01-01 00:00:00'::timestamp, null::timestamp, null::bigint, 66000000000001::bigint, FALSE::boolean);</v>
      </c>
    </row>
    <row r="118" spans="2:54" x14ac:dyDescent="0.2">
      <c r="B118" s="39"/>
      <c r="C118" s="40"/>
      <c r="D118" s="43" t="s">
        <v>1086</v>
      </c>
      <c r="E118" s="42" t="s">
        <v>853</v>
      </c>
      <c r="F118" s="43"/>
      <c r="G118" s="42"/>
      <c r="H118" s="51"/>
      <c r="I118" s="18"/>
      <c r="J118" s="51"/>
      <c r="K118" s="18"/>
      <c r="L118" s="51"/>
      <c r="M118" s="18"/>
      <c r="O118" s="58" t="str">
        <f t="shared" si="49"/>
        <v>2-0000</v>
      </c>
      <c r="P118" s="58" t="str">
        <f t="shared" si="50"/>
        <v>2-1000</v>
      </c>
      <c r="Q118" s="58" t="str">
        <f t="shared" si="51"/>
        <v>1-5100</v>
      </c>
      <c r="R118" s="58" t="str">
        <f t="shared" si="52"/>
        <v>1-5103</v>
      </c>
      <c r="S118" s="58" t="str">
        <f t="shared" si="53"/>
        <v>1-5103.01</v>
      </c>
      <c r="T118" s="58" t="str">
        <f t="shared" si="54"/>
        <v xml:space="preserve"> </v>
      </c>
      <c r="V118" s="72">
        <f t="shared" si="55"/>
        <v>65000000000112</v>
      </c>
      <c r="W118" s="60">
        <f t="shared" si="56"/>
        <v>65000000000111</v>
      </c>
      <c r="X118" s="60">
        <f t="shared" si="57"/>
        <v>65000000000112</v>
      </c>
      <c r="Y118" s="60">
        <f t="shared" si="58"/>
        <v>65000000000104</v>
      </c>
      <c r="Z118" s="60">
        <f t="shared" si="59"/>
        <v>65000000000109</v>
      </c>
      <c r="AA118" s="60">
        <f t="shared" si="42"/>
        <v>65000000000110</v>
      </c>
      <c r="AB118" s="60">
        <f t="shared" si="60"/>
        <v>65000000000000</v>
      </c>
      <c r="AD118" s="60">
        <f t="shared" si="63"/>
        <v>2</v>
      </c>
      <c r="AE118" s="60">
        <f t="shared" si="64"/>
        <v>2</v>
      </c>
      <c r="AF118" s="60">
        <f t="shared" si="65"/>
        <v>1</v>
      </c>
      <c r="AG118" s="60">
        <f t="shared" si="66"/>
        <v>1</v>
      </c>
      <c r="AH118" s="60">
        <f t="shared" si="67"/>
        <v>1</v>
      </c>
      <c r="AI118" s="60">
        <f t="shared" si="68"/>
        <v>1</v>
      </c>
      <c r="AK118" s="68" t="str">
        <f t="shared" si="43"/>
        <v>L2</v>
      </c>
      <c r="AM118" s="64" t="s">
        <v>1755</v>
      </c>
      <c r="AN118" s="64">
        <f t="shared" si="44"/>
        <v>65000000000111</v>
      </c>
      <c r="AO118" s="64">
        <f t="shared" si="45"/>
        <v>65000000000111</v>
      </c>
      <c r="AP118" s="64">
        <f t="shared" si="46"/>
        <v>65000000000111</v>
      </c>
      <c r="AQ118" s="64">
        <f t="shared" si="47"/>
        <v>65000000000111</v>
      </c>
      <c r="AS118" s="64">
        <f t="shared" si="48"/>
        <v>65000000000111</v>
      </c>
      <c r="AU118" s="59" t="str">
        <f t="shared" si="69"/>
        <v>PERFORM * FROM "SchData-OLTP-Accounting"."Func_TblChartOfAccount_SET"(varSystemLoginSession, null, null, null, varInstitutionBranchID, 62000000000001::bigint,'2-1000', 'Hutang lancar', 62000000000001::bigint, '2016-01-01 00:00:00'::timestamp, null::timestamp, 65000000000111::bigint, 66000000000001::bigint);</v>
      </c>
      <c r="AV118" s="65">
        <f t="shared" si="70"/>
        <v>65000000000112</v>
      </c>
      <c r="AW118" s="65">
        <f t="shared" si="71"/>
        <v>65000000000111</v>
      </c>
      <c r="AY118" s="65">
        <f t="shared" si="61"/>
        <v>65000000000111</v>
      </c>
      <c r="BA118" s="78">
        <f t="shared" si="72"/>
        <v>65000000000112</v>
      </c>
      <c r="BB118" s="81" t="str">
        <f t="shared" si="62"/>
        <v>PERFORM * FROM "SchData-OLTP-Accounting"."Func_TblChartOfAccount_SET"(varSystemLoginSession, null, null, null, null, null, varInstitutionBranchID, 62000000000001::bigint,'2-1000', 'Hutang lancar', 62000000000001::bigint, '2016-01-01 00:00:00'::timestamp, null::timestamp, 65000000000111::bigint, 66000000000001::bigint, FALSE::boolean);</v>
      </c>
    </row>
    <row r="119" spans="2:54" x14ac:dyDescent="0.2">
      <c r="B119" s="39"/>
      <c r="C119" s="40"/>
      <c r="D119" s="43"/>
      <c r="E119" s="42"/>
      <c r="F119" s="43"/>
      <c r="G119" s="42"/>
      <c r="H119" s="51" t="s">
        <v>1687</v>
      </c>
      <c r="I119" s="42" t="s">
        <v>856</v>
      </c>
      <c r="J119" s="51"/>
      <c r="K119" s="18"/>
      <c r="L119" s="51"/>
      <c r="M119" s="18"/>
      <c r="O119" s="58" t="str">
        <f t="shared" si="49"/>
        <v>2-0000</v>
      </c>
      <c r="P119" s="58" t="str">
        <f t="shared" si="50"/>
        <v>2-1000</v>
      </c>
      <c r="Q119" s="58" t="str">
        <f t="shared" si="51"/>
        <v>1-5100</v>
      </c>
      <c r="R119" s="58" t="str">
        <f t="shared" si="52"/>
        <v>2-1001</v>
      </c>
      <c r="S119" s="58" t="str">
        <f t="shared" si="53"/>
        <v>1-5103.01</v>
      </c>
      <c r="T119" s="58" t="str">
        <f t="shared" si="54"/>
        <v xml:space="preserve"> </v>
      </c>
      <c r="V119" s="72">
        <f t="shared" si="55"/>
        <v>65000000000113</v>
      </c>
      <c r="W119" s="60">
        <f t="shared" si="56"/>
        <v>65000000000111</v>
      </c>
      <c r="X119" s="60">
        <f t="shared" si="57"/>
        <v>65000000000112</v>
      </c>
      <c r="Y119" s="60">
        <f t="shared" si="58"/>
        <v>65000000000104</v>
      </c>
      <c r="Z119" s="60">
        <f t="shared" si="59"/>
        <v>65000000000113</v>
      </c>
      <c r="AA119" s="60">
        <f t="shared" si="42"/>
        <v>65000000000110</v>
      </c>
      <c r="AB119" s="60">
        <f t="shared" si="60"/>
        <v>65000000000000</v>
      </c>
      <c r="AD119" s="60">
        <f t="shared" si="63"/>
        <v>2</v>
      </c>
      <c r="AE119" s="60">
        <f t="shared" si="64"/>
        <v>2</v>
      </c>
      <c r="AF119" s="60">
        <f t="shared" si="65"/>
        <v>1</v>
      </c>
      <c r="AG119" s="60">
        <f t="shared" si="66"/>
        <v>2</v>
      </c>
      <c r="AH119" s="60">
        <f t="shared" si="67"/>
        <v>1</v>
      </c>
      <c r="AI119" s="60">
        <f t="shared" si="68"/>
        <v>1</v>
      </c>
      <c r="AK119" s="68" t="str">
        <f t="shared" si="43"/>
        <v>L4</v>
      </c>
      <c r="AM119" s="64" t="s">
        <v>1755</v>
      </c>
      <c r="AN119" s="64">
        <f t="shared" si="44"/>
        <v>65000000000111</v>
      </c>
      <c r="AO119" s="64">
        <f t="shared" si="45"/>
        <v>65000000000112</v>
      </c>
      <c r="AP119" s="64">
        <f t="shared" si="46"/>
        <v>65000000000112</v>
      </c>
      <c r="AQ119" s="64">
        <f t="shared" si="47"/>
        <v>65000000000112</v>
      </c>
      <c r="AS119" s="64">
        <f t="shared" si="48"/>
        <v>65000000000112</v>
      </c>
      <c r="AU119" s="59" t="str">
        <f t="shared" si="69"/>
        <v>PERFORM * FROM "SchData-OLTP-Accounting"."Func_TblChartOfAccount_SET"(varSystemLoginSession, null, null, null, varInstitutionBranchID, 62000000000001::bigint,'2-1001', 'Hutang Dagang', 62000000000001::bigint, '2016-01-01 00:00:00'::timestamp, null::timestamp, 65000000000112::bigint, 66000000000001::bigint);</v>
      </c>
      <c r="AV119" s="65">
        <f t="shared" si="70"/>
        <v>65000000000113</v>
      </c>
      <c r="AW119" s="65">
        <f t="shared" si="71"/>
        <v>65000000000112</v>
      </c>
      <c r="AY119" s="65">
        <f t="shared" si="61"/>
        <v>65000000000112</v>
      </c>
      <c r="BA119" s="78">
        <f t="shared" si="72"/>
        <v>65000000000113</v>
      </c>
      <c r="BB119" s="81" t="str">
        <f t="shared" si="62"/>
        <v>PERFORM * FROM "SchData-OLTP-Accounting"."Func_TblChartOfAccount_SET"(varSystemLoginSession, null, null, null, null, null, varInstitutionBranchID, 62000000000001::bigint,'2-1001', 'Hutang Dagang', 62000000000001::bigint, '2016-01-01 00:00:00'::timestamp, null::timestamp, 65000000000112::bigint, 66000000000001::bigint, FALSE::boolean);</v>
      </c>
    </row>
    <row r="120" spans="2:54" x14ac:dyDescent="0.2">
      <c r="B120" s="39"/>
      <c r="C120" s="40"/>
      <c r="D120" s="43"/>
      <c r="E120" s="42"/>
      <c r="F120" s="43"/>
      <c r="G120" s="42"/>
      <c r="H120" s="51"/>
      <c r="I120" s="42"/>
      <c r="J120" s="51" t="s">
        <v>1689</v>
      </c>
      <c r="K120" s="18" t="s">
        <v>1252</v>
      </c>
      <c r="L120" s="51"/>
      <c r="M120" s="18"/>
      <c r="O120" s="58" t="str">
        <f t="shared" si="49"/>
        <v>2-0000</v>
      </c>
      <c r="P120" s="58" t="str">
        <f t="shared" si="50"/>
        <v>2-1000</v>
      </c>
      <c r="Q120" s="58" t="str">
        <f t="shared" si="51"/>
        <v>1-5100</v>
      </c>
      <c r="R120" s="58" t="str">
        <f t="shared" si="52"/>
        <v>2-1001</v>
      </c>
      <c r="S120" s="58" t="str">
        <f t="shared" si="53"/>
        <v>2-1001.01</v>
      </c>
      <c r="T120" s="58" t="str">
        <f t="shared" si="54"/>
        <v xml:space="preserve"> </v>
      </c>
      <c r="V120" s="72">
        <f t="shared" si="55"/>
        <v>65000000000114</v>
      </c>
      <c r="W120" s="60">
        <f t="shared" si="56"/>
        <v>65000000000111</v>
      </c>
      <c r="X120" s="60">
        <f t="shared" si="57"/>
        <v>65000000000112</v>
      </c>
      <c r="Y120" s="60">
        <f t="shared" si="58"/>
        <v>65000000000104</v>
      </c>
      <c r="Z120" s="60">
        <f t="shared" si="59"/>
        <v>65000000000113</v>
      </c>
      <c r="AA120" s="60">
        <f t="shared" si="42"/>
        <v>65000000000114</v>
      </c>
      <c r="AB120" s="60">
        <f t="shared" si="60"/>
        <v>65000000000000</v>
      </c>
      <c r="AD120" s="60">
        <f t="shared" si="63"/>
        <v>2</v>
      </c>
      <c r="AE120" s="60">
        <f t="shared" si="64"/>
        <v>2</v>
      </c>
      <c r="AF120" s="60">
        <f t="shared" si="65"/>
        <v>1</v>
      </c>
      <c r="AG120" s="60">
        <f t="shared" si="66"/>
        <v>2</v>
      </c>
      <c r="AH120" s="60">
        <f t="shared" si="67"/>
        <v>2</v>
      </c>
      <c r="AI120" s="60">
        <f t="shared" si="68"/>
        <v>1</v>
      </c>
      <c r="AK120" s="68" t="str">
        <f t="shared" si="43"/>
        <v>L5</v>
      </c>
      <c r="AM120" s="64" t="s">
        <v>1755</v>
      </c>
      <c r="AN120" s="64">
        <f t="shared" si="44"/>
        <v>65000000000111</v>
      </c>
      <c r="AO120" s="64">
        <f t="shared" si="45"/>
        <v>65000000000112</v>
      </c>
      <c r="AP120" s="64">
        <f t="shared" si="46"/>
        <v>65000000000112</v>
      </c>
      <c r="AQ120" s="64">
        <f t="shared" si="47"/>
        <v>65000000000113</v>
      </c>
      <c r="AS120" s="64">
        <f t="shared" si="48"/>
        <v>65000000000113</v>
      </c>
      <c r="AU120" s="59" t="str">
        <f t="shared" si="69"/>
        <v>PERFORM * FROM "SchData-OLTP-Accounting"."Func_TblChartOfAccount_SET"(varSystemLoginSession, null, null, null, varInstitutionBranchID, 62000000000001::bigint,'2-1001.01', 'Hutang Dagang (IDR)', 62000000000001::bigint, '2016-01-01 00:00:00'::timestamp, null::timestamp, 65000000000113::bigint, 66000000000001::bigint);</v>
      </c>
      <c r="AV120" s="65">
        <f t="shared" si="70"/>
        <v>65000000000114</v>
      </c>
      <c r="AW120" s="65">
        <f t="shared" si="71"/>
        <v>65000000000113</v>
      </c>
      <c r="AY120" s="65">
        <f t="shared" si="61"/>
        <v>65000000000113</v>
      </c>
      <c r="BA120" s="78">
        <f t="shared" si="72"/>
        <v>65000000000114</v>
      </c>
      <c r="BB120" s="81" t="str">
        <f t="shared" si="62"/>
        <v>PERFORM * FROM "SchData-OLTP-Accounting"."Func_TblChartOfAccount_SET"(varSystemLoginSession, null, null, null, null, null, varInstitutionBranchID, 62000000000001::bigint,'2-1001.01', 'Hutang Dagang (IDR)', 62000000000001::bigint, '2016-01-01 00:00:00'::timestamp, null::timestamp, 65000000000113::bigint, 66000000000001::bigint, FALSE::boolean);</v>
      </c>
    </row>
    <row r="121" spans="2:54" x14ac:dyDescent="0.2">
      <c r="B121" s="39"/>
      <c r="C121" s="40"/>
      <c r="D121" s="43"/>
      <c r="E121" s="42"/>
      <c r="F121" s="43"/>
      <c r="G121" s="42"/>
      <c r="H121" s="51"/>
      <c r="I121" s="42"/>
      <c r="J121" s="51" t="s">
        <v>1690</v>
      </c>
      <c r="K121" s="18" t="s">
        <v>1711</v>
      </c>
      <c r="L121" s="51"/>
      <c r="M121" s="18"/>
      <c r="O121" s="58" t="str">
        <f t="shared" si="49"/>
        <v>2-0000</v>
      </c>
      <c r="P121" s="58" t="str">
        <f t="shared" si="50"/>
        <v>2-1000</v>
      </c>
      <c r="Q121" s="58" t="str">
        <f t="shared" si="51"/>
        <v>1-5100</v>
      </c>
      <c r="R121" s="58" t="str">
        <f t="shared" si="52"/>
        <v>2-1001</v>
      </c>
      <c r="S121" s="58" t="str">
        <f t="shared" si="53"/>
        <v>2-1001.02</v>
      </c>
      <c r="T121" s="58" t="str">
        <f t="shared" si="54"/>
        <v xml:space="preserve"> </v>
      </c>
      <c r="V121" s="72">
        <f t="shared" si="55"/>
        <v>65000000000115</v>
      </c>
      <c r="W121" s="60">
        <f t="shared" si="56"/>
        <v>65000000000111</v>
      </c>
      <c r="X121" s="60">
        <f t="shared" si="57"/>
        <v>65000000000112</v>
      </c>
      <c r="Y121" s="60">
        <f t="shared" si="58"/>
        <v>65000000000104</v>
      </c>
      <c r="Z121" s="60">
        <f t="shared" si="59"/>
        <v>65000000000113</v>
      </c>
      <c r="AA121" s="60">
        <f t="shared" si="42"/>
        <v>65000000000115</v>
      </c>
      <c r="AB121" s="60">
        <f t="shared" si="60"/>
        <v>65000000000000</v>
      </c>
      <c r="AD121" s="60">
        <f t="shared" si="63"/>
        <v>2</v>
      </c>
      <c r="AE121" s="60">
        <f t="shared" si="64"/>
        <v>2</v>
      </c>
      <c r="AF121" s="60">
        <f t="shared" si="65"/>
        <v>1</v>
      </c>
      <c r="AG121" s="60">
        <f t="shared" si="66"/>
        <v>2</v>
      </c>
      <c r="AH121" s="60">
        <f t="shared" si="67"/>
        <v>3</v>
      </c>
      <c r="AI121" s="60">
        <f t="shared" si="68"/>
        <v>1</v>
      </c>
      <c r="AK121" s="68" t="str">
        <f t="shared" si="43"/>
        <v>L5</v>
      </c>
      <c r="AM121" s="64" t="s">
        <v>1755</v>
      </c>
      <c r="AN121" s="64">
        <f t="shared" si="44"/>
        <v>65000000000111</v>
      </c>
      <c r="AO121" s="64">
        <f t="shared" si="45"/>
        <v>65000000000112</v>
      </c>
      <c r="AP121" s="64">
        <f t="shared" si="46"/>
        <v>65000000000112</v>
      </c>
      <c r="AQ121" s="64">
        <f t="shared" si="47"/>
        <v>65000000000113</v>
      </c>
      <c r="AS121" s="64">
        <f t="shared" si="48"/>
        <v>65000000000113</v>
      </c>
      <c r="AU121" s="59" t="str">
        <f t="shared" si="69"/>
        <v>PERFORM * FROM "SchData-OLTP-Accounting"."Func_TblChartOfAccount_SET"(varSystemLoginSession, null, null, null, varInstitutionBranchID, 62000000000001::bigint,'2-1001.02', 'Hutang Dagang (USD)', 62000000000002::bigint, '2016-01-01 00:00:00'::timestamp, null::timestamp, 65000000000113::bigint, 66000000000001::bigint);</v>
      </c>
      <c r="AV121" s="65">
        <f t="shared" si="70"/>
        <v>65000000000115</v>
      </c>
      <c r="AW121" s="65">
        <f t="shared" si="71"/>
        <v>65000000000113</v>
      </c>
      <c r="AY121" s="65">
        <f t="shared" si="61"/>
        <v>65000000000113</v>
      </c>
      <c r="BA121" s="78">
        <f t="shared" si="72"/>
        <v>65000000000115</v>
      </c>
      <c r="BB121" s="81" t="str">
        <f t="shared" si="62"/>
        <v>PERFORM * FROM "SchData-OLTP-Accounting"."Func_TblChartOfAccount_SET"(varSystemLoginSession, null, null, null, null, null, varInstitutionBranchID, 62000000000001::bigint,'2-1001.02', 'Hutang Dagang (USD)', 62000000000002::bigint, '2016-01-01 00:00:00'::timestamp, null::timestamp, 65000000000113::bigint, 66000000000001::bigint, FALSE::boolean);</v>
      </c>
    </row>
    <row r="122" spans="2:54" x14ac:dyDescent="0.2">
      <c r="B122" s="39"/>
      <c r="C122" s="40"/>
      <c r="D122" s="43"/>
      <c r="E122" s="42"/>
      <c r="F122" s="43"/>
      <c r="G122" s="42"/>
      <c r="H122" s="51"/>
      <c r="I122" s="18"/>
      <c r="J122" s="51" t="s">
        <v>1764</v>
      </c>
      <c r="K122" s="18" t="s">
        <v>1712</v>
      </c>
      <c r="L122" s="51"/>
      <c r="M122" s="18"/>
      <c r="O122" s="58" t="str">
        <f t="shared" si="49"/>
        <v>2-0000</v>
      </c>
      <c r="P122" s="58" t="str">
        <f t="shared" si="50"/>
        <v>2-1000</v>
      </c>
      <c r="Q122" s="58" t="str">
        <f t="shared" si="51"/>
        <v>1-5100</v>
      </c>
      <c r="R122" s="58" t="str">
        <f t="shared" si="52"/>
        <v>2-1001</v>
      </c>
      <c r="S122" s="58" t="str">
        <f t="shared" si="53"/>
        <v>2-1001.03</v>
      </c>
      <c r="T122" s="58" t="str">
        <f t="shared" si="54"/>
        <v xml:space="preserve"> </v>
      </c>
      <c r="V122" s="72">
        <f t="shared" si="55"/>
        <v>65000000000116</v>
      </c>
      <c r="W122" s="60">
        <f t="shared" si="56"/>
        <v>65000000000111</v>
      </c>
      <c r="X122" s="60">
        <f t="shared" si="57"/>
        <v>65000000000112</v>
      </c>
      <c r="Y122" s="60">
        <f t="shared" si="58"/>
        <v>65000000000104</v>
      </c>
      <c r="Z122" s="60">
        <f t="shared" si="59"/>
        <v>65000000000113</v>
      </c>
      <c r="AA122" s="60">
        <f t="shared" si="42"/>
        <v>65000000000116</v>
      </c>
      <c r="AB122" s="60">
        <f t="shared" si="60"/>
        <v>65000000000000</v>
      </c>
      <c r="AD122" s="60">
        <f t="shared" si="63"/>
        <v>2</v>
      </c>
      <c r="AE122" s="60">
        <f t="shared" si="64"/>
        <v>2</v>
      </c>
      <c r="AF122" s="60">
        <f t="shared" si="65"/>
        <v>1</v>
      </c>
      <c r="AG122" s="60">
        <f t="shared" si="66"/>
        <v>2</v>
      </c>
      <c r="AH122" s="60">
        <f t="shared" si="67"/>
        <v>4</v>
      </c>
      <c r="AI122" s="60">
        <f t="shared" si="68"/>
        <v>1</v>
      </c>
      <c r="AK122" s="68" t="str">
        <f t="shared" si="43"/>
        <v>L5</v>
      </c>
      <c r="AM122" s="64" t="s">
        <v>1755</v>
      </c>
      <c r="AN122" s="64">
        <f t="shared" si="44"/>
        <v>65000000000111</v>
      </c>
      <c r="AO122" s="64">
        <f t="shared" si="45"/>
        <v>65000000000112</v>
      </c>
      <c r="AP122" s="64">
        <f t="shared" si="46"/>
        <v>65000000000112</v>
      </c>
      <c r="AQ122" s="64">
        <f t="shared" si="47"/>
        <v>65000000000113</v>
      </c>
      <c r="AS122" s="64">
        <f t="shared" si="48"/>
        <v>65000000000113</v>
      </c>
      <c r="AU122" s="59" t="str">
        <f t="shared" si="69"/>
        <v>PERFORM * FROM "SchData-OLTP-Accounting"."Func_TblChartOfAccount_SET"(varSystemLoginSession, null, null, null, varInstitutionBranchID, 62000000000001::bigint,'2-1001.03', 'Hutang Dagang (AUD)', null, '2016-01-01 00:00:00'::timestamp, null::timestamp, 65000000000113::bigint, 66000000000001::bigint);</v>
      </c>
      <c r="AV122" s="65">
        <f t="shared" si="70"/>
        <v>65000000000116</v>
      </c>
      <c r="AW122" s="65">
        <f t="shared" si="71"/>
        <v>65000000000113</v>
      </c>
      <c r="AY122" s="65">
        <f t="shared" si="61"/>
        <v>65000000000113</v>
      </c>
      <c r="BA122" s="78">
        <f t="shared" si="72"/>
        <v>65000000000116</v>
      </c>
      <c r="BB122" s="81" t="str">
        <f t="shared" si="62"/>
        <v>PERFORM * FROM "SchData-OLTP-Accounting"."Func_TblChartOfAccount_SET"(varSystemLoginSession, null, null, null, null, null, varInstitutionBranchID, 62000000000001::bigint,'2-1001.03', 'Hutang Dagang (AUD)', null, '2016-01-01 00:00:00'::timestamp, null::timestamp, 65000000000113::bigint, 66000000000001::bigint, FALSE::boolean);</v>
      </c>
    </row>
    <row r="123" spans="2:54" x14ac:dyDescent="0.2">
      <c r="B123" s="39"/>
      <c r="C123" s="40"/>
      <c r="D123" s="43"/>
      <c r="E123" s="42"/>
      <c r="F123" s="43"/>
      <c r="G123" s="42"/>
      <c r="H123" s="43" t="s">
        <v>1688</v>
      </c>
      <c r="I123" s="42" t="s">
        <v>857</v>
      </c>
      <c r="J123" s="51"/>
      <c r="K123" s="18"/>
      <c r="L123" s="51"/>
      <c r="M123" s="18"/>
      <c r="O123" s="58" t="str">
        <f t="shared" si="49"/>
        <v>2-0000</v>
      </c>
      <c r="P123" s="58" t="str">
        <f t="shared" si="50"/>
        <v>2-1000</v>
      </c>
      <c r="Q123" s="58" t="str">
        <f t="shared" si="51"/>
        <v>1-5100</v>
      </c>
      <c r="R123" s="58" t="str">
        <f t="shared" si="52"/>
        <v>2-1002</v>
      </c>
      <c r="S123" s="58" t="str">
        <f t="shared" si="53"/>
        <v>2-1001.03</v>
      </c>
      <c r="T123" s="58" t="str">
        <f t="shared" si="54"/>
        <v xml:space="preserve"> </v>
      </c>
      <c r="V123" s="72">
        <f t="shared" si="55"/>
        <v>65000000000117</v>
      </c>
      <c r="W123" s="60">
        <f t="shared" si="56"/>
        <v>65000000000111</v>
      </c>
      <c r="X123" s="60">
        <f t="shared" si="57"/>
        <v>65000000000112</v>
      </c>
      <c r="Y123" s="60">
        <f t="shared" si="58"/>
        <v>65000000000104</v>
      </c>
      <c r="Z123" s="60">
        <f t="shared" si="59"/>
        <v>65000000000117</v>
      </c>
      <c r="AA123" s="60">
        <f t="shared" si="42"/>
        <v>65000000000116</v>
      </c>
      <c r="AB123" s="60">
        <f t="shared" si="60"/>
        <v>65000000000000</v>
      </c>
      <c r="AD123" s="60">
        <f t="shared" si="63"/>
        <v>2</v>
      </c>
      <c r="AE123" s="60">
        <f t="shared" si="64"/>
        <v>2</v>
      </c>
      <c r="AF123" s="60">
        <f t="shared" si="65"/>
        <v>1</v>
      </c>
      <c r="AG123" s="60">
        <f t="shared" si="66"/>
        <v>3</v>
      </c>
      <c r="AH123" s="60">
        <f t="shared" si="67"/>
        <v>1</v>
      </c>
      <c r="AI123" s="60">
        <f t="shared" si="68"/>
        <v>1</v>
      </c>
      <c r="AK123" s="68" t="str">
        <f t="shared" si="43"/>
        <v>L4</v>
      </c>
      <c r="AM123" s="64" t="s">
        <v>1755</v>
      </c>
      <c r="AN123" s="64">
        <f t="shared" si="44"/>
        <v>65000000000111</v>
      </c>
      <c r="AO123" s="64">
        <f t="shared" si="45"/>
        <v>65000000000112</v>
      </c>
      <c r="AP123" s="64">
        <f t="shared" si="46"/>
        <v>65000000000112</v>
      </c>
      <c r="AQ123" s="64">
        <f t="shared" si="47"/>
        <v>65000000000113</v>
      </c>
      <c r="AS123" s="64">
        <f t="shared" si="48"/>
        <v>65000000000112</v>
      </c>
      <c r="AU123" s="59" t="str">
        <f t="shared" si="69"/>
        <v>PERFORM * FROM "SchData-OLTP-Accounting"."Func_TblChartOfAccount_SET"(varSystemLoginSession, null, null, null, varInstitutionBranchID, 62000000000001::bigint,'2-1002', 'Biaya yang ditangguhkan', 62000000000001::bigint, '2016-01-01 00:00:00'::timestamp, null::timestamp, 65000000000112::bigint, 66000000000001::bigint);</v>
      </c>
      <c r="AV123" s="65">
        <f t="shared" si="70"/>
        <v>65000000000117</v>
      </c>
      <c r="AW123" s="65">
        <f t="shared" si="71"/>
        <v>65000000000112</v>
      </c>
      <c r="AY123" s="65">
        <f t="shared" si="61"/>
        <v>65000000000104</v>
      </c>
      <c r="BA123" s="78">
        <f t="shared" si="72"/>
        <v>65000000000117</v>
      </c>
      <c r="BB123" s="81" t="str">
        <f t="shared" si="62"/>
        <v>PERFORM * FROM "SchData-OLTP-Accounting"."Func_TblChartOfAccount_SET"(varSystemLoginSession, null, null, null, null, null, varInstitutionBranchID, 62000000000001::bigint,'2-1002', 'Biaya yang ditangguhkan', 62000000000001::bigint, '2016-01-01 00:00:00'::timestamp, null::timestamp, 65000000000112::bigint, 66000000000001::bigint, FALSE::boolean);</v>
      </c>
    </row>
    <row r="124" spans="2:54" x14ac:dyDescent="0.2">
      <c r="B124" s="39"/>
      <c r="C124" s="40"/>
      <c r="D124" s="43"/>
      <c r="E124" s="42"/>
      <c r="F124" s="43"/>
      <c r="G124" s="42"/>
      <c r="H124" s="51"/>
      <c r="I124" s="18"/>
      <c r="J124" s="43" t="s">
        <v>1691</v>
      </c>
      <c r="K124" s="42" t="s">
        <v>1253</v>
      </c>
      <c r="L124" s="51"/>
      <c r="M124" s="18"/>
      <c r="O124" s="58" t="str">
        <f t="shared" si="49"/>
        <v>2-0000</v>
      </c>
      <c r="P124" s="58" t="str">
        <f t="shared" si="50"/>
        <v>2-1000</v>
      </c>
      <c r="Q124" s="58" t="str">
        <f t="shared" si="51"/>
        <v>1-5100</v>
      </c>
      <c r="R124" s="58" t="str">
        <f t="shared" si="52"/>
        <v>2-1002</v>
      </c>
      <c r="S124" s="58" t="str">
        <f t="shared" si="53"/>
        <v>2-1002.01</v>
      </c>
      <c r="T124" s="58" t="str">
        <f t="shared" si="54"/>
        <v xml:space="preserve"> </v>
      </c>
      <c r="V124" s="72">
        <f t="shared" si="55"/>
        <v>65000000000118</v>
      </c>
      <c r="W124" s="60">
        <f t="shared" si="56"/>
        <v>65000000000111</v>
      </c>
      <c r="X124" s="60">
        <f t="shared" si="57"/>
        <v>65000000000112</v>
      </c>
      <c r="Y124" s="60">
        <f t="shared" si="58"/>
        <v>65000000000104</v>
      </c>
      <c r="Z124" s="60">
        <f t="shared" si="59"/>
        <v>65000000000117</v>
      </c>
      <c r="AA124" s="60">
        <f t="shared" si="42"/>
        <v>65000000000118</v>
      </c>
      <c r="AB124" s="60">
        <f t="shared" si="60"/>
        <v>65000000000000</v>
      </c>
      <c r="AD124" s="60">
        <f t="shared" si="63"/>
        <v>2</v>
      </c>
      <c r="AE124" s="60">
        <f t="shared" si="64"/>
        <v>2</v>
      </c>
      <c r="AF124" s="60">
        <f t="shared" si="65"/>
        <v>1</v>
      </c>
      <c r="AG124" s="60">
        <f t="shared" si="66"/>
        <v>3</v>
      </c>
      <c r="AH124" s="60">
        <f t="shared" si="67"/>
        <v>2</v>
      </c>
      <c r="AI124" s="60">
        <f t="shared" si="68"/>
        <v>1</v>
      </c>
      <c r="AK124" s="68" t="str">
        <f t="shared" si="43"/>
        <v>L5</v>
      </c>
      <c r="AM124" s="64" t="s">
        <v>1755</v>
      </c>
      <c r="AN124" s="64">
        <f t="shared" si="44"/>
        <v>65000000000111</v>
      </c>
      <c r="AO124" s="64">
        <f t="shared" si="45"/>
        <v>65000000000112</v>
      </c>
      <c r="AP124" s="64">
        <f t="shared" si="46"/>
        <v>65000000000112</v>
      </c>
      <c r="AQ124" s="64">
        <f t="shared" si="47"/>
        <v>65000000000117</v>
      </c>
      <c r="AS124" s="64">
        <f t="shared" si="48"/>
        <v>65000000000117</v>
      </c>
      <c r="AU124" s="59" t="str">
        <f t="shared" si="69"/>
        <v>PERFORM * FROM "SchData-OLTP-Accounting"."Func_TblChartOfAccount_SET"(varSystemLoginSession, null, null, null, varInstitutionBranchID, 62000000000001::bigint,'2-1002.01', 'Biaya yang ditangguhkan (IDR)', 62000000000001::bigint, '2016-01-01 00:00:00'::timestamp, null::timestamp, 65000000000117::bigint, 66000000000001::bigint);</v>
      </c>
      <c r="AV124" s="65">
        <f t="shared" si="70"/>
        <v>65000000000118</v>
      </c>
      <c r="AW124" s="65">
        <f t="shared" si="71"/>
        <v>65000000000117</v>
      </c>
      <c r="AY124" s="65">
        <f t="shared" si="61"/>
        <v>65000000000117</v>
      </c>
      <c r="BA124" s="78">
        <f t="shared" si="72"/>
        <v>65000000000118</v>
      </c>
      <c r="BB124" s="81" t="str">
        <f t="shared" si="62"/>
        <v>PERFORM * FROM "SchData-OLTP-Accounting"."Func_TblChartOfAccount_SET"(varSystemLoginSession, null, null, null, null, null, varInstitutionBranchID, 62000000000001::bigint,'2-1002.01', 'Biaya yang ditangguhkan (IDR)', 62000000000001::bigint, '2016-01-01 00:00:00'::timestamp, null::timestamp, 65000000000117::bigint, 66000000000001::bigint, FALSE::boolean);</v>
      </c>
    </row>
    <row r="125" spans="2:54" x14ac:dyDescent="0.2">
      <c r="B125" s="39"/>
      <c r="C125" s="40"/>
      <c r="D125" s="43"/>
      <c r="E125" s="42"/>
      <c r="F125" s="43"/>
      <c r="G125" s="42"/>
      <c r="H125" s="51" t="s">
        <v>1708</v>
      </c>
      <c r="I125" s="42" t="s">
        <v>267</v>
      </c>
      <c r="J125" s="51"/>
      <c r="K125" s="18"/>
      <c r="L125" s="51"/>
      <c r="M125" s="18"/>
      <c r="O125" s="58" t="str">
        <f t="shared" si="49"/>
        <v>2-0000</v>
      </c>
      <c r="P125" s="58" t="str">
        <f t="shared" si="50"/>
        <v>2-1000</v>
      </c>
      <c r="Q125" s="58" t="str">
        <f t="shared" si="51"/>
        <v>1-5100</v>
      </c>
      <c r="R125" s="58" t="str">
        <f t="shared" si="52"/>
        <v>2-1003</v>
      </c>
      <c r="S125" s="58" t="str">
        <f t="shared" si="53"/>
        <v>2-1002.01</v>
      </c>
      <c r="T125" s="58" t="str">
        <f t="shared" si="54"/>
        <v xml:space="preserve"> </v>
      </c>
      <c r="V125" s="72">
        <f t="shared" si="55"/>
        <v>65000000000119</v>
      </c>
      <c r="W125" s="60">
        <f t="shared" si="56"/>
        <v>65000000000111</v>
      </c>
      <c r="X125" s="60">
        <f t="shared" si="57"/>
        <v>65000000000112</v>
      </c>
      <c r="Y125" s="60">
        <f t="shared" si="58"/>
        <v>65000000000104</v>
      </c>
      <c r="Z125" s="60">
        <f t="shared" si="59"/>
        <v>65000000000119</v>
      </c>
      <c r="AA125" s="60">
        <f t="shared" si="42"/>
        <v>65000000000118</v>
      </c>
      <c r="AB125" s="60">
        <f t="shared" si="60"/>
        <v>65000000000000</v>
      </c>
      <c r="AD125" s="60">
        <f t="shared" si="63"/>
        <v>2</v>
      </c>
      <c r="AE125" s="60">
        <f t="shared" si="64"/>
        <v>2</v>
      </c>
      <c r="AF125" s="60">
        <f t="shared" si="65"/>
        <v>1</v>
      </c>
      <c r="AG125" s="60">
        <f t="shared" si="66"/>
        <v>4</v>
      </c>
      <c r="AH125" s="60">
        <f t="shared" si="67"/>
        <v>1</v>
      </c>
      <c r="AI125" s="60">
        <f t="shared" si="68"/>
        <v>1</v>
      </c>
      <c r="AK125" s="68" t="str">
        <f t="shared" si="43"/>
        <v>L4</v>
      </c>
      <c r="AM125" s="64" t="s">
        <v>1755</v>
      </c>
      <c r="AN125" s="64">
        <f t="shared" si="44"/>
        <v>65000000000111</v>
      </c>
      <c r="AO125" s="64">
        <f t="shared" si="45"/>
        <v>65000000000112</v>
      </c>
      <c r="AP125" s="64">
        <f t="shared" si="46"/>
        <v>65000000000112</v>
      </c>
      <c r="AQ125" s="64">
        <f t="shared" si="47"/>
        <v>65000000000117</v>
      </c>
      <c r="AS125" s="64">
        <f t="shared" si="48"/>
        <v>65000000000112</v>
      </c>
      <c r="AU125" s="59" t="str">
        <f t="shared" si="69"/>
        <v>PERFORM * FROM "SchData-OLTP-Accounting"."Func_TblChartOfAccount_SET"(varSystemLoginSession, null, null, null, varInstitutionBranchID, 62000000000001::bigint,'2-1003', 'Unearned Revenue', 62000000000001::bigint, '2016-01-01 00:00:00'::timestamp, null::timestamp, 65000000000112::bigint, 66000000000001::bigint);</v>
      </c>
      <c r="AV125" s="65">
        <f t="shared" si="70"/>
        <v>65000000000119</v>
      </c>
      <c r="AW125" s="65">
        <f t="shared" si="71"/>
        <v>65000000000112</v>
      </c>
      <c r="AY125" s="65">
        <f t="shared" si="61"/>
        <v>65000000000104</v>
      </c>
      <c r="BA125" s="78">
        <f t="shared" si="72"/>
        <v>65000000000119</v>
      </c>
      <c r="BB125" s="81" t="str">
        <f t="shared" si="62"/>
        <v>PERFORM * FROM "SchData-OLTP-Accounting"."Func_TblChartOfAccount_SET"(varSystemLoginSession, null, null, null, null, null, varInstitutionBranchID, 62000000000001::bigint,'2-1003', 'Unearned Revenue', 62000000000001::bigint, '2016-01-01 00:00:00'::timestamp, null::timestamp, 65000000000112::bigint, 66000000000001::bigint, FALSE::boolean);</v>
      </c>
    </row>
    <row r="126" spans="2:54" x14ac:dyDescent="0.2">
      <c r="B126" s="39"/>
      <c r="C126" s="40"/>
      <c r="D126" s="43"/>
      <c r="E126" s="42"/>
      <c r="F126" s="43"/>
      <c r="G126" s="42"/>
      <c r="H126" s="51"/>
      <c r="I126" s="18"/>
      <c r="J126" s="51" t="s">
        <v>1709</v>
      </c>
      <c r="K126" s="42" t="s">
        <v>1263</v>
      </c>
      <c r="L126" s="51"/>
      <c r="M126" s="18"/>
      <c r="O126" s="58" t="str">
        <f t="shared" si="49"/>
        <v>2-0000</v>
      </c>
      <c r="P126" s="58" t="str">
        <f t="shared" si="50"/>
        <v>2-1000</v>
      </c>
      <c r="Q126" s="58" t="str">
        <f t="shared" si="51"/>
        <v>1-5100</v>
      </c>
      <c r="R126" s="58" t="str">
        <f t="shared" si="52"/>
        <v>2-1003</v>
      </c>
      <c r="S126" s="58" t="str">
        <f t="shared" si="53"/>
        <v>2-1003.01</v>
      </c>
      <c r="T126" s="58" t="str">
        <f t="shared" si="54"/>
        <v xml:space="preserve"> </v>
      </c>
      <c r="V126" s="72">
        <f t="shared" si="55"/>
        <v>65000000000120</v>
      </c>
      <c r="W126" s="60">
        <f t="shared" si="56"/>
        <v>65000000000111</v>
      </c>
      <c r="X126" s="60">
        <f t="shared" si="57"/>
        <v>65000000000112</v>
      </c>
      <c r="Y126" s="60">
        <f t="shared" si="58"/>
        <v>65000000000104</v>
      </c>
      <c r="Z126" s="60">
        <f t="shared" si="59"/>
        <v>65000000000119</v>
      </c>
      <c r="AA126" s="60">
        <f t="shared" si="42"/>
        <v>65000000000120</v>
      </c>
      <c r="AB126" s="60">
        <f t="shared" si="60"/>
        <v>65000000000000</v>
      </c>
      <c r="AD126" s="60">
        <f t="shared" si="63"/>
        <v>2</v>
      </c>
      <c r="AE126" s="60">
        <f t="shared" si="64"/>
        <v>2</v>
      </c>
      <c r="AF126" s="60">
        <f t="shared" si="65"/>
        <v>1</v>
      </c>
      <c r="AG126" s="60">
        <f t="shared" si="66"/>
        <v>4</v>
      </c>
      <c r="AH126" s="60">
        <f t="shared" si="67"/>
        <v>2</v>
      </c>
      <c r="AI126" s="60">
        <f t="shared" si="68"/>
        <v>1</v>
      </c>
      <c r="AK126" s="68" t="str">
        <f t="shared" si="43"/>
        <v>L5</v>
      </c>
      <c r="AM126" s="64" t="s">
        <v>1755</v>
      </c>
      <c r="AN126" s="64">
        <f t="shared" si="44"/>
        <v>65000000000111</v>
      </c>
      <c r="AO126" s="64">
        <f t="shared" si="45"/>
        <v>65000000000112</v>
      </c>
      <c r="AP126" s="64">
        <f t="shared" si="46"/>
        <v>65000000000112</v>
      </c>
      <c r="AQ126" s="64">
        <f t="shared" si="47"/>
        <v>65000000000119</v>
      </c>
      <c r="AS126" s="64">
        <f t="shared" si="48"/>
        <v>65000000000119</v>
      </c>
      <c r="AU126" s="59" t="str">
        <f t="shared" si="69"/>
        <v>PERFORM * FROM "SchData-OLTP-Accounting"."Func_TblChartOfAccount_SET"(varSystemLoginSession, null, null, null, varInstitutionBranchID, 62000000000001::bigint,'2-1003.01', 'Unearned Revenue (IDR)', 62000000000001::bigint, '2016-01-01 00:00:00'::timestamp, null::timestamp, 65000000000119::bigint, 66000000000001::bigint);</v>
      </c>
      <c r="AV126" s="65">
        <f t="shared" si="70"/>
        <v>65000000000120</v>
      </c>
      <c r="AW126" s="65">
        <f t="shared" si="71"/>
        <v>65000000000119</v>
      </c>
      <c r="AY126" s="65">
        <f t="shared" si="61"/>
        <v>65000000000119</v>
      </c>
      <c r="BA126" s="78">
        <f t="shared" si="72"/>
        <v>65000000000120</v>
      </c>
      <c r="BB126" s="81" t="str">
        <f t="shared" si="62"/>
        <v>PERFORM * FROM "SchData-OLTP-Accounting"."Func_TblChartOfAccount_SET"(varSystemLoginSession, null, null, null, null, null, varInstitutionBranchID, 62000000000001::bigint,'2-1003.01', 'Unearned Revenue (IDR)', 62000000000001::bigint, '2016-01-01 00:00:00'::timestamp, null::timestamp, 65000000000119::bigint, 66000000000001::bigint, FALSE::boolean);</v>
      </c>
    </row>
    <row r="127" spans="2:54" x14ac:dyDescent="0.2">
      <c r="B127" s="39"/>
      <c r="C127" s="40"/>
      <c r="D127" s="43"/>
      <c r="E127" s="42"/>
      <c r="F127" s="43"/>
      <c r="G127" s="42"/>
      <c r="H127" s="51"/>
      <c r="I127" s="18"/>
      <c r="J127" s="51" t="s">
        <v>1710</v>
      </c>
      <c r="K127" s="42" t="s">
        <v>1713</v>
      </c>
      <c r="L127" s="51"/>
      <c r="M127" s="18"/>
      <c r="O127" s="58" t="str">
        <f t="shared" si="49"/>
        <v>2-0000</v>
      </c>
      <c r="P127" s="58" t="str">
        <f t="shared" si="50"/>
        <v>2-1000</v>
      </c>
      <c r="Q127" s="58" t="str">
        <f t="shared" si="51"/>
        <v>1-5100</v>
      </c>
      <c r="R127" s="58" t="str">
        <f t="shared" si="52"/>
        <v>2-1003</v>
      </c>
      <c r="S127" s="58" t="str">
        <f t="shared" si="53"/>
        <v>2-1003.02</v>
      </c>
      <c r="T127" s="58" t="str">
        <f t="shared" si="54"/>
        <v xml:space="preserve"> </v>
      </c>
      <c r="V127" s="72">
        <f t="shared" si="55"/>
        <v>65000000000121</v>
      </c>
      <c r="W127" s="60">
        <f t="shared" si="56"/>
        <v>65000000000111</v>
      </c>
      <c r="X127" s="60">
        <f t="shared" si="57"/>
        <v>65000000000112</v>
      </c>
      <c r="Y127" s="60">
        <f t="shared" si="58"/>
        <v>65000000000104</v>
      </c>
      <c r="Z127" s="60">
        <f t="shared" si="59"/>
        <v>65000000000119</v>
      </c>
      <c r="AA127" s="60">
        <f t="shared" si="42"/>
        <v>65000000000121</v>
      </c>
      <c r="AB127" s="60">
        <f t="shared" si="60"/>
        <v>65000000000000</v>
      </c>
      <c r="AD127" s="60">
        <f t="shared" si="63"/>
        <v>2</v>
      </c>
      <c r="AE127" s="60">
        <f t="shared" si="64"/>
        <v>2</v>
      </c>
      <c r="AF127" s="60">
        <f t="shared" si="65"/>
        <v>1</v>
      </c>
      <c r="AG127" s="60">
        <f t="shared" si="66"/>
        <v>4</v>
      </c>
      <c r="AH127" s="60">
        <f t="shared" si="67"/>
        <v>3</v>
      </c>
      <c r="AI127" s="60">
        <f t="shared" si="68"/>
        <v>1</v>
      </c>
      <c r="AK127" s="68" t="str">
        <f t="shared" si="43"/>
        <v>L5</v>
      </c>
      <c r="AM127" s="64" t="s">
        <v>1755</v>
      </c>
      <c r="AN127" s="64">
        <f t="shared" si="44"/>
        <v>65000000000111</v>
      </c>
      <c r="AO127" s="64">
        <f t="shared" si="45"/>
        <v>65000000000112</v>
      </c>
      <c r="AP127" s="64">
        <f t="shared" si="46"/>
        <v>65000000000112</v>
      </c>
      <c r="AQ127" s="64">
        <f t="shared" si="47"/>
        <v>65000000000119</v>
      </c>
      <c r="AS127" s="64">
        <f t="shared" si="48"/>
        <v>65000000000119</v>
      </c>
      <c r="AU127" s="59" t="str">
        <f t="shared" si="69"/>
        <v>PERFORM * FROM "SchData-OLTP-Accounting"."Func_TblChartOfAccount_SET"(varSystemLoginSession, null, null, null, varInstitutionBranchID, 62000000000001::bigint,'2-1003.02', 'Unearned Revenue (USD)', 62000000000002::bigint, '2016-01-01 00:00:00'::timestamp, null::timestamp, 65000000000119::bigint, 66000000000001::bigint);</v>
      </c>
      <c r="AV127" s="65">
        <f t="shared" si="70"/>
        <v>65000000000121</v>
      </c>
      <c r="AW127" s="65">
        <f t="shared" si="71"/>
        <v>65000000000119</v>
      </c>
      <c r="AY127" s="65">
        <f t="shared" si="61"/>
        <v>65000000000119</v>
      </c>
      <c r="BA127" s="78">
        <f t="shared" si="72"/>
        <v>65000000000121</v>
      </c>
      <c r="BB127" s="81" t="str">
        <f t="shared" si="62"/>
        <v>PERFORM * FROM "SchData-OLTP-Accounting"."Func_TblChartOfAccount_SET"(varSystemLoginSession, null, null, null, null, null, varInstitutionBranchID, 62000000000001::bigint,'2-1003.02', 'Unearned Revenue (USD)', 62000000000002::bigint, '2016-01-01 00:00:00'::timestamp, null::timestamp, 65000000000119::bigint, 66000000000001::bigint, FALSE::boolean);</v>
      </c>
    </row>
    <row r="128" spans="2:54" x14ac:dyDescent="0.2">
      <c r="B128" s="39"/>
      <c r="C128" s="40"/>
      <c r="D128" s="43"/>
      <c r="E128" s="42"/>
      <c r="F128" s="43"/>
      <c r="G128" s="42"/>
      <c r="H128" s="51" t="s">
        <v>1714</v>
      </c>
      <c r="I128" s="42" t="s">
        <v>265</v>
      </c>
      <c r="J128" s="51"/>
      <c r="K128" s="42"/>
      <c r="L128" s="51"/>
      <c r="M128" s="18"/>
      <c r="O128" s="58" t="str">
        <f t="shared" si="49"/>
        <v>2-0000</v>
      </c>
      <c r="P128" s="58" t="str">
        <f t="shared" si="50"/>
        <v>2-1000</v>
      </c>
      <c r="Q128" s="58" t="str">
        <f t="shared" si="51"/>
        <v>1-5100</v>
      </c>
      <c r="R128" s="58" t="str">
        <f t="shared" si="52"/>
        <v>2-1004</v>
      </c>
      <c r="S128" s="58" t="str">
        <f t="shared" si="53"/>
        <v>2-1003.02</v>
      </c>
      <c r="T128" s="58" t="str">
        <f t="shared" si="54"/>
        <v xml:space="preserve"> </v>
      </c>
      <c r="V128" s="72">
        <f t="shared" si="55"/>
        <v>65000000000122</v>
      </c>
      <c r="W128" s="60">
        <f t="shared" si="56"/>
        <v>65000000000111</v>
      </c>
      <c r="X128" s="60">
        <f t="shared" si="57"/>
        <v>65000000000112</v>
      </c>
      <c r="Y128" s="60">
        <f t="shared" si="58"/>
        <v>65000000000104</v>
      </c>
      <c r="Z128" s="60">
        <f t="shared" si="59"/>
        <v>65000000000122</v>
      </c>
      <c r="AA128" s="60">
        <f t="shared" si="42"/>
        <v>65000000000121</v>
      </c>
      <c r="AB128" s="60">
        <f t="shared" si="60"/>
        <v>65000000000000</v>
      </c>
      <c r="AD128" s="60">
        <f t="shared" si="63"/>
        <v>2</v>
      </c>
      <c r="AE128" s="60">
        <f t="shared" si="64"/>
        <v>2</v>
      </c>
      <c r="AF128" s="60">
        <f t="shared" si="65"/>
        <v>1</v>
      </c>
      <c r="AG128" s="60">
        <f t="shared" si="66"/>
        <v>5</v>
      </c>
      <c r="AH128" s="60">
        <f t="shared" si="67"/>
        <v>1</v>
      </c>
      <c r="AI128" s="60">
        <f t="shared" si="68"/>
        <v>1</v>
      </c>
      <c r="AK128" s="68" t="str">
        <f t="shared" si="43"/>
        <v>L4</v>
      </c>
      <c r="AM128" s="64" t="s">
        <v>1755</v>
      </c>
      <c r="AN128" s="64">
        <f t="shared" si="44"/>
        <v>65000000000111</v>
      </c>
      <c r="AO128" s="64">
        <f t="shared" si="45"/>
        <v>65000000000112</v>
      </c>
      <c r="AP128" s="64">
        <f t="shared" si="46"/>
        <v>65000000000112</v>
      </c>
      <c r="AQ128" s="64">
        <f t="shared" si="47"/>
        <v>65000000000119</v>
      </c>
      <c r="AS128" s="64">
        <f t="shared" si="48"/>
        <v>65000000000112</v>
      </c>
      <c r="AU128" s="59" t="str">
        <f t="shared" si="69"/>
        <v>PERFORM * FROM "SchData-OLTP-Accounting"."Func_TblChartOfAccount_SET"(varSystemLoginSession, null, null, null, varInstitutionBranchID, 62000000000001::bigint,'2-1004', 'Month end CFS Accrual', 62000000000001::bigint, '2016-01-01 00:00:00'::timestamp, null::timestamp, 65000000000112::bigint, 66000000000001::bigint);</v>
      </c>
      <c r="AV128" s="65">
        <f t="shared" si="70"/>
        <v>65000000000122</v>
      </c>
      <c r="AW128" s="65">
        <f t="shared" si="71"/>
        <v>65000000000112</v>
      </c>
      <c r="AY128" s="65">
        <f t="shared" si="61"/>
        <v>65000000000104</v>
      </c>
      <c r="BA128" s="78">
        <f t="shared" si="72"/>
        <v>65000000000122</v>
      </c>
      <c r="BB128" s="81" t="str">
        <f t="shared" si="62"/>
        <v>PERFORM * FROM "SchData-OLTP-Accounting"."Func_TblChartOfAccount_SET"(varSystemLoginSession, null, null, null, null, null, varInstitutionBranchID, 62000000000001::bigint,'2-1004', 'Month end CFS Accrual', 62000000000001::bigint, '2016-01-01 00:00:00'::timestamp, null::timestamp, 65000000000112::bigint, 66000000000001::bigint, FALSE::boolean);</v>
      </c>
    </row>
    <row r="129" spans="2:54" x14ac:dyDescent="0.2">
      <c r="B129" s="39"/>
      <c r="C129" s="40"/>
      <c r="D129" s="43"/>
      <c r="E129" s="42"/>
      <c r="F129" s="43"/>
      <c r="G129" s="42"/>
      <c r="H129" s="51"/>
      <c r="I129" s="18"/>
      <c r="J129" s="51" t="s">
        <v>1715</v>
      </c>
      <c r="K129" s="42" t="s">
        <v>1264</v>
      </c>
      <c r="L129" s="51"/>
      <c r="M129" s="18"/>
      <c r="O129" s="58" t="str">
        <f t="shared" si="49"/>
        <v>2-0000</v>
      </c>
      <c r="P129" s="58" t="str">
        <f t="shared" si="50"/>
        <v>2-1000</v>
      </c>
      <c r="Q129" s="58" t="str">
        <f t="shared" si="51"/>
        <v>1-5100</v>
      </c>
      <c r="R129" s="58" t="str">
        <f t="shared" si="52"/>
        <v>2-1004</v>
      </c>
      <c r="S129" s="58" t="str">
        <f t="shared" si="53"/>
        <v>2-1004.01</v>
      </c>
      <c r="T129" s="58" t="str">
        <f t="shared" si="54"/>
        <v xml:space="preserve"> </v>
      </c>
      <c r="V129" s="72">
        <f t="shared" si="55"/>
        <v>65000000000123</v>
      </c>
      <c r="W129" s="60">
        <f t="shared" si="56"/>
        <v>65000000000111</v>
      </c>
      <c r="X129" s="60">
        <f t="shared" si="57"/>
        <v>65000000000112</v>
      </c>
      <c r="Y129" s="60">
        <f t="shared" si="58"/>
        <v>65000000000104</v>
      </c>
      <c r="Z129" s="60">
        <f t="shared" si="59"/>
        <v>65000000000122</v>
      </c>
      <c r="AA129" s="60">
        <f t="shared" si="42"/>
        <v>65000000000123</v>
      </c>
      <c r="AB129" s="60">
        <f t="shared" si="60"/>
        <v>65000000000000</v>
      </c>
      <c r="AD129" s="60">
        <f t="shared" si="63"/>
        <v>2</v>
      </c>
      <c r="AE129" s="60">
        <f t="shared" si="64"/>
        <v>2</v>
      </c>
      <c r="AF129" s="60">
        <f t="shared" si="65"/>
        <v>1</v>
      </c>
      <c r="AG129" s="60">
        <f t="shared" si="66"/>
        <v>5</v>
      </c>
      <c r="AH129" s="60">
        <f t="shared" si="67"/>
        <v>2</v>
      </c>
      <c r="AI129" s="60">
        <f t="shared" si="68"/>
        <v>1</v>
      </c>
      <c r="AK129" s="68" t="str">
        <f t="shared" si="43"/>
        <v>L5</v>
      </c>
      <c r="AM129" s="64" t="s">
        <v>1755</v>
      </c>
      <c r="AN129" s="64">
        <f t="shared" si="44"/>
        <v>65000000000111</v>
      </c>
      <c r="AO129" s="64">
        <f t="shared" si="45"/>
        <v>65000000000112</v>
      </c>
      <c r="AP129" s="64">
        <f t="shared" si="46"/>
        <v>65000000000112</v>
      </c>
      <c r="AQ129" s="64">
        <f t="shared" si="47"/>
        <v>65000000000122</v>
      </c>
      <c r="AS129" s="64">
        <f t="shared" si="48"/>
        <v>65000000000122</v>
      </c>
      <c r="AU129" s="59" t="str">
        <f t="shared" si="69"/>
        <v>PERFORM * FROM "SchData-OLTP-Accounting"."Func_TblChartOfAccount_SET"(varSystemLoginSession, null, null, null, varInstitutionBranchID, 62000000000001::bigint,'2-1004.01', 'Month end CFS Accrual (IDR)', 62000000000001::bigint, '2016-01-01 00:00:00'::timestamp, null::timestamp, 65000000000122::bigint, 66000000000001::bigint);</v>
      </c>
      <c r="AV129" s="65">
        <f t="shared" si="70"/>
        <v>65000000000123</v>
      </c>
      <c r="AW129" s="65">
        <f t="shared" si="71"/>
        <v>65000000000122</v>
      </c>
      <c r="AY129" s="65">
        <f t="shared" si="61"/>
        <v>65000000000122</v>
      </c>
      <c r="BA129" s="78">
        <f t="shared" si="72"/>
        <v>65000000000123</v>
      </c>
      <c r="BB129" s="81" t="str">
        <f t="shared" si="62"/>
        <v>PERFORM * FROM "SchData-OLTP-Accounting"."Func_TblChartOfAccount_SET"(varSystemLoginSession, null, null, null, null, null, varInstitutionBranchID, 62000000000001::bigint,'2-1004.01', 'Month end CFS Accrual (IDR)', 62000000000001::bigint, '2016-01-01 00:00:00'::timestamp, null::timestamp, 65000000000122::bigint, 66000000000001::bigint, FALSE::boolean);</v>
      </c>
    </row>
    <row r="130" spans="2:54" x14ac:dyDescent="0.2">
      <c r="B130" s="39"/>
      <c r="C130" s="40"/>
      <c r="D130" s="43"/>
      <c r="E130" s="42"/>
      <c r="F130" s="43"/>
      <c r="G130" s="42"/>
      <c r="H130" s="51" t="s">
        <v>1716</v>
      </c>
      <c r="I130" s="42" t="s">
        <v>883</v>
      </c>
      <c r="J130" s="51"/>
      <c r="K130" s="18"/>
      <c r="L130" s="51"/>
      <c r="M130" s="18"/>
      <c r="O130" s="58" t="str">
        <f t="shared" si="49"/>
        <v>2-0000</v>
      </c>
      <c r="P130" s="58" t="str">
        <f t="shared" si="50"/>
        <v>2-1000</v>
      </c>
      <c r="Q130" s="58" t="str">
        <f t="shared" si="51"/>
        <v>1-5100</v>
      </c>
      <c r="R130" s="58" t="str">
        <f t="shared" si="52"/>
        <v>2-1005</v>
      </c>
      <c r="S130" s="58" t="str">
        <f t="shared" si="53"/>
        <v>2-1004.01</v>
      </c>
      <c r="T130" s="58" t="str">
        <f t="shared" si="54"/>
        <v xml:space="preserve"> </v>
      </c>
      <c r="V130" s="72">
        <f t="shared" si="55"/>
        <v>65000000000124</v>
      </c>
      <c r="W130" s="60">
        <f t="shared" si="56"/>
        <v>65000000000111</v>
      </c>
      <c r="X130" s="60">
        <f t="shared" si="57"/>
        <v>65000000000112</v>
      </c>
      <c r="Y130" s="60">
        <f t="shared" si="58"/>
        <v>65000000000104</v>
      </c>
      <c r="Z130" s="60">
        <f t="shared" si="59"/>
        <v>65000000000124</v>
      </c>
      <c r="AA130" s="60">
        <f t="shared" si="42"/>
        <v>65000000000123</v>
      </c>
      <c r="AB130" s="60">
        <f t="shared" si="60"/>
        <v>65000000000000</v>
      </c>
      <c r="AD130" s="60">
        <f t="shared" si="63"/>
        <v>2</v>
      </c>
      <c r="AE130" s="60">
        <f t="shared" si="64"/>
        <v>2</v>
      </c>
      <c r="AF130" s="60">
        <f t="shared" si="65"/>
        <v>1</v>
      </c>
      <c r="AG130" s="60">
        <f t="shared" si="66"/>
        <v>6</v>
      </c>
      <c r="AH130" s="60">
        <f t="shared" si="67"/>
        <v>1</v>
      </c>
      <c r="AI130" s="60">
        <f t="shared" si="68"/>
        <v>1</v>
      </c>
      <c r="AK130" s="68" t="str">
        <f t="shared" si="43"/>
        <v>L4</v>
      </c>
      <c r="AM130" s="64" t="s">
        <v>1755</v>
      </c>
      <c r="AN130" s="64">
        <f t="shared" si="44"/>
        <v>65000000000111</v>
      </c>
      <c r="AO130" s="64">
        <f t="shared" si="45"/>
        <v>65000000000112</v>
      </c>
      <c r="AP130" s="64">
        <f t="shared" si="46"/>
        <v>65000000000112</v>
      </c>
      <c r="AQ130" s="64">
        <f t="shared" si="47"/>
        <v>65000000000122</v>
      </c>
      <c r="AS130" s="64">
        <f t="shared" si="48"/>
        <v>65000000000112</v>
      </c>
      <c r="AU130" s="59" t="str">
        <f t="shared" si="69"/>
        <v>PERFORM * FROM "SchData-OLTP-Accounting"."Func_TblChartOfAccount_SET"(varSystemLoginSession, null, null, null, varInstitutionBranchID, 62000000000001::bigint,'2-1005', 'Hutang Karyawan', 62000000000001::bigint, '2016-01-01 00:00:00'::timestamp, null::timestamp, 65000000000112::bigint, 66000000000001::bigint);</v>
      </c>
      <c r="AV130" s="65">
        <f t="shared" si="70"/>
        <v>65000000000124</v>
      </c>
      <c r="AW130" s="65">
        <f t="shared" si="71"/>
        <v>65000000000112</v>
      </c>
      <c r="AY130" s="65">
        <f t="shared" si="61"/>
        <v>65000000000104</v>
      </c>
      <c r="BA130" s="78">
        <f t="shared" si="72"/>
        <v>65000000000124</v>
      </c>
      <c r="BB130" s="81" t="str">
        <f t="shared" si="62"/>
        <v>PERFORM * FROM "SchData-OLTP-Accounting"."Func_TblChartOfAccount_SET"(varSystemLoginSession, null, null, null, null, null, varInstitutionBranchID, 62000000000001::bigint,'2-1005', 'Hutang Karyawan', 62000000000001::bigint, '2016-01-01 00:00:00'::timestamp, null::timestamp, 65000000000112::bigint, 66000000000001::bigint, FALSE::boolean);</v>
      </c>
    </row>
    <row r="131" spans="2:54" x14ac:dyDescent="0.2">
      <c r="B131" s="39"/>
      <c r="C131" s="40"/>
      <c r="D131" s="43"/>
      <c r="E131" s="42"/>
      <c r="F131" s="43"/>
      <c r="G131" s="42"/>
      <c r="H131" s="51"/>
      <c r="I131" s="18"/>
      <c r="J131" s="51" t="s">
        <v>1717</v>
      </c>
      <c r="K131" s="42" t="s">
        <v>1265</v>
      </c>
      <c r="L131" s="51"/>
      <c r="M131" s="18"/>
      <c r="O131" s="58" t="str">
        <f t="shared" si="49"/>
        <v>2-0000</v>
      </c>
      <c r="P131" s="58" t="str">
        <f t="shared" si="50"/>
        <v>2-1000</v>
      </c>
      <c r="Q131" s="58" t="str">
        <f t="shared" si="51"/>
        <v>1-5100</v>
      </c>
      <c r="R131" s="58" t="str">
        <f t="shared" si="52"/>
        <v>2-1005</v>
      </c>
      <c r="S131" s="58" t="str">
        <f t="shared" si="53"/>
        <v>2-1005.01</v>
      </c>
      <c r="T131" s="58" t="str">
        <f t="shared" si="54"/>
        <v xml:space="preserve"> </v>
      </c>
      <c r="V131" s="72">
        <f t="shared" si="55"/>
        <v>65000000000125</v>
      </c>
      <c r="W131" s="60">
        <f t="shared" si="56"/>
        <v>65000000000111</v>
      </c>
      <c r="X131" s="60">
        <f t="shared" si="57"/>
        <v>65000000000112</v>
      </c>
      <c r="Y131" s="60">
        <f t="shared" si="58"/>
        <v>65000000000104</v>
      </c>
      <c r="Z131" s="60">
        <f t="shared" si="59"/>
        <v>65000000000124</v>
      </c>
      <c r="AA131" s="60">
        <f t="shared" si="42"/>
        <v>65000000000125</v>
      </c>
      <c r="AB131" s="60">
        <f t="shared" si="60"/>
        <v>65000000000000</v>
      </c>
      <c r="AD131" s="60">
        <f t="shared" si="63"/>
        <v>2</v>
      </c>
      <c r="AE131" s="60">
        <f t="shared" si="64"/>
        <v>2</v>
      </c>
      <c r="AF131" s="60">
        <f t="shared" si="65"/>
        <v>1</v>
      </c>
      <c r="AG131" s="60">
        <f t="shared" si="66"/>
        <v>6</v>
      </c>
      <c r="AH131" s="60">
        <f t="shared" si="67"/>
        <v>2</v>
      </c>
      <c r="AI131" s="60">
        <f t="shared" si="68"/>
        <v>1</v>
      </c>
      <c r="AK131" s="68" t="str">
        <f t="shared" si="43"/>
        <v>L5</v>
      </c>
      <c r="AM131" s="64" t="s">
        <v>1755</v>
      </c>
      <c r="AN131" s="64">
        <f t="shared" si="44"/>
        <v>65000000000111</v>
      </c>
      <c r="AO131" s="64">
        <f t="shared" si="45"/>
        <v>65000000000112</v>
      </c>
      <c r="AP131" s="64">
        <f t="shared" si="46"/>
        <v>65000000000112</v>
      </c>
      <c r="AQ131" s="64">
        <f t="shared" si="47"/>
        <v>65000000000124</v>
      </c>
      <c r="AS131" s="64">
        <f t="shared" si="48"/>
        <v>65000000000124</v>
      </c>
      <c r="AU131" s="59" t="str">
        <f t="shared" si="69"/>
        <v>PERFORM * FROM "SchData-OLTP-Accounting"."Func_TblChartOfAccount_SET"(varSystemLoginSession, null, null, null, varInstitutionBranchID, 62000000000001::bigint,'2-1005.01', 'Hutang Karyawan (IDR)', 62000000000001::bigint, '2016-01-01 00:00:00'::timestamp, null::timestamp, 65000000000124::bigint, 66000000000001::bigint);</v>
      </c>
      <c r="AV131" s="65">
        <f t="shared" si="70"/>
        <v>65000000000125</v>
      </c>
      <c r="AW131" s="65">
        <f t="shared" si="71"/>
        <v>65000000000124</v>
      </c>
      <c r="AY131" s="65">
        <f t="shared" si="61"/>
        <v>65000000000124</v>
      </c>
      <c r="BA131" s="78">
        <f t="shared" si="72"/>
        <v>65000000000125</v>
      </c>
      <c r="BB131" s="81" t="str">
        <f t="shared" si="62"/>
        <v>PERFORM * FROM "SchData-OLTP-Accounting"."Func_TblChartOfAccount_SET"(varSystemLoginSession, null, null, null, null, null, varInstitutionBranchID, 62000000000001::bigint,'2-1005.01', 'Hutang Karyawan (IDR)', 62000000000001::bigint, '2016-01-01 00:00:00'::timestamp, null::timestamp, 65000000000124::bigint, 66000000000001::bigint, FALSE::boolean);</v>
      </c>
    </row>
    <row r="132" spans="2:54" x14ac:dyDescent="0.2">
      <c r="B132" s="39"/>
      <c r="C132" s="40"/>
      <c r="D132" s="43"/>
      <c r="E132" s="42"/>
      <c r="F132" s="43"/>
      <c r="G132" s="42"/>
      <c r="H132" s="51" t="s">
        <v>1718</v>
      </c>
      <c r="I132" s="42" t="s">
        <v>1166</v>
      </c>
      <c r="J132" s="51"/>
      <c r="K132" s="42"/>
      <c r="L132" s="51"/>
      <c r="M132" s="18"/>
      <c r="O132" s="58" t="str">
        <f t="shared" si="49"/>
        <v>2-0000</v>
      </c>
      <c r="P132" s="58" t="str">
        <f t="shared" si="50"/>
        <v>2-1000</v>
      </c>
      <c r="Q132" s="58" t="str">
        <f t="shared" si="51"/>
        <v>1-5100</v>
      </c>
      <c r="R132" s="58" t="str">
        <f t="shared" si="52"/>
        <v>2-1006</v>
      </c>
      <c r="S132" s="58" t="str">
        <f t="shared" si="53"/>
        <v>2-1005.01</v>
      </c>
      <c r="T132" s="58" t="str">
        <f t="shared" si="54"/>
        <v xml:space="preserve"> </v>
      </c>
      <c r="V132" s="72">
        <f t="shared" si="55"/>
        <v>65000000000126</v>
      </c>
      <c r="W132" s="60">
        <f t="shared" si="56"/>
        <v>65000000000111</v>
      </c>
      <c r="X132" s="60">
        <f t="shared" si="57"/>
        <v>65000000000112</v>
      </c>
      <c r="Y132" s="60">
        <f t="shared" si="58"/>
        <v>65000000000104</v>
      </c>
      <c r="Z132" s="60">
        <f t="shared" si="59"/>
        <v>65000000000126</v>
      </c>
      <c r="AA132" s="60">
        <f t="shared" si="42"/>
        <v>65000000000125</v>
      </c>
      <c r="AB132" s="60">
        <f t="shared" si="60"/>
        <v>65000000000000</v>
      </c>
      <c r="AD132" s="60">
        <f t="shared" si="63"/>
        <v>2</v>
      </c>
      <c r="AE132" s="60">
        <f t="shared" si="64"/>
        <v>2</v>
      </c>
      <c r="AF132" s="60">
        <f t="shared" si="65"/>
        <v>1</v>
      </c>
      <c r="AG132" s="60">
        <f t="shared" si="66"/>
        <v>7</v>
      </c>
      <c r="AH132" s="60">
        <f t="shared" si="67"/>
        <v>1</v>
      </c>
      <c r="AI132" s="60">
        <f t="shared" si="68"/>
        <v>1</v>
      </c>
      <c r="AK132" s="68" t="str">
        <f t="shared" si="43"/>
        <v>L4</v>
      </c>
      <c r="AM132" s="64" t="s">
        <v>1755</v>
      </c>
      <c r="AN132" s="64">
        <f t="shared" si="44"/>
        <v>65000000000111</v>
      </c>
      <c r="AO132" s="64">
        <f t="shared" si="45"/>
        <v>65000000000112</v>
      </c>
      <c r="AP132" s="64">
        <f t="shared" si="46"/>
        <v>65000000000112</v>
      </c>
      <c r="AQ132" s="64">
        <f t="shared" si="47"/>
        <v>65000000000124</v>
      </c>
      <c r="AS132" s="64">
        <f t="shared" si="48"/>
        <v>65000000000112</v>
      </c>
      <c r="AU132" s="59" t="str">
        <f t="shared" si="69"/>
        <v>PERFORM * FROM "SchData-OLTP-Accounting"."Func_TblChartOfAccount_SET"(varSystemLoginSession, null, null, null, varInstitutionBranchID, 62000000000001::bigint,'2-1006', 'Hutang Lancar Lainnya', 62000000000001::bigint, '2016-01-01 00:00:00'::timestamp, null::timestamp, 65000000000112::bigint, 66000000000001::bigint);</v>
      </c>
      <c r="AV132" s="65">
        <f t="shared" si="70"/>
        <v>65000000000126</v>
      </c>
      <c r="AW132" s="65">
        <f t="shared" si="71"/>
        <v>65000000000112</v>
      </c>
      <c r="AY132" s="65">
        <f t="shared" si="61"/>
        <v>65000000000104</v>
      </c>
      <c r="BA132" s="78">
        <f t="shared" si="72"/>
        <v>65000000000126</v>
      </c>
      <c r="BB132" s="81" t="str">
        <f t="shared" si="62"/>
        <v>PERFORM * FROM "SchData-OLTP-Accounting"."Func_TblChartOfAccount_SET"(varSystemLoginSession, null, null, null, null, null, varInstitutionBranchID, 62000000000001::bigint,'2-1006', 'Hutang Lancar Lainnya', 62000000000001::bigint, '2016-01-01 00:00:00'::timestamp, null::timestamp, 65000000000112::bigint, 66000000000001::bigint, FALSE::boolean);</v>
      </c>
    </row>
    <row r="133" spans="2:54" x14ac:dyDescent="0.2">
      <c r="B133" s="39"/>
      <c r="C133" s="40"/>
      <c r="D133" s="43"/>
      <c r="E133" s="42"/>
      <c r="F133" s="43"/>
      <c r="G133" s="42"/>
      <c r="H133" s="51"/>
      <c r="I133" s="18"/>
      <c r="J133" s="51" t="s">
        <v>1719</v>
      </c>
      <c r="K133" s="42" t="s">
        <v>1266</v>
      </c>
      <c r="L133" s="51"/>
      <c r="M133" s="18"/>
      <c r="O133" s="58" t="str">
        <f t="shared" si="49"/>
        <v>2-0000</v>
      </c>
      <c r="P133" s="58" t="str">
        <f t="shared" si="50"/>
        <v>2-1000</v>
      </c>
      <c r="Q133" s="58" t="str">
        <f t="shared" si="51"/>
        <v>1-5100</v>
      </c>
      <c r="R133" s="58" t="str">
        <f t="shared" si="52"/>
        <v>2-1006</v>
      </c>
      <c r="S133" s="58" t="str">
        <f t="shared" si="53"/>
        <v>2-1006.01</v>
      </c>
      <c r="T133" s="58" t="str">
        <f t="shared" si="54"/>
        <v xml:space="preserve"> </v>
      </c>
      <c r="V133" s="72">
        <f t="shared" si="55"/>
        <v>65000000000127</v>
      </c>
      <c r="W133" s="60">
        <f t="shared" si="56"/>
        <v>65000000000111</v>
      </c>
      <c r="X133" s="60">
        <f t="shared" si="57"/>
        <v>65000000000112</v>
      </c>
      <c r="Y133" s="60">
        <f t="shared" si="58"/>
        <v>65000000000104</v>
      </c>
      <c r="Z133" s="60">
        <f t="shared" si="59"/>
        <v>65000000000126</v>
      </c>
      <c r="AA133" s="60">
        <f t="shared" ref="AA133:AA196" si="73">IF(EXACT($J133, ""), $AA132, $V133)</f>
        <v>65000000000127</v>
      </c>
      <c r="AB133" s="60">
        <f t="shared" si="60"/>
        <v>65000000000000</v>
      </c>
      <c r="AD133" s="60">
        <f t="shared" si="63"/>
        <v>2</v>
      </c>
      <c r="AE133" s="60">
        <f t="shared" si="64"/>
        <v>2</v>
      </c>
      <c r="AF133" s="60">
        <f t="shared" si="65"/>
        <v>1</v>
      </c>
      <c r="AG133" s="60">
        <f t="shared" si="66"/>
        <v>7</v>
      </c>
      <c r="AH133" s="60">
        <f t="shared" si="67"/>
        <v>2</v>
      </c>
      <c r="AI133" s="60">
        <f t="shared" si="68"/>
        <v>1</v>
      </c>
      <c r="AK133" s="68" t="str">
        <f t="shared" ref="AK133:AK196" si="74" xml:space="preserve">
IF(AA133&lt;&gt;AA132,
     "L5",
     IF(Z133&lt;&gt;Z132,
          "L4",
          IF(Y133&lt;&gt;Y132,
               "L3",
               IF(X133&lt;&gt;X132,
                    "L2",
                     IF(W133&lt;&gt;W132,
                         "L1",
                         "L1"
                         )
                    )
               )
          )
     )</f>
        <v>L5</v>
      </c>
      <c r="AM133" s="64" t="s">
        <v>1755</v>
      </c>
      <c r="AN133" s="64">
        <f t="shared" ref="AN133:AN196" si="75">IF(EXACT($AK132, "L1"), $W132, AN132)</f>
        <v>65000000000111</v>
      </c>
      <c r="AO133" s="64">
        <f t="shared" ref="AO133:AO196" si="76">IF(EXACT($AK132, "L1"), $W132, IF(EXACT($AK132, "L2"), $X132, AO132))</f>
        <v>65000000000112</v>
      </c>
      <c r="AP133" s="64">
        <f t="shared" ref="AP133:AP196" si="77">IF(EXACT($AK132, "L1"), $W132, IF(EXACT($AK132, "L2"), $X132, IF(EXACT($AK132, "L3"), $Y132, AP132)))</f>
        <v>65000000000112</v>
      </c>
      <c r="AQ133" s="64">
        <f t="shared" ref="AQ133:AQ196" si="78">IF(EXACT($AK132, "L1"), $W132, IF(EXACT($AK132, "L2"), $X132, IF(EXACT($AK132, "L3"), $Y132, IF(EXACT($AK132, "L4"), $Z132, AQ132))))</f>
        <v>65000000000126</v>
      </c>
      <c r="AS133" s="64">
        <f t="shared" ref="AS133:AS196" si="79">IF(EXACT($AK133, "L1"), AM133, IF(EXACT($AK133, "L2"), AN133, IF(EXACT($AK133, "L3"), AO133, IF(EXACT($AK133, "L4"), AP133, IF(EXACT($AK133, "L5"), AQ133, "")))))</f>
        <v>65000000000126</v>
      </c>
      <c r="AU133" s="59" t="str">
        <f t="shared" si="69"/>
        <v>PERFORM * FROM "SchData-OLTP-Accounting"."Func_TblChartOfAccount_SET"(varSystemLoginSession, null, null, null, varInstitutionBranchID, 62000000000001::bigint,'2-1006.01', 'Hutang Lancar Lainnya (IDR)', 62000000000001::bigint, '2016-01-01 00:00:00'::timestamp, null::timestamp, 65000000000126::bigint, 66000000000001::bigint);</v>
      </c>
      <c r="AV133" s="65">
        <f t="shared" si="70"/>
        <v>65000000000127</v>
      </c>
      <c r="AW133" s="65">
        <f t="shared" si="71"/>
        <v>65000000000126</v>
      </c>
      <c r="AY133" s="65">
        <f t="shared" si="61"/>
        <v>65000000000126</v>
      </c>
      <c r="BA133" s="78">
        <f t="shared" si="72"/>
        <v>65000000000127</v>
      </c>
      <c r="BB133" s="81" t="str">
        <f t="shared" si="62"/>
        <v>PERFORM * FROM "SchData-OLTP-Accounting"."Func_TblChartOfAccount_SET"(varSystemLoginSession, null, null, null, null, null, varInstitutionBranchID, 62000000000001::bigint,'2-1006.01', 'Hutang Lancar Lainnya (IDR)', 62000000000001::bigint, '2016-01-01 00:00:00'::timestamp, null::timestamp, 65000000000126::bigint, 66000000000001::bigint, FALSE::boolean);</v>
      </c>
    </row>
    <row r="134" spans="2:54" x14ac:dyDescent="0.2">
      <c r="B134" s="39"/>
      <c r="C134" s="40"/>
      <c r="D134" s="43"/>
      <c r="E134" s="42"/>
      <c r="F134" s="43" t="s">
        <v>1163</v>
      </c>
      <c r="G134" s="42" t="s">
        <v>860</v>
      </c>
      <c r="H134" s="51"/>
      <c r="I134" s="18"/>
      <c r="J134" s="43"/>
      <c r="K134" s="42"/>
      <c r="L134" s="51"/>
      <c r="M134" s="18"/>
      <c r="O134" s="58" t="str">
        <f t="shared" ref="O134:O197" si="80">IF(EXACT($B134, ""), $O133, $B134)</f>
        <v>2-0000</v>
      </c>
      <c r="P134" s="58" t="str">
        <f t="shared" ref="P134:P197" si="81">IF(EXACT($D134, ""), $P133, $D134)</f>
        <v>2-1000</v>
      </c>
      <c r="Q134" s="58" t="str">
        <f t="shared" ref="Q134:Q197" si="82">IF(EXACT($F134, ""), $Q133, $F134)</f>
        <v>2-1100</v>
      </c>
      <c r="R134" s="58" t="str">
        <f t="shared" ref="R134:R197" si="83">IF(EXACT($H134, ""), $R133, $H134)</f>
        <v>2-1006</v>
      </c>
      <c r="S134" s="58" t="str">
        <f t="shared" ref="S134:S197" si="84">IF(EXACT($J134, ""), $S133, $J134)</f>
        <v>2-1006.01</v>
      </c>
      <c r="T134" s="58" t="str">
        <f t="shared" ref="T134:T197" si="85">IF(EXACT($L134, ""), $T133, $L134)</f>
        <v xml:space="preserve"> </v>
      </c>
      <c r="V134" s="72">
        <f t="shared" ref="V134:V197" si="86">V133+IF(AND(EXACT(B134, ""), EXACT(D134, ""), EXACT(F134, ""), EXACT(H134, ""), EXACT(J134, ""), EXACT(L134, "")), 0, 1)</f>
        <v>65000000000128</v>
      </c>
      <c r="W134" s="60">
        <f t="shared" ref="W134:W197" si="87">IF(EXACT($B134, ""), $W133, $V134)</f>
        <v>65000000000111</v>
      </c>
      <c r="X134" s="60">
        <f t="shared" ref="X134:X197" si="88">IF(EXACT($D134, ""), $X133, $V134)</f>
        <v>65000000000112</v>
      </c>
      <c r="Y134" s="60">
        <f t="shared" ref="Y134:Y197" si="89">IF(EXACT($F134, ""), $Y133, $V134)</f>
        <v>65000000000128</v>
      </c>
      <c r="Z134" s="60">
        <f t="shared" ref="Z134:Z197" si="90">IF(EXACT($H134, ""), $Z133, $V134)</f>
        <v>65000000000126</v>
      </c>
      <c r="AA134" s="60">
        <f t="shared" si="73"/>
        <v>65000000000127</v>
      </c>
      <c r="AB134" s="60">
        <f t="shared" ref="AB134:AB197" si="91">IF(EXACT($L134, ""), $AB133, $V134)</f>
        <v>65000000000000</v>
      </c>
      <c r="AD134" s="60">
        <f t="shared" si="63"/>
        <v>2</v>
      </c>
      <c r="AE134" s="60">
        <f t="shared" si="64"/>
        <v>2</v>
      </c>
      <c r="AF134" s="60">
        <f t="shared" si="65"/>
        <v>2</v>
      </c>
      <c r="AG134" s="60">
        <f t="shared" si="66"/>
        <v>1</v>
      </c>
      <c r="AH134" s="60">
        <f t="shared" si="67"/>
        <v>1</v>
      </c>
      <c r="AI134" s="60">
        <f t="shared" si="68"/>
        <v>1</v>
      </c>
      <c r="AK134" s="68" t="str">
        <f t="shared" si="74"/>
        <v>L3</v>
      </c>
      <c r="AM134" s="64" t="s">
        <v>1755</v>
      </c>
      <c r="AN134" s="64">
        <f t="shared" si="75"/>
        <v>65000000000111</v>
      </c>
      <c r="AO134" s="64">
        <f t="shared" si="76"/>
        <v>65000000000112</v>
      </c>
      <c r="AP134" s="64">
        <f t="shared" si="77"/>
        <v>65000000000112</v>
      </c>
      <c r="AQ134" s="64">
        <f t="shared" si="78"/>
        <v>65000000000126</v>
      </c>
      <c r="AS134" s="64">
        <f t="shared" si="79"/>
        <v>65000000000112</v>
      </c>
      <c r="AU134" s="59" t="str">
        <f t="shared" si="69"/>
        <v>PERFORM * FROM "SchData-OLTP-Accounting"."Func_TblChartOfAccount_SET"(varSystemLoginSession, null, null, null, varInstitutionBranchID, 62000000000001::bigint,'2-1100', 'Hutang Pajak', 62000000000001::bigint, '2016-01-01 00:00:00'::timestamp, null::timestamp, 65000000000112::bigint, 66000000000001::bigint);</v>
      </c>
      <c r="AV134" s="65">
        <f t="shared" si="70"/>
        <v>65000000000128</v>
      </c>
      <c r="AW134" s="65">
        <f t="shared" si="71"/>
        <v>65000000000112</v>
      </c>
      <c r="AY134" s="65">
        <f t="shared" ref="AY134:AY197" si="92">IF(AND(EXACT($B134, ""), EXACT($D134, ""), EXACT($F134, ""), EXACT($H134, ""), EXACT($J134, ""), EXACT($L134, "")), "",
IF(NOT(EXACT($B134, "")), "null",
IF(NOT(EXACT($D134, "")), IF($W133&lt;&gt;$W132, $W133, $W134),
IF(NOT(EXACT($F134, "")), IF($X133&lt;&gt;$X132, $X133, IF($W133&lt;&gt;$W132, $W133, $X134)),
IF(NOT(EXACT($H134, "")), IF($Y133&lt;&gt;$Y132, $Y133, IF($X133&lt;&gt;$X132, $X133, IF($W133&lt;&gt;$W132, $W133, $Y134))),
IF(NOT(EXACT($J134, "")), IF($Z133&lt;&gt;$Z132, $Z133, IF($Y133&lt;&gt;$Y132, $Y133, IF($X133&lt;&gt;$X132, $X133, IF($W133&lt;&gt;$W132, $W133, $Z134)))),
IF(NOT(EXACT($L134, "")), IF($AA133&lt;&gt;$AA132, $AA133, IF($Z133&lt;&gt;$Z132, $Z133, IF($Y133&lt;&gt;$Y132, $Y133, IF($X133&lt;&gt;$X132, $X133, IF($W133&lt;&gt;$W132, $W133, $AA134))))),
"others")))))))</f>
        <v>65000000000112</v>
      </c>
      <c r="BA134" s="78">
        <f t="shared" si="72"/>
        <v>65000000000128</v>
      </c>
      <c r="BB134" s="81" t="str">
        <f t="shared" ref="BB134:BB197" si="93">IF(AND(EXACT($B134, ""), EXACT($D134, ""), EXACT($F134, ""), EXACT($H134, ""), EXACT($J134, ""), EXACT($L134, "")), "", CONCATENATE(
"PERFORM * FROM ""SchData-OLTP-Accounting"".""Func_TblChartOfAccount_SET""(varSystemLoginSession, null, null, null, null, null, varInstitutionBranchID, 62000000000001::bigint,'",
IF(EXACT($B134, ""), IF(EXACT($D134, ""), IF(EXACT($F134, ""), IF(EXACT($H134, ""), IF(EXACT($J134, ""), IF(EXACT($L134, ""), "", $L134), $J134), $H134), $F134), $D134), $B134),
"', '",
IF(EXACT($B134, ""), IF(EXACT($D134, ""), IF(EXACT($F134, ""), IF(EXACT($H134, ""), IF(EXACT($J134, ""), IF(EXACT($L134, ""), "", $M134), $K134), $I134), $G134), $E134), $C134),
"', ",
IF(EXACT($J134, ""), "62000000000001::bigint", IF((RIGHT($J134, 2)*1 = 1), "62000000000001::bigint", IF((RIGHT($J134, 2)*1 = 2), "62000000000002::bigint", "null"))),
", '2016-01-01 00:00:00'::timestamp, null::timestamp, ", $AW134, "::bigint, 66000000000001::bigint, ", IF(EXACT(LEFT(IF(EXACT($B134, ""), IF(EXACT($D134, ""), IF(EXACT($F134, ""), IF(EXACT($H134, ""), IF(EXACT($J134, ""), IF(EXACT($L134, ""), "", $L134), $J134), $H134), $F134), $D134), $B134), 1), "1"), "TRUE", "FALSE"), "::boolean);"))</f>
        <v>PERFORM * FROM "SchData-OLTP-Accounting"."Func_TblChartOfAccount_SET"(varSystemLoginSession, null, null, null, null, null, varInstitutionBranchID, 62000000000001::bigint,'2-1100', 'Hutang Pajak', 62000000000001::bigint, '2016-01-01 00:00:00'::timestamp, null::timestamp, 65000000000112::bigint, 66000000000001::bigint, FALSE::boolean);</v>
      </c>
    </row>
    <row r="135" spans="2:54" x14ac:dyDescent="0.2">
      <c r="B135" s="39"/>
      <c r="C135" s="40"/>
      <c r="D135" s="43"/>
      <c r="E135" s="42"/>
      <c r="F135" s="43"/>
      <c r="G135" s="42"/>
      <c r="H135" s="51" t="s">
        <v>1164</v>
      </c>
      <c r="I135" s="18" t="s">
        <v>271</v>
      </c>
      <c r="J135" s="43"/>
      <c r="K135" s="42"/>
      <c r="L135" s="51"/>
      <c r="M135" s="18"/>
      <c r="O135" s="58" t="str">
        <f t="shared" si="80"/>
        <v>2-0000</v>
      </c>
      <c r="P135" s="58" t="str">
        <f t="shared" si="81"/>
        <v>2-1000</v>
      </c>
      <c r="Q135" s="58" t="str">
        <f t="shared" si="82"/>
        <v>2-1100</v>
      </c>
      <c r="R135" s="58" t="str">
        <f t="shared" si="83"/>
        <v>2-1101</v>
      </c>
      <c r="S135" s="58" t="str">
        <f t="shared" si="84"/>
        <v>2-1006.01</v>
      </c>
      <c r="T135" s="58" t="str">
        <f t="shared" si="85"/>
        <v xml:space="preserve"> </v>
      </c>
      <c r="V135" s="72">
        <f t="shared" si="86"/>
        <v>65000000000129</v>
      </c>
      <c r="W135" s="60">
        <f t="shared" si="87"/>
        <v>65000000000111</v>
      </c>
      <c r="X135" s="60">
        <f t="shared" si="88"/>
        <v>65000000000112</v>
      </c>
      <c r="Y135" s="60">
        <f t="shared" si="89"/>
        <v>65000000000128</v>
      </c>
      <c r="Z135" s="60">
        <f t="shared" si="90"/>
        <v>65000000000129</v>
      </c>
      <c r="AA135" s="60">
        <f t="shared" si="73"/>
        <v>65000000000127</v>
      </c>
      <c r="AB135" s="60">
        <f t="shared" si="91"/>
        <v>65000000000000</v>
      </c>
      <c r="AD135" s="60">
        <f t="shared" ref="AD135:AD198" si="94">AD134 + IF(W135&lt;&gt;W134, 1, 0)</f>
        <v>2</v>
      </c>
      <c r="AE135" s="60">
        <f t="shared" ref="AE135:AE198" si="95">IF(AD134&lt;&gt;AD135, 1, AE134) + IF(X135&lt;&gt;X134, 1, 0)</f>
        <v>2</v>
      </c>
      <c r="AF135" s="60">
        <f t="shared" ref="AF135:AF198" si="96">IF(AE134&lt;&gt;AE135, 1, AF134) + IF(Y135&lt;&gt;Y134, 1, 0)</f>
        <v>2</v>
      </c>
      <c r="AG135" s="60">
        <f t="shared" ref="AG135:AG198" si="97">IF(AF134&lt;&gt;AF135, 1, AG134) + IF(Z135&lt;&gt;Z134, 1, 0)</f>
        <v>2</v>
      </c>
      <c r="AH135" s="60">
        <f t="shared" ref="AH135:AH198" si="98">IF(AG134&lt;&gt;AG135, 1, AH134) + IF(AA135&lt;&gt;AA134, 1, 0)</f>
        <v>1</v>
      </c>
      <c r="AI135" s="60">
        <f t="shared" ref="AI135:AI198" si="99">IF(AH134&lt;&gt;AH135, 1, AI134) + IF(AB135&lt;&gt;AB134, 1, 0)</f>
        <v>1</v>
      </c>
      <c r="AK135" s="68" t="str">
        <f t="shared" si="74"/>
        <v>L4</v>
      </c>
      <c r="AM135" s="64" t="s">
        <v>1755</v>
      </c>
      <c r="AN135" s="64">
        <f t="shared" si="75"/>
        <v>65000000000111</v>
      </c>
      <c r="AO135" s="64">
        <f t="shared" si="76"/>
        <v>65000000000112</v>
      </c>
      <c r="AP135" s="64">
        <f t="shared" si="77"/>
        <v>65000000000128</v>
      </c>
      <c r="AQ135" s="64">
        <f t="shared" si="78"/>
        <v>65000000000128</v>
      </c>
      <c r="AS135" s="64">
        <f t="shared" si="79"/>
        <v>65000000000128</v>
      </c>
      <c r="AU135" s="59" t="str">
        <f t="shared" ref="AU135:AU198" si="100">IF(AND(EXACT(B135, ""), EXACT(D135, ""), EXACT(F135, ""), EXACT(H135, ""), EXACT(J135, ""), EXACT(L135, "")), "", CONCATENATE(
"PERFORM * FROM ""SchData-OLTP-Accounting"".""Func_TblChartOfAccount_SET""(varSystemLoginSession, null, null, null, varInstitutionBranchID, 62000000000001::bigint,'",
IF(EXACT(B135, ""), IF(EXACT(D135, ""), IF(EXACT(F135, ""), IF(EXACT(H135, ""), IF(EXACT(J135, ""), IF(EXACT(L135, ""), "", L135), J135), H135), F135), D135), B135),
"', '",
IF(EXACT(B135, ""), IF(EXACT(D135, ""), IF(EXACT(F135, ""), IF(EXACT(H135, ""), IF(EXACT(J135, ""), IF(EXACT(L135, ""), "", M135), K135), I135), G135), E135), C135),
"', ",
IF(EXACT(J135, ""), "62000000000001::bigint", IF((RIGHT(J135, 2)*1 = 1), "62000000000001::bigint", IF((RIGHT(J135, 2)*1 = 2), "62000000000002::bigint", "null"))),
", '2016-01-01 00:00:00'::timestamp, null::timestamp, ", AW135, "::bigint, 66000000000001::bigint);"))</f>
        <v>PERFORM * FROM "SchData-OLTP-Accounting"."Func_TblChartOfAccount_SET"(varSystemLoginSession, null, null, null, varInstitutionBranchID, 62000000000001::bigint,'2-1101', 'GST - Output Tax', 62000000000001::bigint, '2016-01-01 00:00:00'::timestamp, null::timestamp, 65000000000128::bigint, 66000000000001::bigint);</v>
      </c>
      <c r="AV135" s="65">
        <f t="shared" ref="AV135:AV198" si="101">IF(AND(EXACT($B135, ""), EXACT($D135, ""), EXACT($F135, ""), EXACT($H135, ""), EXACT($J135, ""), EXACT($L135, "")), "", V135)</f>
        <v>65000000000129</v>
      </c>
      <c r="AW135" s="65">
        <f t="shared" ref="AW135:AW198" si="102">AS135</f>
        <v>65000000000128</v>
      </c>
      <c r="AY135" s="65">
        <f t="shared" si="92"/>
        <v>65000000000128</v>
      </c>
      <c r="BA135" s="78">
        <f t="shared" si="72"/>
        <v>65000000000129</v>
      </c>
      <c r="BB135" s="81" t="str">
        <f t="shared" si="93"/>
        <v>PERFORM * FROM "SchData-OLTP-Accounting"."Func_TblChartOfAccount_SET"(varSystemLoginSession, null, null, null, null, null, varInstitutionBranchID, 62000000000001::bigint,'2-1101', 'GST - Output Tax', 62000000000001::bigint, '2016-01-01 00:00:00'::timestamp, null::timestamp, 65000000000128::bigint, 66000000000001::bigint, FALSE::boolean);</v>
      </c>
    </row>
    <row r="136" spans="2:54" x14ac:dyDescent="0.2">
      <c r="B136" s="39"/>
      <c r="C136" s="40"/>
      <c r="D136" s="43"/>
      <c r="E136" s="42"/>
      <c r="F136" s="43"/>
      <c r="G136" s="42"/>
      <c r="H136" s="51"/>
      <c r="I136" s="18"/>
      <c r="J136" s="51" t="s">
        <v>1428</v>
      </c>
      <c r="K136" s="18" t="s">
        <v>1254</v>
      </c>
      <c r="L136" s="51"/>
      <c r="M136" s="18"/>
      <c r="O136" s="58" t="str">
        <f t="shared" si="80"/>
        <v>2-0000</v>
      </c>
      <c r="P136" s="58" t="str">
        <f t="shared" si="81"/>
        <v>2-1000</v>
      </c>
      <c r="Q136" s="58" t="str">
        <f t="shared" si="82"/>
        <v>2-1100</v>
      </c>
      <c r="R136" s="58" t="str">
        <f t="shared" si="83"/>
        <v>2-1101</v>
      </c>
      <c r="S136" s="58" t="str">
        <f t="shared" si="84"/>
        <v>2-1101.01</v>
      </c>
      <c r="T136" s="58" t="str">
        <f t="shared" si="85"/>
        <v xml:space="preserve"> </v>
      </c>
      <c r="V136" s="72">
        <f t="shared" si="86"/>
        <v>65000000000130</v>
      </c>
      <c r="W136" s="60">
        <f t="shared" si="87"/>
        <v>65000000000111</v>
      </c>
      <c r="X136" s="60">
        <f t="shared" si="88"/>
        <v>65000000000112</v>
      </c>
      <c r="Y136" s="60">
        <f t="shared" si="89"/>
        <v>65000000000128</v>
      </c>
      <c r="Z136" s="60">
        <f t="shared" si="90"/>
        <v>65000000000129</v>
      </c>
      <c r="AA136" s="60">
        <f t="shared" si="73"/>
        <v>65000000000130</v>
      </c>
      <c r="AB136" s="60">
        <f t="shared" si="91"/>
        <v>65000000000000</v>
      </c>
      <c r="AD136" s="60">
        <f t="shared" si="94"/>
        <v>2</v>
      </c>
      <c r="AE136" s="60">
        <f t="shared" si="95"/>
        <v>2</v>
      </c>
      <c r="AF136" s="60">
        <f t="shared" si="96"/>
        <v>2</v>
      </c>
      <c r="AG136" s="60">
        <f t="shared" si="97"/>
        <v>2</v>
      </c>
      <c r="AH136" s="60">
        <f t="shared" si="98"/>
        <v>2</v>
      </c>
      <c r="AI136" s="60">
        <f t="shared" si="99"/>
        <v>1</v>
      </c>
      <c r="AK136" s="68" t="str">
        <f t="shared" si="74"/>
        <v>L5</v>
      </c>
      <c r="AM136" s="64" t="s">
        <v>1755</v>
      </c>
      <c r="AN136" s="64">
        <f t="shared" si="75"/>
        <v>65000000000111</v>
      </c>
      <c r="AO136" s="64">
        <f t="shared" si="76"/>
        <v>65000000000112</v>
      </c>
      <c r="AP136" s="64">
        <f t="shared" si="77"/>
        <v>65000000000128</v>
      </c>
      <c r="AQ136" s="64">
        <f t="shared" si="78"/>
        <v>65000000000129</v>
      </c>
      <c r="AS136" s="64">
        <f t="shared" si="79"/>
        <v>65000000000129</v>
      </c>
      <c r="AU136" s="59" t="str">
        <f t="shared" si="100"/>
        <v>PERFORM * FROM "SchData-OLTP-Accounting"."Func_TblChartOfAccount_SET"(varSystemLoginSession, null, null, null, varInstitutionBranchID, 62000000000001::bigint,'2-1101.01', 'GST - Output Tax (IDR)', 62000000000001::bigint, '2016-01-01 00:00:00'::timestamp, null::timestamp, 65000000000129::bigint, 66000000000001::bigint);</v>
      </c>
      <c r="AV136" s="65">
        <f t="shared" si="101"/>
        <v>65000000000130</v>
      </c>
      <c r="AW136" s="65">
        <f t="shared" si="102"/>
        <v>65000000000129</v>
      </c>
      <c r="AY136" s="65">
        <f t="shared" si="92"/>
        <v>65000000000129</v>
      </c>
      <c r="BA136" s="78">
        <f t="shared" si="72"/>
        <v>65000000000130</v>
      </c>
      <c r="BB136" s="81" t="str">
        <f t="shared" si="93"/>
        <v>PERFORM * FROM "SchData-OLTP-Accounting"."Func_TblChartOfAccount_SET"(varSystemLoginSession, null, null, null, null, null, varInstitutionBranchID, 62000000000001::bigint,'2-1101.01', 'GST - Output Tax (IDR)', 62000000000001::bigint, '2016-01-01 00:00:00'::timestamp, null::timestamp, 65000000000129::bigint, 66000000000001::bigint, FALSE::boolean);</v>
      </c>
    </row>
    <row r="137" spans="2:54" x14ac:dyDescent="0.2">
      <c r="B137" s="39"/>
      <c r="C137" s="40"/>
      <c r="D137" s="43"/>
      <c r="E137" s="42"/>
      <c r="F137" s="43"/>
      <c r="G137" s="42"/>
      <c r="H137" s="51" t="s">
        <v>1692</v>
      </c>
      <c r="I137" s="18" t="s">
        <v>873</v>
      </c>
      <c r="J137" s="51"/>
      <c r="K137" s="18"/>
      <c r="L137" s="51"/>
      <c r="M137" s="18"/>
      <c r="O137" s="58" t="str">
        <f t="shared" si="80"/>
        <v>2-0000</v>
      </c>
      <c r="P137" s="58" t="str">
        <f t="shared" si="81"/>
        <v>2-1000</v>
      </c>
      <c r="Q137" s="58" t="str">
        <f t="shared" si="82"/>
        <v>2-1100</v>
      </c>
      <c r="R137" s="58" t="str">
        <f t="shared" si="83"/>
        <v>2-1102</v>
      </c>
      <c r="S137" s="58" t="str">
        <f t="shared" si="84"/>
        <v>2-1101.01</v>
      </c>
      <c r="T137" s="58" t="str">
        <f t="shared" si="85"/>
        <v xml:space="preserve"> </v>
      </c>
      <c r="V137" s="72">
        <f t="shared" si="86"/>
        <v>65000000000131</v>
      </c>
      <c r="W137" s="60">
        <f t="shared" si="87"/>
        <v>65000000000111</v>
      </c>
      <c r="X137" s="60">
        <f t="shared" si="88"/>
        <v>65000000000112</v>
      </c>
      <c r="Y137" s="60">
        <f t="shared" si="89"/>
        <v>65000000000128</v>
      </c>
      <c r="Z137" s="60">
        <f t="shared" si="90"/>
        <v>65000000000131</v>
      </c>
      <c r="AA137" s="60">
        <f t="shared" si="73"/>
        <v>65000000000130</v>
      </c>
      <c r="AB137" s="60">
        <f t="shared" si="91"/>
        <v>65000000000000</v>
      </c>
      <c r="AD137" s="60">
        <f t="shared" si="94"/>
        <v>2</v>
      </c>
      <c r="AE137" s="60">
        <f t="shared" si="95"/>
        <v>2</v>
      </c>
      <c r="AF137" s="60">
        <f t="shared" si="96"/>
        <v>2</v>
      </c>
      <c r="AG137" s="60">
        <f t="shared" si="97"/>
        <v>3</v>
      </c>
      <c r="AH137" s="60">
        <f t="shared" si="98"/>
        <v>1</v>
      </c>
      <c r="AI137" s="60">
        <f t="shared" si="99"/>
        <v>1</v>
      </c>
      <c r="AK137" s="68" t="str">
        <f t="shared" si="74"/>
        <v>L4</v>
      </c>
      <c r="AM137" s="64" t="s">
        <v>1755</v>
      </c>
      <c r="AN137" s="64">
        <f t="shared" si="75"/>
        <v>65000000000111</v>
      </c>
      <c r="AO137" s="64">
        <f t="shared" si="76"/>
        <v>65000000000112</v>
      </c>
      <c r="AP137" s="64">
        <f t="shared" si="77"/>
        <v>65000000000128</v>
      </c>
      <c r="AQ137" s="64">
        <f t="shared" si="78"/>
        <v>65000000000129</v>
      </c>
      <c r="AS137" s="64">
        <f t="shared" si="79"/>
        <v>65000000000128</v>
      </c>
      <c r="AU137" s="59" t="str">
        <f t="shared" si="100"/>
        <v>PERFORM * FROM "SchData-OLTP-Accounting"."Func_TblChartOfAccount_SET"(varSystemLoginSession, null, null, null, varInstitutionBranchID, 62000000000001::bigint,'2-1102', 'Witholding Tax 4(2)', 62000000000001::bigint, '2016-01-01 00:00:00'::timestamp, null::timestamp, 65000000000128::bigint, 66000000000001::bigint);</v>
      </c>
      <c r="AV137" s="65">
        <f t="shared" si="101"/>
        <v>65000000000131</v>
      </c>
      <c r="AW137" s="65">
        <f t="shared" si="102"/>
        <v>65000000000128</v>
      </c>
      <c r="AY137" s="65">
        <f t="shared" si="92"/>
        <v>65000000000128</v>
      </c>
      <c r="BA137" s="78">
        <f t="shared" si="72"/>
        <v>65000000000131</v>
      </c>
      <c r="BB137" s="81" t="str">
        <f t="shared" si="93"/>
        <v>PERFORM * FROM "SchData-OLTP-Accounting"."Func_TblChartOfAccount_SET"(varSystemLoginSession, null, null, null, null, null, varInstitutionBranchID, 62000000000001::bigint,'2-1102', 'Witholding Tax 4(2)', 62000000000001::bigint, '2016-01-01 00:00:00'::timestamp, null::timestamp, 65000000000128::bigint, 66000000000001::bigint, FALSE::boolean);</v>
      </c>
    </row>
    <row r="138" spans="2:54" x14ac:dyDescent="0.2">
      <c r="B138" s="39"/>
      <c r="C138" s="40"/>
      <c r="D138" s="43"/>
      <c r="E138" s="42"/>
      <c r="F138" s="43"/>
      <c r="G138" s="42"/>
      <c r="H138" s="51"/>
      <c r="I138" s="18"/>
      <c r="J138" s="51" t="s">
        <v>1693</v>
      </c>
      <c r="K138" s="18" t="s">
        <v>1255</v>
      </c>
      <c r="L138" s="51"/>
      <c r="M138" s="18"/>
      <c r="O138" s="58" t="str">
        <f t="shared" si="80"/>
        <v>2-0000</v>
      </c>
      <c r="P138" s="58" t="str">
        <f t="shared" si="81"/>
        <v>2-1000</v>
      </c>
      <c r="Q138" s="58" t="str">
        <f t="shared" si="82"/>
        <v>2-1100</v>
      </c>
      <c r="R138" s="58" t="str">
        <f t="shared" si="83"/>
        <v>2-1102</v>
      </c>
      <c r="S138" s="58" t="str">
        <f t="shared" si="84"/>
        <v>2-1102.01</v>
      </c>
      <c r="T138" s="58" t="str">
        <f t="shared" si="85"/>
        <v xml:space="preserve"> </v>
      </c>
      <c r="V138" s="72">
        <f t="shared" si="86"/>
        <v>65000000000132</v>
      </c>
      <c r="W138" s="60">
        <f t="shared" si="87"/>
        <v>65000000000111</v>
      </c>
      <c r="X138" s="60">
        <f t="shared" si="88"/>
        <v>65000000000112</v>
      </c>
      <c r="Y138" s="60">
        <f t="shared" si="89"/>
        <v>65000000000128</v>
      </c>
      <c r="Z138" s="60">
        <f t="shared" si="90"/>
        <v>65000000000131</v>
      </c>
      <c r="AA138" s="60">
        <f t="shared" si="73"/>
        <v>65000000000132</v>
      </c>
      <c r="AB138" s="60">
        <f t="shared" si="91"/>
        <v>65000000000000</v>
      </c>
      <c r="AD138" s="60">
        <f t="shared" si="94"/>
        <v>2</v>
      </c>
      <c r="AE138" s="60">
        <f t="shared" si="95"/>
        <v>2</v>
      </c>
      <c r="AF138" s="60">
        <f t="shared" si="96"/>
        <v>2</v>
      </c>
      <c r="AG138" s="60">
        <f t="shared" si="97"/>
        <v>3</v>
      </c>
      <c r="AH138" s="60">
        <f t="shared" si="98"/>
        <v>2</v>
      </c>
      <c r="AI138" s="60">
        <f t="shared" si="99"/>
        <v>1</v>
      </c>
      <c r="AK138" s="68" t="str">
        <f t="shared" si="74"/>
        <v>L5</v>
      </c>
      <c r="AM138" s="64" t="s">
        <v>1755</v>
      </c>
      <c r="AN138" s="64">
        <f t="shared" si="75"/>
        <v>65000000000111</v>
      </c>
      <c r="AO138" s="64">
        <f t="shared" si="76"/>
        <v>65000000000112</v>
      </c>
      <c r="AP138" s="64">
        <f t="shared" si="77"/>
        <v>65000000000128</v>
      </c>
      <c r="AQ138" s="64">
        <f t="shared" si="78"/>
        <v>65000000000131</v>
      </c>
      <c r="AS138" s="64">
        <f t="shared" si="79"/>
        <v>65000000000131</v>
      </c>
      <c r="AU138" s="59" t="str">
        <f t="shared" si="100"/>
        <v>PERFORM * FROM "SchData-OLTP-Accounting"."Func_TblChartOfAccount_SET"(varSystemLoginSession, null, null, null, varInstitutionBranchID, 62000000000001::bigint,'2-1102.01', 'Witholding Tax 4(2) (IDR)', 62000000000001::bigint, '2016-01-01 00:00:00'::timestamp, null::timestamp, 65000000000131::bigint, 66000000000001::bigint);</v>
      </c>
      <c r="AV138" s="65">
        <f t="shared" si="101"/>
        <v>65000000000132</v>
      </c>
      <c r="AW138" s="65">
        <f t="shared" si="102"/>
        <v>65000000000131</v>
      </c>
      <c r="AY138" s="65">
        <f t="shared" si="92"/>
        <v>65000000000131</v>
      </c>
      <c r="BA138" s="78">
        <f t="shared" si="72"/>
        <v>65000000000132</v>
      </c>
      <c r="BB138" s="81" t="str">
        <f t="shared" si="93"/>
        <v>PERFORM * FROM "SchData-OLTP-Accounting"."Func_TblChartOfAccount_SET"(varSystemLoginSession, null, null, null, null, null, varInstitutionBranchID, 62000000000001::bigint,'2-1102.01', 'Witholding Tax 4(2) (IDR)', 62000000000001::bigint, '2016-01-01 00:00:00'::timestamp, null::timestamp, 65000000000131::bigint, 66000000000001::bigint, FALSE::boolean);</v>
      </c>
    </row>
    <row r="139" spans="2:54" x14ac:dyDescent="0.2">
      <c r="B139" s="39"/>
      <c r="C139" s="40"/>
      <c r="D139" s="43"/>
      <c r="E139" s="42"/>
      <c r="F139" s="43"/>
      <c r="G139" s="42"/>
      <c r="H139" s="51" t="s">
        <v>1694</v>
      </c>
      <c r="I139" s="18" t="s">
        <v>869</v>
      </c>
      <c r="J139" s="51"/>
      <c r="K139" s="18"/>
      <c r="L139" s="51"/>
      <c r="M139" s="18"/>
      <c r="O139" s="58" t="str">
        <f t="shared" si="80"/>
        <v>2-0000</v>
      </c>
      <c r="P139" s="58" t="str">
        <f t="shared" si="81"/>
        <v>2-1000</v>
      </c>
      <c r="Q139" s="58" t="str">
        <f t="shared" si="82"/>
        <v>2-1100</v>
      </c>
      <c r="R139" s="58" t="str">
        <f t="shared" si="83"/>
        <v>2-1103</v>
      </c>
      <c r="S139" s="58" t="str">
        <f t="shared" si="84"/>
        <v>2-1102.01</v>
      </c>
      <c r="T139" s="58" t="str">
        <f t="shared" si="85"/>
        <v xml:space="preserve"> </v>
      </c>
      <c r="V139" s="72">
        <f t="shared" si="86"/>
        <v>65000000000133</v>
      </c>
      <c r="W139" s="60">
        <f t="shared" si="87"/>
        <v>65000000000111</v>
      </c>
      <c r="X139" s="60">
        <f t="shared" si="88"/>
        <v>65000000000112</v>
      </c>
      <c r="Y139" s="60">
        <f t="shared" si="89"/>
        <v>65000000000128</v>
      </c>
      <c r="Z139" s="60">
        <f t="shared" si="90"/>
        <v>65000000000133</v>
      </c>
      <c r="AA139" s="60">
        <f t="shared" si="73"/>
        <v>65000000000132</v>
      </c>
      <c r="AB139" s="60">
        <f t="shared" si="91"/>
        <v>65000000000000</v>
      </c>
      <c r="AD139" s="60">
        <f t="shared" si="94"/>
        <v>2</v>
      </c>
      <c r="AE139" s="60">
        <f t="shared" si="95"/>
        <v>2</v>
      </c>
      <c r="AF139" s="60">
        <f t="shared" si="96"/>
        <v>2</v>
      </c>
      <c r="AG139" s="60">
        <f t="shared" si="97"/>
        <v>4</v>
      </c>
      <c r="AH139" s="60">
        <f t="shared" si="98"/>
        <v>1</v>
      </c>
      <c r="AI139" s="60">
        <f t="shared" si="99"/>
        <v>1</v>
      </c>
      <c r="AK139" s="68" t="str">
        <f t="shared" si="74"/>
        <v>L4</v>
      </c>
      <c r="AM139" s="64" t="s">
        <v>1755</v>
      </c>
      <c r="AN139" s="64">
        <f t="shared" si="75"/>
        <v>65000000000111</v>
      </c>
      <c r="AO139" s="64">
        <f t="shared" si="76"/>
        <v>65000000000112</v>
      </c>
      <c r="AP139" s="64">
        <f t="shared" si="77"/>
        <v>65000000000128</v>
      </c>
      <c r="AQ139" s="64">
        <f t="shared" si="78"/>
        <v>65000000000131</v>
      </c>
      <c r="AS139" s="64">
        <f t="shared" si="79"/>
        <v>65000000000128</v>
      </c>
      <c r="AU139" s="59" t="str">
        <f t="shared" si="100"/>
        <v>PERFORM * FROM "SchData-OLTP-Accounting"."Func_TblChartOfAccount_SET"(varSystemLoginSession, null, null, null, varInstitutionBranchID, 62000000000001::bigint,'2-1103', 'Witholding Tax 21', 62000000000001::bigint, '2016-01-01 00:00:00'::timestamp, null::timestamp, 65000000000128::bigint, 66000000000001::bigint);</v>
      </c>
      <c r="AV139" s="65">
        <f t="shared" si="101"/>
        <v>65000000000133</v>
      </c>
      <c r="AW139" s="65">
        <f t="shared" si="102"/>
        <v>65000000000128</v>
      </c>
      <c r="AY139" s="65">
        <f t="shared" si="92"/>
        <v>65000000000128</v>
      </c>
      <c r="BA139" s="78">
        <f t="shared" si="72"/>
        <v>65000000000133</v>
      </c>
      <c r="BB139" s="81" t="str">
        <f t="shared" si="93"/>
        <v>PERFORM * FROM "SchData-OLTP-Accounting"."Func_TblChartOfAccount_SET"(varSystemLoginSession, null, null, null, null, null, varInstitutionBranchID, 62000000000001::bigint,'2-1103', 'Witholding Tax 21', 62000000000001::bigint, '2016-01-01 00:00:00'::timestamp, null::timestamp, 65000000000128::bigint, 66000000000001::bigint, FALSE::boolean);</v>
      </c>
    </row>
    <row r="140" spans="2:54" x14ac:dyDescent="0.2">
      <c r="B140" s="39"/>
      <c r="C140" s="40"/>
      <c r="D140" s="43"/>
      <c r="E140" s="42"/>
      <c r="F140" s="43"/>
      <c r="G140" s="42"/>
      <c r="H140" s="51"/>
      <c r="I140" s="18"/>
      <c r="J140" s="51" t="s">
        <v>1695</v>
      </c>
      <c r="K140" s="18" t="s">
        <v>1256</v>
      </c>
      <c r="L140" s="51"/>
      <c r="M140" s="18"/>
      <c r="O140" s="58" t="str">
        <f t="shared" si="80"/>
        <v>2-0000</v>
      </c>
      <c r="P140" s="58" t="str">
        <f t="shared" si="81"/>
        <v>2-1000</v>
      </c>
      <c r="Q140" s="58" t="str">
        <f t="shared" si="82"/>
        <v>2-1100</v>
      </c>
      <c r="R140" s="58" t="str">
        <f t="shared" si="83"/>
        <v>2-1103</v>
      </c>
      <c r="S140" s="58" t="str">
        <f t="shared" si="84"/>
        <v>2-1103.01</v>
      </c>
      <c r="T140" s="58" t="str">
        <f t="shared" si="85"/>
        <v xml:space="preserve"> </v>
      </c>
      <c r="V140" s="72">
        <f t="shared" si="86"/>
        <v>65000000000134</v>
      </c>
      <c r="W140" s="60">
        <f t="shared" si="87"/>
        <v>65000000000111</v>
      </c>
      <c r="X140" s="60">
        <f t="shared" si="88"/>
        <v>65000000000112</v>
      </c>
      <c r="Y140" s="60">
        <f t="shared" si="89"/>
        <v>65000000000128</v>
      </c>
      <c r="Z140" s="60">
        <f t="shared" si="90"/>
        <v>65000000000133</v>
      </c>
      <c r="AA140" s="60">
        <f t="shared" si="73"/>
        <v>65000000000134</v>
      </c>
      <c r="AB140" s="60">
        <f t="shared" si="91"/>
        <v>65000000000000</v>
      </c>
      <c r="AD140" s="60">
        <f t="shared" si="94"/>
        <v>2</v>
      </c>
      <c r="AE140" s="60">
        <f t="shared" si="95"/>
        <v>2</v>
      </c>
      <c r="AF140" s="60">
        <f t="shared" si="96"/>
        <v>2</v>
      </c>
      <c r="AG140" s="60">
        <f t="shared" si="97"/>
        <v>4</v>
      </c>
      <c r="AH140" s="60">
        <f t="shared" si="98"/>
        <v>2</v>
      </c>
      <c r="AI140" s="60">
        <f t="shared" si="99"/>
        <v>1</v>
      </c>
      <c r="AK140" s="68" t="str">
        <f t="shared" si="74"/>
        <v>L5</v>
      </c>
      <c r="AM140" s="64" t="s">
        <v>1755</v>
      </c>
      <c r="AN140" s="64">
        <f t="shared" si="75"/>
        <v>65000000000111</v>
      </c>
      <c r="AO140" s="64">
        <f t="shared" si="76"/>
        <v>65000000000112</v>
      </c>
      <c r="AP140" s="64">
        <f t="shared" si="77"/>
        <v>65000000000128</v>
      </c>
      <c r="AQ140" s="64">
        <f t="shared" si="78"/>
        <v>65000000000133</v>
      </c>
      <c r="AS140" s="64">
        <f t="shared" si="79"/>
        <v>65000000000133</v>
      </c>
      <c r="AU140" s="59" t="str">
        <f t="shared" si="100"/>
        <v>PERFORM * FROM "SchData-OLTP-Accounting"."Func_TblChartOfAccount_SET"(varSystemLoginSession, null, null, null, varInstitutionBranchID, 62000000000001::bigint,'2-1103.01', 'Witholding Tax 21 (IDR)', 62000000000001::bigint, '2016-01-01 00:00:00'::timestamp, null::timestamp, 65000000000133::bigint, 66000000000001::bigint);</v>
      </c>
      <c r="AV140" s="65">
        <f t="shared" si="101"/>
        <v>65000000000134</v>
      </c>
      <c r="AW140" s="65">
        <f t="shared" si="102"/>
        <v>65000000000133</v>
      </c>
      <c r="AY140" s="65">
        <f t="shared" si="92"/>
        <v>65000000000133</v>
      </c>
      <c r="BA140" s="78">
        <f t="shared" si="72"/>
        <v>65000000000134</v>
      </c>
      <c r="BB140" s="81" t="str">
        <f t="shared" si="93"/>
        <v>PERFORM * FROM "SchData-OLTP-Accounting"."Func_TblChartOfAccount_SET"(varSystemLoginSession, null, null, null, null, null, varInstitutionBranchID, 62000000000001::bigint,'2-1103.01', 'Witholding Tax 21 (IDR)', 62000000000001::bigint, '2016-01-01 00:00:00'::timestamp, null::timestamp, 65000000000133::bigint, 66000000000001::bigint, FALSE::boolean);</v>
      </c>
    </row>
    <row r="141" spans="2:54" x14ac:dyDescent="0.2">
      <c r="B141" s="39"/>
      <c r="C141" s="40"/>
      <c r="D141" s="43"/>
      <c r="E141" s="42"/>
      <c r="F141" s="43"/>
      <c r="G141" s="42"/>
      <c r="H141" s="51" t="s">
        <v>1696</v>
      </c>
      <c r="I141" s="18" t="s">
        <v>870</v>
      </c>
      <c r="J141" s="51"/>
      <c r="K141" s="18"/>
      <c r="L141" s="51"/>
      <c r="M141" s="18"/>
      <c r="O141" s="58" t="str">
        <f t="shared" si="80"/>
        <v>2-0000</v>
      </c>
      <c r="P141" s="58" t="str">
        <f t="shared" si="81"/>
        <v>2-1000</v>
      </c>
      <c r="Q141" s="58" t="str">
        <f t="shared" si="82"/>
        <v>2-1100</v>
      </c>
      <c r="R141" s="58" t="str">
        <f t="shared" si="83"/>
        <v>2-1104</v>
      </c>
      <c r="S141" s="58" t="str">
        <f t="shared" si="84"/>
        <v>2-1103.01</v>
      </c>
      <c r="T141" s="58" t="str">
        <f t="shared" si="85"/>
        <v xml:space="preserve"> </v>
      </c>
      <c r="V141" s="72">
        <f t="shared" si="86"/>
        <v>65000000000135</v>
      </c>
      <c r="W141" s="60">
        <f t="shared" si="87"/>
        <v>65000000000111</v>
      </c>
      <c r="X141" s="60">
        <f t="shared" si="88"/>
        <v>65000000000112</v>
      </c>
      <c r="Y141" s="60">
        <f t="shared" si="89"/>
        <v>65000000000128</v>
      </c>
      <c r="Z141" s="60">
        <f t="shared" si="90"/>
        <v>65000000000135</v>
      </c>
      <c r="AA141" s="60">
        <f t="shared" si="73"/>
        <v>65000000000134</v>
      </c>
      <c r="AB141" s="60">
        <f t="shared" si="91"/>
        <v>65000000000000</v>
      </c>
      <c r="AD141" s="60">
        <f t="shared" si="94"/>
        <v>2</v>
      </c>
      <c r="AE141" s="60">
        <f t="shared" si="95"/>
        <v>2</v>
      </c>
      <c r="AF141" s="60">
        <f t="shared" si="96"/>
        <v>2</v>
      </c>
      <c r="AG141" s="60">
        <f t="shared" si="97"/>
        <v>5</v>
      </c>
      <c r="AH141" s="60">
        <f t="shared" si="98"/>
        <v>1</v>
      </c>
      <c r="AI141" s="60">
        <f t="shared" si="99"/>
        <v>1</v>
      </c>
      <c r="AK141" s="68" t="str">
        <f t="shared" si="74"/>
        <v>L4</v>
      </c>
      <c r="AM141" s="64" t="s">
        <v>1755</v>
      </c>
      <c r="AN141" s="64">
        <f t="shared" si="75"/>
        <v>65000000000111</v>
      </c>
      <c r="AO141" s="64">
        <f t="shared" si="76"/>
        <v>65000000000112</v>
      </c>
      <c r="AP141" s="64">
        <f t="shared" si="77"/>
        <v>65000000000128</v>
      </c>
      <c r="AQ141" s="64">
        <f t="shared" si="78"/>
        <v>65000000000133</v>
      </c>
      <c r="AS141" s="64">
        <f t="shared" si="79"/>
        <v>65000000000128</v>
      </c>
      <c r="AU141" s="59" t="str">
        <f t="shared" si="100"/>
        <v>PERFORM * FROM "SchData-OLTP-Accounting"."Func_TblChartOfAccount_SET"(varSystemLoginSession, null, null, null, varInstitutionBranchID, 62000000000001::bigint,'2-1104', 'Witholding Tax 22', 62000000000001::bigint, '2016-01-01 00:00:00'::timestamp, null::timestamp, 65000000000128::bigint, 66000000000001::bigint);</v>
      </c>
      <c r="AV141" s="65">
        <f t="shared" si="101"/>
        <v>65000000000135</v>
      </c>
      <c r="AW141" s="65">
        <f t="shared" si="102"/>
        <v>65000000000128</v>
      </c>
      <c r="AY141" s="65">
        <f t="shared" si="92"/>
        <v>65000000000128</v>
      </c>
      <c r="BA141" s="78">
        <f t="shared" si="72"/>
        <v>65000000000135</v>
      </c>
      <c r="BB141" s="81" t="str">
        <f t="shared" si="93"/>
        <v>PERFORM * FROM "SchData-OLTP-Accounting"."Func_TblChartOfAccount_SET"(varSystemLoginSession, null, null, null, null, null, varInstitutionBranchID, 62000000000001::bigint,'2-1104', 'Witholding Tax 22', 62000000000001::bigint, '2016-01-01 00:00:00'::timestamp, null::timestamp, 65000000000128::bigint, 66000000000001::bigint, FALSE::boolean);</v>
      </c>
    </row>
    <row r="142" spans="2:54" x14ac:dyDescent="0.2">
      <c r="B142" s="39"/>
      <c r="C142" s="40"/>
      <c r="D142" s="43"/>
      <c r="E142" s="42"/>
      <c r="F142" s="43"/>
      <c r="G142" s="42"/>
      <c r="H142" s="51"/>
      <c r="I142" s="18"/>
      <c r="J142" s="51" t="s">
        <v>1697</v>
      </c>
      <c r="K142" s="18" t="s">
        <v>1257</v>
      </c>
      <c r="L142" s="51"/>
      <c r="M142" s="18"/>
      <c r="O142" s="58" t="str">
        <f t="shared" si="80"/>
        <v>2-0000</v>
      </c>
      <c r="P142" s="58" t="str">
        <f t="shared" si="81"/>
        <v>2-1000</v>
      </c>
      <c r="Q142" s="58" t="str">
        <f t="shared" si="82"/>
        <v>2-1100</v>
      </c>
      <c r="R142" s="58" t="str">
        <f t="shared" si="83"/>
        <v>2-1104</v>
      </c>
      <c r="S142" s="58" t="str">
        <f t="shared" si="84"/>
        <v>2-1104.01</v>
      </c>
      <c r="T142" s="58" t="str">
        <f t="shared" si="85"/>
        <v xml:space="preserve"> </v>
      </c>
      <c r="V142" s="72">
        <f t="shared" si="86"/>
        <v>65000000000136</v>
      </c>
      <c r="W142" s="60">
        <f t="shared" si="87"/>
        <v>65000000000111</v>
      </c>
      <c r="X142" s="60">
        <f t="shared" si="88"/>
        <v>65000000000112</v>
      </c>
      <c r="Y142" s="60">
        <f t="shared" si="89"/>
        <v>65000000000128</v>
      </c>
      <c r="Z142" s="60">
        <f t="shared" si="90"/>
        <v>65000000000135</v>
      </c>
      <c r="AA142" s="60">
        <f t="shared" si="73"/>
        <v>65000000000136</v>
      </c>
      <c r="AB142" s="60">
        <f t="shared" si="91"/>
        <v>65000000000000</v>
      </c>
      <c r="AD142" s="60">
        <f t="shared" si="94"/>
        <v>2</v>
      </c>
      <c r="AE142" s="60">
        <f t="shared" si="95"/>
        <v>2</v>
      </c>
      <c r="AF142" s="60">
        <f t="shared" si="96"/>
        <v>2</v>
      </c>
      <c r="AG142" s="60">
        <f t="shared" si="97"/>
        <v>5</v>
      </c>
      <c r="AH142" s="60">
        <f t="shared" si="98"/>
        <v>2</v>
      </c>
      <c r="AI142" s="60">
        <f t="shared" si="99"/>
        <v>1</v>
      </c>
      <c r="AK142" s="68" t="str">
        <f t="shared" si="74"/>
        <v>L5</v>
      </c>
      <c r="AM142" s="64" t="s">
        <v>1755</v>
      </c>
      <c r="AN142" s="64">
        <f t="shared" si="75"/>
        <v>65000000000111</v>
      </c>
      <c r="AO142" s="64">
        <f t="shared" si="76"/>
        <v>65000000000112</v>
      </c>
      <c r="AP142" s="64">
        <f t="shared" si="77"/>
        <v>65000000000128</v>
      </c>
      <c r="AQ142" s="64">
        <f t="shared" si="78"/>
        <v>65000000000135</v>
      </c>
      <c r="AS142" s="64">
        <f t="shared" si="79"/>
        <v>65000000000135</v>
      </c>
      <c r="AU142" s="59" t="str">
        <f t="shared" si="100"/>
        <v>PERFORM * FROM "SchData-OLTP-Accounting"."Func_TblChartOfAccount_SET"(varSystemLoginSession, null, null, null, varInstitutionBranchID, 62000000000001::bigint,'2-1104.01', 'Witholding Tax 22 (IDR)', 62000000000001::bigint, '2016-01-01 00:00:00'::timestamp, null::timestamp, 65000000000135::bigint, 66000000000001::bigint);</v>
      </c>
      <c r="AV142" s="65">
        <f t="shared" si="101"/>
        <v>65000000000136</v>
      </c>
      <c r="AW142" s="65">
        <f t="shared" si="102"/>
        <v>65000000000135</v>
      </c>
      <c r="AY142" s="65">
        <f t="shared" si="92"/>
        <v>65000000000135</v>
      </c>
      <c r="BA142" s="78">
        <f t="shared" si="72"/>
        <v>65000000000136</v>
      </c>
      <c r="BB142" s="81" t="str">
        <f t="shared" si="93"/>
        <v>PERFORM * FROM "SchData-OLTP-Accounting"."Func_TblChartOfAccount_SET"(varSystemLoginSession, null, null, null, null, null, varInstitutionBranchID, 62000000000001::bigint,'2-1104.01', 'Witholding Tax 22 (IDR)', 62000000000001::bigint, '2016-01-01 00:00:00'::timestamp, null::timestamp, 65000000000135::bigint, 66000000000001::bigint, FALSE::boolean);</v>
      </c>
    </row>
    <row r="143" spans="2:54" x14ac:dyDescent="0.2">
      <c r="B143" s="39"/>
      <c r="C143" s="40"/>
      <c r="D143" s="43"/>
      <c r="E143" s="42"/>
      <c r="F143" s="43"/>
      <c r="G143" s="42"/>
      <c r="H143" s="51" t="s">
        <v>1698</v>
      </c>
      <c r="I143" s="18" t="s">
        <v>872</v>
      </c>
      <c r="J143" s="51"/>
      <c r="K143" s="18"/>
      <c r="L143" s="51"/>
      <c r="M143" s="18"/>
      <c r="O143" s="58" t="str">
        <f t="shared" si="80"/>
        <v>2-0000</v>
      </c>
      <c r="P143" s="58" t="str">
        <f t="shared" si="81"/>
        <v>2-1000</v>
      </c>
      <c r="Q143" s="58" t="str">
        <f t="shared" si="82"/>
        <v>2-1100</v>
      </c>
      <c r="R143" s="58" t="str">
        <f t="shared" si="83"/>
        <v>2-1105</v>
      </c>
      <c r="S143" s="58" t="str">
        <f t="shared" si="84"/>
        <v>2-1104.01</v>
      </c>
      <c r="T143" s="58" t="str">
        <f t="shared" si="85"/>
        <v xml:space="preserve"> </v>
      </c>
      <c r="V143" s="72">
        <f t="shared" si="86"/>
        <v>65000000000137</v>
      </c>
      <c r="W143" s="60">
        <f t="shared" si="87"/>
        <v>65000000000111</v>
      </c>
      <c r="X143" s="60">
        <f t="shared" si="88"/>
        <v>65000000000112</v>
      </c>
      <c r="Y143" s="60">
        <f t="shared" si="89"/>
        <v>65000000000128</v>
      </c>
      <c r="Z143" s="60">
        <f t="shared" si="90"/>
        <v>65000000000137</v>
      </c>
      <c r="AA143" s="60">
        <f t="shared" si="73"/>
        <v>65000000000136</v>
      </c>
      <c r="AB143" s="60">
        <f t="shared" si="91"/>
        <v>65000000000000</v>
      </c>
      <c r="AD143" s="60">
        <f t="shared" si="94"/>
        <v>2</v>
      </c>
      <c r="AE143" s="60">
        <f t="shared" si="95"/>
        <v>2</v>
      </c>
      <c r="AF143" s="60">
        <f t="shared" si="96"/>
        <v>2</v>
      </c>
      <c r="AG143" s="60">
        <f t="shared" si="97"/>
        <v>6</v>
      </c>
      <c r="AH143" s="60">
        <f t="shared" si="98"/>
        <v>1</v>
      </c>
      <c r="AI143" s="60">
        <f t="shared" si="99"/>
        <v>1</v>
      </c>
      <c r="AK143" s="68" t="str">
        <f t="shared" si="74"/>
        <v>L4</v>
      </c>
      <c r="AM143" s="64" t="s">
        <v>1755</v>
      </c>
      <c r="AN143" s="64">
        <f t="shared" si="75"/>
        <v>65000000000111</v>
      </c>
      <c r="AO143" s="64">
        <f t="shared" si="76"/>
        <v>65000000000112</v>
      </c>
      <c r="AP143" s="64">
        <f t="shared" si="77"/>
        <v>65000000000128</v>
      </c>
      <c r="AQ143" s="64">
        <f t="shared" si="78"/>
        <v>65000000000135</v>
      </c>
      <c r="AS143" s="64">
        <f t="shared" si="79"/>
        <v>65000000000128</v>
      </c>
      <c r="AU143" s="59" t="str">
        <f t="shared" si="100"/>
        <v>PERFORM * FROM "SchData-OLTP-Accounting"."Func_TblChartOfAccount_SET"(varSystemLoginSession, null, null, null, varInstitutionBranchID, 62000000000001::bigint,'2-1105', 'Witholding Tax 23', 62000000000001::bigint, '2016-01-01 00:00:00'::timestamp, null::timestamp, 65000000000128::bigint, 66000000000001::bigint);</v>
      </c>
      <c r="AV143" s="65">
        <f t="shared" si="101"/>
        <v>65000000000137</v>
      </c>
      <c r="AW143" s="65">
        <f t="shared" si="102"/>
        <v>65000000000128</v>
      </c>
      <c r="AY143" s="65">
        <f t="shared" si="92"/>
        <v>65000000000128</v>
      </c>
      <c r="BA143" s="78">
        <f t="shared" ref="BA143:BA206" si="103" xml:space="preserve"> BA142 + IF(EXACT(BB143, ""), 0, 1)</f>
        <v>65000000000137</v>
      </c>
      <c r="BB143" s="81" t="str">
        <f t="shared" si="93"/>
        <v>PERFORM * FROM "SchData-OLTP-Accounting"."Func_TblChartOfAccount_SET"(varSystemLoginSession, null, null, null, null, null, varInstitutionBranchID, 62000000000001::bigint,'2-1105', 'Witholding Tax 23', 62000000000001::bigint, '2016-01-01 00:00:00'::timestamp, null::timestamp, 65000000000128::bigint, 66000000000001::bigint, FALSE::boolean);</v>
      </c>
    </row>
    <row r="144" spans="2:54" x14ac:dyDescent="0.2">
      <c r="B144" s="39"/>
      <c r="C144" s="40"/>
      <c r="D144" s="43"/>
      <c r="E144" s="42"/>
      <c r="F144" s="43"/>
      <c r="G144" s="42"/>
      <c r="H144" s="51"/>
      <c r="I144" s="18"/>
      <c r="J144" s="51" t="s">
        <v>1699</v>
      </c>
      <c r="K144" s="18" t="s">
        <v>1258</v>
      </c>
      <c r="L144" s="51"/>
      <c r="M144" s="18"/>
      <c r="O144" s="58" t="str">
        <f t="shared" si="80"/>
        <v>2-0000</v>
      </c>
      <c r="P144" s="58" t="str">
        <f t="shared" si="81"/>
        <v>2-1000</v>
      </c>
      <c r="Q144" s="58" t="str">
        <f t="shared" si="82"/>
        <v>2-1100</v>
      </c>
      <c r="R144" s="58" t="str">
        <f t="shared" si="83"/>
        <v>2-1105</v>
      </c>
      <c r="S144" s="58" t="str">
        <f t="shared" si="84"/>
        <v>2-1105.01</v>
      </c>
      <c r="T144" s="58" t="str">
        <f t="shared" si="85"/>
        <v xml:space="preserve"> </v>
      </c>
      <c r="V144" s="72">
        <f t="shared" si="86"/>
        <v>65000000000138</v>
      </c>
      <c r="W144" s="60">
        <f t="shared" si="87"/>
        <v>65000000000111</v>
      </c>
      <c r="X144" s="60">
        <f t="shared" si="88"/>
        <v>65000000000112</v>
      </c>
      <c r="Y144" s="60">
        <f t="shared" si="89"/>
        <v>65000000000128</v>
      </c>
      <c r="Z144" s="60">
        <f t="shared" si="90"/>
        <v>65000000000137</v>
      </c>
      <c r="AA144" s="60">
        <f t="shared" si="73"/>
        <v>65000000000138</v>
      </c>
      <c r="AB144" s="60">
        <f t="shared" si="91"/>
        <v>65000000000000</v>
      </c>
      <c r="AD144" s="60">
        <f t="shared" si="94"/>
        <v>2</v>
      </c>
      <c r="AE144" s="60">
        <f t="shared" si="95"/>
        <v>2</v>
      </c>
      <c r="AF144" s="60">
        <f t="shared" si="96"/>
        <v>2</v>
      </c>
      <c r="AG144" s="60">
        <f t="shared" si="97"/>
        <v>6</v>
      </c>
      <c r="AH144" s="60">
        <f t="shared" si="98"/>
        <v>2</v>
      </c>
      <c r="AI144" s="60">
        <f t="shared" si="99"/>
        <v>1</v>
      </c>
      <c r="AK144" s="68" t="str">
        <f t="shared" si="74"/>
        <v>L5</v>
      </c>
      <c r="AM144" s="64" t="s">
        <v>1755</v>
      </c>
      <c r="AN144" s="64">
        <f t="shared" si="75"/>
        <v>65000000000111</v>
      </c>
      <c r="AO144" s="64">
        <f t="shared" si="76"/>
        <v>65000000000112</v>
      </c>
      <c r="AP144" s="64">
        <f t="shared" si="77"/>
        <v>65000000000128</v>
      </c>
      <c r="AQ144" s="64">
        <f t="shared" si="78"/>
        <v>65000000000137</v>
      </c>
      <c r="AS144" s="64">
        <f t="shared" si="79"/>
        <v>65000000000137</v>
      </c>
      <c r="AU144" s="59" t="str">
        <f t="shared" si="100"/>
        <v>PERFORM * FROM "SchData-OLTP-Accounting"."Func_TblChartOfAccount_SET"(varSystemLoginSession, null, null, null, varInstitutionBranchID, 62000000000001::bigint,'2-1105.01', 'Witholding Tax 23 (IDR)', 62000000000001::bigint, '2016-01-01 00:00:00'::timestamp, null::timestamp, 65000000000137::bigint, 66000000000001::bigint);</v>
      </c>
      <c r="AV144" s="65">
        <f t="shared" si="101"/>
        <v>65000000000138</v>
      </c>
      <c r="AW144" s="65">
        <f t="shared" si="102"/>
        <v>65000000000137</v>
      </c>
      <c r="AY144" s="65">
        <f t="shared" si="92"/>
        <v>65000000000137</v>
      </c>
      <c r="BA144" s="78">
        <f t="shared" si="103"/>
        <v>65000000000138</v>
      </c>
      <c r="BB144" s="81" t="str">
        <f t="shared" si="93"/>
        <v>PERFORM * FROM "SchData-OLTP-Accounting"."Func_TblChartOfAccount_SET"(varSystemLoginSession, null, null, null, null, null, varInstitutionBranchID, 62000000000001::bigint,'2-1105.01', 'Witholding Tax 23 (IDR)', 62000000000001::bigint, '2016-01-01 00:00:00'::timestamp, null::timestamp, 65000000000137::bigint, 66000000000001::bigint, FALSE::boolean);</v>
      </c>
    </row>
    <row r="145" spans="2:54" x14ac:dyDescent="0.2">
      <c r="B145" s="39"/>
      <c r="C145" s="40"/>
      <c r="D145" s="43"/>
      <c r="E145" s="42"/>
      <c r="F145" s="43"/>
      <c r="G145" s="42"/>
      <c r="H145" s="51" t="s">
        <v>1700</v>
      </c>
      <c r="I145" s="18" t="s">
        <v>871</v>
      </c>
      <c r="J145" s="51"/>
      <c r="K145" s="18"/>
      <c r="L145" s="51"/>
      <c r="M145" s="18"/>
      <c r="O145" s="58" t="str">
        <f t="shared" si="80"/>
        <v>2-0000</v>
      </c>
      <c r="P145" s="58" t="str">
        <f t="shared" si="81"/>
        <v>2-1000</v>
      </c>
      <c r="Q145" s="58" t="str">
        <f t="shared" si="82"/>
        <v>2-1100</v>
      </c>
      <c r="R145" s="58" t="str">
        <f t="shared" si="83"/>
        <v>2-1106</v>
      </c>
      <c r="S145" s="58" t="str">
        <f t="shared" si="84"/>
        <v>2-1105.01</v>
      </c>
      <c r="T145" s="58" t="str">
        <f t="shared" si="85"/>
        <v xml:space="preserve"> </v>
      </c>
      <c r="V145" s="72">
        <f t="shared" si="86"/>
        <v>65000000000139</v>
      </c>
      <c r="W145" s="60">
        <f t="shared" si="87"/>
        <v>65000000000111</v>
      </c>
      <c r="X145" s="60">
        <f t="shared" si="88"/>
        <v>65000000000112</v>
      </c>
      <c r="Y145" s="60">
        <f t="shared" si="89"/>
        <v>65000000000128</v>
      </c>
      <c r="Z145" s="60">
        <f t="shared" si="90"/>
        <v>65000000000139</v>
      </c>
      <c r="AA145" s="60">
        <f t="shared" si="73"/>
        <v>65000000000138</v>
      </c>
      <c r="AB145" s="60">
        <f t="shared" si="91"/>
        <v>65000000000000</v>
      </c>
      <c r="AD145" s="60">
        <f t="shared" si="94"/>
        <v>2</v>
      </c>
      <c r="AE145" s="60">
        <f t="shared" si="95"/>
        <v>2</v>
      </c>
      <c r="AF145" s="60">
        <f t="shared" si="96"/>
        <v>2</v>
      </c>
      <c r="AG145" s="60">
        <f t="shared" si="97"/>
        <v>7</v>
      </c>
      <c r="AH145" s="60">
        <f t="shared" si="98"/>
        <v>1</v>
      </c>
      <c r="AI145" s="60">
        <f t="shared" si="99"/>
        <v>1</v>
      </c>
      <c r="AK145" s="68" t="str">
        <f t="shared" si="74"/>
        <v>L4</v>
      </c>
      <c r="AM145" s="64" t="s">
        <v>1755</v>
      </c>
      <c r="AN145" s="64">
        <f t="shared" si="75"/>
        <v>65000000000111</v>
      </c>
      <c r="AO145" s="64">
        <f t="shared" si="76"/>
        <v>65000000000112</v>
      </c>
      <c r="AP145" s="64">
        <f t="shared" si="77"/>
        <v>65000000000128</v>
      </c>
      <c r="AQ145" s="64">
        <f t="shared" si="78"/>
        <v>65000000000137</v>
      </c>
      <c r="AS145" s="64">
        <f t="shared" si="79"/>
        <v>65000000000128</v>
      </c>
      <c r="AU145" s="59" t="str">
        <f t="shared" si="100"/>
        <v>PERFORM * FROM "SchData-OLTP-Accounting"."Func_TblChartOfAccount_SET"(varSystemLoginSession, null, null, null, varInstitutionBranchID, 62000000000001::bigint,'2-1106', 'Witholding Tax 25', 62000000000001::bigint, '2016-01-01 00:00:00'::timestamp, null::timestamp, 65000000000128::bigint, 66000000000001::bigint);</v>
      </c>
      <c r="AV145" s="65">
        <f t="shared" si="101"/>
        <v>65000000000139</v>
      </c>
      <c r="AW145" s="65">
        <f t="shared" si="102"/>
        <v>65000000000128</v>
      </c>
      <c r="AY145" s="65">
        <f t="shared" si="92"/>
        <v>65000000000128</v>
      </c>
      <c r="BA145" s="78">
        <f t="shared" si="103"/>
        <v>65000000000139</v>
      </c>
      <c r="BB145" s="81" t="str">
        <f t="shared" si="93"/>
        <v>PERFORM * FROM "SchData-OLTP-Accounting"."Func_TblChartOfAccount_SET"(varSystemLoginSession, null, null, null, null, null, varInstitutionBranchID, 62000000000001::bigint,'2-1106', 'Witholding Tax 25', 62000000000001::bigint, '2016-01-01 00:00:00'::timestamp, null::timestamp, 65000000000128::bigint, 66000000000001::bigint, FALSE::boolean);</v>
      </c>
    </row>
    <row r="146" spans="2:54" x14ac:dyDescent="0.2">
      <c r="B146" s="39"/>
      <c r="C146" s="40"/>
      <c r="D146" s="43"/>
      <c r="E146" s="42"/>
      <c r="F146" s="43"/>
      <c r="G146" s="42"/>
      <c r="H146" s="51"/>
      <c r="I146" s="18"/>
      <c r="J146" s="51" t="s">
        <v>1701</v>
      </c>
      <c r="K146" s="18" t="s">
        <v>1259</v>
      </c>
      <c r="L146" s="51"/>
      <c r="M146" s="18"/>
      <c r="O146" s="58" t="str">
        <f t="shared" si="80"/>
        <v>2-0000</v>
      </c>
      <c r="P146" s="58" t="str">
        <f t="shared" si="81"/>
        <v>2-1000</v>
      </c>
      <c r="Q146" s="58" t="str">
        <f t="shared" si="82"/>
        <v>2-1100</v>
      </c>
      <c r="R146" s="58" t="str">
        <f t="shared" si="83"/>
        <v>2-1106</v>
      </c>
      <c r="S146" s="58" t="str">
        <f t="shared" si="84"/>
        <v>2-1106.01</v>
      </c>
      <c r="T146" s="58" t="str">
        <f t="shared" si="85"/>
        <v xml:space="preserve"> </v>
      </c>
      <c r="V146" s="72">
        <f t="shared" si="86"/>
        <v>65000000000140</v>
      </c>
      <c r="W146" s="60">
        <f t="shared" si="87"/>
        <v>65000000000111</v>
      </c>
      <c r="X146" s="60">
        <f t="shared" si="88"/>
        <v>65000000000112</v>
      </c>
      <c r="Y146" s="60">
        <f t="shared" si="89"/>
        <v>65000000000128</v>
      </c>
      <c r="Z146" s="60">
        <f t="shared" si="90"/>
        <v>65000000000139</v>
      </c>
      <c r="AA146" s="60">
        <f t="shared" si="73"/>
        <v>65000000000140</v>
      </c>
      <c r="AB146" s="60">
        <f t="shared" si="91"/>
        <v>65000000000000</v>
      </c>
      <c r="AD146" s="60">
        <f t="shared" si="94"/>
        <v>2</v>
      </c>
      <c r="AE146" s="60">
        <f t="shared" si="95"/>
        <v>2</v>
      </c>
      <c r="AF146" s="60">
        <f t="shared" si="96"/>
        <v>2</v>
      </c>
      <c r="AG146" s="60">
        <f t="shared" si="97"/>
        <v>7</v>
      </c>
      <c r="AH146" s="60">
        <f t="shared" si="98"/>
        <v>2</v>
      </c>
      <c r="AI146" s="60">
        <f t="shared" si="99"/>
        <v>1</v>
      </c>
      <c r="AK146" s="68" t="str">
        <f t="shared" si="74"/>
        <v>L5</v>
      </c>
      <c r="AM146" s="64" t="s">
        <v>1755</v>
      </c>
      <c r="AN146" s="64">
        <f t="shared" si="75"/>
        <v>65000000000111</v>
      </c>
      <c r="AO146" s="64">
        <f t="shared" si="76"/>
        <v>65000000000112</v>
      </c>
      <c r="AP146" s="64">
        <f t="shared" si="77"/>
        <v>65000000000128</v>
      </c>
      <c r="AQ146" s="64">
        <f t="shared" si="78"/>
        <v>65000000000139</v>
      </c>
      <c r="AS146" s="64">
        <f t="shared" si="79"/>
        <v>65000000000139</v>
      </c>
      <c r="AU146" s="59" t="str">
        <f t="shared" si="100"/>
        <v>PERFORM * FROM "SchData-OLTP-Accounting"."Func_TblChartOfAccount_SET"(varSystemLoginSession, null, null, null, varInstitutionBranchID, 62000000000001::bigint,'2-1106.01', 'Witholding Tax 25 (IDR)', 62000000000001::bigint, '2016-01-01 00:00:00'::timestamp, null::timestamp, 65000000000139::bigint, 66000000000001::bigint);</v>
      </c>
      <c r="AV146" s="65">
        <f t="shared" si="101"/>
        <v>65000000000140</v>
      </c>
      <c r="AW146" s="65">
        <f t="shared" si="102"/>
        <v>65000000000139</v>
      </c>
      <c r="AY146" s="65">
        <f t="shared" si="92"/>
        <v>65000000000139</v>
      </c>
      <c r="BA146" s="78">
        <f t="shared" si="103"/>
        <v>65000000000140</v>
      </c>
      <c r="BB146" s="81" t="str">
        <f t="shared" si="93"/>
        <v>PERFORM * FROM "SchData-OLTP-Accounting"."Func_TblChartOfAccount_SET"(varSystemLoginSession, null, null, null, null, null, varInstitutionBranchID, 62000000000001::bigint,'2-1106.01', 'Witholding Tax 25 (IDR)', 62000000000001::bigint, '2016-01-01 00:00:00'::timestamp, null::timestamp, 65000000000139::bigint, 66000000000001::bigint, FALSE::boolean);</v>
      </c>
    </row>
    <row r="147" spans="2:54" x14ac:dyDescent="0.2">
      <c r="B147" s="39"/>
      <c r="C147" s="40"/>
      <c r="D147" s="43"/>
      <c r="E147" s="42"/>
      <c r="F147" s="43"/>
      <c r="G147" s="42"/>
      <c r="H147" s="51" t="s">
        <v>1702</v>
      </c>
      <c r="I147" s="18" t="s">
        <v>285</v>
      </c>
      <c r="J147" s="51"/>
      <c r="K147" s="18"/>
      <c r="L147" s="51"/>
      <c r="M147" s="18"/>
      <c r="O147" s="58" t="str">
        <f t="shared" si="80"/>
        <v>2-0000</v>
      </c>
      <c r="P147" s="58" t="str">
        <f t="shared" si="81"/>
        <v>2-1000</v>
      </c>
      <c r="Q147" s="58" t="str">
        <f t="shared" si="82"/>
        <v>2-1100</v>
      </c>
      <c r="R147" s="58" t="str">
        <f t="shared" si="83"/>
        <v>2-1107</v>
      </c>
      <c r="S147" s="58" t="str">
        <f t="shared" si="84"/>
        <v>2-1106.01</v>
      </c>
      <c r="T147" s="58" t="str">
        <f t="shared" si="85"/>
        <v xml:space="preserve"> </v>
      </c>
      <c r="V147" s="72">
        <f t="shared" si="86"/>
        <v>65000000000141</v>
      </c>
      <c r="W147" s="60">
        <f t="shared" si="87"/>
        <v>65000000000111</v>
      </c>
      <c r="X147" s="60">
        <f t="shared" si="88"/>
        <v>65000000000112</v>
      </c>
      <c r="Y147" s="60">
        <f t="shared" si="89"/>
        <v>65000000000128</v>
      </c>
      <c r="Z147" s="60">
        <f t="shared" si="90"/>
        <v>65000000000141</v>
      </c>
      <c r="AA147" s="60">
        <f t="shared" si="73"/>
        <v>65000000000140</v>
      </c>
      <c r="AB147" s="60">
        <f t="shared" si="91"/>
        <v>65000000000000</v>
      </c>
      <c r="AD147" s="60">
        <f t="shared" si="94"/>
        <v>2</v>
      </c>
      <c r="AE147" s="60">
        <f t="shared" si="95"/>
        <v>2</v>
      </c>
      <c r="AF147" s="60">
        <f t="shared" si="96"/>
        <v>2</v>
      </c>
      <c r="AG147" s="60">
        <f t="shared" si="97"/>
        <v>8</v>
      </c>
      <c r="AH147" s="60">
        <f t="shared" si="98"/>
        <v>1</v>
      </c>
      <c r="AI147" s="60">
        <f t="shared" si="99"/>
        <v>1</v>
      </c>
      <c r="AK147" s="68" t="str">
        <f t="shared" si="74"/>
        <v>L4</v>
      </c>
      <c r="AM147" s="64" t="s">
        <v>1755</v>
      </c>
      <c r="AN147" s="64">
        <f t="shared" si="75"/>
        <v>65000000000111</v>
      </c>
      <c r="AO147" s="64">
        <f t="shared" si="76"/>
        <v>65000000000112</v>
      </c>
      <c r="AP147" s="64">
        <f t="shared" si="77"/>
        <v>65000000000128</v>
      </c>
      <c r="AQ147" s="64">
        <f t="shared" si="78"/>
        <v>65000000000139</v>
      </c>
      <c r="AS147" s="64">
        <f t="shared" si="79"/>
        <v>65000000000128</v>
      </c>
      <c r="AU147" s="59" t="str">
        <f t="shared" si="100"/>
        <v>PERFORM * FROM "SchData-OLTP-Accounting"."Func_TblChartOfAccount_SET"(varSystemLoginSession, null, null, null, varInstitutionBranchID, 62000000000001::bigint,'2-1107', 'Tax Paid Current Year', 62000000000001::bigint, '2016-01-01 00:00:00'::timestamp, null::timestamp, 65000000000128::bigint, 66000000000001::bigint);</v>
      </c>
      <c r="AV147" s="65">
        <f t="shared" si="101"/>
        <v>65000000000141</v>
      </c>
      <c r="AW147" s="65">
        <f t="shared" si="102"/>
        <v>65000000000128</v>
      </c>
      <c r="AY147" s="65">
        <f t="shared" si="92"/>
        <v>65000000000128</v>
      </c>
      <c r="BA147" s="78">
        <f t="shared" si="103"/>
        <v>65000000000141</v>
      </c>
      <c r="BB147" s="81" t="str">
        <f t="shared" si="93"/>
        <v>PERFORM * FROM "SchData-OLTP-Accounting"."Func_TblChartOfAccount_SET"(varSystemLoginSession, null, null, null, null, null, varInstitutionBranchID, 62000000000001::bigint,'2-1107', 'Tax Paid Current Year', 62000000000001::bigint, '2016-01-01 00:00:00'::timestamp, null::timestamp, 65000000000128::bigint, 66000000000001::bigint, FALSE::boolean);</v>
      </c>
    </row>
    <row r="148" spans="2:54" x14ac:dyDescent="0.2">
      <c r="B148" s="39"/>
      <c r="C148" s="40"/>
      <c r="D148" s="43"/>
      <c r="E148" s="42"/>
      <c r="F148" s="43"/>
      <c r="G148" s="42"/>
      <c r="H148" s="51"/>
      <c r="I148" s="18"/>
      <c r="J148" s="51" t="s">
        <v>1703</v>
      </c>
      <c r="K148" s="18" t="s">
        <v>1260</v>
      </c>
      <c r="L148" s="51"/>
      <c r="M148" s="18"/>
      <c r="O148" s="58" t="str">
        <f t="shared" si="80"/>
        <v>2-0000</v>
      </c>
      <c r="P148" s="58" t="str">
        <f t="shared" si="81"/>
        <v>2-1000</v>
      </c>
      <c r="Q148" s="58" t="str">
        <f t="shared" si="82"/>
        <v>2-1100</v>
      </c>
      <c r="R148" s="58" t="str">
        <f t="shared" si="83"/>
        <v>2-1107</v>
      </c>
      <c r="S148" s="58" t="str">
        <f t="shared" si="84"/>
        <v>2-1107.01</v>
      </c>
      <c r="T148" s="58" t="str">
        <f t="shared" si="85"/>
        <v xml:space="preserve"> </v>
      </c>
      <c r="V148" s="72">
        <f t="shared" si="86"/>
        <v>65000000000142</v>
      </c>
      <c r="W148" s="60">
        <f t="shared" si="87"/>
        <v>65000000000111</v>
      </c>
      <c r="X148" s="60">
        <f t="shared" si="88"/>
        <v>65000000000112</v>
      </c>
      <c r="Y148" s="60">
        <f t="shared" si="89"/>
        <v>65000000000128</v>
      </c>
      <c r="Z148" s="60">
        <f t="shared" si="90"/>
        <v>65000000000141</v>
      </c>
      <c r="AA148" s="60">
        <f t="shared" si="73"/>
        <v>65000000000142</v>
      </c>
      <c r="AB148" s="60">
        <f t="shared" si="91"/>
        <v>65000000000000</v>
      </c>
      <c r="AD148" s="60">
        <f t="shared" si="94"/>
        <v>2</v>
      </c>
      <c r="AE148" s="60">
        <f t="shared" si="95"/>
        <v>2</v>
      </c>
      <c r="AF148" s="60">
        <f t="shared" si="96"/>
        <v>2</v>
      </c>
      <c r="AG148" s="60">
        <f t="shared" si="97"/>
        <v>8</v>
      </c>
      <c r="AH148" s="60">
        <f t="shared" si="98"/>
        <v>2</v>
      </c>
      <c r="AI148" s="60">
        <f t="shared" si="99"/>
        <v>1</v>
      </c>
      <c r="AK148" s="68" t="str">
        <f t="shared" si="74"/>
        <v>L5</v>
      </c>
      <c r="AM148" s="64" t="s">
        <v>1755</v>
      </c>
      <c r="AN148" s="64">
        <f t="shared" si="75"/>
        <v>65000000000111</v>
      </c>
      <c r="AO148" s="64">
        <f t="shared" si="76"/>
        <v>65000000000112</v>
      </c>
      <c r="AP148" s="64">
        <f t="shared" si="77"/>
        <v>65000000000128</v>
      </c>
      <c r="AQ148" s="64">
        <f t="shared" si="78"/>
        <v>65000000000141</v>
      </c>
      <c r="AS148" s="64">
        <f t="shared" si="79"/>
        <v>65000000000141</v>
      </c>
      <c r="AU148" s="59" t="str">
        <f t="shared" si="100"/>
        <v>PERFORM * FROM "SchData-OLTP-Accounting"."Func_TblChartOfAccount_SET"(varSystemLoginSession, null, null, null, varInstitutionBranchID, 62000000000001::bigint,'2-1107.01', 'Tax Paid Current Year (IDR)', 62000000000001::bigint, '2016-01-01 00:00:00'::timestamp, null::timestamp, 65000000000141::bigint, 66000000000001::bigint);</v>
      </c>
      <c r="AV148" s="65">
        <f t="shared" si="101"/>
        <v>65000000000142</v>
      </c>
      <c r="AW148" s="65">
        <f t="shared" si="102"/>
        <v>65000000000141</v>
      </c>
      <c r="AY148" s="65">
        <f t="shared" si="92"/>
        <v>65000000000141</v>
      </c>
      <c r="BA148" s="78">
        <f t="shared" si="103"/>
        <v>65000000000142</v>
      </c>
      <c r="BB148" s="81" t="str">
        <f t="shared" si="93"/>
        <v>PERFORM * FROM "SchData-OLTP-Accounting"."Func_TblChartOfAccount_SET"(varSystemLoginSession, null, null, null, null, null, varInstitutionBranchID, 62000000000001::bigint,'2-1107.01', 'Tax Paid Current Year (IDR)', 62000000000001::bigint, '2016-01-01 00:00:00'::timestamp, null::timestamp, 65000000000141::bigint, 66000000000001::bigint, FALSE::boolean);</v>
      </c>
    </row>
    <row r="149" spans="2:54" ht="25.5" x14ac:dyDescent="0.2">
      <c r="B149" s="39"/>
      <c r="C149" s="40"/>
      <c r="D149" s="43"/>
      <c r="E149" s="42"/>
      <c r="F149" s="43"/>
      <c r="G149" s="42"/>
      <c r="H149" s="51" t="s">
        <v>1704</v>
      </c>
      <c r="I149" s="18" t="s">
        <v>287</v>
      </c>
      <c r="J149" s="51"/>
      <c r="K149" s="18"/>
      <c r="L149" s="51"/>
      <c r="M149" s="18"/>
      <c r="O149" s="58" t="str">
        <f t="shared" si="80"/>
        <v>2-0000</v>
      </c>
      <c r="P149" s="58" t="str">
        <f t="shared" si="81"/>
        <v>2-1000</v>
      </c>
      <c r="Q149" s="58" t="str">
        <f t="shared" si="82"/>
        <v>2-1100</v>
      </c>
      <c r="R149" s="58" t="str">
        <f t="shared" si="83"/>
        <v>2-1108</v>
      </c>
      <c r="S149" s="58" t="str">
        <f t="shared" si="84"/>
        <v>2-1107.01</v>
      </c>
      <c r="T149" s="58" t="str">
        <f t="shared" si="85"/>
        <v xml:space="preserve"> </v>
      </c>
      <c r="V149" s="72">
        <f t="shared" si="86"/>
        <v>65000000000143</v>
      </c>
      <c r="W149" s="60">
        <f t="shared" si="87"/>
        <v>65000000000111</v>
      </c>
      <c r="X149" s="60">
        <f t="shared" si="88"/>
        <v>65000000000112</v>
      </c>
      <c r="Y149" s="60">
        <f t="shared" si="89"/>
        <v>65000000000128</v>
      </c>
      <c r="Z149" s="60">
        <f t="shared" si="90"/>
        <v>65000000000143</v>
      </c>
      <c r="AA149" s="60">
        <f t="shared" si="73"/>
        <v>65000000000142</v>
      </c>
      <c r="AB149" s="60">
        <f t="shared" si="91"/>
        <v>65000000000000</v>
      </c>
      <c r="AD149" s="60">
        <f t="shared" si="94"/>
        <v>2</v>
      </c>
      <c r="AE149" s="60">
        <f t="shared" si="95"/>
        <v>2</v>
      </c>
      <c r="AF149" s="60">
        <f t="shared" si="96"/>
        <v>2</v>
      </c>
      <c r="AG149" s="60">
        <f t="shared" si="97"/>
        <v>9</v>
      </c>
      <c r="AH149" s="60">
        <f t="shared" si="98"/>
        <v>1</v>
      </c>
      <c r="AI149" s="60">
        <f t="shared" si="99"/>
        <v>1</v>
      </c>
      <c r="AK149" s="68" t="str">
        <f t="shared" si="74"/>
        <v>L4</v>
      </c>
      <c r="AM149" s="64" t="s">
        <v>1755</v>
      </c>
      <c r="AN149" s="64">
        <f t="shared" si="75"/>
        <v>65000000000111</v>
      </c>
      <c r="AO149" s="64">
        <f t="shared" si="76"/>
        <v>65000000000112</v>
      </c>
      <c r="AP149" s="64">
        <f t="shared" si="77"/>
        <v>65000000000128</v>
      </c>
      <c r="AQ149" s="64">
        <f t="shared" si="78"/>
        <v>65000000000141</v>
      </c>
      <c r="AS149" s="64">
        <f t="shared" si="79"/>
        <v>65000000000128</v>
      </c>
      <c r="AU149" s="59" t="str">
        <f t="shared" si="100"/>
        <v>PERFORM * FROM "SchData-OLTP-Accounting"."Func_TblChartOfAccount_SET"(varSystemLoginSession, null, null, null, varInstitutionBranchID, 62000000000001::bigint,'2-1108', 'Provision for Tax Current Year', 62000000000001::bigint, '2016-01-01 00:00:00'::timestamp, null::timestamp, 65000000000128::bigint, 66000000000001::bigint);</v>
      </c>
      <c r="AV149" s="65">
        <f t="shared" si="101"/>
        <v>65000000000143</v>
      </c>
      <c r="AW149" s="65">
        <f t="shared" si="102"/>
        <v>65000000000128</v>
      </c>
      <c r="AY149" s="65">
        <f t="shared" si="92"/>
        <v>65000000000128</v>
      </c>
      <c r="BA149" s="78">
        <f t="shared" si="103"/>
        <v>65000000000143</v>
      </c>
      <c r="BB149" s="81" t="str">
        <f t="shared" si="93"/>
        <v>PERFORM * FROM "SchData-OLTP-Accounting"."Func_TblChartOfAccount_SET"(varSystemLoginSession, null, null, null, null, null, varInstitutionBranchID, 62000000000001::bigint,'2-1108', 'Provision for Tax Current Year', 62000000000001::bigint, '2016-01-01 00:00:00'::timestamp, null::timestamp, 65000000000128::bigint, 66000000000001::bigint, FALSE::boolean);</v>
      </c>
    </row>
    <row r="150" spans="2:54" ht="25.5" x14ac:dyDescent="0.2">
      <c r="B150" s="39"/>
      <c r="C150" s="40"/>
      <c r="D150" s="43"/>
      <c r="E150" s="42"/>
      <c r="F150" s="43"/>
      <c r="G150" s="42"/>
      <c r="H150" s="51"/>
      <c r="I150" s="18"/>
      <c r="J150" s="51" t="s">
        <v>1705</v>
      </c>
      <c r="K150" s="18" t="s">
        <v>1261</v>
      </c>
      <c r="L150" s="51"/>
      <c r="M150" s="18"/>
      <c r="O150" s="58" t="str">
        <f t="shared" si="80"/>
        <v>2-0000</v>
      </c>
      <c r="P150" s="58" t="str">
        <f t="shared" si="81"/>
        <v>2-1000</v>
      </c>
      <c r="Q150" s="58" t="str">
        <f t="shared" si="82"/>
        <v>2-1100</v>
      </c>
      <c r="R150" s="58" t="str">
        <f t="shared" si="83"/>
        <v>2-1108</v>
      </c>
      <c r="S150" s="58" t="str">
        <f t="shared" si="84"/>
        <v>2-1108.01</v>
      </c>
      <c r="T150" s="58" t="str">
        <f t="shared" si="85"/>
        <v xml:space="preserve"> </v>
      </c>
      <c r="V150" s="72">
        <f t="shared" si="86"/>
        <v>65000000000144</v>
      </c>
      <c r="W150" s="60">
        <f t="shared" si="87"/>
        <v>65000000000111</v>
      </c>
      <c r="X150" s="60">
        <f t="shared" si="88"/>
        <v>65000000000112</v>
      </c>
      <c r="Y150" s="60">
        <f t="shared" si="89"/>
        <v>65000000000128</v>
      </c>
      <c r="Z150" s="60">
        <f t="shared" si="90"/>
        <v>65000000000143</v>
      </c>
      <c r="AA150" s="60">
        <f t="shared" si="73"/>
        <v>65000000000144</v>
      </c>
      <c r="AB150" s="60">
        <f t="shared" si="91"/>
        <v>65000000000000</v>
      </c>
      <c r="AD150" s="60">
        <f t="shared" si="94"/>
        <v>2</v>
      </c>
      <c r="AE150" s="60">
        <f t="shared" si="95"/>
        <v>2</v>
      </c>
      <c r="AF150" s="60">
        <f t="shared" si="96"/>
        <v>2</v>
      </c>
      <c r="AG150" s="60">
        <f t="shared" si="97"/>
        <v>9</v>
      </c>
      <c r="AH150" s="60">
        <f t="shared" si="98"/>
        <v>2</v>
      </c>
      <c r="AI150" s="60">
        <f t="shared" si="99"/>
        <v>1</v>
      </c>
      <c r="AK150" s="68" t="str">
        <f t="shared" si="74"/>
        <v>L5</v>
      </c>
      <c r="AM150" s="64" t="s">
        <v>1755</v>
      </c>
      <c r="AN150" s="64">
        <f t="shared" si="75"/>
        <v>65000000000111</v>
      </c>
      <c r="AO150" s="64">
        <f t="shared" si="76"/>
        <v>65000000000112</v>
      </c>
      <c r="AP150" s="64">
        <f t="shared" si="77"/>
        <v>65000000000128</v>
      </c>
      <c r="AQ150" s="64">
        <f t="shared" si="78"/>
        <v>65000000000143</v>
      </c>
      <c r="AS150" s="64">
        <f t="shared" si="79"/>
        <v>65000000000143</v>
      </c>
      <c r="AU150" s="59" t="str">
        <f t="shared" si="100"/>
        <v>PERFORM * FROM "SchData-OLTP-Accounting"."Func_TblChartOfAccount_SET"(varSystemLoginSession, null, null, null, varInstitutionBranchID, 62000000000001::bigint,'2-1108.01', 'Provision for Tax Current Year (IDR)', 62000000000001::bigint, '2016-01-01 00:00:00'::timestamp, null::timestamp, 65000000000143::bigint, 66000000000001::bigint);</v>
      </c>
      <c r="AV150" s="65">
        <f t="shared" si="101"/>
        <v>65000000000144</v>
      </c>
      <c r="AW150" s="65">
        <f t="shared" si="102"/>
        <v>65000000000143</v>
      </c>
      <c r="AY150" s="65">
        <f t="shared" si="92"/>
        <v>65000000000143</v>
      </c>
      <c r="BA150" s="78">
        <f t="shared" si="103"/>
        <v>65000000000144</v>
      </c>
      <c r="BB150" s="81" t="str">
        <f t="shared" si="93"/>
        <v>PERFORM * FROM "SchData-OLTP-Accounting"."Func_TblChartOfAccount_SET"(varSystemLoginSession, null, null, null, null, null, varInstitutionBranchID, 62000000000001::bigint,'2-1108.01', 'Provision for Tax Current Year (IDR)', 62000000000001::bigint, '2016-01-01 00:00:00'::timestamp, null::timestamp, 65000000000143::bigint, 66000000000001::bigint, FALSE::boolean);</v>
      </c>
    </row>
    <row r="151" spans="2:54" x14ac:dyDescent="0.2">
      <c r="B151" s="39"/>
      <c r="C151" s="40"/>
      <c r="D151" s="43"/>
      <c r="E151" s="42"/>
      <c r="F151" s="43"/>
      <c r="G151" s="42"/>
      <c r="H151" s="51" t="s">
        <v>1706</v>
      </c>
      <c r="I151" s="18" t="s">
        <v>273</v>
      </c>
      <c r="J151" s="51"/>
      <c r="K151" s="18"/>
      <c r="L151" s="51"/>
      <c r="M151" s="18"/>
      <c r="O151" s="58" t="str">
        <f t="shared" si="80"/>
        <v>2-0000</v>
      </c>
      <c r="P151" s="58" t="str">
        <f t="shared" si="81"/>
        <v>2-1000</v>
      </c>
      <c r="Q151" s="58" t="str">
        <f t="shared" si="82"/>
        <v>2-1100</v>
      </c>
      <c r="R151" s="58" t="str">
        <f t="shared" si="83"/>
        <v>2-1109</v>
      </c>
      <c r="S151" s="58" t="str">
        <f t="shared" si="84"/>
        <v>2-1108.01</v>
      </c>
      <c r="T151" s="58" t="str">
        <f t="shared" si="85"/>
        <v xml:space="preserve"> </v>
      </c>
      <c r="V151" s="72">
        <f t="shared" si="86"/>
        <v>65000000000145</v>
      </c>
      <c r="W151" s="60">
        <f t="shared" si="87"/>
        <v>65000000000111</v>
      </c>
      <c r="X151" s="60">
        <f t="shared" si="88"/>
        <v>65000000000112</v>
      </c>
      <c r="Y151" s="60">
        <f t="shared" si="89"/>
        <v>65000000000128</v>
      </c>
      <c r="Z151" s="60">
        <f t="shared" si="90"/>
        <v>65000000000145</v>
      </c>
      <c r="AA151" s="60">
        <f t="shared" si="73"/>
        <v>65000000000144</v>
      </c>
      <c r="AB151" s="60">
        <f t="shared" si="91"/>
        <v>65000000000000</v>
      </c>
      <c r="AD151" s="60">
        <f t="shared" si="94"/>
        <v>2</v>
      </c>
      <c r="AE151" s="60">
        <f t="shared" si="95"/>
        <v>2</v>
      </c>
      <c r="AF151" s="60">
        <f t="shared" si="96"/>
        <v>2</v>
      </c>
      <c r="AG151" s="60">
        <f t="shared" si="97"/>
        <v>10</v>
      </c>
      <c r="AH151" s="60">
        <f t="shared" si="98"/>
        <v>1</v>
      </c>
      <c r="AI151" s="60">
        <f t="shared" si="99"/>
        <v>1</v>
      </c>
      <c r="AK151" s="68" t="str">
        <f t="shared" si="74"/>
        <v>L4</v>
      </c>
      <c r="AM151" s="64" t="s">
        <v>1755</v>
      </c>
      <c r="AN151" s="64">
        <f t="shared" si="75"/>
        <v>65000000000111</v>
      </c>
      <c r="AO151" s="64">
        <f t="shared" si="76"/>
        <v>65000000000112</v>
      </c>
      <c r="AP151" s="64">
        <f t="shared" si="77"/>
        <v>65000000000128</v>
      </c>
      <c r="AQ151" s="64">
        <f t="shared" si="78"/>
        <v>65000000000143</v>
      </c>
      <c r="AS151" s="64">
        <f t="shared" si="79"/>
        <v>65000000000128</v>
      </c>
      <c r="AU151" s="59" t="str">
        <f t="shared" si="100"/>
        <v>PERFORM * FROM "SchData-OLTP-Accounting"."Func_TblChartOfAccount_SET"(varSystemLoginSession, null, null, null, varInstitutionBranchID, 62000000000001::bigint,'2-1109', 'Defferred Tax Liability', 62000000000001::bigint, '2016-01-01 00:00:00'::timestamp, null::timestamp, 65000000000128::bigint, 66000000000001::bigint);</v>
      </c>
      <c r="AV151" s="65">
        <f t="shared" si="101"/>
        <v>65000000000145</v>
      </c>
      <c r="AW151" s="65">
        <f t="shared" si="102"/>
        <v>65000000000128</v>
      </c>
      <c r="AY151" s="65">
        <f t="shared" si="92"/>
        <v>65000000000128</v>
      </c>
      <c r="BA151" s="78">
        <f t="shared" si="103"/>
        <v>65000000000145</v>
      </c>
      <c r="BB151" s="81" t="str">
        <f t="shared" si="93"/>
        <v>PERFORM * FROM "SchData-OLTP-Accounting"."Func_TblChartOfAccount_SET"(varSystemLoginSession, null, null, null, null, null, varInstitutionBranchID, 62000000000001::bigint,'2-1109', 'Defferred Tax Liability', 62000000000001::bigint, '2016-01-01 00:00:00'::timestamp, null::timestamp, 65000000000128::bigint, 66000000000001::bigint, FALSE::boolean);</v>
      </c>
    </row>
    <row r="152" spans="2:54" x14ac:dyDescent="0.2">
      <c r="B152" s="39"/>
      <c r="C152" s="40"/>
      <c r="D152" s="43"/>
      <c r="E152" s="42"/>
      <c r="F152" s="43"/>
      <c r="G152" s="42"/>
      <c r="H152" s="51"/>
      <c r="I152" s="18"/>
      <c r="J152" s="51" t="s">
        <v>1707</v>
      </c>
      <c r="K152" s="18" t="s">
        <v>1262</v>
      </c>
      <c r="L152" s="51"/>
      <c r="M152" s="18"/>
      <c r="O152" s="58" t="str">
        <f t="shared" si="80"/>
        <v>2-0000</v>
      </c>
      <c r="P152" s="58" t="str">
        <f t="shared" si="81"/>
        <v>2-1000</v>
      </c>
      <c r="Q152" s="58" t="str">
        <f t="shared" si="82"/>
        <v>2-1100</v>
      </c>
      <c r="R152" s="58" t="str">
        <f t="shared" si="83"/>
        <v>2-1109</v>
      </c>
      <c r="S152" s="58" t="str">
        <f t="shared" si="84"/>
        <v>2-1109.01</v>
      </c>
      <c r="T152" s="58" t="str">
        <f t="shared" si="85"/>
        <v xml:space="preserve"> </v>
      </c>
      <c r="V152" s="72">
        <f t="shared" si="86"/>
        <v>65000000000146</v>
      </c>
      <c r="W152" s="60">
        <f t="shared" si="87"/>
        <v>65000000000111</v>
      </c>
      <c r="X152" s="60">
        <f t="shared" si="88"/>
        <v>65000000000112</v>
      </c>
      <c r="Y152" s="60">
        <f t="shared" si="89"/>
        <v>65000000000128</v>
      </c>
      <c r="Z152" s="60">
        <f t="shared" si="90"/>
        <v>65000000000145</v>
      </c>
      <c r="AA152" s="60">
        <f t="shared" si="73"/>
        <v>65000000000146</v>
      </c>
      <c r="AB152" s="60">
        <f t="shared" si="91"/>
        <v>65000000000000</v>
      </c>
      <c r="AD152" s="60">
        <f t="shared" si="94"/>
        <v>2</v>
      </c>
      <c r="AE152" s="60">
        <f t="shared" si="95"/>
        <v>2</v>
      </c>
      <c r="AF152" s="60">
        <f t="shared" si="96"/>
        <v>2</v>
      </c>
      <c r="AG152" s="60">
        <f t="shared" si="97"/>
        <v>10</v>
      </c>
      <c r="AH152" s="60">
        <f t="shared" si="98"/>
        <v>2</v>
      </c>
      <c r="AI152" s="60">
        <f t="shared" si="99"/>
        <v>1</v>
      </c>
      <c r="AK152" s="68" t="str">
        <f t="shared" si="74"/>
        <v>L5</v>
      </c>
      <c r="AM152" s="64" t="s">
        <v>1755</v>
      </c>
      <c r="AN152" s="64">
        <f t="shared" si="75"/>
        <v>65000000000111</v>
      </c>
      <c r="AO152" s="64">
        <f t="shared" si="76"/>
        <v>65000000000112</v>
      </c>
      <c r="AP152" s="64">
        <f t="shared" si="77"/>
        <v>65000000000128</v>
      </c>
      <c r="AQ152" s="64">
        <f t="shared" si="78"/>
        <v>65000000000145</v>
      </c>
      <c r="AS152" s="64">
        <f t="shared" si="79"/>
        <v>65000000000145</v>
      </c>
      <c r="AU152" s="59" t="str">
        <f t="shared" si="100"/>
        <v>PERFORM * FROM "SchData-OLTP-Accounting"."Func_TblChartOfAccount_SET"(varSystemLoginSession, null, null, null, varInstitutionBranchID, 62000000000001::bigint,'2-1109.01', 'Defferred Tax Liability (IDR)', 62000000000001::bigint, '2016-01-01 00:00:00'::timestamp, null::timestamp, 65000000000145::bigint, 66000000000001::bigint);</v>
      </c>
      <c r="AV152" s="65">
        <f t="shared" si="101"/>
        <v>65000000000146</v>
      </c>
      <c r="AW152" s="65">
        <f t="shared" si="102"/>
        <v>65000000000145</v>
      </c>
      <c r="AY152" s="65">
        <f t="shared" si="92"/>
        <v>65000000000145</v>
      </c>
      <c r="BA152" s="78">
        <f t="shared" si="103"/>
        <v>65000000000146</v>
      </c>
      <c r="BB152" s="81" t="str">
        <f t="shared" si="93"/>
        <v>PERFORM * FROM "SchData-OLTP-Accounting"."Func_TblChartOfAccount_SET"(varSystemLoginSession, null, null, null, null, null, varInstitutionBranchID, 62000000000001::bigint,'2-1109.01', 'Defferred Tax Liability (IDR)', 62000000000001::bigint, '2016-01-01 00:00:00'::timestamp, null::timestamp, 65000000000145::bigint, 66000000000001::bigint, FALSE::boolean);</v>
      </c>
    </row>
    <row r="153" spans="2:54" ht="25.5" x14ac:dyDescent="0.2">
      <c r="B153" s="39"/>
      <c r="C153" s="40"/>
      <c r="D153" s="43"/>
      <c r="E153" s="42"/>
      <c r="F153" s="43" t="s">
        <v>1165</v>
      </c>
      <c r="G153" s="42" t="s">
        <v>887</v>
      </c>
      <c r="H153" s="51"/>
      <c r="I153" s="18"/>
      <c r="J153" s="51"/>
      <c r="K153" s="42"/>
      <c r="L153" s="51"/>
      <c r="M153" s="18"/>
      <c r="O153" s="58" t="str">
        <f t="shared" si="80"/>
        <v>2-0000</v>
      </c>
      <c r="P153" s="58" t="str">
        <f t="shared" si="81"/>
        <v>2-1000</v>
      </c>
      <c r="Q153" s="58" t="str">
        <f t="shared" si="82"/>
        <v>2-1200</v>
      </c>
      <c r="R153" s="58" t="str">
        <f t="shared" si="83"/>
        <v>2-1109</v>
      </c>
      <c r="S153" s="58" t="str">
        <f t="shared" si="84"/>
        <v>2-1109.01</v>
      </c>
      <c r="T153" s="58" t="str">
        <f t="shared" si="85"/>
        <v xml:space="preserve"> </v>
      </c>
      <c r="V153" s="72">
        <f t="shared" si="86"/>
        <v>65000000000147</v>
      </c>
      <c r="W153" s="60">
        <f t="shared" si="87"/>
        <v>65000000000111</v>
      </c>
      <c r="X153" s="60">
        <f t="shared" si="88"/>
        <v>65000000000112</v>
      </c>
      <c r="Y153" s="60">
        <f t="shared" si="89"/>
        <v>65000000000147</v>
      </c>
      <c r="Z153" s="60">
        <f t="shared" si="90"/>
        <v>65000000000145</v>
      </c>
      <c r="AA153" s="60">
        <f t="shared" si="73"/>
        <v>65000000000146</v>
      </c>
      <c r="AB153" s="60">
        <f t="shared" si="91"/>
        <v>65000000000000</v>
      </c>
      <c r="AD153" s="60">
        <f t="shared" si="94"/>
        <v>2</v>
      </c>
      <c r="AE153" s="60">
        <f t="shared" si="95"/>
        <v>2</v>
      </c>
      <c r="AF153" s="60">
        <f t="shared" si="96"/>
        <v>3</v>
      </c>
      <c r="AG153" s="60">
        <f t="shared" si="97"/>
        <v>1</v>
      </c>
      <c r="AH153" s="60">
        <f t="shared" si="98"/>
        <v>1</v>
      </c>
      <c r="AI153" s="60">
        <f t="shared" si="99"/>
        <v>1</v>
      </c>
      <c r="AK153" s="68" t="str">
        <f t="shared" si="74"/>
        <v>L3</v>
      </c>
      <c r="AM153" s="64" t="s">
        <v>1755</v>
      </c>
      <c r="AN153" s="64">
        <f t="shared" si="75"/>
        <v>65000000000111</v>
      </c>
      <c r="AO153" s="64">
        <f t="shared" si="76"/>
        <v>65000000000112</v>
      </c>
      <c r="AP153" s="64">
        <f t="shared" si="77"/>
        <v>65000000000128</v>
      </c>
      <c r="AQ153" s="64">
        <f t="shared" si="78"/>
        <v>65000000000145</v>
      </c>
      <c r="AS153" s="64">
        <f t="shared" si="79"/>
        <v>65000000000112</v>
      </c>
      <c r="AU153" s="59" t="str">
        <f t="shared" si="100"/>
        <v>PERFORM * FROM "SchData-OLTP-Accounting"."Func_TblChartOfAccount_SET"(varSystemLoginSession, null, null, null, varInstitutionBranchID, 62000000000001::bigint,'2-1200', 'Hutang Antar Perusahaan', 62000000000001::bigint, '2016-01-01 00:00:00'::timestamp, null::timestamp, 65000000000112::bigint, 66000000000001::bigint);</v>
      </c>
      <c r="AV153" s="65">
        <f t="shared" si="101"/>
        <v>65000000000147</v>
      </c>
      <c r="AW153" s="65">
        <f t="shared" si="102"/>
        <v>65000000000112</v>
      </c>
      <c r="AY153" s="65">
        <f t="shared" si="92"/>
        <v>65000000000112</v>
      </c>
      <c r="BA153" s="78">
        <f t="shared" si="103"/>
        <v>65000000000147</v>
      </c>
      <c r="BB153" s="81" t="str">
        <f t="shared" si="93"/>
        <v>PERFORM * FROM "SchData-OLTP-Accounting"."Func_TblChartOfAccount_SET"(varSystemLoginSession, null, null, null, null, null, varInstitutionBranchID, 62000000000001::bigint,'2-1200', 'Hutang Antar Perusahaan', 62000000000001::bigint, '2016-01-01 00:00:00'::timestamp, null::timestamp, 65000000000112::bigint, 66000000000001::bigint, FALSE::boolean);</v>
      </c>
    </row>
    <row r="154" spans="2:54" x14ac:dyDescent="0.2">
      <c r="B154" s="39"/>
      <c r="C154" s="40"/>
      <c r="D154" s="43"/>
      <c r="E154" s="42"/>
      <c r="F154" s="43"/>
      <c r="G154" s="42"/>
      <c r="H154" s="51"/>
      <c r="I154" s="42"/>
      <c r="J154" s="51" t="s">
        <v>1751</v>
      </c>
      <c r="K154" s="42" t="s">
        <v>1738</v>
      </c>
      <c r="L154" s="51"/>
      <c r="M154" s="33" t="s">
        <v>1736</v>
      </c>
      <c r="O154" s="58" t="str">
        <f t="shared" si="80"/>
        <v>2-0000</v>
      </c>
      <c r="P154" s="58" t="str">
        <f t="shared" si="81"/>
        <v>2-1000</v>
      </c>
      <c r="Q154" s="58" t="str">
        <f t="shared" si="82"/>
        <v>2-1200</v>
      </c>
      <c r="R154" s="58" t="str">
        <f t="shared" si="83"/>
        <v>2-1109</v>
      </c>
      <c r="S154" s="58" t="str">
        <f t="shared" si="84"/>
        <v>2-1200.01</v>
      </c>
      <c r="T154" s="58" t="str">
        <f t="shared" si="85"/>
        <v xml:space="preserve"> </v>
      </c>
      <c r="V154" s="72">
        <f t="shared" si="86"/>
        <v>65000000000148</v>
      </c>
      <c r="W154" s="60">
        <f t="shared" si="87"/>
        <v>65000000000111</v>
      </c>
      <c r="X154" s="60">
        <f t="shared" si="88"/>
        <v>65000000000112</v>
      </c>
      <c r="Y154" s="60">
        <f t="shared" si="89"/>
        <v>65000000000147</v>
      </c>
      <c r="Z154" s="60">
        <f t="shared" si="90"/>
        <v>65000000000145</v>
      </c>
      <c r="AA154" s="60">
        <f t="shared" si="73"/>
        <v>65000000000148</v>
      </c>
      <c r="AB154" s="60">
        <f t="shared" si="91"/>
        <v>65000000000000</v>
      </c>
      <c r="AD154" s="60">
        <f t="shared" si="94"/>
        <v>2</v>
      </c>
      <c r="AE154" s="60">
        <f t="shared" si="95"/>
        <v>2</v>
      </c>
      <c r="AF154" s="60">
        <f t="shared" si="96"/>
        <v>3</v>
      </c>
      <c r="AG154" s="60">
        <f t="shared" si="97"/>
        <v>1</v>
      </c>
      <c r="AH154" s="60">
        <f t="shared" si="98"/>
        <v>2</v>
      </c>
      <c r="AI154" s="60">
        <f t="shared" si="99"/>
        <v>1</v>
      </c>
      <c r="AK154" s="68" t="str">
        <f t="shared" si="74"/>
        <v>L5</v>
      </c>
      <c r="AM154" s="64" t="s">
        <v>1755</v>
      </c>
      <c r="AN154" s="64">
        <f t="shared" si="75"/>
        <v>65000000000111</v>
      </c>
      <c r="AO154" s="64">
        <f t="shared" si="76"/>
        <v>65000000000112</v>
      </c>
      <c r="AP154" s="64">
        <f t="shared" si="77"/>
        <v>65000000000147</v>
      </c>
      <c r="AQ154" s="64">
        <f t="shared" si="78"/>
        <v>65000000000147</v>
      </c>
      <c r="AS154" s="64">
        <f t="shared" si="79"/>
        <v>65000000000147</v>
      </c>
      <c r="AU154" s="59" t="str">
        <f t="shared" si="100"/>
        <v>PERFORM * FROM "SchData-OLTP-Accounting"."Func_TblChartOfAccount_SET"(varSystemLoginSession, null, null, null, varInstitutionBranchID, 62000000000001::bigint,'2-1200.01', 'Hutang Antar Perusahaan (IDR)', 62000000000001::bigint, '2016-01-01 00:00:00'::timestamp, null::timestamp, 65000000000147::bigint, 66000000000001::bigint);</v>
      </c>
      <c r="AV154" s="65">
        <f t="shared" si="101"/>
        <v>65000000000148</v>
      </c>
      <c r="AW154" s="65">
        <f t="shared" si="102"/>
        <v>65000000000147</v>
      </c>
      <c r="AY154" s="65">
        <f t="shared" si="92"/>
        <v>65000000000147</v>
      </c>
      <c r="BA154" s="78">
        <f t="shared" si="103"/>
        <v>65000000000148</v>
      </c>
      <c r="BB154" s="81" t="str">
        <f t="shared" si="93"/>
        <v>PERFORM * FROM "SchData-OLTP-Accounting"."Func_TblChartOfAccount_SET"(varSystemLoginSession, null, null, null, null, null, varInstitutionBranchID, 62000000000001::bigint,'2-1200.01', 'Hutang Antar Perusahaan (IDR)', 62000000000001::bigint, '2016-01-01 00:00:00'::timestamp, null::timestamp, 65000000000147::bigint, 66000000000001::bigint, FALSE::boolean);</v>
      </c>
    </row>
    <row r="155" spans="2:54" x14ac:dyDescent="0.2">
      <c r="B155" s="39"/>
      <c r="C155" s="40"/>
      <c r="D155" s="43" t="s">
        <v>1087</v>
      </c>
      <c r="E155" s="42" t="s">
        <v>854</v>
      </c>
      <c r="F155" s="43"/>
      <c r="G155" s="42"/>
      <c r="H155" s="51"/>
      <c r="I155" s="18"/>
      <c r="J155" s="51"/>
      <c r="K155" s="18"/>
      <c r="L155" s="51"/>
      <c r="M155" s="18"/>
      <c r="O155" s="58" t="str">
        <f t="shared" si="80"/>
        <v>2-0000</v>
      </c>
      <c r="P155" s="58" t="str">
        <f t="shared" si="81"/>
        <v>2-2000</v>
      </c>
      <c r="Q155" s="58" t="str">
        <f t="shared" si="82"/>
        <v>2-1200</v>
      </c>
      <c r="R155" s="58" t="str">
        <f t="shared" si="83"/>
        <v>2-1109</v>
      </c>
      <c r="S155" s="58" t="str">
        <f t="shared" si="84"/>
        <v>2-1200.01</v>
      </c>
      <c r="T155" s="58" t="str">
        <f t="shared" si="85"/>
        <v xml:space="preserve"> </v>
      </c>
      <c r="V155" s="72">
        <f t="shared" si="86"/>
        <v>65000000000149</v>
      </c>
      <c r="W155" s="60">
        <f t="shared" si="87"/>
        <v>65000000000111</v>
      </c>
      <c r="X155" s="60">
        <f t="shared" si="88"/>
        <v>65000000000149</v>
      </c>
      <c r="Y155" s="60">
        <f t="shared" si="89"/>
        <v>65000000000147</v>
      </c>
      <c r="Z155" s="60">
        <f t="shared" si="90"/>
        <v>65000000000145</v>
      </c>
      <c r="AA155" s="60">
        <f t="shared" si="73"/>
        <v>65000000000148</v>
      </c>
      <c r="AB155" s="60">
        <f t="shared" si="91"/>
        <v>65000000000000</v>
      </c>
      <c r="AD155" s="60">
        <f t="shared" si="94"/>
        <v>2</v>
      </c>
      <c r="AE155" s="60">
        <f t="shared" si="95"/>
        <v>3</v>
      </c>
      <c r="AF155" s="60">
        <f t="shared" si="96"/>
        <v>1</v>
      </c>
      <c r="AG155" s="60">
        <f t="shared" si="97"/>
        <v>1</v>
      </c>
      <c r="AH155" s="60">
        <f t="shared" si="98"/>
        <v>2</v>
      </c>
      <c r="AI155" s="60">
        <f t="shared" si="99"/>
        <v>1</v>
      </c>
      <c r="AK155" s="68" t="str">
        <f t="shared" si="74"/>
        <v>L2</v>
      </c>
      <c r="AM155" s="64" t="s">
        <v>1755</v>
      </c>
      <c r="AN155" s="64">
        <f t="shared" si="75"/>
        <v>65000000000111</v>
      </c>
      <c r="AO155" s="64">
        <f t="shared" si="76"/>
        <v>65000000000112</v>
      </c>
      <c r="AP155" s="64">
        <f t="shared" si="77"/>
        <v>65000000000147</v>
      </c>
      <c r="AQ155" s="64">
        <f t="shared" si="78"/>
        <v>65000000000147</v>
      </c>
      <c r="AS155" s="64">
        <f t="shared" si="79"/>
        <v>65000000000111</v>
      </c>
      <c r="AU155" s="59" t="str">
        <f t="shared" si="100"/>
        <v>PERFORM * FROM "SchData-OLTP-Accounting"."Func_TblChartOfAccount_SET"(varSystemLoginSession, null, null, null, varInstitutionBranchID, 62000000000001::bigint,'2-2000', 'Hutang Jangka Panjang', 62000000000001::bigint, '2016-01-01 00:00:00'::timestamp, null::timestamp, 65000000000111::bigint, 66000000000001::bigint);</v>
      </c>
      <c r="AV155" s="65">
        <f t="shared" si="101"/>
        <v>65000000000149</v>
      </c>
      <c r="AW155" s="65">
        <f t="shared" si="102"/>
        <v>65000000000111</v>
      </c>
      <c r="AY155" s="65">
        <f t="shared" si="92"/>
        <v>65000000000111</v>
      </c>
      <c r="BA155" s="78">
        <f t="shared" si="103"/>
        <v>65000000000149</v>
      </c>
      <c r="BB155" s="81" t="str">
        <f t="shared" si="93"/>
        <v>PERFORM * FROM "SchData-OLTP-Accounting"."Func_TblChartOfAccount_SET"(varSystemLoginSession, null, null, null, null, null, varInstitutionBranchID, 62000000000001::bigint,'2-2000', 'Hutang Jangka Panjang', 62000000000001::bigint, '2016-01-01 00:00:00'::timestamp, null::timestamp, 65000000000111::bigint, 66000000000001::bigint, FALSE::boolean);</v>
      </c>
    </row>
    <row r="156" spans="2:54" x14ac:dyDescent="0.2">
      <c r="B156" s="39"/>
      <c r="C156" s="40"/>
      <c r="D156" s="43"/>
      <c r="E156" s="42"/>
      <c r="F156" s="43"/>
      <c r="G156" s="42"/>
      <c r="H156" s="51" t="s">
        <v>881</v>
      </c>
      <c r="I156" s="42" t="s">
        <v>299</v>
      </c>
      <c r="J156" s="51"/>
      <c r="K156" s="18"/>
      <c r="L156" s="51"/>
      <c r="M156" s="18"/>
      <c r="O156" s="58" t="str">
        <f t="shared" si="80"/>
        <v>2-0000</v>
      </c>
      <c r="P156" s="58" t="str">
        <f t="shared" si="81"/>
        <v>2-2000</v>
      </c>
      <c r="Q156" s="58" t="str">
        <f t="shared" si="82"/>
        <v>2-1200</v>
      </c>
      <c r="R156" s="58" t="str">
        <f t="shared" si="83"/>
        <v>2-2001</v>
      </c>
      <c r="S156" s="58" t="str">
        <f t="shared" si="84"/>
        <v>2-1200.01</v>
      </c>
      <c r="T156" s="58" t="str">
        <f t="shared" si="85"/>
        <v xml:space="preserve"> </v>
      </c>
      <c r="V156" s="72">
        <f t="shared" si="86"/>
        <v>65000000000150</v>
      </c>
      <c r="W156" s="60">
        <f t="shared" si="87"/>
        <v>65000000000111</v>
      </c>
      <c r="X156" s="60">
        <f t="shared" si="88"/>
        <v>65000000000149</v>
      </c>
      <c r="Y156" s="60">
        <f t="shared" si="89"/>
        <v>65000000000147</v>
      </c>
      <c r="Z156" s="60">
        <f t="shared" si="90"/>
        <v>65000000000150</v>
      </c>
      <c r="AA156" s="60">
        <f t="shared" si="73"/>
        <v>65000000000148</v>
      </c>
      <c r="AB156" s="60">
        <f t="shared" si="91"/>
        <v>65000000000000</v>
      </c>
      <c r="AD156" s="60">
        <f t="shared" si="94"/>
        <v>2</v>
      </c>
      <c r="AE156" s="60">
        <f t="shared" si="95"/>
        <v>3</v>
      </c>
      <c r="AF156" s="60">
        <f t="shared" si="96"/>
        <v>1</v>
      </c>
      <c r="AG156" s="60">
        <f t="shared" si="97"/>
        <v>2</v>
      </c>
      <c r="AH156" s="60">
        <f t="shared" si="98"/>
        <v>1</v>
      </c>
      <c r="AI156" s="60">
        <f t="shared" si="99"/>
        <v>1</v>
      </c>
      <c r="AK156" s="68" t="str">
        <f t="shared" si="74"/>
        <v>L4</v>
      </c>
      <c r="AM156" s="64" t="s">
        <v>1755</v>
      </c>
      <c r="AN156" s="64">
        <f t="shared" si="75"/>
        <v>65000000000111</v>
      </c>
      <c r="AO156" s="64">
        <f t="shared" si="76"/>
        <v>65000000000149</v>
      </c>
      <c r="AP156" s="64">
        <f t="shared" si="77"/>
        <v>65000000000149</v>
      </c>
      <c r="AQ156" s="64">
        <f t="shared" si="78"/>
        <v>65000000000149</v>
      </c>
      <c r="AS156" s="64">
        <f t="shared" si="79"/>
        <v>65000000000149</v>
      </c>
      <c r="AU156" s="59" t="str">
        <f t="shared" si="100"/>
        <v>PERFORM * FROM "SchData-OLTP-Accounting"."Func_TblChartOfAccount_SET"(varSystemLoginSession, null, null, null, varInstitutionBranchID, 62000000000001::bigint,'2-2001', 'Bank Loan', 62000000000001::bigint, '2016-01-01 00:00:00'::timestamp, null::timestamp, 65000000000149::bigint, 66000000000001::bigint);</v>
      </c>
      <c r="AV156" s="65">
        <f t="shared" si="101"/>
        <v>65000000000150</v>
      </c>
      <c r="AW156" s="65">
        <f t="shared" si="102"/>
        <v>65000000000149</v>
      </c>
      <c r="AY156" s="65">
        <f t="shared" si="92"/>
        <v>65000000000149</v>
      </c>
      <c r="BA156" s="78">
        <f t="shared" si="103"/>
        <v>65000000000150</v>
      </c>
      <c r="BB156" s="81" t="str">
        <f t="shared" si="93"/>
        <v>PERFORM * FROM "SchData-OLTP-Accounting"."Func_TblChartOfAccount_SET"(varSystemLoginSession, null, null, null, null, null, varInstitutionBranchID, 62000000000001::bigint,'2-2001', 'Bank Loan', 62000000000001::bigint, '2016-01-01 00:00:00'::timestamp, null::timestamp, 65000000000149::bigint, 66000000000001::bigint, FALSE::boolean);</v>
      </c>
    </row>
    <row r="157" spans="2:54" x14ac:dyDescent="0.2">
      <c r="B157" s="39"/>
      <c r="C157" s="40"/>
      <c r="D157" s="43"/>
      <c r="E157" s="42"/>
      <c r="F157" s="43"/>
      <c r="G157" s="42"/>
      <c r="H157" s="51"/>
      <c r="I157" s="42"/>
      <c r="J157" s="51" t="s">
        <v>1685</v>
      </c>
      <c r="K157" s="42" t="s">
        <v>1267</v>
      </c>
      <c r="L157" s="51"/>
      <c r="M157" s="18"/>
      <c r="O157" s="58" t="str">
        <f t="shared" si="80"/>
        <v>2-0000</v>
      </c>
      <c r="P157" s="58" t="str">
        <f t="shared" si="81"/>
        <v>2-2000</v>
      </c>
      <c r="Q157" s="58" t="str">
        <f t="shared" si="82"/>
        <v>2-1200</v>
      </c>
      <c r="R157" s="58" t="str">
        <f t="shared" si="83"/>
        <v>2-2001</v>
      </c>
      <c r="S157" s="58" t="str">
        <f t="shared" si="84"/>
        <v>2-2001.01</v>
      </c>
      <c r="T157" s="58" t="str">
        <f t="shared" si="85"/>
        <v xml:space="preserve"> </v>
      </c>
      <c r="V157" s="72">
        <f t="shared" si="86"/>
        <v>65000000000151</v>
      </c>
      <c r="W157" s="60">
        <f t="shared" si="87"/>
        <v>65000000000111</v>
      </c>
      <c r="X157" s="60">
        <f t="shared" si="88"/>
        <v>65000000000149</v>
      </c>
      <c r="Y157" s="60">
        <f t="shared" si="89"/>
        <v>65000000000147</v>
      </c>
      <c r="Z157" s="60">
        <f t="shared" si="90"/>
        <v>65000000000150</v>
      </c>
      <c r="AA157" s="60">
        <f t="shared" si="73"/>
        <v>65000000000151</v>
      </c>
      <c r="AB157" s="60">
        <f t="shared" si="91"/>
        <v>65000000000000</v>
      </c>
      <c r="AD157" s="60">
        <f t="shared" si="94"/>
        <v>2</v>
      </c>
      <c r="AE157" s="60">
        <f t="shared" si="95"/>
        <v>3</v>
      </c>
      <c r="AF157" s="60">
        <f t="shared" si="96"/>
        <v>1</v>
      </c>
      <c r="AG157" s="60">
        <f t="shared" si="97"/>
        <v>2</v>
      </c>
      <c r="AH157" s="60">
        <f t="shared" si="98"/>
        <v>2</v>
      </c>
      <c r="AI157" s="60">
        <f t="shared" si="99"/>
        <v>1</v>
      </c>
      <c r="AK157" s="68" t="str">
        <f t="shared" si="74"/>
        <v>L5</v>
      </c>
      <c r="AM157" s="64" t="s">
        <v>1755</v>
      </c>
      <c r="AN157" s="64">
        <f t="shared" si="75"/>
        <v>65000000000111</v>
      </c>
      <c r="AO157" s="64">
        <f t="shared" si="76"/>
        <v>65000000000149</v>
      </c>
      <c r="AP157" s="64">
        <f t="shared" si="77"/>
        <v>65000000000149</v>
      </c>
      <c r="AQ157" s="64">
        <f t="shared" si="78"/>
        <v>65000000000150</v>
      </c>
      <c r="AS157" s="64">
        <f t="shared" si="79"/>
        <v>65000000000150</v>
      </c>
      <c r="AU157" s="59" t="str">
        <f t="shared" si="100"/>
        <v>PERFORM * FROM "SchData-OLTP-Accounting"."Func_TblChartOfAccount_SET"(varSystemLoginSession, null, null, null, varInstitutionBranchID, 62000000000001::bigint,'2-2001.01', 'Bank Loan (IDR)', 62000000000001::bigint, '2016-01-01 00:00:00'::timestamp, null::timestamp, 65000000000150::bigint, 66000000000001::bigint);</v>
      </c>
      <c r="AV157" s="65">
        <f t="shared" si="101"/>
        <v>65000000000151</v>
      </c>
      <c r="AW157" s="65">
        <f t="shared" si="102"/>
        <v>65000000000150</v>
      </c>
      <c r="AY157" s="65">
        <f t="shared" si="92"/>
        <v>65000000000150</v>
      </c>
      <c r="BA157" s="78">
        <f t="shared" si="103"/>
        <v>65000000000151</v>
      </c>
      <c r="BB157" s="81" t="str">
        <f t="shared" si="93"/>
        <v>PERFORM * FROM "SchData-OLTP-Accounting"."Func_TblChartOfAccount_SET"(varSystemLoginSession, null, null, null, null, null, varInstitutionBranchID, 62000000000001::bigint,'2-2001.01', 'Bank Loan (IDR)', 62000000000001::bigint, '2016-01-01 00:00:00'::timestamp, null::timestamp, 65000000000150::bigint, 66000000000001::bigint, FALSE::boolean);</v>
      </c>
    </row>
    <row r="158" spans="2:54" x14ac:dyDescent="0.2">
      <c r="B158" s="39"/>
      <c r="C158" s="40"/>
      <c r="D158" s="43"/>
      <c r="E158" s="42"/>
      <c r="F158" s="43"/>
      <c r="G158" s="42"/>
      <c r="H158" s="51" t="s">
        <v>885</v>
      </c>
      <c r="I158" s="42" t="s">
        <v>884</v>
      </c>
      <c r="J158" s="51"/>
      <c r="K158" s="18"/>
      <c r="L158" s="51"/>
      <c r="M158" s="18"/>
      <c r="O158" s="58" t="str">
        <f t="shared" si="80"/>
        <v>2-0000</v>
      </c>
      <c r="P158" s="58" t="str">
        <f t="shared" si="81"/>
        <v>2-2000</v>
      </c>
      <c r="Q158" s="58" t="str">
        <f t="shared" si="82"/>
        <v>2-1200</v>
      </c>
      <c r="R158" s="58" t="str">
        <f t="shared" si="83"/>
        <v>2-2002</v>
      </c>
      <c r="S158" s="58" t="str">
        <f t="shared" si="84"/>
        <v>2-2001.01</v>
      </c>
      <c r="T158" s="58" t="str">
        <f t="shared" si="85"/>
        <v xml:space="preserve"> </v>
      </c>
      <c r="V158" s="72">
        <f t="shared" si="86"/>
        <v>65000000000152</v>
      </c>
      <c r="W158" s="60">
        <f t="shared" si="87"/>
        <v>65000000000111</v>
      </c>
      <c r="X158" s="60">
        <f t="shared" si="88"/>
        <v>65000000000149</v>
      </c>
      <c r="Y158" s="60">
        <f t="shared" si="89"/>
        <v>65000000000147</v>
      </c>
      <c r="Z158" s="60">
        <f t="shared" si="90"/>
        <v>65000000000152</v>
      </c>
      <c r="AA158" s="60">
        <f t="shared" si="73"/>
        <v>65000000000151</v>
      </c>
      <c r="AB158" s="60">
        <f t="shared" si="91"/>
        <v>65000000000000</v>
      </c>
      <c r="AD158" s="60">
        <f t="shared" si="94"/>
        <v>2</v>
      </c>
      <c r="AE158" s="60">
        <f t="shared" si="95"/>
        <v>3</v>
      </c>
      <c r="AF158" s="60">
        <f t="shared" si="96"/>
        <v>1</v>
      </c>
      <c r="AG158" s="60">
        <f t="shared" si="97"/>
        <v>3</v>
      </c>
      <c r="AH158" s="60">
        <f t="shared" si="98"/>
        <v>1</v>
      </c>
      <c r="AI158" s="60">
        <f t="shared" si="99"/>
        <v>1</v>
      </c>
      <c r="AK158" s="68" t="str">
        <f t="shared" si="74"/>
        <v>L4</v>
      </c>
      <c r="AM158" s="64" t="s">
        <v>1755</v>
      </c>
      <c r="AN158" s="64">
        <f t="shared" si="75"/>
        <v>65000000000111</v>
      </c>
      <c r="AO158" s="64">
        <f t="shared" si="76"/>
        <v>65000000000149</v>
      </c>
      <c r="AP158" s="64">
        <f t="shared" si="77"/>
        <v>65000000000149</v>
      </c>
      <c r="AQ158" s="64">
        <f t="shared" si="78"/>
        <v>65000000000150</v>
      </c>
      <c r="AS158" s="64">
        <f t="shared" si="79"/>
        <v>65000000000149</v>
      </c>
      <c r="AU158" s="59" t="str">
        <f t="shared" si="100"/>
        <v>PERFORM * FROM "SchData-OLTP-Accounting"."Func_TblChartOfAccount_SET"(varSystemLoginSession, null, null, null, varInstitutionBranchID, 62000000000001::bigint,'2-2002', 'Hutang Pemegang Saham', 62000000000001::bigint, '2016-01-01 00:00:00'::timestamp, null::timestamp, 65000000000149::bigint, 66000000000001::bigint);</v>
      </c>
      <c r="AV158" s="65">
        <f t="shared" si="101"/>
        <v>65000000000152</v>
      </c>
      <c r="AW158" s="65">
        <f t="shared" si="102"/>
        <v>65000000000149</v>
      </c>
      <c r="AY158" s="65">
        <f t="shared" si="92"/>
        <v>65000000000147</v>
      </c>
      <c r="BA158" s="78">
        <f t="shared" si="103"/>
        <v>65000000000152</v>
      </c>
      <c r="BB158" s="81" t="str">
        <f t="shared" si="93"/>
        <v>PERFORM * FROM "SchData-OLTP-Accounting"."Func_TblChartOfAccount_SET"(varSystemLoginSession, null, null, null, null, null, varInstitutionBranchID, 62000000000001::bigint,'2-2002', 'Hutang Pemegang Saham', 62000000000001::bigint, '2016-01-01 00:00:00'::timestamp, null::timestamp, 65000000000149::bigint, 66000000000001::bigint, FALSE::boolean);</v>
      </c>
    </row>
    <row r="159" spans="2:54" x14ac:dyDescent="0.2">
      <c r="B159" s="39"/>
      <c r="C159" s="40"/>
      <c r="D159" s="43"/>
      <c r="E159" s="42"/>
      <c r="F159" s="43"/>
      <c r="G159" s="42"/>
      <c r="H159" s="51"/>
      <c r="I159" s="18"/>
      <c r="J159" s="51" t="s">
        <v>1686</v>
      </c>
      <c r="K159" s="42" t="s">
        <v>1268</v>
      </c>
      <c r="L159" s="51"/>
      <c r="M159" s="18"/>
      <c r="O159" s="58" t="str">
        <f t="shared" si="80"/>
        <v>2-0000</v>
      </c>
      <c r="P159" s="58" t="str">
        <f t="shared" si="81"/>
        <v>2-2000</v>
      </c>
      <c r="Q159" s="58" t="str">
        <f t="shared" si="82"/>
        <v>2-1200</v>
      </c>
      <c r="R159" s="58" t="str">
        <f t="shared" si="83"/>
        <v>2-2002</v>
      </c>
      <c r="S159" s="58" t="str">
        <f t="shared" si="84"/>
        <v>2-2002.01</v>
      </c>
      <c r="T159" s="58" t="str">
        <f t="shared" si="85"/>
        <v xml:space="preserve"> </v>
      </c>
      <c r="V159" s="72">
        <f t="shared" si="86"/>
        <v>65000000000153</v>
      </c>
      <c r="W159" s="60">
        <f t="shared" si="87"/>
        <v>65000000000111</v>
      </c>
      <c r="X159" s="60">
        <f t="shared" si="88"/>
        <v>65000000000149</v>
      </c>
      <c r="Y159" s="60">
        <f t="shared" si="89"/>
        <v>65000000000147</v>
      </c>
      <c r="Z159" s="60">
        <f t="shared" si="90"/>
        <v>65000000000152</v>
      </c>
      <c r="AA159" s="60">
        <f t="shared" si="73"/>
        <v>65000000000153</v>
      </c>
      <c r="AB159" s="60">
        <f t="shared" si="91"/>
        <v>65000000000000</v>
      </c>
      <c r="AD159" s="60">
        <f t="shared" si="94"/>
        <v>2</v>
      </c>
      <c r="AE159" s="60">
        <f t="shared" si="95"/>
        <v>3</v>
      </c>
      <c r="AF159" s="60">
        <f t="shared" si="96"/>
        <v>1</v>
      </c>
      <c r="AG159" s="60">
        <f t="shared" si="97"/>
        <v>3</v>
      </c>
      <c r="AH159" s="60">
        <f t="shared" si="98"/>
        <v>2</v>
      </c>
      <c r="AI159" s="60">
        <f t="shared" si="99"/>
        <v>1</v>
      </c>
      <c r="AK159" s="68" t="str">
        <f t="shared" si="74"/>
        <v>L5</v>
      </c>
      <c r="AM159" s="64" t="s">
        <v>1755</v>
      </c>
      <c r="AN159" s="64">
        <f t="shared" si="75"/>
        <v>65000000000111</v>
      </c>
      <c r="AO159" s="64">
        <f t="shared" si="76"/>
        <v>65000000000149</v>
      </c>
      <c r="AP159" s="64">
        <f t="shared" si="77"/>
        <v>65000000000149</v>
      </c>
      <c r="AQ159" s="64">
        <f t="shared" si="78"/>
        <v>65000000000152</v>
      </c>
      <c r="AS159" s="64">
        <f t="shared" si="79"/>
        <v>65000000000152</v>
      </c>
      <c r="AU159" s="59" t="str">
        <f t="shared" si="100"/>
        <v>PERFORM * FROM "SchData-OLTP-Accounting"."Func_TblChartOfAccount_SET"(varSystemLoginSession, null, null, null, varInstitutionBranchID, 62000000000001::bigint,'2-2002.01', 'Hutang Pemegang Saham (IDR)', 62000000000001::bigint, '2016-01-01 00:00:00'::timestamp, null::timestamp, 65000000000152::bigint, 66000000000001::bigint);</v>
      </c>
      <c r="AV159" s="65">
        <f t="shared" si="101"/>
        <v>65000000000153</v>
      </c>
      <c r="AW159" s="65">
        <f t="shared" si="102"/>
        <v>65000000000152</v>
      </c>
      <c r="AY159" s="65">
        <f t="shared" si="92"/>
        <v>65000000000152</v>
      </c>
      <c r="BA159" s="78">
        <f t="shared" si="103"/>
        <v>65000000000153</v>
      </c>
      <c r="BB159" s="81" t="str">
        <f t="shared" si="93"/>
        <v>PERFORM * FROM "SchData-OLTP-Accounting"."Func_TblChartOfAccount_SET"(varSystemLoginSession, null, null, null, null, null, varInstitutionBranchID, 62000000000001::bigint,'2-2002.01', 'Hutang Pemegang Saham (IDR)', 62000000000001::bigint, '2016-01-01 00:00:00'::timestamp, null::timestamp, 65000000000152::bigint, 66000000000001::bigint, FALSE::boolean);</v>
      </c>
    </row>
    <row r="160" spans="2:54" x14ac:dyDescent="0.2">
      <c r="B160" s="39"/>
      <c r="C160" s="40"/>
      <c r="D160" s="39"/>
      <c r="E160" s="40"/>
      <c r="F160" s="39"/>
      <c r="G160" s="40"/>
      <c r="H160" s="50"/>
      <c r="I160" s="33"/>
      <c r="J160" s="50"/>
      <c r="K160" s="33"/>
      <c r="L160" s="50"/>
      <c r="M160" s="33"/>
      <c r="O160" s="58" t="str">
        <f t="shared" si="80"/>
        <v>2-0000</v>
      </c>
      <c r="P160" s="58" t="str">
        <f t="shared" si="81"/>
        <v>2-2000</v>
      </c>
      <c r="Q160" s="58" t="str">
        <f t="shared" si="82"/>
        <v>2-1200</v>
      </c>
      <c r="R160" s="58" t="str">
        <f t="shared" si="83"/>
        <v>2-2002</v>
      </c>
      <c r="S160" s="58" t="str">
        <f t="shared" si="84"/>
        <v>2-2002.01</v>
      </c>
      <c r="T160" s="58" t="str">
        <f t="shared" si="85"/>
        <v xml:space="preserve"> </v>
      </c>
      <c r="V160" s="72">
        <f t="shared" si="86"/>
        <v>65000000000153</v>
      </c>
      <c r="W160" s="60">
        <f t="shared" si="87"/>
        <v>65000000000111</v>
      </c>
      <c r="X160" s="60">
        <f t="shared" si="88"/>
        <v>65000000000149</v>
      </c>
      <c r="Y160" s="60">
        <f t="shared" si="89"/>
        <v>65000000000147</v>
      </c>
      <c r="Z160" s="60">
        <f t="shared" si="90"/>
        <v>65000000000152</v>
      </c>
      <c r="AA160" s="60">
        <f t="shared" si="73"/>
        <v>65000000000153</v>
      </c>
      <c r="AB160" s="60">
        <f t="shared" si="91"/>
        <v>65000000000000</v>
      </c>
      <c r="AD160" s="60">
        <f t="shared" si="94"/>
        <v>2</v>
      </c>
      <c r="AE160" s="60">
        <f t="shared" si="95"/>
        <v>3</v>
      </c>
      <c r="AF160" s="60">
        <f t="shared" si="96"/>
        <v>1</v>
      </c>
      <c r="AG160" s="60">
        <f t="shared" si="97"/>
        <v>3</v>
      </c>
      <c r="AH160" s="60">
        <f t="shared" si="98"/>
        <v>2</v>
      </c>
      <c r="AI160" s="60">
        <f t="shared" si="99"/>
        <v>1</v>
      </c>
      <c r="AK160" s="68" t="str">
        <f t="shared" si="74"/>
        <v>L1</v>
      </c>
      <c r="AM160" s="64" t="s">
        <v>1755</v>
      </c>
      <c r="AN160" s="64">
        <f t="shared" si="75"/>
        <v>65000000000111</v>
      </c>
      <c r="AO160" s="64">
        <f t="shared" si="76"/>
        <v>65000000000149</v>
      </c>
      <c r="AP160" s="64">
        <f t="shared" si="77"/>
        <v>65000000000149</v>
      </c>
      <c r="AQ160" s="64">
        <f t="shared" si="78"/>
        <v>65000000000152</v>
      </c>
      <c r="AS160" s="64" t="str">
        <f t="shared" si="79"/>
        <v>null</v>
      </c>
      <c r="AU160" s="59" t="str">
        <f t="shared" si="100"/>
        <v/>
      </c>
      <c r="AV160" s="65" t="str">
        <f t="shared" si="101"/>
        <v/>
      </c>
      <c r="AW160" s="65" t="str">
        <f t="shared" si="102"/>
        <v>null</v>
      </c>
      <c r="AY160" s="65" t="str">
        <f t="shared" si="92"/>
        <v/>
      </c>
      <c r="BA160" s="78">
        <f t="shared" si="103"/>
        <v>65000000000153</v>
      </c>
      <c r="BB160" s="81" t="str">
        <f t="shared" si="93"/>
        <v/>
      </c>
    </row>
    <row r="161" spans="2:54" x14ac:dyDescent="0.2">
      <c r="B161" s="39"/>
      <c r="C161" s="40"/>
      <c r="D161" s="46" t="s">
        <v>1088</v>
      </c>
      <c r="E161" s="42" t="s">
        <v>1167</v>
      </c>
      <c r="F161" s="46"/>
      <c r="G161" s="42"/>
      <c r="H161" s="53"/>
      <c r="I161" s="18"/>
      <c r="J161" s="53"/>
      <c r="K161" s="18"/>
      <c r="L161" s="53"/>
      <c r="M161" s="18"/>
      <c r="O161" s="58" t="str">
        <f t="shared" si="80"/>
        <v>2-0000</v>
      </c>
      <c r="P161" s="58" t="str">
        <f t="shared" si="81"/>
        <v>2-3000</v>
      </c>
      <c r="Q161" s="58" t="str">
        <f t="shared" si="82"/>
        <v>2-1200</v>
      </c>
      <c r="R161" s="58" t="str">
        <f t="shared" si="83"/>
        <v>2-2002</v>
      </c>
      <c r="S161" s="58" t="str">
        <f t="shared" si="84"/>
        <v>2-2002.01</v>
      </c>
      <c r="T161" s="58" t="str">
        <f t="shared" si="85"/>
        <v xml:space="preserve"> </v>
      </c>
      <c r="V161" s="72">
        <f t="shared" si="86"/>
        <v>65000000000154</v>
      </c>
      <c r="W161" s="60">
        <f t="shared" si="87"/>
        <v>65000000000111</v>
      </c>
      <c r="X161" s="60">
        <f t="shared" si="88"/>
        <v>65000000000154</v>
      </c>
      <c r="Y161" s="60">
        <f t="shared" si="89"/>
        <v>65000000000147</v>
      </c>
      <c r="Z161" s="60">
        <f t="shared" si="90"/>
        <v>65000000000152</v>
      </c>
      <c r="AA161" s="60">
        <f t="shared" si="73"/>
        <v>65000000000153</v>
      </c>
      <c r="AB161" s="60">
        <f t="shared" si="91"/>
        <v>65000000000000</v>
      </c>
      <c r="AD161" s="60">
        <f t="shared" si="94"/>
        <v>2</v>
      </c>
      <c r="AE161" s="60">
        <f t="shared" si="95"/>
        <v>4</v>
      </c>
      <c r="AF161" s="60">
        <f t="shared" si="96"/>
        <v>1</v>
      </c>
      <c r="AG161" s="60">
        <f t="shared" si="97"/>
        <v>3</v>
      </c>
      <c r="AH161" s="60">
        <f t="shared" si="98"/>
        <v>2</v>
      </c>
      <c r="AI161" s="60">
        <f t="shared" si="99"/>
        <v>1</v>
      </c>
      <c r="AK161" s="68" t="str">
        <f t="shared" si="74"/>
        <v>L2</v>
      </c>
      <c r="AM161" s="64" t="s">
        <v>1755</v>
      </c>
      <c r="AN161" s="64">
        <f t="shared" si="75"/>
        <v>65000000000111</v>
      </c>
      <c r="AO161" s="64">
        <f t="shared" si="76"/>
        <v>65000000000111</v>
      </c>
      <c r="AP161" s="64">
        <f t="shared" si="77"/>
        <v>65000000000111</v>
      </c>
      <c r="AQ161" s="64">
        <f t="shared" si="78"/>
        <v>65000000000111</v>
      </c>
      <c r="AS161" s="64">
        <f t="shared" si="79"/>
        <v>65000000000111</v>
      </c>
      <c r="AU161" s="59" t="str">
        <f t="shared" si="100"/>
        <v>PERFORM * FROM "SchData-OLTP-Accounting"."Func_TblChartOfAccount_SET"(varSystemLoginSession, null, null, null, varInstitutionBranchID, 62000000000001::bigint,'2-3000', 'Hutang Lain - Lain', 62000000000001::bigint, '2016-01-01 00:00:00'::timestamp, null::timestamp, 65000000000111::bigint, 66000000000001::bigint);</v>
      </c>
      <c r="AV161" s="65">
        <f t="shared" si="101"/>
        <v>65000000000154</v>
      </c>
      <c r="AW161" s="65">
        <f t="shared" si="102"/>
        <v>65000000000111</v>
      </c>
      <c r="AY161" s="65">
        <f t="shared" si="92"/>
        <v>65000000000111</v>
      </c>
      <c r="BA161" s="78">
        <f t="shared" si="103"/>
        <v>65000000000154</v>
      </c>
      <c r="BB161" s="81" t="str">
        <f t="shared" si="93"/>
        <v>PERFORM * FROM "SchData-OLTP-Accounting"."Func_TblChartOfAccount_SET"(varSystemLoginSession, null, null, null, null, null, varInstitutionBranchID, 62000000000001::bigint,'2-3000', 'Hutang Lain - Lain', 62000000000001::bigint, '2016-01-01 00:00:00'::timestamp, null::timestamp, 65000000000111::bigint, 66000000000001::bigint, FALSE::boolean);</v>
      </c>
    </row>
    <row r="162" spans="2:54" x14ac:dyDescent="0.2">
      <c r="B162" s="39"/>
      <c r="C162" s="40"/>
      <c r="D162" s="39"/>
      <c r="E162" s="40"/>
      <c r="F162" s="46"/>
      <c r="G162" s="42"/>
      <c r="H162" s="53" t="s">
        <v>880</v>
      </c>
      <c r="I162" s="42" t="s">
        <v>1167</v>
      </c>
      <c r="J162" s="50"/>
      <c r="K162" s="33"/>
      <c r="L162" s="50"/>
      <c r="M162" s="33"/>
      <c r="O162" s="58" t="str">
        <f t="shared" si="80"/>
        <v>2-0000</v>
      </c>
      <c r="P162" s="58" t="str">
        <f t="shared" si="81"/>
        <v>2-3000</v>
      </c>
      <c r="Q162" s="58" t="str">
        <f t="shared" si="82"/>
        <v>2-1200</v>
      </c>
      <c r="R162" s="58" t="str">
        <f t="shared" si="83"/>
        <v>2-3001</v>
      </c>
      <c r="S162" s="58" t="str">
        <f t="shared" si="84"/>
        <v>2-2002.01</v>
      </c>
      <c r="T162" s="58" t="str">
        <f t="shared" si="85"/>
        <v xml:space="preserve"> </v>
      </c>
      <c r="V162" s="72">
        <f t="shared" si="86"/>
        <v>65000000000155</v>
      </c>
      <c r="W162" s="60">
        <f t="shared" si="87"/>
        <v>65000000000111</v>
      </c>
      <c r="X162" s="60">
        <f t="shared" si="88"/>
        <v>65000000000154</v>
      </c>
      <c r="Y162" s="60">
        <f t="shared" si="89"/>
        <v>65000000000147</v>
      </c>
      <c r="Z162" s="60">
        <f t="shared" si="90"/>
        <v>65000000000155</v>
      </c>
      <c r="AA162" s="60">
        <f t="shared" si="73"/>
        <v>65000000000153</v>
      </c>
      <c r="AB162" s="60">
        <f t="shared" si="91"/>
        <v>65000000000000</v>
      </c>
      <c r="AD162" s="60">
        <f t="shared" si="94"/>
        <v>2</v>
      </c>
      <c r="AE162" s="60">
        <f t="shared" si="95"/>
        <v>4</v>
      </c>
      <c r="AF162" s="60">
        <f t="shared" si="96"/>
        <v>1</v>
      </c>
      <c r="AG162" s="60">
        <f t="shared" si="97"/>
        <v>4</v>
      </c>
      <c r="AH162" s="60">
        <f t="shared" si="98"/>
        <v>1</v>
      </c>
      <c r="AI162" s="60">
        <f t="shared" si="99"/>
        <v>1</v>
      </c>
      <c r="AK162" s="68" t="str">
        <f t="shared" si="74"/>
        <v>L4</v>
      </c>
      <c r="AM162" s="64" t="s">
        <v>1755</v>
      </c>
      <c r="AN162" s="64">
        <f t="shared" si="75"/>
        <v>65000000000111</v>
      </c>
      <c r="AO162" s="64">
        <f t="shared" si="76"/>
        <v>65000000000154</v>
      </c>
      <c r="AP162" s="64">
        <f t="shared" si="77"/>
        <v>65000000000154</v>
      </c>
      <c r="AQ162" s="64">
        <f t="shared" si="78"/>
        <v>65000000000154</v>
      </c>
      <c r="AS162" s="64">
        <f t="shared" si="79"/>
        <v>65000000000154</v>
      </c>
      <c r="AU162" s="59" t="str">
        <f t="shared" si="100"/>
        <v>PERFORM * FROM "SchData-OLTP-Accounting"."Func_TblChartOfAccount_SET"(varSystemLoginSession, null, null, null, varInstitutionBranchID, 62000000000001::bigint,'2-3001', 'Hutang Lain - Lain', 62000000000001::bigint, '2016-01-01 00:00:00'::timestamp, null::timestamp, 65000000000154::bigint, 66000000000001::bigint);</v>
      </c>
      <c r="AV162" s="65">
        <f t="shared" si="101"/>
        <v>65000000000155</v>
      </c>
      <c r="AW162" s="65">
        <f t="shared" si="102"/>
        <v>65000000000154</v>
      </c>
      <c r="AY162" s="65">
        <f t="shared" si="92"/>
        <v>65000000000154</v>
      </c>
      <c r="BA162" s="78">
        <f t="shared" si="103"/>
        <v>65000000000155</v>
      </c>
      <c r="BB162" s="81" t="str">
        <f t="shared" si="93"/>
        <v>PERFORM * FROM "SchData-OLTP-Accounting"."Func_TblChartOfAccount_SET"(varSystemLoginSession, null, null, null, null, null, varInstitutionBranchID, 62000000000001::bigint,'2-3001', 'Hutang Lain - Lain', 62000000000001::bigint, '2016-01-01 00:00:00'::timestamp, null::timestamp, 65000000000154::bigint, 66000000000001::bigint, FALSE::boolean);</v>
      </c>
    </row>
    <row r="163" spans="2:54" x14ac:dyDescent="0.2">
      <c r="B163" s="39"/>
      <c r="C163" s="40"/>
      <c r="D163" s="39"/>
      <c r="E163" s="40"/>
      <c r="F163" s="46"/>
      <c r="G163" s="42"/>
      <c r="H163" s="50"/>
      <c r="I163" s="33"/>
      <c r="J163" s="53" t="s">
        <v>1429</v>
      </c>
      <c r="K163" s="42" t="s">
        <v>1269</v>
      </c>
      <c r="L163" s="50"/>
      <c r="M163" s="33"/>
      <c r="O163" s="58" t="str">
        <f t="shared" si="80"/>
        <v>2-0000</v>
      </c>
      <c r="P163" s="58" t="str">
        <f t="shared" si="81"/>
        <v>2-3000</v>
      </c>
      <c r="Q163" s="58" t="str">
        <f t="shared" si="82"/>
        <v>2-1200</v>
      </c>
      <c r="R163" s="58" t="str">
        <f t="shared" si="83"/>
        <v>2-3001</v>
      </c>
      <c r="S163" s="58" t="str">
        <f t="shared" si="84"/>
        <v>2-3001.01</v>
      </c>
      <c r="T163" s="58" t="str">
        <f t="shared" si="85"/>
        <v xml:space="preserve"> </v>
      </c>
      <c r="V163" s="72">
        <f t="shared" si="86"/>
        <v>65000000000156</v>
      </c>
      <c r="W163" s="60">
        <f t="shared" si="87"/>
        <v>65000000000111</v>
      </c>
      <c r="X163" s="60">
        <f t="shared" si="88"/>
        <v>65000000000154</v>
      </c>
      <c r="Y163" s="60">
        <f t="shared" si="89"/>
        <v>65000000000147</v>
      </c>
      <c r="Z163" s="60">
        <f t="shared" si="90"/>
        <v>65000000000155</v>
      </c>
      <c r="AA163" s="60">
        <f t="shared" si="73"/>
        <v>65000000000156</v>
      </c>
      <c r="AB163" s="60">
        <f t="shared" si="91"/>
        <v>65000000000000</v>
      </c>
      <c r="AD163" s="60">
        <f t="shared" si="94"/>
        <v>2</v>
      </c>
      <c r="AE163" s="60">
        <f t="shared" si="95"/>
        <v>4</v>
      </c>
      <c r="AF163" s="60">
        <f t="shared" si="96"/>
        <v>1</v>
      </c>
      <c r="AG163" s="60">
        <f t="shared" si="97"/>
        <v>4</v>
      </c>
      <c r="AH163" s="60">
        <f t="shared" si="98"/>
        <v>2</v>
      </c>
      <c r="AI163" s="60">
        <f t="shared" si="99"/>
        <v>1</v>
      </c>
      <c r="AK163" s="68" t="str">
        <f t="shared" si="74"/>
        <v>L5</v>
      </c>
      <c r="AM163" s="64" t="s">
        <v>1755</v>
      </c>
      <c r="AN163" s="64">
        <f t="shared" si="75"/>
        <v>65000000000111</v>
      </c>
      <c r="AO163" s="64">
        <f t="shared" si="76"/>
        <v>65000000000154</v>
      </c>
      <c r="AP163" s="64">
        <f t="shared" si="77"/>
        <v>65000000000154</v>
      </c>
      <c r="AQ163" s="64">
        <f t="shared" si="78"/>
        <v>65000000000155</v>
      </c>
      <c r="AS163" s="64">
        <f t="shared" si="79"/>
        <v>65000000000155</v>
      </c>
      <c r="AU163" s="59" t="str">
        <f t="shared" si="100"/>
        <v>PERFORM * FROM "SchData-OLTP-Accounting"."Func_TblChartOfAccount_SET"(varSystemLoginSession, null, null, null, varInstitutionBranchID, 62000000000001::bigint,'2-3001.01', 'Hutang Lain - Lain (IDR)', 62000000000001::bigint, '2016-01-01 00:00:00'::timestamp, null::timestamp, 65000000000155::bigint, 66000000000001::bigint);</v>
      </c>
      <c r="AV163" s="65">
        <f t="shared" si="101"/>
        <v>65000000000156</v>
      </c>
      <c r="AW163" s="65">
        <f t="shared" si="102"/>
        <v>65000000000155</v>
      </c>
      <c r="AY163" s="65">
        <f t="shared" si="92"/>
        <v>65000000000155</v>
      </c>
      <c r="BA163" s="78">
        <f t="shared" si="103"/>
        <v>65000000000156</v>
      </c>
      <c r="BB163" s="81" t="str">
        <f t="shared" si="93"/>
        <v>PERFORM * FROM "SchData-OLTP-Accounting"."Func_TblChartOfAccount_SET"(varSystemLoginSession, null, null, null, null, null, varInstitutionBranchID, 62000000000001::bigint,'2-3001.01', 'Hutang Lain - Lain (IDR)', 62000000000001::bigint, '2016-01-01 00:00:00'::timestamp, null::timestamp, 65000000000155::bigint, 66000000000001::bigint, FALSE::boolean);</v>
      </c>
    </row>
    <row r="164" spans="2:54" x14ac:dyDescent="0.2">
      <c r="B164" s="39"/>
      <c r="C164" s="40"/>
      <c r="D164" s="39"/>
      <c r="E164" s="40"/>
      <c r="F164" s="46"/>
      <c r="G164" s="42"/>
      <c r="H164" s="50"/>
      <c r="I164" s="33"/>
      <c r="J164" s="53" t="s">
        <v>1429</v>
      </c>
      <c r="K164" s="42" t="s">
        <v>1765</v>
      </c>
      <c r="L164" s="50"/>
      <c r="M164" s="33"/>
      <c r="O164" s="58" t="str">
        <f t="shared" si="80"/>
        <v>2-0000</v>
      </c>
      <c r="P164" s="58" t="str">
        <f t="shared" si="81"/>
        <v>2-3000</v>
      </c>
      <c r="Q164" s="58" t="str">
        <f t="shared" si="82"/>
        <v>2-1200</v>
      </c>
      <c r="R164" s="58" t="str">
        <f t="shared" si="83"/>
        <v>2-3001</v>
      </c>
      <c r="S164" s="58" t="str">
        <f t="shared" si="84"/>
        <v>2-3001.01</v>
      </c>
      <c r="T164" s="58" t="str">
        <f t="shared" si="85"/>
        <v xml:space="preserve"> </v>
      </c>
      <c r="V164" s="72">
        <f t="shared" si="86"/>
        <v>65000000000157</v>
      </c>
      <c r="W164" s="60">
        <f t="shared" si="87"/>
        <v>65000000000111</v>
      </c>
      <c r="X164" s="60">
        <f t="shared" si="88"/>
        <v>65000000000154</v>
      </c>
      <c r="Y164" s="60">
        <f t="shared" si="89"/>
        <v>65000000000147</v>
      </c>
      <c r="Z164" s="60">
        <f t="shared" si="90"/>
        <v>65000000000155</v>
      </c>
      <c r="AA164" s="60">
        <f t="shared" si="73"/>
        <v>65000000000157</v>
      </c>
      <c r="AB164" s="60">
        <f t="shared" si="91"/>
        <v>65000000000000</v>
      </c>
      <c r="AD164" s="60">
        <f t="shared" si="94"/>
        <v>2</v>
      </c>
      <c r="AE164" s="60">
        <f t="shared" si="95"/>
        <v>4</v>
      </c>
      <c r="AF164" s="60">
        <f t="shared" si="96"/>
        <v>1</v>
      </c>
      <c r="AG164" s="60">
        <f t="shared" si="97"/>
        <v>4</v>
      </c>
      <c r="AH164" s="60">
        <f t="shared" si="98"/>
        <v>3</v>
      </c>
      <c r="AI164" s="60">
        <f t="shared" si="99"/>
        <v>1</v>
      </c>
      <c r="AK164" s="68" t="str">
        <f t="shared" si="74"/>
        <v>L5</v>
      </c>
      <c r="AM164" s="64" t="s">
        <v>1755</v>
      </c>
      <c r="AN164" s="64">
        <f t="shared" si="75"/>
        <v>65000000000111</v>
      </c>
      <c r="AO164" s="64">
        <f t="shared" si="76"/>
        <v>65000000000154</v>
      </c>
      <c r="AP164" s="64">
        <f t="shared" si="77"/>
        <v>65000000000154</v>
      </c>
      <c r="AQ164" s="64">
        <f t="shared" si="78"/>
        <v>65000000000155</v>
      </c>
      <c r="AS164" s="64">
        <f t="shared" si="79"/>
        <v>65000000000155</v>
      </c>
      <c r="AU164" s="59" t="str">
        <f t="shared" si="100"/>
        <v>PERFORM * FROM "SchData-OLTP-Accounting"."Func_TblChartOfAccount_SET"(varSystemLoginSession, null, null, null, varInstitutionBranchID, 62000000000001::bigint,'2-3001.01', 'Hutang Lain - Lain (USD)', 62000000000001::bigint, '2016-01-01 00:00:00'::timestamp, null::timestamp, 65000000000155::bigint, 66000000000001::bigint);</v>
      </c>
      <c r="AV164" s="65">
        <f t="shared" si="101"/>
        <v>65000000000157</v>
      </c>
      <c r="AW164" s="65">
        <f t="shared" si="102"/>
        <v>65000000000155</v>
      </c>
      <c r="AY164" s="65">
        <f t="shared" si="92"/>
        <v>65000000000155</v>
      </c>
      <c r="BA164" s="78">
        <f t="shared" si="103"/>
        <v>65000000000157</v>
      </c>
      <c r="BB164" s="81" t="str">
        <f t="shared" si="93"/>
        <v>PERFORM * FROM "SchData-OLTP-Accounting"."Func_TblChartOfAccount_SET"(varSystemLoginSession, null, null, null, null, null, varInstitutionBranchID, 62000000000001::bigint,'2-3001.01', 'Hutang Lain - Lain (USD)', 62000000000001::bigint, '2016-01-01 00:00:00'::timestamp, null::timestamp, 65000000000155::bigint, 66000000000001::bigint, FALSE::boolean);</v>
      </c>
    </row>
    <row r="165" spans="2:54" x14ac:dyDescent="0.2">
      <c r="B165" s="44"/>
      <c r="C165" s="45"/>
      <c r="D165" s="44"/>
      <c r="E165" s="45"/>
      <c r="F165" s="44"/>
      <c r="G165" s="45"/>
      <c r="H165" s="52"/>
      <c r="I165" s="34"/>
      <c r="J165" s="52"/>
      <c r="K165" s="34"/>
      <c r="L165" s="52"/>
      <c r="M165" s="34"/>
      <c r="O165" s="58" t="str">
        <f t="shared" si="80"/>
        <v>2-0000</v>
      </c>
      <c r="P165" s="58" t="str">
        <f t="shared" si="81"/>
        <v>2-3000</v>
      </c>
      <c r="Q165" s="58" t="str">
        <f t="shared" si="82"/>
        <v>2-1200</v>
      </c>
      <c r="R165" s="58" t="str">
        <f t="shared" si="83"/>
        <v>2-3001</v>
      </c>
      <c r="S165" s="58" t="str">
        <f t="shared" si="84"/>
        <v>2-3001.01</v>
      </c>
      <c r="T165" s="58" t="str">
        <f t="shared" si="85"/>
        <v xml:space="preserve"> </v>
      </c>
      <c r="V165" s="72">
        <f t="shared" si="86"/>
        <v>65000000000157</v>
      </c>
      <c r="W165" s="60">
        <f t="shared" si="87"/>
        <v>65000000000111</v>
      </c>
      <c r="X165" s="60">
        <f t="shared" si="88"/>
        <v>65000000000154</v>
      </c>
      <c r="Y165" s="60">
        <f t="shared" si="89"/>
        <v>65000000000147</v>
      </c>
      <c r="Z165" s="60">
        <f t="shared" si="90"/>
        <v>65000000000155</v>
      </c>
      <c r="AA165" s="60">
        <f t="shared" si="73"/>
        <v>65000000000157</v>
      </c>
      <c r="AB165" s="60">
        <f t="shared" si="91"/>
        <v>65000000000000</v>
      </c>
      <c r="AD165" s="60">
        <f t="shared" si="94"/>
        <v>2</v>
      </c>
      <c r="AE165" s="60">
        <f t="shared" si="95"/>
        <v>4</v>
      </c>
      <c r="AF165" s="60">
        <f t="shared" si="96"/>
        <v>1</v>
      </c>
      <c r="AG165" s="60">
        <f t="shared" si="97"/>
        <v>4</v>
      </c>
      <c r="AH165" s="60">
        <f t="shared" si="98"/>
        <v>3</v>
      </c>
      <c r="AI165" s="60">
        <f t="shared" si="99"/>
        <v>1</v>
      </c>
      <c r="AK165" s="68" t="str">
        <f t="shared" si="74"/>
        <v>L1</v>
      </c>
      <c r="AM165" s="64" t="s">
        <v>1755</v>
      </c>
      <c r="AN165" s="64">
        <f t="shared" si="75"/>
        <v>65000000000111</v>
      </c>
      <c r="AO165" s="64">
        <f t="shared" si="76"/>
        <v>65000000000154</v>
      </c>
      <c r="AP165" s="64">
        <f t="shared" si="77"/>
        <v>65000000000154</v>
      </c>
      <c r="AQ165" s="64">
        <f t="shared" si="78"/>
        <v>65000000000155</v>
      </c>
      <c r="AS165" s="64" t="str">
        <f t="shared" si="79"/>
        <v>null</v>
      </c>
      <c r="AU165" s="59" t="str">
        <f t="shared" si="100"/>
        <v/>
      </c>
      <c r="AV165" s="65" t="str">
        <f t="shared" si="101"/>
        <v/>
      </c>
      <c r="AW165" s="65" t="str">
        <f t="shared" si="102"/>
        <v>null</v>
      </c>
      <c r="AY165" s="65" t="str">
        <f t="shared" si="92"/>
        <v/>
      </c>
      <c r="BA165" s="78">
        <f t="shared" si="103"/>
        <v>65000000000157</v>
      </c>
      <c r="BB165" s="81" t="str">
        <f t="shared" si="93"/>
        <v/>
      </c>
    </row>
    <row r="166" spans="2:54" x14ac:dyDescent="0.2">
      <c r="B166" s="43" t="s">
        <v>1076</v>
      </c>
      <c r="C166" s="42" t="s">
        <v>709</v>
      </c>
      <c r="D166" s="39"/>
      <c r="E166" s="40"/>
      <c r="F166" s="39"/>
      <c r="G166" s="40"/>
      <c r="H166" s="50"/>
      <c r="I166" s="33"/>
      <c r="J166" s="50"/>
      <c r="K166" s="33"/>
      <c r="L166" s="50"/>
      <c r="M166" s="33"/>
      <c r="O166" s="58" t="str">
        <f t="shared" si="80"/>
        <v>3-0000</v>
      </c>
      <c r="P166" s="58" t="str">
        <f t="shared" si="81"/>
        <v>2-3000</v>
      </c>
      <c r="Q166" s="58" t="str">
        <f t="shared" si="82"/>
        <v>2-1200</v>
      </c>
      <c r="R166" s="58" t="str">
        <f t="shared" si="83"/>
        <v>2-3001</v>
      </c>
      <c r="S166" s="58" t="str">
        <f t="shared" si="84"/>
        <v>2-3001.01</v>
      </c>
      <c r="T166" s="58" t="str">
        <f t="shared" si="85"/>
        <v xml:space="preserve"> </v>
      </c>
      <c r="V166" s="72">
        <f t="shared" si="86"/>
        <v>65000000000158</v>
      </c>
      <c r="W166" s="60">
        <f t="shared" si="87"/>
        <v>65000000000158</v>
      </c>
      <c r="X166" s="60">
        <f t="shared" si="88"/>
        <v>65000000000154</v>
      </c>
      <c r="Y166" s="60">
        <f t="shared" si="89"/>
        <v>65000000000147</v>
      </c>
      <c r="Z166" s="60">
        <f t="shared" si="90"/>
        <v>65000000000155</v>
      </c>
      <c r="AA166" s="60">
        <f t="shared" si="73"/>
        <v>65000000000157</v>
      </c>
      <c r="AB166" s="60">
        <f t="shared" si="91"/>
        <v>65000000000000</v>
      </c>
      <c r="AD166" s="60">
        <f t="shared" si="94"/>
        <v>3</v>
      </c>
      <c r="AE166" s="60">
        <f t="shared" si="95"/>
        <v>1</v>
      </c>
      <c r="AF166" s="60">
        <f t="shared" si="96"/>
        <v>1</v>
      </c>
      <c r="AG166" s="60">
        <f t="shared" si="97"/>
        <v>4</v>
      </c>
      <c r="AH166" s="60">
        <f t="shared" si="98"/>
        <v>3</v>
      </c>
      <c r="AI166" s="60">
        <f t="shared" si="99"/>
        <v>1</v>
      </c>
      <c r="AK166" s="68" t="str">
        <f t="shared" si="74"/>
        <v>L1</v>
      </c>
      <c r="AM166" s="64" t="s">
        <v>1755</v>
      </c>
      <c r="AN166" s="64">
        <f t="shared" si="75"/>
        <v>65000000000111</v>
      </c>
      <c r="AO166" s="64">
        <f t="shared" si="76"/>
        <v>65000000000111</v>
      </c>
      <c r="AP166" s="64">
        <f t="shared" si="77"/>
        <v>65000000000111</v>
      </c>
      <c r="AQ166" s="64">
        <f t="shared" si="78"/>
        <v>65000000000111</v>
      </c>
      <c r="AS166" s="64" t="str">
        <f t="shared" si="79"/>
        <v>null</v>
      </c>
      <c r="AU166" s="59" t="str">
        <f t="shared" si="100"/>
        <v>PERFORM * FROM "SchData-OLTP-Accounting"."Func_TblChartOfAccount_SET"(varSystemLoginSession, null, null, null, varInstitutionBranchID, 62000000000001::bigint,'3-0000', 'Modal', 62000000000001::bigint, '2016-01-01 00:00:00'::timestamp, null::timestamp, null::bigint, 66000000000001::bigint);</v>
      </c>
      <c r="AV166" s="65">
        <f t="shared" si="101"/>
        <v>65000000000158</v>
      </c>
      <c r="AW166" s="65" t="str">
        <f t="shared" si="102"/>
        <v>null</v>
      </c>
      <c r="AY166" s="65" t="str">
        <f t="shared" si="92"/>
        <v>null</v>
      </c>
      <c r="BA166" s="78">
        <f t="shared" si="103"/>
        <v>65000000000158</v>
      </c>
      <c r="BB166" s="81" t="str">
        <f t="shared" si="93"/>
        <v>PERFORM * FROM "SchData-OLTP-Accounting"."Func_TblChartOfAccount_SET"(varSystemLoginSession, null, null, null, null, null, varInstitutionBranchID, 62000000000001::bigint,'3-0000', 'Modal', 62000000000001::bigint, '2016-01-01 00:00:00'::timestamp, null::timestamp, null::bigint, 66000000000001::bigint, FALSE::boolean);</v>
      </c>
    </row>
    <row r="167" spans="2:54" x14ac:dyDescent="0.2">
      <c r="B167" s="41"/>
      <c r="C167" s="42"/>
      <c r="D167" s="43" t="s">
        <v>1089</v>
      </c>
      <c r="E167" s="42" t="s">
        <v>313</v>
      </c>
      <c r="F167" s="43"/>
      <c r="G167" s="42"/>
      <c r="H167" s="51"/>
      <c r="I167" s="18"/>
      <c r="J167" s="51"/>
      <c r="K167" s="18"/>
      <c r="L167" s="51"/>
      <c r="M167" s="18"/>
      <c r="O167" s="58" t="str">
        <f t="shared" si="80"/>
        <v>3-0000</v>
      </c>
      <c r="P167" s="58" t="str">
        <f t="shared" si="81"/>
        <v>3-1000</v>
      </c>
      <c r="Q167" s="58" t="str">
        <f t="shared" si="82"/>
        <v>2-1200</v>
      </c>
      <c r="R167" s="58" t="str">
        <f t="shared" si="83"/>
        <v>2-3001</v>
      </c>
      <c r="S167" s="58" t="str">
        <f t="shared" si="84"/>
        <v>2-3001.01</v>
      </c>
      <c r="T167" s="58" t="str">
        <f t="shared" si="85"/>
        <v xml:space="preserve"> </v>
      </c>
      <c r="V167" s="72">
        <f t="shared" si="86"/>
        <v>65000000000159</v>
      </c>
      <c r="W167" s="60">
        <f t="shared" si="87"/>
        <v>65000000000158</v>
      </c>
      <c r="X167" s="60">
        <f t="shared" si="88"/>
        <v>65000000000159</v>
      </c>
      <c r="Y167" s="60">
        <f t="shared" si="89"/>
        <v>65000000000147</v>
      </c>
      <c r="Z167" s="60">
        <f t="shared" si="90"/>
        <v>65000000000155</v>
      </c>
      <c r="AA167" s="60">
        <f t="shared" si="73"/>
        <v>65000000000157</v>
      </c>
      <c r="AB167" s="60">
        <f t="shared" si="91"/>
        <v>65000000000000</v>
      </c>
      <c r="AD167" s="60">
        <f t="shared" si="94"/>
        <v>3</v>
      </c>
      <c r="AE167" s="60">
        <f t="shared" si="95"/>
        <v>2</v>
      </c>
      <c r="AF167" s="60">
        <f t="shared" si="96"/>
        <v>1</v>
      </c>
      <c r="AG167" s="60">
        <f t="shared" si="97"/>
        <v>4</v>
      </c>
      <c r="AH167" s="60">
        <f t="shared" si="98"/>
        <v>3</v>
      </c>
      <c r="AI167" s="60">
        <f t="shared" si="99"/>
        <v>1</v>
      </c>
      <c r="AK167" s="68" t="str">
        <f t="shared" si="74"/>
        <v>L2</v>
      </c>
      <c r="AM167" s="64" t="s">
        <v>1755</v>
      </c>
      <c r="AN167" s="64">
        <f t="shared" si="75"/>
        <v>65000000000158</v>
      </c>
      <c r="AO167" s="64">
        <f t="shared" si="76"/>
        <v>65000000000158</v>
      </c>
      <c r="AP167" s="64">
        <f t="shared" si="77"/>
        <v>65000000000158</v>
      </c>
      <c r="AQ167" s="64">
        <f t="shared" si="78"/>
        <v>65000000000158</v>
      </c>
      <c r="AS167" s="64">
        <f t="shared" si="79"/>
        <v>65000000000158</v>
      </c>
      <c r="AU167" s="59" t="str">
        <f t="shared" si="100"/>
        <v>PERFORM * FROM "SchData-OLTP-Accounting"."Func_TblChartOfAccount_SET"(varSystemLoginSession, null, null, null, varInstitutionBranchID, 62000000000001::bigint,'3-1000', 'Share Capital', 62000000000001::bigint, '2016-01-01 00:00:00'::timestamp, null::timestamp, 65000000000158::bigint, 66000000000001::bigint);</v>
      </c>
      <c r="AV167" s="65">
        <f t="shared" si="101"/>
        <v>65000000000159</v>
      </c>
      <c r="AW167" s="65">
        <f t="shared" si="102"/>
        <v>65000000000158</v>
      </c>
      <c r="AY167" s="65">
        <f t="shared" si="92"/>
        <v>65000000000158</v>
      </c>
      <c r="BA167" s="78">
        <f t="shared" si="103"/>
        <v>65000000000159</v>
      </c>
      <c r="BB167" s="81" t="str">
        <f t="shared" si="93"/>
        <v>PERFORM * FROM "SchData-OLTP-Accounting"."Func_TblChartOfAccount_SET"(varSystemLoginSession, null, null, null, null, null, varInstitutionBranchID, 62000000000001::bigint,'3-1000', 'Share Capital', 62000000000001::bigint, '2016-01-01 00:00:00'::timestamp, null::timestamp, 65000000000158::bigint, 66000000000001::bigint, FALSE::boolean);</v>
      </c>
    </row>
    <row r="168" spans="2:54" x14ac:dyDescent="0.2">
      <c r="B168" s="39"/>
      <c r="C168" s="40"/>
      <c r="D168" s="39"/>
      <c r="E168" s="40"/>
      <c r="F168" s="43"/>
      <c r="G168" s="42"/>
      <c r="H168" s="51"/>
      <c r="I168" s="42"/>
      <c r="J168" s="51" t="s">
        <v>1747</v>
      </c>
      <c r="K168" s="42" t="s">
        <v>1430</v>
      </c>
      <c r="L168" s="50"/>
      <c r="M168" s="33"/>
      <c r="O168" s="58" t="str">
        <f t="shared" si="80"/>
        <v>3-0000</v>
      </c>
      <c r="P168" s="58" t="str">
        <f t="shared" si="81"/>
        <v>3-1000</v>
      </c>
      <c r="Q168" s="58" t="str">
        <f t="shared" si="82"/>
        <v>2-1200</v>
      </c>
      <c r="R168" s="58" t="str">
        <f t="shared" si="83"/>
        <v>2-3001</v>
      </c>
      <c r="S168" s="58" t="str">
        <f t="shared" si="84"/>
        <v>3-1000.01</v>
      </c>
      <c r="T168" s="58" t="str">
        <f t="shared" si="85"/>
        <v xml:space="preserve"> </v>
      </c>
      <c r="V168" s="72">
        <f t="shared" si="86"/>
        <v>65000000000160</v>
      </c>
      <c r="W168" s="60">
        <f t="shared" si="87"/>
        <v>65000000000158</v>
      </c>
      <c r="X168" s="60">
        <f t="shared" si="88"/>
        <v>65000000000159</v>
      </c>
      <c r="Y168" s="60">
        <f t="shared" si="89"/>
        <v>65000000000147</v>
      </c>
      <c r="Z168" s="60">
        <f t="shared" si="90"/>
        <v>65000000000155</v>
      </c>
      <c r="AA168" s="60">
        <f t="shared" si="73"/>
        <v>65000000000160</v>
      </c>
      <c r="AB168" s="60">
        <f t="shared" si="91"/>
        <v>65000000000000</v>
      </c>
      <c r="AD168" s="60">
        <f t="shared" si="94"/>
        <v>3</v>
      </c>
      <c r="AE168" s="60">
        <f t="shared" si="95"/>
        <v>2</v>
      </c>
      <c r="AF168" s="60">
        <f t="shared" si="96"/>
        <v>1</v>
      </c>
      <c r="AG168" s="60">
        <f t="shared" si="97"/>
        <v>4</v>
      </c>
      <c r="AH168" s="60">
        <f t="shared" si="98"/>
        <v>4</v>
      </c>
      <c r="AI168" s="60">
        <f t="shared" si="99"/>
        <v>1</v>
      </c>
      <c r="AK168" s="68" t="str">
        <f t="shared" si="74"/>
        <v>L5</v>
      </c>
      <c r="AM168" s="64" t="s">
        <v>1755</v>
      </c>
      <c r="AN168" s="64">
        <f t="shared" si="75"/>
        <v>65000000000158</v>
      </c>
      <c r="AO168" s="64">
        <f t="shared" si="76"/>
        <v>65000000000159</v>
      </c>
      <c r="AP168" s="64">
        <f t="shared" si="77"/>
        <v>65000000000159</v>
      </c>
      <c r="AQ168" s="64">
        <f t="shared" si="78"/>
        <v>65000000000159</v>
      </c>
      <c r="AS168" s="64">
        <f t="shared" si="79"/>
        <v>65000000000159</v>
      </c>
      <c r="AU168" s="59" t="str">
        <f t="shared" si="100"/>
        <v>PERFORM * FROM "SchData-OLTP-Accounting"."Func_TblChartOfAccount_SET"(varSystemLoginSession, null, null, null, varInstitutionBranchID, 62000000000001::bigint,'3-1000.01', 'Share Capital (IDR)', 62000000000001::bigint, '2016-01-01 00:00:00'::timestamp, null::timestamp, 65000000000159::bigint, 66000000000001::bigint);</v>
      </c>
      <c r="AV168" s="65">
        <f t="shared" si="101"/>
        <v>65000000000160</v>
      </c>
      <c r="AW168" s="65">
        <f t="shared" si="102"/>
        <v>65000000000159</v>
      </c>
      <c r="AY168" s="65">
        <f t="shared" si="92"/>
        <v>65000000000159</v>
      </c>
      <c r="BA168" s="78">
        <f t="shared" si="103"/>
        <v>65000000000160</v>
      </c>
      <c r="BB168" s="81" t="str">
        <f t="shared" si="93"/>
        <v>PERFORM * FROM "SchData-OLTP-Accounting"."Func_TblChartOfAccount_SET"(varSystemLoginSession, null, null, null, null, null, varInstitutionBranchID, 62000000000001::bigint,'3-1000.01', 'Share Capital (IDR)', 62000000000001::bigint, '2016-01-01 00:00:00'::timestamp, null::timestamp, 65000000000159::bigint, 66000000000001::bigint, FALSE::boolean);</v>
      </c>
    </row>
    <row r="169" spans="2:54" x14ac:dyDescent="0.2">
      <c r="B169" s="41"/>
      <c r="C169" s="42"/>
      <c r="D169" s="43" t="s">
        <v>1090</v>
      </c>
      <c r="E169" s="42" t="s">
        <v>315</v>
      </c>
      <c r="F169" s="39"/>
      <c r="G169" s="40"/>
      <c r="H169" s="51"/>
      <c r="I169" s="42"/>
      <c r="J169" s="51"/>
      <c r="K169" s="18"/>
      <c r="L169" s="51"/>
      <c r="M169" s="18"/>
      <c r="O169" s="58" t="str">
        <f t="shared" si="80"/>
        <v>3-0000</v>
      </c>
      <c r="P169" s="58" t="str">
        <f t="shared" si="81"/>
        <v>3-2000</v>
      </c>
      <c r="Q169" s="58" t="str">
        <f t="shared" si="82"/>
        <v>2-1200</v>
      </c>
      <c r="R169" s="58" t="str">
        <f t="shared" si="83"/>
        <v>2-3001</v>
      </c>
      <c r="S169" s="58" t="str">
        <f t="shared" si="84"/>
        <v>3-1000.01</v>
      </c>
      <c r="T169" s="58" t="str">
        <f t="shared" si="85"/>
        <v xml:space="preserve"> </v>
      </c>
      <c r="V169" s="72">
        <f t="shared" si="86"/>
        <v>65000000000161</v>
      </c>
      <c r="W169" s="60">
        <f t="shared" si="87"/>
        <v>65000000000158</v>
      </c>
      <c r="X169" s="60">
        <f t="shared" si="88"/>
        <v>65000000000161</v>
      </c>
      <c r="Y169" s="60">
        <f t="shared" si="89"/>
        <v>65000000000147</v>
      </c>
      <c r="Z169" s="60">
        <f t="shared" si="90"/>
        <v>65000000000155</v>
      </c>
      <c r="AA169" s="60">
        <f t="shared" si="73"/>
        <v>65000000000160</v>
      </c>
      <c r="AB169" s="60">
        <f t="shared" si="91"/>
        <v>65000000000000</v>
      </c>
      <c r="AD169" s="60">
        <f t="shared" si="94"/>
        <v>3</v>
      </c>
      <c r="AE169" s="60">
        <f t="shared" si="95"/>
        <v>3</v>
      </c>
      <c r="AF169" s="60">
        <f t="shared" si="96"/>
        <v>1</v>
      </c>
      <c r="AG169" s="60">
        <f t="shared" si="97"/>
        <v>4</v>
      </c>
      <c r="AH169" s="60">
        <f t="shared" si="98"/>
        <v>4</v>
      </c>
      <c r="AI169" s="60">
        <f t="shared" si="99"/>
        <v>1</v>
      </c>
      <c r="AK169" s="68" t="str">
        <f t="shared" si="74"/>
        <v>L2</v>
      </c>
      <c r="AM169" s="64" t="s">
        <v>1755</v>
      </c>
      <c r="AN169" s="64">
        <f t="shared" si="75"/>
        <v>65000000000158</v>
      </c>
      <c r="AO169" s="64">
        <f t="shared" si="76"/>
        <v>65000000000159</v>
      </c>
      <c r="AP169" s="64">
        <f t="shared" si="77"/>
        <v>65000000000159</v>
      </c>
      <c r="AQ169" s="64">
        <f t="shared" si="78"/>
        <v>65000000000159</v>
      </c>
      <c r="AS169" s="64">
        <f t="shared" si="79"/>
        <v>65000000000158</v>
      </c>
      <c r="AU169" s="59" t="str">
        <f t="shared" si="100"/>
        <v>PERFORM * FROM "SchData-OLTP-Accounting"."Func_TblChartOfAccount_SET"(varSystemLoginSession, null, null, null, varInstitutionBranchID, 62000000000001::bigint,'3-2000', 'R/E Profits/Losses Prev Year', 62000000000001::bigint, '2016-01-01 00:00:00'::timestamp, null::timestamp, 65000000000158::bigint, 66000000000001::bigint);</v>
      </c>
      <c r="AV169" s="65">
        <f t="shared" si="101"/>
        <v>65000000000161</v>
      </c>
      <c r="AW169" s="65">
        <f t="shared" si="102"/>
        <v>65000000000158</v>
      </c>
      <c r="AY169" s="65">
        <f t="shared" si="92"/>
        <v>65000000000158</v>
      </c>
      <c r="BA169" s="78">
        <f t="shared" si="103"/>
        <v>65000000000161</v>
      </c>
      <c r="BB169" s="81" t="str">
        <f t="shared" si="93"/>
        <v>PERFORM * FROM "SchData-OLTP-Accounting"."Func_TblChartOfAccount_SET"(varSystemLoginSession, null, null, null, null, null, varInstitutionBranchID, 62000000000001::bigint,'3-2000', 'R/E Profits/Losses Prev Year', 62000000000001::bigint, '2016-01-01 00:00:00'::timestamp, null::timestamp, 65000000000158::bigint, 66000000000001::bigint, FALSE::boolean);</v>
      </c>
    </row>
    <row r="170" spans="2:54" x14ac:dyDescent="0.2">
      <c r="B170" s="39"/>
      <c r="C170" s="40"/>
      <c r="D170" s="39"/>
      <c r="E170" s="40"/>
      <c r="F170" s="43"/>
      <c r="G170" s="42"/>
      <c r="H170" s="51"/>
      <c r="I170" s="42"/>
      <c r="J170" s="51" t="s">
        <v>1748</v>
      </c>
      <c r="K170" s="42" t="s">
        <v>1270</v>
      </c>
      <c r="L170" s="50"/>
      <c r="M170" s="33"/>
      <c r="O170" s="58" t="str">
        <f t="shared" si="80"/>
        <v>3-0000</v>
      </c>
      <c r="P170" s="58" t="str">
        <f t="shared" si="81"/>
        <v>3-2000</v>
      </c>
      <c r="Q170" s="58" t="str">
        <f t="shared" si="82"/>
        <v>2-1200</v>
      </c>
      <c r="R170" s="58" t="str">
        <f t="shared" si="83"/>
        <v>2-3001</v>
      </c>
      <c r="S170" s="58" t="str">
        <f t="shared" si="84"/>
        <v>3-2000.01</v>
      </c>
      <c r="T170" s="58" t="str">
        <f t="shared" si="85"/>
        <v xml:space="preserve"> </v>
      </c>
      <c r="V170" s="72">
        <f t="shared" si="86"/>
        <v>65000000000162</v>
      </c>
      <c r="W170" s="60">
        <f t="shared" si="87"/>
        <v>65000000000158</v>
      </c>
      <c r="X170" s="60">
        <f t="shared" si="88"/>
        <v>65000000000161</v>
      </c>
      <c r="Y170" s="60">
        <f t="shared" si="89"/>
        <v>65000000000147</v>
      </c>
      <c r="Z170" s="60">
        <f t="shared" si="90"/>
        <v>65000000000155</v>
      </c>
      <c r="AA170" s="60">
        <f t="shared" si="73"/>
        <v>65000000000162</v>
      </c>
      <c r="AB170" s="60">
        <f t="shared" si="91"/>
        <v>65000000000000</v>
      </c>
      <c r="AD170" s="60">
        <f t="shared" si="94"/>
        <v>3</v>
      </c>
      <c r="AE170" s="60">
        <f t="shared" si="95"/>
        <v>3</v>
      </c>
      <c r="AF170" s="60">
        <f t="shared" si="96"/>
        <v>1</v>
      </c>
      <c r="AG170" s="60">
        <f t="shared" si="97"/>
        <v>4</v>
      </c>
      <c r="AH170" s="60">
        <f t="shared" si="98"/>
        <v>5</v>
      </c>
      <c r="AI170" s="60">
        <f t="shared" si="99"/>
        <v>1</v>
      </c>
      <c r="AK170" s="68" t="str">
        <f t="shared" si="74"/>
        <v>L5</v>
      </c>
      <c r="AM170" s="64" t="s">
        <v>1755</v>
      </c>
      <c r="AN170" s="64">
        <f t="shared" si="75"/>
        <v>65000000000158</v>
      </c>
      <c r="AO170" s="64">
        <f t="shared" si="76"/>
        <v>65000000000161</v>
      </c>
      <c r="AP170" s="64">
        <f t="shared" si="77"/>
        <v>65000000000161</v>
      </c>
      <c r="AQ170" s="64">
        <f t="shared" si="78"/>
        <v>65000000000161</v>
      </c>
      <c r="AS170" s="64">
        <f t="shared" si="79"/>
        <v>65000000000161</v>
      </c>
      <c r="AU170" s="59" t="str">
        <f t="shared" si="100"/>
        <v>PERFORM * FROM "SchData-OLTP-Accounting"."Func_TblChartOfAccount_SET"(varSystemLoginSession, null, null, null, varInstitutionBranchID, 62000000000001::bigint,'3-2000.01', 'R/E Profits/Losses Prev Year (IDR)', 62000000000001::bigint, '2016-01-01 00:00:00'::timestamp, null::timestamp, 65000000000161::bigint, 66000000000001::bigint);</v>
      </c>
      <c r="AV170" s="65">
        <f t="shared" si="101"/>
        <v>65000000000162</v>
      </c>
      <c r="AW170" s="65">
        <f t="shared" si="102"/>
        <v>65000000000161</v>
      </c>
      <c r="AY170" s="65">
        <f t="shared" si="92"/>
        <v>65000000000161</v>
      </c>
      <c r="BA170" s="78">
        <f t="shared" si="103"/>
        <v>65000000000162</v>
      </c>
      <c r="BB170" s="81" t="str">
        <f t="shared" si="93"/>
        <v>PERFORM * FROM "SchData-OLTP-Accounting"."Func_TblChartOfAccount_SET"(varSystemLoginSession, null, null, null, null, null, varInstitutionBranchID, 62000000000001::bigint,'3-2000.01', 'R/E Profits/Losses Prev Year (IDR)', 62000000000001::bigint, '2016-01-01 00:00:00'::timestamp, null::timestamp, 65000000000161::bigint, 66000000000001::bigint, FALSE::boolean);</v>
      </c>
    </row>
    <row r="171" spans="2:54" x14ac:dyDescent="0.2">
      <c r="B171" s="41"/>
      <c r="C171" s="42"/>
      <c r="D171" s="43" t="s">
        <v>1091</v>
      </c>
      <c r="E171" s="42" t="s">
        <v>317</v>
      </c>
      <c r="F171" s="39"/>
      <c r="G171" s="40"/>
      <c r="H171" s="51"/>
      <c r="I171" s="42"/>
      <c r="J171" s="51"/>
      <c r="K171" s="18"/>
      <c r="L171" s="51"/>
      <c r="M171" s="18"/>
      <c r="O171" s="58" t="str">
        <f t="shared" si="80"/>
        <v>3-0000</v>
      </c>
      <c r="P171" s="58" t="str">
        <f t="shared" si="81"/>
        <v>3-3000</v>
      </c>
      <c r="Q171" s="58" t="str">
        <f t="shared" si="82"/>
        <v>2-1200</v>
      </c>
      <c r="R171" s="58" t="str">
        <f t="shared" si="83"/>
        <v>2-3001</v>
      </c>
      <c r="S171" s="58" t="str">
        <f t="shared" si="84"/>
        <v>3-2000.01</v>
      </c>
      <c r="T171" s="58" t="str">
        <f t="shared" si="85"/>
        <v xml:space="preserve"> </v>
      </c>
      <c r="V171" s="72">
        <f t="shared" si="86"/>
        <v>65000000000163</v>
      </c>
      <c r="W171" s="60">
        <f t="shared" si="87"/>
        <v>65000000000158</v>
      </c>
      <c r="X171" s="60">
        <f t="shared" si="88"/>
        <v>65000000000163</v>
      </c>
      <c r="Y171" s="60">
        <f t="shared" si="89"/>
        <v>65000000000147</v>
      </c>
      <c r="Z171" s="60">
        <f t="shared" si="90"/>
        <v>65000000000155</v>
      </c>
      <c r="AA171" s="60">
        <f t="shared" si="73"/>
        <v>65000000000162</v>
      </c>
      <c r="AB171" s="60">
        <f t="shared" si="91"/>
        <v>65000000000000</v>
      </c>
      <c r="AD171" s="60">
        <f t="shared" si="94"/>
        <v>3</v>
      </c>
      <c r="AE171" s="60">
        <f t="shared" si="95"/>
        <v>4</v>
      </c>
      <c r="AF171" s="60">
        <f t="shared" si="96"/>
        <v>1</v>
      </c>
      <c r="AG171" s="60">
        <f t="shared" si="97"/>
        <v>4</v>
      </c>
      <c r="AH171" s="60">
        <f t="shared" si="98"/>
        <v>5</v>
      </c>
      <c r="AI171" s="60">
        <f t="shared" si="99"/>
        <v>1</v>
      </c>
      <c r="AK171" s="68" t="str">
        <f t="shared" si="74"/>
        <v>L2</v>
      </c>
      <c r="AM171" s="64" t="s">
        <v>1755</v>
      </c>
      <c r="AN171" s="64">
        <f t="shared" si="75"/>
        <v>65000000000158</v>
      </c>
      <c r="AO171" s="64">
        <f t="shared" si="76"/>
        <v>65000000000161</v>
      </c>
      <c r="AP171" s="64">
        <f t="shared" si="77"/>
        <v>65000000000161</v>
      </c>
      <c r="AQ171" s="64">
        <f t="shared" si="78"/>
        <v>65000000000161</v>
      </c>
      <c r="AS171" s="64">
        <f t="shared" si="79"/>
        <v>65000000000158</v>
      </c>
      <c r="AU171" s="59" t="str">
        <f t="shared" si="100"/>
        <v>PERFORM * FROM "SchData-OLTP-Accounting"."Func_TblChartOfAccount_SET"(varSystemLoginSession, null, null, null, varInstitutionBranchID, 62000000000001::bigint,'3-3000', 'Current Year Earnings', 62000000000001::bigint, '2016-01-01 00:00:00'::timestamp, null::timestamp, 65000000000158::bigint, 66000000000001::bigint);</v>
      </c>
      <c r="AV171" s="65">
        <f t="shared" si="101"/>
        <v>65000000000163</v>
      </c>
      <c r="AW171" s="65">
        <f t="shared" si="102"/>
        <v>65000000000158</v>
      </c>
      <c r="AY171" s="65">
        <f t="shared" si="92"/>
        <v>65000000000158</v>
      </c>
      <c r="BA171" s="78">
        <f t="shared" si="103"/>
        <v>65000000000163</v>
      </c>
      <c r="BB171" s="81" t="str">
        <f t="shared" si="93"/>
        <v>PERFORM * FROM "SchData-OLTP-Accounting"."Func_TblChartOfAccount_SET"(varSystemLoginSession, null, null, null, null, null, varInstitutionBranchID, 62000000000001::bigint,'3-3000', 'Current Year Earnings', 62000000000001::bigint, '2016-01-01 00:00:00'::timestamp, null::timestamp, 65000000000158::bigint, 66000000000001::bigint, FALSE::boolean);</v>
      </c>
    </row>
    <row r="172" spans="2:54" x14ac:dyDescent="0.2">
      <c r="B172" s="41"/>
      <c r="C172" s="42"/>
      <c r="D172" s="43"/>
      <c r="E172" s="42"/>
      <c r="F172" s="43"/>
      <c r="G172" s="42"/>
      <c r="H172" s="51"/>
      <c r="I172" s="42"/>
      <c r="J172" s="51" t="s">
        <v>1749</v>
      </c>
      <c r="K172" s="42" t="s">
        <v>1271</v>
      </c>
      <c r="L172" s="51"/>
      <c r="M172" s="18"/>
      <c r="O172" s="58" t="str">
        <f t="shared" si="80"/>
        <v>3-0000</v>
      </c>
      <c r="P172" s="58" t="str">
        <f t="shared" si="81"/>
        <v>3-3000</v>
      </c>
      <c r="Q172" s="58" t="str">
        <f t="shared" si="82"/>
        <v>2-1200</v>
      </c>
      <c r="R172" s="58" t="str">
        <f t="shared" si="83"/>
        <v>2-3001</v>
      </c>
      <c r="S172" s="58" t="str">
        <f t="shared" si="84"/>
        <v>3-3000.01</v>
      </c>
      <c r="T172" s="58" t="str">
        <f t="shared" si="85"/>
        <v xml:space="preserve"> </v>
      </c>
      <c r="V172" s="72">
        <f t="shared" si="86"/>
        <v>65000000000164</v>
      </c>
      <c r="W172" s="60">
        <f t="shared" si="87"/>
        <v>65000000000158</v>
      </c>
      <c r="X172" s="60">
        <f t="shared" si="88"/>
        <v>65000000000163</v>
      </c>
      <c r="Y172" s="60">
        <f t="shared" si="89"/>
        <v>65000000000147</v>
      </c>
      <c r="Z172" s="60">
        <f t="shared" si="90"/>
        <v>65000000000155</v>
      </c>
      <c r="AA172" s="60">
        <f t="shared" si="73"/>
        <v>65000000000164</v>
      </c>
      <c r="AB172" s="60">
        <f t="shared" si="91"/>
        <v>65000000000000</v>
      </c>
      <c r="AD172" s="60">
        <f t="shared" si="94"/>
        <v>3</v>
      </c>
      <c r="AE172" s="60">
        <f t="shared" si="95"/>
        <v>4</v>
      </c>
      <c r="AF172" s="60">
        <f t="shared" si="96"/>
        <v>1</v>
      </c>
      <c r="AG172" s="60">
        <f t="shared" si="97"/>
        <v>4</v>
      </c>
      <c r="AH172" s="60">
        <f t="shared" si="98"/>
        <v>6</v>
      </c>
      <c r="AI172" s="60">
        <f t="shared" si="99"/>
        <v>1</v>
      </c>
      <c r="AK172" s="68" t="str">
        <f t="shared" si="74"/>
        <v>L5</v>
      </c>
      <c r="AM172" s="64" t="s">
        <v>1755</v>
      </c>
      <c r="AN172" s="64">
        <f t="shared" si="75"/>
        <v>65000000000158</v>
      </c>
      <c r="AO172" s="64">
        <f t="shared" si="76"/>
        <v>65000000000163</v>
      </c>
      <c r="AP172" s="64">
        <f t="shared" si="77"/>
        <v>65000000000163</v>
      </c>
      <c r="AQ172" s="64">
        <f t="shared" si="78"/>
        <v>65000000000163</v>
      </c>
      <c r="AS172" s="64">
        <f t="shared" si="79"/>
        <v>65000000000163</v>
      </c>
      <c r="AU172" s="59" t="str">
        <f t="shared" si="100"/>
        <v>PERFORM * FROM "SchData-OLTP-Accounting"."Func_TblChartOfAccount_SET"(varSystemLoginSession, null, null, null, varInstitutionBranchID, 62000000000001::bigint,'3-3000.01', 'Current Year Earnings (IDR)', 62000000000001::bigint, '2016-01-01 00:00:00'::timestamp, null::timestamp, 65000000000163::bigint, 66000000000001::bigint);</v>
      </c>
      <c r="AV172" s="65">
        <f t="shared" si="101"/>
        <v>65000000000164</v>
      </c>
      <c r="AW172" s="65">
        <f t="shared" si="102"/>
        <v>65000000000163</v>
      </c>
      <c r="AY172" s="65">
        <f t="shared" si="92"/>
        <v>65000000000163</v>
      </c>
      <c r="BA172" s="78">
        <f t="shared" si="103"/>
        <v>65000000000164</v>
      </c>
      <c r="BB172" s="81" t="str">
        <f t="shared" si="93"/>
        <v>PERFORM * FROM "SchData-OLTP-Accounting"."Func_TblChartOfAccount_SET"(varSystemLoginSession, null, null, null, null, null, varInstitutionBranchID, 62000000000001::bigint,'3-3000.01', 'Current Year Earnings (IDR)', 62000000000001::bigint, '2016-01-01 00:00:00'::timestamp, null::timestamp, 65000000000163::bigint, 66000000000001::bigint, FALSE::boolean);</v>
      </c>
    </row>
    <row r="173" spans="2:54" x14ac:dyDescent="0.2">
      <c r="B173" s="41"/>
      <c r="C173" s="42"/>
      <c r="D173" s="43" t="s">
        <v>1092</v>
      </c>
      <c r="E173" s="42" t="s">
        <v>671</v>
      </c>
      <c r="F173" s="43"/>
      <c r="G173" s="42"/>
      <c r="H173" s="51"/>
      <c r="I173" s="42"/>
      <c r="J173" s="51"/>
      <c r="K173" s="18"/>
      <c r="L173" s="51"/>
      <c r="M173" s="18"/>
      <c r="O173" s="58" t="str">
        <f t="shared" si="80"/>
        <v>3-0000</v>
      </c>
      <c r="P173" s="58" t="str">
        <f t="shared" si="81"/>
        <v>3-9000</v>
      </c>
      <c r="Q173" s="58" t="str">
        <f t="shared" si="82"/>
        <v>2-1200</v>
      </c>
      <c r="R173" s="58" t="str">
        <f t="shared" si="83"/>
        <v>2-3001</v>
      </c>
      <c r="S173" s="58" t="str">
        <f t="shared" si="84"/>
        <v>3-3000.01</v>
      </c>
      <c r="T173" s="58" t="str">
        <f t="shared" si="85"/>
        <v xml:space="preserve"> </v>
      </c>
      <c r="V173" s="72">
        <f t="shared" si="86"/>
        <v>65000000000165</v>
      </c>
      <c r="W173" s="60">
        <f t="shared" si="87"/>
        <v>65000000000158</v>
      </c>
      <c r="X173" s="60">
        <f t="shared" si="88"/>
        <v>65000000000165</v>
      </c>
      <c r="Y173" s="60">
        <f t="shared" si="89"/>
        <v>65000000000147</v>
      </c>
      <c r="Z173" s="60">
        <f t="shared" si="90"/>
        <v>65000000000155</v>
      </c>
      <c r="AA173" s="60">
        <f t="shared" si="73"/>
        <v>65000000000164</v>
      </c>
      <c r="AB173" s="60">
        <f t="shared" si="91"/>
        <v>65000000000000</v>
      </c>
      <c r="AD173" s="60">
        <f t="shared" si="94"/>
        <v>3</v>
      </c>
      <c r="AE173" s="60">
        <f t="shared" si="95"/>
        <v>5</v>
      </c>
      <c r="AF173" s="60">
        <f t="shared" si="96"/>
        <v>1</v>
      </c>
      <c r="AG173" s="60">
        <f t="shared" si="97"/>
        <v>4</v>
      </c>
      <c r="AH173" s="60">
        <f t="shared" si="98"/>
        <v>6</v>
      </c>
      <c r="AI173" s="60">
        <f t="shared" si="99"/>
        <v>1</v>
      </c>
      <c r="AK173" s="68" t="str">
        <f t="shared" si="74"/>
        <v>L2</v>
      </c>
      <c r="AM173" s="64" t="s">
        <v>1755</v>
      </c>
      <c r="AN173" s="64">
        <f t="shared" si="75"/>
        <v>65000000000158</v>
      </c>
      <c r="AO173" s="64">
        <f t="shared" si="76"/>
        <v>65000000000163</v>
      </c>
      <c r="AP173" s="64">
        <f t="shared" si="77"/>
        <v>65000000000163</v>
      </c>
      <c r="AQ173" s="64">
        <f t="shared" si="78"/>
        <v>65000000000163</v>
      </c>
      <c r="AS173" s="64">
        <f t="shared" si="79"/>
        <v>65000000000158</v>
      </c>
      <c r="AU173" s="59" t="str">
        <f t="shared" si="100"/>
        <v>PERFORM * FROM "SchData-OLTP-Accounting"."Func_TblChartOfAccount_SET"(varSystemLoginSession, null, null, null, varInstitutionBranchID, 62000000000001::bigint,'3-9000', 'Historical Balancing', 62000000000001::bigint, '2016-01-01 00:00:00'::timestamp, null::timestamp, 65000000000158::bigint, 66000000000001::bigint);</v>
      </c>
      <c r="AV173" s="65">
        <f t="shared" si="101"/>
        <v>65000000000165</v>
      </c>
      <c r="AW173" s="65">
        <f t="shared" si="102"/>
        <v>65000000000158</v>
      </c>
      <c r="AY173" s="65">
        <f t="shared" si="92"/>
        <v>65000000000158</v>
      </c>
      <c r="BA173" s="78">
        <f t="shared" si="103"/>
        <v>65000000000165</v>
      </c>
      <c r="BB173" s="81" t="str">
        <f t="shared" si="93"/>
        <v>PERFORM * FROM "SchData-OLTP-Accounting"."Func_TblChartOfAccount_SET"(varSystemLoginSession, null, null, null, null, null, varInstitutionBranchID, 62000000000001::bigint,'3-9000', 'Historical Balancing', 62000000000001::bigint, '2016-01-01 00:00:00'::timestamp, null::timestamp, 65000000000158::bigint, 66000000000001::bigint, FALSE::boolean);</v>
      </c>
    </row>
    <row r="174" spans="2:54" x14ac:dyDescent="0.2">
      <c r="B174" s="41"/>
      <c r="C174" s="42"/>
      <c r="D174" s="43"/>
      <c r="E174" s="42"/>
      <c r="F174" s="43"/>
      <c r="G174" s="42"/>
      <c r="H174" s="51"/>
      <c r="I174" s="42"/>
      <c r="J174" s="51" t="s">
        <v>1750</v>
      </c>
      <c r="K174" s="42" t="s">
        <v>1272</v>
      </c>
      <c r="L174" s="51"/>
      <c r="M174" s="18"/>
      <c r="O174" s="58" t="str">
        <f t="shared" si="80"/>
        <v>3-0000</v>
      </c>
      <c r="P174" s="58" t="str">
        <f t="shared" si="81"/>
        <v>3-9000</v>
      </c>
      <c r="Q174" s="58" t="str">
        <f t="shared" si="82"/>
        <v>2-1200</v>
      </c>
      <c r="R174" s="58" t="str">
        <f t="shared" si="83"/>
        <v>2-3001</v>
      </c>
      <c r="S174" s="58" t="str">
        <f t="shared" si="84"/>
        <v>3-9000.01</v>
      </c>
      <c r="T174" s="58" t="str">
        <f t="shared" si="85"/>
        <v xml:space="preserve"> </v>
      </c>
      <c r="V174" s="72">
        <f t="shared" si="86"/>
        <v>65000000000166</v>
      </c>
      <c r="W174" s="60">
        <f t="shared" si="87"/>
        <v>65000000000158</v>
      </c>
      <c r="X174" s="60">
        <f t="shared" si="88"/>
        <v>65000000000165</v>
      </c>
      <c r="Y174" s="60">
        <f t="shared" si="89"/>
        <v>65000000000147</v>
      </c>
      <c r="Z174" s="60">
        <f t="shared" si="90"/>
        <v>65000000000155</v>
      </c>
      <c r="AA174" s="60">
        <f t="shared" si="73"/>
        <v>65000000000166</v>
      </c>
      <c r="AB174" s="60">
        <f t="shared" si="91"/>
        <v>65000000000000</v>
      </c>
      <c r="AD174" s="60">
        <f t="shared" si="94"/>
        <v>3</v>
      </c>
      <c r="AE174" s="60">
        <f t="shared" si="95"/>
        <v>5</v>
      </c>
      <c r="AF174" s="60">
        <f t="shared" si="96"/>
        <v>1</v>
      </c>
      <c r="AG174" s="60">
        <f t="shared" si="97"/>
        <v>4</v>
      </c>
      <c r="AH174" s="60">
        <f t="shared" si="98"/>
        <v>7</v>
      </c>
      <c r="AI174" s="60">
        <f t="shared" si="99"/>
        <v>1</v>
      </c>
      <c r="AK174" s="68" t="str">
        <f t="shared" si="74"/>
        <v>L5</v>
      </c>
      <c r="AM174" s="64" t="s">
        <v>1755</v>
      </c>
      <c r="AN174" s="64">
        <f t="shared" si="75"/>
        <v>65000000000158</v>
      </c>
      <c r="AO174" s="64">
        <f t="shared" si="76"/>
        <v>65000000000165</v>
      </c>
      <c r="AP174" s="64">
        <f t="shared" si="77"/>
        <v>65000000000165</v>
      </c>
      <c r="AQ174" s="64">
        <f t="shared" si="78"/>
        <v>65000000000165</v>
      </c>
      <c r="AS174" s="64">
        <f t="shared" si="79"/>
        <v>65000000000165</v>
      </c>
      <c r="AU174" s="59" t="str">
        <f t="shared" si="100"/>
        <v>PERFORM * FROM "SchData-OLTP-Accounting"."Func_TblChartOfAccount_SET"(varSystemLoginSession, null, null, null, varInstitutionBranchID, 62000000000001::bigint,'3-9000.01', 'Historical Balancing (IDR)', 62000000000001::bigint, '2016-01-01 00:00:00'::timestamp, null::timestamp, 65000000000165::bigint, 66000000000001::bigint);</v>
      </c>
      <c r="AV174" s="65">
        <f t="shared" si="101"/>
        <v>65000000000166</v>
      </c>
      <c r="AW174" s="65">
        <f t="shared" si="102"/>
        <v>65000000000165</v>
      </c>
      <c r="AY174" s="65">
        <f t="shared" si="92"/>
        <v>65000000000165</v>
      </c>
      <c r="BA174" s="78">
        <f t="shared" si="103"/>
        <v>65000000000166</v>
      </c>
      <c r="BB174" s="81" t="str">
        <f t="shared" si="93"/>
        <v>PERFORM * FROM "SchData-OLTP-Accounting"."Func_TblChartOfAccount_SET"(varSystemLoginSession, null, null, null, null, null, varInstitutionBranchID, 62000000000001::bigint,'3-9000.01', 'Historical Balancing (IDR)', 62000000000001::bigint, '2016-01-01 00:00:00'::timestamp, null::timestamp, 65000000000165::bigint, 66000000000001::bigint, FALSE::boolean);</v>
      </c>
    </row>
    <row r="175" spans="2:54" x14ac:dyDescent="0.2">
      <c r="B175" s="47"/>
      <c r="C175" s="48"/>
      <c r="D175" s="49"/>
      <c r="E175" s="48"/>
      <c r="F175" s="49"/>
      <c r="G175" s="48"/>
      <c r="H175" s="54"/>
      <c r="I175" s="24"/>
      <c r="J175" s="54"/>
      <c r="K175" s="24"/>
      <c r="L175" s="54"/>
      <c r="M175" s="24"/>
      <c r="O175" s="58" t="str">
        <f t="shared" si="80"/>
        <v>3-0000</v>
      </c>
      <c r="P175" s="58" t="str">
        <f t="shared" si="81"/>
        <v>3-9000</v>
      </c>
      <c r="Q175" s="58" t="str">
        <f t="shared" si="82"/>
        <v>2-1200</v>
      </c>
      <c r="R175" s="58" t="str">
        <f t="shared" si="83"/>
        <v>2-3001</v>
      </c>
      <c r="S175" s="58" t="str">
        <f t="shared" si="84"/>
        <v>3-9000.01</v>
      </c>
      <c r="T175" s="58" t="str">
        <f t="shared" si="85"/>
        <v xml:space="preserve"> </v>
      </c>
      <c r="V175" s="72">
        <f t="shared" si="86"/>
        <v>65000000000166</v>
      </c>
      <c r="W175" s="60">
        <f t="shared" si="87"/>
        <v>65000000000158</v>
      </c>
      <c r="X175" s="60">
        <f t="shared" si="88"/>
        <v>65000000000165</v>
      </c>
      <c r="Y175" s="60">
        <f t="shared" si="89"/>
        <v>65000000000147</v>
      </c>
      <c r="Z175" s="60">
        <f t="shared" si="90"/>
        <v>65000000000155</v>
      </c>
      <c r="AA175" s="60">
        <f t="shared" si="73"/>
        <v>65000000000166</v>
      </c>
      <c r="AB175" s="60">
        <f t="shared" si="91"/>
        <v>65000000000000</v>
      </c>
      <c r="AD175" s="60">
        <f t="shared" si="94"/>
        <v>3</v>
      </c>
      <c r="AE175" s="60">
        <f t="shared" si="95"/>
        <v>5</v>
      </c>
      <c r="AF175" s="60">
        <f t="shared" si="96"/>
        <v>1</v>
      </c>
      <c r="AG175" s="60">
        <f t="shared" si="97"/>
        <v>4</v>
      </c>
      <c r="AH175" s="60">
        <f t="shared" si="98"/>
        <v>7</v>
      </c>
      <c r="AI175" s="60">
        <f t="shared" si="99"/>
        <v>1</v>
      </c>
      <c r="AK175" s="68" t="str">
        <f t="shared" si="74"/>
        <v>L1</v>
      </c>
      <c r="AM175" s="64" t="s">
        <v>1755</v>
      </c>
      <c r="AN175" s="64">
        <f t="shared" si="75"/>
        <v>65000000000158</v>
      </c>
      <c r="AO175" s="64">
        <f t="shared" si="76"/>
        <v>65000000000165</v>
      </c>
      <c r="AP175" s="64">
        <f t="shared" si="77"/>
        <v>65000000000165</v>
      </c>
      <c r="AQ175" s="64">
        <f t="shared" si="78"/>
        <v>65000000000165</v>
      </c>
      <c r="AS175" s="64" t="str">
        <f t="shared" si="79"/>
        <v>null</v>
      </c>
      <c r="AU175" s="59" t="str">
        <f t="shared" si="100"/>
        <v/>
      </c>
      <c r="AV175" s="65" t="str">
        <f t="shared" si="101"/>
        <v/>
      </c>
      <c r="AW175" s="65" t="str">
        <f t="shared" si="102"/>
        <v>null</v>
      </c>
      <c r="AY175" s="65" t="str">
        <f t="shared" si="92"/>
        <v/>
      </c>
      <c r="BA175" s="78">
        <f t="shared" si="103"/>
        <v>65000000000166</v>
      </c>
      <c r="BB175" s="81" t="str">
        <f t="shared" si="93"/>
        <v/>
      </c>
    </row>
    <row r="176" spans="2:54" x14ac:dyDescent="0.2">
      <c r="B176" s="43" t="s">
        <v>1077</v>
      </c>
      <c r="C176" s="42" t="s">
        <v>710</v>
      </c>
      <c r="D176" s="43"/>
      <c r="E176" s="42"/>
      <c r="F176" s="43"/>
      <c r="G176" s="42"/>
      <c r="H176" s="51"/>
      <c r="I176" s="18"/>
      <c r="J176" s="51"/>
      <c r="K176" s="18"/>
      <c r="L176" s="51"/>
      <c r="M176" s="18"/>
      <c r="O176" s="58" t="str">
        <f t="shared" si="80"/>
        <v>4-0000</v>
      </c>
      <c r="P176" s="58" t="str">
        <f t="shared" si="81"/>
        <v>3-9000</v>
      </c>
      <c r="Q176" s="58" t="str">
        <f t="shared" si="82"/>
        <v>2-1200</v>
      </c>
      <c r="R176" s="58" t="str">
        <f t="shared" si="83"/>
        <v>2-3001</v>
      </c>
      <c r="S176" s="58" t="str">
        <f t="shared" si="84"/>
        <v>3-9000.01</v>
      </c>
      <c r="T176" s="58" t="str">
        <f t="shared" si="85"/>
        <v xml:space="preserve"> </v>
      </c>
      <c r="V176" s="72">
        <f t="shared" si="86"/>
        <v>65000000000167</v>
      </c>
      <c r="W176" s="60">
        <f t="shared" si="87"/>
        <v>65000000000167</v>
      </c>
      <c r="X176" s="60">
        <f t="shared" si="88"/>
        <v>65000000000165</v>
      </c>
      <c r="Y176" s="60">
        <f t="shared" si="89"/>
        <v>65000000000147</v>
      </c>
      <c r="Z176" s="60">
        <f t="shared" si="90"/>
        <v>65000000000155</v>
      </c>
      <c r="AA176" s="60">
        <f t="shared" si="73"/>
        <v>65000000000166</v>
      </c>
      <c r="AB176" s="60">
        <f t="shared" si="91"/>
        <v>65000000000000</v>
      </c>
      <c r="AD176" s="60">
        <f t="shared" si="94"/>
        <v>4</v>
      </c>
      <c r="AE176" s="60">
        <f t="shared" si="95"/>
        <v>1</v>
      </c>
      <c r="AF176" s="60">
        <f t="shared" si="96"/>
        <v>1</v>
      </c>
      <c r="AG176" s="60">
        <f t="shared" si="97"/>
        <v>4</v>
      </c>
      <c r="AH176" s="60">
        <f t="shared" si="98"/>
        <v>7</v>
      </c>
      <c r="AI176" s="60">
        <f t="shared" si="99"/>
        <v>1</v>
      </c>
      <c r="AK176" s="68" t="str">
        <f t="shared" si="74"/>
        <v>L1</v>
      </c>
      <c r="AM176" s="64" t="s">
        <v>1755</v>
      </c>
      <c r="AN176" s="64">
        <f t="shared" si="75"/>
        <v>65000000000158</v>
      </c>
      <c r="AO176" s="64">
        <f t="shared" si="76"/>
        <v>65000000000158</v>
      </c>
      <c r="AP176" s="64">
        <f t="shared" si="77"/>
        <v>65000000000158</v>
      </c>
      <c r="AQ176" s="64">
        <f t="shared" si="78"/>
        <v>65000000000158</v>
      </c>
      <c r="AS176" s="64" t="str">
        <f t="shared" si="79"/>
        <v>null</v>
      </c>
      <c r="AU176" s="59" t="str">
        <f t="shared" si="100"/>
        <v>PERFORM * FROM "SchData-OLTP-Accounting"."Func_TblChartOfAccount_SET"(varSystemLoginSession, null, null, null, varInstitutionBranchID, 62000000000001::bigint,'4-0000', 'Pendapatan', 62000000000001::bigint, '2016-01-01 00:00:00'::timestamp, null::timestamp, null::bigint, 66000000000001::bigint);</v>
      </c>
      <c r="AV176" s="65">
        <f t="shared" si="101"/>
        <v>65000000000167</v>
      </c>
      <c r="AW176" s="65" t="str">
        <f t="shared" si="102"/>
        <v>null</v>
      </c>
      <c r="AY176" s="65" t="str">
        <f t="shared" si="92"/>
        <v>null</v>
      </c>
      <c r="BA176" s="78">
        <f t="shared" si="103"/>
        <v>65000000000167</v>
      </c>
      <c r="BB176" s="81" t="str">
        <f t="shared" si="93"/>
        <v>PERFORM * FROM "SchData-OLTP-Accounting"."Func_TblChartOfAccount_SET"(varSystemLoginSession, null, null, null, null, null, varInstitutionBranchID, 62000000000001::bigint,'4-0000', 'Pendapatan', 62000000000001::bigint, '2016-01-01 00:00:00'::timestamp, null::timestamp, null::bigint, 66000000000001::bigint, FALSE::boolean);</v>
      </c>
    </row>
    <row r="177" spans="1:54" x14ac:dyDescent="0.2">
      <c r="B177" s="43"/>
      <c r="C177" s="42"/>
      <c r="D177" s="43" t="s">
        <v>1093</v>
      </c>
      <c r="E177" s="42" t="s">
        <v>329</v>
      </c>
      <c r="F177" s="43"/>
      <c r="G177" s="42"/>
      <c r="H177" s="51"/>
      <c r="I177" s="18"/>
      <c r="J177" s="51"/>
      <c r="K177" s="18"/>
      <c r="L177" s="51"/>
      <c r="M177" s="18"/>
      <c r="O177" s="58" t="str">
        <f t="shared" si="80"/>
        <v>4-0000</v>
      </c>
      <c r="P177" s="58" t="str">
        <f t="shared" si="81"/>
        <v>4-1000</v>
      </c>
      <c r="Q177" s="58" t="str">
        <f t="shared" si="82"/>
        <v>2-1200</v>
      </c>
      <c r="R177" s="58" t="str">
        <f t="shared" si="83"/>
        <v>2-3001</v>
      </c>
      <c r="S177" s="58" t="str">
        <f t="shared" si="84"/>
        <v>3-9000.01</v>
      </c>
      <c r="T177" s="58" t="str">
        <f t="shared" si="85"/>
        <v xml:space="preserve"> </v>
      </c>
      <c r="V177" s="72">
        <f t="shared" si="86"/>
        <v>65000000000168</v>
      </c>
      <c r="W177" s="60">
        <f t="shared" si="87"/>
        <v>65000000000167</v>
      </c>
      <c r="X177" s="60">
        <f t="shared" si="88"/>
        <v>65000000000168</v>
      </c>
      <c r="Y177" s="60">
        <f t="shared" si="89"/>
        <v>65000000000147</v>
      </c>
      <c r="Z177" s="60">
        <f t="shared" si="90"/>
        <v>65000000000155</v>
      </c>
      <c r="AA177" s="60">
        <f t="shared" si="73"/>
        <v>65000000000166</v>
      </c>
      <c r="AB177" s="60">
        <f t="shared" si="91"/>
        <v>65000000000000</v>
      </c>
      <c r="AD177" s="60">
        <f t="shared" si="94"/>
        <v>4</v>
      </c>
      <c r="AE177" s="60">
        <f t="shared" si="95"/>
        <v>2</v>
      </c>
      <c r="AF177" s="60">
        <f t="shared" si="96"/>
        <v>1</v>
      </c>
      <c r="AG177" s="60">
        <f t="shared" si="97"/>
        <v>4</v>
      </c>
      <c r="AH177" s="60">
        <f t="shared" si="98"/>
        <v>7</v>
      </c>
      <c r="AI177" s="60">
        <f t="shared" si="99"/>
        <v>1</v>
      </c>
      <c r="AK177" s="68" t="str">
        <f t="shared" si="74"/>
        <v>L2</v>
      </c>
      <c r="AM177" s="64" t="s">
        <v>1755</v>
      </c>
      <c r="AN177" s="64">
        <f t="shared" si="75"/>
        <v>65000000000167</v>
      </c>
      <c r="AO177" s="64">
        <f t="shared" si="76"/>
        <v>65000000000167</v>
      </c>
      <c r="AP177" s="64">
        <f t="shared" si="77"/>
        <v>65000000000167</v>
      </c>
      <c r="AQ177" s="64">
        <f t="shared" si="78"/>
        <v>65000000000167</v>
      </c>
      <c r="AS177" s="64">
        <f t="shared" si="79"/>
        <v>65000000000167</v>
      </c>
      <c r="AU177" s="59" t="str">
        <f t="shared" si="100"/>
        <v>PERFORM * FROM "SchData-OLTP-Accounting"."Func_TblChartOfAccount_SET"(varSystemLoginSession, null, null, null, varInstitutionBranchID, 62000000000001::bigint,'4-1000', 'Completed Project', 62000000000001::bigint, '2016-01-01 00:00:00'::timestamp, null::timestamp, 65000000000167::bigint, 66000000000001::bigint);</v>
      </c>
      <c r="AV177" s="65">
        <f t="shared" si="101"/>
        <v>65000000000168</v>
      </c>
      <c r="AW177" s="65">
        <f t="shared" si="102"/>
        <v>65000000000167</v>
      </c>
      <c r="AY177" s="65">
        <f t="shared" si="92"/>
        <v>65000000000167</v>
      </c>
      <c r="BA177" s="78">
        <f t="shared" si="103"/>
        <v>65000000000168</v>
      </c>
      <c r="BB177" s="81" t="str">
        <f t="shared" si="93"/>
        <v>PERFORM * FROM "SchData-OLTP-Accounting"."Func_TblChartOfAccount_SET"(varSystemLoginSession, null, null, null, null, null, varInstitutionBranchID, 62000000000001::bigint,'4-1000', 'Completed Project', 62000000000001::bigint, '2016-01-01 00:00:00'::timestamp, null::timestamp, 65000000000167::bigint, 66000000000001::bigint, FALSE::boolean);</v>
      </c>
    </row>
    <row r="178" spans="1:54" x14ac:dyDescent="0.2">
      <c r="B178" s="43"/>
      <c r="C178" s="42"/>
      <c r="D178" s="43"/>
      <c r="E178" s="42"/>
      <c r="F178" s="43"/>
      <c r="G178" s="42"/>
      <c r="H178" s="43" t="s">
        <v>1431</v>
      </c>
      <c r="I178" s="42" t="s">
        <v>329</v>
      </c>
      <c r="J178" s="51"/>
      <c r="K178" s="18"/>
      <c r="L178" s="51"/>
      <c r="M178" s="18"/>
      <c r="O178" s="58" t="str">
        <f t="shared" si="80"/>
        <v>4-0000</v>
      </c>
      <c r="P178" s="58" t="str">
        <f t="shared" si="81"/>
        <v>4-1000</v>
      </c>
      <c r="Q178" s="58" t="str">
        <f t="shared" si="82"/>
        <v>2-1200</v>
      </c>
      <c r="R178" s="58" t="str">
        <f t="shared" si="83"/>
        <v>4-1001</v>
      </c>
      <c r="S178" s="58" t="str">
        <f t="shared" si="84"/>
        <v>3-9000.01</v>
      </c>
      <c r="T178" s="58" t="str">
        <f t="shared" si="85"/>
        <v xml:space="preserve"> </v>
      </c>
      <c r="V178" s="72">
        <f t="shared" si="86"/>
        <v>65000000000169</v>
      </c>
      <c r="W178" s="60">
        <f t="shared" si="87"/>
        <v>65000000000167</v>
      </c>
      <c r="X178" s="60">
        <f t="shared" si="88"/>
        <v>65000000000168</v>
      </c>
      <c r="Y178" s="60">
        <f t="shared" si="89"/>
        <v>65000000000147</v>
      </c>
      <c r="Z178" s="60">
        <f t="shared" si="90"/>
        <v>65000000000169</v>
      </c>
      <c r="AA178" s="60">
        <f t="shared" si="73"/>
        <v>65000000000166</v>
      </c>
      <c r="AB178" s="60">
        <f t="shared" si="91"/>
        <v>65000000000000</v>
      </c>
      <c r="AD178" s="60">
        <f t="shared" si="94"/>
        <v>4</v>
      </c>
      <c r="AE178" s="60">
        <f t="shared" si="95"/>
        <v>2</v>
      </c>
      <c r="AF178" s="60">
        <f t="shared" si="96"/>
        <v>1</v>
      </c>
      <c r="AG178" s="60">
        <f t="shared" si="97"/>
        <v>5</v>
      </c>
      <c r="AH178" s="60">
        <f t="shared" si="98"/>
        <v>1</v>
      </c>
      <c r="AI178" s="60">
        <f t="shared" si="99"/>
        <v>1</v>
      </c>
      <c r="AK178" s="68" t="str">
        <f t="shared" si="74"/>
        <v>L4</v>
      </c>
      <c r="AM178" s="64" t="s">
        <v>1755</v>
      </c>
      <c r="AN178" s="64">
        <f t="shared" si="75"/>
        <v>65000000000167</v>
      </c>
      <c r="AO178" s="64">
        <f t="shared" si="76"/>
        <v>65000000000168</v>
      </c>
      <c r="AP178" s="64">
        <f t="shared" si="77"/>
        <v>65000000000168</v>
      </c>
      <c r="AQ178" s="64">
        <f t="shared" si="78"/>
        <v>65000000000168</v>
      </c>
      <c r="AS178" s="64">
        <f t="shared" si="79"/>
        <v>65000000000168</v>
      </c>
      <c r="AU178" s="59" t="str">
        <f t="shared" si="100"/>
        <v>PERFORM * FROM "SchData-OLTP-Accounting"."Func_TblChartOfAccount_SET"(varSystemLoginSession, null, null, null, varInstitutionBranchID, 62000000000001::bigint,'4-1001', 'Completed Project', 62000000000001::bigint, '2016-01-01 00:00:00'::timestamp, null::timestamp, 65000000000168::bigint, 66000000000001::bigint);</v>
      </c>
      <c r="AV178" s="65">
        <f t="shared" si="101"/>
        <v>65000000000169</v>
      </c>
      <c r="AW178" s="65">
        <f t="shared" si="102"/>
        <v>65000000000168</v>
      </c>
      <c r="AY178" s="65">
        <f t="shared" si="92"/>
        <v>65000000000168</v>
      </c>
      <c r="BA178" s="78">
        <f t="shared" si="103"/>
        <v>65000000000169</v>
      </c>
      <c r="BB178" s="81" t="str">
        <f t="shared" si="93"/>
        <v>PERFORM * FROM "SchData-OLTP-Accounting"."Func_TblChartOfAccount_SET"(varSystemLoginSession, null, null, null, null, null, varInstitutionBranchID, 62000000000001::bigint,'4-1001', 'Completed Project', 62000000000001::bigint, '2016-01-01 00:00:00'::timestamp, null::timestamp, 65000000000168::bigint, 66000000000001::bigint, FALSE::boolean);</v>
      </c>
    </row>
    <row r="179" spans="1:54" x14ac:dyDescent="0.2">
      <c r="B179" s="43"/>
      <c r="C179" s="42"/>
      <c r="D179" s="43"/>
      <c r="E179" s="42"/>
      <c r="F179" s="43"/>
      <c r="G179" s="42"/>
      <c r="H179" s="43"/>
      <c r="I179" s="42"/>
      <c r="J179" s="43" t="s">
        <v>1432</v>
      </c>
      <c r="K179" s="42" t="s">
        <v>1273</v>
      </c>
      <c r="L179" s="51"/>
      <c r="M179" s="18"/>
      <c r="O179" s="58" t="str">
        <f t="shared" si="80"/>
        <v>4-0000</v>
      </c>
      <c r="P179" s="58" t="str">
        <f t="shared" si="81"/>
        <v>4-1000</v>
      </c>
      <c r="Q179" s="58" t="str">
        <f t="shared" si="82"/>
        <v>2-1200</v>
      </c>
      <c r="R179" s="58" t="str">
        <f t="shared" si="83"/>
        <v>4-1001</v>
      </c>
      <c r="S179" s="58" t="str">
        <f t="shared" si="84"/>
        <v>4-1001.01</v>
      </c>
      <c r="T179" s="58" t="str">
        <f t="shared" si="85"/>
        <v xml:space="preserve"> </v>
      </c>
      <c r="V179" s="72">
        <f t="shared" si="86"/>
        <v>65000000000170</v>
      </c>
      <c r="W179" s="60">
        <f t="shared" si="87"/>
        <v>65000000000167</v>
      </c>
      <c r="X179" s="60">
        <f t="shared" si="88"/>
        <v>65000000000168</v>
      </c>
      <c r="Y179" s="60">
        <f t="shared" si="89"/>
        <v>65000000000147</v>
      </c>
      <c r="Z179" s="60">
        <f t="shared" si="90"/>
        <v>65000000000169</v>
      </c>
      <c r="AA179" s="60">
        <f t="shared" si="73"/>
        <v>65000000000170</v>
      </c>
      <c r="AB179" s="60">
        <f t="shared" si="91"/>
        <v>65000000000000</v>
      </c>
      <c r="AD179" s="60">
        <f t="shared" si="94"/>
        <v>4</v>
      </c>
      <c r="AE179" s="60">
        <f t="shared" si="95"/>
        <v>2</v>
      </c>
      <c r="AF179" s="60">
        <f t="shared" si="96"/>
        <v>1</v>
      </c>
      <c r="AG179" s="60">
        <f t="shared" si="97"/>
        <v>5</v>
      </c>
      <c r="AH179" s="60">
        <f t="shared" si="98"/>
        <v>2</v>
      </c>
      <c r="AI179" s="60">
        <f t="shared" si="99"/>
        <v>1</v>
      </c>
      <c r="AK179" s="68" t="str">
        <f t="shared" si="74"/>
        <v>L5</v>
      </c>
      <c r="AM179" s="64" t="s">
        <v>1755</v>
      </c>
      <c r="AN179" s="64">
        <f t="shared" si="75"/>
        <v>65000000000167</v>
      </c>
      <c r="AO179" s="64">
        <f t="shared" si="76"/>
        <v>65000000000168</v>
      </c>
      <c r="AP179" s="64">
        <f t="shared" si="77"/>
        <v>65000000000168</v>
      </c>
      <c r="AQ179" s="64">
        <f t="shared" si="78"/>
        <v>65000000000169</v>
      </c>
      <c r="AS179" s="64">
        <f t="shared" si="79"/>
        <v>65000000000169</v>
      </c>
      <c r="AU179" s="59" t="str">
        <f t="shared" si="100"/>
        <v>PERFORM * FROM "SchData-OLTP-Accounting"."Func_TblChartOfAccount_SET"(varSystemLoginSession, null, null, null, varInstitutionBranchID, 62000000000001::bigint,'4-1001.01', 'Completed Project (IDR)', 62000000000001::bigint, '2016-01-01 00:00:00'::timestamp, null::timestamp, 65000000000169::bigint, 66000000000001::bigint);</v>
      </c>
      <c r="AV179" s="65">
        <f t="shared" si="101"/>
        <v>65000000000170</v>
      </c>
      <c r="AW179" s="65">
        <f t="shared" si="102"/>
        <v>65000000000169</v>
      </c>
      <c r="AY179" s="65">
        <f t="shared" si="92"/>
        <v>65000000000169</v>
      </c>
      <c r="BA179" s="78">
        <f t="shared" si="103"/>
        <v>65000000000170</v>
      </c>
      <c r="BB179" s="81" t="str">
        <f t="shared" si="93"/>
        <v>PERFORM * FROM "SchData-OLTP-Accounting"."Func_TblChartOfAccount_SET"(varSystemLoginSession, null, null, null, null, null, varInstitutionBranchID, 62000000000001::bigint,'4-1001.01', 'Completed Project (IDR)', 62000000000001::bigint, '2016-01-01 00:00:00'::timestamp, null::timestamp, 65000000000169::bigint, 66000000000001::bigint, FALSE::boolean);</v>
      </c>
    </row>
    <row r="180" spans="1:54" x14ac:dyDescent="0.2">
      <c r="B180" s="43"/>
      <c r="C180" s="42"/>
      <c r="D180" s="43" t="s">
        <v>1094</v>
      </c>
      <c r="E180" s="42" t="s">
        <v>331</v>
      </c>
      <c r="F180" s="43"/>
      <c r="G180" s="42"/>
      <c r="H180" s="43"/>
      <c r="I180" s="42"/>
      <c r="J180" s="43"/>
      <c r="K180" s="42"/>
      <c r="L180" s="51"/>
      <c r="M180" s="18"/>
      <c r="O180" s="58" t="str">
        <f t="shared" si="80"/>
        <v>4-0000</v>
      </c>
      <c r="P180" s="58" t="str">
        <f t="shared" si="81"/>
        <v>4-2000</v>
      </c>
      <c r="Q180" s="58" t="str">
        <f t="shared" si="82"/>
        <v>2-1200</v>
      </c>
      <c r="R180" s="58" t="str">
        <f t="shared" si="83"/>
        <v>4-1001</v>
      </c>
      <c r="S180" s="58" t="str">
        <f t="shared" si="84"/>
        <v>4-1001.01</v>
      </c>
      <c r="T180" s="58" t="str">
        <f t="shared" si="85"/>
        <v xml:space="preserve"> </v>
      </c>
      <c r="V180" s="72">
        <f t="shared" si="86"/>
        <v>65000000000171</v>
      </c>
      <c r="W180" s="60">
        <f t="shared" si="87"/>
        <v>65000000000167</v>
      </c>
      <c r="X180" s="60">
        <f t="shared" si="88"/>
        <v>65000000000171</v>
      </c>
      <c r="Y180" s="60">
        <f t="shared" si="89"/>
        <v>65000000000147</v>
      </c>
      <c r="Z180" s="60">
        <f t="shared" si="90"/>
        <v>65000000000169</v>
      </c>
      <c r="AA180" s="60">
        <f t="shared" si="73"/>
        <v>65000000000170</v>
      </c>
      <c r="AB180" s="60">
        <f t="shared" si="91"/>
        <v>65000000000000</v>
      </c>
      <c r="AD180" s="60">
        <f t="shared" si="94"/>
        <v>4</v>
      </c>
      <c r="AE180" s="60">
        <f t="shared" si="95"/>
        <v>3</v>
      </c>
      <c r="AF180" s="60">
        <f t="shared" si="96"/>
        <v>1</v>
      </c>
      <c r="AG180" s="60">
        <f t="shared" si="97"/>
        <v>5</v>
      </c>
      <c r="AH180" s="60">
        <f t="shared" si="98"/>
        <v>2</v>
      </c>
      <c r="AI180" s="60">
        <f t="shared" si="99"/>
        <v>1</v>
      </c>
      <c r="AK180" s="68" t="str">
        <f t="shared" si="74"/>
        <v>L2</v>
      </c>
      <c r="AM180" s="64" t="s">
        <v>1755</v>
      </c>
      <c r="AN180" s="64">
        <f t="shared" si="75"/>
        <v>65000000000167</v>
      </c>
      <c r="AO180" s="64">
        <f t="shared" si="76"/>
        <v>65000000000168</v>
      </c>
      <c r="AP180" s="64">
        <f t="shared" si="77"/>
        <v>65000000000168</v>
      </c>
      <c r="AQ180" s="64">
        <f t="shared" si="78"/>
        <v>65000000000169</v>
      </c>
      <c r="AS180" s="64">
        <f t="shared" si="79"/>
        <v>65000000000167</v>
      </c>
      <c r="AU180" s="59" t="str">
        <f t="shared" si="100"/>
        <v>PERFORM * FROM "SchData-OLTP-Accounting"."Func_TblChartOfAccount_SET"(varSystemLoginSession, null, null, null, varInstitutionBranchID, 62000000000001::bigint,'4-2000', 'Construction Project', 62000000000001::bigint, '2016-01-01 00:00:00'::timestamp, null::timestamp, 65000000000167::bigint, 66000000000001::bigint);</v>
      </c>
      <c r="AV180" s="65">
        <f t="shared" si="101"/>
        <v>65000000000171</v>
      </c>
      <c r="AW180" s="65">
        <f t="shared" si="102"/>
        <v>65000000000167</v>
      </c>
      <c r="AY180" s="65">
        <f t="shared" si="92"/>
        <v>65000000000167</v>
      </c>
      <c r="BA180" s="78">
        <f t="shared" si="103"/>
        <v>65000000000171</v>
      </c>
      <c r="BB180" s="81" t="str">
        <f t="shared" si="93"/>
        <v>PERFORM * FROM "SchData-OLTP-Accounting"."Func_TblChartOfAccount_SET"(varSystemLoginSession, null, null, null, null, null, varInstitutionBranchID, 62000000000001::bigint,'4-2000', 'Construction Project', 62000000000001::bigint, '2016-01-01 00:00:00'::timestamp, null::timestamp, 65000000000167::bigint, 66000000000001::bigint, FALSE::boolean);</v>
      </c>
    </row>
    <row r="181" spans="1:54" x14ac:dyDescent="0.2">
      <c r="A181" s="32">
        <f>A169</f>
        <v>0</v>
      </c>
      <c r="B181" s="43"/>
      <c r="C181" s="42"/>
      <c r="D181" s="43"/>
      <c r="E181" s="42"/>
      <c r="F181" s="43"/>
      <c r="G181" s="42"/>
      <c r="H181" s="43" t="s">
        <v>1433</v>
      </c>
      <c r="I181" s="42" t="s">
        <v>331</v>
      </c>
      <c r="J181" s="43"/>
      <c r="K181" s="42"/>
      <c r="L181" s="51"/>
      <c r="M181" s="18"/>
      <c r="O181" s="58" t="str">
        <f t="shared" si="80"/>
        <v>4-0000</v>
      </c>
      <c r="P181" s="58" t="str">
        <f t="shared" si="81"/>
        <v>4-2000</v>
      </c>
      <c r="Q181" s="58" t="str">
        <f t="shared" si="82"/>
        <v>2-1200</v>
      </c>
      <c r="R181" s="58" t="str">
        <f t="shared" si="83"/>
        <v>4-2001</v>
      </c>
      <c r="S181" s="58" t="str">
        <f t="shared" si="84"/>
        <v>4-1001.01</v>
      </c>
      <c r="T181" s="58" t="str">
        <f t="shared" si="85"/>
        <v xml:space="preserve"> </v>
      </c>
      <c r="V181" s="72">
        <f t="shared" si="86"/>
        <v>65000000000172</v>
      </c>
      <c r="W181" s="60">
        <f t="shared" si="87"/>
        <v>65000000000167</v>
      </c>
      <c r="X181" s="60">
        <f t="shared" si="88"/>
        <v>65000000000171</v>
      </c>
      <c r="Y181" s="60">
        <f t="shared" si="89"/>
        <v>65000000000147</v>
      </c>
      <c r="Z181" s="60">
        <f t="shared" si="90"/>
        <v>65000000000172</v>
      </c>
      <c r="AA181" s="60">
        <f t="shared" si="73"/>
        <v>65000000000170</v>
      </c>
      <c r="AB181" s="60">
        <f t="shared" si="91"/>
        <v>65000000000000</v>
      </c>
      <c r="AD181" s="60">
        <f t="shared" si="94"/>
        <v>4</v>
      </c>
      <c r="AE181" s="60">
        <f t="shared" si="95"/>
        <v>3</v>
      </c>
      <c r="AF181" s="60">
        <f t="shared" si="96"/>
        <v>1</v>
      </c>
      <c r="AG181" s="60">
        <f t="shared" si="97"/>
        <v>6</v>
      </c>
      <c r="AH181" s="60">
        <f t="shared" si="98"/>
        <v>1</v>
      </c>
      <c r="AI181" s="60">
        <f t="shared" si="99"/>
        <v>1</v>
      </c>
      <c r="AK181" s="68" t="str">
        <f t="shared" si="74"/>
        <v>L4</v>
      </c>
      <c r="AM181" s="64" t="s">
        <v>1755</v>
      </c>
      <c r="AN181" s="64">
        <f t="shared" si="75"/>
        <v>65000000000167</v>
      </c>
      <c r="AO181" s="64">
        <f t="shared" si="76"/>
        <v>65000000000171</v>
      </c>
      <c r="AP181" s="64">
        <f t="shared" si="77"/>
        <v>65000000000171</v>
      </c>
      <c r="AQ181" s="64">
        <f t="shared" si="78"/>
        <v>65000000000171</v>
      </c>
      <c r="AS181" s="64">
        <f t="shared" si="79"/>
        <v>65000000000171</v>
      </c>
      <c r="AU181" s="59" t="str">
        <f t="shared" si="100"/>
        <v>PERFORM * FROM "SchData-OLTP-Accounting"."Func_TblChartOfAccount_SET"(varSystemLoginSession, null, null, null, varInstitutionBranchID, 62000000000001::bigint,'4-2001', 'Construction Project', 62000000000001::bigint, '2016-01-01 00:00:00'::timestamp, null::timestamp, 65000000000171::bigint, 66000000000001::bigint);</v>
      </c>
      <c r="AV181" s="65">
        <f t="shared" si="101"/>
        <v>65000000000172</v>
      </c>
      <c r="AW181" s="65">
        <f t="shared" si="102"/>
        <v>65000000000171</v>
      </c>
      <c r="AY181" s="65">
        <f t="shared" si="92"/>
        <v>65000000000171</v>
      </c>
      <c r="BA181" s="78">
        <f t="shared" si="103"/>
        <v>65000000000172</v>
      </c>
      <c r="BB181" s="81" t="str">
        <f t="shared" si="93"/>
        <v>PERFORM * FROM "SchData-OLTP-Accounting"."Func_TblChartOfAccount_SET"(varSystemLoginSession, null, null, null, null, null, varInstitutionBranchID, 62000000000001::bigint,'4-2001', 'Construction Project', 62000000000001::bigint, '2016-01-01 00:00:00'::timestamp, null::timestamp, 65000000000171::bigint, 66000000000001::bigint, FALSE::boolean);</v>
      </c>
    </row>
    <row r="182" spans="1:54" x14ac:dyDescent="0.2">
      <c r="B182" s="43"/>
      <c r="C182" s="42"/>
      <c r="D182" s="43"/>
      <c r="E182" s="42"/>
      <c r="F182" s="43"/>
      <c r="G182" s="42"/>
      <c r="H182" s="43"/>
      <c r="I182" s="42"/>
      <c r="J182" s="43" t="s">
        <v>1434</v>
      </c>
      <c r="K182" s="42" t="s">
        <v>1274</v>
      </c>
      <c r="L182" s="51"/>
      <c r="M182" s="18"/>
      <c r="O182" s="58" t="str">
        <f t="shared" si="80"/>
        <v>4-0000</v>
      </c>
      <c r="P182" s="58" t="str">
        <f t="shared" si="81"/>
        <v>4-2000</v>
      </c>
      <c r="Q182" s="58" t="str">
        <f t="shared" si="82"/>
        <v>2-1200</v>
      </c>
      <c r="R182" s="58" t="str">
        <f t="shared" si="83"/>
        <v>4-2001</v>
      </c>
      <c r="S182" s="58" t="str">
        <f t="shared" si="84"/>
        <v>4-2001.01</v>
      </c>
      <c r="T182" s="58" t="str">
        <f t="shared" si="85"/>
        <v xml:space="preserve"> </v>
      </c>
      <c r="V182" s="72">
        <f t="shared" si="86"/>
        <v>65000000000173</v>
      </c>
      <c r="W182" s="60">
        <f t="shared" si="87"/>
        <v>65000000000167</v>
      </c>
      <c r="X182" s="60">
        <f t="shared" si="88"/>
        <v>65000000000171</v>
      </c>
      <c r="Y182" s="60">
        <f t="shared" si="89"/>
        <v>65000000000147</v>
      </c>
      <c r="Z182" s="60">
        <f t="shared" si="90"/>
        <v>65000000000172</v>
      </c>
      <c r="AA182" s="60">
        <f t="shared" si="73"/>
        <v>65000000000173</v>
      </c>
      <c r="AB182" s="60">
        <f t="shared" si="91"/>
        <v>65000000000000</v>
      </c>
      <c r="AD182" s="60">
        <f t="shared" si="94"/>
        <v>4</v>
      </c>
      <c r="AE182" s="60">
        <f t="shared" si="95"/>
        <v>3</v>
      </c>
      <c r="AF182" s="60">
        <f t="shared" si="96"/>
        <v>1</v>
      </c>
      <c r="AG182" s="60">
        <f t="shared" si="97"/>
        <v>6</v>
      </c>
      <c r="AH182" s="60">
        <f t="shared" si="98"/>
        <v>2</v>
      </c>
      <c r="AI182" s="60">
        <f t="shared" si="99"/>
        <v>1</v>
      </c>
      <c r="AK182" s="68" t="str">
        <f t="shared" si="74"/>
        <v>L5</v>
      </c>
      <c r="AM182" s="64" t="s">
        <v>1755</v>
      </c>
      <c r="AN182" s="64">
        <f t="shared" si="75"/>
        <v>65000000000167</v>
      </c>
      <c r="AO182" s="64">
        <f t="shared" si="76"/>
        <v>65000000000171</v>
      </c>
      <c r="AP182" s="64">
        <f t="shared" si="77"/>
        <v>65000000000171</v>
      </c>
      <c r="AQ182" s="64">
        <f t="shared" si="78"/>
        <v>65000000000172</v>
      </c>
      <c r="AS182" s="64">
        <f t="shared" si="79"/>
        <v>65000000000172</v>
      </c>
      <c r="AU182" s="59" t="str">
        <f t="shared" si="100"/>
        <v>PERFORM * FROM "SchData-OLTP-Accounting"."Func_TblChartOfAccount_SET"(varSystemLoginSession, null, null, null, varInstitutionBranchID, 62000000000001::bigint,'4-2001.01', 'Construction Project (IDR)', 62000000000001::bigint, '2016-01-01 00:00:00'::timestamp, null::timestamp, 65000000000172::bigint, 66000000000001::bigint);</v>
      </c>
      <c r="AV182" s="65">
        <f t="shared" si="101"/>
        <v>65000000000173</v>
      </c>
      <c r="AW182" s="65">
        <f t="shared" si="102"/>
        <v>65000000000172</v>
      </c>
      <c r="AY182" s="65">
        <f t="shared" si="92"/>
        <v>65000000000172</v>
      </c>
      <c r="BA182" s="78">
        <f t="shared" si="103"/>
        <v>65000000000173</v>
      </c>
      <c r="BB182" s="81" t="str">
        <f t="shared" si="93"/>
        <v>PERFORM * FROM "SchData-OLTP-Accounting"."Func_TblChartOfAccount_SET"(varSystemLoginSession, null, null, null, null, null, varInstitutionBranchID, 62000000000001::bigint,'4-2001.01', 'Construction Project (IDR)', 62000000000001::bigint, '2016-01-01 00:00:00'::timestamp, null::timestamp, 65000000000172::bigint, 66000000000001::bigint, FALSE::boolean);</v>
      </c>
    </row>
    <row r="183" spans="1:54" x14ac:dyDescent="0.2">
      <c r="B183" s="43"/>
      <c r="C183" s="42"/>
      <c r="D183" s="43" t="s">
        <v>1095</v>
      </c>
      <c r="E183" s="42" t="s">
        <v>333</v>
      </c>
      <c r="F183" s="43"/>
      <c r="G183" s="42"/>
      <c r="H183" s="43"/>
      <c r="I183" s="42"/>
      <c r="J183" s="43"/>
      <c r="K183" s="42"/>
      <c r="L183" s="51"/>
      <c r="M183" s="18"/>
      <c r="O183" s="58" t="str">
        <f t="shared" si="80"/>
        <v>4-0000</v>
      </c>
      <c r="P183" s="58" t="str">
        <f t="shared" si="81"/>
        <v>4-3000</v>
      </c>
      <c r="Q183" s="58" t="str">
        <f t="shared" si="82"/>
        <v>2-1200</v>
      </c>
      <c r="R183" s="58" t="str">
        <f t="shared" si="83"/>
        <v>4-2001</v>
      </c>
      <c r="S183" s="58" t="str">
        <f t="shared" si="84"/>
        <v>4-2001.01</v>
      </c>
      <c r="T183" s="58" t="str">
        <f t="shared" si="85"/>
        <v xml:space="preserve"> </v>
      </c>
      <c r="V183" s="72">
        <f t="shared" si="86"/>
        <v>65000000000174</v>
      </c>
      <c r="W183" s="60">
        <f t="shared" si="87"/>
        <v>65000000000167</v>
      </c>
      <c r="X183" s="60">
        <f t="shared" si="88"/>
        <v>65000000000174</v>
      </c>
      <c r="Y183" s="60">
        <f t="shared" si="89"/>
        <v>65000000000147</v>
      </c>
      <c r="Z183" s="60">
        <f t="shared" si="90"/>
        <v>65000000000172</v>
      </c>
      <c r="AA183" s="60">
        <f t="shared" si="73"/>
        <v>65000000000173</v>
      </c>
      <c r="AB183" s="60">
        <f t="shared" si="91"/>
        <v>65000000000000</v>
      </c>
      <c r="AD183" s="60">
        <f t="shared" si="94"/>
        <v>4</v>
      </c>
      <c r="AE183" s="60">
        <f t="shared" si="95"/>
        <v>4</v>
      </c>
      <c r="AF183" s="60">
        <f t="shared" si="96"/>
        <v>1</v>
      </c>
      <c r="AG183" s="60">
        <f t="shared" si="97"/>
        <v>6</v>
      </c>
      <c r="AH183" s="60">
        <f t="shared" si="98"/>
        <v>2</v>
      </c>
      <c r="AI183" s="60">
        <f t="shared" si="99"/>
        <v>1</v>
      </c>
      <c r="AK183" s="68" t="str">
        <f t="shared" si="74"/>
        <v>L2</v>
      </c>
      <c r="AM183" s="64" t="s">
        <v>1755</v>
      </c>
      <c r="AN183" s="64">
        <f t="shared" si="75"/>
        <v>65000000000167</v>
      </c>
      <c r="AO183" s="64">
        <f t="shared" si="76"/>
        <v>65000000000171</v>
      </c>
      <c r="AP183" s="64">
        <f t="shared" si="77"/>
        <v>65000000000171</v>
      </c>
      <c r="AQ183" s="64">
        <f t="shared" si="78"/>
        <v>65000000000172</v>
      </c>
      <c r="AS183" s="64">
        <f t="shared" si="79"/>
        <v>65000000000167</v>
      </c>
      <c r="AU183" s="59" t="str">
        <f t="shared" si="100"/>
        <v>PERFORM * FROM "SchData-OLTP-Accounting"."Func_TblChartOfAccount_SET"(varSystemLoginSession, null, null, null, varInstitutionBranchID, 62000000000001::bigint,'4-3000', 'WIP Adjustment', 62000000000001::bigint, '2016-01-01 00:00:00'::timestamp, null::timestamp, 65000000000167::bigint, 66000000000001::bigint);</v>
      </c>
      <c r="AV183" s="65">
        <f t="shared" si="101"/>
        <v>65000000000174</v>
      </c>
      <c r="AW183" s="65">
        <f t="shared" si="102"/>
        <v>65000000000167</v>
      </c>
      <c r="AY183" s="65">
        <f t="shared" si="92"/>
        <v>65000000000167</v>
      </c>
      <c r="BA183" s="78">
        <f t="shared" si="103"/>
        <v>65000000000174</v>
      </c>
      <c r="BB183" s="81" t="str">
        <f t="shared" si="93"/>
        <v>PERFORM * FROM "SchData-OLTP-Accounting"."Func_TblChartOfAccount_SET"(varSystemLoginSession, null, null, null, null, null, varInstitutionBranchID, 62000000000001::bigint,'4-3000', 'WIP Adjustment', 62000000000001::bigint, '2016-01-01 00:00:00'::timestamp, null::timestamp, 65000000000167::bigint, 66000000000001::bigint, FALSE::boolean);</v>
      </c>
    </row>
    <row r="184" spans="1:54" x14ac:dyDescent="0.2">
      <c r="B184" s="43"/>
      <c r="C184" s="42"/>
      <c r="D184" s="43"/>
      <c r="E184" s="42"/>
      <c r="F184" s="43"/>
      <c r="G184" s="42"/>
      <c r="H184" s="43" t="s">
        <v>1435</v>
      </c>
      <c r="I184" s="42" t="s">
        <v>333</v>
      </c>
      <c r="J184" s="43"/>
      <c r="K184" s="42"/>
      <c r="L184" s="51"/>
      <c r="M184" s="18"/>
      <c r="O184" s="58" t="str">
        <f t="shared" si="80"/>
        <v>4-0000</v>
      </c>
      <c r="P184" s="58" t="str">
        <f t="shared" si="81"/>
        <v>4-3000</v>
      </c>
      <c r="Q184" s="58" t="str">
        <f t="shared" si="82"/>
        <v>2-1200</v>
      </c>
      <c r="R184" s="58" t="str">
        <f t="shared" si="83"/>
        <v>4-3001</v>
      </c>
      <c r="S184" s="58" t="str">
        <f t="shared" si="84"/>
        <v>4-2001.01</v>
      </c>
      <c r="T184" s="58" t="str">
        <f t="shared" si="85"/>
        <v xml:space="preserve"> </v>
      </c>
      <c r="V184" s="72">
        <f t="shared" si="86"/>
        <v>65000000000175</v>
      </c>
      <c r="W184" s="60">
        <f t="shared" si="87"/>
        <v>65000000000167</v>
      </c>
      <c r="X184" s="60">
        <f t="shared" si="88"/>
        <v>65000000000174</v>
      </c>
      <c r="Y184" s="60">
        <f t="shared" si="89"/>
        <v>65000000000147</v>
      </c>
      <c r="Z184" s="60">
        <f t="shared" si="90"/>
        <v>65000000000175</v>
      </c>
      <c r="AA184" s="60">
        <f t="shared" si="73"/>
        <v>65000000000173</v>
      </c>
      <c r="AB184" s="60">
        <f t="shared" si="91"/>
        <v>65000000000000</v>
      </c>
      <c r="AD184" s="60">
        <f t="shared" si="94"/>
        <v>4</v>
      </c>
      <c r="AE184" s="60">
        <f t="shared" si="95"/>
        <v>4</v>
      </c>
      <c r="AF184" s="60">
        <f t="shared" si="96"/>
        <v>1</v>
      </c>
      <c r="AG184" s="60">
        <f t="shared" si="97"/>
        <v>7</v>
      </c>
      <c r="AH184" s="60">
        <f t="shared" si="98"/>
        <v>1</v>
      </c>
      <c r="AI184" s="60">
        <f t="shared" si="99"/>
        <v>1</v>
      </c>
      <c r="AK184" s="68" t="str">
        <f t="shared" si="74"/>
        <v>L4</v>
      </c>
      <c r="AM184" s="64" t="s">
        <v>1755</v>
      </c>
      <c r="AN184" s="64">
        <f t="shared" si="75"/>
        <v>65000000000167</v>
      </c>
      <c r="AO184" s="64">
        <f t="shared" si="76"/>
        <v>65000000000174</v>
      </c>
      <c r="AP184" s="64">
        <f t="shared" si="77"/>
        <v>65000000000174</v>
      </c>
      <c r="AQ184" s="64">
        <f t="shared" si="78"/>
        <v>65000000000174</v>
      </c>
      <c r="AS184" s="64">
        <f t="shared" si="79"/>
        <v>65000000000174</v>
      </c>
      <c r="AU184" s="59" t="str">
        <f t="shared" si="100"/>
        <v>PERFORM * FROM "SchData-OLTP-Accounting"."Func_TblChartOfAccount_SET"(varSystemLoginSession, null, null, null, varInstitutionBranchID, 62000000000001::bigint,'4-3001', 'WIP Adjustment', 62000000000001::bigint, '2016-01-01 00:00:00'::timestamp, null::timestamp, 65000000000174::bigint, 66000000000001::bigint);</v>
      </c>
      <c r="AV184" s="65">
        <f t="shared" si="101"/>
        <v>65000000000175</v>
      </c>
      <c r="AW184" s="65">
        <f t="shared" si="102"/>
        <v>65000000000174</v>
      </c>
      <c r="AY184" s="65">
        <f t="shared" si="92"/>
        <v>65000000000174</v>
      </c>
      <c r="BA184" s="78">
        <f t="shared" si="103"/>
        <v>65000000000175</v>
      </c>
      <c r="BB184" s="81" t="str">
        <f t="shared" si="93"/>
        <v>PERFORM * FROM "SchData-OLTP-Accounting"."Func_TblChartOfAccount_SET"(varSystemLoginSession, null, null, null, null, null, varInstitutionBranchID, 62000000000001::bigint,'4-3001', 'WIP Adjustment', 62000000000001::bigint, '2016-01-01 00:00:00'::timestamp, null::timestamp, 65000000000174::bigint, 66000000000001::bigint, FALSE::boolean);</v>
      </c>
    </row>
    <row r="185" spans="1:54" x14ac:dyDescent="0.2">
      <c r="B185" s="43"/>
      <c r="C185" s="42"/>
      <c r="D185" s="43"/>
      <c r="E185" s="42"/>
      <c r="F185" s="43"/>
      <c r="G185" s="42"/>
      <c r="H185" s="43"/>
      <c r="I185" s="42"/>
      <c r="J185" s="43" t="s">
        <v>1436</v>
      </c>
      <c r="K185" s="42" t="s">
        <v>1275</v>
      </c>
      <c r="L185" s="51"/>
      <c r="M185" s="18"/>
      <c r="O185" s="58" t="str">
        <f t="shared" si="80"/>
        <v>4-0000</v>
      </c>
      <c r="P185" s="58" t="str">
        <f t="shared" si="81"/>
        <v>4-3000</v>
      </c>
      <c r="Q185" s="58" t="str">
        <f t="shared" si="82"/>
        <v>2-1200</v>
      </c>
      <c r="R185" s="58" t="str">
        <f t="shared" si="83"/>
        <v>4-3001</v>
      </c>
      <c r="S185" s="58" t="str">
        <f t="shared" si="84"/>
        <v>4-3001.01</v>
      </c>
      <c r="T185" s="58" t="str">
        <f t="shared" si="85"/>
        <v xml:space="preserve"> </v>
      </c>
      <c r="V185" s="72">
        <f t="shared" si="86"/>
        <v>65000000000176</v>
      </c>
      <c r="W185" s="60">
        <f t="shared" si="87"/>
        <v>65000000000167</v>
      </c>
      <c r="X185" s="60">
        <f t="shared" si="88"/>
        <v>65000000000174</v>
      </c>
      <c r="Y185" s="60">
        <f t="shared" si="89"/>
        <v>65000000000147</v>
      </c>
      <c r="Z185" s="60">
        <f t="shared" si="90"/>
        <v>65000000000175</v>
      </c>
      <c r="AA185" s="60">
        <f t="shared" si="73"/>
        <v>65000000000176</v>
      </c>
      <c r="AB185" s="60">
        <f t="shared" si="91"/>
        <v>65000000000000</v>
      </c>
      <c r="AD185" s="60">
        <f t="shared" si="94"/>
        <v>4</v>
      </c>
      <c r="AE185" s="60">
        <f t="shared" si="95"/>
        <v>4</v>
      </c>
      <c r="AF185" s="60">
        <f t="shared" si="96"/>
        <v>1</v>
      </c>
      <c r="AG185" s="60">
        <f t="shared" si="97"/>
        <v>7</v>
      </c>
      <c r="AH185" s="60">
        <f t="shared" si="98"/>
        <v>2</v>
      </c>
      <c r="AI185" s="60">
        <f t="shared" si="99"/>
        <v>1</v>
      </c>
      <c r="AK185" s="68" t="str">
        <f t="shared" si="74"/>
        <v>L5</v>
      </c>
      <c r="AM185" s="64" t="s">
        <v>1755</v>
      </c>
      <c r="AN185" s="64">
        <f t="shared" si="75"/>
        <v>65000000000167</v>
      </c>
      <c r="AO185" s="64">
        <f t="shared" si="76"/>
        <v>65000000000174</v>
      </c>
      <c r="AP185" s="64">
        <f t="shared" si="77"/>
        <v>65000000000174</v>
      </c>
      <c r="AQ185" s="64">
        <f t="shared" si="78"/>
        <v>65000000000175</v>
      </c>
      <c r="AS185" s="64">
        <f t="shared" si="79"/>
        <v>65000000000175</v>
      </c>
      <c r="AU185" s="59" t="str">
        <f t="shared" si="100"/>
        <v>PERFORM * FROM "SchData-OLTP-Accounting"."Func_TblChartOfAccount_SET"(varSystemLoginSession, null, null, null, varInstitutionBranchID, 62000000000001::bigint,'4-3001.01', 'WIP Adjustment (IDR)', 62000000000001::bigint, '2016-01-01 00:00:00'::timestamp, null::timestamp, 65000000000175::bigint, 66000000000001::bigint);</v>
      </c>
      <c r="AV185" s="65">
        <f t="shared" si="101"/>
        <v>65000000000176</v>
      </c>
      <c r="AW185" s="65">
        <f t="shared" si="102"/>
        <v>65000000000175</v>
      </c>
      <c r="AY185" s="65">
        <f t="shared" si="92"/>
        <v>65000000000175</v>
      </c>
      <c r="BA185" s="78">
        <f t="shared" si="103"/>
        <v>65000000000176</v>
      </c>
      <c r="BB185" s="81" t="str">
        <f t="shared" si="93"/>
        <v>PERFORM * FROM "SchData-OLTP-Accounting"."Func_TblChartOfAccount_SET"(varSystemLoginSession, null, null, null, null, null, varInstitutionBranchID, 62000000000001::bigint,'4-3001.01', 'WIP Adjustment (IDR)', 62000000000001::bigint, '2016-01-01 00:00:00'::timestamp, null::timestamp, 65000000000175::bigint, 66000000000001::bigint, FALSE::boolean);</v>
      </c>
    </row>
    <row r="186" spans="1:54" x14ac:dyDescent="0.2">
      <c r="B186" s="43"/>
      <c r="C186" s="42"/>
      <c r="D186" s="43" t="s">
        <v>1096</v>
      </c>
      <c r="E186" s="42" t="s">
        <v>335</v>
      </c>
      <c r="F186" s="43"/>
      <c r="G186" s="42"/>
      <c r="H186" s="43"/>
      <c r="I186" s="42"/>
      <c r="J186" s="43"/>
      <c r="K186" s="42"/>
      <c r="L186" s="51"/>
      <c r="M186" s="18"/>
      <c r="O186" s="58" t="str">
        <f t="shared" si="80"/>
        <v>4-0000</v>
      </c>
      <c r="P186" s="58" t="str">
        <f t="shared" si="81"/>
        <v>4-4000</v>
      </c>
      <c r="Q186" s="58" t="str">
        <f t="shared" si="82"/>
        <v>2-1200</v>
      </c>
      <c r="R186" s="58" t="str">
        <f t="shared" si="83"/>
        <v>4-3001</v>
      </c>
      <c r="S186" s="58" t="str">
        <f t="shared" si="84"/>
        <v>4-3001.01</v>
      </c>
      <c r="T186" s="58" t="str">
        <f t="shared" si="85"/>
        <v xml:space="preserve"> </v>
      </c>
      <c r="V186" s="72">
        <f t="shared" si="86"/>
        <v>65000000000177</v>
      </c>
      <c r="W186" s="60">
        <f t="shared" si="87"/>
        <v>65000000000167</v>
      </c>
      <c r="X186" s="60">
        <f t="shared" si="88"/>
        <v>65000000000177</v>
      </c>
      <c r="Y186" s="60">
        <f t="shared" si="89"/>
        <v>65000000000147</v>
      </c>
      <c r="Z186" s="60">
        <f t="shared" si="90"/>
        <v>65000000000175</v>
      </c>
      <c r="AA186" s="60">
        <f t="shared" si="73"/>
        <v>65000000000176</v>
      </c>
      <c r="AB186" s="60">
        <f t="shared" si="91"/>
        <v>65000000000000</v>
      </c>
      <c r="AD186" s="60">
        <f t="shared" si="94"/>
        <v>4</v>
      </c>
      <c r="AE186" s="60">
        <f t="shared" si="95"/>
        <v>5</v>
      </c>
      <c r="AF186" s="60">
        <f t="shared" si="96"/>
        <v>1</v>
      </c>
      <c r="AG186" s="60">
        <f t="shared" si="97"/>
        <v>7</v>
      </c>
      <c r="AH186" s="60">
        <f t="shared" si="98"/>
        <v>2</v>
      </c>
      <c r="AI186" s="60">
        <f t="shared" si="99"/>
        <v>1</v>
      </c>
      <c r="AK186" s="68" t="str">
        <f t="shared" si="74"/>
        <v>L2</v>
      </c>
      <c r="AM186" s="64" t="s">
        <v>1755</v>
      </c>
      <c r="AN186" s="64">
        <f t="shared" si="75"/>
        <v>65000000000167</v>
      </c>
      <c r="AO186" s="64">
        <f t="shared" si="76"/>
        <v>65000000000174</v>
      </c>
      <c r="AP186" s="64">
        <f t="shared" si="77"/>
        <v>65000000000174</v>
      </c>
      <c r="AQ186" s="64">
        <f t="shared" si="78"/>
        <v>65000000000175</v>
      </c>
      <c r="AS186" s="64">
        <f t="shared" si="79"/>
        <v>65000000000167</v>
      </c>
      <c r="AU186" s="59" t="str">
        <f t="shared" si="100"/>
        <v>PERFORM * FROM "SchData-OLTP-Accounting"."Func_TblChartOfAccount_SET"(varSystemLoginSession, null, null, null, varInstitutionBranchID, 62000000000001::bigint,'4-4000', 'Under/Overclaim Adjustment', 62000000000001::bigint, '2016-01-01 00:00:00'::timestamp, null::timestamp, 65000000000167::bigint, 66000000000001::bigint);</v>
      </c>
      <c r="AV186" s="65">
        <f t="shared" si="101"/>
        <v>65000000000177</v>
      </c>
      <c r="AW186" s="65">
        <f t="shared" si="102"/>
        <v>65000000000167</v>
      </c>
      <c r="AY186" s="65">
        <f t="shared" si="92"/>
        <v>65000000000167</v>
      </c>
      <c r="BA186" s="78">
        <f t="shared" si="103"/>
        <v>65000000000177</v>
      </c>
      <c r="BB186" s="81" t="str">
        <f t="shared" si="93"/>
        <v>PERFORM * FROM "SchData-OLTP-Accounting"."Func_TblChartOfAccount_SET"(varSystemLoginSession, null, null, null, null, null, varInstitutionBranchID, 62000000000001::bigint,'4-4000', 'Under/Overclaim Adjustment', 62000000000001::bigint, '2016-01-01 00:00:00'::timestamp, null::timestamp, 65000000000167::bigint, 66000000000001::bigint, FALSE::boolean);</v>
      </c>
    </row>
    <row r="187" spans="1:54" x14ac:dyDescent="0.2">
      <c r="B187" s="43"/>
      <c r="C187" s="42"/>
      <c r="D187" s="43"/>
      <c r="E187" s="42"/>
      <c r="F187" s="43"/>
      <c r="G187" s="42"/>
      <c r="H187" s="43" t="s">
        <v>1437</v>
      </c>
      <c r="I187" s="42" t="s">
        <v>335</v>
      </c>
      <c r="J187" s="43"/>
      <c r="K187" s="42"/>
      <c r="L187" s="51"/>
      <c r="M187" s="18"/>
      <c r="O187" s="58" t="str">
        <f t="shared" si="80"/>
        <v>4-0000</v>
      </c>
      <c r="P187" s="58" t="str">
        <f t="shared" si="81"/>
        <v>4-4000</v>
      </c>
      <c r="Q187" s="58" t="str">
        <f t="shared" si="82"/>
        <v>2-1200</v>
      </c>
      <c r="R187" s="58" t="str">
        <f t="shared" si="83"/>
        <v>4-4001</v>
      </c>
      <c r="S187" s="58" t="str">
        <f t="shared" si="84"/>
        <v>4-3001.01</v>
      </c>
      <c r="T187" s="58" t="str">
        <f t="shared" si="85"/>
        <v xml:space="preserve"> </v>
      </c>
      <c r="V187" s="72">
        <f t="shared" si="86"/>
        <v>65000000000178</v>
      </c>
      <c r="W187" s="60">
        <f t="shared" si="87"/>
        <v>65000000000167</v>
      </c>
      <c r="X187" s="60">
        <f t="shared" si="88"/>
        <v>65000000000177</v>
      </c>
      <c r="Y187" s="60">
        <f t="shared" si="89"/>
        <v>65000000000147</v>
      </c>
      <c r="Z187" s="60">
        <f t="shared" si="90"/>
        <v>65000000000178</v>
      </c>
      <c r="AA187" s="60">
        <f t="shared" si="73"/>
        <v>65000000000176</v>
      </c>
      <c r="AB187" s="60">
        <f t="shared" si="91"/>
        <v>65000000000000</v>
      </c>
      <c r="AD187" s="60">
        <f t="shared" si="94"/>
        <v>4</v>
      </c>
      <c r="AE187" s="60">
        <f t="shared" si="95"/>
        <v>5</v>
      </c>
      <c r="AF187" s="60">
        <f t="shared" si="96"/>
        <v>1</v>
      </c>
      <c r="AG187" s="60">
        <f t="shared" si="97"/>
        <v>8</v>
      </c>
      <c r="AH187" s="60">
        <f t="shared" si="98"/>
        <v>1</v>
      </c>
      <c r="AI187" s="60">
        <f t="shared" si="99"/>
        <v>1</v>
      </c>
      <c r="AK187" s="68" t="str">
        <f t="shared" si="74"/>
        <v>L4</v>
      </c>
      <c r="AM187" s="64" t="s">
        <v>1755</v>
      </c>
      <c r="AN187" s="64">
        <f t="shared" si="75"/>
        <v>65000000000167</v>
      </c>
      <c r="AO187" s="64">
        <f t="shared" si="76"/>
        <v>65000000000177</v>
      </c>
      <c r="AP187" s="64">
        <f t="shared" si="77"/>
        <v>65000000000177</v>
      </c>
      <c r="AQ187" s="64">
        <f t="shared" si="78"/>
        <v>65000000000177</v>
      </c>
      <c r="AS187" s="64">
        <f t="shared" si="79"/>
        <v>65000000000177</v>
      </c>
      <c r="AU187" s="59" t="str">
        <f t="shared" si="100"/>
        <v>PERFORM * FROM "SchData-OLTP-Accounting"."Func_TblChartOfAccount_SET"(varSystemLoginSession, null, null, null, varInstitutionBranchID, 62000000000001::bigint,'4-4001', 'Under/Overclaim Adjustment', 62000000000001::bigint, '2016-01-01 00:00:00'::timestamp, null::timestamp, 65000000000177::bigint, 66000000000001::bigint);</v>
      </c>
      <c r="AV187" s="65">
        <f t="shared" si="101"/>
        <v>65000000000178</v>
      </c>
      <c r="AW187" s="65">
        <f t="shared" si="102"/>
        <v>65000000000177</v>
      </c>
      <c r="AY187" s="65">
        <f t="shared" si="92"/>
        <v>65000000000177</v>
      </c>
      <c r="BA187" s="78">
        <f t="shared" si="103"/>
        <v>65000000000178</v>
      </c>
      <c r="BB187" s="81" t="str">
        <f t="shared" si="93"/>
        <v>PERFORM * FROM "SchData-OLTP-Accounting"."Func_TblChartOfAccount_SET"(varSystemLoginSession, null, null, null, null, null, varInstitutionBranchID, 62000000000001::bigint,'4-4001', 'Under/Overclaim Adjustment', 62000000000001::bigint, '2016-01-01 00:00:00'::timestamp, null::timestamp, 65000000000177::bigint, 66000000000001::bigint, FALSE::boolean);</v>
      </c>
    </row>
    <row r="188" spans="1:54" x14ac:dyDescent="0.2">
      <c r="B188" s="43"/>
      <c r="C188" s="42"/>
      <c r="D188" s="43"/>
      <c r="E188" s="42"/>
      <c r="F188" s="43"/>
      <c r="G188" s="42"/>
      <c r="H188" s="43"/>
      <c r="I188" s="42"/>
      <c r="J188" s="43" t="s">
        <v>1438</v>
      </c>
      <c r="K188" s="42" t="s">
        <v>1276</v>
      </c>
      <c r="L188" s="51"/>
      <c r="M188" s="18"/>
      <c r="O188" s="58" t="str">
        <f t="shared" si="80"/>
        <v>4-0000</v>
      </c>
      <c r="P188" s="58" t="str">
        <f t="shared" si="81"/>
        <v>4-4000</v>
      </c>
      <c r="Q188" s="58" t="str">
        <f t="shared" si="82"/>
        <v>2-1200</v>
      </c>
      <c r="R188" s="58" t="str">
        <f t="shared" si="83"/>
        <v>4-4001</v>
      </c>
      <c r="S188" s="58" t="str">
        <f t="shared" si="84"/>
        <v>4-4001.01</v>
      </c>
      <c r="T188" s="58" t="str">
        <f t="shared" si="85"/>
        <v xml:space="preserve"> </v>
      </c>
      <c r="V188" s="72">
        <f t="shared" si="86"/>
        <v>65000000000179</v>
      </c>
      <c r="W188" s="60">
        <f t="shared" si="87"/>
        <v>65000000000167</v>
      </c>
      <c r="X188" s="60">
        <f t="shared" si="88"/>
        <v>65000000000177</v>
      </c>
      <c r="Y188" s="60">
        <f t="shared" si="89"/>
        <v>65000000000147</v>
      </c>
      <c r="Z188" s="60">
        <f t="shared" si="90"/>
        <v>65000000000178</v>
      </c>
      <c r="AA188" s="60">
        <f t="shared" si="73"/>
        <v>65000000000179</v>
      </c>
      <c r="AB188" s="60">
        <f t="shared" si="91"/>
        <v>65000000000000</v>
      </c>
      <c r="AD188" s="60">
        <f t="shared" si="94"/>
        <v>4</v>
      </c>
      <c r="AE188" s="60">
        <f t="shared" si="95"/>
        <v>5</v>
      </c>
      <c r="AF188" s="60">
        <f t="shared" si="96"/>
        <v>1</v>
      </c>
      <c r="AG188" s="60">
        <f t="shared" si="97"/>
        <v>8</v>
      </c>
      <c r="AH188" s="60">
        <f t="shared" si="98"/>
        <v>2</v>
      </c>
      <c r="AI188" s="60">
        <f t="shared" si="99"/>
        <v>1</v>
      </c>
      <c r="AK188" s="68" t="str">
        <f t="shared" si="74"/>
        <v>L5</v>
      </c>
      <c r="AM188" s="64" t="s">
        <v>1755</v>
      </c>
      <c r="AN188" s="64">
        <f t="shared" si="75"/>
        <v>65000000000167</v>
      </c>
      <c r="AO188" s="64">
        <f t="shared" si="76"/>
        <v>65000000000177</v>
      </c>
      <c r="AP188" s="64">
        <f t="shared" si="77"/>
        <v>65000000000177</v>
      </c>
      <c r="AQ188" s="64">
        <f t="shared" si="78"/>
        <v>65000000000178</v>
      </c>
      <c r="AS188" s="64">
        <f t="shared" si="79"/>
        <v>65000000000178</v>
      </c>
      <c r="AU188" s="59" t="str">
        <f t="shared" si="100"/>
        <v>PERFORM * FROM "SchData-OLTP-Accounting"."Func_TblChartOfAccount_SET"(varSystemLoginSession, null, null, null, varInstitutionBranchID, 62000000000001::bigint,'4-4001.01', 'Under/Overclaim Adjustment (IDR)', 62000000000001::bigint, '2016-01-01 00:00:00'::timestamp, null::timestamp, 65000000000178::bigint, 66000000000001::bigint);</v>
      </c>
      <c r="AV188" s="65">
        <f t="shared" si="101"/>
        <v>65000000000179</v>
      </c>
      <c r="AW188" s="65">
        <f t="shared" si="102"/>
        <v>65000000000178</v>
      </c>
      <c r="AY188" s="65">
        <f t="shared" si="92"/>
        <v>65000000000178</v>
      </c>
      <c r="BA188" s="78">
        <f t="shared" si="103"/>
        <v>65000000000179</v>
      </c>
      <c r="BB188" s="81" t="str">
        <f t="shared" si="93"/>
        <v>PERFORM * FROM "SchData-OLTP-Accounting"."Func_TblChartOfAccount_SET"(varSystemLoginSession, null, null, null, null, null, varInstitutionBranchID, 62000000000001::bigint,'4-4001.01', 'Under/Overclaim Adjustment (IDR)', 62000000000001::bigint, '2016-01-01 00:00:00'::timestamp, null::timestamp, 65000000000178::bigint, 66000000000001::bigint, FALSE::boolean);</v>
      </c>
    </row>
    <row r="189" spans="1:54" x14ac:dyDescent="0.2">
      <c r="B189" s="41"/>
      <c r="C189" s="42"/>
      <c r="D189" s="43" t="s">
        <v>1097</v>
      </c>
      <c r="E189" s="42" t="s">
        <v>337</v>
      </c>
      <c r="F189" s="43"/>
      <c r="G189" s="42"/>
      <c r="H189" s="43"/>
      <c r="I189" s="42"/>
      <c r="J189" s="43"/>
      <c r="K189" s="42"/>
      <c r="L189" s="51"/>
      <c r="M189" s="18"/>
      <c r="O189" s="58" t="str">
        <f t="shared" si="80"/>
        <v>4-0000</v>
      </c>
      <c r="P189" s="58" t="str">
        <f t="shared" si="81"/>
        <v>4-5000</v>
      </c>
      <c r="Q189" s="58" t="str">
        <f t="shared" si="82"/>
        <v>2-1200</v>
      </c>
      <c r="R189" s="58" t="str">
        <f t="shared" si="83"/>
        <v>4-4001</v>
      </c>
      <c r="S189" s="58" t="str">
        <f t="shared" si="84"/>
        <v>4-4001.01</v>
      </c>
      <c r="T189" s="58" t="str">
        <f t="shared" si="85"/>
        <v xml:space="preserve"> </v>
      </c>
      <c r="V189" s="72">
        <f t="shared" si="86"/>
        <v>65000000000180</v>
      </c>
      <c r="W189" s="60">
        <f t="shared" si="87"/>
        <v>65000000000167</v>
      </c>
      <c r="X189" s="60">
        <f t="shared" si="88"/>
        <v>65000000000180</v>
      </c>
      <c r="Y189" s="60">
        <f t="shared" si="89"/>
        <v>65000000000147</v>
      </c>
      <c r="Z189" s="60">
        <f t="shared" si="90"/>
        <v>65000000000178</v>
      </c>
      <c r="AA189" s="60">
        <f t="shared" si="73"/>
        <v>65000000000179</v>
      </c>
      <c r="AB189" s="60">
        <f t="shared" si="91"/>
        <v>65000000000000</v>
      </c>
      <c r="AD189" s="60">
        <f t="shared" si="94"/>
        <v>4</v>
      </c>
      <c r="AE189" s="60">
        <f t="shared" si="95"/>
        <v>6</v>
      </c>
      <c r="AF189" s="60">
        <f t="shared" si="96"/>
        <v>1</v>
      </c>
      <c r="AG189" s="60">
        <f t="shared" si="97"/>
        <v>8</v>
      </c>
      <c r="AH189" s="60">
        <f t="shared" si="98"/>
        <v>2</v>
      </c>
      <c r="AI189" s="60">
        <f t="shared" si="99"/>
        <v>1</v>
      </c>
      <c r="AK189" s="68" t="str">
        <f t="shared" si="74"/>
        <v>L2</v>
      </c>
      <c r="AM189" s="64" t="s">
        <v>1755</v>
      </c>
      <c r="AN189" s="64">
        <f t="shared" si="75"/>
        <v>65000000000167</v>
      </c>
      <c r="AO189" s="64">
        <f t="shared" si="76"/>
        <v>65000000000177</v>
      </c>
      <c r="AP189" s="64">
        <f t="shared" si="77"/>
        <v>65000000000177</v>
      </c>
      <c r="AQ189" s="64">
        <f t="shared" si="78"/>
        <v>65000000000178</v>
      </c>
      <c r="AS189" s="64">
        <f t="shared" si="79"/>
        <v>65000000000167</v>
      </c>
      <c r="AU189" s="59" t="str">
        <f t="shared" si="100"/>
        <v>PERFORM * FROM "SchData-OLTP-Accounting"."Func_TblChartOfAccount_SET"(varSystemLoginSession, null, null, null, varInstitutionBranchID, 62000000000001::bigint,'4-5000', 'Discount', 62000000000001::bigint, '2016-01-01 00:00:00'::timestamp, null::timestamp, 65000000000167::bigint, 66000000000001::bigint);</v>
      </c>
      <c r="AV189" s="65">
        <f t="shared" si="101"/>
        <v>65000000000180</v>
      </c>
      <c r="AW189" s="65">
        <f t="shared" si="102"/>
        <v>65000000000167</v>
      </c>
      <c r="AY189" s="65">
        <f t="shared" si="92"/>
        <v>65000000000167</v>
      </c>
      <c r="BA189" s="78">
        <f t="shared" si="103"/>
        <v>65000000000180</v>
      </c>
      <c r="BB189" s="81" t="str">
        <f t="shared" si="93"/>
        <v>PERFORM * FROM "SchData-OLTP-Accounting"."Func_TblChartOfAccount_SET"(varSystemLoginSession, null, null, null, null, null, varInstitutionBranchID, 62000000000001::bigint,'4-5000', 'Discount', 62000000000001::bigint, '2016-01-01 00:00:00'::timestamp, null::timestamp, 65000000000167::bigint, 66000000000001::bigint, FALSE::boolean);</v>
      </c>
    </row>
    <row r="190" spans="1:54" x14ac:dyDescent="0.2">
      <c r="B190" s="41"/>
      <c r="C190" s="42"/>
      <c r="D190" s="43"/>
      <c r="E190" s="42"/>
      <c r="F190" s="43"/>
      <c r="G190" s="42"/>
      <c r="H190" s="43" t="s">
        <v>1439</v>
      </c>
      <c r="I190" s="42" t="s">
        <v>337</v>
      </c>
      <c r="J190" s="43"/>
      <c r="K190" s="42"/>
      <c r="L190" s="51"/>
      <c r="M190" s="18"/>
      <c r="O190" s="58" t="str">
        <f t="shared" si="80"/>
        <v>4-0000</v>
      </c>
      <c r="P190" s="58" t="str">
        <f t="shared" si="81"/>
        <v>4-5000</v>
      </c>
      <c r="Q190" s="58" t="str">
        <f t="shared" si="82"/>
        <v>2-1200</v>
      </c>
      <c r="R190" s="58" t="str">
        <f t="shared" si="83"/>
        <v>4-5001</v>
      </c>
      <c r="S190" s="58" t="str">
        <f t="shared" si="84"/>
        <v>4-4001.01</v>
      </c>
      <c r="T190" s="58" t="str">
        <f t="shared" si="85"/>
        <v xml:space="preserve"> </v>
      </c>
      <c r="V190" s="72">
        <f t="shared" si="86"/>
        <v>65000000000181</v>
      </c>
      <c r="W190" s="60">
        <f t="shared" si="87"/>
        <v>65000000000167</v>
      </c>
      <c r="X190" s="60">
        <f t="shared" si="88"/>
        <v>65000000000180</v>
      </c>
      <c r="Y190" s="60">
        <f t="shared" si="89"/>
        <v>65000000000147</v>
      </c>
      <c r="Z190" s="60">
        <f t="shared" si="90"/>
        <v>65000000000181</v>
      </c>
      <c r="AA190" s="60">
        <f t="shared" si="73"/>
        <v>65000000000179</v>
      </c>
      <c r="AB190" s="60">
        <f t="shared" si="91"/>
        <v>65000000000000</v>
      </c>
      <c r="AD190" s="60">
        <f t="shared" si="94"/>
        <v>4</v>
      </c>
      <c r="AE190" s="60">
        <f t="shared" si="95"/>
        <v>6</v>
      </c>
      <c r="AF190" s="60">
        <f t="shared" si="96"/>
        <v>1</v>
      </c>
      <c r="AG190" s="60">
        <f t="shared" si="97"/>
        <v>9</v>
      </c>
      <c r="AH190" s="60">
        <f t="shared" si="98"/>
        <v>1</v>
      </c>
      <c r="AI190" s="60">
        <f t="shared" si="99"/>
        <v>1</v>
      </c>
      <c r="AK190" s="68" t="str">
        <f t="shared" si="74"/>
        <v>L4</v>
      </c>
      <c r="AM190" s="64" t="s">
        <v>1755</v>
      </c>
      <c r="AN190" s="64">
        <f t="shared" si="75"/>
        <v>65000000000167</v>
      </c>
      <c r="AO190" s="64">
        <f t="shared" si="76"/>
        <v>65000000000180</v>
      </c>
      <c r="AP190" s="64">
        <f t="shared" si="77"/>
        <v>65000000000180</v>
      </c>
      <c r="AQ190" s="64">
        <f t="shared" si="78"/>
        <v>65000000000180</v>
      </c>
      <c r="AS190" s="64">
        <f t="shared" si="79"/>
        <v>65000000000180</v>
      </c>
      <c r="AU190" s="59" t="str">
        <f t="shared" si="100"/>
        <v>PERFORM * FROM "SchData-OLTP-Accounting"."Func_TblChartOfAccount_SET"(varSystemLoginSession, null, null, null, varInstitutionBranchID, 62000000000001::bigint,'4-5001', 'Discount', 62000000000001::bigint, '2016-01-01 00:00:00'::timestamp, null::timestamp, 65000000000180::bigint, 66000000000001::bigint);</v>
      </c>
      <c r="AV190" s="65">
        <f t="shared" si="101"/>
        <v>65000000000181</v>
      </c>
      <c r="AW190" s="65">
        <f t="shared" si="102"/>
        <v>65000000000180</v>
      </c>
      <c r="AY190" s="65">
        <f t="shared" si="92"/>
        <v>65000000000180</v>
      </c>
      <c r="BA190" s="78">
        <f t="shared" si="103"/>
        <v>65000000000181</v>
      </c>
      <c r="BB190" s="81" t="str">
        <f t="shared" si="93"/>
        <v>PERFORM * FROM "SchData-OLTP-Accounting"."Func_TblChartOfAccount_SET"(varSystemLoginSession, null, null, null, null, null, varInstitutionBranchID, 62000000000001::bigint,'4-5001', 'Discount', 62000000000001::bigint, '2016-01-01 00:00:00'::timestamp, null::timestamp, 65000000000180::bigint, 66000000000001::bigint, FALSE::boolean);</v>
      </c>
    </row>
    <row r="191" spans="1:54" x14ac:dyDescent="0.2">
      <c r="B191" s="41"/>
      <c r="C191" s="42"/>
      <c r="D191" s="43"/>
      <c r="E191" s="42"/>
      <c r="F191" s="43"/>
      <c r="G191" s="42"/>
      <c r="H191" s="43"/>
      <c r="I191" s="42"/>
      <c r="J191" s="43" t="s">
        <v>1440</v>
      </c>
      <c r="K191" s="42" t="s">
        <v>1277</v>
      </c>
      <c r="L191" s="51"/>
      <c r="M191" s="18"/>
      <c r="O191" s="58" t="str">
        <f t="shared" si="80"/>
        <v>4-0000</v>
      </c>
      <c r="P191" s="58" t="str">
        <f t="shared" si="81"/>
        <v>4-5000</v>
      </c>
      <c r="Q191" s="58" t="str">
        <f t="shared" si="82"/>
        <v>2-1200</v>
      </c>
      <c r="R191" s="58" t="str">
        <f t="shared" si="83"/>
        <v>4-5001</v>
      </c>
      <c r="S191" s="58" t="str">
        <f t="shared" si="84"/>
        <v>4-5001.01</v>
      </c>
      <c r="T191" s="58" t="str">
        <f t="shared" si="85"/>
        <v xml:space="preserve"> </v>
      </c>
      <c r="V191" s="72">
        <f t="shared" si="86"/>
        <v>65000000000182</v>
      </c>
      <c r="W191" s="60">
        <f t="shared" si="87"/>
        <v>65000000000167</v>
      </c>
      <c r="X191" s="60">
        <f t="shared" si="88"/>
        <v>65000000000180</v>
      </c>
      <c r="Y191" s="60">
        <f t="shared" si="89"/>
        <v>65000000000147</v>
      </c>
      <c r="Z191" s="60">
        <f t="shared" si="90"/>
        <v>65000000000181</v>
      </c>
      <c r="AA191" s="60">
        <f t="shared" si="73"/>
        <v>65000000000182</v>
      </c>
      <c r="AB191" s="60">
        <f t="shared" si="91"/>
        <v>65000000000000</v>
      </c>
      <c r="AD191" s="60">
        <f t="shared" si="94"/>
        <v>4</v>
      </c>
      <c r="AE191" s="60">
        <f t="shared" si="95"/>
        <v>6</v>
      </c>
      <c r="AF191" s="60">
        <f t="shared" si="96"/>
        <v>1</v>
      </c>
      <c r="AG191" s="60">
        <f t="shared" si="97"/>
        <v>9</v>
      </c>
      <c r="AH191" s="60">
        <f t="shared" si="98"/>
        <v>2</v>
      </c>
      <c r="AI191" s="60">
        <f t="shared" si="99"/>
        <v>1</v>
      </c>
      <c r="AK191" s="68" t="str">
        <f t="shared" si="74"/>
        <v>L5</v>
      </c>
      <c r="AM191" s="64" t="s">
        <v>1755</v>
      </c>
      <c r="AN191" s="64">
        <f t="shared" si="75"/>
        <v>65000000000167</v>
      </c>
      <c r="AO191" s="64">
        <f t="shared" si="76"/>
        <v>65000000000180</v>
      </c>
      <c r="AP191" s="64">
        <f t="shared" si="77"/>
        <v>65000000000180</v>
      </c>
      <c r="AQ191" s="64">
        <f t="shared" si="78"/>
        <v>65000000000181</v>
      </c>
      <c r="AS191" s="64">
        <f t="shared" si="79"/>
        <v>65000000000181</v>
      </c>
      <c r="AU191" s="59" t="str">
        <f t="shared" si="100"/>
        <v>PERFORM * FROM "SchData-OLTP-Accounting"."Func_TblChartOfAccount_SET"(varSystemLoginSession, null, null, null, varInstitutionBranchID, 62000000000001::bigint,'4-5001.01', 'Discount (IDR)', 62000000000001::bigint, '2016-01-01 00:00:00'::timestamp, null::timestamp, 65000000000181::bigint, 66000000000001::bigint);</v>
      </c>
      <c r="AV191" s="65">
        <f t="shared" si="101"/>
        <v>65000000000182</v>
      </c>
      <c r="AW191" s="65">
        <f t="shared" si="102"/>
        <v>65000000000181</v>
      </c>
      <c r="AY191" s="65">
        <f t="shared" si="92"/>
        <v>65000000000181</v>
      </c>
      <c r="BA191" s="78">
        <f t="shared" si="103"/>
        <v>65000000000182</v>
      </c>
      <c r="BB191" s="81" t="str">
        <f t="shared" si="93"/>
        <v>PERFORM * FROM "SchData-OLTP-Accounting"."Func_TblChartOfAccount_SET"(varSystemLoginSession, null, null, null, null, null, varInstitutionBranchID, 62000000000001::bigint,'4-5001.01', 'Discount (IDR)', 62000000000001::bigint, '2016-01-01 00:00:00'::timestamp, null::timestamp, 65000000000181::bigint, 66000000000001::bigint, FALSE::boolean);</v>
      </c>
    </row>
    <row r="192" spans="1:54" x14ac:dyDescent="0.2">
      <c r="B192" s="41"/>
      <c r="C192" s="42"/>
      <c r="D192" s="43" t="s">
        <v>1098</v>
      </c>
      <c r="E192" s="42" t="s">
        <v>339</v>
      </c>
      <c r="F192" s="43"/>
      <c r="G192" s="42"/>
      <c r="H192" s="43"/>
      <c r="I192" s="42"/>
      <c r="J192" s="43"/>
      <c r="K192" s="42"/>
      <c r="L192" s="51"/>
      <c r="M192" s="18"/>
      <c r="O192" s="58" t="str">
        <f t="shared" si="80"/>
        <v>4-0000</v>
      </c>
      <c r="P192" s="58" t="str">
        <f t="shared" si="81"/>
        <v>4-6000</v>
      </c>
      <c r="Q192" s="58" t="str">
        <f t="shared" si="82"/>
        <v>2-1200</v>
      </c>
      <c r="R192" s="58" t="str">
        <f t="shared" si="83"/>
        <v>4-5001</v>
      </c>
      <c r="S192" s="58" t="str">
        <f t="shared" si="84"/>
        <v>4-5001.01</v>
      </c>
      <c r="T192" s="58" t="str">
        <f t="shared" si="85"/>
        <v xml:space="preserve"> </v>
      </c>
      <c r="V192" s="72">
        <f t="shared" si="86"/>
        <v>65000000000183</v>
      </c>
      <c r="W192" s="60">
        <f t="shared" si="87"/>
        <v>65000000000167</v>
      </c>
      <c r="X192" s="60">
        <f t="shared" si="88"/>
        <v>65000000000183</v>
      </c>
      <c r="Y192" s="60">
        <f t="shared" si="89"/>
        <v>65000000000147</v>
      </c>
      <c r="Z192" s="60">
        <f t="shared" si="90"/>
        <v>65000000000181</v>
      </c>
      <c r="AA192" s="60">
        <f t="shared" si="73"/>
        <v>65000000000182</v>
      </c>
      <c r="AB192" s="60">
        <f t="shared" si="91"/>
        <v>65000000000000</v>
      </c>
      <c r="AD192" s="60">
        <f t="shared" si="94"/>
        <v>4</v>
      </c>
      <c r="AE192" s="60">
        <f t="shared" si="95"/>
        <v>7</v>
      </c>
      <c r="AF192" s="60">
        <f t="shared" si="96"/>
        <v>1</v>
      </c>
      <c r="AG192" s="60">
        <f t="shared" si="97"/>
        <v>9</v>
      </c>
      <c r="AH192" s="60">
        <f t="shared" si="98"/>
        <v>2</v>
      </c>
      <c r="AI192" s="60">
        <f t="shared" si="99"/>
        <v>1</v>
      </c>
      <c r="AK192" s="68" t="str">
        <f t="shared" si="74"/>
        <v>L2</v>
      </c>
      <c r="AM192" s="64" t="s">
        <v>1755</v>
      </c>
      <c r="AN192" s="64">
        <f t="shared" si="75"/>
        <v>65000000000167</v>
      </c>
      <c r="AO192" s="64">
        <f t="shared" si="76"/>
        <v>65000000000180</v>
      </c>
      <c r="AP192" s="64">
        <f t="shared" si="77"/>
        <v>65000000000180</v>
      </c>
      <c r="AQ192" s="64">
        <f t="shared" si="78"/>
        <v>65000000000181</v>
      </c>
      <c r="AS192" s="64">
        <f t="shared" si="79"/>
        <v>65000000000167</v>
      </c>
      <c r="AU192" s="59" t="str">
        <f t="shared" si="100"/>
        <v>PERFORM * FROM "SchData-OLTP-Accounting"."Func_TblChartOfAccount_SET"(varSystemLoginSession, null, null, null, varInstitutionBranchID, 62000000000001::bigint,'4-6000', 'Commision', 62000000000001::bigint, '2016-01-01 00:00:00'::timestamp, null::timestamp, 65000000000167::bigint, 66000000000001::bigint);</v>
      </c>
      <c r="AV192" s="65">
        <f t="shared" si="101"/>
        <v>65000000000183</v>
      </c>
      <c r="AW192" s="65">
        <f t="shared" si="102"/>
        <v>65000000000167</v>
      </c>
      <c r="AY192" s="65">
        <f t="shared" si="92"/>
        <v>65000000000167</v>
      </c>
      <c r="BA192" s="78">
        <f t="shared" si="103"/>
        <v>65000000000183</v>
      </c>
      <c r="BB192" s="81" t="str">
        <f t="shared" si="93"/>
        <v>PERFORM * FROM "SchData-OLTP-Accounting"."Func_TblChartOfAccount_SET"(varSystemLoginSession, null, null, null, null, null, varInstitutionBranchID, 62000000000001::bigint,'4-6000', 'Commision', 62000000000001::bigint, '2016-01-01 00:00:00'::timestamp, null::timestamp, 65000000000167::bigint, 66000000000001::bigint, FALSE::boolean);</v>
      </c>
    </row>
    <row r="193" spans="2:54" x14ac:dyDescent="0.2">
      <c r="B193" s="41"/>
      <c r="C193" s="42"/>
      <c r="D193" s="43"/>
      <c r="E193" s="42"/>
      <c r="F193" s="43"/>
      <c r="G193" s="42"/>
      <c r="H193" s="43" t="s">
        <v>1441</v>
      </c>
      <c r="I193" s="42" t="s">
        <v>339</v>
      </c>
      <c r="J193" s="43"/>
      <c r="K193" s="42"/>
      <c r="L193" s="51"/>
      <c r="M193" s="18"/>
      <c r="O193" s="58" t="str">
        <f t="shared" si="80"/>
        <v>4-0000</v>
      </c>
      <c r="P193" s="58" t="str">
        <f t="shared" si="81"/>
        <v>4-6000</v>
      </c>
      <c r="Q193" s="58" t="str">
        <f t="shared" si="82"/>
        <v>2-1200</v>
      </c>
      <c r="R193" s="58" t="str">
        <f t="shared" si="83"/>
        <v>4-6001</v>
      </c>
      <c r="S193" s="58" t="str">
        <f t="shared" si="84"/>
        <v>4-5001.01</v>
      </c>
      <c r="T193" s="58" t="str">
        <f t="shared" si="85"/>
        <v xml:space="preserve"> </v>
      </c>
      <c r="V193" s="72">
        <f t="shared" si="86"/>
        <v>65000000000184</v>
      </c>
      <c r="W193" s="60">
        <f t="shared" si="87"/>
        <v>65000000000167</v>
      </c>
      <c r="X193" s="60">
        <f t="shared" si="88"/>
        <v>65000000000183</v>
      </c>
      <c r="Y193" s="60">
        <f t="shared" si="89"/>
        <v>65000000000147</v>
      </c>
      <c r="Z193" s="60">
        <f t="shared" si="90"/>
        <v>65000000000184</v>
      </c>
      <c r="AA193" s="60">
        <f t="shared" si="73"/>
        <v>65000000000182</v>
      </c>
      <c r="AB193" s="60">
        <f t="shared" si="91"/>
        <v>65000000000000</v>
      </c>
      <c r="AD193" s="60">
        <f t="shared" si="94"/>
        <v>4</v>
      </c>
      <c r="AE193" s="60">
        <f t="shared" si="95"/>
        <v>7</v>
      </c>
      <c r="AF193" s="60">
        <f t="shared" si="96"/>
        <v>1</v>
      </c>
      <c r="AG193" s="60">
        <f t="shared" si="97"/>
        <v>10</v>
      </c>
      <c r="AH193" s="60">
        <f t="shared" si="98"/>
        <v>1</v>
      </c>
      <c r="AI193" s="60">
        <f t="shared" si="99"/>
        <v>1</v>
      </c>
      <c r="AK193" s="68" t="str">
        <f t="shared" si="74"/>
        <v>L4</v>
      </c>
      <c r="AM193" s="64" t="s">
        <v>1755</v>
      </c>
      <c r="AN193" s="64">
        <f t="shared" si="75"/>
        <v>65000000000167</v>
      </c>
      <c r="AO193" s="64">
        <f t="shared" si="76"/>
        <v>65000000000183</v>
      </c>
      <c r="AP193" s="64">
        <f t="shared" si="77"/>
        <v>65000000000183</v>
      </c>
      <c r="AQ193" s="64">
        <f t="shared" si="78"/>
        <v>65000000000183</v>
      </c>
      <c r="AS193" s="64">
        <f t="shared" si="79"/>
        <v>65000000000183</v>
      </c>
      <c r="AU193" s="59" t="str">
        <f t="shared" si="100"/>
        <v>PERFORM * FROM "SchData-OLTP-Accounting"."Func_TblChartOfAccount_SET"(varSystemLoginSession, null, null, null, varInstitutionBranchID, 62000000000001::bigint,'4-6001', 'Commision', 62000000000001::bigint, '2016-01-01 00:00:00'::timestamp, null::timestamp, 65000000000183::bigint, 66000000000001::bigint);</v>
      </c>
      <c r="AV193" s="65">
        <f t="shared" si="101"/>
        <v>65000000000184</v>
      </c>
      <c r="AW193" s="65">
        <f t="shared" si="102"/>
        <v>65000000000183</v>
      </c>
      <c r="AY193" s="65">
        <f t="shared" si="92"/>
        <v>65000000000183</v>
      </c>
      <c r="BA193" s="78">
        <f t="shared" si="103"/>
        <v>65000000000184</v>
      </c>
      <c r="BB193" s="81" t="str">
        <f t="shared" si="93"/>
        <v>PERFORM * FROM "SchData-OLTP-Accounting"."Func_TblChartOfAccount_SET"(varSystemLoginSession, null, null, null, null, null, varInstitutionBranchID, 62000000000001::bigint,'4-6001', 'Commision', 62000000000001::bigint, '2016-01-01 00:00:00'::timestamp, null::timestamp, 65000000000183::bigint, 66000000000001::bigint, FALSE::boolean);</v>
      </c>
    </row>
    <row r="194" spans="2:54" x14ac:dyDescent="0.2">
      <c r="B194" s="41"/>
      <c r="C194" s="42"/>
      <c r="D194" s="43"/>
      <c r="E194" s="42"/>
      <c r="F194" s="43"/>
      <c r="G194" s="42"/>
      <c r="H194" s="43"/>
      <c r="I194" s="42"/>
      <c r="J194" s="43" t="s">
        <v>1442</v>
      </c>
      <c r="K194" s="42" t="s">
        <v>1278</v>
      </c>
      <c r="L194" s="51"/>
      <c r="M194" s="18"/>
      <c r="O194" s="58" t="str">
        <f t="shared" si="80"/>
        <v>4-0000</v>
      </c>
      <c r="P194" s="58" t="str">
        <f t="shared" si="81"/>
        <v>4-6000</v>
      </c>
      <c r="Q194" s="58" t="str">
        <f t="shared" si="82"/>
        <v>2-1200</v>
      </c>
      <c r="R194" s="58" t="str">
        <f t="shared" si="83"/>
        <v>4-6001</v>
      </c>
      <c r="S194" s="58" t="str">
        <f t="shared" si="84"/>
        <v>4-6001.01</v>
      </c>
      <c r="T194" s="58" t="str">
        <f t="shared" si="85"/>
        <v xml:space="preserve"> </v>
      </c>
      <c r="V194" s="72">
        <f t="shared" si="86"/>
        <v>65000000000185</v>
      </c>
      <c r="W194" s="60">
        <f t="shared" si="87"/>
        <v>65000000000167</v>
      </c>
      <c r="X194" s="60">
        <f t="shared" si="88"/>
        <v>65000000000183</v>
      </c>
      <c r="Y194" s="60">
        <f t="shared" si="89"/>
        <v>65000000000147</v>
      </c>
      <c r="Z194" s="60">
        <f t="shared" si="90"/>
        <v>65000000000184</v>
      </c>
      <c r="AA194" s="60">
        <f t="shared" si="73"/>
        <v>65000000000185</v>
      </c>
      <c r="AB194" s="60">
        <f t="shared" si="91"/>
        <v>65000000000000</v>
      </c>
      <c r="AD194" s="60">
        <f t="shared" si="94"/>
        <v>4</v>
      </c>
      <c r="AE194" s="60">
        <f t="shared" si="95"/>
        <v>7</v>
      </c>
      <c r="AF194" s="60">
        <f t="shared" si="96"/>
        <v>1</v>
      </c>
      <c r="AG194" s="60">
        <f t="shared" si="97"/>
        <v>10</v>
      </c>
      <c r="AH194" s="60">
        <f t="shared" si="98"/>
        <v>2</v>
      </c>
      <c r="AI194" s="60">
        <f t="shared" si="99"/>
        <v>1</v>
      </c>
      <c r="AK194" s="68" t="str">
        <f t="shared" si="74"/>
        <v>L5</v>
      </c>
      <c r="AM194" s="64" t="s">
        <v>1755</v>
      </c>
      <c r="AN194" s="64">
        <f t="shared" si="75"/>
        <v>65000000000167</v>
      </c>
      <c r="AO194" s="64">
        <f t="shared" si="76"/>
        <v>65000000000183</v>
      </c>
      <c r="AP194" s="64">
        <f t="shared" si="77"/>
        <v>65000000000183</v>
      </c>
      <c r="AQ194" s="64">
        <f t="shared" si="78"/>
        <v>65000000000184</v>
      </c>
      <c r="AS194" s="64">
        <f t="shared" si="79"/>
        <v>65000000000184</v>
      </c>
      <c r="AU194" s="59" t="str">
        <f t="shared" si="100"/>
        <v>PERFORM * FROM "SchData-OLTP-Accounting"."Func_TblChartOfAccount_SET"(varSystemLoginSession, null, null, null, varInstitutionBranchID, 62000000000001::bigint,'4-6001.01', 'Commision (IDR)', 62000000000001::bigint, '2016-01-01 00:00:00'::timestamp, null::timestamp, 65000000000184::bigint, 66000000000001::bigint);</v>
      </c>
      <c r="AV194" s="65">
        <f t="shared" si="101"/>
        <v>65000000000185</v>
      </c>
      <c r="AW194" s="65">
        <f t="shared" si="102"/>
        <v>65000000000184</v>
      </c>
      <c r="AY194" s="65">
        <f t="shared" si="92"/>
        <v>65000000000184</v>
      </c>
      <c r="BA194" s="78">
        <f t="shared" si="103"/>
        <v>65000000000185</v>
      </c>
      <c r="BB194" s="81" t="str">
        <f t="shared" si="93"/>
        <v>PERFORM * FROM "SchData-OLTP-Accounting"."Func_TblChartOfAccount_SET"(varSystemLoginSession, null, null, null, null, null, varInstitutionBranchID, 62000000000001::bigint,'4-6001.01', 'Commision (IDR)', 62000000000001::bigint, '2016-01-01 00:00:00'::timestamp, null::timestamp, 65000000000184::bigint, 66000000000001::bigint, FALSE::boolean);</v>
      </c>
    </row>
    <row r="195" spans="2:54" x14ac:dyDescent="0.2">
      <c r="B195" s="47"/>
      <c r="C195" s="48"/>
      <c r="D195" s="49"/>
      <c r="E195" s="48"/>
      <c r="F195" s="49"/>
      <c r="G195" s="48"/>
      <c r="H195" s="54"/>
      <c r="I195" s="24"/>
      <c r="J195" s="54"/>
      <c r="K195" s="24"/>
      <c r="L195" s="54"/>
      <c r="M195" s="24"/>
      <c r="O195" s="58" t="str">
        <f t="shared" si="80"/>
        <v>4-0000</v>
      </c>
      <c r="P195" s="58" t="str">
        <f t="shared" si="81"/>
        <v>4-6000</v>
      </c>
      <c r="Q195" s="58" t="str">
        <f t="shared" si="82"/>
        <v>2-1200</v>
      </c>
      <c r="R195" s="58" t="str">
        <f t="shared" si="83"/>
        <v>4-6001</v>
      </c>
      <c r="S195" s="58" t="str">
        <f t="shared" si="84"/>
        <v>4-6001.01</v>
      </c>
      <c r="T195" s="58" t="str">
        <f t="shared" si="85"/>
        <v xml:space="preserve"> </v>
      </c>
      <c r="V195" s="72">
        <f t="shared" si="86"/>
        <v>65000000000185</v>
      </c>
      <c r="W195" s="60">
        <f t="shared" si="87"/>
        <v>65000000000167</v>
      </c>
      <c r="X195" s="60">
        <f t="shared" si="88"/>
        <v>65000000000183</v>
      </c>
      <c r="Y195" s="60">
        <f t="shared" si="89"/>
        <v>65000000000147</v>
      </c>
      <c r="Z195" s="60">
        <f t="shared" si="90"/>
        <v>65000000000184</v>
      </c>
      <c r="AA195" s="60">
        <f t="shared" si="73"/>
        <v>65000000000185</v>
      </c>
      <c r="AB195" s="60">
        <f t="shared" si="91"/>
        <v>65000000000000</v>
      </c>
      <c r="AD195" s="60">
        <f t="shared" si="94"/>
        <v>4</v>
      </c>
      <c r="AE195" s="60">
        <f t="shared" si="95"/>
        <v>7</v>
      </c>
      <c r="AF195" s="60">
        <f t="shared" si="96"/>
        <v>1</v>
      </c>
      <c r="AG195" s="60">
        <f t="shared" si="97"/>
        <v>10</v>
      </c>
      <c r="AH195" s="60">
        <f t="shared" si="98"/>
        <v>2</v>
      </c>
      <c r="AI195" s="60">
        <f t="shared" si="99"/>
        <v>1</v>
      </c>
      <c r="AK195" s="68" t="str">
        <f t="shared" si="74"/>
        <v>L1</v>
      </c>
      <c r="AM195" s="64" t="s">
        <v>1755</v>
      </c>
      <c r="AN195" s="64">
        <f t="shared" si="75"/>
        <v>65000000000167</v>
      </c>
      <c r="AO195" s="64">
        <f t="shared" si="76"/>
        <v>65000000000183</v>
      </c>
      <c r="AP195" s="64">
        <f t="shared" si="77"/>
        <v>65000000000183</v>
      </c>
      <c r="AQ195" s="64">
        <f t="shared" si="78"/>
        <v>65000000000184</v>
      </c>
      <c r="AS195" s="64" t="str">
        <f t="shared" si="79"/>
        <v>null</v>
      </c>
      <c r="AU195" s="59" t="str">
        <f t="shared" si="100"/>
        <v/>
      </c>
      <c r="AV195" s="65" t="str">
        <f t="shared" si="101"/>
        <v/>
      </c>
      <c r="AW195" s="65" t="str">
        <f t="shared" si="102"/>
        <v>null</v>
      </c>
      <c r="AY195" s="65" t="str">
        <f t="shared" si="92"/>
        <v/>
      </c>
      <c r="BA195" s="78">
        <f t="shared" si="103"/>
        <v>65000000000185</v>
      </c>
      <c r="BB195" s="81" t="str">
        <f t="shared" si="93"/>
        <v/>
      </c>
    </row>
    <row r="196" spans="2:54" x14ac:dyDescent="0.2">
      <c r="B196" s="43" t="s">
        <v>1078</v>
      </c>
      <c r="C196" s="42" t="s">
        <v>711</v>
      </c>
      <c r="D196" s="43"/>
      <c r="E196" s="42"/>
      <c r="F196" s="43"/>
      <c r="G196" s="42"/>
      <c r="H196" s="51"/>
      <c r="I196" s="18"/>
      <c r="J196" s="51"/>
      <c r="K196" s="18"/>
      <c r="L196" s="51"/>
      <c r="M196" s="18"/>
      <c r="O196" s="58" t="str">
        <f t="shared" si="80"/>
        <v>5-0000</v>
      </c>
      <c r="P196" s="58" t="str">
        <f t="shared" si="81"/>
        <v>4-6000</v>
      </c>
      <c r="Q196" s="58" t="str">
        <f t="shared" si="82"/>
        <v>2-1200</v>
      </c>
      <c r="R196" s="58" t="str">
        <f t="shared" si="83"/>
        <v>4-6001</v>
      </c>
      <c r="S196" s="58" t="str">
        <f t="shared" si="84"/>
        <v>4-6001.01</v>
      </c>
      <c r="T196" s="58" t="str">
        <f t="shared" si="85"/>
        <v xml:space="preserve"> </v>
      </c>
      <c r="V196" s="72">
        <f t="shared" si="86"/>
        <v>65000000000186</v>
      </c>
      <c r="W196" s="60">
        <f t="shared" si="87"/>
        <v>65000000000186</v>
      </c>
      <c r="X196" s="60">
        <f t="shared" si="88"/>
        <v>65000000000183</v>
      </c>
      <c r="Y196" s="60">
        <f t="shared" si="89"/>
        <v>65000000000147</v>
      </c>
      <c r="Z196" s="60">
        <f t="shared" si="90"/>
        <v>65000000000184</v>
      </c>
      <c r="AA196" s="60">
        <f t="shared" si="73"/>
        <v>65000000000185</v>
      </c>
      <c r="AB196" s="60">
        <f t="shared" si="91"/>
        <v>65000000000000</v>
      </c>
      <c r="AD196" s="60">
        <f t="shared" si="94"/>
        <v>5</v>
      </c>
      <c r="AE196" s="60">
        <f t="shared" si="95"/>
        <v>1</v>
      </c>
      <c r="AF196" s="60">
        <f t="shared" si="96"/>
        <v>1</v>
      </c>
      <c r="AG196" s="60">
        <f t="shared" si="97"/>
        <v>10</v>
      </c>
      <c r="AH196" s="60">
        <f t="shared" si="98"/>
        <v>2</v>
      </c>
      <c r="AI196" s="60">
        <f t="shared" si="99"/>
        <v>1</v>
      </c>
      <c r="AK196" s="68" t="str">
        <f t="shared" si="74"/>
        <v>L1</v>
      </c>
      <c r="AM196" s="64" t="s">
        <v>1755</v>
      </c>
      <c r="AN196" s="64">
        <f t="shared" si="75"/>
        <v>65000000000167</v>
      </c>
      <c r="AO196" s="64">
        <f t="shared" si="76"/>
        <v>65000000000167</v>
      </c>
      <c r="AP196" s="64">
        <f t="shared" si="77"/>
        <v>65000000000167</v>
      </c>
      <c r="AQ196" s="64">
        <f t="shared" si="78"/>
        <v>65000000000167</v>
      </c>
      <c r="AS196" s="64" t="str">
        <f t="shared" si="79"/>
        <v>null</v>
      </c>
      <c r="AU196" s="59" t="str">
        <f t="shared" si="100"/>
        <v>PERFORM * FROM "SchData-OLTP-Accounting"."Func_TblChartOfAccount_SET"(varSystemLoginSession, null, null, null, varInstitutionBranchID, 62000000000001::bigint,'5-0000', 'HPP (COGS)', 62000000000001::bigint, '2016-01-01 00:00:00'::timestamp, null::timestamp, null::bigint, 66000000000001::bigint);</v>
      </c>
      <c r="AV196" s="65">
        <f t="shared" si="101"/>
        <v>65000000000186</v>
      </c>
      <c r="AW196" s="65" t="str">
        <f t="shared" si="102"/>
        <v>null</v>
      </c>
      <c r="AY196" s="65" t="str">
        <f t="shared" si="92"/>
        <v>null</v>
      </c>
      <c r="BA196" s="78">
        <f t="shared" si="103"/>
        <v>65000000000186</v>
      </c>
      <c r="BB196" s="81" t="str">
        <f t="shared" si="93"/>
        <v>PERFORM * FROM "SchData-OLTP-Accounting"."Func_TblChartOfAccount_SET"(varSystemLoginSession, null, null, null, null, null, varInstitutionBranchID, 62000000000001::bigint,'5-0000', 'HPP (COGS)', 62000000000001::bigint, '2016-01-01 00:00:00'::timestamp, null::timestamp, null::bigint, 66000000000001::bigint, FALSE::boolean);</v>
      </c>
    </row>
    <row r="197" spans="2:54" x14ac:dyDescent="0.2">
      <c r="B197" s="43"/>
      <c r="C197" s="42"/>
      <c r="D197" s="43" t="s">
        <v>1099</v>
      </c>
      <c r="E197" s="42" t="s">
        <v>347</v>
      </c>
      <c r="F197" s="43"/>
      <c r="G197" s="42"/>
      <c r="H197" s="51"/>
      <c r="I197" s="18"/>
      <c r="J197" s="51"/>
      <c r="K197" s="18"/>
      <c r="L197" s="51"/>
      <c r="M197" s="18"/>
      <c r="O197" s="58" t="str">
        <f t="shared" si="80"/>
        <v>5-0000</v>
      </c>
      <c r="P197" s="58" t="str">
        <f t="shared" si="81"/>
        <v>5-1000</v>
      </c>
      <c r="Q197" s="58" t="str">
        <f t="shared" si="82"/>
        <v>2-1200</v>
      </c>
      <c r="R197" s="58" t="str">
        <f t="shared" si="83"/>
        <v>4-6001</v>
      </c>
      <c r="S197" s="58" t="str">
        <f t="shared" si="84"/>
        <v>4-6001.01</v>
      </c>
      <c r="T197" s="58" t="str">
        <f t="shared" si="85"/>
        <v xml:space="preserve"> </v>
      </c>
      <c r="V197" s="72">
        <f t="shared" si="86"/>
        <v>65000000000187</v>
      </c>
      <c r="W197" s="60">
        <f t="shared" si="87"/>
        <v>65000000000186</v>
      </c>
      <c r="X197" s="60">
        <f t="shared" si="88"/>
        <v>65000000000187</v>
      </c>
      <c r="Y197" s="60">
        <f t="shared" si="89"/>
        <v>65000000000147</v>
      </c>
      <c r="Z197" s="60">
        <f t="shared" si="90"/>
        <v>65000000000184</v>
      </c>
      <c r="AA197" s="60">
        <f t="shared" ref="AA197:AA260" si="104">IF(EXACT($J197, ""), $AA196, $V197)</f>
        <v>65000000000185</v>
      </c>
      <c r="AB197" s="60">
        <f t="shared" si="91"/>
        <v>65000000000000</v>
      </c>
      <c r="AD197" s="60">
        <f t="shared" si="94"/>
        <v>5</v>
      </c>
      <c r="AE197" s="60">
        <f t="shared" si="95"/>
        <v>2</v>
      </c>
      <c r="AF197" s="60">
        <f t="shared" si="96"/>
        <v>1</v>
      </c>
      <c r="AG197" s="60">
        <f t="shared" si="97"/>
        <v>10</v>
      </c>
      <c r="AH197" s="60">
        <f t="shared" si="98"/>
        <v>2</v>
      </c>
      <c r="AI197" s="60">
        <f t="shared" si="99"/>
        <v>1</v>
      </c>
      <c r="AK197" s="68" t="str">
        <f t="shared" ref="AK197:AK260" si="105" xml:space="preserve">
IF(AA197&lt;&gt;AA196,
     "L5",
     IF(Z197&lt;&gt;Z196,
          "L4",
          IF(Y197&lt;&gt;Y196,
               "L3",
               IF(X197&lt;&gt;X196,
                    "L2",
                     IF(W197&lt;&gt;W196,
                         "L1",
                         "L1"
                         )
                    )
               )
          )
     )</f>
        <v>L2</v>
      </c>
      <c r="AM197" s="64" t="s">
        <v>1755</v>
      </c>
      <c r="AN197" s="64">
        <f t="shared" ref="AN197:AN260" si="106">IF(EXACT($AK196, "L1"), $W196, AN196)</f>
        <v>65000000000186</v>
      </c>
      <c r="AO197" s="64">
        <f t="shared" ref="AO197:AO260" si="107">IF(EXACT($AK196, "L1"), $W196, IF(EXACT($AK196, "L2"), $X196, AO196))</f>
        <v>65000000000186</v>
      </c>
      <c r="AP197" s="64">
        <f t="shared" ref="AP197:AP260" si="108">IF(EXACT($AK196, "L1"), $W196, IF(EXACT($AK196, "L2"), $X196, IF(EXACT($AK196, "L3"), $Y196, AP196)))</f>
        <v>65000000000186</v>
      </c>
      <c r="AQ197" s="64">
        <f t="shared" ref="AQ197:AQ260" si="109">IF(EXACT($AK196, "L1"), $W196, IF(EXACT($AK196, "L2"), $X196, IF(EXACT($AK196, "L3"), $Y196, IF(EXACT($AK196, "L4"), $Z196, AQ196))))</f>
        <v>65000000000186</v>
      </c>
      <c r="AS197" s="64">
        <f t="shared" ref="AS197:AS260" si="110">IF(EXACT($AK197, "L1"), AM197, IF(EXACT($AK197, "L2"), AN197, IF(EXACT($AK197, "L3"), AO197, IF(EXACT($AK197, "L4"), AP197, IF(EXACT($AK197, "L5"), AQ197, "")))))</f>
        <v>65000000000186</v>
      </c>
      <c r="AU197" s="59" t="str">
        <f t="shared" si="100"/>
        <v>PERFORM * FROM "SchData-OLTP-Accounting"."Func_TblChartOfAccount_SET"(varSystemLoginSession, null, null, null, varInstitutionBranchID, 62000000000001::bigint,'5-1000', 'Cost of Material', 62000000000001::bigint, '2016-01-01 00:00:00'::timestamp, null::timestamp, 65000000000186::bigint, 66000000000001::bigint);</v>
      </c>
      <c r="AV197" s="65">
        <f t="shared" si="101"/>
        <v>65000000000187</v>
      </c>
      <c r="AW197" s="65">
        <f t="shared" si="102"/>
        <v>65000000000186</v>
      </c>
      <c r="AY197" s="65">
        <f t="shared" si="92"/>
        <v>65000000000186</v>
      </c>
      <c r="BA197" s="78">
        <f t="shared" si="103"/>
        <v>65000000000187</v>
      </c>
      <c r="BB197" s="81" t="str">
        <f t="shared" si="93"/>
        <v>PERFORM * FROM "SchData-OLTP-Accounting"."Func_TblChartOfAccount_SET"(varSystemLoginSession, null, null, null, null, null, varInstitutionBranchID, 62000000000001::bigint,'5-1000', 'Cost of Material', 62000000000001::bigint, '2016-01-01 00:00:00'::timestamp, null::timestamp, 65000000000186::bigint, 66000000000001::bigint, FALSE::boolean);</v>
      </c>
    </row>
    <row r="198" spans="2:54" x14ac:dyDescent="0.2">
      <c r="B198" s="43"/>
      <c r="C198" s="42"/>
      <c r="D198" s="43"/>
      <c r="E198" s="42"/>
      <c r="F198" s="43"/>
      <c r="G198" s="42"/>
      <c r="H198" s="51" t="s">
        <v>902</v>
      </c>
      <c r="I198" s="18" t="s">
        <v>349</v>
      </c>
      <c r="J198" s="51"/>
      <c r="K198" s="18"/>
      <c r="L198" s="51"/>
      <c r="M198" s="18"/>
      <c r="O198" s="58" t="str">
        <f t="shared" ref="O198:O261" si="111">IF(EXACT($B198, ""), $O197, $B198)</f>
        <v>5-0000</v>
      </c>
      <c r="P198" s="58" t="str">
        <f t="shared" ref="P198:P261" si="112">IF(EXACT($D198, ""), $P197, $D198)</f>
        <v>5-1000</v>
      </c>
      <c r="Q198" s="58" t="str">
        <f t="shared" ref="Q198:Q261" si="113">IF(EXACT($F198, ""), $Q197, $F198)</f>
        <v>2-1200</v>
      </c>
      <c r="R198" s="58" t="str">
        <f t="shared" ref="R198:R261" si="114">IF(EXACT($H198, ""), $R197, $H198)</f>
        <v>5-1001</v>
      </c>
      <c r="S198" s="58" t="str">
        <f t="shared" ref="S198:S261" si="115">IF(EXACT($J198, ""), $S197, $J198)</f>
        <v>4-6001.01</v>
      </c>
      <c r="T198" s="58" t="str">
        <f t="shared" ref="T198:T261" si="116">IF(EXACT($L198, ""), $T197, $L198)</f>
        <v xml:space="preserve"> </v>
      </c>
      <c r="V198" s="72">
        <f t="shared" ref="V198:V261" si="117">V197+IF(AND(EXACT(B198, ""), EXACT(D198, ""), EXACT(F198, ""), EXACT(H198, ""), EXACT(J198, ""), EXACT(L198, "")), 0, 1)</f>
        <v>65000000000188</v>
      </c>
      <c r="W198" s="60">
        <f t="shared" ref="W198:W261" si="118">IF(EXACT($B198, ""), $W197, $V198)</f>
        <v>65000000000186</v>
      </c>
      <c r="X198" s="60">
        <f t="shared" ref="X198:X261" si="119">IF(EXACT($D198, ""), $X197, $V198)</f>
        <v>65000000000187</v>
      </c>
      <c r="Y198" s="60">
        <f t="shared" ref="Y198:Y261" si="120">IF(EXACT($F198, ""), $Y197, $V198)</f>
        <v>65000000000147</v>
      </c>
      <c r="Z198" s="60">
        <f t="shared" ref="Z198:Z261" si="121">IF(EXACT($H198, ""), $Z197, $V198)</f>
        <v>65000000000188</v>
      </c>
      <c r="AA198" s="60">
        <f t="shared" si="104"/>
        <v>65000000000185</v>
      </c>
      <c r="AB198" s="60">
        <f t="shared" ref="AB198:AB261" si="122">IF(EXACT($L198, ""), $AB197, $V198)</f>
        <v>65000000000000</v>
      </c>
      <c r="AD198" s="60">
        <f t="shared" si="94"/>
        <v>5</v>
      </c>
      <c r="AE198" s="60">
        <f t="shared" si="95"/>
        <v>2</v>
      </c>
      <c r="AF198" s="60">
        <f t="shared" si="96"/>
        <v>1</v>
      </c>
      <c r="AG198" s="60">
        <f t="shared" si="97"/>
        <v>11</v>
      </c>
      <c r="AH198" s="60">
        <f t="shared" si="98"/>
        <v>1</v>
      </c>
      <c r="AI198" s="60">
        <f t="shared" si="99"/>
        <v>1</v>
      </c>
      <c r="AK198" s="68" t="str">
        <f t="shared" si="105"/>
        <v>L4</v>
      </c>
      <c r="AM198" s="64" t="s">
        <v>1755</v>
      </c>
      <c r="AN198" s="64">
        <f t="shared" si="106"/>
        <v>65000000000186</v>
      </c>
      <c r="AO198" s="64">
        <f t="shared" si="107"/>
        <v>65000000000187</v>
      </c>
      <c r="AP198" s="64">
        <f t="shared" si="108"/>
        <v>65000000000187</v>
      </c>
      <c r="AQ198" s="64">
        <f t="shared" si="109"/>
        <v>65000000000187</v>
      </c>
      <c r="AS198" s="64">
        <f t="shared" si="110"/>
        <v>65000000000187</v>
      </c>
      <c r="AU198" s="59" t="str">
        <f t="shared" si="100"/>
        <v>PERFORM * FROM "SchData-OLTP-Accounting"."Func_TblChartOfAccount_SET"(varSystemLoginSession, null, null, null, varInstitutionBranchID, 62000000000001::bigint,'5-1001', 'Opening Balance - Material', 62000000000001::bigint, '2016-01-01 00:00:00'::timestamp, null::timestamp, 65000000000187::bigint, 66000000000001::bigint);</v>
      </c>
      <c r="AV198" s="65">
        <f t="shared" si="101"/>
        <v>65000000000188</v>
      </c>
      <c r="AW198" s="65">
        <f t="shared" si="102"/>
        <v>65000000000187</v>
      </c>
      <c r="AY198" s="65">
        <f t="shared" ref="AY198:AY261" si="123">IF(AND(EXACT($B198, ""), EXACT($D198, ""), EXACT($F198, ""), EXACT($H198, ""), EXACT($J198, ""), EXACT($L198, "")), "",
IF(NOT(EXACT($B198, "")), "null",
IF(NOT(EXACT($D198, "")), IF($W197&lt;&gt;$W196, $W197, $W198),
IF(NOT(EXACT($F198, "")), IF($X197&lt;&gt;$X196, $X197, IF($W197&lt;&gt;$W196, $W197, $X198)),
IF(NOT(EXACT($H198, "")), IF($Y197&lt;&gt;$Y196, $Y197, IF($X197&lt;&gt;$X196, $X197, IF($W197&lt;&gt;$W196, $W197, $Y198))),
IF(NOT(EXACT($J198, "")), IF($Z197&lt;&gt;$Z196, $Z197, IF($Y197&lt;&gt;$Y196, $Y197, IF($X197&lt;&gt;$X196, $X197, IF($W197&lt;&gt;$W196, $W197, $Z198)))),
IF(NOT(EXACT($L198, "")), IF($AA197&lt;&gt;$AA196, $AA197, IF($Z197&lt;&gt;$Z196, $Z197, IF($Y197&lt;&gt;$Y196, $Y197, IF($X197&lt;&gt;$X196, $X197, IF($W197&lt;&gt;$W196, $W197, $AA198))))),
"others")))))))</f>
        <v>65000000000187</v>
      </c>
      <c r="BA198" s="78">
        <f t="shared" si="103"/>
        <v>65000000000188</v>
      </c>
      <c r="BB198" s="81" t="str">
        <f t="shared" ref="BB198:BB261" si="124">IF(AND(EXACT($B198, ""), EXACT($D198, ""), EXACT($F198, ""), EXACT($H198, ""), EXACT($J198, ""), EXACT($L198, "")), "", CONCATENATE(
"PERFORM * FROM ""SchData-OLTP-Accounting"".""Func_TblChartOfAccount_SET""(varSystemLoginSession, null, null, null, null, null, varInstitutionBranchID, 62000000000001::bigint,'",
IF(EXACT($B198, ""), IF(EXACT($D198, ""), IF(EXACT($F198, ""), IF(EXACT($H198, ""), IF(EXACT($J198, ""), IF(EXACT($L198, ""), "", $L198), $J198), $H198), $F198), $D198), $B198),
"', '",
IF(EXACT($B198, ""), IF(EXACT($D198, ""), IF(EXACT($F198, ""), IF(EXACT($H198, ""), IF(EXACT($J198, ""), IF(EXACT($L198, ""), "", $M198), $K198), $I198), $G198), $E198), $C198),
"', ",
IF(EXACT($J198, ""), "62000000000001::bigint", IF((RIGHT($J198, 2)*1 = 1), "62000000000001::bigint", IF((RIGHT($J198, 2)*1 = 2), "62000000000002::bigint", "null"))),
", '2016-01-01 00:00:00'::timestamp, null::timestamp, ", $AW198, "::bigint, 66000000000001::bigint, ", IF(EXACT(LEFT(IF(EXACT($B198, ""), IF(EXACT($D198, ""), IF(EXACT($F198, ""), IF(EXACT($H198, ""), IF(EXACT($J198, ""), IF(EXACT($L198, ""), "", $L198), $J198), $H198), $F198), $D198), $B198), 1), "1"), "TRUE", "FALSE"), "::boolean);"))</f>
        <v>PERFORM * FROM "SchData-OLTP-Accounting"."Func_TblChartOfAccount_SET"(varSystemLoginSession, null, null, null, null, null, varInstitutionBranchID, 62000000000001::bigint,'5-1001', 'Opening Balance - Material', 62000000000001::bigint, '2016-01-01 00:00:00'::timestamp, null::timestamp, 65000000000187::bigint, 66000000000001::bigint, FALSE::boolean);</v>
      </c>
    </row>
    <row r="199" spans="2:54" x14ac:dyDescent="0.2">
      <c r="B199" s="43"/>
      <c r="C199" s="42"/>
      <c r="D199" s="43"/>
      <c r="E199" s="42"/>
      <c r="F199" s="43"/>
      <c r="G199" s="42"/>
      <c r="H199" s="51"/>
      <c r="I199" s="18"/>
      <c r="J199" s="51" t="s">
        <v>1445</v>
      </c>
      <c r="K199" s="18" t="s">
        <v>1279</v>
      </c>
      <c r="L199" s="51"/>
      <c r="M199" s="18"/>
      <c r="O199" s="58" t="str">
        <f t="shared" si="111"/>
        <v>5-0000</v>
      </c>
      <c r="P199" s="58" t="str">
        <f t="shared" si="112"/>
        <v>5-1000</v>
      </c>
      <c r="Q199" s="58" t="str">
        <f t="shared" si="113"/>
        <v>2-1200</v>
      </c>
      <c r="R199" s="58" t="str">
        <f t="shared" si="114"/>
        <v>5-1001</v>
      </c>
      <c r="S199" s="58" t="str">
        <f t="shared" si="115"/>
        <v>5-1001.01</v>
      </c>
      <c r="T199" s="58" t="str">
        <f t="shared" si="116"/>
        <v xml:space="preserve"> </v>
      </c>
      <c r="V199" s="72">
        <f t="shared" si="117"/>
        <v>65000000000189</v>
      </c>
      <c r="W199" s="60">
        <f t="shared" si="118"/>
        <v>65000000000186</v>
      </c>
      <c r="X199" s="60">
        <f t="shared" si="119"/>
        <v>65000000000187</v>
      </c>
      <c r="Y199" s="60">
        <f t="shared" si="120"/>
        <v>65000000000147</v>
      </c>
      <c r="Z199" s="60">
        <f t="shared" si="121"/>
        <v>65000000000188</v>
      </c>
      <c r="AA199" s="60">
        <f t="shared" si="104"/>
        <v>65000000000189</v>
      </c>
      <c r="AB199" s="60">
        <f t="shared" si="122"/>
        <v>65000000000000</v>
      </c>
      <c r="AD199" s="60">
        <f t="shared" ref="AD199:AD262" si="125">AD198 + IF(W199&lt;&gt;W198, 1, 0)</f>
        <v>5</v>
      </c>
      <c r="AE199" s="60">
        <f t="shared" ref="AE199:AE262" si="126">IF(AD198&lt;&gt;AD199, 1, AE198) + IF(X199&lt;&gt;X198, 1, 0)</f>
        <v>2</v>
      </c>
      <c r="AF199" s="60">
        <f t="shared" ref="AF199:AF262" si="127">IF(AE198&lt;&gt;AE199, 1, AF198) + IF(Y199&lt;&gt;Y198, 1, 0)</f>
        <v>1</v>
      </c>
      <c r="AG199" s="60">
        <f t="shared" ref="AG199:AG262" si="128">IF(AF198&lt;&gt;AF199, 1, AG198) + IF(Z199&lt;&gt;Z198, 1, 0)</f>
        <v>11</v>
      </c>
      <c r="AH199" s="60">
        <f t="shared" ref="AH199:AH262" si="129">IF(AG198&lt;&gt;AG199, 1, AH198) + IF(AA199&lt;&gt;AA198, 1, 0)</f>
        <v>2</v>
      </c>
      <c r="AI199" s="60">
        <f t="shared" ref="AI199:AI262" si="130">IF(AH198&lt;&gt;AH199, 1, AI198) + IF(AB199&lt;&gt;AB198, 1, 0)</f>
        <v>1</v>
      </c>
      <c r="AK199" s="68" t="str">
        <f t="shared" si="105"/>
        <v>L5</v>
      </c>
      <c r="AM199" s="64" t="s">
        <v>1755</v>
      </c>
      <c r="AN199" s="64">
        <f t="shared" si="106"/>
        <v>65000000000186</v>
      </c>
      <c r="AO199" s="64">
        <f t="shared" si="107"/>
        <v>65000000000187</v>
      </c>
      <c r="AP199" s="64">
        <f t="shared" si="108"/>
        <v>65000000000187</v>
      </c>
      <c r="AQ199" s="64">
        <f t="shared" si="109"/>
        <v>65000000000188</v>
      </c>
      <c r="AS199" s="64">
        <f t="shared" si="110"/>
        <v>65000000000188</v>
      </c>
      <c r="AU199" s="59" t="str">
        <f t="shared" ref="AU199:AU262" si="131">IF(AND(EXACT(B199, ""), EXACT(D199, ""), EXACT(F199, ""), EXACT(H199, ""), EXACT(J199, ""), EXACT(L199, "")), "", CONCATENATE(
"PERFORM * FROM ""SchData-OLTP-Accounting"".""Func_TblChartOfAccount_SET""(varSystemLoginSession, null, null, null, varInstitutionBranchID, 62000000000001::bigint,'",
IF(EXACT(B199, ""), IF(EXACT(D199, ""), IF(EXACT(F199, ""), IF(EXACT(H199, ""), IF(EXACT(J199, ""), IF(EXACT(L199, ""), "", L199), J199), H199), F199), D199), B199),
"', '",
IF(EXACT(B199, ""), IF(EXACT(D199, ""), IF(EXACT(F199, ""), IF(EXACT(H199, ""), IF(EXACT(J199, ""), IF(EXACT(L199, ""), "", M199), K199), I199), G199), E199), C199),
"', ",
IF(EXACT(J199, ""), "62000000000001::bigint", IF((RIGHT(J199, 2)*1 = 1), "62000000000001::bigint", IF((RIGHT(J199, 2)*1 = 2), "62000000000002::bigint", "null"))),
", '2016-01-01 00:00:00'::timestamp, null::timestamp, ", AW199, "::bigint, 66000000000001::bigint);"))</f>
        <v>PERFORM * FROM "SchData-OLTP-Accounting"."Func_TblChartOfAccount_SET"(varSystemLoginSession, null, null, null, varInstitutionBranchID, 62000000000001::bigint,'5-1001.01', 'Opening Balance - Material (IDR)', 62000000000001::bigint, '2016-01-01 00:00:00'::timestamp, null::timestamp, 65000000000188::bigint, 66000000000001::bigint);</v>
      </c>
      <c r="AV199" s="65">
        <f t="shared" ref="AV199:AV262" si="132">IF(AND(EXACT($B199, ""), EXACT($D199, ""), EXACT($F199, ""), EXACT($H199, ""), EXACT($J199, ""), EXACT($L199, "")), "", V199)</f>
        <v>65000000000189</v>
      </c>
      <c r="AW199" s="65">
        <f t="shared" ref="AW199:AW262" si="133">AS199</f>
        <v>65000000000188</v>
      </c>
      <c r="AY199" s="65">
        <f t="shared" si="123"/>
        <v>65000000000188</v>
      </c>
      <c r="BA199" s="78">
        <f t="shared" si="103"/>
        <v>65000000000189</v>
      </c>
      <c r="BB199" s="81" t="str">
        <f t="shared" si="124"/>
        <v>PERFORM * FROM "SchData-OLTP-Accounting"."Func_TblChartOfAccount_SET"(varSystemLoginSession, null, null, null, null, null, varInstitutionBranchID, 62000000000001::bigint,'5-1001.01', 'Opening Balance - Material (IDR)', 62000000000001::bigint, '2016-01-01 00:00:00'::timestamp, null::timestamp, 65000000000188::bigint, 66000000000001::bigint, FALSE::boolean);</v>
      </c>
    </row>
    <row r="200" spans="2:54" x14ac:dyDescent="0.2">
      <c r="B200" s="43"/>
      <c r="C200" s="42"/>
      <c r="D200" s="43"/>
      <c r="E200" s="42"/>
      <c r="F200" s="43"/>
      <c r="G200" s="42"/>
      <c r="H200" s="51" t="s">
        <v>903</v>
      </c>
      <c r="I200" s="18" t="s">
        <v>351</v>
      </c>
      <c r="J200" s="51"/>
      <c r="K200" s="18"/>
      <c r="L200" s="51"/>
      <c r="M200" s="18"/>
      <c r="O200" s="58" t="str">
        <f t="shared" si="111"/>
        <v>5-0000</v>
      </c>
      <c r="P200" s="58" t="str">
        <f t="shared" si="112"/>
        <v>5-1000</v>
      </c>
      <c r="Q200" s="58" t="str">
        <f t="shared" si="113"/>
        <v>2-1200</v>
      </c>
      <c r="R200" s="58" t="str">
        <f t="shared" si="114"/>
        <v>5-1002</v>
      </c>
      <c r="S200" s="58" t="str">
        <f t="shared" si="115"/>
        <v>5-1001.01</v>
      </c>
      <c r="T200" s="58" t="str">
        <f t="shared" si="116"/>
        <v xml:space="preserve"> </v>
      </c>
      <c r="V200" s="72">
        <f t="shared" si="117"/>
        <v>65000000000190</v>
      </c>
      <c r="W200" s="60">
        <f t="shared" si="118"/>
        <v>65000000000186</v>
      </c>
      <c r="X200" s="60">
        <f t="shared" si="119"/>
        <v>65000000000187</v>
      </c>
      <c r="Y200" s="60">
        <f t="shared" si="120"/>
        <v>65000000000147</v>
      </c>
      <c r="Z200" s="60">
        <f t="shared" si="121"/>
        <v>65000000000190</v>
      </c>
      <c r="AA200" s="60">
        <f t="shared" si="104"/>
        <v>65000000000189</v>
      </c>
      <c r="AB200" s="60">
        <f t="shared" si="122"/>
        <v>65000000000000</v>
      </c>
      <c r="AD200" s="60">
        <f t="shared" si="125"/>
        <v>5</v>
      </c>
      <c r="AE200" s="60">
        <f t="shared" si="126"/>
        <v>2</v>
      </c>
      <c r="AF200" s="60">
        <f t="shared" si="127"/>
        <v>1</v>
      </c>
      <c r="AG200" s="60">
        <f t="shared" si="128"/>
        <v>12</v>
      </c>
      <c r="AH200" s="60">
        <f t="shared" si="129"/>
        <v>1</v>
      </c>
      <c r="AI200" s="60">
        <f t="shared" si="130"/>
        <v>1</v>
      </c>
      <c r="AK200" s="68" t="str">
        <f t="shared" si="105"/>
        <v>L4</v>
      </c>
      <c r="AM200" s="64" t="s">
        <v>1755</v>
      </c>
      <c r="AN200" s="64">
        <f t="shared" si="106"/>
        <v>65000000000186</v>
      </c>
      <c r="AO200" s="64">
        <f t="shared" si="107"/>
        <v>65000000000187</v>
      </c>
      <c r="AP200" s="64">
        <f t="shared" si="108"/>
        <v>65000000000187</v>
      </c>
      <c r="AQ200" s="64">
        <f t="shared" si="109"/>
        <v>65000000000188</v>
      </c>
      <c r="AS200" s="64">
        <f t="shared" si="110"/>
        <v>65000000000187</v>
      </c>
      <c r="AU200" s="59" t="str">
        <f t="shared" si="131"/>
        <v>PERFORM * FROM "SchData-OLTP-Accounting"."Func_TblChartOfAccount_SET"(varSystemLoginSession, null, null, null, varInstitutionBranchID, 62000000000001::bigint,'5-1002', 'Opening Balance - Supplies', 62000000000001::bigint, '2016-01-01 00:00:00'::timestamp, null::timestamp, 65000000000187::bigint, 66000000000001::bigint);</v>
      </c>
      <c r="AV200" s="65">
        <f t="shared" si="132"/>
        <v>65000000000190</v>
      </c>
      <c r="AW200" s="65">
        <f t="shared" si="133"/>
        <v>65000000000187</v>
      </c>
      <c r="AY200" s="65">
        <f t="shared" si="123"/>
        <v>65000000000147</v>
      </c>
      <c r="BA200" s="78">
        <f t="shared" si="103"/>
        <v>65000000000190</v>
      </c>
      <c r="BB200" s="81" t="str">
        <f t="shared" si="124"/>
        <v>PERFORM * FROM "SchData-OLTP-Accounting"."Func_TblChartOfAccount_SET"(varSystemLoginSession, null, null, null, null, null, varInstitutionBranchID, 62000000000001::bigint,'5-1002', 'Opening Balance - Supplies', 62000000000001::bigint, '2016-01-01 00:00:00'::timestamp, null::timestamp, 65000000000187::bigint, 66000000000001::bigint, FALSE::boolean);</v>
      </c>
    </row>
    <row r="201" spans="2:54" x14ac:dyDescent="0.2">
      <c r="B201" s="43"/>
      <c r="C201" s="42"/>
      <c r="D201" s="43"/>
      <c r="E201" s="42"/>
      <c r="F201" s="43"/>
      <c r="G201" s="42"/>
      <c r="H201" s="51"/>
      <c r="I201" s="18"/>
      <c r="J201" s="51" t="s">
        <v>1446</v>
      </c>
      <c r="K201" s="18" t="s">
        <v>1280</v>
      </c>
      <c r="L201" s="51"/>
      <c r="M201" s="18"/>
      <c r="O201" s="58" t="str">
        <f t="shared" si="111"/>
        <v>5-0000</v>
      </c>
      <c r="P201" s="58" t="str">
        <f t="shared" si="112"/>
        <v>5-1000</v>
      </c>
      <c r="Q201" s="58" t="str">
        <f t="shared" si="113"/>
        <v>2-1200</v>
      </c>
      <c r="R201" s="58" t="str">
        <f t="shared" si="114"/>
        <v>5-1002</v>
      </c>
      <c r="S201" s="58" t="str">
        <f t="shared" si="115"/>
        <v>5-1002.01</v>
      </c>
      <c r="T201" s="58" t="str">
        <f t="shared" si="116"/>
        <v xml:space="preserve"> </v>
      </c>
      <c r="V201" s="72">
        <f t="shared" si="117"/>
        <v>65000000000191</v>
      </c>
      <c r="W201" s="60">
        <f t="shared" si="118"/>
        <v>65000000000186</v>
      </c>
      <c r="X201" s="60">
        <f t="shared" si="119"/>
        <v>65000000000187</v>
      </c>
      <c r="Y201" s="60">
        <f t="shared" si="120"/>
        <v>65000000000147</v>
      </c>
      <c r="Z201" s="60">
        <f t="shared" si="121"/>
        <v>65000000000190</v>
      </c>
      <c r="AA201" s="60">
        <f t="shared" si="104"/>
        <v>65000000000191</v>
      </c>
      <c r="AB201" s="60">
        <f t="shared" si="122"/>
        <v>65000000000000</v>
      </c>
      <c r="AD201" s="60">
        <f t="shared" si="125"/>
        <v>5</v>
      </c>
      <c r="AE201" s="60">
        <f t="shared" si="126"/>
        <v>2</v>
      </c>
      <c r="AF201" s="60">
        <f t="shared" si="127"/>
        <v>1</v>
      </c>
      <c r="AG201" s="60">
        <f t="shared" si="128"/>
        <v>12</v>
      </c>
      <c r="AH201" s="60">
        <f t="shared" si="129"/>
        <v>2</v>
      </c>
      <c r="AI201" s="60">
        <f t="shared" si="130"/>
        <v>1</v>
      </c>
      <c r="AK201" s="68" t="str">
        <f t="shared" si="105"/>
        <v>L5</v>
      </c>
      <c r="AM201" s="64" t="s">
        <v>1755</v>
      </c>
      <c r="AN201" s="64">
        <f t="shared" si="106"/>
        <v>65000000000186</v>
      </c>
      <c r="AO201" s="64">
        <f t="shared" si="107"/>
        <v>65000000000187</v>
      </c>
      <c r="AP201" s="64">
        <f t="shared" si="108"/>
        <v>65000000000187</v>
      </c>
      <c r="AQ201" s="64">
        <f t="shared" si="109"/>
        <v>65000000000190</v>
      </c>
      <c r="AS201" s="64">
        <f t="shared" si="110"/>
        <v>65000000000190</v>
      </c>
      <c r="AU201" s="59" t="str">
        <f t="shared" si="131"/>
        <v>PERFORM * FROM "SchData-OLTP-Accounting"."Func_TblChartOfAccount_SET"(varSystemLoginSession, null, null, null, varInstitutionBranchID, 62000000000001::bigint,'5-1002.01', 'Opening Balance - Supplies (IDR)', 62000000000001::bigint, '2016-01-01 00:00:00'::timestamp, null::timestamp, 65000000000190::bigint, 66000000000001::bigint);</v>
      </c>
      <c r="AV201" s="65">
        <f t="shared" si="132"/>
        <v>65000000000191</v>
      </c>
      <c r="AW201" s="65">
        <f t="shared" si="133"/>
        <v>65000000000190</v>
      </c>
      <c r="AY201" s="65">
        <f t="shared" si="123"/>
        <v>65000000000190</v>
      </c>
      <c r="BA201" s="78">
        <f t="shared" si="103"/>
        <v>65000000000191</v>
      </c>
      <c r="BB201" s="81" t="str">
        <f t="shared" si="124"/>
        <v>PERFORM * FROM "SchData-OLTP-Accounting"."Func_TblChartOfAccount_SET"(varSystemLoginSession, null, null, null, null, null, varInstitutionBranchID, 62000000000001::bigint,'5-1002.01', 'Opening Balance - Supplies (IDR)', 62000000000001::bigint, '2016-01-01 00:00:00'::timestamp, null::timestamp, 65000000000190::bigint, 66000000000001::bigint, FALSE::boolean);</v>
      </c>
    </row>
    <row r="202" spans="2:54" x14ac:dyDescent="0.2">
      <c r="B202" s="43"/>
      <c r="C202" s="42"/>
      <c r="D202" s="43"/>
      <c r="E202" s="42"/>
      <c r="F202" s="43"/>
      <c r="G202" s="42"/>
      <c r="H202" s="51" t="s">
        <v>904</v>
      </c>
      <c r="I202" s="18" t="s">
        <v>353</v>
      </c>
      <c r="J202" s="51"/>
      <c r="K202" s="18"/>
      <c r="L202" s="51"/>
      <c r="M202" s="18"/>
      <c r="O202" s="58" t="str">
        <f t="shared" si="111"/>
        <v>5-0000</v>
      </c>
      <c r="P202" s="58" t="str">
        <f t="shared" si="112"/>
        <v>5-1000</v>
      </c>
      <c r="Q202" s="58" t="str">
        <f t="shared" si="113"/>
        <v>2-1200</v>
      </c>
      <c r="R202" s="58" t="str">
        <f t="shared" si="114"/>
        <v>5-1003</v>
      </c>
      <c r="S202" s="58" t="str">
        <f t="shared" si="115"/>
        <v>5-1002.01</v>
      </c>
      <c r="T202" s="58" t="str">
        <f t="shared" si="116"/>
        <v xml:space="preserve"> </v>
      </c>
      <c r="V202" s="72">
        <f t="shared" si="117"/>
        <v>65000000000192</v>
      </c>
      <c r="W202" s="60">
        <f t="shared" si="118"/>
        <v>65000000000186</v>
      </c>
      <c r="X202" s="60">
        <f t="shared" si="119"/>
        <v>65000000000187</v>
      </c>
      <c r="Y202" s="60">
        <f t="shared" si="120"/>
        <v>65000000000147</v>
      </c>
      <c r="Z202" s="60">
        <f t="shared" si="121"/>
        <v>65000000000192</v>
      </c>
      <c r="AA202" s="60">
        <f t="shared" si="104"/>
        <v>65000000000191</v>
      </c>
      <c r="AB202" s="60">
        <f t="shared" si="122"/>
        <v>65000000000000</v>
      </c>
      <c r="AD202" s="60">
        <f t="shared" si="125"/>
        <v>5</v>
      </c>
      <c r="AE202" s="60">
        <f t="shared" si="126"/>
        <v>2</v>
      </c>
      <c r="AF202" s="60">
        <f t="shared" si="127"/>
        <v>1</v>
      </c>
      <c r="AG202" s="60">
        <f t="shared" si="128"/>
        <v>13</v>
      </c>
      <c r="AH202" s="60">
        <f t="shared" si="129"/>
        <v>1</v>
      </c>
      <c r="AI202" s="60">
        <f t="shared" si="130"/>
        <v>1</v>
      </c>
      <c r="AK202" s="68" t="str">
        <f t="shared" si="105"/>
        <v>L4</v>
      </c>
      <c r="AM202" s="64" t="s">
        <v>1755</v>
      </c>
      <c r="AN202" s="64">
        <f t="shared" si="106"/>
        <v>65000000000186</v>
      </c>
      <c r="AO202" s="64">
        <f t="shared" si="107"/>
        <v>65000000000187</v>
      </c>
      <c r="AP202" s="64">
        <f t="shared" si="108"/>
        <v>65000000000187</v>
      </c>
      <c r="AQ202" s="64">
        <f t="shared" si="109"/>
        <v>65000000000190</v>
      </c>
      <c r="AS202" s="64">
        <f t="shared" si="110"/>
        <v>65000000000187</v>
      </c>
      <c r="AU202" s="59" t="str">
        <f t="shared" si="131"/>
        <v>PERFORM * FROM "SchData-OLTP-Accounting"."Func_TblChartOfAccount_SET"(varSystemLoginSession, null, null, null, varInstitutionBranchID, 62000000000001::bigint,'5-1003', 'Purchase - Material', 62000000000001::bigint, '2016-01-01 00:00:00'::timestamp, null::timestamp, 65000000000187::bigint, 66000000000001::bigint);</v>
      </c>
      <c r="AV202" s="65">
        <f t="shared" si="132"/>
        <v>65000000000192</v>
      </c>
      <c r="AW202" s="65">
        <f t="shared" si="133"/>
        <v>65000000000187</v>
      </c>
      <c r="AY202" s="65">
        <f t="shared" si="123"/>
        <v>65000000000147</v>
      </c>
      <c r="BA202" s="78">
        <f t="shared" si="103"/>
        <v>65000000000192</v>
      </c>
      <c r="BB202" s="81" t="str">
        <f t="shared" si="124"/>
        <v>PERFORM * FROM "SchData-OLTP-Accounting"."Func_TblChartOfAccount_SET"(varSystemLoginSession, null, null, null, null, null, varInstitutionBranchID, 62000000000001::bigint,'5-1003', 'Purchase - Material', 62000000000001::bigint, '2016-01-01 00:00:00'::timestamp, null::timestamp, 65000000000187::bigint, 66000000000001::bigint, FALSE::boolean);</v>
      </c>
    </row>
    <row r="203" spans="2:54" x14ac:dyDescent="0.2">
      <c r="B203" s="43"/>
      <c r="C203" s="42"/>
      <c r="D203" s="43"/>
      <c r="E203" s="42"/>
      <c r="F203" s="43"/>
      <c r="G203" s="42"/>
      <c r="H203" s="51"/>
      <c r="I203" s="18"/>
      <c r="J203" s="51" t="s">
        <v>1447</v>
      </c>
      <c r="K203" s="18" t="s">
        <v>1281</v>
      </c>
      <c r="L203" s="51"/>
      <c r="M203" s="18"/>
      <c r="O203" s="58" t="str">
        <f t="shared" si="111"/>
        <v>5-0000</v>
      </c>
      <c r="P203" s="58" t="str">
        <f t="shared" si="112"/>
        <v>5-1000</v>
      </c>
      <c r="Q203" s="58" t="str">
        <f t="shared" si="113"/>
        <v>2-1200</v>
      </c>
      <c r="R203" s="58" t="str">
        <f t="shared" si="114"/>
        <v>5-1003</v>
      </c>
      <c r="S203" s="58" t="str">
        <f t="shared" si="115"/>
        <v>5-1003.01</v>
      </c>
      <c r="T203" s="58" t="str">
        <f t="shared" si="116"/>
        <v xml:space="preserve"> </v>
      </c>
      <c r="V203" s="72">
        <f t="shared" si="117"/>
        <v>65000000000193</v>
      </c>
      <c r="W203" s="60">
        <f t="shared" si="118"/>
        <v>65000000000186</v>
      </c>
      <c r="X203" s="60">
        <f t="shared" si="119"/>
        <v>65000000000187</v>
      </c>
      <c r="Y203" s="60">
        <f t="shared" si="120"/>
        <v>65000000000147</v>
      </c>
      <c r="Z203" s="60">
        <f t="shared" si="121"/>
        <v>65000000000192</v>
      </c>
      <c r="AA203" s="60">
        <f t="shared" si="104"/>
        <v>65000000000193</v>
      </c>
      <c r="AB203" s="60">
        <f t="shared" si="122"/>
        <v>65000000000000</v>
      </c>
      <c r="AD203" s="60">
        <f t="shared" si="125"/>
        <v>5</v>
      </c>
      <c r="AE203" s="60">
        <f t="shared" si="126"/>
        <v>2</v>
      </c>
      <c r="AF203" s="60">
        <f t="shared" si="127"/>
        <v>1</v>
      </c>
      <c r="AG203" s="60">
        <f t="shared" si="128"/>
        <v>13</v>
      </c>
      <c r="AH203" s="60">
        <f t="shared" si="129"/>
        <v>2</v>
      </c>
      <c r="AI203" s="60">
        <f t="shared" si="130"/>
        <v>1</v>
      </c>
      <c r="AK203" s="68" t="str">
        <f t="shared" si="105"/>
        <v>L5</v>
      </c>
      <c r="AM203" s="64" t="s">
        <v>1755</v>
      </c>
      <c r="AN203" s="64">
        <f t="shared" si="106"/>
        <v>65000000000186</v>
      </c>
      <c r="AO203" s="64">
        <f t="shared" si="107"/>
        <v>65000000000187</v>
      </c>
      <c r="AP203" s="64">
        <f t="shared" si="108"/>
        <v>65000000000187</v>
      </c>
      <c r="AQ203" s="64">
        <f t="shared" si="109"/>
        <v>65000000000192</v>
      </c>
      <c r="AS203" s="64">
        <f t="shared" si="110"/>
        <v>65000000000192</v>
      </c>
      <c r="AU203" s="59" t="str">
        <f t="shared" si="131"/>
        <v>PERFORM * FROM "SchData-OLTP-Accounting"."Func_TblChartOfAccount_SET"(varSystemLoginSession, null, null, null, varInstitutionBranchID, 62000000000001::bigint,'5-1003.01', 'Purchase - Material (IDR)', 62000000000001::bigint, '2016-01-01 00:00:00'::timestamp, null::timestamp, 65000000000192::bigint, 66000000000001::bigint);</v>
      </c>
      <c r="AV203" s="65">
        <f t="shared" si="132"/>
        <v>65000000000193</v>
      </c>
      <c r="AW203" s="65">
        <f t="shared" si="133"/>
        <v>65000000000192</v>
      </c>
      <c r="AY203" s="65">
        <f t="shared" si="123"/>
        <v>65000000000192</v>
      </c>
      <c r="BA203" s="78">
        <f t="shared" si="103"/>
        <v>65000000000193</v>
      </c>
      <c r="BB203" s="81" t="str">
        <f t="shared" si="124"/>
        <v>PERFORM * FROM "SchData-OLTP-Accounting"."Func_TblChartOfAccount_SET"(varSystemLoginSession, null, null, null, null, null, varInstitutionBranchID, 62000000000001::bigint,'5-1003.01', 'Purchase - Material (IDR)', 62000000000001::bigint, '2016-01-01 00:00:00'::timestamp, null::timestamp, 65000000000192::bigint, 66000000000001::bigint, FALSE::boolean);</v>
      </c>
    </row>
    <row r="204" spans="2:54" x14ac:dyDescent="0.2">
      <c r="B204" s="43"/>
      <c r="C204" s="42"/>
      <c r="D204" s="43"/>
      <c r="E204" s="42"/>
      <c r="F204" s="43"/>
      <c r="G204" s="42"/>
      <c r="H204" s="51" t="s">
        <v>905</v>
      </c>
      <c r="I204" s="18" t="s">
        <v>355</v>
      </c>
      <c r="J204" s="51"/>
      <c r="K204" s="18"/>
      <c r="L204" s="51"/>
      <c r="M204" s="18"/>
      <c r="O204" s="58" t="str">
        <f t="shared" si="111"/>
        <v>5-0000</v>
      </c>
      <c r="P204" s="58" t="str">
        <f t="shared" si="112"/>
        <v>5-1000</v>
      </c>
      <c r="Q204" s="58" t="str">
        <f t="shared" si="113"/>
        <v>2-1200</v>
      </c>
      <c r="R204" s="58" t="str">
        <f t="shared" si="114"/>
        <v>5-1004</v>
      </c>
      <c r="S204" s="58" t="str">
        <f t="shared" si="115"/>
        <v>5-1003.01</v>
      </c>
      <c r="T204" s="58" t="str">
        <f t="shared" si="116"/>
        <v xml:space="preserve"> </v>
      </c>
      <c r="V204" s="72">
        <f t="shared" si="117"/>
        <v>65000000000194</v>
      </c>
      <c r="W204" s="60">
        <f t="shared" si="118"/>
        <v>65000000000186</v>
      </c>
      <c r="X204" s="60">
        <f t="shared" si="119"/>
        <v>65000000000187</v>
      </c>
      <c r="Y204" s="60">
        <f t="shared" si="120"/>
        <v>65000000000147</v>
      </c>
      <c r="Z204" s="60">
        <f t="shared" si="121"/>
        <v>65000000000194</v>
      </c>
      <c r="AA204" s="60">
        <f t="shared" si="104"/>
        <v>65000000000193</v>
      </c>
      <c r="AB204" s="60">
        <f t="shared" si="122"/>
        <v>65000000000000</v>
      </c>
      <c r="AD204" s="60">
        <f t="shared" si="125"/>
        <v>5</v>
      </c>
      <c r="AE204" s="60">
        <f t="shared" si="126"/>
        <v>2</v>
      </c>
      <c r="AF204" s="60">
        <f t="shared" si="127"/>
        <v>1</v>
      </c>
      <c r="AG204" s="60">
        <f t="shared" si="128"/>
        <v>14</v>
      </c>
      <c r="AH204" s="60">
        <f t="shared" si="129"/>
        <v>1</v>
      </c>
      <c r="AI204" s="60">
        <f t="shared" si="130"/>
        <v>1</v>
      </c>
      <c r="AK204" s="68" t="str">
        <f t="shared" si="105"/>
        <v>L4</v>
      </c>
      <c r="AM204" s="64" t="s">
        <v>1755</v>
      </c>
      <c r="AN204" s="64">
        <f t="shared" si="106"/>
        <v>65000000000186</v>
      </c>
      <c r="AO204" s="64">
        <f t="shared" si="107"/>
        <v>65000000000187</v>
      </c>
      <c r="AP204" s="64">
        <f t="shared" si="108"/>
        <v>65000000000187</v>
      </c>
      <c r="AQ204" s="64">
        <f t="shared" si="109"/>
        <v>65000000000192</v>
      </c>
      <c r="AS204" s="64">
        <f t="shared" si="110"/>
        <v>65000000000187</v>
      </c>
      <c r="AU204" s="59" t="str">
        <f t="shared" si="131"/>
        <v>PERFORM * FROM "SchData-OLTP-Accounting"."Func_TblChartOfAccount_SET"(varSystemLoginSession, null, null, null, varInstitutionBranchID, 62000000000001::bigint,'5-1004', 'Purchase - Supplies', 62000000000001::bigint, '2016-01-01 00:00:00'::timestamp, null::timestamp, 65000000000187::bigint, 66000000000001::bigint);</v>
      </c>
      <c r="AV204" s="65">
        <f t="shared" si="132"/>
        <v>65000000000194</v>
      </c>
      <c r="AW204" s="65">
        <f t="shared" si="133"/>
        <v>65000000000187</v>
      </c>
      <c r="AY204" s="65">
        <f t="shared" si="123"/>
        <v>65000000000147</v>
      </c>
      <c r="BA204" s="78">
        <f t="shared" si="103"/>
        <v>65000000000194</v>
      </c>
      <c r="BB204" s="81" t="str">
        <f t="shared" si="124"/>
        <v>PERFORM * FROM "SchData-OLTP-Accounting"."Func_TblChartOfAccount_SET"(varSystemLoginSession, null, null, null, null, null, varInstitutionBranchID, 62000000000001::bigint,'5-1004', 'Purchase - Supplies', 62000000000001::bigint, '2016-01-01 00:00:00'::timestamp, null::timestamp, 65000000000187::bigint, 66000000000001::bigint, FALSE::boolean);</v>
      </c>
    </row>
    <row r="205" spans="2:54" x14ac:dyDescent="0.2">
      <c r="B205" s="43"/>
      <c r="C205" s="42"/>
      <c r="D205" s="43"/>
      <c r="E205" s="42"/>
      <c r="F205" s="43"/>
      <c r="G205" s="42"/>
      <c r="H205" s="51"/>
      <c r="I205" s="18"/>
      <c r="J205" s="51" t="s">
        <v>1448</v>
      </c>
      <c r="K205" s="18" t="s">
        <v>1282</v>
      </c>
      <c r="L205" s="51"/>
      <c r="M205" s="18"/>
      <c r="O205" s="58" t="str">
        <f t="shared" si="111"/>
        <v>5-0000</v>
      </c>
      <c r="P205" s="58" t="str">
        <f t="shared" si="112"/>
        <v>5-1000</v>
      </c>
      <c r="Q205" s="58" t="str">
        <f t="shared" si="113"/>
        <v>2-1200</v>
      </c>
      <c r="R205" s="58" t="str">
        <f t="shared" si="114"/>
        <v>5-1004</v>
      </c>
      <c r="S205" s="58" t="str">
        <f t="shared" si="115"/>
        <v>5-1004.01</v>
      </c>
      <c r="T205" s="58" t="str">
        <f t="shared" si="116"/>
        <v xml:space="preserve"> </v>
      </c>
      <c r="V205" s="72">
        <f t="shared" si="117"/>
        <v>65000000000195</v>
      </c>
      <c r="W205" s="60">
        <f t="shared" si="118"/>
        <v>65000000000186</v>
      </c>
      <c r="X205" s="60">
        <f t="shared" si="119"/>
        <v>65000000000187</v>
      </c>
      <c r="Y205" s="60">
        <f t="shared" si="120"/>
        <v>65000000000147</v>
      </c>
      <c r="Z205" s="60">
        <f t="shared" si="121"/>
        <v>65000000000194</v>
      </c>
      <c r="AA205" s="60">
        <f t="shared" si="104"/>
        <v>65000000000195</v>
      </c>
      <c r="AB205" s="60">
        <f t="shared" si="122"/>
        <v>65000000000000</v>
      </c>
      <c r="AD205" s="60">
        <f t="shared" si="125"/>
        <v>5</v>
      </c>
      <c r="AE205" s="60">
        <f t="shared" si="126"/>
        <v>2</v>
      </c>
      <c r="AF205" s="60">
        <f t="shared" si="127"/>
        <v>1</v>
      </c>
      <c r="AG205" s="60">
        <f t="shared" si="128"/>
        <v>14</v>
      </c>
      <c r="AH205" s="60">
        <f t="shared" si="129"/>
        <v>2</v>
      </c>
      <c r="AI205" s="60">
        <f t="shared" si="130"/>
        <v>1</v>
      </c>
      <c r="AK205" s="68" t="str">
        <f t="shared" si="105"/>
        <v>L5</v>
      </c>
      <c r="AM205" s="64" t="s">
        <v>1755</v>
      </c>
      <c r="AN205" s="64">
        <f t="shared" si="106"/>
        <v>65000000000186</v>
      </c>
      <c r="AO205" s="64">
        <f t="shared" si="107"/>
        <v>65000000000187</v>
      </c>
      <c r="AP205" s="64">
        <f t="shared" si="108"/>
        <v>65000000000187</v>
      </c>
      <c r="AQ205" s="64">
        <f t="shared" si="109"/>
        <v>65000000000194</v>
      </c>
      <c r="AS205" s="64">
        <f t="shared" si="110"/>
        <v>65000000000194</v>
      </c>
      <c r="AU205" s="59" t="str">
        <f t="shared" si="131"/>
        <v>PERFORM * FROM "SchData-OLTP-Accounting"."Func_TblChartOfAccount_SET"(varSystemLoginSession, null, null, null, varInstitutionBranchID, 62000000000001::bigint,'5-1004.01', 'Purchase - Supplies (IDR)', 62000000000001::bigint, '2016-01-01 00:00:00'::timestamp, null::timestamp, 65000000000194::bigint, 66000000000001::bigint);</v>
      </c>
      <c r="AV205" s="65">
        <f t="shared" si="132"/>
        <v>65000000000195</v>
      </c>
      <c r="AW205" s="65">
        <f t="shared" si="133"/>
        <v>65000000000194</v>
      </c>
      <c r="AY205" s="65">
        <f t="shared" si="123"/>
        <v>65000000000194</v>
      </c>
      <c r="BA205" s="78">
        <f t="shared" si="103"/>
        <v>65000000000195</v>
      </c>
      <c r="BB205" s="81" t="str">
        <f t="shared" si="124"/>
        <v>PERFORM * FROM "SchData-OLTP-Accounting"."Func_TblChartOfAccount_SET"(varSystemLoginSession, null, null, null, null, null, varInstitutionBranchID, 62000000000001::bigint,'5-1004.01', 'Purchase - Supplies (IDR)', 62000000000001::bigint, '2016-01-01 00:00:00'::timestamp, null::timestamp, 65000000000194::bigint, 66000000000001::bigint, FALSE::boolean);</v>
      </c>
    </row>
    <row r="206" spans="2:54" x14ac:dyDescent="0.2">
      <c r="B206" s="43"/>
      <c r="C206" s="42"/>
      <c r="D206" s="43"/>
      <c r="E206" s="42"/>
      <c r="F206" s="43"/>
      <c r="G206" s="42"/>
      <c r="H206" s="51" t="s">
        <v>906</v>
      </c>
      <c r="I206" s="18" t="s">
        <v>357</v>
      </c>
      <c r="J206" s="51"/>
      <c r="K206" s="18"/>
      <c r="L206" s="51"/>
      <c r="M206" s="18"/>
      <c r="O206" s="58" t="str">
        <f t="shared" si="111"/>
        <v>5-0000</v>
      </c>
      <c r="P206" s="58" t="str">
        <f t="shared" si="112"/>
        <v>5-1000</v>
      </c>
      <c r="Q206" s="58" t="str">
        <f t="shared" si="113"/>
        <v>2-1200</v>
      </c>
      <c r="R206" s="58" t="str">
        <f t="shared" si="114"/>
        <v>5-1005</v>
      </c>
      <c r="S206" s="58" t="str">
        <f t="shared" si="115"/>
        <v>5-1004.01</v>
      </c>
      <c r="T206" s="58" t="str">
        <f t="shared" si="116"/>
        <v xml:space="preserve"> </v>
      </c>
      <c r="V206" s="72">
        <f t="shared" si="117"/>
        <v>65000000000196</v>
      </c>
      <c r="W206" s="60">
        <f t="shared" si="118"/>
        <v>65000000000186</v>
      </c>
      <c r="X206" s="60">
        <f t="shared" si="119"/>
        <v>65000000000187</v>
      </c>
      <c r="Y206" s="60">
        <f t="shared" si="120"/>
        <v>65000000000147</v>
      </c>
      <c r="Z206" s="60">
        <f t="shared" si="121"/>
        <v>65000000000196</v>
      </c>
      <c r="AA206" s="60">
        <f t="shared" si="104"/>
        <v>65000000000195</v>
      </c>
      <c r="AB206" s="60">
        <f t="shared" si="122"/>
        <v>65000000000000</v>
      </c>
      <c r="AD206" s="60">
        <f t="shared" si="125"/>
        <v>5</v>
      </c>
      <c r="AE206" s="60">
        <f t="shared" si="126"/>
        <v>2</v>
      </c>
      <c r="AF206" s="60">
        <f t="shared" si="127"/>
        <v>1</v>
      </c>
      <c r="AG206" s="60">
        <f t="shared" si="128"/>
        <v>15</v>
      </c>
      <c r="AH206" s="60">
        <f t="shared" si="129"/>
        <v>1</v>
      </c>
      <c r="AI206" s="60">
        <f t="shared" si="130"/>
        <v>1</v>
      </c>
      <c r="AK206" s="68" t="str">
        <f t="shared" si="105"/>
        <v>L4</v>
      </c>
      <c r="AM206" s="64" t="s">
        <v>1755</v>
      </c>
      <c r="AN206" s="64">
        <f t="shared" si="106"/>
        <v>65000000000186</v>
      </c>
      <c r="AO206" s="64">
        <f t="shared" si="107"/>
        <v>65000000000187</v>
      </c>
      <c r="AP206" s="64">
        <f t="shared" si="108"/>
        <v>65000000000187</v>
      </c>
      <c r="AQ206" s="64">
        <f t="shared" si="109"/>
        <v>65000000000194</v>
      </c>
      <c r="AS206" s="64">
        <f t="shared" si="110"/>
        <v>65000000000187</v>
      </c>
      <c r="AU206" s="59" t="str">
        <f t="shared" si="131"/>
        <v>PERFORM * FROM "SchData-OLTP-Accounting"."Func_TblChartOfAccount_SET"(varSystemLoginSession, null, null, null, varInstitutionBranchID, 62000000000001::bigint,'5-1005', 'Ending Balance - Material', 62000000000001::bigint, '2016-01-01 00:00:00'::timestamp, null::timestamp, 65000000000187::bigint, 66000000000001::bigint);</v>
      </c>
      <c r="AV206" s="65">
        <f t="shared" si="132"/>
        <v>65000000000196</v>
      </c>
      <c r="AW206" s="65">
        <f t="shared" si="133"/>
        <v>65000000000187</v>
      </c>
      <c r="AY206" s="65">
        <f t="shared" si="123"/>
        <v>65000000000147</v>
      </c>
      <c r="BA206" s="78">
        <f t="shared" si="103"/>
        <v>65000000000196</v>
      </c>
      <c r="BB206" s="81" t="str">
        <f t="shared" si="124"/>
        <v>PERFORM * FROM "SchData-OLTP-Accounting"."Func_TblChartOfAccount_SET"(varSystemLoginSession, null, null, null, null, null, varInstitutionBranchID, 62000000000001::bigint,'5-1005', 'Ending Balance - Material', 62000000000001::bigint, '2016-01-01 00:00:00'::timestamp, null::timestamp, 65000000000187::bigint, 66000000000001::bigint, FALSE::boolean);</v>
      </c>
    </row>
    <row r="207" spans="2:54" x14ac:dyDescent="0.2">
      <c r="B207" s="43"/>
      <c r="C207" s="42"/>
      <c r="D207" s="43"/>
      <c r="E207" s="42"/>
      <c r="F207" s="43"/>
      <c r="G207" s="42"/>
      <c r="H207" s="51"/>
      <c r="I207" s="18"/>
      <c r="J207" s="51" t="s">
        <v>1449</v>
      </c>
      <c r="K207" s="18" t="s">
        <v>1283</v>
      </c>
      <c r="L207" s="51"/>
      <c r="M207" s="18"/>
      <c r="O207" s="58" t="str">
        <f t="shared" si="111"/>
        <v>5-0000</v>
      </c>
      <c r="P207" s="58" t="str">
        <f t="shared" si="112"/>
        <v>5-1000</v>
      </c>
      <c r="Q207" s="58" t="str">
        <f t="shared" si="113"/>
        <v>2-1200</v>
      </c>
      <c r="R207" s="58" t="str">
        <f t="shared" si="114"/>
        <v>5-1005</v>
      </c>
      <c r="S207" s="58" t="str">
        <f t="shared" si="115"/>
        <v>5-1005.01</v>
      </c>
      <c r="T207" s="58" t="str">
        <f t="shared" si="116"/>
        <v xml:space="preserve"> </v>
      </c>
      <c r="V207" s="72">
        <f t="shared" si="117"/>
        <v>65000000000197</v>
      </c>
      <c r="W207" s="60">
        <f t="shared" si="118"/>
        <v>65000000000186</v>
      </c>
      <c r="X207" s="60">
        <f t="shared" si="119"/>
        <v>65000000000187</v>
      </c>
      <c r="Y207" s="60">
        <f t="shared" si="120"/>
        <v>65000000000147</v>
      </c>
      <c r="Z207" s="60">
        <f t="shared" si="121"/>
        <v>65000000000196</v>
      </c>
      <c r="AA207" s="60">
        <f t="shared" si="104"/>
        <v>65000000000197</v>
      </c>
      <c r="AB207" s="60">
        <f t="shared" si="122"/>
        <v>65000000000000</v>
      </c>
      <c r="AD207" s="60">
        <f t="shared" si="125"/>
        <v>5</v>
      </c>
      <c r="AE207" s="60">
        <f t="shared" si="126"/>
        <v>2</v>
      </c>
      <c r="AF207" s="60">
        <f t="shared" si="127"/>
        <v>1</v>
      </c>
      <c r="AG207" s="60">
        <f t="shared" si="128"/>
        <v>15</v>
      </c>
      <c r="AH207" s="60">
        <f t="shared" si="129"/>
        <v>2</v>
      </c>
      <c r="AI207" s="60">
        <f t="shared" si="130"/>
        <v>1</v>
      </c>
      <c r="AK207" s="68" t="str">
        <f t="shared" si="105"/>
        <v>L5</v>
      </c>
      <c r="AM207" s="64" t="s">
        <v>1755</v>
      </c>
      <c r="AN207" s="64">
        <f t="shared" si="106"/>
        <v>65000000000186</v>
      </c>
      <c r="AO207" s="64">
        <f t="shared" si="107"/>
        <v>65000000000187</v>
      </c>
      <c r="AP207" s="64">
        <f t="shared" si="108"/>
        <v>65000000000187</v>
      </c>
      <c r="AQ207" s="64">
        <f t="shared" si="109"/>
        <v>65000000000196</v>
      </c>
      <c r="AS207" s="64">
        <f t="shared" si="110"/>
        <v>65000000000196</v>
      </c>
      <c r="AU207" s="59" t="str">
        <f t="shared" si="131"/>
        <v>PERFORM * FROM "SchData-OLTP-Accounting"."Func_TblChartOfAccount_SET"(varSystemLoginSession, null, null, null, varInstitutionBranchID, 62000000000001::bigint,'5-1005.01', 'Ending Balance - Material (IDR)', 62000000000001::bigint, '2016-01-01 00:00:00'::timestamp, null::timestamp, 65000000000196::bigint, 66000000000001::bigint);</v>
      </c>
      <c r="AV207" s="65">
        <f t="shared" si="132"/>
        <v>65000000000197</v>
      </c>
      <c r="AW207" s="65">
        <f t="shared" si="133"/>
        <v>65000000000196</v>
      </c>
      <c r="AY207" s="65">
        <f t="shared" si="123"/>
        <v>65000000000196</v>
      </c>
      <c r="BA207" s="78">
        <f t="shared" ref="BA207:BA270" si="134" xml:space="preserve"> BA206 + IF(EXACT(BB207, ""), 0, 1)</f>
        <v>65000000000197</v>
      </c>
      <c r="BB207" s="81" t="str">
        <f t="shared" si="124"/>
        <v>PERFORM * FROM "SchData-OLTP-Accounting"."Func_TblChartOfAccount_SET"(varSystemLoginSession, null, null, null, null, null, varInstitutionBranchID, 62000000000001::bigint,'5-1005.01', 'Ending Balance - Material (IDR)', 62000000000001::bigint, '2016-01-01 00:00:00'::timestamp, null::timestamp, 65000000000196::bigint, 66000000000001::bigint, FALSE::boolean);</v>
      </c>
    </row>
    <row r="208" spans="2:54" x14ac:dyDescent="0.2">
      <c r="B208" s="43"/>
      <c r="C208" s="42"/>
      <c r="D208" s="43"/>
      <c r="E208" s="42"/>
      <c r="F208" s="43"/>
      <c r="G208" s="42"/>
      <c r="H208" s="51" t="s">
        <v>907</v>
      </c>
      <c r="I208" s="18" t="s">
        <v>359</v>
      </c>
      <c r="J208" s="51"/>
      <c r="K208" s="18"/>
      <c r="L208" s="51"/>
      <c r="M208" s="18"/>
      <c r="O208" s="58" t="str">
        <f t="shared" si="111"/>
        <v>5-0000</v>
      </c>
      <c r="P208" s="58" t="str">
        <f t="shared" si="112"/>
        <v>5-1000</v>
      </c>
      <c r="Q208" s="58" t="str">
        <f t="shared" si="113"/>
        <v>2-1200</v>
      </c>
      <c r="R208" s="58" t="str">
        <f t="shared" si="114"/>
        <v>5-1006</v>
      </c>
      <c r="S208" s="58" t="str">
        <f t="shared" si="115"/>
        <v>5-1005.01</v>
      </c>
      <c r="T208" s="58" t="str">
        <f t="shared" si="116"/>
        <v xml:space="preserve"> </v>
      </c>
      <c r="V208" s="72">
        <f t="shared" si="117"/>
        <v>65000000000198</v>
      </c>
      <c r="W208" s="60">
        <f t="shared" si="118"/>
        <v>65000000000186</v>
      </c>
      <c r="X208" s="60">
        <f t="shared" si="119"/>
        <v>65000000000187</v>
      </c>
      <c r="Y208" s="60">
        <f t="shared" si="120"/>
        <v>65000000000147</v>
      </c>
      <c r="Z208" s="60">
        <f t="shared" si="121"/>
        <v>65000000000198</v>
      </c>
      <c r="AA208" s="60">
        <f t="shared" si="104"/>
        <v>65000000000197</v>
      </c>
      <c r="AB208" s="60">
        <f t="shared" si="122"/>
        <v>65000000000000</v>
      </c>
      <c r="AD208" s="60">
        <f t="shared" si="125"/>
        <v>5</v>
      </c>
      <c r="AE208" s="60">
        <f t="shared" si="126"/>
        <v>2</v>
      </c>
      <c r="AF208" s="60">
        <f t="shared" si="127"/>
        <v>1</v>
      </c>
      <c r="AG208" s="60">
        <f t="shared" si="128"/>
        <v>16</v>
      </c>
      <c r="AH208" s="60">
        <f t="shared" si="129"/>
        <v>1</v>
      </c>
      <c r="AI208" s="60">
        <f t="shared" si="130"/>
        <v>1</v>
      </c>
      <c r="AK208" s="68" t="str">
        <f t="shared" si="105"/>
        <v>L4</v>
      </c>
      <c r="AM208" s="64" t="s">
        <v>1755</v>
      </c>
      <c r="AN208" s="64">
        <f t="shared" si="106"/>
        <v>65000000000186</v>
      </c>
      <c r="AO208" s="64">
        <f t="shared" si="107"/>
        <v>65000000000187</v>
      </c>
      <c r="AP208" s="64">
        <f t="shared" si="108"/>
        <v>65000000000187</v>
      </c>
      <c r="AQ208" s="64">
        <f t="shared" si="109"/>
        <v>65000000000196</v>
      </c>
      <c r="AS208" s="64">
        <f t="shared" si="110"/>
        <v>65000000000187</v>
      </c>
      <c r="AU208" s="59" t="str">
        <f t="shared" si="131"/>
        <v>PERFORM * FROM "SchData-OLTP-Accounting"."Func_TblChartOfAccount_SET"(varSystemLoginSession, null, null, null, varInstitutionBranchID, 62000000000001::bigint,'5-1006', 'Ending Balance - Supplies', 62000000000001::bigint, '2016-01-01 00:00:00'::timestamp, null::timestamp, 65000000000187::bigint, 66000000000001::bigint);</v>
      </c>
      <c r="AV208" s="65">
        <f t="shared" si="132"/>
        <v>65000000000198</v>
      </c>
      <c r="AW208" s="65">
        <f t="shared" si="133"/>
        <v>65000000000187</v>
      </c>
      <c r="AY208" s="65">
        <f t="shared" si="123"/>
        <v>65000000000147</v>
      </c>
      <c r="BA208" s="78">
        <f t="shared" si="134"/>
        <v>65000000000198</v>
      </c>
      <c r="BB208" s="81" t="str">
        <f t="shared" si="124"/>
        <v>PERFORM * FROM "SchData-OLTP-Accounting"."Func_TblChartOfAccount_SET"(varSystemLoginSession, null, null, null, null, null, varInstitutionBranchID, 62000000000001::bigint,'5-1006', 'Ending Balance - Supplies', 62000000000001::bigint, '2016-01-01 00:00:00'::timestamp, null::timestamp, 65000000000187::bigint, 66000000000001::bigint, FALSE::boolean);</v>
      </c>
    </row>
    <row r="209" spans="2:54" x14ac:dyDescent="0.2">
      <c r="B209" s="43"/>
      <c r="C209" s="42"/>
      <c r="D209" s="43"/>
      <c r="E209" s="42"/>
      <c r="F209" s="43"/>
      <c r="G209" s="42"/>
      <c r="H209" s="51"/>
      <c r="I209" s="18"/>
      <c r="J209" s="51" t="s">
        <v>1450</v>
      </c>
      <c r="K209" s="18" t="s">
        <v>1284</v>
      </c>
      <c r="L209" s="51"/>
      <c r="M209" s="18"/>
      <c r="O209" s="58" t="str">
        <f t="shared" si="111"/>
        <v>5-0000</v>
      </c>
      <c r="P209" s="58" t="str">
        <f t="shared" si="112"/>
        <v>5-1000</v>
      </c>
      <c r="Q209" s="58" t="str">
        <f t="shared" si="113"/>
        <v>2-1200</v>
      </c>
      <c r="R209" s="58" t="str">
        <f t="shared" si="114"/>
        <v>5-1006</v>
      </c>
      <c r="S209" s="58" t="str">
        <f t="shared" si="115"/>
        <v>5-1006.01</v>
      </c>
      <c r="T209" s="58" t="str">
        <f t="shared" si="116"/>
        <v xml:space="preserve"> </v>
      </c>
      <c r="V209" s="72">
        <f t="shared" si="117"/>
        <v>65000000000199</v>
      </c>
      <c r="W209" s="60">
        <f t="shared" si="118"/>
        <v>65000000000186</v>
      </c>
      <c r="X209" s="60">
        <f t="shared" si="119"/>
        <v>65000000000187</v>
      </c>
      <c r="Y209" s="60">
        <f t="shared" si="120"/>
        <v>65000000000147</v>
      </c>
      <c r="Z209" s="60">
        <f t="shared" si="121"/>
        <v>65000000000198</v>
      </c>
      <c r="AA209" s="60">
        <f t="shared" si="104"/>
        <v>65000000000199</v>
      </c>
      <c r="AB209" s="60">
        <f t="shared" si="122"/>
        <v>65000000000000</v>
      </c>
      <c r="AD209" s="60">
        <f t="shared" si="125"/>
        <v>5</v>
      </c>
      <c r="AE209" s="60">
        <f t="shared" si="126"/>
        <v>2</v>
      </c>
      <c r="AF209" s="60">
        <f t="shared" si="127"/>
        <v>1</v>
      </c>
      <c r="AG209" s="60">
        <f t="shared" si="128"/>
        <v>16</v>
      </c>
      <c r="AH209" s="60">
        <f t="shared" si="129"/>
        <v>2</v>
      </c>
      <c r="AI209" s="60">
        <f t="shared" si="130"/>
        <v>1</v>
      </c>
      <c r="AK209" s="68" t="str">
        <f t="shared" si="105"/>
        <v>L5</v>
      </c>
      <c r="AM209" s="64" t="s">
        <v>1755</v>
      </c>
      <c r="AN209" s="64">
        <f t="shared" si="106"/>
        <v>65000000000186</v>
      </c>
      <c r="AO209" s="64">
        <f t="shared" si="107"/>
        <v>65000000000187</v>
      </c>
      <c r="AP209" s="64">
        <f t="shared" si="108"/>
        <v>65000000000187</v>
      </c>
      <c r="AQ209" s="64">
        <f t="shared" si="109"/>
        <v>65000000000198</v>
      </c>
      <c r="AS209" s="64">
        <f t="shared" si="110"/>
        <v>65000000000198</v>
      </c>
      <c r="AU209" s="59" t="str">
        <f t="shared" si="131"/>
        <v>PERFORM * FROM "SchData-OLTP-Accounting"."Func_TblChartOfAccount_SET"(varSystemLoginSession, null, null, null, varInstitutionBranchID, 62000000000001::bigint,'5-1006.01', 'Ending Balance - Supplies (IDR)', 62000000000001::bigint, '2016-01-01 00:00:00'::timestamp, null::timestamp, 65000000000198::bigint, 66000000000001::bigint);</v>
      </c>
      <c r="AV209" s="65">
        <f t="shared" si="132"/>
        <v>65000000000199</v>
      </c>
      <c r="AW209" s="65">
        <f t="shared" si="133"/>
        <v>65000000000198</v>
      </c>
      <c r="AY209" s="65">
        <f t="shared" si="123"/>
        <v>65000000000198</v>
      </c>
      <c r="BA209" s="78">
        <f t="shared" si="134"/>
        <v>65000000000199</v>
      </c>
      <c r="BB209" s="81" t="str">
        <f t="shared" si="124"/>
        <v>PERFORM * FROM "SchData-OLTP-Accounting"."Func_TblChartOfAccount_SET"(varSystemLoginSession, null, null, null, null, null, varInstitutionBranchID, 62000000000001::bigint,'5-1006.01', 'Ending Balance - Supplies (IDR)', 62000000000001::bigint, '2016-01-01 00:00:00'::timestamp, null::timestamp, 65000000000198::bigint, 66000000000001::bigint, FALSE::boolean);</v>
      </c>
    </row>
    <row r="210" spans="2:54" x14ac:dyDescent="0.2">
      <c r="B210" s="43"/>
      <c r="C210" s="42"/>
      <c r="D210" s="43"/>
      <c r="E210" s="42"/>
      <c r="F210" s="43"/>
      <c r="G210" s="42"/>
      <c r="H210" s="51" t="s">
        <v>908</v>
      </c>
      <c r="I210" s="18" t="s">
        <v>361</v>
      </c>
      <c r="J210" s="51"/>
      <c r="K210" s="18"/>
      <c r="L210" s="51"/>
      <c r="M210" s="18"/>
      <c r="O210" s="58" t="str">
        <f t="shared" si="111"/>
        <v>5-0000</v>
      </c>
      <c r="P210" s="58" t="str">
        <f t="shared" si="112"/>
        <v>5-1000</v>
      </c>
      <c r="Q210" s="58" t="str">
        <f t="shared" si="113"/>
        <v>2-1200</v>
      </c>
      <c r="R210" s="58" t="str">
        <f t="shared" si="114"/>
        <v>5-1007</v>
      </c>
      <c r="S210" s="58" t="str">
        <f t="shared" si="115"/>
        <v>5-1006.01</v>
      </c>
      <c r="T210" s="58" t="str">
        <f t="shared" si="116"/>
        <v xml:space="preserve"> </v>
      </c>
      <c r="V210" s="72">
        <f t="shared" si="117"/>
        <v>65000000000200</v>
      </c>
      <c r="W210" s="60">
        <f t="shared" si="118"/>
        <v>65000000000186</v>
      </c>
      <c r="X210" s="60">
        <f t="shared" si="119"/>
        <v>65000000000187</v>
      </c>
      <c r="Y210" s="60">
        <f t="shared" si="120"/>
        <v>65000000000147</v>
      </c>
      <c r="Z210" s="60">
        <f t="shared" si="121"/>
        <v>65000000000200</v>
      </c>
      <c r="AA210" s="60">
        <f t="shared" si="104"/>
        <v>65000000000199</v>
      </c>
      <c r="AB210" s="60">
        <f t="shared" si="122"/>
        <v>65000000000000</v>
      </c>
      <c r="AD210" s="60">
        <f t="shared" si="125"/>
        <v>5</v>
      </c>
      <c r="AE210" s="60">
        <f t="shared" si="126"/>
        <v>2</v>
      </c>
      <c r="AF210" s="60">
        <f t="shared" si="127"/>
        <v>1</v>
      </c>
      <c r="AG210" s="60">
        <f t="shared" si="128"/>
        <v>17</v>
      </c>
      <c r="AH210" s="60">
        <f t="shared" si="129"/>
        <v>1</v>
      </c>
      <c r="AI210" s="60">
        <f t="shared" si="130"/>
        <v>1</v>
      </c>
      <c r="AK210" s="68" t="str">
        <f t="shared" si="105"/>
        <v>L4</v>
      </c>
      <c r="AM210" s="64" t="s">
        <v>1755</v>
      </c>
      <c r="AN210" s="64">
        <f t="shared" si="106"/>
        <v>65000000000186</v>
      </c>
      <c r="AO210" s="64">
        <f t="shared" si="107"/>
        <v>65000000000187</v>
      </c>
      <c r="AP210" s="64">
        <f t="shared" si="108"/>
        <v>65000000000187</v>
      </c>
      <c r="AQ210" s="64">
        <f t="shared" si="109"/>
        <v>65000000000198</v>
      </c>
      <c r="AS210" s="64">
        <f t="shared" si="110"/>
        <v>65000000000187</v>
      </c>
      <c r="AU210" s="59" t="str">
        <f t="shared" si="131"/>
        <v>PERFORM * FROM "SchData-OLTP-Accounting"."Func_TblChartOfAccount_SET"(varSystemLoginSession, null, null, null, varInstitutionBranchID, 62000000000001::bigint,'5-1007', 'Material Used', 62000000000001::bigint, '2016-01-01 00:00:00'::timestamp, null::timestamp, 65000000000187::bigint, 66000000000001::bigint);</v>
      </c>
      <c r="AV210" s="65">
        <f t="shared" si="132"/>
        <v>65000000000200</v>
      </c>
      <c r="AW210" s="65">
        <f t="shared" si="133"/>
        <v>65000000000187</v>
      </c>
      <c r="AY210" s="65">
        <f t="shared" si="123"/>
        <v>65000000000147</v>
      </c>
      <c r="BA210" s="78">
        <f t="shared" si="134"/>
        <v>65000000000200</v>
      </c>
      <c r="BB210" s="81" t="str">
        <f t="shared" si="124"/>
        <v>PERFORM * FROM "SchData-OLTP-Accounting"."Func_TblChartOfAccount_SET"(varSystemLoginSession, null, null, null, null, null, varInstitutionBranchID, 62000000000001::bigint,'5-1007', 'Material Used', 62000000000001::bigint, '2016-01-01 00:00:00'::timestamp, null::timestamp, 65000000000187::bigint, 66000000000001::bigint, FALSE::boolean);</v>
      </c>
    </row>
    <row r="211" spans="2:54" x14ac:dyDescent="0.2">
      <c r="B211" s="43"/>
      <c r="C211" s="42"/>
      <c r="D211" s="43"/>
      <c r="E211" s="42"/>
      <c r="F211" s="43"/>
      <c r="G211" s="42"/>
      <c r="H211" s="51"/>
      <c r="I211" s="18"/>
      <c r="J211" s="51" t="s">
        <v>1451</v>
      </c>
      <c r="K211" s="18" t="s">
        <v>1285</v>
      </c>
      <c r="L211" s="51"/>
      <c r="M211" s="18"/>
      <c r="O211" s="58" t="str">
        <f t="shared" si="111"/>
        <v>5-0000</v>
      </c>
      <c r="P211" s="58" t="str">
        <f t="shared" si="112"/>
        <v>5-1000</v>
      </c>
      <c r="Q211" s="58" t="str">
        <f t="shared" si="113"/>
        <v>2-1200</v>
      </c>
      <c r="R211" s="58" t="str">
        <f t="shared" si="114"/>
        <v>5-1007</v>
      </c>
      <c r="S211" s="58" t="str">
        <f t="shared" si="115"/>
        <v>5-1007.01</v>
      </c>
      <c r="T211" s="58" t="str">
        <f t="shared" si="116"/>
        <v xml:space="preserve"> </v>
      </c>
      <c r="V211" s="72">
        <f t="shared" si="117"/>
        <v>65000000000201</v>
      </c>
      <c r="W211" s="60">
        <f t="shared" si="118"/>
        <v>65000000000186</v>
      </c>
      <c r="X211" s="60">
        <f t="shared" si="119"/>
        <v>65000000000187</v>
      </c>
      <c r="Y211" s="60">
        <f t="shared" si="120"/>
        <v>65000000000147</v>
      </c>
      <c r="Z211" s="60">
        <f t="shared" si="121"/>
        <v>65000000000200</v>
      </c>
      <c r="AA211" s="60">
        <f t="shared" si="104"/>
        <v>65000000000201</v>
      </c>
      <c r="AB211" s="60">
        <f t="shared" si="122"/>
        <v>65000000000000</v>
      </c>
      <c r="AD211" s="60">
        <f t="shared" si="125"/>
        <v>5</v>
      </c>
      <c r="AE211" s="60">
        <f t="shared" si="126"/>
        <v>2</v>
      </c>
      <c r="AF211" s="60">
        <f t="shared" si="127"/>
        <v>1</v>
      </c>
      <c r="AG211" s="60">
        <f t="shared" si="128"/>
        <v>17</v>
      </c>
      <c r="AH211" s="60">
        <f t="shared" si="129"/>
        <v>2</v>
      </c>
      <c r="AI211" s="60">
        <f t="shared" si="130"/>
        <v>1</v>
      </c>
      <c r="AK211" s="68" t="str">
        <f t="shared" si="105"/>
        <v>L5</v>
      </c>
      <c r="AM211" s="64" t="s">
        <v>1755</v>
      </c>
      <c r="AN211" s="64">
        <f t="shared" si="106"/>
        <v>65000000000186</v>
      </c>
      <c r="AO211" s="64">
        <f t="shared" si="107"/>
        <v>65000000000187</v>
      </c>
      <c r="AP211" s="64">
        <f t="shared" si="108"/>
        <v>65000000000187</v>
      </c>
      <c r="AQ211" s="64">
        <f t="shared" si="109"/>
        <v>65000000000200</v>
      </c>
      <c r="AS211" s="64">
        <f t="shared" si="110"/>
        <v>65000000000200</v>
      </c>
      <c r="AU211" s="59" t="str">
        <f t="shared" si="131"/>
        <v>PERFORM * FROM "SchData-OLTP-Accounting"."Func_TblChartOfAccount_SET"(varSystemLoginSession, null, null, null, varInstitutionBranchID, 62000000000001::bigint,'5-1007.01', 'Material Used (IDR)', 62000000000001::bigint, '2016-01-01 00:00:00'::timestamp, null::timestamp, 65000000000200::bigint, 66000000000001::bigint);</v>
      </c>
      <c r="AV211" s="65">
        <f t="shared" si="132"/>
        <v>65000000000201</v>
      </c>
      <c r="AW211" s="65">
        <f t="shared" si="133"/>
        <v>65000000000200</v>
      </c>
      <c r="AY211" s="65">
        <f t="shared" si="123"/>
        <v>65000000000200</v>
      </c>
      <c r="BA211" s="78">
        <f t="shared" si="134"/>
        <v>65000000000201</v>
      </c>
      <c r="BB211" s="81" t="str">
        <f t="shared" si="124"/>
        <v>PERFORM * FROM "SchData-OLTP-Accounting"."Func_TblChartOfAccount_SET"(varSystemLoginSession, null, null, null, null, null, varInstitutionBranchID, 62000000000001::bigint,'5-1007.01', 'Material Used (IDR)', 62000000000001::bigint, '2016-01-01 00:00:00'::timestamp, null::timestamp, 65000000000200::bigint, 66000000000001::bigint, FALSE::boolean);</v>
      </c>
    </row>
    <row r="212" spans="2:54" x14ac:dyDescent="0.2">
      <c r="B212" s="43"/>
      <c r="C212" s="42"/>
      <c r="D212" s="43"/>
      <c r="E212" s="42"/>
      <c r="F212" s="43"/>
      <c r="G212" s="42"/>
      <c r="H212" s="51" t="s">
        <v>909</v>
      </c>
      <c r="I212" s="18" t="s">
        <v>363</v>
      </c>
      <c r="J212" s="51"/>
      <c r="K212" s="18"/>
      <c r="L212" s="51"/>
      <c r="M212" s="18"/>
      <c r="O212" s="58" t="str">
        <f t="shared" si="111"/>
        <v>5-0000</v>
      </c>
      <c r="P212" s="58" t="str">
        <f t="shared" si="112"/>
        <v>5-1000</v>
      </c>
      <c r="Q212" s="58" t="str">
        <f t="shared" si="113"/>
        <v>2-1200</v>
      </c>
      <c r="R212" s="58" t="str">
        <f t="shared" si="114"/>
        <v>5-1008</v>
      </c>
      <c r="S212" s="58" t="str">
        <f t="shared" si="115"/>
        <v>5-1007.01</v>
      </c>
      <c r="T212" s="58" t="str">
        <f t="shared" si="116"/>
        <v xml:space="preserve"> </v>
      </c>
      <c r="V212" s="72">
        <f t="shared" si="117"/>
        <v>65000000000202</v>
      </c>
      <c r="W212" s="60">
        <f t="shared" si="118"/>
        <v>65000000000186</v>
      </c>
      <c r="X212" s="60">
        <f t="shared" si="119"/>
        <v>65000000000187</v>
      </c>
      <c r="Y212" s="60">
        <f t="shared" si="120"/>
        <v>65000000000147</v>
      </c>
      <c r="Z212" s="60">
        <f t="shared" si="121"/>
        <v>65000000000202</v>
      </c>
      <c r="AA212" s="60">
        <f t="shared" si="104"/>
        <v>65000000000201</v>
      </c>
      <c r="AB212" s="60">
        <f t="shared" si="122"/>
        <v>65000000000000</v>
      </c>
      <c r="AD212" s="60">
        <f t="shared" si="125"/>
        <v>5</v>
      </c>
      <c r="AE212" s="60">
        <f t="shared" si="126"/>
        <v>2</v>
      </c>
      <c r="AF212" s="60">
        <f t="shared" si="127"/>
        <v>1</v>
      </c>
      <c r="AG212" s="60">
        <f t="shared" si="128"/>
        <v>18</v>
      </c>
      <c r="AH212" s="60">
        <f t="shared" si="129"/>
        <v>1</v>
      </c>
      <c r="AI212" s="60">
        <f t="shared" si="130"/>
        <v>1</v>
      </c>
      <c r="AK212" s="68" t="str">
        <f t="shared" si="105"/>
        <v>L4</v>
      </c>
      <c r="AM212" s="64" t="s">
        <v>1755</v>
      </c>
      <c r="AN212" s="64">
        <f t="shared" si="106"/>
        <v>65000000000186</v>
      </c>
      <c r="AO212" s="64">
        <f t="shared" si="107"/>
        <v>65000000000187</v>
      </c>
      <c r="AP212" s="64">
        <f t="shared" si="108"/>
        <v>65000000000187</v>
      </c>
      <c r="AQ212" s="64">
        <f t="shared" si="109"/>
        <v>65000000000200</v>
      </c>
      <c r="AS212" s="64">
        <f t="shared" si="110"/>
        <v>65000000000187</v>
      </c>
      <c r="AU212" s="59" t="str">
        <f t="shared" si="131"/>
        <v>PERFORM * FROM "SchData-OLTP-Accounting"."Func_TblChartOfAccount_SET"(varSystemLoginSession, null, null, null, varInstitutionBranchID, 62000000000001::bigint,'5-1008', 'Supplies Used', 62000000000001::bigint, '2016-01-01 00:00:00'::timestamp, null::timestamp, 65000000000187::bigint, 66000000000001::bigint);</v>
      </c>
      <c r="AV212" s="65">
        <f t="shared" si="132"/>
        <v>65000000000202</v>
      </c>
      <c r="AW212" s="65">
        <f t="shared" si="133"/>
        <v>65000000000187</v>
      </c>
      <c r="AY212" s="65">
        <f t="shared" si="123"/>
        <v>65000000000147</v>
      </c>
      <c r="BA212" s="78">
        <f t="shared" si="134"/>
        <v>65000000000202</v>
      </c>
      <c r="BB212" s="81" t="str">
        <f t="shared" si="124"/>
        <v>PERFORM * FROM "SchData-OLTP-Accounting"."Func_TblChartOfAccount_SET"(varSystemLoginSession, null, null, null, null, null, varInstitutionBranchID, 62000000000001::bigint,'5-1008', 'Supplies Used', 62000000000001::bigint, '2016-01-01 00:00:00'::timestamp, null::timestamp, 65000000000187::bigint, 66000000000001::bigint, FALSE::boolean);</v>
      </c>
    </row>
    <row r="213" spans="2:54" x14ac:dyDescent="0.2">
      <c r="B213" s="43"/>
      <c r="C213" s="42"/>
      <c r="D213" s="43"/>
      <c r="E213" s="42"/>
      <c r="F213" s="43"/>
      <c r="G213" s="42"/>
      <c r="H213" s="51"/>
      <c r="I213" s="18"/>
      <c r="J213" s="51" t="s">
        <v>1452</v>
      </c>
      <c r="K213" s="18" t="s">
        <v>1286</v>
      </c>
      <c r="L213" s="51"/>
      <c r="M213" s="18"/>
      <c r="O213" s="58" t="str">
        <f t="shared" si="111"/>
        <v>5-0000</v>
      </c>
      <c r="P213" s="58" t="str">
        <f t="shared" si="112"/>
        <v>5-1000</v>
      </c>
      <c r="Q213" s="58" t="str">
        <f t="shared" si="113"/>
        <v>2-1200</v>
      </c>
      <c r="R213" s="58" t="str">
        <f t="shared" si="114"/>
        <v>5-1008</v>
      </c>
      <c r="S213" s="58" t="str">
        <f t="shared" si="115"/>
        <v>5-1008.01</v>
      </c>
      <c r="T213" s="58" t="str">
        <f t="shared" si="116"/>
        <v xml:space="preserve"> </v>
      </c>
      <c r="V213" s="72">
        <f t="shared" si="117"/>
        <v>65000000000203</v>
      </c>
      <c r="W213" s="60">
        <f t="shared" si="118"/>
        <v>65000000000186</v>
      </c>
      <c r="X213" s="60">
        <f t="shared" si="119"/>
        <v>65000000000187</v>
      </c>
      <c r="Y213" s="60">
        <f t="shared" si="120"/>
        <v>65000000000147</v>
      </c>
      <c r="Z213" s="60">
        <f t="shared" si="121"/>
        <v>65000000000202</v>
      </c>
      <c r="AA213" s="60">
        <f t="shared" si="104"/>
        <v>65000000000203</v>
      </c>
      <c r="AB213" s="60">
        <f t="shared" si="122"/>
        <v>65000000000000</v>
      </c>
      <c r="AD213" s="60">
        <f t="shared" si="125"/>
        <v>5</v>
      </c>
      <c r="AE213" s="60">
        <f t="shared" si="126"/>
        <v>2</v>
      </c>
      <c r="AF213" s="60">
        <f t="shared" si="127"/>
        <v>1</v>
      </c>
      <c r="AG213" s="60">
        <f t="shared" si="128"/>
        <v>18</v>
      </c>
      <c r="AH213" s="60">
        <f t="shared" si="129"/>
        <v>2</v>
      </c>
      <c r="AI213" s="60">
        <f t="shared" si="130"/>
        <v>1</v>
      </c>
      <c r="AK213" s="68" t="str">
        <f t="shared" si="105"/>
        <v>L5</v>
      </c>
      <c r="AM213" s="64" t="s">
        <v>1755</v>
      </c>
      <c r="AN213" s="64">
        <f t="shared" si="106"/>
        <v>65000000000186</v>
      </c>
      <c r="AO213" s="64">
        <f t="shared" si="107"/>
        <v>65000000000187</v>
      </c>
      <c r="AP213" s="64">
        <f t="shared" si="108"/>
        <v>65000000000187</v>
      </c>
      <c r="AQ213" s="64">
        <f t="shared" si="109"/>
        <v>65000000000202</v>
      </c>
      <c r="AS213" s="64">
        <f t="shared" si="110"/>
        <v>65000000000202</v>
      </c>
      <c r="AU213" s="59" t="str">
        <f t="shared" si="131"/>
        <v>PERFORM * FROM "SchData-OLTP-Accounting"."Func_TblChartOfAccount_SET"(varSystemLoginSession, null, null, null, varInstitutionBranchID, 62000000000001::bigint,'5-1008.01', 'Supplies Used (IDR)', 62000000000001::bigint, '2016-01-01 00:00:00'::timestamp, null::timestamp, 65000000000202::bigint, 66000000000001::bigint);</v>
      </c>
      <c r="AV213" s="65">
        <f t="shared" si="132"/>
        <v>65000000000203</v>
      </c>
      <c r="AW213" s="65">
        <f t="shared" si="133"/>
        <v>65000000000202</v>
      </c>
      <c r="AY213" s="65">
        <f t="shared" si="123"/>
        <v>65000000000202</v>
      </c>
      <c r="BA213" s="78">
        <f t="shared" si="134"/>
        <v>65000000000203</v>
      </c>
      <c r="BB213" s="81" t="str">
        <f t="shared" si="124"/>
        <v>PERFORM * FROM "SchData-OLTP-Accounting"."Func_TblChartOfAccount_SET"(varSystemLoginSession, null, null, null, null, null, varInstitutionBranchID, 62000000000001::bigint,'5-1008.01', 'Supplies Used (IDR)', 62000000000001::bigint, '2016-01-01 00:00:00'::timestamp, null::timestamp, 65000000000202::bigint, 66000000000001::bigint, FALSE::boolean);</v>
      </c>
    </row>
    <row r="214" spans="2:54" x14ac:dyDescent="0.2">
      <c r="B214" s="43"/>
      <c r="C214" s="42"/>
      <c r="D214" s="43"/>
      <c r="E214" s="42"/>
      <c r="F214" s="43"/>
      <c r="G214" s="42"/>
      <c r="H214" s="51" t="s">
        <v>910</v>
      </c>
      <c r="I214" s="18" t="s">
        <v>365</v>
      </c>
      <c r="J214" s="51"/>
      <c r="K214" s="18"/>
      <c r="L214" s="51"/>
      <c r="M214" s="18"/>
      <c r="O214" s="58" t="str">
        <f t="shared" si="111"/>
        <v>5-0000</v>
      </c>
      <c r="P214" s="58" t="str">
        <f t="shared" si="112"/>
        <v>5-1000</v>
      </c>
      <c r="Q214" s="58" t="str">
        <f t="shared" si="113"/>
        <v>2-1200</v>
      </c>
      <c r="R214" s="58" t="str">
        <f t="shared" si="114"/>
        <v>5-1009</v>
      </c>
      <c r="S214" s="58" t="str">
        <f t="shared" si="115"/>
        <v>5-1008.01</v>
      </c>
      <c r="T214" s="58" t="str">
        <f t="shared" si="116"/>
        <v xml:space="preserve"> </v>
      </c>
      <c r="V214" s="72">
        <f t="shared" si="117"/>
        <v>65000000000204</v>
      </c>
      <c r="W214" s="60">
        <f t="shared" si="118"/>
        <v>65000000000186</v>
      </c>
      <c r="X214" s="60">
        <f t="shared" si="119"/>
        <v>65000000000187</v>
      </c>
      <c r="Y214" s="60">
        <f t="shared" si="120"/>
        <v>65000000000147</v>
      </c>
      <c r="Z214" s="60">
        <f t="shared" si="121"/>
        <v>65000000000204</v>
      </c>
      <c r="AA214" s="60">
        <f t="shared" si="104"/>
        <v>65000000000203</v>
      </c>
      <c r="AB214" s="60">
        <f t="shared" si="122"/>
        <v>65000000000000</v>
      </c>
      <c r="AD214" s="60">
        <f t="shared" si="125"/>
        <v>5</v>
      </c>
      <c r="AE214" s="60">
        <f t="shared" si="126"/>
        <v>2</v>
      </c>
      <c r="AF214" s="60">
        <f t="shared" si="127"/>
        <v>1</v>
      </c>
      <c r="AG214" s="60">
        <f t="shared" si="128"/>
        <v>19</v>
      </c>
      <c r="AH214" s="60">
        <f t="shared" si="129"/>
        <v>1</v>
      </c>
      <c r="AI214" s="60">
        <f t="shared" si="130"/>
        <v>1</v>
      </c>
      <c r="AK214" s="68" t="str">
        <f t="shared" si="105"/>
        <v>L4</v>
      </c>
      <c r="AM214" s="64" t="s">
        <v>1755</v>
      </c>
      <c r="AN214" s="64">
        <f t="shared" si="106"/>
        <v>65000000000186</v>
      </c>
      <c r="AO214" s="64">
        <f t="shared" si="107"/>
        <v>65000000000187</v>
      </c>
      <c r="AP214" s="64">
        <f t="shared" si="108"/>
        <v>65000000000187</v>
      </c>
      <c r="AQ214" s="64">
        <f t="shared" si="109"/>
        <v>65000000000202</v>
      </c>
      <c r="AS214" s="64">
        <f t="shared" si="110"/>
        <v>65000000000187</v>
      </c>
      <c r="AU214" s="59" t="str">
        <f t="shared" si="131"/>
        <v>PERFORM * FROM "SchData-OLTP-Accounting"."Func_TblChartOfAccount_SET"(varSystemLoginSession, null, null, null, varInstitutionBranchID, 62000000000001::bigint,'5-1009', 'Material Other', 62000000000001::bigint, '2016-01-01 00:00:00'::timestamp, null::timestamp, 65000000000187::bigint, 66000000000001::bigint);</v>
      </c>
      <c r="AV214" s="65">
        <f t="shared" si="132"/>
        <v>65000000000204</v>
      </c>
      <c r="AW214" s="65">
        <f t="shared" si="133"/>
        <v>65000000000187</v>
      </c>
      <c r="AY214" s="65">
        <f t="shared" si="123"/>
        <v>65000000000147</v>
      </c>
      <c r="BA214" s="78">
        <f t="shared" si="134"/>
        <v>65000000000204</v>
      </c>
      <c r="BB214" s="81" t="str">
        <f t="shared" si="124"/>
        <v>PERFORM * FROM "SchData-OLTP-Accounting"."Func_TblChartOfAccount_SET"(varSystemLoginSession, null, null, null, null, null, varInstitutionBranchID, 62000000000001::bigint,'5-1009', 'Material Other', 62000000000001::bigint, '2016-01-01 00:00:00'::timestamp, null::timestamp, 65000000000187::bigint, 66000000000001::bigint, FALSE::boolean);</v>
      </c>
    </row>
    <row r="215" spans="2:54" x14ac:dyDescent="0.2">
      <c r="B215" s="43"/>
      <c r="C215" s="42"/>
      <c r="D215" s="43"/>
      <c r="E215" s="42"/>
      <c r="F215" s="43"/>
      <c r="G215" s="42"/>
      <c r="H215" s="51"/>
      <c r="I215" s="18"/>
      <c r="J215" s="51" t="s">
        <v>1453</v>
      </c>
      <c r="K215" s="18" t="s">
        <v>1287</v>
      </c>
      <c r="L215" s="51"/>
      <c r="M215" s="18"/>
      <c r="O215" s="58" t="str">
        <f t="shared" si="111"/>
        <v>5-0000</v>
      </c>
      <c r="P215" s="58" t="str">
        <f t="shared" si="112"/>
        <v>5-1000</v>
      </c>
      <c r="Q215" s="58" t="str">
        <f t="shared" si="113"/>
        <v>2-1200</v>
      </c>
      <c r="R215" s="58" t="str">
        <f t="shared" si="114"/>
        <v>5-1009</v>
      </c>
      <c r="S215" s="58" t="str">
        <f t="shared" si="115"/>
        <v>5-1009.01</v>
      </c>
      <c r="T215" s="58" t="str">
        <f t="shared" si="116"/>
        <v xml:space="preserve"> </v>
      </c>
      <c r="V215" s="72">
        <f t="shared" si="117"/>
        <v>65000000000205</v>
      </c>
      <c r="W215" s="60">
        <f t="shared" si="118"/>
        <v>65000000000186</v>
      </c>
      <c r="X215" s="60">
        <f t="shared" si="119"/>
        <v>65000000000187</v>
      </c>
      <c r="Y215" s="60">
        <f t="shared" si="120"/>
        <v>65000000000147</v>
      </c>
      <c r="Z215" s="60">
        <f t="shared" si="121"/>
        <v>65000000000204</v>
      </c>
      <c r="AA215" s="60">
        <f t="shared" si="104"/>
        <v>65000000000205</v>
      </c>
      <c r="AB215" s="60">
        <f t="shared" si="122"/>
        <v>65000000000000</v>
      </c>
      <c r="AD215" s="60">
        <f t="shared" si="125"/>
        <v>5</v>
      </c>
      <c r="AE215" s="60">
        <f t="shared" si="126"/>
        <v>2</v>
      </c>
      <c r="AF215" s="60">
        <f t="shared" si="127"/>
        <v>1</v>
      </c>
      <c r="AG215" s="60">
        <f t="shared" si="128"/>
        <v>19</v>
      </c>
      <c r="AH215" s="60">
        <f t="shared" si="129"/>
        <v>2</v>
      </c>
      <c r="AI215" s="60">
        <f t="shared" si="130"/>
        <v>1</v>
      </c>
      <c r="AK215" s="68" t="str">
        <f t="shared" si="105"/>
        <v>L5</v>
      </c>
      <c r="AM215" s="64" t="s">
        <v>1755</v>
      </c>
      <c r="AN215" s="64">
        <f t="shared" si="106"/>
        <v>65000000000186</v>
      </c>
      <c r="AO215" s="64">
        <f t="shared" si="107"/>
        <v>65000000000187</v>
      </c>
      <c r="AP215" s="64">
        <f t="shared" si="108"/>
        <v>65000000000187</v>
      </c>
      <c r="AQ215" s="64">
        <f t="shared" si="109"/>
        <v>65000000000204</v>
      </c>
      <c r="AS215" s="64">
        <f t="shared" si="110"/>
        <v>65000000000204</v>
      </c>
      <c r="AU215" s="59" t="str">
        <f t="shared" si="131"/>
        <v>PERFORM * FROM "SchData-OLTP-Accounting"."Func_TblChartOfAccount_SET"(varSystemLoginSession, null, null, null, varInstitutionBranchID, 62000000000001::bigint,'5-1009.01', 'Material Other (IDR)', 62000000000001::bigint, '2016-01-01 00:00:00'::timestamp, null::timestamp, 65000000000204::bigint, 66000000000001::bigint);</v>
      </c>
      <c r="AV215" s="65">
        <f t="shared" si="132"/>
        <v>65000000000205</v>
      </c>
      <c r="AW215" s="65">
        <f t="shared" si="133"/>
        <v>65000000000204</v>
      </c>
      <c r="AY215" s="65">
        <f t="shared" si="123"/>
        <v>65000000000204</v>
      </c>
      <c r="BA215" s="78">
        <f t="shared" si="134"/>
        <v>65000000000205</v>
      </c>
      <c r="BB215" s="81" t="str">
        <f t="shared" si="124"/>
        <v>PERFORM * FROM "SchData-OLTP-Accounting"."Func_TblChartOfAccount_SET"(varSystemLoginSession, null, null, null, null, null, varInstitutionBranchID, 62000000000001::bigint,'5-1009.01', 'Material Other (IDR)', 62000000000001::bigint, '2016-01-01 00:00:00'::timestamp, null::timestamp, 65000000000204::bigint, 66000000000001::bigint, FALSE::boolean);</v>
      </c>
    </row>
    <row r="216" spans="2:54" x14ac:dyDescent="0.2">
      <c r="B216" s="43"/>
      <c r="C216" s="42"/>
      <c r="D216" s="43"/>
      <c r="E216" s="42"/>
      <c r="F216" s="43"/>
      <c r="G216" s="42"/>
      <c r="H216" s="51" t="s">
        <v>348</v>
      </c>
      <c r="I216" s="18" t="s">
        <v>367</v>
      </c>
      <c r="J216" s="51"/>
      <c r="K216" s="18"/>
      <c r="L216" s="51"/>
      <c r="M216" s="18"/>
      <c r="O216" s="58" t="str">
        <f t="shared" si="111"/>
        <v>5-0000</v>
      </c>
      <c r="P216" s="58" t="str">
        <f t="shared" si="112"/>
        <v>5-1000</v>
      </c>
      <c r="Q216" s="58" t="str">
        <f t="shared" si="113"/>
        <v>2-1200</v>
      </c>
      <c r="R216" s="58" t="str">
        <f t="shared" si="114"/>
        <v>5-1010</v>
      </c>
      <c r="S216" s="58" t="str">
        <f t="shared" si="115"/>
        <v>5-1009.01</v>
      </c>
      <c r="T216" s="58" t="str">
        <f t="shared" si="116"/>
        <v xml:space="preserve"> </v>
      </c>
      <c r="V216" s="72">
        <f t="shared" si="117"/>
        <v>65000000000206</v>
      </c>
      <c r="W216" s="60">
        <f t="shared" si="118"/>
        <v>65000000000186</v>
      </c>
      <c r="X216" s="60">
        <f t="shared" si="119"/>
        <v>65000000000187</v>
      </c>
      <c r="Y216" s="60">
        <f t="shared" si="120"/>
        <v>65000000000147</v>
      </c>
      <c r="Z216" s="60">
        <f t="shared" si="121"/>
        <v>65000000000206</v>
      </c>
      <c r="AA216" s="60">
        <f t="shared" si="104"/>
        <v>65000000000205</v>
      </c>
      <c r="AB216" s="60">
        <f t="shared" si="122"/>
        <v>65000000000000</v>
      </c>
      <c r="AD216" s="60">
        <f t="shared" si="125"/>
        <v>5</v>
      </c>
      <c r="AE216" s="60">
        <f t="shared" si="126"/>
        <v>2</v>
      </c>
      <c r="AF216" s="60">
        <f t="shared" si="127"/>
        <v>1</v>
      </c>
      <c r="AG216" s="60">
        <f t="shared" si="128"/>
        <v>20</v>
      </c>
      <c r="AH216" s="60">
        <f t="shared" si="129"/>
        <v>1</v>
      </c>
      <c r="AI216" s="60">
        <f t="shared" si="130"/>
        <v>1</v>
      </c>
      <c r="AK216" s="68" t="str">
        <f t="shared" si="105"/>
        <v>L4</v>
      </c>
      <c r="AM216" s="64" t="s">
        <v>1755</v>
      </c>
      <c r="AN216" s="64">
        <f t="shared" si="106"/>
        <v>65000000000186</v>
      </c>
      <c r="AO216" s="64">
        <f t="shared" si="107"/>
        <v>65000000000187</v>
      </c>
      <c r="AP216" s="64">
        <f t="shared" si="108"/>
        <v>65000000000187</v>
      </c>
      <c r="AQ216" s="64">
        <f t="shared" si="109"/>
        <v>65000000000204</v>
      </c>
      <c r="AS216" s="64">
        <f t="shared" si="110"/>
        <v>65000000000187</v>
      </c>
      <c r="AU216" s="59" t="str">
        <f t="shared" si="131"/>
        <v>PERFORM * FROM "SchData-OLTP-Accounting"."Func_TblChartOfAccount_SET"(varSystemLoginSession, null, null, null, varInstitutionBranchID, 62000000000001::bigint,'5-1010', 'IT Hardware Purchase', 62000000000001::bigint, '2016-01-01 00:00:00'::timestamp, null::timestamp, 65000000000187::bigint, 66000000000001::bigint);</v>
      </c>
      <c r="AV216" s="65">
        <f t="shared" si="132"/>
        <v>65000000000206</v>
      </c>
      <c r="AW216" s="65">
        <f t="shared" si="133"/>
        <v>65000000000187</v>
      </c>
      <c r="AY216" s="65">
        <f t="shared" si="123"/>
        <v>65000000000147</v>
      </c>
      <c r="BA216" s="78">
        <f t="shared" si="134"/>
        <v>65000000000206</v>
      </c>
      <c r="BB216" s="81" t="str">
        <f t="shared" si="124"/>
        <v>PERFORM * FROM "SchData-OLTP-Accounting"."Func_TblChartOfAccount_SET"(varSystemLoginSession, null, null, null, null, null, varInstitutionBranchID, 62000000000001::bigint,'5-1010', 'IT Hardware Purchase', 62000000000001::bigint, '2016-01-01 00:00:00'::timestamp, null::timestamp, 65000000000187::bigint, 66000000000001::bigint, FALSE::boolean);</v>
      </c>
    </row>
    <row r="217" spans="2:54" x14ac:dyDescent="0.2">
      <c r="B217" s="43"/>
      <c r="C217" s="42"/>
      <c r="D217" s="43"/>
      <c r="E217" s="42"/>
      <c r="F217" s="43"/>
      <c r="G217" s="42"/>
      <c r="H217" s="51"/>
      <c r="I217" s="18"/>
      <c r="J217" s="51" t="s">
        <v>1454</v>
      </c>
      <c r="K217" s="18" t="s">
        <v>1288</v>
      </c>
      <c r="L217" s="51"/>
      <c r="M217" s="18"/>
      <c r="O217" s="58" t="str">
        <f t="shared" si="111"/>
        <v>5-0000</v>
      </c>
      <c r="P217" s="58" t="str">
        <f t="shared" si="112"/>
        <v>5-1000</v>
      </c>
      <c r="Q217" s="58" t="str">
        <f t="shared" si="113"/>
        <v>2-1200</v>
      </c>
      <c r="R217" s="58" t="str">
        <f t="shared" si="114"/>
        <v>5-1010</v>
      </c>
      <c r="S217" s="58" t="str">
        <f t="shared" si="115"/>
        <v>5-1010.01</v>
      </c>
      <c r="T217" s="58" t="str">
        <f t="shared" si="116"/>
        <v xml:space="preserve"> </v>
      </c>
      <c r="V217" s="72">
        <f t="shared" si="117"/>
        <v>65000000000207</v>
      </c>
      <c r="W217" s="60">
        <f t="shared" si="118"/>
        <v>65000000000186</v>
      </c>
      <c r="X217" s="60">
        <f t="shared" si="119"/>
        <v>65000000000187</v>
      </c>
      <c r="Y217" s="60">
        <f t="shared" si="120"/>
        <v>65000000000147</v>
      </c>
      <c r="Z217" s="60">
        <f t="shared" si="121"/>
        <v>65000000000206</v>
      </c>
      <c r="AA217" s="60">
        <f t="shared" si="104"/>
        <v>65000000000207</v>
      </c>
      <c r="AB217" s="60">
        <f t="shared" si="122"/>
        <v>65000000000000</v>
      </c>
      <c r="AD217" s="60">
        <f t="shared" si="125"/>
        <v>5</v>
      </c>
      <c r="AE217" s="60">
        <f t="shared" si="126"/>
        <v>2</v>
      </c>
      <c r="AF217" s="60">
        <f t="shared" si="127"/>
        <v>1</v>
      </c>
      <c r="AG217" s="60">
        <f t="shared" si="128"/>
        <v>20</v>
      </c>
      <c r="AH217" s="60">
        <f t="shared" si="129"/>
        <v>2</v>
      </c>
      <c r="AI217" s="60">
        <f t="shared" si="130"/>
        <v>1</v>
      </c>
      <c r="AK217" s="68" t="str">
        <f t="shared" si="105"/>
        <v>L5</v>
      </c>
      <c r="AM217" s="64" t="s">
        <v>1755</v>
      </c>
      <c r="AN217" s="64">
        <f t="shared" si="106"/>
        <v>65000000000186</v>
      </c>
      <c r="AO217" s="64">
        <f t="shared" si="107"/>
        <v>65000000000187</v>
      </c>
      <c r="AP217" s="64">
        <f t="shared" si="108"/>
        <v>65000000000187</v>
      </c>
      <c r="AQ217" s="64">
        <f t="shared" si="109"/>
        <v>65000000000206</v>
      </c>
      <c r="AS217" s="64">
        <f t="shared" si="110"/>
        <v>65000000000206</v>
      </c>
      <c r="AU217" s="59" t="str">
        <f t="shared" si="131"/>
        <v>PERFORM * FROM "SchData-OLTP-Accounting"."Func_TblChartOfAccount_SET"(varSystemLoginSession, null, null, null, varInstitutionBranchID, 62000000000001::bigint,'5-1010.01', 'IT Hardware Purchase (IDR)', 62000000000001::bigint, '2016-01-01 00:00:00'::timestamp, null::timestamp, 65000000000206::bigint, 66000000000001::bigint);</v>
      </c>
      <c r="AV217" s="65">
        <f t="shared" si="132"/>
        <v>65000000000207</v>
      </c>
      <c r="AW217" s="65">
        <f t="shared" si="133"/>
        <v>65000000000206</v>
      </c>
      <c r="AY217" s="65">
        <f t="shared" si="123"/>
        <v>65000000000206</v>
      </c>
      <c r="BA217" s="78">
        <f t="shared" si="134"/>
        <v>65000000000207</v>
      </c>
      <c r="BB217" s="81" t="str">
        <f t="shared" si="124"/>
        <v>PERFORM * FROM "SchData-OLTP-Accounting"."Func_TblChartOfAccount_SET"(varSystemLoginSession, null, null, null, null, null, varInstitutionBranchID, 62000000000001::bigint,'5-1010.01', 'IT Hardware Purchase (IDR)', 62000000000001::bigint, '2016-01-01 00:00:00'::timestamp, null::timestamp, 65000000000206::bigint, 66000000000001::bigint, FALSE::boolean);</v>
      </c>
    </row>
    <row r="218" spans="2:54" x14ac:dyDescent="0.2">
      <c r="B218" s="43"/>
      <c r="C218" s="42"/>
      <c r="D218" s="43"/>
      <c r="E218" s="42"/>
      <c r="F218" s="43"/>
      <c r="G218" s="42"/>
      <c r="H218" s="51" t="s">
        <v>1443</v>
      </c>
      <c r="I218" s="18" t="s">
        <v>1168</v>
      </c>
      <c r="J218" s="51"/>
      <c r="K218" s="18"/>
      <c r="L218" s="51"/>
      <c r="M218" s="18"/>
      <c r="O218" s="58" t="str">
        <f t="shared" si="111"/>
        <v>5-0000</v>
      </c>
      <c r="P218" s="58" t="str">
        <f t="shared" si="112"/>
        <v>5-1000</v>
      </c>
      <c r="Q218" s="58" t="str">
        <f t="shared" si="113"/>
        <v>2-1200</v>
      </c>
      <c r="R218" s="58" t="str">
        <f t="shared" si="114"/>
        <v>5-1099</v>
      </c>
      <c r="S218" s="58" t="str">
        <f t="shared" si="115"/>
        <v>5-1010.01</v>
      </c>
      <c r="T218" s="58" t="str">
        <f t="shared" si="116"/>
        <v xml:space="preserve"> </v>
      </c>
      <c r="V218" s="72">
        <f t="shared" si="117"/>
        <v>65000000000208</v>
      </c>
      <c r="W218" s="60">
        <f t="shared" si="118"/>
        <v>65000000000186</v>
      </c>
      <c r="X218" s="60">
        <f t="shared" si="119"/>
        <v>65000000000187</v>
      </c>
      <c r="Y218" s="60">
        <f t="shared" si="120"/>
        <v>65000000000147</v>
      </c>
      <c r="Z218" s="60">
        <f t="shared" si="121"/>
        <v>65000000000208</v>
      </c>
      <c r="AA218" s="60">
        <f t="shared" si="104"/>
        <v>65000000000207</v>
      </c>
      <c r="AB218" s="60">
        <f t="shared" si="122"/>
        <v>65000000000000</v>
      </c>
      <c r="AD218" s="60">
        <f t="shared" si="125"/>
        <v>5</v>
      </c>
      <c r="AE218" s="60">
        <f t="shared" si="126"/>
        <v>2</v>
      </c>
      <c r="AF218" s="60">
        <f t="shared" si="127"/>
        <v>1</v>
      </c>
      <c r="AG218" s="60">
        <f t="shared" si="128"/>
        <v>21</v>
      </c>
      <c r="AH218" s="60">
        <f t="shared" si="129"/>
        <v>1</v>
      </c>
      <c r="AI218" s="60">
        <f t="shared" si="130"/>
        <v>1</v>
      </c>
      <c r="AK218" s="68" t="str">
        <f t="shared" si="105"/>
        <v>L4</v>
      </c>
      <c r="AM218" s="64" t="s">
        <v>1755</v>
      </c>
      <c r="AN218" s="64">
        <f t="shared" si="106"/>
        <v>65000000000186</v>
      </c>
      <c r="AO218" s="64">
        <f t="shared" si="107"/>
        <v>65000000000187</v>
      </c>
      <c r="AP218" s="64">
        <f t="shared" si="108"/>
        <v>65000000000187</v>
      </c>
      <c r="AQ218" s="64">
        <f t="shared" si="109"/>
        <v>65000000000206</v>
      </c>
      <c r="AS218" s="64">
        <f t="shared" si="110"/>
        <v>65000000000187</v>
      </c>
      <c r="AU218" s="59" t="str">
        <f t="shared" si="131"/>
        <v>PERFORM * FROM "SchData-OLTP-Accounting"."Func_TblChartOfAccount_SET"(varSystemLoginSession, null, null, null, varInstitutionBranchID, 62000000000001::bigint,'5-1099', 'Other Cost of Material', 62000000000001::bigint, '2016-01-01 00:00:00'::timestamp, null::timestamp, 65000000000187::bigint, 66000000000001::bigint);</v>
      </c>
      <c r="AV218" s="65">
        <f t="shared" si="132"/>
        <v>65000000000208</v>
      </c>
      <c r="AW218" s="65">
        <f t="shared" si="133"/>
        <v>65000000000187</v>
      </c>
      <c r="AY218" s="65">
        <f t="shared" si="123"/>
        <v>65000000000147</v>
      </c>
      <c r="BA218" s="78">
        <f t="shared" si="134"/>
        <v>65000000000208</v>
      </c>
      <c r="BB218" s="81" t="str">
        <f t="shared" si="124"/>
        <v>PERFORM * FROM "SchData-OLTP-Accounting"."Func_TblChartOfAccount_SET"(varSystemLoginSession, null, null, null, null, null, varInstitutionBranchID, 62000000000001::bigint,'5-1099', 'Other Cost of Material', 62000000000001::bigint, '2016-01-01 00:00:00'::timestamp, null::timestamp, 65000000000187::bigint, 66000000000001::bigint, FALSE::boolean);</v>
      </c>
    </row>
    <row r="219" spans="2:54" x14ac:dyDescent="0.2">
      <c r="B219" s="43"/>
      <c r="C219" s="42"/>
      <c r="D219" s="43"/>
      <c r="E219" s="42"/>
      <c r="F219" s="43"/>
      <c r="G219" s="42"/>
      <c r="H219" s="51"/>
      <c r="I219" s="18"/>
      <c r="J219" s="51" t="s">
        <v>1444</v>
      </c>
      <c r="K219" s="18" t="s">
        <v>1289</v>
      </c>
      <c r="L219" s="51"/>
      <c r="M219" s="18"/>
      <c r="O219" s="58" t="str">
        <f t="shared" si="111"/>
        <v>5-0000</v>
      </c>
      <c r="P219" s="58" t="str">
        <f t="shared" si="112"/>
        <v>5-1000</v>
      </c>
      <c r="Q219" s="58" t="str">
        <f t="shared" si="113"/>
        <v>2-1200</v>
      </c>
      <c r="R219" s="58" t="str">
        <f t="shared" si="114"/>
        <v>5-1099</v>
      </c>
      <c r="S219" s="58" t="str">
        <f t="shared" si="115"/>
        <v>5-1099.01</v>
      </c>
      <c r="T219" s="58" t="str">
        <f t="shared" si="116"/>
        <v xml:space="preserve"> </v>
      </c>
      <c r="V219" s="72">
        <f t="shared" si="117"/>
        <v>65000000000209</v>
      </c>
      <c r="W219" s="60">
        <f t="shared" si="118"/>
        <v>65000000000186</v>
      </c>
      <c r="X219" s="60">
        <f t="shared" si="119"/>
        <v>65000000000187</v>
      </c>
      <c r="Y219" s="60">
        <f t="shared" si="120"/>
        <v>65000000000147</v>
      </c>
      <c r="Z219" s="60">
        <f t="shared" si="121"/>
        <v>65000000000208</v>
      </c>
      <c r="AA219" s="60">
        <f t="shared" si="104"/>
        <v>65000000000209</v>
      </c>
      <c r="AB219" s="60">
        <f t="shared" si="122"/>
        <v>65000000000000</v>
      </c>
      <c r="AD219" s="60">
        <f t="shared" si="125"/>
        <v>5</v>
      </c>
      <c r="AE219" s="60">
        <f t="shared" si="126"/>
        <v>2</v>
      </c>
      <c r="AF219" s="60">
        <f t="shared" si="127"/>
        <v>1</v>
      </c>
      <c r="AG219" s="60">
        <f t="shared" si="128"/>
        <v>21</v>
      </c>
      <c r="AH219" s="60">
        <f t="shared" si="129"/>
        <v>2</v>
      </c>
      <c r="AI219" s="60">
        <f t="shared" si="130"/>
        <v>1</v>
      </c>
      <c r="AK219" s="68" t="str">
        <f t="shared" si="105"/>
        <v>L5</v>
      </c>
      <c r="AM219" s="64" t="s">
        <v>1755</v>
      </c>
      <c r="AN219" s="64">
        <f t="shared" si="106"/>
        <v>65000000000186</v>
      </c>
      <c r="AO219" s="64">
        <f t="shared" si="107"/>
        <v>65000000000187</v>
      </c>
      <c r="AP219" s="64">
        <f t="shared" si="108"/>
        <v>65000000000187</v>
      </c>
      <c r="AQ219" s="64">
        <f t="shared" si="109"/>
        <v>65000000000208</v>
      </c>
      <c r="AS219" s="64">
        <f t="shared" si="110"/>
        <v>65000000000208</v>
      </c>
      <c r="AU219" s="59" t="str">
        <f t="shared" si="131"/>
        <v>PERFORM * FROM "SchData-OLTP-Accounting"."Func_TblChartOfAccount_SET"(varSystemLoginSession, null, null, null, varInstitutionBranchID, 62000000000001::bigint,'5-1099.01', 'Other Cost of Material (IDR)', 62000000000001::bigint, '2016-01-01 00:00:00'::timestamp, null::timestamp, 65000000000208::bigint, 66000000000001::bigint);</v>
      </c>
      <c r="AV219" s="65">
        <f t="shared" si="132"/>
        <v>65000000000209</v>
      </c>
      <c r="AW219" s="65">
        <f t="shared" si="133"/>
        <v>65000000000208</v>
      </c>
      <c r="AY219" s="65">
        <f t="shared" si="123"/>
        <v>65000000000208</v>
      </c>
      <c r="BA219" s="78">
        <f t="shared" si="134"/>
        <v>65000000000209</v>
      </c>
      <c r="BB219" s="81" t="str">
        <f t="shared" si="124"/>
        <v>PERFORM * FROM "SchData-OLTP-Accounting"."Func_TblChartOfAccount_SET"(varSystemLoginSession, null, null, null, null, null, varInstitutionBranchID, 62000000000001::bigint,'5-1099.01', 'Other Cost of Material (IDR)', 62000000000001::bigint, '2016-01-01 00:00:00'::timestamp, null::timestamp, 65000000000208::bigint, 66000000000001::bigint, FALSE::boolean);</v>
      </c>
    </row>
    <row r="220" spans="2:54" x14ac:dyDescent="0.2">
      <c r="B220" s="43"/>
      <c r="C220" s="42"/>
      <c r="D220" s="43" t="s">
        <v>1100</v>
      </c>
      <c r="E220" s="42" t="s">
        <v>900</v>
      </c>
      <c r="F220" s="43"/>
      <c r="G220" s="42"/>
      <c r="H220" s="51"/>
      <c r="I220" s="18"/>
      <c r="J220" s="51"/>
      <c r="K220" s="18"/>
      <c r="L220" s="51"/>
      <c r="M220" s="18"/>
      <c r="O220" s="58" t="str">
        <f t="shared" si="111"/>
        <v>5-0000</v>
      </c>
      <c r="P220" s="58" t="str">
        <f t="shared" si="112"/>
        <v>5-2000</v>
      </c>
      <c r="Q220" s="58" t="str">
        <f t="shared" si="113"/>
        <v>2-1200</v>
      </c>
      <c r="R220" s="58" t="str">
        <f t="shared" si="114"/>
        <v>5-1099</v>
      </c>
      <c r="S220" s="58" t="str">
        <f t="shared" si="115"/>
        <v>5-1099.01</v>
      </c>
      <c r="T220" s="58" t="str">
        <f t="shared" si="116"/>
        <v xml:space="preserve"> </v>
      </c>
      <c r="V220" s="72">
        <f t="shared" si="117"/>
        <v>65000000000210</v>
      </c>
      <c r="W220" s="60">
        <f t="shared" si="118"/>
        <v>65000000000186</v>
      </c>
      <c r="X220" s="60">
        <f t="shared" si="119"/>
        <v>65000000000210</v>
      </c>
      <c r="Y220" s="60">
        <f t="shared" si="120"/>
        <v>65000000000147</v>
      </c>
      <c r="Z220" s="60">
        <f t="shared" si="121"/>
        <v>65000000000208</v>
      </c>
      <c r="AA220" s="60">
        <f t="shared" si="104"/>
        <v>65000000000209</v>
      </c>
      <c r="AB220" s="60">
        <f t="shared" si="122"/>
        <v>65000000000000</v>
      </c>
      <c r="AD220" s="60">
        <f t="shared" si="125"/>
        <v>5</v>
      </c>
      <c r="AE220" s="60">
        <f t="shared" si="126"/>
        <v>3</v>
      </c>
      <c r="AF220" s="60">
        <f t="shared" si="127"/>
        <v>1</v>
      </c>
      <c r="AG220" s="60">
        <f t="shared" si="128"/>
        <v>21</v>
      </c>
      <c r="AH220" s="60">
        <f t="shared" si="129"/>
        <v>2</v>
      </c>
      <c r="AI220" s="60">
        <f t="shared" si="130"/>
        <v>1</v>
      </c>
      <c r="AK220" s="68" t="str">
        <f t="shared" si="105"/>
        <v>L2</v>
      </c>
      <c r="AM220" s="64" t="s">
        <v>1755</v>
      </c>
      <c r="AN220" s="64">
        <f t="shared" si="106"/>
        <v>65000000000186</v>
      </c>
      <c r="AO220" s="64">
        <f t="shared" si="107"/>
        <v>65000000000187</v>
      </c>
      <c r="AP220" s="64">
        <f t="shared" si="108"/>
        <v>65000000000187</v>
      </c>
      <c r="AQ220" s="64">
        <f t="shared" si="109"/>
        <v>65000000000208</v>
      </c>
      <c r="AS220" s="64">
        <f t="shared" si="110"/>
        <v>65000000000186</v>
      </c>
      <c r="AU220" s="59" t="str">
        <f t="shared" si="131"/>
        <v>PERFORM * FROM "SchData-OLTP-Accounting"."Func_TblChartOfAccount_SET"(varSystemLoginSession, null, null, null, varInstitutionBranchID, 62000000000001::bigint,'5-2000', 'Cost of Labor', 62000000000001::bigint, '2016-01-01 00:00:00'::timestamp, null::timestamp, 65000000000186::bigint, 66000000000001::bigint);</v>
      </c>
      <c r="AV220" s="65">
        <f t="shared" si="132"/>
        <v>65000000000210</v>
      </c>
      <c r="AW220" s="65">
        <f t="shared" si="133"/>
        <v>65000000000186</v>
      </c>
      <c r="AY220" s="65">
        <f t="shared" si="123"/>
        <v>65000000000186</v>
      </c>
      <c r="BA220" s="78">
        <f t="shared" si="134"/>
        <v>65000000000210</v>
      </c>
      <c r="BB220" s="81" t="str">
        <f t="shared" si="124"/>
        <v>PERFORM * FROM "SchData-OLTP-Accounting"."Func_TblChartOfAccount_SET"(varSystemLoginSession, null, null, null, null, null, varInstitutionBranchID, 62000000000001::bigint,'5-2000', 'Cost of Labor', 62000000000001::bigint, '2016-01-01 00:00:00'::timestamp, null::timestamp, 65000000000186::bigint, 66000000000001::bigint, FALSE::boolean);</v>
      </c>
    </row>
    <row r="221" spans="2:54" x14ac:dyDescent="0.2">
      <c r="B221" s="43"/>
      <c r="C221" s="42"/>
      <c r="D221" s="43"/>
      <c r="E221" s="42"/>
      <c r="F221" s="43"/>
      <c r="G221" s="42"/>
      <c r="H221" s="51" t="s">
        <v>911</v>
      </c>
      <c r="I221" s="18" t="s">
        <v>371</v>
      </c>
      <c r="J221" s="51"/>
      <c r="K221" s="18"/>
      <c r="L221" s="51"/>
      <c r="M221" s="18"/>
      <c r="O221" s="58" t="str">
        <f t="shared" si="111"/>
        <v>5-0000</v>
      </c>
      <c r="P221" s="58" t="str">
        <f t="shared" si="112"/>
        <v>5-2000</v>
      </c>
      <c r="Q221" s="58" t="str">
        <f t="shared" si="113"/>
        <v>2-1200</v>
      </c>
      <c r="R221" s="58" t="str">
        <f t="shared" si="114"/>
        <v>5-2001</v>
      </c>
      <c r="S221" s="58" t="str">
        <f t="shared" si="115"/>
        <v>5-1099.01</v>
      </c>
      <c r="T221" s="58" t="str">
        <f t="shared" si="116"/>
        <v xml:space="preserve"> </v>
      </c>
      <c r="V221" s="72">
        <f t="shared" si="117"/>
        <v>65000000000211</v>
      </c>
      <c r="W221" s="60">
        <f t="shared" si="118"/>
        <v>65000000000186</v>
      </c>
      <c r="X221" s="60">
        <f t="shared" si="119"/>
        <v>65000000000210</v>
      </c>
      <c r="Y221" s="60">
        <f t="shared" si="120"/>
        <v>65000000000147</v>
      </c>
      <c r="Z221" s="60">
        <f t="shared" si="121"/>
        <v>65000000000211</v>
      </c>
      <c r="AA221" s="60">
        <f t="shared" si="104"/>
        <v>65000000000209</v>
      </c>
      <c r="AB221" s="60">
        <f t="shared" si="122"/>
        <v>65000000000000</v>
      </c>
      <c r="AD221" s="60">
        <f t="shared" si="125"/>
        <v>5</v>
      </c>
      <c r="AE221" s="60">
        <f t="shared" si="126"/>
        <v>3</v>
      </c>
      <c r="AF221" s="60">
        <f t="shared" si="127"/>
        <v>1</v>
      </c>
      <c r="AG221" s="60">
        <f t="shared" si="128"/>
        <v>22</v>
      </c>
      <c r="AH221" s="60">
        <f t="shared" si="129"/>
        <v>1</v>
      </c>
      <c r="AI221" s="60">
        <f t="shared" si="130"/>
        <v>1</v>
      </c>
      <c r="AK221" s="68" t="str">
        <f t="shared" si="105"/>
        <v>L4</v>
      </c>
      <c r="AM221" s="64" t="s">
        <v>1755</v>
      </c>
      <c r="AN221" s="64">
        <f t="shared" si="106"/>
        <v>65000000000186</v>
      </c>
      <c r="AO221" s="64">
        <f t="shared" si="107"/>
        <v>65000000000210</v>
      </c>
      <c r="AP221" s="64">
        <f t="shared" si="108"/>
        <v>65000000000210</v>
      </c>
      <c r="AQ221" s="64">
        <f t="shared" si="109"/>
        <v>65000000000210</v>
      </c>
      <c r="AS221" s="64">
        <f t="shared" si="110"/>
        <v>65000000000210</v>
      </c>
      <c r="AU221" s="59" t="str">
        <f t="shared" si="131"/>
        <v>PERFORM * FROM "SchData-OLTP-Accounting"."Func_TblChartOfAccount_SET"(varSystemLoginSession, null, null, null, varInstitutionBranchID, 62000000000001::bigint,'5-2001', 'Salary Daily Worker', 62000000000001::bigint, '2016-01-01 00:00:00'::timestamp, null::timestamp, 65000000000210::bigint, 66000000000001::bigint);</v>
      </c>
      <c r="AV221" s="65">
        <f t="shared" si="132"/>
        <v>65000000000211</v>
      </c>
      <c r="AW221" s="65">
        <f t="shared" si="133"/>
        <v>65000000000210</v>
      </c>
      <c r="AY221" s="65">
        <f t="shared" si="123"/>
        <v>65000000000210</v>
      </c>
      <c r="BA221" s="78">
        <f t="shared" si="134"/>
        <v>65000000000211</v>
      </c>
      <c r="BB221" s="81" t="str">
        <f t="shared" si="124"/>
        <v>PERFORM * FROM "SchData-OLTP-Accounting"."Func_TblChartOfAccount_SET"(varSystemLoginSession, null, null, null, null, null, varInstitutionBranchID, 62000000000001::bigint,'5-2001', 'Salary Daily Worker', 62000000000001::bigint, '2016-01-01 00:00:00'::timestamp, null::timestamp, 65000000000210::bigint, 66000000000001::bigint, FALSE::boolean);</v>
      </c>
    </row>
    <row r="222" spans="2:54" x14ac:dyDescent="0.2">
      <c r="B222" s="43"/>
      <c r="C222" s="42"/>
      <c r="D222" s="43"/>
      <c r="E222" s="42"/>
      <c r="F222" s="43"/>
      <c r="G222" s="42"/>
      <c r="H222" s="51"/>
      <c r="I222" s="18"/>
      <c r="J222" s="51" t="s">
        <v>1455</v>
      </c>
      <c r="K222" s="18" t="s">
        <v>1290</v>
      </c>
      <c r="L222" s="51"/>
      <c r="M222" s="18"/>
      <c r="O222" s="58" t="str">
        <f t="shared" si="111"/>
        <v>5-0000</v>
      </c>
      <c r="P222" s="58" t="str">
        <f t="shared" si="112"/>
        <v>5-2000</v>
      </c>
      <c r="Q222" s="58" t="str">
        <f t="shared" si="113"/>
        <v>2-1200</v>
      </c>
      <c r="R222" s="58" t="str">
        <f t="shared" si="114"/>
        <v>5-2001</v>
      </c>
      <c r="S222" s="58" t="str">
        <f t="shared" si="115"/>
        <v>5-2001.01</v>
      </c>
      <c r="T222" s="58" t="str">
        <f t="shared" si="116"/>
        <v xml:space="preserve"> </v>
      </c>
      <c r="V222" s="72">
        <f t="shared" si="117"/>
        <v>65000000000212</v>
      </c>
      <c r="W222" s="60">
        <f t="shared" si="118"/>
        <v>65000000000186</v>
      </c>
      <c r="X222" s="60">
        <f t="shared" si="119"/>
        <v>65000000000210</v>
      </c>
      <c r="Y222" s="60">
        <f t="shared" si="120"/>
        <v>65000000000147</v>
      </c>
      <c r="Z222" s="60">
        <f t="shared" si="121"/>
        <v>65000000000211</v>
      </c>
      <c r="AA222" s="60">
        <f t="shared" si="104"/>
        <v>65000000000212</v>
      </c>
      <c r="AB222" s="60">
        <f t="shared" si="122"/>
        <v>65000000000000</v>
      </c>
      <c r="AD222" s="60">
        <f t="shared" si="125"/>
        <v>5</v>
      </c>
      <c r="AE222" s="60">
        <f t="shared" si="126"/>
        <v>3</v>
      </c>
      <c r="AF222" s="60">
        <f t="shared" si="127"/>
        <v>1</v>
      </c>
      <c r="AG222" s="60">
        <f t="shared" si="128"/>
        <v>22</v>
      </c>
      <c r="AH222" s="60">
        <f t="shared" si="129"/>
        <v>2</v>
      </c>
      <c r="AI222" s="60">
        <f t="shared" si="130"/>
        <v>1</v>
      </c>
      <c r="AK222" s="68" t="str">
        <f t="shared" si="105"/>
        <v>L5</v>
      </c>
      <c r="AM222" s="64" t="s">
        <v>1755</v>
      </c>
      <c r="AN222" s="64">
        <f t="shared" si="106"/>
        <v>65000000000186</v>
      </c>
      <c r="AO222" s="64">
        <f t="shared" si="107"/>
        <v>65000000000210</v>
      </c>
      <c r="AP222" s="64">
        <f t="shared" si="108"/>
        <v>65000000000210</v>
      </c>
      <c r="AQ222" s="64">
        <f t="shared" si="109"/>
        <v>65000000000211</v>
      </c>
      <c r="AS222" s="64">
        <f t="shared" si="110"/>
        <v>65000000000211</v>
      </c>
      <c r="AU222" s="59" t="str">
        <f t="shared" si="131"/>
        <v>PERFORM * FROM "SchData-OLTP-Accounting"."Func_TblChartOfAccount_SET"(varSystemLoginSession, null, null, null, varInstitutionBranchID, 62000000000001::bigint,'5-2001.01', 'Salary Daily Worker (IDR)', 62000000000001::bigint, '2016-01-01 00:00:00'::timestamp, null::timestamp, 65000000000211::bigint, 66000000000001::bigint);</v>
      </c>
      <c r="AV222" s="65">
        <f t="shared" si="132"/>
        <v>65000000000212</v>
      </c>
      <c r="AW222" s="65">
        <f t="shared" si="133"/>
        <v>65000000000211</v>
      </c>
      <c r="AY222" s="65">
        <f t="shared" si="123"/>
        <v>65000000000211</v>
      </c>
      <c r="BA222" s="78">
        <f t="shared" si="134"/>
        <v>65000000000212</v>
      </c>
      <c r="BB222" s="81" t="str">
        <f t="shared" si="124"/>
        <v>PERFORM * FROM "SchData-OLTP-Accounting"."Func_TblChartOfAccount_SET"(varSystemLoginSession, null, null, null, null, null, varInstitutionBranchID, 62000000000001::bigint,'5-2001.01', 'Salary Daily Worker (IDR)', 62000000000001::bigint, '2016-01-01 00:00:00'::timestamp, null::timestamp, 65000000000211::bigint, 66000000000001::bigint, FALSE::boolean);</v>
      </c>
    </row>
    <row r="223" spans="2:54" x14ac:dyDescent="0.2">
      <c r="B223" s="43"/>
      <c r="C223" s="42"/>
      <c r="D223" s="43"/>
      <c r="E223" s="42"/>
      <c r="F223" s="43"/>
      <c r="G223" s="42"/>
      <c r="H223" s="51" t="s">
        <v>912</v>
      </c>
      <c r="I223" s="18" t="s">
        <v>373</v>
      </c>
      <c r="J223" s="51"/>
      <c r="K223" s="18"/>
      <c r="L223" s="51"/>
      <c r="M223" s="18"/>
      <c r="O223" s="58" t="str">
        <f t="shared" si="111"/>
        <v>5-0000</v>
      </c>
      <c r="P223" s="58" t="str">
        <f t="shared" si="112"/>
        <v>5-2000</v>
      </c>
      <c r="Q223" s="58" t="str">
        <f t="shared" si="113"/>
        <v>2-1200</v>
      </c>
      <c r="R223" s="58" t="str">
        <f t="shared" si="114"/>
        <v>5-2002</v>
      </c>
      <c r="S223" s="58" t="str">
        <f t="shared" si="115"/>
        <v>5-2001.01</v>
      </c>
      <c r="T223" s="58" t="str">
        <f t="shared" si="116"/>
        <v xml:space="preserve"> </v>
      </c>
      <c r="V223" s="72">
        <f t="shared" si="117"/>
        <v>65000000000213</v>
      </c>
      <c r="W223" s="60">
        <f t="shared" si="118"/>
        <v>65000000000186</v>
      </c>
      <c r="X223" s="60">
        <f t="shared" si="119"/>
        <v>65000000000210</v>
      </c>
      <c r="Y223" s="60">
        <f t="shared" si="120"/>
        <v>65000000000147</v>
      </c>
      <c r="Z223" s="60">
        <f t="shared" si="121"/>
        <v>65000000000213</v>
      </c>
      <c r="AA223" s="60">
        <f t="shared" si="104"/>
        <v>65000000000212</v>
      </c>
      <c r="AB223" s="60">
        <f t="shared" si="122"/>
        <v>65000000000000</v>
      </c>
      <c r="AD223" s="60">
        <f t="shared" si="125"/>
        <v>5</v>
      </c>
      <c r="AE223" s="60">
        <f t="shared" si="126"/>
        <v>3</v>
      </c>
      <c r="AF223" s="60">
        <f t="shared" si="127"/>
        <v>1</v>
      </c>
      <c r="AG223" s="60">
        <f t="shared" si="128"/>
        <v>23</v>
      </c>
      <c r="AH223" s="60">
        <f t="shared" si="129"/>
        <v>1</v>
      </c>
      <c r="AI223" s="60">
        <f t="shared" si="130"/>
        <v>1</v>
      </c>
      <c r="AK223" s="68" t="str">
        <f t="shared" si="105"/>
        <v>L4</v>
      </c>
      <c r="AM223" s="64" t="s">
        <v>1755</v>
      </c>
      <c r="AN223" s="64">
        <f t="shared" si="106"/>
        <v>65000000000186</v>
      </c>
      <c r="AO223" s="64">
        <f t="shared" si="107"/>
        <v>65000000000210</v>
      </c>
      <c r="AP223" s="64">
        <f t="shared" si="108"/>
        <v>65000000000210</v>
      </c>
      <c r="AQ223" s="64">
        <f t="shared" si="109"/>
        <v>65000000000211</v>
      </c>
      <c r="AS223" s="64">
        <f t="shared" si="110"/>
        <v>65000000000210</v>
      </c>
      <c r="AU223" s="59" t="str">
        <f t="shared" si="131"/>
        <v>PERFORM * FROM "SchData-OLTP-Accounting"."Func_TblChartOfAccount_SET"(varSystemLoginSession, null, null, null, varInstitutionBranchID, 62000000000001::bigint,'5-2002', 'Salary Direct', 62000000000001::bigint, '2016-01-01 00:00:00'::timestamp, null::timestamp, 65000000000210::bigint, 66000000000001::bigint);</v>
      </c>
      <c r="AV223" s="65">
        <f t="shared" si="132"/>
        <v>65000000000213</v>
      </c>
      <c r="AW223" s="65">
        <f t="shared" si="133"/>
        <v>65000000000210</v>
      </c>
      <c r="AY223" s="65">
        <f t="shared" si="123"/>
        <v>65000000000147</v>
      </c>
      <c r="BA223" s="78">
        <f t="shared" si="134"/>
        <v>65000000000213</v>
      </c>
      <c r="BB223" s="81" t="str">
        <f t="shared" si="124"/>
        <v>PERFORM * FROM "SchData-OLTP-Accounting"."Func_TblChartOfAccount_SET"(varSystemLoginSession, null, null, null, null, null, varInstitutionBranchID, 62000000000001::bigint,'5-2002', 'Salary Direct', 62000000000001::bigint, '2016-01-01 00:00:00'::timestamp, null::timestamp, 65000000000210::bigint, 66000000000001::bigint, FALSE::boolean);</v>
      </c>
    </row>
    <row r="224" spans="2:54" x14ac:dyDescent="0.2">
      <c r="B224" s="43"/>
      <c r="C224" s="42"/>
      <c r="D224" s="43"/>
      <c r="E224" s="42"/>
      <c r="F224" s="43"/>
      <c r="G224" s="42"/>
      <c r="H224" s="51"/>
      <c r="I224" s="18"/>
      <c r="J224" s="51" t="s">
        <v>1456</v>
      </c>
      <c r="K224" s="18" t="s">
        <v>1291</v>
      </c>
      <c r="L224" s="51"/>
      <c r="M224" s="18"/>
      <c r="O224" s="58" t="str">
        <f t="shared" si="111"/>
        <v>5-0000</v>
      </c>
      <c r="P224" s="58" t="str">
        <f t="shared" si="112"/>
        <v>5-2000</v>
      </c>
      <c r="Q224" s="58" t="str">
        <f t="shared" si="113"/>
        <v>2-1200</v>
      </c>
      <c r="R224" s="58" t="str">
        <f t="shared" si="114"/>
        <v>5-2002</v>
      </c>
      <c r="S224" s="58" t="str">
        <f t="shared" si="115"/>
        <v>5-2002.01</v>
      </c>
      <c r="T224" s="58" t="str">
        <f t="shared" si="116"/>
        <v xml:space="preserve"> </v>
      </c>
      <c r="V224" s="72">
        <f t="shared" si="117"/>
        <v>65000000000214</v>
      </c>
      <c r="W224" s="60">
        <f t="shared" si="118"/>
        <v>65000000000186</v>
      </c>
      <c r="X224" s="60">
        <f t="shared" si="119"/>
        <v>65000000000210</v>
      </c>
      <c r="Y224" s="60">
        <f t="shared" si="120"/>
        <v>65000000000147</v>
      </c>
      <c r="Z224" s="60">
        <f t="shared" si="121"/>
        <v>65000000000213</v>
      </c>
      <c r="AA224" s="60">
        <f t="shared" si="104"/>
        <v>65000000000214</v>
      </c>
      <c r="AB224" s="60">
        <f t="shared" si="122"/>
        <v>65000000000000</v>
      </c>
      <c r="AD224" s="60">
        <f t="shared" si="125"/>
        <v>5</v>
      </c>
      <c r="AE224" s="60">
        <f t="shared" si="126"/>
        <v>3</v>
      </c>
      <c r="AF224" s="60">
        <f t="shared" si="127"/>
        <v>1</v>
      </c>
      <c r="AG224" s="60">
        <f t="shared" si="128"/>
        <v>23</v>
      </c>
      <c r="AH224" s="60">
        <f t="shared" si="129"/>
        <v>2</v>
      </c>
      <c r="AI224" s="60">
        <f t="shared" si="130"/>
        <v>1</v>
      </c>
      <c r="AK224" s="68" t="str">
        <f t="shared" si="105"/>
        <v>L5</v>
      </c>
      <c r="AM224" s="64" t="s">
        <v>1755</v>
      </c>
      <c r="AN224" s="64">
        <f t="shared" si="106"/>
        <v>65000000000186</v>
      </c>
      <c r="AO224" s="64">
        <f t="shared" si="107"/>
        <v>65000000000210</v>
      </c>
      <c r="AP224" s="64">
        <f t="shared" si="108"/>
        <v>65000000000210</v>
      </c>
      <c r="AQ224" s="64">
        <f t="shared" si="109"/>
        <v>65000000000213</v>
      </c>
      <c r="AS224" s="64">
        <f t="shared" si="110"/>
        <v>65000000000213</v>
      </c>
      <c r="AU224" s="59" t="str">
        <f t="shared" si="131"/>
        <v>PERFORM * FROM "SchData-OLTP-Accounting"."Func_TblChartOfAccount_SET"(varSystemLoginSession, null, null, null, varInstitutionBranchID, 62000000000001::bigint,'5-2002.01', 'Salary Direct (IDR)', 62000000000001::bigint, '2016-01-01 00:00:00'::timestamp, null::timestamp, 65000000000213::bigint, 66000000000001::bigint);</v>
      </c>
      <c r="AV224" s="65">
        <f t="shared" si="132"/>
        <v>65000000000214</v>
      </c>
      <c r="AW224" s="65">
        <f t="shared" si="133"/>
        <v>65000000000213</v>
      </c>
      <c r="AY224" s="65">
        <f t="shared" si="123"/>
        <v>65000000000213</v>
      </c>
      <c r="BA224" s="78">
        <f t="shared" si="134"/>
        <v>65000000000214</v>
      </c>
      <c r="BB224" s="81" t="str">
        <f t="shared" si="124"/>
        <v>PERFORM * FROM "SchData-OLTP-Accounting"."Func_TblChartOfAccount_SET"(varSystemLoginSession, null, null, null, null, null, varInstitutionBranchID, 62000000000001::bigint,'5-2002.01', 'Salary Direct (IDR)', 62000000000001::bigint, '2016-01-01 00:00:00'::timestamp, null::timestamp, 65000000000213::bigint, 66000000000001::bigint, FALSE::boolean);</v>
      </c>
    </row>
    <row r="225" spans="2:54" x14ac:dyDescent="0.2">
      <c r="B225" s="43"/>
      <c r="C225" s="42"/>
      <c r="D225" s="43"/>
      <c r="E225" s="42"/>
      <c r="F225" s="43"/>
      <c r="G225" s="42"/>
      <c r="H225" s="51" t="s">
        <v>913</v>
      </c>
      <c r="I225" s="18" t="s">
        <v>375</v>
      </c>
      <c r="J225" s="51"/>
      <c r="K225" s="18"/>
      <c r="L225" s="51"/>
      <c r="M225" s="18"/>
      <c r="O225" s="58" t="str">
        <f t="shared" si="111"/>
        <v>5-0000</v>
      </c>
      <c r="P225" s="58" t="str">
        <f t="shared" si="112"/>
        <v>5-2000</v>
      </c>
      <c r="Q225" s="58" t="str">
        <f t="shared" si="113"/>
        <v>2-1200</v>
      </c>
      <c r="R225" s="58" t="str">
        <f t="shared" si="114"/>
        <v>5-2003</v>
      </c>
      <c r="S225" s="58" t="str">
        <f t="shared" si="115"/>
        <v>5-2002.01</v>
      </c>
      <c r="T225" s="58" t="str">
        <f t="shared" si="116"/>
        <v xml:space="preserve"> </v>
      </c>
      <c r="V225" s="72">
        <f t="shared" si="117"/>
        <v>65000000000215</v>
      </c>
      <c r="W225" s="60">
        <f t="shared" si="118"/>
        <v>65000000000186</v>
      </c>
      <c r="X225" s="60">
        <f t="shared" si="119"/>
        <v>65000000000210</v>
      </c>
      <c r="Y225" s="60">
        <f t="shared" si="120"/>
        <v>65000000000147</v>
      </c>
      <c r="Z225" s="60">
        <f t="shared" si="121"/>
        <v>65000000000215</v>
      </c>
      <c r="AA225" s="60">
        <f t="shared" si="104"/>
        <v>65000000000214</v>
      </c>
      <c r="AB225" s="60">
        <f t="shared" si="122"/>
        <v>65000000000000</v>
      </c>
      <c r="AD225" s="60">
        <f t="shared" si="125"/>
        <v>5</v>
      </c>
      <c r="AE225" s="60">
        <f t="shared" si="126"/>
        <v>3</v>
      </c>
      <c r="AF225" s="60">
        <f t="shared" si="127"/>
        <v>1</v>
      </c>
      <c r="AG225" s="60">
        <f t="shared" si="128"/>
        <v>24</v>
      </c>
      <c r="AH225" s="60">
        <f t="shared" si="129"/>
        <v>1</v>
      </c>
      <c r="AI225" s="60">
        <f t="shared" si="130"/>
        <v>1</v>
      </c>
      <c r="AK225" s="68" t="str">
        <f t="shared" si="105"/>
        <v>L4</v>
      </c>
      <c r="AM225" s="64" t="s">
        <v>1755</v>
      </c>
      <c r="AN225" s="64">
        <f t="shared" si="106"/>
        <v>65000000000186</v>
      </c>
      <c r="AO225" s="64">
        <f t="shared" si="107"/>
        <v>65000000000210</v>
      </c>
      <c r="AP225" s="64">
        <f t="shared" si="108"/>
        <v>65000000000210</v>
      </c>
      <c r="AQ225" s="64">
        <f t="shared" si="109"/>
        <v>65000000000213</v>
      </c>
      <c r="AS225" s="64">
        <f t="shared" si="110"/>
        <v>65000000000210</v>
      </c>
      <c r="AU225" s="59" t="str">
        <f t="shared" si="131"/>
        <v>PERFORM * FROM "SchData-OLTP-Accounting"."Func_TblChartOfAccount_SET"(varSystemLoginSession, null, null, null, varInstitutionBranchID, 62000000000001::bigint,'5-2003', 'Salary Indirect', 62000000000001::bigint, '2016-01-01 00:00:00'::timestamp, null::timestamp, 65000000000210::bigint, 66000000000001::bigint);</v>
      </c>
      <c r="AV225" s="65">
        <f t="shared" si="132"/>
        <v>65000000000215</v>
      </c>
      <c r="AW225" s="65">
        <f t="shared" si="133"/>
        <v>65000000000210</v>
      </c>
      <c r="AY225" s="65">
        <f t="shared" si="123"/>
        <v>65000000000147</v>
      </c>
      <c r="BA225" s="78">
        <f t="shared" si="134"/>
        <v>65000000000215</v>
      </c>
      <c r="BB225" s="81" t="str">
        <f t="shared" si="124"/>
        <v>PERFORM * FROM "SchData-OLTP-Accounting"."Func_TblChartOfAccount_SET"(varSystemLoginSession, null, null, null, null, null, varInstitutionBranchID, 62000000000001::bigint,'5-2003', 'Salary Indirect', 62000000000001::bigint, '2016-01-01 00:00:00'::timestamp, null::timestamp, 65000000000210::bigint, 66000000000001::bigint, FALSE::boolean);</v>
      </c>
    </row>
    <row r="226" spans="2:54" x14ac:dyDescent="0.2">
      <c r="B226" s="43"/>
      <c r="C226" s="42"/>
      <c r="D226" s="43"/>
      <c r="E226" s="42"/>
      <c r="F226" s="43"/>
      <c r="G226" s="42"/>
      <c r="H226" s="51"/>
      <c r="I226" s="18"/>
      <c r="J226" s="51" t="s">
        <v>1457</v>
      </c>
      <c r="K226" s="18" t="s">
        <v>1292</v>
      </c>
      <c r="L226" s="51"/>
      <c r="M226" s="18"/>
      <c r="O226" s="58" t="str">
        <f t="shared" si="111"/>
        <v>5-0000</v>
      </c>
      <c r="P226" s="58" t="str">
        <f t="shared" si="112"/>
        <v>5-2000</v>
      </c>
      <c r="Q226" s="58" t="str">
        <f t="shared" si="113"/>
        <v>2-1200</v>
      </c>
      <c r="R226" s="58" t="str">
        <f t="shared" si="114"/>
        <v>5-2003</v>
      </c>
      <c r="S226" s="58" t="str">
        <f t="shared" si="115"/>
        <v>5-2003.01</v>
      </c>
      <c r="T226" s="58" t="str">
        <f t="shared" si="116"/>
        <v xml:space="preserve"> </v>
      </c>
      <c r="V226" s="72">
        <f t="shared" si="117"/>
        <v>65000000000216</v>
      </c>
      <c r="W226" s="60">
        <f t="shared" si="118"/>
        <v>65000000000186</v>
      </c>
      <c r="X226" s="60">
        <f t="shared" si="119"/>
        <v>65000000000210</v>
      </c>
      <c r="Y226" s="60">
        <f t="shared" si="120"/>
        <v>65000000000147</v>
      </c>
      <c r="Z226" s="60">
        <f t="shared" si="121"/>
        <v>65000000000215</v>
      </c>
      <c r="AA226" s="60">
        <f t="shared" si="104"/>
        <v>65000000000216</v>
      </c>
      <c r="AB226" s="60">
        <f t="shared" si="122"/>
        <v>65000000000000</v>
      </c>
      <c r="AD226" s="60">
        <f t="shared" si="125"/>
        <v>5</v>
      </c>
      <c r="AE226" s="60">
        <f t="shared" si="126"/>
        <v>3</v>
      </c>
      <c r="AF226" s="60">
        <f t="shared" si="127"/>
        <v>1</v>
      </c>
      <c r="AG226" s="60">
        <f t="shared" si="128"/>
        <v>24</v>
      </c>
      <c r="AH226" s="60">
        <f t="shared" si="129"/>
        <v>2</v>
      </c>
      <c r="AI226" s="60">
        <f t="shared" si="130"/>
        <v>1</v>
      </c>
      <c r="AK226" s="68" t="str">
        <f t="shared" si="105"/>
        <v>L5</v>
      </c>
      <c r="AM226" s="64" t="s">
        <v>1755</v>
      </c>
      <c r="AN226" s="64">
        <f t="shared" si="106"/>
        <v>65000000000186</v>
      </c>
      <c r="AO226" s="64">
        <f t="shared" si="107"/>
        <v>65000000000210</v>
      </c>
      <c r="AP226" s="64">
        <f t="shared" si="108"/>
        <v>65000000000210</v>
      </c>
      <c r="AQ226" s="64">
        <f t="shared" si="109"/>
        <v>65000000000215</v>
      </c>
      <c r="AS226" s="64">
        <f t="shared" si="110"/>
        <v>65000000000215</v>
      </c>
      <c r="AU226" s="59" t="str">
        <f t="shared" si="131"/>
        <v>PERFORM * FROM "SchData-OLTP-Accounting"."Func_TblChartOfAccount_SET"(varSystemLoginSession, null, null, null, varInstitutionBranchID, 62000000000001::bigint,'5-2003.01', 'Salary Indirect (IDR)', 62000000000001::bigint, '2016-01-01 00:00:00'::timestamp, null::timestamp, 65000000000215::bigint, 66000000000001::bigint);</v>
      </c>
      <c r="AV226" s="65">
        <f t="shared" si="132"/>
        <v>65000000000216</v>
      </c>
      <c r="AW226" s="65">
        <f t="shared" si="133"/>
        <v>65000000000215</v>
      </c>
      <c r="AY226" s="65">
        <f t="shared" si="123"/>
        <v>65000000000215</v>
      </c>
      <c r="BA226" s="78">
        <f t="shared" si="134"/>
        <v>65000000000216</v>
      </c>
      <c r="BB226" s="81" t="str">
        <f t="shared" si="124"/>
        <v>PERFORM * FROM "SchData-OLTP-Accounting"."Func_TblChartOfAccount_SET"(varSystemLoginSession, null, null, null, null, null, varInstitutionBranchID, 62000000000001::bigint,'5-2003.01', 'Salary Indirect (IDR)', 62000000000001::bigint, '2016-01-01 00:00:00'::timestamp, null::timestamp, 65000000000215::bigint, 66000000000001::bigint, FALSE::boolean);</v>
      </c>
    </row>
    <row r="227" spans="2:54" x14ac:dyDescent="0.2">
      <c r="B227" s="43"/>
      <c r="C227" s="42"/>
      <c r="D227" s="43"/>
      <c r="E227" s="42"/>
      <c r="F227" s="43"/>
      <c r="G227" s="42"/>
      <c r="H227" s="51" t="s">
        <v>914</v>
      </c>
      <c r="I227" s="18" t="s">
        <v>377</v>
      </c>
      <c r="J227" s="51"/>
      <c r="K227" s="18"/>
      <c r="L227" s="51"/>
      <c r="M227" s="18"/>
      <c r="O227" s="58" t="str">
        <f t="shared" si="111"/>
        <v>5-0000</v>
      </c>
      <c r="P227" s="58" t="str">
        <f t="shared" si="112"/>
        <v>5-2000</v>
      </c>
      <c r="Q227" s="58" t="str">
        <f t="shared" si="113"/>
        <v>2-1200</v>
      </c>
      <c r="R227" s="58" t="str">
        <f t="shared" si="114"/>
        <v>5-2004</v>
      </c>
      <c r="S227" s="58" t="str">
        <f t="shared" si="115"/>
        <v>5-2003.01</v>
      </c>
      <c r="T227" s="58" t="str">
        <f t="shared" si="116"/>
        <v xml:space="preserve"> </v>
      </c>
      <c r="V227" s="72">
        <f t="shared" si="117"/>
        <v>65000000000217</v>
      </c>
      <c r="W227" s="60">
        <f t="shared" si="118"/>
        <v>65000000000186</v>
      </c>
      <c r="X227" s="60">
        <f t="shared" si="119"/>
        <v>65000000000210</v>
      </c>
      <c r="Y227" s="60">
        <f t="shared" si="120"/>
        <v>65000000000147</v>
      </c>
      <c r="Z227" s="60">
        <f t="shared" si="121"/>
        <v>65000000000217</v>
      </c>
      <c r="AA227" s="60">
        <f t="shared" si="104"/>
        <v>65000000000216</v>
      </c>
      <c r="AB227" s="60">
        <f t="shared" si="122"/>
        <v>65000000000000</v>
      </c>
      <c r="AD227" s="60">
        <f t="shared" si="125"/>
        <v>5</v>
      </c>
      <c r="AE227" s="60">
        <f t="shared" si="126"/>
        <v>3</v>
      </c>
      <c r="AF227" s="60">
        <f t="shared" si="127"/>
        <v>1</v>
      </c>
      <c r="AG227" s="60">
        <f t="shared" si="128"/>
        <v>25</v>
      </c>
      <c r="AH227" s="60">
        <f t="shared" si="129"/>
        <v>1</v>
      </c>
      <c r="AI227" s="60">
        <f t="shared" si="130"/>
        <v>1</v>
      </c>
      <c r="AK227" s="68" t="str">
        <f t="shared" si="105"/>
        <v>L4</v>
      </c>
      <c r="AM227" s="64" t="s">
        <v>1755</v>
      </c>
      <c r="AN227" s="64">
        <f t="shared" si="106"/>
        <v>65000000000186</v>
      </c>
      <c r="AO227" s="64">
        <f t="shared" si="107"/>
        <v>65000000000210</v>
      </c>
      <c r="AP227" s="64">
        <f t="shared" si="108"/>
        <v>65000000000210</v>
      </c>
      <c r="AQ227" s="64">
        <f t="shared" si="109"/>
        <v>65000000000215</v>
      </c>
      <c r="AS227" s="64">
        <f t="shared" si="110"/>
        <v>65000000000210</v>
      </c>
      <c r="AU227" s="59" t="str">
        <f t="shared" si="131"/>
        <v>PERFORM * FROM "SchData-OLTP-Accounting"."Func_TblChartOfAccount_SET"(varSystemLoginSession, null, null, null, varInstitutionBranchID, 62000000000001::bigint,'5-2004', 'Overtime Direct', 62000000000001::bigint, '2016-01-01 00:00:00'::timestamp, null::timestamp, 65000000000210::bigint, 66000000000001::bigint);</v>
      </c>
      <c r="AV227" s="65">
        <f t="shared" si="132"/>
        <v>65000000000217</v>
      </c>
      <c r="AW227" s="65">
        <f t="shared" si="133"/>
        <v>65000000000210</v>
      </c>
      <c r="AY227" s="65">
        <f t="shared" si="123"/>
        <v>65000000000147</v>
      </c>
      <c r="BA227" s="78">
        <f t="shared" si="134"/>
        <v>65000000000217</v>
      </c>
      <c r="BB227" s="81" t="str">
        <f t="shared" si="124"/>
        <v>PERFORM * FROM "SchData-OLTP-Accounting"."Func_TblChartOfAccount_SET"(varSystemLoginSession, null, null, null, null, null, varInstitutionBranchID, 62000000000001::bigint,'5-2004', 'Overtime Direct', 62000000000001::bigint, '2016-01-01 00:00:00'::timestamp, null::timestamp, 65000000000210::bigint, 66000000000001::bigint, FALSE::boolean);</v>
      </c>
    </row>
    <row r="228" spans="2:54" x14ac:dyDescent="0.2">
      <c r="B228" s="43"/>
      <c r="C228" s="42"/>
      <c r="D228" s="43"/>
      <c r="E228" s="42"/>
      <c r="F228" s="43"/>
      <c r="G228" s="42"/>
      <c r="H228" s="51"/>
      <c r="I228" s="18"/>
      <c r="J228" s="51" t="s">
        <v>1458</v>
      </c>
      <c r="K228" s="18" t="s">
        <v>1293</v>
      </c>
      <c r="L228" s="51"/>
      <c r="M228" s="18"/>
      <c r="O228" s="58" t="str">
        <f t="shared" si="111"/>
        <v>5-0000</v>
      </c>
      <c r="P228" s="58" t="str">
        <f t="shared" si="112"/>
        <v>5-2000</v>
      </c>
      <c r="Q228" s="58" t="str">
        <f t="shared" si="113"/>
        <v>2-1200</v>
      </c>
      <c r="R228" s="58" t="str">
        <f t="shared" si="114"/>
        <v>5-2004</v>
      </c>
      <c r="S228" s="58" t="str">
        <f t="shared" si="115"/>
        <v>5-2004.01</v>
      </c>
      <c r="T228" s="58" t="str">
        <f t="shared" si="116"/>
        <v xml:space="preserve"> </v>
      </c>
      <c r="V228" s="72">
        <f t="shared" si="117"/>
        <v>65000000000218</v>
      </c>
      <c r="W228" s="60">
        <f t="shared" si="118"/>
        <v>65000000000186</v>
      </c>
      <c r="X228" s="60">
        <f t="shared" si="119"/>
        <v>65000000000210</v>
      </c>
      <c r="Y228" s="60">
        <f t="shared" si="120"/>
        <v>65000000000147</v>
      </c>
      <c r="Z228" s="60">
        <f t="shared" si="121"/>
        <v>65000000000217</v>
      </c>
      <c r="AA228" s="60">
        <f t="shared" si="104"/>
        <v>65000000000218</v>
      </c>
      <c r="AB228" s="60">
        <f t="shared" si="122"/>
        <v>65000000000000</v>
      </c>
      <c r="AD228" s="60">
        <f t="shared" si="125"/>
        <v>5</v>
      </c>
      <c r="AE228" s="60">
        <f t="shared" si="126"/>
        <v>3</v>
      </c>
      <c r="AF228" s="60">
        <f t="shared" si="127"/>
        <v>1</v>
      </c>
      <c r="AG228" s="60">
        <f t="shared" si="128"/>
        <v>25</v>
      </c>
      <c r="AH228" s="60">
        <f t="shared" si="129"/>
        <v>2</v>
      </c>
      <c r="AI228" s="60">
        <f t="shared" si="130"/>
        <v>1</v>
      </c>
      <c r="AK228" s="68" t="str">
        <f t="shared" si="105"/>
        <v>L5</v>
      </c>
      <c r="AM228" s="64" t="s">
        <v>1755</v>
      </c>
      <c r="AN228" s="64">
        <f t="shared" si="106"/>
        <v>65000000000186</v>
      </c>
      <c r="AO228" s="64">
        <f t="shared" si="107"/>
        <v>65000000000210</v>
      </c>
      <c r="AP228" s="64">
        <f t="shared" si="108"/>
        <v>65000000000210</v>
      </c>
      <c r="AQ228" s="64">
        <f t="shared" si="109"/>
        <v>65000000000217</v>
      </c>
      <c r="AS228" s="64">
        <f t="shared" si="110"/>
        <v>65000000000217</v>
      </c>
      <c r="AU228" s="59" t="str">
        <f t="shared" si="131"/>
        <v>PERFORM * FROM "SchData-OLTP-Accounting"."Func_TblChartOfAccount_SET"(varSystemLoginSession, null, null, null, varInstitutionBranchID, 62000000000001::bigint,'5-2004.01', 'Overtime Direct (IDR)', 62000000000001::bigint, '2016-01-01 00:00:00'::timestamp, null::timestamp, 65000000000217::bigint, 66000000000001::bigint);</v>
      </c>
      <c r="AV228" s="65">
        <f t="shared" si="132"/>
        <v>65000000000218</v>
      </c>
      <c r="AW228" s="65">
        <f t="shared" si="133"/>
        <v>65000000000217</v>
      </c>
      <c r="AY228" s="65">
        <f t="shared" si="123"/>
        <v>65000000000217</v>
      </c>
      <c r="BA228" s="78">
        <f t="shared" si="134"/>
        <v>65000000000218</v>
      </c>
      <c r="BB228" s="81" t="str">
        <f t="shared" si="124"/>
        <v>PERFORM * FROM "SchData-OLTP-Accounting"."Func_TblChartOfAccount_SET"(varSystemLoginSession, null, null, null, null, null, varInstitutionBranchID, 62000000000001::bigint,'5-2004.01', 'Overtime Direct (IDR)', 62000000000001::bigint, '2016-01-01 00:00:00'::timestamp, null::timestamp, 65000000000217::bigint, 66000000000001::bigint, FALSE::boolean);</v>
      </c>
    </row>
    <row r="229" spans="2:54" x14ac:dyDescent="0.2">
      <c r="B229" s="43"/>
      <c r="C229" s="42"/>
      <c r="D229" s="43"/>
      <c r="E229" s="42"/>
      <c r="F229" s="43"/>
      <c r="G229" s="42"/>
      <c r="H229" s="51" t="s">
        <v>370</v>
      </c>
      <c r="I229" s="18" t="s">
        <v>379</v>
      </c>
      <c r="J229" s="51"/>
      <c r="K229" s="18"/>
      <c r="L229" s="51"/>
      <c r="M229" s="18"/>
      <c r="O229" s="58" t="str">
        <f t="shared" si="111"/>
        <v>5-0000</v>
      </c>
      <c r="P229" s="58" t="str">
        <f t="shared" si="112"/>
        <v>5-2000</v>
      </c>
      <c r="Q229" s="58" t="str">
        <f t="shared" si="113"/>
        <v>2-1200</v>
      </c>
      <c r="R229" s="58" t="str">
        <f t="shared" si="114"/>
        <v>5-2005</v>
      </c>
      <c r="S229" s="58" t="str">
        <f t="shared" si="115"/>
        <v>5-2004.01</v>
      </c>
      <c r="T229" s="58" t="str">
        <f t="shared" si="116"/>
        <v xml:space="preserve"> </v>
      </c>
      <c r="V229" s="72">
        <f t="shared" si="117"/>
        <v>65000000000219</v>
      </c>
      <c r="W229" s="60">
        <f t="shared" si="118"/>
        <v>65000000000186</v>
      </c>
      <c r="X229" s="60">
        <f t="shared" si="119"/>
        <v>65000000000210</v>
      </c>
      <c r="Y229" s="60">
        <f t="shared" si="120"/>
        <v>65000000000147</v>
      </c>
      <c r="Z229" s="60">
        <f t="shared" si="121"/>
        <v>65000000000219</v>
      </c>
      <c r="AA229" s="60">
        <f t="shared" si="104"/>
        <v>65000000000218</v>
      </c>
      <c r="AB229" s="60">
        <f t="shared" si="122"/>
        <v>65000000000000</v>
      </c>
      <c r="AD229" s="60">
        <f t="shared" si="125"/>
        <v>5</v>
      </c>
      <c r="AE229" s="60">
        <f t="shared" si="126"/>
        <v>3</v>
      </c>
      <c r="AF229" s="60">
        <f t="shared" si="127"/>
        <v>1</v>
      </c>
      <c r="AG229" s="60">
        <f t="shared" si="128"/>
        <v>26</v>
      </c>
      <c r="AH229" s="60">
        <f t="shared" si="129"/>
        <v>1</v>
      </c>
      <c r="AI229" s="60">
        <f t="shared" si="130"/>
        <v>1</v>
      </c>
      <c r="AK229" s="68" t="str">
        <f t="shared" si="105"/>
        <v>L4</v>
      </c>
      <c r="AM229" s="64" t="s">
        <v>1755</v>
      </c>
      <c r="AN229" s="64">
        <f t="shared" si="106"/>
        <v>65000000000186</v>
      </c>
      <c r="AO229" s="64">
        <f t="shared" si="107"/>
        <v>65000000000210</v>
      </c>
      <c r="AP229" s="64">
        <f t="shared" si="108"/>
        <v>65000000000210</v>
      </c>
      <c r="AQ229" s="64">
        <f t="shared" si="109"/>
        <v>65000000000217</v>
      </c>
      <c r="AS229" s="64">
        <f t="shared" si="110"/>
        <v>65000000000210</v>
      </c>
      <c r="AU229" s="59" t="str">
        <f t="shared" si="131"/>
        <v>PERFORM * FROM "SchData-OLTP-Accounting"."Func_TblChartOfAccount_SET"(varSystemLoginSession, null, null, null, varInstitutionBranchID, 62000000000001::bigint,'5-2005', 'Overtime Indirect', 62000000000001::bigint, '2016-01-01 00:00:00'::timestamp, null::timestamp, 65000000000210::bigint, 66000000000001::bigint);</v>
      </c>
      <c r="AV229" s="65">
        <f t="shared" si="132"/>
        <v>65000000000219</v>
      </c>
      <c r="AW229" s="65">
        <f t="shared" si="133"/>
        <v>65000000000210</v>
      </c>
      <c r="AY229" s="65">
        <f t="shared" si="123"/>
        <v>65000000000147</v>
      </c>
      <c r="BA229" s="78">
        <f t="shared" si="134"/>
        <v>65000000000219</v>
      </c>
      <c r="BB229" s="81" t="str">
        <f t="shared" si="124"/>
        <v>PERFORM * FROM "SchData-OLTP-Accounting"."Func_TblChartOfAccount_SET"(varSystemLoginSession, null, null, null, null, null, varInstitutionBranchID, 62000000000001::bigint,'5-2005', 'Overtime Indirect', 62000000000001::bigint, '2016-01-01 00:00:00'::timestamp, null::timestamp, 65000000000210::bigint, 66000000000001::bigint, FALSE::boolean);</v>
      </c>
    </row>
    <row r="230" spans="2:54" x14ac:dyDescent="0.2">
      <c r="B230" s="43"/>
      <c r="C230" s="42"/>
      <c r="D230" s="43"/>
      <c r="E230" s="42"/>
      <c r="F230" s="43"/>
      <c r="G230" s="42"/>
      <c r="H230" s="51"/>
      <c r="I230" s="18"/>
      <c r="J230" s="51" t="s">
        <v>1459</v>
      </c>
      <c r="K230" s="18" t="s">
        <v>1294</v>
      </c>
      <c r="L230" s="51"/>
      <c r="M230" s="18"/>
      <c r="O230" s="58" t="str">
        <f t="shared" si="111"/>
        <v>5-0000</v>
      </c>
      <c r="P230" s="58" t="str">
        <f t="shared" si="112"/>
        <v>5-2000</v>
      </c>
      <c r="Q230" s="58" t="str">
        <f t="shared" si="113"/>
        <v>2-1200</v>
      </c>
      <c r="R230" s="58" t="str">
        <f t="shared" si="114"/>
        <v>5-2005</v>
      </c>
      <c r="S230" s="58" t="str">
        <f t="shared" si="115"/>
        <v>5-2005.01</v>
      </c>
      <c r="T230" s="58" t="str">
        <f t="shared" si="116"/>
        <v xml:space="preserve"> </v>
      </c>
      <c r="V230" s="72">
        <f t="shared" si="117"/>
        <v>65000000000220</v>
      </c>
      <c r="W230" s="60">
        <f t="shared" si="118"/>
        <v>65000000000186</v>
      </c>
      <c r="X230" s="60">
        <f t="shared" si="119"/>
        <v>65000000000210</v>
      </c>
      <c r="Y230" s="60">
        <f t="shared" si="120"/>
        <v>65000000000147</v>
      </c>
      <c r="Z230" s="60">
        <f t="shared" si="121"/>
        <v>65000000000219</v>
      </c>
      <c r="AA230" s="60">
        <f t="shared" si="104"/>
        <v>65000000000220</v>
      </c>
      <c r="AB230" s="60">
        <f t="shared" si="122"/>
        <v>65000000000000</v>
      </c>
      <c r="AD230" s="60">
        <f t="shared" si="125"/>
        <v>5</v>
      </c>
      <c r="AE230" s="60">
        <f t="shared" si="126"/>
        <v>3</v>
      </c>
      <c r="AF230" s="60">
        <f t="shared" si="127"/>
        <v>1</v>
      </c>
      <c r="AG230" s="60">
        <f t="shared" si="128"/>
        <v>26</v>
      </c>
      <c r="AH230" s="60">
        <f t="shared" si="129"/>
        <v>2</v>
      </c>
      <c r="AI230" s="60">
        <f t="shared" si="130"/>
        <v>1</v>
      </c>
      <c r="AK230" s="68" t="str">
        <f t="shared" si="105"/>
        <v>L5</v>
      </c>
      <c r="AM230" s="64" t="s">
        <v>1755</v>
      </c>
      <c r="AN230" s="64">
        <f t="shared" si="106"/>
        <v>65000000000186</v>
      </c>
      <c r="AO230" s="64">
        <f t="shared" si="107"/>
        <v>65000000000210</v>
      </c>
      <c r="AP230" s="64">
        <f t="shared" si="108"/>
        <v>65000000000210</v>
      </c>
      <c r="AQ230" s="64">
        <f t="shared" si="109"/>
        <v>65000000000219</v>
      </c>
      <c r="AS230" s="64">
        <f t="shared" si="110"/>
        <v>65000000000219</v>
      </c>
      <c r="AU230" s="59" t="str">
        <f t="shared" si="131"/>
        <v>PERFORM * FROM "SchData-OLTP-Accounting"."Func_TblChartOfAccount_SET"(varSystemLoginSession, null, null, null, varInstitutionBranchID, 62000000000001::bigint,'5-2005.01', 'Overtime Indirect (IDR)', 62000000000001::bigint, '2016-01-01 00:00:00'::timestamp, null::timestamp, 65000000000219::bigint, 66000000000001::bigint);</v>
      </c>
      <c r="AV230" s="65">
        <f t="shared" si="132"/>
        <v>65000000000220</v>
      </c>
      <c r="AW230" s="65">
        <f t="shared" si="133"/>
        <v>65000000000219</v>
      </c>
      <c r="AY230" s="65">
        <f t="shared" si="123"/>
        <v>65000000000219</v>
      </c>
      <c r="BA230" s="78">
        <f t="shared" si="134"/>
        <v>65000000000220</v>
      </c>
      <c r="BB230" s="81" t="str">
        <f t="shared" si="124"/>
        <v>PERFORM * FROM "SchData-OLTP-Accounting"."Func_TblChartOfAccount_SET"(varSystemLoginSession, null, null, null, null, null, varInstitutionBranchID, 62000000000001::bigint,'5-2005.01', 'Overtime Indirect (IDR)', 62000000000001::bigint, '2016-01-01 00:00:00'::timestamp, null::timestamp, 65000000000219::bigint, 66000000000001::bigint, FALSE::boolean);</v>
      </c>
    </row>
    <row r="231" spans="2:54" x14ac:dyDescent="0.2">
      <c r="B231" s="43"/>
      <c r="C231" s="42"/>
      <c r="D231" s="43"/>
      <c r="E231" s="42"/>
      <c r="F231" s="43"/>
      <c r="G231" s="42"/>
      <c r="H231" s="51" t="s">
        <v>915</v>
      </c>
      <c r="I231" s="18" t="s">
        <v>381</v>
      </c>
      <c r="J231" s="51"/>
      <c r="K231" s="18"/>
      <c r="L231" s="51"/>
      <c r="M231" s="18"/>
      <c r="O231" s="58" t="str">
        <f t="shared" si="111"/>
        <v>5-0000</v>
      </c>
      <c r="P231" s="58" t="str">
        <f t="shared" si="112"/>
        <v>5-2000</v>
      </c>
      <c r="Q231" s="58" t="str">
        <f t="shared" si="113"/>
        <v>2-1200</v>
      </c>
      <c r="R231" s="58" t="str">
        <f t="shared" si="114"/>
        <v>5-2006</v>
      </c>
      <c r="S231" s="58" t="str">
        <f t="shared" si="115"/>
        <v>5-2005.01</v>
      </c>
      <c r="T231" s="58" t="str">
        <f t="shared" si="116"/>
        <v xml:space="preserve"> </v>
      </c>
      <c r="V231" s="72">
        <f t="shared" si="117"/>
        <v>65000000000221</v>
      </c>
      <c r="W231" s="60">
        <f t="shared" si="118"/>
        <v>65000000000186</v>
      </c>
      <c r="X231" s="60">
        <f t="shared" si="119"/>
        <v>65000000000210</v>
      </c>
      <c r="Y231" s="60">
        <f t="shared" si="120"/>
        <v>65000000000147</v>
      </c>
      <c r="Z231" s="60">
        <f t="shared" si="121"/>
        <v>65000000000221</v>
      </c>
      <c r="AA231" s="60">
        <f t="shared" si="104"/>
        <v>65000000000220</v>
      </c>
      <c r="AB231" s="60">
        <f t="shared" si="122"/>
        <v>65000000000000</v>
      </c>
      <c r="AD231" s="60">
        <f t="shared" si="125"/>
        <v>5</v>
      </c>
      <c r="AE231" s="60">
        <f t="shared" si="126"/>
        <v>3</v>
      </c>
      <c r="AF231" s="60">
        <f t="shared" si="127"/>
        <v>1</v>
      </c>
      <c r="AG231" s="60">
        <f t="shared" si="128"/>
        <v>27</v>
      </c>
      <c r="AH231" s="60">
        <f t="shared" si="129"/>
        <v>1</v>
      </c>
      <c r="AI231" s="60">
        <f t="shared" si="130"/>
        <v>1</v>
      </c>
      <c r="AK231" s="68" t="str">
        <f t="shared" si="105"/>
        <v>L4</v>
      </c>
      <c r="AM231" s="64" t="s">
        <v>1755</v>
      </c>
      <c r="AN231" s="64">
        <f t="shared" si="106"/>
        <v>65000000000186</v>
      </c>
      <c r="AO231" s="64">
        <f t="shared" si="107"/>
        <v>65000000000210</v>
      </c>
      <c r="AP231" s="64">
        <f t="shared" si="108"/>
        <v>65000000000210</v>
      </c>
      <c r="AQ231" s="64">
        <f t="shared" si="109"/>
        <v>65000000000219</v>
      </c>
      <c r="AS231" s="64">
        <f t="shared" si="110"/>
        <v>65000000000210</v>
      </c>
      <c r="AU231" s="59" t="str">
        <f t="shared" si="131"/>
        <v>PERFORM * FROM "SchData-OLTP-Accounting"."Func_TblChartOfAccount_SET"(varSystemLoginSession, null, null, null, varInstitutionBranchID, 62000000000001::bigint,'5-2006', 'Jamsostek Direct', 62000000000001::bigint, '2016-01-01 00:00:00'::timestamp, null::timestamp, 65000000000210::bigint, 66000000000001::bigint);</v>
      </c>
      <c r="AV231" s="65">
        <f t="shared" si="132"/>
        <v>65000000000221</v>
      </c>
      <c r="AW231" s="65">
        <f t="shared" si="133"/>
        <v>65000000000210</v>
      </c>
      <c r="AY231" s="65">
        <f t="shared" si="123"/>
        <v>65000000000147</v>
      </c>
      <c r="BA231" s="78">
        <f t="shared" si="134"/>
        <v>65000000000221</v>
      </c>
      <c r="BB231" s="81" t="str">
        <f t="shared" si="124"/>
        <v>PERFORM * FROM "SchData-OLTP-Accounting"."Func_TblChartOfAccount_SET"(varSystemLoginSession, null, null, null, null, null, varInstitutionBranchID, 62000000000001::bigint,'5-2006', 'Jamsostek Direct', 62000000000001::bigint, '2016-01-01 00:00:00'::timestamp, null::timestamp, 65000000000210::bigint, 66000000000001::bigint, FALSE::boolean);</v>
      </c>
    </row>
    <row r="232" spans="2:54" x14ac:dyDescent="0.2">
      <c r="B232" s="43"/>
      <c r="C232" s="42"/>
      <c r="D232" s="43"/>
      <c r="E232" s="42"/>
      <c r="F232" s="43"/>
      <c r="G232" s="42"/>
      <c r="H232" s="51"/>
      <c r="I232" s="18"/>
      <c r="J232" s="51" t="s">
        <v>1460</v>
      </c>
      <c r="K232" s="18" t="s">
        <v>1295</v>
      </c>
      <c r="L232" s="51"/>
      <c r="M232" s="18"/>
      <c r="O232" s="58" t="str">
        <f t="shared" si="111"/>
        <v>5-0000</v>
      </c>
      <c r="P232" s="58" t="str">
        <f t="shared" si="112"/>
        <v>5-2000</v>
      </c>
      <c r="Q232" s="58" t="str">
        <f t="shared" si="113"/>
        <v>2-1200</v>
      </c>
      <c r="R232" s="58" t="str">
        <f t="shared" si="114"/>
        <v>5-2006</v>
      </c>
      <c r="S232" s="58" t="str">
        <f t="shared" si="115"/>
        <v>5-2006.01</v>
      </c>
      <c r="T232" s="58" t="str">
        <f t="shared" si="116"/>
        <v xml:space="preserve"> </v>
      </c>
      <c r="V232" s="72">
        <f t="shared" si="117"/>
        <v>65000000000222</v>
      </c>
      <c r="W232" s="60">
        <f t="shared" si="118"/>
        <v>65000000000186</v>
      </c>
      <c r="X232" s="60">
        <f t="shared" si="119"/>
        <v>65000000000210</v>
      </c>
      <c r="Y232" s="60">
        <f t="shared" si="120"/>
        <v>65000000000147</v>
      </c>
      <c r="Z232" s="60">
        <f t="shared" si="121"/>
        <v>65000000000221</v>
      </c>
      <c r="AA232" s="60">
        <f t="shared" si="104"/>
        <v>65000000000222</v>
      </c>
      <c r="AB232" s="60">
        <f t="shared" si="122"/>
        <v>65000000000000</v>
      </c>
      <c r="AD232" s="60">
        <f t="shared" si="125"/>
        <v>5</v>
      </c>
      <c r="AE232" s="60">
        <f t="shared" si="126"/>
        <v>3</v>
      </c>
      <c r="AF232" s="60">
        <f t="shared" si="127"/>
        <v>1</v>
      </c>
      <c r="AG232" s="60">
        <f t="shared" si="128"/>
        <v>27</v>
      </c>
      <c r="AH232" s="60">
        <f t="shared" si="129"/>
        <v>2</v>
      </c>
      <c r="AI232" s="60">
        <f t="shared" si="130"/>
        <v>1</v>
      </c>
      <c r="AK232" s="68" t="str">
        <f t="shared" si="105"/>
        <v>L5</v>
      </c>
      <c r="AM232" s="64" t="s">
        <v>1755</v>
      </c>
      <c r="AN232" s="64">
        <f t="shared" si="106"/>
        <v>65000000000186</v>
      </c>
      <c r="AO232" s="64">
        <f t="shared" si="107"/>
        <v>65000000000210</v>
      </c>
      <c r="AP232" s="64">
        <f t="shared" si="108"/>
        <v>65000000000210</v>
      </c>
      <c r="AQ232" s="64">
        <f t="shared" si="109"/>
        <v>65000000000221</v>
      </c>
      <c r="AS232" s="64">
        <f t="shared" si="110"/>
        <v>65000000000221</v>
      </c>
      <c r="AU232" s="59" t="str">
        <f t="shared" si="131"/>
        <v>PERFORM * FROM "SchData-OLTP-Accounting"."Func_TblChartOfAccount_SET"(varSystemLoginSession, null, null, null, varInstitutionBranchID, 62000000000001::bigint,'5-2006.01', 'Jamsostek Direct (IDR)', 62000000000001::bigint, '2016-01-01 00:00:00'::timestamp, null::timestamp, 65000000000221::bigint, 66000000000001::bigint);</v>
      </c>
      <c r="AV232" s="65">
        <f t="shared" si="132"/>
        <v>65000000000222</v>
      </c>
      <c r="AW232" s="65">
        <f t="shared" si="133"/>
        <v>65000000000221</v>
      </c>
      <c r="AY232" s="65">
        <f t="shared" si="123"/>
        <v>65000000000221</v>
      </c>
      <c r="BA232" s="78">
        <f t="shared" si="134"/>
        <v>65000000000222</v>
      </c>
      <c r="BB232" s="81" t="str">
        <f t="shared" si="124"/>
        <v>PERFORM * FROM "SchData-OLTP-Accounting"."Func_TblChartOfAccount_SET"(varSystemLoginSession, null, null, null, null, null, varInstitutionBranchID, 62000000000001::bigint,'5-2006.01', 'Jamsostek Direct (IDR)', 62000000000001::bigint, '2016-01-01 00:00:00'::timestamp, null::timestamp, 65000000000221::bigint, 66000000000001::bigint, FALSE::boolean);</v>
      </c>
    </row>
    <row r="233" spans="2:54" x14ac:dyDescent="0.2">
      <c r="B233" s="43"/>
      <c r="C233" s="42"/>
      <c r="D233" s="43"/>
      <c r="E233" s="42"/>
      <c r="F233" s="43"/>
      <c r="G233" s="42"/>
      <c r="H233" s="51" t="s">
        <v>916</v>
      </c>
      <c r="I233" s="18" t="s">
        <v>383</v>
      </c>
      <c r="J233" s="51"/>
      <c r="K233" s="18"/>
      <c r="L233" s="51"/>
      <c r="M233" s="18"/>
      <c r="O233" s="58" t="str">
        <f t="shared" si="111"/>
        <v>5-0000</v>
      </c>
      <c r="P233" s="58" t="str">
        <f t="shared" si="112"/>
        <v>5-2000</v>
      </c>
      <c r="Q233" s="58" t="str">
        <f t="shared" si="113"/>
        <v>2-1200</v>
      </c>
      <c r="R233" s="58" t="str">
        <f t="shared" si="114"/>
        <v>5-2007</v>
      </c>
      <c r="S233" s="58" t="str">
        <f t="shared" si="115"/>
        <v>5-2006.01</v>
      </c>
      <c r="T233" s="58" t="str">
        <f t="shared" si="116"/>
        <v xml:space="preserve"> </v>
      </c>
      <c r="V233" s="72">
        <f t="shared" si="117"/>
        <v>65000000000223</v>
      </c>
      <c r="W233" s="60">
        <f t="shared" si="118"/>
        <v>65000000000186</v>
      </c>
      <c r="X233" s="60">
        <f t="shared" si="119"/>
        <v>65000000000210</v>
      </c>
      <c r="Y233" s="60">
        <f t="shared" si="120"/>
        <v>65000000000147</v>
      </c>
      <c r="Z233" s="60">
        <f t="shared" si="121"/>
        <v>65000000000223</v>
      </c>
      <c r="AA233" s="60">
        <f t="shared" si="104"/>
        <v>65000000000222</v>
      </c>
      <c r="AB233" s="60">
        <f t="shared" si="122"/>
        <v>65000000000000</v>
      </c>
      <c r="AD233" s="60">
        <f t="shared" si="125"/>
        <v>5</v>
      </c>
      <c r="AE233" s="60">
        <f t="shared" si="126"/>
        <v>3</v>
      </c>
      <c r="AF233" s="60">
        <f t="shared" si="127"/>
        <v>1</v>
      </c>
      <c r="AG233" s="60">
        <f t="shared" si="128"/>
        <v>28</v>
      </c>
      <c r="AH233" s="60">
        <f t="shared" si="129"/>
        <v>1</v>
      </c>
      <c r="AI233" s="60">
        <f t="shared" si="130"/>
        <v>1</v>
      </c>
      <c r="AK233" s="68" t="str">
        <f t="shared" si="105"/>
        <v>L4</v>
      </c>
      <c r="AM233" s="64" t="s">
        <v>1755</v>
      </c>
      <c r="AN233" s="64">
        <f t="shared" si="106"/>
        <v>65000000000186</v>
      </c>
      <c r="AO233" s="64">
        <f t="shared" si="107"/>
        <v>65000000000210</v>
      </c>
      <c r="AP233" s="64">
        <f t="shared" si="108"/>
        <v>65000000000210</v>
      </c>
      <c r="AQ233" s="64">
        <f t="shared" si="109"/>
        <v>65000000000221</v>
      </c>
      <c r="AS233" s="64">
        <f t="shared" si="110"/>
        <v>65000000000210</v>
      </c>
      <c r="AU233" s="59" t="str">
        <f t="shared" si="131"/>
        <v>PERFORM * FROM "SchData-OLTP-Accounting"."Func_TblChartOfAccount_SET"(varSystemLoginSession, null, null, null, varInstitutionBranchID, 62000000000001::bigint,'5-2007', 'Jamsostek Indirect', 62000000000001::bigint, '2016-01-01 00:00:00'::timestamp, null::timestamp, 65000000000210::bigint, 66000000000001::bigint);</v>
      </c>
      <c r="AV233" s="65">
        <f t="shared" si="132"/>
        <v>65000000000223</v>
      </c>
      <c r="AW233" s="65">
        <f t="shared" si="133"/>
        <v>65000000000210</v>
      </c>
      <c r="AY233" s="65">
        <f t="shared" si="123"/>
        <v>65000000000147</v>
      </c>
      <c r="BA233" s="78">
        <f t="shared" si="134"/>
        <v>65000000000223</v>
      </c>
      <c r="BB233" s="81" t="str">
        <f t="shared" si="124"/>
        <v>PERFORM * FROM "SchData-OLTP-Accounting"."Func_TblChartOfAccount_SET"(varSystemLoginSession, null, null, null, null, null, varInstitutionBranchID, 62000000000001::bigint,'5-2007', 'Jamsostek Indirect', 62000000000001::bigint, '2016-01-01 00:00:00'::timestamp, null::timestamp, 65000000000210::bigint, 66000000000001::bigint, FALSE::boolean);</v>
      </c>
    </row>
    <row r="234" spans="2:54" x14ac:dyDescent="0.2">
      <c r="B234" s="43"/>
      <c r="C234" s="42"/>
      <c r="D234" s="43"/>
      <c r="E234" s="42"/>
      <c r="F234" s="43"/>
      <c r="G234" s="42"/>
      <c r="H234" s="51"/>
      <c r="I234" s="18"/>
      <c r="J234" s="51" t="s">
        <v>1461</v>
      </c>
      <c r="K234" s="18" t="s">
        <v>1296</v>
      </c>
      <c r="L234" s="51"/>
      <c r="M234" s="18"/>
      <c r="O234" s="58" t="str">
        <f t="shared" si="111"/>
        <v>5-0000</v>
      </c>
      <c r="P234" s="58" t="str">
        <f t="shared" si="112"/>
        <v>5-2000</v>
      </c>
      <c r="Q234" s="58" t="str">
        <f t="shared" si="113"/>
        <v>2-1200</v>
      </c>
      <c r="R234" s="58" t="str">
        <f t="shared" si="114"/>
        <v>5-2007</v>
      </c>
      <c r="S234" s="58" t="str">
        <f t="shared" si="115"/>
        <v>5-2007.01</v>
      </c>
      <c r="T234" s="58" t="str">
        <f t="shared" si="116"/>
        <v xml:space="preserve"> </v>
      </c>
      <c r="V234" s="72">
        <f t="shared" si="117"/>
        <v>65000000000224</v>
      </c>
      <c r="W234" s="60">
        <f t="shared" si="118"/>
        <v>65000000000186</v>
      </c>
      <c r="X234" s="60">
        <f t="shared" si="119"/>
        <v>65000000000210</v>
      </c>
      <c r="Y234" s="60">
        <f t="shared" si="120"/>
        <v>65000000000147</v>
      </c>
      <c r="Z234" s="60">
        <f t="shared" si="121"/>
        <v>65000000000223</v>
      </c>
      <c r="AA234" s="60">
        <f t="shared" si="104"/>
        <v>65000000000224</v>
      </c>
      <c r="AB234" s="60">
        <f t="shared" si="122"/>
        <v>65000000000000</v>
      </c>
      <c r="AD234" s="60">
        <f t="shared" si="125"/>
        <v>5</v>
      </c>
      <c r="AE234" s="60">
        <f t="shared" si="126"/>
        <v>3</v>
      </c>
      <c r="AF234" s="60">
        <f t="shared" si="127"/>
        <v>1</v>
      </c>
      <c r="AG234" s="60">
        <f t="shared" si="128"/>
        <v>28</v>
      </c>
      <c r="AH234" s="60">
        <f t="shared" si="129"/>
        <v>2</v>
      </c>
      <c r="AI234" s="60">
        <f t="shared" si="130"/>
        <v>1</v>
      </c>
      <c r="AK234" s="68" t="str">
        <f t="shared" si="105"/>
        <v>L5</v>
      </c>
      <c r="AM234" s="64" t="s">
        <v>1755</v>
      </c>
      <c r="AN234" s="64">
        <f t="shared" si="106"/>
        <v>65000000000186</v>
      </c>
      <c r="AO234" s="64">
        <f t="shared" si="107"/>
        <v>65000000000210</v>
      </c>
      <c r="AP234" s="64">
        <f t="shared" si="108"/>
        <v>65000000000210</v>
      </c>
      <c r="AQ234" s="64">
        <f t="shared" si="109"/>
        <v>65000000000223</v>
      </c>
      <c r="AS234" s="64">
        <f t="shared" si="110"/>
        <v>65000000000223</v>
      </c>
      <c r="AU234" s="59" t="str">
        <f t="shared" si="131"/>
        <v>PERFORM * FROM "SchData-OLTP-Accounting"."Func_TblChartOfAccount_SET"(varSystemLoginSession, null, null, null, varInstitutionBranchID, 62000000000001::bigint,'5-2007.01', 'Jamsostek Indirect (IDR)', 62000000000001::bigint, '2016-01-01 00:00:00'::timestamp, null::timestamp, 65000000000223::bigint, 66000000000001::bigint);</v>
      </c>
      <c r="AV234" s="65">
        <f t="shared" si="132"/>
        <v>65000000000224</v>
      </c>
      <c r="AW234" s="65">
        <f t="shared" si="133"/>
        <v>65000000000223</v>
      </c>
      <c r="AY234" s="65">
        <f t="shared" si="123"/>
        <v>65000000000223</v>
      </c>
      <c r="BA234" s="78">
        <f t="shared" si="134"/>
        <v>65000000000224</v>
      </c>
      <c r="BB234" s="81" t="str">
        <f t="shared" si="124"/>
        <v>PERFORM * FROM "SchData-OLTP-Accounting"."Func_TblChartOfAccount_SET"(varSystemLoginSession, null, null, null, null, null, varInstitutionBranchID, 62000000000001::bigint,'5-2007.01', 'Jamsostek Indirect (IDR)', 62000000000001::bigint, '2016-01-01 00:00:00'::timestamp, null::timestamp, 65000000000223::bigint, 66000000000001::bigint, FALSE::boolean);</v>
      </c>
    </row>
    <row r="235" spans="2:54" x14ac:dyDescent="0.2">
      <c r="B235" s="43"/>
      <c r="C235" s="42"/>
      <c r="D235" s="43"/>
      <c r="E235" s="42"/>
      <c r="F235" s="43"/>
      <c r="G235" s="42"/>
      <c r="H235" s="51" t="s">
        <v>917</v>
      </c>
      <c r="I235" s="18" t="s">
        <v>385</v>
      </c>
      <c r="J235" s="51"/>
      <c r="K235" s="18"/>
      <c r="L235" s="51"/>
      <c r="M235" s="18"/>
      <c r="O235" s="58" t="str">
        <f t="shared" si="111"/>
        <v>5-0000</v>
      </c>
      <c r="P235" s="58" t="str">
        <f t="shared" si="112"/>
        <v>5-2000</v>
      </c>
      <c r="Q235" s="58" t="str">
        <f t="shared" si="113"/>
        <v>2-1200</v>
      </c>
      <c r="R235" s="58" t="str">
        <f t="shared" si="114"/>
        <v>5-2008</v>
      </c>
      <c r="S235" s="58" t="str">
        <f t="shared" si="115"/>
        <v>5-2007.01</v>
      </c>
      <c r="T235" s="58" t="str">
        <f t="shared" si="116"/>
        <v xml:space="preserve"> </v>
      </c>
      <c r="V235" s="72">
        <f t="shared" si="117"/>
        <v>65000000000225</v>
      </c>
      <c r="W235" s="60">
        <f t="shared" si="118"/>
        <v>65000000000186</v>
      </c>
      <c r="X235" s="60">
        <f t="shared" si="119"/>
        <v>65000000000210</v>
      </c>
      <c r="Y235" s="60">
        <f t="shared" si="120"/>
        <v>65000000000147</v>
      </c>
      <c r="Z235" s="60">
        <f t="shared" si="121"/>
        <v>65000000000225</v>
      </c>
      <c r="AA235" s="60">
        <f t="shared" si="104"/>
        <v>65000000000224</v>
      </c>
      <c r="AB235" s="60">
        <f t="shared" si="122"/>
        <v>65000000000000</v>
      </c>
      <c r="AD235" s="60">
        <f t="shared" si="125"/>
        <v>5</v>
      </c>
      <c r="AE235" s="60">
        <f t="shared" si="126"/>
        <v>3</v>
      </c>
      <c r="AF235" s="60">
        <f t="shared" si="127"/>
        <v>1</v>
      </c>
      <c r="AG235" s="60">
        <f t="shared" si="128"/>
        <v>29</v>
      </c>
      <c r="AH235" s="60">
        <f t="shared" si="129"/>
        <v>1</v>
      </c>
      <c r="AI235" s="60">
        <f t="shared" si="130"/>
        <v>1</v>
      </c>
      <c r="AK235" s="68" t="str">
        <f t="shared" si="105"/>
        <v>L4</v>
      </c>
      <c r="AM235" s="64" t="s">
        <v>1755</v>
      </c>
      <c r="AN235" s="64">
        <f t="shared" si="106"/>
        <v>65000000000186</v>
      </c>
      <c r="AO235" s="64">
        <f t="shared" si="107"/>
        <v>65000000000210</v>
      </c>
      <c r="AP235" s="64">
        <f t="shared" si="108"/>
        <v>65000000000210</v>
      </c>
      <c r="AQ235" s="64">
        <f t="shared" si="109"/>
        <v>65000000000223</v>
      </c>
      <c r="AS235" s="64">
        <f t="shared" si="110"/>
        <v>65000000000210</v>
      </c>
      <c r="AU235" s="59" t="str">
        <f t="shared" si="131"/>
        <v>PERFORM * FROM "SchData-OLTP-Accounting"."Func_TblChartOfAccount_SET"(varSystemLoginSession, null, null, null, varInstitutionBranchID, 62000000000001::bigint,'5-2008', 'Bonus,THR-Direct', 62000000000001::bigint, '2016-01-01 00:00:00'::timestamp, null::timestamp, 65000000000210::bigint, 66000000000001::bigint);</v>
      </c>
      <c r="AV235" s="65">
        <f t="shared" si="132"/>
        <v>65000000000225</v>
      </c>
      <c r="AW235" s="65">
        <f t="shared" si="133"/>
        <v>65000000000210</v>
      </c>
      <c r="AY235" s="65">
        <f t="shared" si="123"/>
        <v>65000000000147</v>
      </c>
      <c r="BA235" s="78">
        <f t="shared" si="134"/>
        <v>65000000000225</v>
      </c>
      <c r="BB235" s="81" t="str">
        <f t="shared" si="124"/>
        <v>PERFORM * FROM "SchData-OLTP-Accounting"."Func_TblChartOfAccount_SET"(varSystemLoginSession, null, null, null, null, null, varInstitutionBranchID, 62000000000001::bigint,'5-2008', 'Bonus,THR-Direct', 62000000000001::bigint, '2016-01-01 00:00:00'::timestamp, null::timestamp, 65000000000210::bigint, 66000000000001::bigint, FALSE::boolean);</v>
      </c>
    </row>
    <row r="236" spans="2:54" x14ac:dyDescent="0.2">
      <c r="B236" s="43"/>
      <c r="C236" s="42"/>
      <c r="D236" s="43"/>
      <c r="E236" s="42"/>
      <c r="F236" s="43"/>
      <c r="G236" s="42"/>
      <c r="H236" s="51"/>
      <c r="I236" s="18"/>
      <c r="J236" s="51" t="s">
        <v>1462</v>
      </c>
      <c r="K236" s="18" t="s">
        <v>1297</v>
      </c>
      <c r="L236" s="51"/>
      <c r="M236" s="18"/>
      <c r="O236" s="58" t="str">
        <f t="shared" si="111"/>
        <v>5-0000</v>
      </c>
      <c r="P236" s="58" t="str">
        <f t="shared" si="112"/>
        <v>5-2000</v>
      </c>
      <c r="Q236" s="58" t="str">
        <f t="shared" si="113"/>
        <v>2-1200</v>
      </c>
      <c r="R236" s="58" t="str">
        <f t="shared" si="114"/>
        <v>5-2008</v>
      </c>
      <c r="S236" s="58" t="str">
        <f t="shared" si="115"/>
        <v>5-2008.01</v>
      </c>
      <c r="T236" s="58" t="str">
        <f t="shared" si="116"/>
        <v xml:space="preserve"> </v>
      </c>
      <c r="V236" s="72">
        <f t="shared" si="117"/>
        <v>65000000000226</v>
      </c>
      <c r="W236" s="60">
        <f t="shared" si="118"/>
        <v>65000000000186</v>
      </c>
      <c r="X236" s="60">
        <f t="shared" si="119"/>
        <v>65000000000210</v>
      </c>
      <c r="Y236" s="60">
        <f t="shared" si="120"/>
        <v>65000000000147</v>
      </c>
      <c r="Z236" s="60">
        <f t="shared" si="121"/>
        <v>65000000000225</v>
      </c>
      <c r="AA236" s="60">
        <f t="shared" si="104"/>
        <v>65000000000226</v>
      </c>
      <c r="AB236" s="60">
        <f t="shared" si="122"/>
        <v>65000000000000</v>
      </c>
      <c r="AD236" s="60">
        <f t="shared" si="125"/>
        <v>5</v>
      </c>
      <c r="AE236" s="60">
        <f t="shared" si="126"/>
        <v>3</v>
      </c>
      <c r="AF236" s="60">
        <f t="shared" si="127"/>
        <v>1</v>
      </c>
      <c r="AG236" s="60">
        <f t="shared" si="128"/>
        <v>29</v>
      </c>
      <c r="AH236" s="60">
        <f t="shared" si="129"/>
        <v>2</v>
      </c>
      <c r="AI236" s="60">
        <f t="shared" si="130"/>
        <v>1</v>
      </c>
      <c r="AK236" s="68" t="str">
        <f t="shared" si="105"/>
        <v>L5</v>
      </c>
      <c r="AM236" s="64" t="s">
        <v>1755</v>
      </c>
      <c r="AN236" s="64">
        <f t="shared" si="106"/>
        <v>65000000000186</v>
      </c>
      <c r="AO236" s="64">
        <f t="shared" si="107"/>
        <v>65000000000210</v>
      </c>
      <c r="AP236" s="64">
        <f t="shared" si="108"/>
        <v>65000000000210</v>
      </c>
      <c r="AQ236" s="64">
        <f t="shared" si="109"/>
        <v>65000000000225</v>
      </c>
      <c r="AS236" s="64">
        <f t="shared" si="110"/>
        <v>65000000000225</v>
      </c>
      <c r="AU236" s="59" t="str">
        <f t="shared" si="131"/>
        <v>PERFORM * FROM "SchData-OLTP-Accounting"."Func_TblChartOfAccount_SET"(varSystemLoginSession, null, null, null, varInstitutionBranchID, 62000000000001::bigint,'5-2008.01', 'Bonus,THR-Direct (IDR)', 62000000000001::bigint, '2016-01-01 00:00:00'::timestamp, null::timestamp, 65000000000225::bigint, 66000000000001::bigint);</v>
      </c>
      <c r="AV236" s="65">
        <f t="shared" si="132"/>
        <v>65000000000226</v>
      </c>
      <c r="AW236" s="65">
        <f t="shared" si="133"/>
        <v>65000000000225</v>
      </c>
      <c r="AY236" s="65">
        <f t="shared" si="123"/>
        <v>65000000000225</v>
      </c>
      <c r="BA236" s="78">
        <f t="shared" si="134"/>
        <v>65000000000226</v>
      </c>
      <c r="BB236" s="81" t="str">
        <f t="shared" si="124"/>
        <v>PERFORM * FROM "SchData-OLTP-Accounting"."Func_TblChartOfAccount_SET"(varSystemLoginSession, null, null, null, null, null, varInstitutionBranchID, 62000000000001::bigint,'5-2008.01', 'Bonus,THR-Direct (IDR)', 62000000000001::bigint, '2016-01-01 00:00:00'::timestamp, null::timestamp, 65000000000225::bigint, 66000000000001::bigint, FALSE::boolean);</v>
      </c>
    </row>
    <row r="237" spans="2:54" x14ac:dyDescent="0.2">
      <c r="B237" s="43"/>
      <c r="C237" s="42"/>
      <c r="D237" s="43"/>
      <c r="E237" s="42"/>
      <c r="F237" s="43"/>
      <c r="G237" s="42"/>
      <c r="H237" s="51" t="s">
        <v>918</v>
      </c>
      <c r="I237" s="18" t="s">
        <v>387</v>
      </c>
      <c r="J237" s="51"/>
      <c r="K237" s="18"/>
      <c r="L237" s="51"/>
      <c r="M237" s="18"/>
      <c r="O237" s="58" t="str">
        <f t="shared" si="111"/>
        <v>5-0000</v>
      </c>
      <c r="P237" s="58" t="str">
        <f t="shared" si="112"/>
        <v>5-2000</v>
      </c>
      <c r="Q237" s="58" t="str">
        <f t="shared" si="113"/>
        <v>2-1200</v>
      </c>
      <c r="R237" s="58" t="str">
        <f t="shared" si="114"/>
        <v>5-2009</v>
      </c>
      <c r="S237" s="58" t="str">
        <f t="shared" si="115"/>
        <v>5-2008.01</v>
      </c>
      <c r="T237" s="58" t="str">
        <f t="shared" si="116"/>
        <v xml:space="preserve"> </v>
      </c>
      <c r="V237" s="72">
        <f t="shared" si="117"/>
        <v>65000000000227</v>
      </c>
      <c r="W237" s="60">
        <f t="shared" si="118"/>
        <v>65000000000186</v>
      </c>
      <c r="X237" s="60">
        <f t="shared" si="119"/>
        <v>65000000000210</v>
      </c>
      <c r="Y237" s="60">
        <f t="shared" si="120"/>
        <v>65000000000147</v>
      </c>
      <c r="Z237" s="60">
        <f t="shared" si="121"/>
        <v>65000000000227</v>
      </c>
      <c r="AA237" s="60">
        <f t="shared" si="104"/>
        <v>65000000000226</v>
      </c>
      <c r="AB237" s="60">
        <f t="shared" si="122"/>
        <v>65000000000000</v>
      </c>
      <c r="AD237" s="60">
        <f t="shared" si="125"/>
        <v>5</v>
      </c>
      <c r="AE237" s="60">
        <f t="shared" si="126"/>
        <v>3</v>
      </c>
      <c r="AF237" s="60">
        <f t="shared" si="127"/>
        <v>1</v>
      </c>
      <c r="AG237" s="60">
        <f t="shared" si="128"/>
        <v>30</v>
      </c>
      <c r="AH237" s="60">
        <f t="shared" si="129"/>
        <v>1</v>
      </c>
      <c r="AI237" s="60">
        <f t="shared" si="130"/>
        <v>1</v>
      </c>
      <c r="AK237" s="68" t="str">
        <f t="shared" si="105"/>
        <v>L4</v>
      </c>
      <c r="AM237" s="64" t="s">
        <v>1755</v>
      </c>
      <c r="AN237" s="64">
        <f t="shared" si="106"/>
        <v>65000000000186</v>
      </c>
      <c r="AO237" s="64">
        <f t="shared" si="107"/>
        <v>65000000000210</v>
      </c>
      <c r="AP237" s="64">
        <f t="shared" si="108"/>
        <v>65000000000210</v>
      </c>
      <c r="AQ237" s="64">
        <f t="shared" si="109"/>
        <v>65000000000225</v>
      </c>
      <c r="AS237" s="64">
        <f t="shared" si="110"/>
        <v>65000000000210</v>
      </c>
      <c r="AU237" s="59" t="str">
        <f t="shared" si="131"/>
        <v>PERFORM * FROM "SchData-OLTP-Accounting"."Func_TblChartOfAccount_SET"(varSystemLoginSession, null, null, null, varInstitutionBranchID, 62000000000001::bigint,'5-2009', 'Performance Bonus-Direct', 62000000000001::bigint, '2016-01-01 00:00:00'::timestamp, null::timestamp, 65000000000210::bigint, 66000000000001::bigint);</v>
      </c>
      <c r="AV237" s="65">
        <f t="shared" si="132"/>
        <v>65000000000227</v>
      </c>
      <c r="AW237" s="65">
        <f t="shared" si="133"/>
        <v>65000000000210</v>
      </c>
      <c r="AY237" s="65">
        <f t="shared" si="123"/>
        <v>65000000000147</v>
      </c>
      <c r="BA237" s="78">
        <f t="shared" si="134"/>
        <v>65000000000227</v>
      </c>
      <c r="BB237" s="81" t="str">
        <f t="shared" si="124"/>
        <v>PERFORM * FROM "SchData-OLTP-Accounting"."Func_TblChartOfAccount_SET"(varSystemLoginSession, null, null, null, null, null, varInstitutionBranchID, 62000000000001::bigint,'5-2009', 'Performance Bonus-Direct', 62000000000001::bigint, '2016-01-01 00:00:00'::timestamp, null::timestamp, 65000000000210::bigint, 66000000000001::bigint, FALSE::boolean);</v>
      </c>
    </row>
    <row r="238" spans="2:54" x14ac:dyDescent="0.2">
      <c r="B238" s="43"/>
      <c r="C238" s="42"/>
      <c r="D238" s="43"/>
      <c r="E238" s="42"/>
      <c r="F238" s="43"/>
      <c r="G238" s="42"/>
      <c r="H238" s="51"/>
      <c r="I238" s="18"/>
      <c r="J238" s="51" t="s">
        <v>1463</v>
      </c>
      <c r="K238" s="18" t="s">
        <v>1298</v>
      </c>
      <c r="L238" s="51"/>
      <c r="M238" s="18"/>
      <c r="O238" s="58" t="str">
        <f t="shared" si="111"/>
        <v>5-0000</v>
      </c>
      <c r="P238" s="58" t="str">
        <f t="shared" si="112"/>
        <v>5-2000</v>
      </c>
      <c r="Q238" s="58" t="str">
        <f t="shared" si="113"/>
        <v>2-1200</v>
      </c>
      <c r="R238" s="58" t="str">
        <f t="shared" si="114"/>
        <v>5-2009</v>
      </c>
      <c r="S238" s="58" t="str">
        <f t="shared" si="115"/>
        <v>5-2009.01</v>
      </c>
      <c r="T238" s="58" t="str">
        <f t="shared" si="116"/>
        <v xml:space="preserve"> </v>
      </c>
      <c r="V238" s="72">
        <f t="shared" si="117"/>
        <v>65000000000228</v>
      </c>
      <c r="W238" s="60">
        <f t="shared" si="118"/>
        <v>65000000000186</v>
      </c>
      <c r="X238" s="60">
        <f t="shared" si="119"/>
        <v>65000000000210</v>
      </c>
      <c r="Y238" s="60">
        <f t="shared" si="120"/>
        <v>65000000000147</v>
      </c>
      <c r="Z238" s="60">
        <f t="shared" si="121"/>
        <v>65000000000227</v>
      </c>
      <c r="AA238" s="60">
        <f t="shared" si="104"/>
        <v>65000000000228</v>
      </c>
      <c r="AB238" s="60">
        <f t="shared" si="122"/>
        <v>65000000000000</v>
      </c>
      <c r="AD238" s="60">
        <f t="shared" si="125"/>
        <v>5</v>
      </c>
      <c r="AE238" s="60">
        <f t="shared" si="126"/>
        <v>3</v>
      </c>
      <c r="AF238" s="60">
        <f t="shared" si="127"/>
        <v>1</v>
      </c>
      <c r="AG238" s="60">
        <f t="shared" si="128"/>
        <v>30</v>
      </c>
      <c r="AH238" s="60">
        <f t="shared" si="129"/>
        <v>2</v>
      </c>
      <c r="AI238" s="60">
        <f t="shared" si="130"/>
        <v>1</v>
      </c>
      <c r="AK238" s="68" t="str">
        <f t="shared" si="105"/>
        <v>L5</v>
      </c>
      <c r="AM238" s="64" t="s">
        <v>1755</v>
      </c>
      <c r="AN238" s="64">
        <f t="shared" si="106"/>
        <v>65000000000186</v>
      </c>
      <c r="AO238" s="64">
        <f t="shared" si="107"/>
        <v>65000000000210</v>
      </c>
      <c r="AP238" s="64">
        <f t="shared" si="108"/>
        <v>65000000000210</v>
      </c>
      <c r="AQ238" s="64">
        <f t="shared" si="109"/>
        <v>65000000000227</v>
      </c>
      <c r="AS238" s="64">
        <f t="shared" si="110"/>
        <v>65000000000227</v>
      </c>
      <c r="AU238" s="59" t="str">
        <f t="shared" si="131"/>
        <v>PERFORM * FROM "SchData-OLTP-Accounting"."Func_TblChartOfAccount_SET"(varSystemLoginSession, null, null, null, varInstitutionBranchID, 62000000000001::bigint,'5-2009.01', 'Performance Bonus-Direct (IDR)', 62000000000001::bigint, '2016-01-01 00:00:00'::timestamp, null::timestamp, 65000000000227::bigint, 66000000000001::bigint);</v>
      </c>
      <c r="AV238" s="65">
        <f t="shared" si="132"/>
        <v>65000000000228</v>
      </c>
      <c r="AW238" s="65">
        <f t="shared" si="133"/>
        <v>65000000000227</v>
      </c>
      <c r="AY238" s="65">
        <f t="shared" si="123"/>
        <v>65000000000227</v>
      </c>
      <c r="BA238" s="78">
        <f t="shared" si="134"/>
        <v>65000000000228</v>
      </c>
      <c r="BB238" s="81" t="str">
        <f t="shared" si="124"/>
        <v>PERFORM * FROM "SchData-OLTP-Accounting"."Func_TblChartOfAccount_SET"(varSystemLoginSession, null, null, null, null, null, varInstitutionBranchID, 62000000000001::bigint,'5-2009.01', 'Performance Bonus-Direct (IDR)', 62000000000001::bigint, '2016-01-01 00:00:00'::timestamp, null::timestamp, 65000000000227::bigint, 66000000000001::bigint, FALSE::boolean);</v>
      </c>
    </row>
    <row r="239" spans="2:54" x14ac:dyDescent="0.2">
      <c r="B239" s="43"/>
      <c r="C239" s="42"/>
      <c r="D239" s="43"/>
      <c r="E239" s="42"/>
      <c r="F239" s="43"/>
      <c r="G239" s="42"/>
      <c r="H239" s="51" t="s">
        <v>372</v>
      </c>
      <c r="I239" s="18" t="s">
        <v>389</v>
      </c>
      <c r="J239" s="51"/>
      <c r="K239" s="18"/>
      <c r="L239" s="51"/>
      <c r="M239" s="18"/>
      <c r="O239" s="58" t="str">
        <f t="shared" si="111"/>
        <v>5-0000</v>
      </c>
      <c r="P239" s="58" t="str">
        <f t="shared" si="112"/>
        <v>5-2000</v>
      </c>
      <c r="Q239" s="58" t="str">
        <f t="shared" si="113"/>
        <v>2-1200</v>
      </c>
      <c r="R239" s="58" t="str">
        <f t="shared" si="114"/>
        <v>5-2010</v>
      </c>
      <c r="S239" s="58" t="str">
        <f t="shared" si="115"/>
        <v>5-2009.01</v>
      </c>
      <c r="T239" s="58" t="str">
        <f t="shared" si="116"/>
        <v xml:space="preserve"> </v>
      </c>
      <c r="V239" s="72">
        <f t="shared" si="117"/>
        <v>65000000000229</v>
      </c>
      <c r="W239" s="60">
        <f t="shared" si="118"/>
        <v>65000000000186</v>
      </c>
      <c r="X239" s="60">
        <f t="shared" si="119"/>
        <v>65000000000210</v>
      </c>
      <c r="Y239" s="60">
        <f t="shared" si="120"/>
        <v>65000000000147</v>
      </c>
      <c r="Z239" s="60">
        <f t="shared" si="121"/>
        <v>65000000000229</v>
      </c>
      <c r="AA239" s="60">
        <f t="shared" si="104"/>
        <v>65000000000228</v>
      </c>
      <c r="AB239" s="60">
        <f t="shared" si="122"/>
        <v>65000000000000</v>
      </c>
      <c r="AD239" s="60">
        <f t="shared" si="125"/>
        <v>5</v>
      </c>
      <c r="AE239" s="60">
        <f t="shared" si="126"/>
        <v>3</v>
      </c>
      <c r="AF239" s="60">
        <f t="shared" si="127"/>
        <v>1</v>
      </c>
      <c r="AG239" s="60">
        <f t="shared" si="128"/>
        <v>31</v>
      </c>
      <c r="AH239" s="60">
        <f t="shared" si="129"/>
        <v>1</v>
      </c>
      <c r="AI239" s="60">
        <f t="shared" si="130"/>
        <v>1</v>
      </c>
      <c r="AK239" s="68" t="str">
        <f t="shared" si="105"/>
        <v>L4</v>
      </c>
      <c r="AM239" s="64" t="s">
        <v>1755</v>
      </c>
      <c r="AN239" s="64">
        <f t="shared" si="106"/>
        <v>65000000000186</v>
      </c>
      <c r="AO239" s="64">
        <f t="shared" si="107"/>
        <v>65000000000210</v>
      </c>
      <c r="AP239" s="64">
        <f t="shared" si="108"/>
        <v>65000000000210</v>
      </c>
      <c r="AQ239" s="64">
        <f t="shared" si="109"/>
        <v>65000000000227</v>
      </c>
      <c r="AS239" s="64">
        <f t="shared" si="110"/>
        <v>65000000000210</v>
      </c>
      <c r="AU239" s="59" t="str">
        <f t="shared" si="131"/>
        <v>PERFORM * FROM "SchData-OLTP-Accounting"."Func_TblChartOfAccount_SET"(varSystemLoginSession, null, null, null, varInstitutionBranchID, 62000000000001::bigint,'5-2010', 'Bonus,THR-Indirect', 62000000000001::bigint, '2016-01-01 00:00:00'::timestamp, null::timestamp, 65000000000210::bigint, 66000000000001::bigint);</v>
      </c>
      <c r="AV239" s="65">
        <f t="shared" si="132"/>
        <v>65000000000229</v>
      </c>
      <c r="AW239" s="65">
        <f t="shared" si="133"/>
        <v>65000000000210</v>
      </c>
      <c r="AY239" s="65">
        <f t="shared" si="123"/>
        <v>65000000000147</v>
      </c>
      <c r="BA239" s="78">
        <f t="shared" si="134"/>
        <v>65000000000229</v>
      </c>
      <c r="BB239" s="81" t="str">
        <f t="shared" si="124"/>
        <v>PERFORM * FROM "SchData-OLTP-Accounting"."Func_TblChartOfAccount_SET"(varSystemLoginSession, null, null, null, null, null, varInstitutionBranchID, 62000000000001::bigint,'5-2010', 'Bonus,THR-Indirect', 62000000000001::bigint, '2016-01-01 00:00:00'::timestamp, null::timestamp, 65000000000210::bigint, 66000000000001::bigint, FALSE::boolean);</v>
      </c>
    </row>
    <row r="240" spans="2:54" x14ac:dyDescent="0.2">
      <c r="B240" s="43"/>
      <c r="C240" s="42"/>
      <c r="D240" s="43"/>
      <c r="E240" s="42"/>
      <c r="F240" s="43"/>
      <c r="G240" s="42"/>
      <c r="H240" s="51"/>
      <c r="I240" s="18"/>
      <c r="J240" s="51" t="s">
        <v>1464</v>
      </c>
      <c r="K240" s="18" t="s">
        <v>1299</v>
      </c>
      <c r="L240" s="51"/>
      <c r="M240" s="18"/>
      <c r="O240" s="58" t="str">
        <f t="shared" si="111"/>
        <v>5-0000</v>
      </c>
      <c r="P240" s="58" t="str">
        <f t="shared" si="112"/>
        <v>5-2000</v>
      </c>
      <c r="Q240" s="58" t="str">
        <f t="shared" si="113"/>
        <v>2-1200</v>
      </c>
      <c r="R240" s="58" t="str">
        <f t="shared" si="114"/>
        <v>5-2010</v>
      </c>
      <c r="S240" s="58" t="str">
        <f t="shared" si="115"/>
        <v>5-2010.01</v>
      </c>
      <c r="T240" s="58" t="str">
        <f t="shared" si="116"/>
        <v xml:space="preserve"> </v>
      </c>
      <c r="V240" s="72">
        <f t="shared" si="117"/>
        <v>65000000000230</v>
      </c>
      <c r="W240" s="60">
        <f t="shared" si="118"/>
        <v>65000000000186</v>
      </c>
      <c r="X240" s="60">
        <f t="shared" si="119"/>
        <v>65000000000210</v>
      </c>
      <c r="Y240" s="60">
        <f t="shared" si="120"/>
        <v>65000000000147</v>
      </c>
      <c r="Z240" s="60">
        <f t="shared" si="121"/>
        <v>65000000000229</v>
      </c>
      <c r="AA240" s="60">
        <f t="shared" si="104"/>
        <v>65000000000230</v>
      </c>
      <c r="AB240" s="60">
        <f t="shared" si="122"/>
        <v>65000000000000</v>
      </c>
      <c r="AD240" s="60">
        <f t="shared" si="125"/>
        <v>5</v>
      </c>
      <c r="AE240" s="60">
        <f t="shared" si="126"/>
        <v>3</v>
      </c>
      <c r="AF240" s="60">
        <f t="shared" si="127"/>
        <v>1</v>
      </c>
      <c r="AG240" s="60">
        <f t="shared" si="128"/>
        <v>31</v>
      </c>
      <c r="AH240" s="60">
        <f t="shared" si="129"/>
        <v>2</v>
      </c>
      <c r="AI240" s="60">
        <f t="shared" si="130"/>
        <v>1</v>
      </c>
      <c r="AK240" s="68" t="str">
        <f t="shared" si="105"/>
        <v>L5</v>
      </c>
      <c r="AM240" s="64" t="s">
        <v>1755</v>
      </c>
      <c r="AN240" s="64">
        <f t="shared" si="106"/>
        <v>65000000000186</v>
      </c>
      <c r="AO240" s="64">
        <f t="shared" si="107"/>
        <v>65000000000210</v>
      </c>
      <c r="AP240" s="64">
        <f t="shared" si="108"/>
        <v>65000000000210</v>
      </c>
      <c r="AQ240" s="64">
        <f t="shared" si="109"/>
        <v>65000000000229</v>
      </c>
      <c r="AS240" s="64">
        <f t="shared" si="110"/>
        <v>65000000000229</v>
      </c>
      <c r="AU240" s="59" t="str">
        <f t="shared" si="131"/>
        <v>PERFORM * FROM "SchData-OLTP-Accounting"."Func_TblChartOfAccount_SET"(varSystemLoginSession, null, null, null, varInstitutionBranchID, 62000000000001::bigint,'5-2010.01', 'Bonus,THR-Indirect (IDR)', 62000000000001::bigint, '2016-01-01 00:00:00'::timestamp, null::timestamp, 65000000000229::bigint, 66000000000001::bigint);</v>
      </c>
      <c r="AV240" s="65">
        <f t="shared" si="132"/>
        <v>65000000000230</v>
      </c>
      <c r="AW240" s="65">
        <f t="shared" si="133"/>
        <v>65000000000229</v>
      </c>
      <c r="AY240" s="65">
        <f t="shared" si="123"/>
        <v>65000000000229</v>
      </c>
      <c r="BA240" s="78">
        <f t="shared" si="134"/>
        <v>65000000000230</v>
      </c>
      <c r="BB240" s="81" t="str">
        <f t="shared" si="124"/>
        <v>PERFORM * FROM "SchData-OLTP-Accounting"."Func_TblChartOfAccount_SET"(varSystemLoginSession, null, null, null, null, null, varInstitutionBranchID, 62000000000001::bigint,'5-2010.01', 'Bonus,THR-Indirect (IDR)', 62000000000001::bigint, '2016-01-01 00:00:00'::timestamp, null::timestamp, 65000000000229::bigint, 66000000000001::bigint, FALSE::boolean);</v>
      </c>
    </row>
    <row r="241" spans="2:54" x14ac:dyDescent="0.2">
      <c r="B241" s="43"/>
      <c r="C241" s="42"/>
      <c r="D241" s="43"/>
      <c r="E241" s="42"/>
      <c r="F241" s="43"/>
      <c r="G241" s="42"/>
      <c r="H241" s="51" t="s">
        <v>919</v>
      </c>
      <c r="I241" s="18" t="s">
        <v>391</v>
      </c>
      <c r="J241" s="51"/>
      <c r="K241" s="18"/>
      <c r="L241" s="51"/>
      <c r="M241" s="18"/>
      <c r="O241" s="58" t="str">
        <f t="shared" si="111"/>
        <v>5-0000</v>
      </c>
      <c r="P241" s="58" t="str">
        <f t="shared" si="112"/>
        <v>5-2000</v>
      </c>
      <c r="Q241" s="58" t="str">
        <f t="shared" si="113"/>
        <v>2-1200</v>
      </c>
      <c r="R241" s="58" t="str">
        <f t="shared" si="114"/>
        <v>5-2011</v>
      </c>
      <c r="S241" s="58" t="str">
        <f t="shared" si="115"/>
        <v>5-2010.01</v>
      </c>
      <c r="T241" s="58" t="str">
        <f t="shared" si="116"/>
        <v xml:space="preserve"> </v>
      </c>
      <c r="V241" s="72">
        <f t="shared" si="117"/>
        <v>65000000000231</v>
      </c>
      <c r="W241" s="60">
        <f t="shared" si="118"/>
        <v>65000000000186</v>
      </c>
      <c r="X241" s="60">
        <f t="shared" si="119"/>
        <v>65000000000210</v>
      </c>
      <c r="Y241" s="60">
        <f t="shared" si="120"/>
        <v>65000000000147</v>
      </c>
      <c r="Z241" s="60">
        <f t="shared" si="121"/>
        <v>65000000000231</v>
      </c>
      <c r="AA241" s="60">
        <f t="shared" si="104"/>
        <v>65000000000230</v>
      </c>
      <c r="AB241" s="60">
        <f t="shared" si="122"/>
        <v>65000000000000</v>
      </c>
      <c r="AD241" s="60">
        <f t="shared" si="125"/>
        <v>5</v>
      </c>
      <c r="AE241" s="60">
        <f t="shared" si="126"/>
        <v>3</v>
      </c>
      <c r="AF241" s="60">
        <f t="shared" si="127"/>
        <v>1</v>
      </c>
      <c r="AG241" s="60">
        <f t="shared" si="128"/>
        <v>32</v>
      </c>
      <c r="AH241" s="60">
        <f t="shared" si="129"/>
        <v>1</v>
      </c>
      <c r="AI241" s="60">
        <f t="shared" si="130"/>
        <v>1</v>
      </c>
      <c r="AK241" s="68" t="str">
        <f t="shared" si="105"/>
        <v>L4</v>
      </c>
      <c r="AM241" s="64" t="s">
        <v>1755</v>
      </c>
      <c r="AN241" s="64">
        <f t="shared" si="106"/>
        <v>65000000000186</v>
      </c>
      <c r="AO241" s="64">
        <f t="shared" si="107"/>
        <v>65000000000210</v>
      </c>
      <c r="AP241" s="64">
        <f t="shared" si="108"/>
        <v>65000000000210</v>
      </c>
      <c r="AQ241" s="64">
        <f t="shared" si="109"/>
        <v>65000000000229</v>
      </c>
      <c r="AS241" s="64">
        <f t="shared" si="110"/>
        <v>65000000000210</v>
      </c>
      <c r="AU241" s="59" t="str">
        <f t="shared" si="131"/>
        <v>PERFORM * FROM "SchData-OLTP-Accounting"."Func_TblChartOfAccount_SET"(varSystemLoginSession, null, null, null, varInstitutionBranchID, 62000000000001::bigint,'5-2011', 'Performance Bonus-Indirect', 62000000000001::bigint, '2016-01-01 00:00:00'::timestamp, null::timestamp, 65000000000210::bigint, 66000000000001::bigint);</v>
      </c>
      <c r="AV241" s="65">
        <f t="shared" si="132"/>
        <v>65000000000231</v>
      </c>
      <c r="AW241" s="65">
        <f t="shared" si="133"/>
        <v>65000000000210</v>
      </c>
      <c r="AY241" s="65">
        <f t="shared" si="123"/>
        <v>65000000000147</v>
      </c>
      <c r="BA241" s="78">
        <f t="shared" si="134"/>
        <v>65000000000231</v>
      </c>
      <c r="BB241" s="81" t="str">
        <f t="shared" si="124"/>
        <v>PERFORM * FROM "SchData-OLTP-Accounting"."Func_TblChartOfAccount_SET"(varSystemLoginSession, null, null, null, null, null, varInstitutionBranchID, 62000000000001::bigint,'5-2011', 'Performance Bonus-Indirect', 62000000000001::bigint, '2016-01-01 00:00:00'::timestamp, null::timestamp, 65000000000210::bigint, 66000000000001::bigint, FALSE::boolean);</v>
      </c>
    </row>
    <row r="242" spans="2:54" x14ac:dyDescent="0.2">
      <c r="B242" s="43"/>
      <c r="C242" s="42"/>
      <c r="D242" s="43"/>
      <c r="E242" s="42"/>
      <c r="F242" s="43"/>
      <c r="G242" s="42"/>
      <c r="H242" s="51"/>
      <c r="I242" s="18"/>
      <c r="J242" s="51" t="s">
        <v>1465</v>
      </c>
      <c r="K242" s="18" t="s">
        <v>1300</v>
      </c>
      <c r="L242" s="51"/>
      <c r="M242" s="18"/>
      <c r="O242" s="58" t="str">
        <f t="shared" si="111"/>
        <v>5-0000</v>
      </c>
      <c r="P242" s="58" t="str">
        <f t="shared" si="112"/>
        <v>5-2000</v>
      </c>
      <c r="Q242" s="58" t="str">
        <f t="shared" si="113"/>
        <v>2-1200</v>
      </c>
      <c r="R242" s="58" t="str">
        <f t="shared" si="114"/>
        <v>5-2011</v>
      </c>
      <c r="S242" s="58" t="str">
        <f t="shared" si="115"/>
        <v>5-2011.01</v>
      </c>
      <c r="T242" s="58" t="str">
        <f t="shared" si="116"/>
        <v xml:space="preserve"> </v>
      </c>
      <c r="V242" s="72">
        <f t="shared" si="117"/>
        <v>65000000000232</v>
      </c>
      <c r="W242" s="60">
        <f t="shared" si="118"/>
        <v>65000000000186</v>
      </c>
      <c r="X242" s="60">
        <f t="shared" si="119"/>
        <v>65000000000210</v>
      </c>
      <c r="Y242" s="60">
        <f t="shared" si="120"/>
        <v>65000000000147</v>
      </c>
      <c r="Z242" s="60">
        <f t="shared" si="121"/>
        <v>65000000000231</v>
      </c>
      <c r="AA242" s="60">
        <f t="shared" si="104"/>
        <v>65000000000232</v>
      </c>
      <c r="AB242" s="60">
        <f t="shared" si="122"/>
        <v>65000000000000</v>
      </c>
      <c r="AD242" s="60">
        <f t="shared" si="125"/>
        <v>5</v>
      </c>
      <c r="AE242" s="60">
        <f t="shared" si="126"/>
        <v>3</v>
      </c>
      <c r="AF242" s="60">
        <f t="shared" si="127"/>
        <v>1</v>
      </c>
      <c r="AG242" s="60">
        <f t="shared" si="128"/>
        <v>32</v>
      </c>
      <c r="AH242" s="60">
        <f t="shared" si="129"/>
        <v>2</v>
      </c>
      <c r="AI242" s="60">
        <f t="shared" si="130"/>
        <v>1</v>
      </c>
      <c r="AK242" s="68" t="str">
        <f t="shared" si="105"/>
        <v>L5</v>
      </c>
      <c r="AM242" s="64" t="s">
        <v>1755</v>
      </c>
      <c r="AN242" s="64">
        <f t="shared" si="106"/>
        <v>65000000000186</v>
      </c>
      <c r="AO242" s="64">
        <f t="shared" si="107"/>
        <v>65000000000210</v>
      </c>
      <c r="AP242" s="64">
        <f t="shared" si="108"/>
        <v>65000000000210</v>
      </c>
      <c r="AQ242" s="64">
        <f t="shared" si="109"/>
        <v>65000000000231</v>
      </c>
      <c r="AS242" s="64">
        <f t="shared" si="110"/>
        <v>65000000000231</v>
      </c>
      <c r="AU242" s="59" t="str">
        <f t="shared" si="131"/>
        <v>PERFORM * FROM "SchData-OLTP-Accounting"."Func_TblChartOfAccount_SET"(varSystemLoginSession, null, null, null, varInstitutionBranchID, 62000000000001::bigint,'5-2011.01', 'Performance Bonus-Indirect (IDR)', 62000000000001::bigint, '2016-01-01 00:00:00'::timestamp, null::timestamp, 65000000000231::bigint, 66000000000001::bigint);</v>
      </c>
      <c r="AV242" s="65">
        <f t="shared" si="132"/>
        <v>65000000000232</v>
      </c>
      <c r="AW242" s="65">
        <f t="shared" si="133"/>
        <v>65000000000231</v>
      </c>
      <c r="AY242" s="65">
        <f t="shared" si="123"/>
        <v>65000000000231</v>
      </c>
      <c r="BA242" s="78">
        <f t="shared" si="134"/>
        <v>65000000000232</v>
      </c>
      <c r="BB242" s="81" t="str">
        <f t="shared" si="124"/>
        <v>PERFORM * FROM "SchData-OLTP-Accounting"."Func_TblChartOfAccount_SET"(varSystemLoginSession, null, null, null, null, null, varInstitutionBranchID, 62000000000001::bigint,'5-2011.01', 'Performance Bonus-Indirect (IDR)', 62000000000001::bigint, '2016-01-01 00:00:00'::timestamp, null::timestamp, 65000000000231::bigint, 66000000000001::bigint, FALSE::boolean);</v>
      </c>
    </row>
    <row r="243" spans="2:54" x14ac:dyDescent="0.2">
      <c r="B243" s="43"/>
      <c r="C243" s="42"/>
      <c r="D243" s="43"/>
      <c r="E243" s="42"/>
      <c r="F243" s="43"/>
      <c r="G243" s="42"/>
      <c r="H243" s="51" t="s">
        <v>920</v>
      </c>
      <c r="I243" s="18" t="s">
        <v>393</v>
      </c>
      <c r="J243" s="51"/>
      <c r="K243" s="18"/>
      <c r="L243" s="51"/>
      <c r="M243" s="18"/>
      <c r="O243" s="58" t="str">
        <f t="shared" si="111"/>
        <v>5-0000</v>
      </c>
      <c r="P243" s="58" t="str">
        <f t="shared" si="112"/>
        <v>5-2000</v>
      </c>
      <c r="Q243" s="58" t="str">
        <f t="shared" si="113"/>
        <v>2-1200</v>
      </c>
      <c r="R243" s="58" t="str">
        <f t="shared" si="114"/>
        <v>5-2012</v>
      </c>
      <c r="S243" s="58" t="str">
        <f t="shared" si="115"/>
        <v>5-2011.01</v>
      </c>
      <c r="T243" s="58" t="str">
        <f t="shared" si="116"/>
        <v xml:space="preserve"> </v>
      </c>
      <c r="V243" s="72">
        <f t="shared" si="117"/>
        <v>65000000000233</v>
      </c>
      <c r="W243" s="60">
        <f t="shared" si="118"/>
        <v>65000000000186</v>
      </c>
      <c r="X243" s="60">
        <f t="shared" si="119"/>
        <v>65000000000210</v>
      </c>
      <c r="Y243" s="60">
        <f t="shared" si="120"/>
        <v>65000000000147</v>
      </c>
      <c r="Z243" s="60">
        <f t="shared" si="121"/>
        <v>65000000000233</v>
      </c>
      <c r="AA243" s="60">
        <f t="shared" si="104"/>
        <v>65000000000232</v>
      </c>
      <c r="AB243" s="60">
        <f t="shared" si="122"/>
        <v>65000000000000</v>
      </c>
      <c r="AD243" s="60">
        <f t="shared" si="125"/>
        <v>5</v>
      </c>
      <c r="AE243" s="60">
        <f t="shared" si="126"/>
        <v>3</v>
      </c>
      <c r="AF243" s="60">
        <f t="shared" si="127"/>
        <v>1</v>
      </c>
      <c r="AG243" s="60">
        <f t="shared" si="128"/>
        <v>33</v>
      </c>
      <c r="AH243" s="60">
        <f t="shared" si="129"/>
        <v>1</v>
      </c>
      <c r="AI243" s="60">
        <f t="shared" si="130"/>
        <v>1</v>
      </c>
      <c r="AK243" s="68" t="str">
        <f t="shared" si="105"/>
        <v>L4</v>
      </c>
      <c r="AM243" s="64" t="s">
        <v>1755</v>
      </c>
      <c r="AN243" s="64">
        <f t="shared" si="106"/>
        <v>65000000000186</v>
      </c>
      <c r="AO243" s="64">
        <f t="shared" si="107"/>
        <v>65000000000210</v>
      </c>
      <c r="AP243" s="64">
        <f t="shared" si="108"/>
        <v>65000000000210</v>
      </c>
      <c r="AQ243" s="64">
        <f t="shared" si="109"/>
        <v>65000000000231</v>
      </c>
      <c r="AS243" s="64">
        <f t="shared" si="110"/>
        <v>65000000000210</v>
      </c>
      <c r="AU243" s="59" t="str">
        <f t="shared" si="131"/>
        <v>PERFORM * FROM "SchData-OLTP-Accounting"."Func_TblChartOfAccount_SET"(varSystemLoginSession, null, null, null, varInstitutionBranchID, 62000000000001::bigint,'5-2012', 'Personal Income Tax-Direct', 62000000000001::bigint, '2016-01-01 00:00:00'::timestamp, null::timestamp, 65000000000210::bigint, 66000000000001::bigint);</v>
      </c>
      <c r="AV243" s="65">
        <f t="shared" si="132"/>
        <v>65000000000233</v>
      </c>
      <c r="AW243" s="65">
        <f t="shared" si="133"/>
        <v>65000000000210</v>
      </c>
      <c r="AY243" s="65">
        <f t="shared" si="123"/>
        <v>65000000000147</v>
      </c>
      <c r="BA243" s="78">
        <f t="shared" si="134"/>
        <v>65000000000233</v>
      </c>
      <c r="BB243" s="81" t="str">
        <f t="shared" si="124"/>
        <v>PERFORM * FROM "SchData-OLTP-Accounting"."Func_TblChartOfAccount_SET"(varSystemLoginSession, null, null, null, null, null, varInstitutionBranchID, 62000000000001::bigint,'5-2012', 'Personal Income Tax-Direct', 62000000000001::bigint, '2016-01-01 00:00:00'::timestamp, null::timestamp, 65000000000210::bigint, 66000000000001::bigint, FALSE::boolean);</v>
      </c>
    </row>
    <row r="244" spans="2:54" x14ac:dyDescent="0.2">
      <c r="B244" s="43"/>
      <c r="C244" s="42"/>
      <c r="D244" s="43"/>
      <c r="E244" s="42"/>
      <c r="F244" s="43"/>
      <c r="G244" s="42"/>
      <c r="H244" s="51"/>
      <c r="I244" s="18"/>
      <c r="J244" s="51" t="s">
        <v>1466</v>
      </c>
      <c r="K244" s="18" t="s">
        <v>1301</v>
      </c>
      <c r="L244" s="51"/>
      <c r="M244" s="18"/>
      <c r="O244" s="58" t="str">
        <f t="shared" si="111"/>
        <v>5-0000</v>
      </c>
      <c r="P244" s="58" t="str">
        <f t="shared" si="112"/>
        <v>5-2000</v>
      </c>
      <c r="Q244" s="58" t="str">
        <f t="shared" si="113"/>
        <v>2-1200</v>
      </c>
      <c r="R244" s="58" t="str">
        <f t="shared" si="114"/>
        <v>5-2012</v>
      </c>
      <c r="S244" s="58" t="str">
        <f t="shared" si="115"/>
        <v>5-2012.01</v>
      </c>
      <c r="T244" s="58" t="str">
        <f t="shared" si="116"/>
        <v xml:space="preserve"> </v>
      </c>
      <c r="V244" s="72">
        <f t="shared" si="117"/>
        <v>65000000000234</v>
      </c>
      <c r="W244" s="60">
        <f t="shared" si="118"/>
        <v>65000000000186</v>
      </c>
      <c r="X244" s="60">
        <f t="shared" si="119"/>
        <v>65000000000210</v>
      </c>
      <c r="Y244" s="60">
        <f t="shared" si="120"/>
        <v>65000000000147</v>
      </c>
      <c r="Z244" s="60">
        <f t="shared" si="121"/>
        <v>65000000000233</v>
      </c>
      <c r="AA244" s="60">
        <f t="shared" si="104"/>
        <v>65000000000234</v>
      </c>
      <c r="AB244" s="60">
        <f t="shared" si="122"/>
        <v>65000000000000</v>
      </c>
      <c r="AD244" s="60">
        <f t="shared" si="125"/>
        <v>5</v>
      </c>
      <c r="AE244" s="60">
        <f t="shared" si="126"/>
        <v>3</v>
      </c>
      <c r="AF244" s="60">
        <f t="shared" si="127"/>
        <v>1</v>
      </c>
      <c r="AG244" s="60">
        <f t="shared" si="128"/>
        <v>33</v>
      </c>
      <c r="AH244" s="60">
        <f t="shared" si="129"/>
        <v>2</v>
      </c>
      <c r="AI244" s="60">
        <f t="shared" si="130"/>
        <v>1</v>
      </c>
      <c r="AK244" s="68" t="str">
        <f t="shared" si="105"/>
        <v>L5</v>
      </c>
      <c r="AM244" s="64" t="s">
        <v>1755</v>
      </c>
      <c r="AN244" s="64">
        <f t="shared" si="106"/>
        <v>65000000000186</v>
      </c>
      <c r="AO244" s="64">
        <f t="shared" si="107"/>
        <v>65000000000210</v>
      </c>
      <c r="AP244" s="64">
        <f t="shared" si="108"/>
        <v>65000000000210</v>
      </c>
      <c r="AQ244" s="64">
        <f t="shared" si="109"/>
        <v>65000000000233</v>
      </c>
      <c r="AS244" s="64">
        <f t="shared" si="110"/>
        <v>65000000000233</v>
      </c>
      <c r="AU244" s="59" t="str">
        <f t="shared" si="131"/>
        <v>PERFORM * FROM "SchData-OLTP-Accounting"."Func_TblChartOfAccount_SET"(varSystemLoginSession, null, null, null, varInstitutionBranchID, 62000000000001::bigint,'5-2012.01', 'Personal Income Tax-Direct (IDR)', 62000000000001::bigint, '2016-01-01 00:00:00'::timestamp, null::timestamp, 65000000000233::bigint, 66000000000001::bigint);</v>
      </c>
      <c r="AV244" s="65">
        <f t="shared" si="132"/>
        <v>65000000000234</v>
      </c>
      <c r="AW244" s="65">
        <f t="shared" si="133"/>
        <v>65000000000233</v>
      </c>
      <c r="AY244" s="65">
        <f t="shared" si="123"/>
        <v>65000000000233</v>
      </c>
      <c r="BA244" s="78">
        <f t="shared" si="134"/>
        <v>65000000000234</v>
      </c>
      <c r="BB244" s="81" t="str">
        <f t="shared" si="124"/>
        <v>PERFORM * FROM "SchData-OLTP-Accounting"."Func_TblChartOfAccount_SET"(varSystemLoginSession, null, null, null, null, null, varInstitutionBranchID, 62000000000001::bigint,'5-2012.01', 'Personal Income Tax-Direct (IDR)', 62000000000001::bigint, '2016-01-01 00:00:00'::timestamp, null::timestamp, 65000000000233::bigint, 66000000000001::bigint, FALSE::boolean);</v>
      </c>
    </row>
    <row r="245" spans="2:54" ht="25.5" x14ac:dyDescent="0.2">
      <c r="B245" s="43"/>
      <c r="C245" s="42"/>
      <c r="D245" s="43"/>
      <c r="E245" s="42"/>
      <c r="F245" s="43"/>
      <c r="G245" s="42"/>
      <c r="H245" s="51" t="s">
        <v>921</v>
      </c>
      <c r="I245" s="18" t="s">
        <v>395</v>
      </c>
      <c r="J245" s="51"/>
      <c r="K245" s="18"/>
      <c r="L245" s="51"/>
      <c r="M245" s="18"/>
      <c r="O245" s="58" t="str">
        <f t="shared" si="111"/>
        <v>5-0000</v>
      </c>
      <c r="P245" s="58" t="str">
        <f t="shared" si="112"/>
        <v>5-2000</v>
      </c>
      <c r="Q245" s="58" t="str">
        <f t="shared" si="113"/>
        <v>2-1200</v>
      </c>
      <c r="R245" s="58" t="str">
        <f t="shared" si="114"/>
        <v>5-2013</v>
      </c>
      <c r="S245" s="58" t="str">
        <f t="shared" si="115"/>
        <v>5-2012.01</v>
      </c>
      <c r="T245" s="58" t="str">
        <f t="shared" si="116"/>
        <v xml:space="preserve"> </v>
      </c>
      <c r="V245" s="72">
        <f t="shared" si="117"/>
        <v>65000000000235</v>
      </c>
      <c r="W245" s="60">
        <f t="shared" si="118"/>
        <v>65000000000186</v>
      </c>
      <c r="X245" s="60">
        <f t="shared" si="119"/>
        <v>65000000000210</v>
      </c>
      <c r="Y245" s="60">
        <f t="shared" si="120"/>
        <v>65000000000147</v>
      </c>
      <c r="Z245" s="60">
        <f t="shared" si="121"/>
        <v>65000000000235</v>
      </c>
      <c r="AA245" s="60">
        <f t="shared" si="104"/>
        <v>65000000000234</v>
      </c>
      <c r="AB245" s="60">
        <f t="shared" si="122"/>
        <v>65000000000000</v>
      </c>
      <c r="AD245" s="60">
        <f t="shared" si="125"/>
        <v>5</v>
      </c>
      <c r="AE245" s="60">
        <f t="shared" si="126"/>
        <v>3</v>
      </c>
      <c r="AF245" s="60">
        <f t="shared" si="127"/>
        <v>1</v>
      </c>
      <c r="AG245" s="60">
        <f t="shared" si="128"/>
        <v>34</v>
      </c>
      <c r="AH245" s="60">
        <f t="shared" si="129"/>
        <v>1</v>
      </c>
      <c r="AI245" s="60">
        <f t="shared" si="130"/>
        <v>1</v>
      </c>
      <c r="AK245" s="68" t="str">
        <f t="shared" si="105"/>
        <v>L4</v>
      </c>
      <c r="AM245" s="64" t="s">
        <v>1755</v>
      </c>
      <c r="AN245" s="64">
        <f t="shared" si="106"/>
        <v>65000000000186</v>
      </c>
      <c r="AO245" s="64">
        <f t="shared" si="107"/>
        <v>65000000000210</v>
      </c>
      <c r="AP245" s="64">
        <f t="shared" si="108"/>
        <v>65000000000210</v>
      </c>
      <c r="AQ245" s="64">
        <f t="shared" si="109"/>
        <v>65000000000233</v>
      </c>
      <c r="AS245" s="64">
        <f t="shared" si="110"/>
        <v>65000000000210</v>
      </c>
      <c r="AU245" s="59" t="str">
        <f t="shared" si="131"/>
        <v>PERFORM * FROM "SchData-OLTP-Accounting"."Func_TblChartOfAccount_SET"(varSystemLoginSession, null, null, null, varInstitutionBranchID, 62000000000001::bigint,'5-2013', 'Personal Income Tax-Indirect', 62000000000001::bigint, '2016-01-01 00:00:00'::timestamp, null::timestamp, 65000000000210::bigint, 66000000000001::bigint);</v>
      </c>
      <c r="AV245" s="65">
        <f t="shared" si="132"/>
        <v>65000000000235</v>
      </c>
      <c r="AW245" s="65">
        <f t="shared" si="133"/>
        <v>65000000000210</v>
      </c>
      <c r="AY245" s="65">
        <f t="shared" si="123"/>
        <v>65000000000147</v>
      </c>
      <c r="BA245" s="78">
        <f t="shared" si="134"/>
        <v>65000000000235</v>
      </c>
      <c r="BB245" s="81" t="str">
        <f t="shared" si="124"/>
        <v>PERFORM * FROM "SchData-OLTP-Accounting"."Func_TblChartOfAccount_SET"(varSystemLoginSession, null, null, null, null, null, varInstitutionBranchID, 62000000000001::bigint,'5-2013', 'Personal Income Tax-Indirect', 62000000000001::bigint, '2016-01-01 00:00:00'::timestamp, null::timestamp, 65000000000210::bigint, 66000000000001::bigint, FALSE::boolean);</v>
      </c>
    </row>
    <row r="246" spans="2:54" ht="25.5" x14ac:dyDescent="0.2">
      <c r="B246" s="43"/>
      <c r="C246" s="42"/>
      <c r="D246" s="43"/>
      <c r="E246" s="42"/>
      <c r="F246" s="43"/>
      <c r="G246" s="42"/>
      <c r="H246" s="51"/>
      <c r="I246" s="18"/>
      <c r="J246" s="51" t="s">
        <v>1467</v>
      </c>
      <c r="K246" s="18" t="s">
        <v>1302</v>
      </c>
      <c r="L246" s="51"/>
      <c r="M246" s="18"/>
      <c r="O246" s="58" t="str">
        <f t="shared" si="111"/>
        <v>5-0000</v>
      </c>
      <c r="P246" s="58" t="str">
        <f t="shared" si="112"/>
        <v>5-2000</v>
      </c>
      <c r="Q246" s="58" t="str">
        <f t="shared" si="113"/>
        <v>2-1200</v>
      </c>
      <c r="R246" s="58" t="str">
        <f t="shared" si="114"/>
        <v>5-2013</v>
      </c>
      <c r="S246" s="58" t="str">
        <f t="shared" si="115"/>
        <v>5-2013.01</v>
      </c>
      <c r="T246" s="58" t="str">
        <f t="shared" si="116"/>
        <v xml:space="preserve"> </v>
      </c>
      <c r="V246" s="72">
        <f t="shared" si="117"/>
        <v>65000000000236</v>
      </c>
      <c r="W246" s="60">
        <f t="shared" si="118"/>
        <v>65000000000186</v>
      </c>
      <c r="X246" s="60">
        <f t="shared" si="119"/>
        <v>65000000000210</v>
      </c>
      <c r="Y246" s="60">
        <f t="shared" si="120"/>
        <v>65000000000147</v>
      </c>
      <c r="Z246" s="60">
        <f t="shared" si="121"/>
        <v>65000000000235</v>
      </c>
      <c r="AA246" s="60">
        <f t="shared" si="104"/>
        <v>65000000000236</v>
      </c>
      <c r="AB246" s="60">
        <f t="shared" si="122"/>
        <v>65000000000000</v>
      </c>
      <c r="AD246" s="60">
        <f t="shared" si="125"/>
        <v>5</v>
      </c>
      <c r="AE246" s="60">
        <f t="shared" si="126"/>
        <v>3</v>
      </c>
      <c r="AF246" s="60">
        <f t="shared" si="127"/>
        <v>1</v>
      </c>
      <c r="AG246" s="60">
        <f t="shared" si="128"/>
        <v>34</v>
      </c>
      <c r="AH246" s="60">
        <f t="shared" si="129"/>
        <v>2</v>
      </c>
      <c r="AI246" s="60">
        <f t="shared" si="130"/>
        <v>1</v>
      </c>
      <c r="AK246" s="68" t="str">
        <f t="shared" si="105"/>
        <v>L5</v>
      </c>
      <c r="AM246" s="64" t="s">
        <v>1755</v>
      </c>
      <c r="AN246" s="64">
        <f t="shared" si="106"/>
        <v>65000000000186</v>
      </c>
      <c r="AO246" s="64">
        <f t="shared" si="107"/>
        <v>65000000000210</v>
      </c>
      <c r="AP246" s="64">
        <f t="shared" si="108"/>
        <v>65000000000210</v>
      </c>
      <c r="AQ246" s="64">
        <f t="shared" si="109"/>
        <v>65000000000235</v>
      </c>
      <c r="AS246" s="64">
        <f t="shared" si="110"/>
        <v>65000000000235</v>
      </c>
      <c r="AU246" s="59" t="str">
        <f t="shared" si="131"/>
        <v>PERFORM * FROM "SchData-OLTP-Accounting"."Func_TblChartOfAccount_SET"(varSystemLoginSession, null, null, null, varInstitutionBranchID, 62000000000001::bigint,'5-2013.01', 'Personal Income Tax-Indirect (IDR)', 62000000000001::bigint, '2016-01-01 00:00:00'::timestamp, null::timestamp, 65000000000235::bigint, 66000000000001::bigint);</v>
      </c>
      <c r="AV246" s="65">
        <f t="shared" si="132"/>
        <v>65000000000236</v>
      </c>
      <c r="AW246" s="65">
        <f t="shared" si="133"/>
        <v>65000000000235</v>
      </c>
      <c r="AY246" s="65">
        <f t="shared" si="123"/>
        <v>65000000000235</v>
      </c>
      <c r="BA246" s="78">
        <f t="shared" si="134"/>
        <v>65000000000236</v>
      </c>
      <c r="BB246" s="81" t="str">
        <f t="shared" si="124"/>
        <v>PERFORM * FROM "SchData-OLTP-Accounting"."Func_TblChartOfAccount_SET"(varSystemLoginSession, null, null, null, null, null, varInstitutionBranchID, 62000000000001::bigint,'5-2013.01', 'Personal Income Tax-Indirect (IDR)', 62000000000001::bigint, '2016-01-01 00:00:00'::timestamp, null::timestamp, 65000000000235::bigint, 66000000000001::bigint, FALSE::boolean);</v>
      </c>
    </row>
    <row r="247" spans="2:54" ht="25.5" x14ac:dyDescent="0.2">
      <c r="B247" s="43"/>
      <c r="C247" s="42"/>
      <c r="D247" s="43"/>
      <c r="E247" s="42"/>
      <c r="F247" s="43"/>
      <c r="G247" s="42"/>
      <c r="H247" s="51" t="s">
        <v>922</v>
      </c>
      <c r="I247" s="18" t="s">
        <v>397</v>
      </c>
      <c r="J247" s="51"/>
      <c r="K247" s="18"/>
      <c r="L247" s="51"/>
      <c r="M247" s="18"/>
      <c r="O247" s="58" t="str">
        <f t="shared" si="111"/>
        <v>5-0000</v>
      </c>
      <c r="P247" s="58" t="str">
        <f t="shared" si="112"/>
        <v>5-2000</v>
      </c>
      <c r="Q247" s="58" t="str">
        <f t="shared" si="113"/>
        <v>2-1200</v>
      </c>
      <c r="R247" s="58" t="str">
        <f t="shared" si="114"/>
        <v>5-2014</v>
      </c>
      <c r="S247" s="58" t="str">
        <f t="shared" si="115"/>
        <v>5-2013.01</v>
      </c>
      <c r="T247" s="58" t="str">
        <f t="shared" si="116"/>
        <v xml:space="preserve"> </v>
      </c>
      <c r="V247" s="72">
        <f t="shared" si="117"/>
        <v>65000000000237</v>
      </c>
      <c r="W247" s="60">
        <f t="shared" si="118"/>
        <v>65000000000186</v>
      </c>
      <c r="X247" s="60">
        <f t="shared" si="119"/>
        <v>65000000000210</v>
      </c>
      <c r="Y247" s="60">
        <f t="shared" si="120"/>
        <v>65000000000147</v>
      </c>
      <c r="Z247" s="60">
        <f t="shared" si="121"/>
        <v>65000000000237</v>
      </c>
      <c r="AA247" s="60">
        <f t="shared" si="104"/>
        <v>65000000000236</v>
      </c>
      <c r="AB247" s="60">
        <f t="shared" si="122"/>
        <v>65000000000000</v>
      </c>
      <c r="AD247" s="60">
        <f t="shared" si="125"/>
        <v>5</v>
      </c>
      <c r="AE247" s="60">
        <f t="shared" si="126"/>
        <v>3</v>
      </c>
      <c r="AF247" s="60">
        <f t="shared" si="127"/>
        <v>1</v>
      </c>
      <c r="AG247" s="60">
        <f t="shared" si="128"/>
        <v>35</v>
      </c>
      <c r="AH247" s="60">
        <f t="shared" si="129"/>
        <v>1</v>
      </c>
      <c r="AI247" s="60">
        <f t="shared" si="130"/>
        <v>1</v>
      </c>
      <c r="AK247" s="68" t="str">
        <f t="shared" si="105"/>
        <v>L4</v>
      </c>
      <c r="AM247" s="64" t="s">
        <v>1755</v>
      </c>
      <c r="AN247" s="64">
        <f t="shared" si="106"/>
        <v>65000000000186</v>
      </c>
      <c r="AO247" s="64">
        <f t="shared" si="107"/>
        <v>65000000000210</v>
      </c>
      <c r="AP247" s="64">
        <f t="shared" si="108"/>
        <v>65000000000210</v>
      </c>
      <c r="AQ247" s="64">
        <f t="shared" si="109"/>
        <v>65000000000235</v>
      </c>
      <c r="AS247" s="64">
        <f t="shared" si="110"/>
        <v>65000000000210</v>
      </c>
      <c r="AU247" s="59" t="str">
        <f t="shared" si="131"/>
        <v>PERFORM * FROM "SchData-OLTP-Accounting"."Func_TblChartOfAccount_SET"(varSystemLoginSession, null, null, null, varInstitutionBranchID, 62000000000001::bigint,'5-2014', 'Uniform,Protect Clothe-Direct', 62000000000001::bigint, '2016-01-01 00:00:00'::timestamp, null::timestamp, 65000000000210::bigint, 66000000000001::bigint);</v>
      </c>
      <c r="AV247" s="65">
        <f t="shared" si="132"/>
        <v>65000000000237</v>
      </c>
      <c r="AW247" s="65">
        <f t="shared" si="133"/>
        <v>65000000000210</v>
      </c>
      <c r="AY247" s="65">
        <f t="shared" si="123"/>
        <v>65000000000147</v>
      </c>
      <c r="BA247" s="78">
        <f t="shared" si="134"/>
        <v>65000000000237</v>
      </c>
      <c r="BB247" s="81" t="str">
        <f t="shared" si="124"/>
        <v>PERFORM * FROM "SchData-OLTP-Accounting"."Func_TblChartOfAccount_SET"(varSystemLoginSession, null, null, null, null, null, varInstitutionBranchID, 62000000000001::bigint,'5-2014', 'Uniform,Protect Clothe-Direct', 62000000000001::bigint, '2016-01-01 00:00:00'::timestamp, null::timestamp, 65000000000210::bigint, 66000000000001::bigint, FALSE::boolean);</v>
      </c>
    </row>
    <row r="248" spans="2:54" x14ac:dyDescent="0.2">
      <c r="B248" s="43"/>
      <c r="C248" s="42"/>
      <c r="D248" s="43"/>
      <c r="E248" s="42"/>
      <c r="F248" s="43"/>
      <c r="G248" s="42"/>
      <c r="H248" s="51"/>
      <c r="I248" s="18"/>
      <c r="J248" s="51" t="s">
        <v>1468</v>
      </c>
      <c r="K248" s="18" t="s">
        <v>1303</v>
      </c>
      <c r="L248" s="51"/>
      <c r="M248" s="18"/>
      <c r="O248" s="58" t="str">
        <f t="shared" si="111"/>
        <v>5-0000</v>
      </c>
      <c r="P248" s="58" t="str">
        <f t="shared" si="112"/>
        <v>5-2000</v>
      </c>
      <c r="Q248" s="58" t="str">
        <f t="shared" si="113"/>
        <v>2-1200</v>
      </c>
      <c r="R248" s="58" t="str">
        <f t="shared" si="114"/>
        <v>5-2014</v>
      </c>
      <c r="S248" s="58" t="str">
        <f t="shared" si="115"/>
        <v>5-2014.01</v>
      </c>
      <c r="T248" s="58" t="str">
        <f t="shared" si="116"/>
        <v xml:space="preserve"> </v>
      </c>
      <c r="V248" s="72">
        <f t="shared" si="117"/>
        <v>65000000000238</v>
      </c>
      <c r="W248" s="60">
        <f t="shared" si="118"/>
        <v>65000000000186</v>
      </c>
      <c r="X248" s="60">
        <f t="shared" si="119"/>
        <v>65000000000210</v>
      </c>
      <c r="Y248" s="60">
        <f t="shared" si="120"/>
        <v>65000000000147</v>
      </c>
      <c r="Z248" s="60">
        <f t="shared" si="121"/>
        <v>65000000000237</v>
      </c>
      <c r="AA248" s="60">
        <f t="shared" si="104"/>
        <v>65000000000238</v>
      </c>
      <c r="AB248" s="60">
        <f t="shared" si="122"/>
        <v>65000000000000</v>
      </c>
      <c r="AD248" s="60">
        <f t="shared" si="125"/>
        <v>5</v>
      </c>
      <c r="AE248" s="60">
        <f t="shared" si="126"/>
        <v>3</v>
      </c>
      <c r="AF248" s="60">
        <f t="shared" si="127"/>
        <v>1</v>
      </c>
      <c r="AG248" s="60">
        <f t="shared" si="128"/>
        <v>35</v>
      </c>
      <c r="AH248" s="60">
        <f t="shared" si="129"/>
        <v>2</v>
      </c>
      <c r="AI248" s="60">
        <f t="shared" si="130"/>
        <v>1</v>
      </c>
      <c r="AK248" s="68" t="str">
        <f t="shared" si="105"/>
        <v>L5</v>
      </c>
      <c r="AM248" s="64" t="s">
        <v>1755</v>
      </c>
      <c r="AN248" s="64">
        <f t="shared" si="106"/>
        <v>65000000000186</v>
      </c>
      <c r="AO248" s="64">
        <f t="shared" si="107"/>
        <v>65000000000210</v>
      </c>
      <c r="AP248" s="64">
        <f t="shared" si="108"/>
        <v>65000000000210</v>
      </c>
      <c r="AQ248" s="64">
        <f t="shared" si="109"/>
        <v>65000000000237</v>
      </c>
      <c r="AS248" s="64">
        <f t="shared" si="110"/>
        <v>65000000000237</v>
      </c>
      <c r="AU248" s="59" t="str">
        <f t="shared" si="131"/>
        <v>PERFORM * FROM "SchData-OLTP-Accounting"."Func_TblChartOfAccount_SET"(varSystemLoginSession, null, null, null, varInstitutionBranchID, 62000000000001::bigint,'5-2014.01', 'Uniform,Protect Clothe-Direct (IDR)', 62000000000001::bigint, '2016-01-01 00:00:00'::timestamp, null::timestamp, 65000000000237::bigint, 66000000000001::bigint);</v>
      </c>
      <c r="AV248" s="65">
        <f t="shared" si="132"/>
        <v>65000000000238</v>
      </c>
      <c r="AW248" s="65">
        <f t="shared" si="133"/>
        <v>65000000000237</v>
      </c>
      <c r="AY248" s="65">
        <f t="shared" si="123"/>
        <v>65000000000237</v>
      </c>
      <c r="BA248" s="78">
        <f t="shared" si="134"/>
        <v>65000000000238</v>
      </c>
      <c r="BB248" s="81" t="str">
        <f t="shared" si="124"/>
        <v>PERFORM * FROM "SchData-OLTP-Accounting"."Func_TblChartOfAccount_SET"(varSystemLoginSession, null, null, null, null, null, varInstitutionBranchID, 62000000000001::bigint,'5-2014.01', 'Uniform,Protect Clothe-Direct (IDR)', 62000000000001::bigint, '2016-01-01 00:00:00'::timestamp, null::timestamp, 65000000000237::bigint, 66000000000001::bigint, FALSE::boolean);</v>
      </c>
    </row>
    <row r="249" spans="2:54" ht="25.5" x14ac:dyDescent="0.2">
      <c r="B249" s="43"/>
      <c r="C249" s="42"/>
      <c r="D249" s="43"/>
      <c r="E249" s="42"/>
      <c r="F249" s="43"/>
      <c r="G249" s="42"/>
      <c r="H249" s="51" t="s">
        <v>923</v>
      </c>
      <c r="I249" s="18" t="s">
        <v>399</v>
      </c>
      <c r="J249" s="51"/>
      <c r="K249" s="18"/>
      <c r="L249" s="51"/>
      <c r="M249" s="18"/>
      <c r="O249" s="58" t="str">
        <f t="shared" si="111"/>
        <v>5-0000</v>
      </c>
      <c r="P249" s="58" t="str">
        <f t="shared" si="112"/>
        <v>5-2000</v>
      </c>
      <c r="Q249" s="58" t="str">
        <f t="shared" si="113"/>
        <v>2-1200</v>
      </c>
      <c r="R249" s="58" t="str">
        <f t="shared" si="114"/>
        <v>5-2015</v>
      </c>
      <c r="S249" s="58" t="str">
        <f t="shared" si="115"/>
        <v>5-2014.01</v>
      </c>
      <c r="T249" s="58" t="str">
        <f t="shared" si="116"/>
        <v xml:space="preserve"> </v>
      </c>
      <c r="V249" s="72">
        <f t="shared" si="117"/>
        <v>65000000000239</v>
      </c>
      <c r="W249" s="60">
        <f t="shared" si="118"/>
        <v>65000000000186</v>
      </c>
      <c r="X249" s="60">
        <f t="shared" si="119"/>
        <v>65000000000210</v>
      </c>
      <c r="Y249" s="60">
        <f t="shared" si="120"/>
        <v>65000000000147</v>
      </c>
      <c r="Z249" s="60">
        <f t="shared" si="121"/>
        <v>65000000000239</v>
      </c>
      <c r="AA249" s="60">
        <f t="shared" si="104"/>
        <v>65000000000238</v>
      </c>
      <c r="AB249" s="60">
        <f t="shared" si="122"/>
        <v>65000000000000</v>
      </c>
      <c r="AD249" s="60">
        <f t="shared" si="125"/>
        <v>5</v>
      </c>
      <c r="AE249" s="60">
        <f t="shared" si="126"/>
        <v>3</v>
      </c>
      <c r="AF249" s="60">
        <f t="shared" si="127"/>
        <v>1</v>
      </c>
      <c r="AG249" s="60">
        <f t="shared" si="128"/>
        <v>36</v>
      </c>
      <c r="AH249" s="60">
        <f t="shared" si="129"/>
        <v>1</v>
      </c>
      <c r="AI249" s="60">
        <f t="shared" si="130"/>
        <v>1</v>
      </c>
      <c r="AK249" s="68" t="str">
        <f t="shared" si="105"/>
        <v>L4</v>
      </c>
      <c r="AM249" s="64" t="s">
        <v>1755</v>
      </c>
      <c r="AN249" s="64">
        <f t="shared" si="106"/>
        <v>65000000000186</v>
      </c>
      <c r="AO249" s="64">
        <f t="shared" si="107"/>
        <v>65000000000210</v>
      </c>
      <c r="AP249" s="64">
        <f t="shared" si="108"/>
        <v>65000000000210</v>
      </c>
      <c r="AQ249" s="64">
        <f t="shared" si="109"/>
        <v>65000000000237</v>
      </c>
      <c r="AS249" s="64">
        <f t="shared" si="110"/>
        <v>65000000000210</v>
      </c>
      <c r="AU249" s="59" t="str">
        <f t="shared" si="131"/>
        <v>PERFORM * FROM "SchData-OLTP-Accounting"."Func_TblChartOfAccount_SET"(varSystemLoginSession, null, null, null, varInstitutionBranchID, 62000000000001::bigint,'5-2015', 'Uniform,Protect Cloth-Indirect', 62000000000001::bigint, '2016-01-01 00:00:00'::timestamp, null::timestamp, 65000000000210::bigint, 66000000000001::bigint);</v>
      </c>
      <c r="AV249" s="65">
        <f t="shared" si="132"/>
        <v>65000000000239</v>
      </c>
      <c r="AW249" s="65">
        <f t="shared" si="133"/>
        <v>65000000000210</v>
      </c>
      <c r="AY249" s="65">
        <f t="shared" si="123"/>
        <v>65000000000147</v>
      </c>
      <c r="BA249" s="78">
        <f t="shared" si="134"/>
        <v>65000000000239</v>
      </c>
      <c r="BB249" s="81" t="str">
        <f t="shared" si="124"/>
        <v>PERFORM * FROM "SchData-OLTP-Accounting"."Func_TblChartOfAccount_SET"(varSystemLoginSession, null, null, null, null, null, varInstitutionBranchID, 62000000000001::bigint,'5-2015', 'Uniform,Protect Cloth-Indirect', 62000000000001::bigint, '2016-01-01 00:00:00'::timestamp, null::timestamp, 65000000000210::bigint, 66000000000001::bigint, FALSE::boolean);</v>
      </c>
    </row>
    <row r="250" spans="2:54" x14ac:dyDescent="0.2">
      <c r="B250" s="43"/>
      <c r="C250" s="42"/>
      <c r="D250" s="43"/>
      <c r="E250" s="42"/>
      <c r="F250" s="43"/>
      <c r="G250" s="42"/>
      <c r="H250" s="51"/>
      <c r="I250" s="18"/>
      <c r="J250" s="51" t="s">
        <v>1469</v>
      </c>
      <c r="K250" s="18" t="s">
        <v>1304</v>
      </c>
      <c r="L250" s="51"/>
      <c r="M250" s="18"/>
      <c r="O250" s="58" t="str">
        <f t="shared" si="111"/>
        <v>5-0000</v>
      </c>
      <c r="P250" s="58" t="str">
        <f t="shared" si="112"/>
        <v>5-2000</v>
      </c>
      <c r="Q250" s="58" t="str">
        <f t="shared" si="113"/>
        <v>2-1200</v>
      </c>
      <c r="R250" s="58" t="str">
        <f t="shared" si="114"/>
        <v>5-2015</v>
      </c>
      <c r="S250" s="58" t="str">
        <f t="shared" si="115"/>
        <v>5-2015.01</v>
      </c>
      <c r="T250" s="58" t="str">
        <f t="shared" si="116"/>
        <v xml:space="preserve"> </v>
      </c>
      <c r="V250" s="72">
        <f t="shared" si="117"/>
        <v>65000000000240</v>
      </c>
      <c r="W250" s="60">
        <f t="shared" si="118"/>
        <v>65000000000186</v>
      </c>
      <c r="X250" s="60">
        <f t="shared" si="119"/>
        <v>65000000000210</v>
      </c>
      <c r="Y250" s="60">
        <f t="shared" si="120"/>
        <v>65000000000147</v>
      </c>
      <c r="Z250" s="60">
        <f t="shared" si="121"/>
        <v>65000000000239</v>
      </c>
      <c r="AA250" s="60">
        <f t="shared" si="104"/>
        <v>65000000000240</v>
      </c>
      <c r="AB250" s="60">
        <f t="shared" si="122"/>
        <v>65000000000000</v>
      </c>
      <c r="AD250" s="60">
        <f t="shared" si="125"/>
        <v>5</v>
      </c>
      <c r="AE250" s="60">
        <f t="shared" si="126"/>
        <v>3</v>
      </c>
      <c r="AF250" s="60">
        <f t="shared" si="127"/>
        <v>1</v>
      </c>
      <c r="AG250" s="60">
        <f t="shared" si="128"/>
        <v>36</v>
      </c>
      <c r="AH250" s="60">
        <f t="shared" si="129"/>
        <v>2</v>
      </c>
      <c r="AI250" s="60">
        <f t="shared" si="130"/>
        <v>1</v>
      </c>
      <c r="AK250" s="68" t="str">
        <f t="shared" si="105"/>
        <v>L5</v>
      </c>
      <c r="AM250" s="64" t="s">
        <v>1755</v>
      </c>
      <c r="AN250" s="64">
        <f t="shared" si="106"/>
        <v>65000000000186</v>
      </c>
      <c r="AO250" s="64">
        <f t="shared" si="107"/>
        <v>65000000000210</v>
      </c>
      <c r="AP250" s="64">
        <f t="shared" si="108"/>
        <v>65000000000210</v>
      </c>
      <c r="AQ250" s="64">
        <f t="shared" si="109"/>
        <v>65000000000239</v>
      </c>
      <c r="AS250" s="64">
        <f t="shared" si="110"/>
        <v>65000000000239</v>
      </c>
      <c r="AU250" s="59" t="str">
        <f t="shared" si="131"/>
        <v>PERFORM * FROM "SchData-OLTP-Accounting"."Func_TblChartOfAccount_SET"(varSystemLoginSession, null, null, null, varInstitutionBranchID, 62000000000001::bigint,'5-2015.01', 'Uniform,Protect Cloth-Indirect (IDR)', 62000000000001::bigint, '2016-01-01 00:00:00'::timestamp, null::timestamp, 65000000000239::bigint, 66000000000001::bigint);</v>
      </c>
      <c r="AV250" s="65">
        <f t="shared" si="132"/>
        <v>65000000000240</v>
      </c>
      <c r="AW250" s="65">
        <f t="shared" si="133"/>
        <v>65000000000239</v>
      </c>
      <c r="AY250" s="65">
        <f t="shared" si="123"/>
        <v>65000000000239</v>
      </c>
      <c r="BA250" s="78">
        <f t="shared" si="134"/>
        <v>65000000000240</v>
      </c>
      <c r="BB250" s="81" t="str">
        <f t="shared" si="124"/>
        <v>PERFORM * FROM "SchData-OLTP-Accounting"."Func_TblChartOfAccount_SET"(varSystemLoginSession, null, null, null, null, null, varInstitutionBranchID, 62000000000001::bigint,'5-2015.01', 'Uniform,Protect Cloth-Indirect (IDR)', 62000000000001::bigint, '2016-01-01 00:00:00'::timestamp, null::timestamp, 65000000000239::bigint, 66000000000001::bigint, FALSE::boolean);</v>
      </c>
    </row>
    <row r="251" spans="2:54" x14ac:dyDescent="0.2">
      <c r="B251" s="43"/>
      <c r="C251" s="42"/>
      <c r="D251" s="43"/>
      <c r="E251" s="42"/>
      <c r="F251" s="43"/>
      <c r="G251" s="42"/>
      <c r="H251" s="51" t="s">
        <v>924</v>
      </c>
      <c r="I251" s="18" t="s">
        <v>401</v>
      </c>
      <c r="J251" s="51"/>
      <c r="K251" s="18"/>
      <c r="L251" s="51"/>
      <c r="M251" s="18"/>
      <c r="O251" s="58" t="str">
        <f t="shared" si="111"/>
        <v>5-0000</v>
      </c>
      <c r="P251" s="58" t="str">
        <f t="shared" si="112"/>
        <v>5-2000</v>
      </c>
      <c r="Q251" s="58" t="str">
        <f t="shared" si="113"/>
        <v>2-1200</v>
      </c>
      <c r="R251" s="58" t="str">
        <f t="shared" si="114"/>
        <v>5-2016</v>
      </c>
      <c r="S251" s="58" t="str">
        <f t="shared" si="115"/>
        <v>5-2015.01</v>
      </c>
      <c r="T251" s="58" t="str">
        <f t="shared" si="116"/>
        <v xml:space="preserve"> </v>
      </c>
      <c r="V251" s="72">
        <f t="shared" si="117"/>
        <v>65000000000241</v>
      </c>
      <c r="W251" s="60">
        <f t="shared" si="118"/>
        <v>65000000000186</v>
      </c>
      <c r="X251" s="60">
        <f t="shared" si="119"/>
        <v>65000000000210</v>
      </c>
      <c r="Y251" s="60">
        <f t="shared" si="120"/>
        <v>65000000000147</v>
      </c>
      <c r="Z251" s="60">
        <f t="shared" si="121"/>
        <v>65000000000241</v>
      </c>
      <c r="AA251" s="60">
        <f t="shared" si="104"/>
        <v>65000000000240</v>
      </c>
      <c r="AB251" s="60">
        <f t="shared" si="122"/>
        <v>65000000000000</v>
      </c>
      <c r="AD251" s="60">
        <f t="shared" si="125"/>
        <v>5</v>
      </c>
      <c r="AE251" s="60">
        <f t="shared" si="126"/>
        <v>3</v>
      </c>
      <c r="AF251" s="60">
        <f t="shared" si="127"/>
        <v>1</v>
      </c>
      <c r="AG251" s="60">
        <f t="shared" si="128"/>
        <v>37</v>
      </c>
      <c r="AH251" s="60">
        <f t="shared" si="129"/>
        <v>1</v>
      </c>
      <c r="AI251" s="60">
        <f t="shared" si="130"/>
        <v>1</v>
      </c>
      <c r="AK251" s="68" t="str">
        <f t="shared" si="105"/>
        <v>L4</v>
      </c>
      <c r="AM251" s="64" t="s">
        <v>1755</v>
      </c>
      <c r="AN251" s="64">
        <f t="shared" si="106"/>
        <v>65000000000186</v>
      </c>
      <c r="AO251" s="64">
        <f t="shared" si="107"/>
        <v>65000000000210</v>
      </c>
      <c r="AP251" s="64">
        <f t="shared" si="108"/>
        <v>65000000000210</v>
      </c>
      <c r="AQ251" s="64">
        <f t="shared" si="109"/>
        <v>65000000000239</v>
      </c>
      <c r="AS251" s="64">
        <f t="shared" si="110"/>
        <v>65000000000210</v>
      </c>
      <c r="AU251" s="59" t="str">
        <f t="shared" si="131"/>
        <v>PERFORM * FROM "SchData-OLTP-Accounting"."Func_TblChartOfAccount_SET"(varSystemLoginSession, null, null, null, varInstitutionBranchID, 62000000000001::bigint,'5-2016', 'Business Trip Allowance', 62000000000001::bigint, '2016-01-01 00:00:00'::timestamp, null::timestamp, 65000000000210::bigint, 66000000000001::bigint);</v>
      </c>
      <c r="AV251" s="65">
        <f t="shared" si="132"/>
        <v>65000000000241</v>
      </c>
      <c r="AW251" s="65">
        <f t="shared" si="133"/>
        <v>65000000000210</v>
      </c>
      <c r="AY251" s="65">
        <f t="shared" si="123"/>
        <v>65000000000147</v>
      </c>
      <c r="BA251" s="78">
        <f t="shared" si="134"/>
        <v>65000000000241</v>
      </c>
      <c r="BB251" s="81" t="str">
        <f t="shared" si="124"/>
        <v>PERFORM * FROM "SchData-OLTP-Accounting"."Func_TblChartOfAccount_SET"(varSystemLoginSession, null, null, null, null, null, varInstitutionBranchID, 62000000000001::bigint,'5-2016', 'Business Trip Allowance', 62000000000001::bigint, '2016-01-01 00:00:00'::timestamp, null::timestamp, 65000000000210::bigint, 66000000000001::bigint, FALSE::boolean);</v>
      </c>
    </row>
    <row r="252" spans="2:54" x14ac:dyDescent="0.2">
      <c r="B252" s="43"/>
      <c r="C252" s="42"/>
      <c r="D252" s="43"/>
      <c r="E252" s="42"/>
      <c r="F252" s="43"/>
      <c r="G252" s="42"/>
      <c r="H252" s="51"/>
      <c r="I252" s="18"/>
      <c r="J252" s="51" t="s">
        <v>1470</v>
      </c>
      <c r="K252" s="18" t="s">
        <v>1305</v>
      </c>
      <c r="L252" s="51"/>
      <c r="M252" s="18"/>
      <c r="O252" s="58" t="str">
        <f t="shared" si="111"/>
        <v>5-0000</v>
      </c>
      <c r="P252" s="58" t="str">
        <f t="shared" si="112"/>
        <v>5-2000</v>
      </c>
      <c r="Q252" s="58" t="str">
        <f t="shared" si="113"/>
        <v>2-1200</v>
      </c>
      <c r="R252" s="58" t="str">
        <f t="shared" si="114"/>
        <v>5-2016</v>
      </c>
      <c r="S252" s="58" t="str">
        <f t="shared" si="115"/>
        <v>5-2016.01</v>
      </c>
      <c r="T252" s="58" t="str">
        <f t="shared" si="116"/>
        <v xml:space="preserve"> </v>
      </c>
      <c r="V252" s="72">
        <f t="shared" si="117"/>
        <v>65000000000242</v>
      </c>
      <c r="W252" s="60">
        <f t="shared" si="118"/>
        <v>65000000000186</v>
      </c>
      <c r="X252" s="60">
        <f t="shared" si="119"/>
        <v>65000000000210</v>
      </c>
      <c r="Y252" s="60">
        <f t="shared" si="120"/>
        <v>65000000000147</v>
      </c>
      <c r="Z252" s="60">
        <f t="shared" si="121"/>
        <v>65000000000241</v>
      </c>
      <c r="AA252" s="60">
        <f t="shared" si="104"/>
        <v>65000000000242</v>
      </c>
      <c r="AB252" s="60">
        <f t="shared" si="122"/>
        <v>65000000000000</v>
      </c>
      <c r="AD252" s="60">
        <f t="shared" si="125"/>
        <v>5</v>
      </c>
      <c r="AE252" s="60">
        <f t="shared" si="126"/>
        <v>3</v>
      </c>
      <c r="AF252" s="60">
        <f t="shared" si="127"/>
        <v>1</v>
      </c>
      <c r="AG252" s="60">
        <f t="shared" si="128"/>
        <v>37</v>
      </c>
      <c r="AH252" s="60">
        <f t="shared" si="129"/>
        <v>2</v>
      </c>
      <c r="AI252" s="60">
        <f t="shared" si="130"/>
        <v>1</v>
      </c>
      <c r="AK252" s="68" t="str">
        <f t="shared" si="105"/>
        <v>L5</v>
      </c>
      <c r="AM252" s="64" t="s">
        <v>1755</v>
      </c>
      <c r="AN252" s="64">
        <f t="shared" si="106"/>
        <v>65000000000186</v>
      </c>
      <c r="AO252" s="64">
        <f t="shared" si="107"/>
        <v>65000000000210</v>
      </c>
      <c r="AP252" s="64">
        <f t="shared" si="108"/>
        <v>65000000000210</v>
      </c>
      <c r="AQ252" s="64">
        <f t="shared" si="109"/>
        <v>65000000000241</v>
      </c>
      <c r="AS252" s="64">
        <f t="shared" si="110"/>
        <v>65000000000241</v>
      </c>
      <c r="AU252" s="59" t="str">
        <f t="shared" si="131"/>
        <v>PERFORM * FROM "SchData-OLTP-Accounting"."Func_TblChartOfAccount_SET"(varSystemLoginSession, null, null, null, varInstitutionBranchID, 62000000000001::bigint,'5-2016.01', 'Business Trip Allowance (IDR)', 62000000000001::bigint, '2016-01-01 00:00:00'::timestamp, null::timestamp, 65000000000241::bigint, 66000000000001::bigint);</v>
      </c>
      <c r="AV252" s="65">
        <f t="shared" si="132"/>
        <v>65000000000242</v>
      </c>
      <c r="AW252" s="65">
        <f t="shared" si="133"/>
        <v>65000000000241</v>
      </c>
      <c r="AY252" s="65">
        <f t="shared" si="123"/>
        <v>65000000000241</v>
      </c>
      <c r="BA252" s="78">
        <f t="shared" si="134"/>
        <v>65000000000242</v>
      </c>
      <c r="BB252" s="81" t="str">
        <f t="shared" si="124"/>
        <v>PERFORM * FROM "SchData-OLTP-Accounting"."Func_TblChartOfAccount_SET"(varSystemLoginSession, null, null, null, null, null, varInstitutionBranchID, 62000000000001::bigint,'5-2016.01', 'Business Trip Allowance (IDR)', 62000000000001::bigint, '2016-01-01 00:00:00'::timestamp, null::timestamp, 65000000000241::bigint, 66000000000001::bigint, FALSE::boolean);</v>
      </c>
    </row>
    <row r="253" spans="2:54" x14ac:dyDescent="0.2">
      <c r="B253" s="43"/>
      <c r="C253" s="42"/>
      <c r="D253" s="43"/>
      <c r="E253" s="42"/>
      <c r="F253" s="43"/>
      <c r="G253" s="42"/>
      <c r="H253" s="51" t="s">
        <v>925</v>
      </c>
      <c r="I253" s="18" t="s">
        <v>403</v>
      </c>
      <c r="J253" s="51"/>
      <c r="K253" s="18"/>
      <c r="L253" s="51"/>
      <c r="M253" s="18"/>
      <c r="O253" s="58" t="str">
        <f t="shared" si="111"/>
        <v>5-0000</v>
      </c>
      <c r="P253" s="58" t="str">
        <f t="shared" si="112"/>
        <v>5-2000</v>
      </c>
      <c r="Q253" s="58" t="str">
        <f t="shared" si="113"/>
        <v>2-1200</v>
      </c>
      <c r="R253" s="58" t="str">
        <f t="shared" si="114"/>
        <v>5-2017</v>
      </c>
      <c r="S253" s="58" t="str">
        <f t="shared" si="115"/>
        <v>5-2016.01</v>
      </c>
      <c r="T253" s="58" t="str">
        <f t="shared" si="116"/>
        <v xml:space="preserve"> </v>
      </c>
      <c r="V253" s="72">
        <f t="shared" si="117"/>
        <v>65000000000243</v>
      </c>
      <c r="W253" s="60">
        <f t="shared" si="118"/>
        <v>65000000000186</v>
      </c>
      <c r="X253" s="60">
        <f t="shared" si="119"/>
        <v>65000000000210</v>
      </c>
      <c r="Y253" s="60">
        <f t="shared" si="120"/>
        <v>65000000000147</v>
      </c>
      <c r="Z253" s="60">
        <f t="shared" si="121"/>
        <v>65000000000243</v>
      </c>
      <c r="AA253" s="60">
        <f t="shared" si="104"/>
        <v>65000000000242</v>
      </c>
      <c r="AB253" s="60">
        <f t="shared" si="122"/>
        <v>65000000000000</v>
      </c>
      <c r="AD253" s="60">
        <f t="shared" si="125"/>
        <v>5</v>
      </c>
      <c r="AE253" s="60">
        <f t="shared" si="126"/>
        <v>3</v>
      </c>
      <c r="AF253" s="60">
        <f t="shared" si="127"/>
        <v>1</v>
      </c>
      <c r="AG253" s="60">
        <f t="shared" si="128"/>
        <v>38</v>
      </c>
      <c r="AH253" s="60">
        <f t="shared" si="129"/>
        <v>1</v>
      </c>
      <c r="AI253" s="60">
        <f t="shared" si="130"/>
        <v>1</v>
      </c>
      <c r="AK253" s="68" t="str">
        <f t="shared" si="105"/>
        <v>L4</v>
      </c>
      <c r="AM253" s="64" t="s">
        <v>1755</v>
      </c>
      <c r="AN253" s="64">
        <f t="shared" si="106"/>
        <v>65000000000186</v>
      </c>
      <c r="AO253" s="64">
        <f t="shared" si="107"/>
        <v>65000000000210</v>
      </c>
      <c r="AP253" s="64">
        <f t="shared" si="108"/>
        <v>65000000000210</v>
      </c>
      <c r="AQ253" s="64">
        <f t="shared" si="109"/>
        <v>65000000000241</v>
      </c>
      <c r="AS253" s="64">
        <f t="shared" si="110"/>
        <v>65000000000210</v>
      </c>
      <c r="AU253" s="59" t="str">
        <f t="shared" si="131"/>
        <v>PERFORM * FROM "SchData-OLTP-Accounting"."Func_TblChartOfAccount_SET"(varSystemLoginSession, null, null, null, varInstitutionBranchID, 62000000000001::bigint,'5-2017', 'Meal', 62000000000001::bigint, '2016-01-01 00:00:00'::timestamp, null::timestamp, 65000000000210::bigint, 66000000000001::bigint);</v>
      </c>
      <c r="AV253" s="65">
        <f t="shared" si="132"/>
        <v>65000000000243</v>
      </c>
      <c r="AW253" s="65">
        <f t="shared" si="133"/>
        <v>65000000000210</v>
      </c>
      <c r="AY253" s="65">
        <f t="shared" si="123"/>
        <v>65000000000147</v>
      </c>
      <c r="BA253" s="78">
        <f t="shared" si="134"/>
        <v>65000000000243</v>
      </c>
      <c r="BB253" s="81" t="str">
        <f t="shared" si="124"/>
        <v>PERFORM * FROM "SchData-OLTP-Accounting"."Func_TblChartOfAccount_SET"(varSystemLoginSession, null, null, null, null, null, varInstitutionBranchID, 62000000000001::bigint,'5-2017', 'Meal', 62000000000001::bigint, '2016-01-01 00:00:00'::timestamp, null::timestamp, 65000000000210::bigint, 66000000000001::bigint, FALSE::boolean);</v>
      </c>
    </row>
    <row r="254" spans="2:54" x14ac:dyDescent="0.2">
      <c r="B254" s="43"/>
      <c r="C254" s="42"/>
      <c r="D254" s="43"/>
      <c r="E254" s="42"/>
      <c r="F254" s="43"/>
      <c r="G254" s="42"/>
      <c r="H254" s="51"/>
      <c r="I254" s="18"/>
      <c r="J254" s="51" t="s">
        <v>1471</v>
      </c>
      <c r="K254" s="18" t="s">
        <v>1306</v>
      </c>
      <c r="L254" s="51"/>
      <c r="M254" s="18"/>
      <c r="O254" s="58" t="str">
        <f t="shared" si="111"/>
        <v>5-0000</v>
      </c>
      <c r="P254" s="58" t="str">
        <f t="shared" si="112"/>
        <v>5-2000</v>
      </c>
      <c r="Q254" s="58" t="str">
        <f t="shared" si="113"/>
        <v>2-1200</v>
      </c>
      <c r="R254" s="58" t="str">
        <f t="shared" si="114"/>
        <v>5-2017</v>
      </c>
      <c r="S254" s="58" t="str">
        <f t="shared" si="115"/>
        <v>5-2017.01</v>
      </c>
      <c r="T254" s="58" t="str">
        <f t="shared" si="116"/>
        <v xml:space="preserve"> </v>
      </c>
      <c r="V254" s="72">
        <f t="shared" si="117"/>
        <v>65000000000244</v>
      </c>
      <c r="W254" s="60">
        <f t="shared" si="118"/>
        <v>65000000000186</v>
      </c>
      <c r="X254" s="60">
        <f t="shared" si="119"/>
        <v>65000000000210</v>
      </c>
      <c r="Y254" s="60">
        <f t="shared" si="120"/>
        <v>65000000000147</v>
      </c>
      <c r="Z254" s="60">
        <f t="shared" si="121"/>
        <v>65000000000243</v>
      </c>
      <c r="AA254" s="60">
        <f t="shared" si="104"/>
        <v>65000000000244</v>
      </c>
      <c r="AB254" s="60">
        <f t="shared" si="122"/>
        <v>65000000000000</v>
      </c>
      <c r="AD254" s="60">
        <f t="shared" si="125"/>
        <v>5</v>
      </c>
      <c r="AE254" s="60">
        <f t="shared" si="126"/>
        <v>3</v>
      </c>
      <c r="AF254" s="60">
        <f t="shared" si="127"/>
        <v>1</v>
      </c>
      <c r="AG254" s="60">
        <f t="shared" si="128"/>
        <v>38</v>
      </c>
      <c r="AH254" s="60">
        <f t="shared" si="129"/>
        <v>2</v>
      </c>
      <c r="AI254" s="60">
        <f t="shared" si="130"/>
        <v>1</v>
      </c>
      <c r="AK254" s="68" t="str">
        <f t="shared" si="105"/>
        <v>L5</v>
      </c>
      <c r="AM254" s="64" t="s">
        <v>1755</v>
      </c>
      <c r="AN254" s="64">
        <f t="shared" si="106"/>
        <v>65000000000186</v>
      </c>
      <c r="AO254" s="64">
        <f t="shared" si="107"/>
        <v>65000000000210</v>
      </c>
      <c r="AP254" s="64">
        <f t="shared" si="108"/>
        <v>65000000000210</v>
      </c>
      <c r="AQ254" s="64">
        <f t="shared" si="109"/>
        <v>65000000000243</v>
      </c>
      <c r="AS254" s="64">
        <f t="shared" si="110"/>
        <v>65000000000243</v>
      </c>
      <c r="AU254" s="59" t="str">
        <f t="shared" si="131"/>
        <v>PERFORM * FROM "SchData-OLTP-Accounting"."Func_TblChartOfAccount_SET"(varSystemLoginSession, null, null, null, varInstitutionBranchID, 62000000000001::bigint,'5-2017.01', 'Meal (IDR)', 62000000000001::bigint, '2016-01-01 00:00:00'::timestamp, null::timestamp, 65000000000243::bigint, 66000000000001::bigint);</v>
      </c>
      <c r="AV254" s="65">
        <f t="shared" si="132"/>
        <v>65000000000244</v>
      </c>
      <c r="AW254" s="65">
        <f t="shared" si="133"/>
        <v>65000000000243</v>
      </c>
      <c r="AY254" s="65">
        <f t="shared" si="123"/>
        <v>65000000000243</v>
      </c>
      <c r="BA254" s="78">
        <f t="shared" si="134"/>
        <v>65000000000244</v>
      </c>
      <c r="BB254" s="81" t="str">
        <f t="shared" si="124"/>
        <v>PERFORM * FROM "SchData-OLTP-Accounting"."Func_TblChartOfAccount_SET"(varSystemLoginSession, null, null, null, null, null, varInstitutionBranchID, 62000000000001::bigint,'5-2017.01', 'Meal (IDR)', 62000000000001::bigint, '2016-01-01 00:00:00'::timestamp, null::timestamp, 65000000000243::bigint, 66000000000001::bigint, FALSE::boolean);</v>
      </c>
    </row>
    <row r="255" spans="2:54" x14ac:dyDescent="0.2">
      <c r="B255" s="43"/>
      <c r="C255" s="42"/>
      <c r="D255" s="43"/>
      <c r="E255" s="42"/>
      <c r="F255" s="43"/>
      <c r="G255" s="42"/>
      <c r="H255" s="51" t="s">
        <v>926</v>
      </c>
      <c r="I255" s="18" t="s">
        <v>405</v>
      </c>
      <c r="J255" s="51"/>
      <c r="K255" s="18"/>
      <c r="L255" s="51"/>
      <c r="M255" s="18"/>
      <c r="O255" s="58" t="str">
        <f t="shared" si="111"/>
        <v>5-0000</v>
      </c>
      <c r="P255" s="58" t="str">
        <f t="shared" si="112"/>
        <v>5-2000</v>
      </c>
      <c r="Q255" s="58" t="str">
        <f t="shared" si="113"/>
        <v>2-1200</v>
      </c>
      <c r="R255" s="58" t="str">
        <f t="shared" si="114"/>
        <v>5-2018</v>
      </c>
      <c r="S255" s="58" t="str">
        <f t="shared" si="115"/>
        <v>5-2017.01</v>
      </c>
      <c r="T255" s="58" t="str">
        <f t="shared" si="116"/>
        <v xml:space="preserve"> </v>
      </c>
      <c r="V255" s="72">
        <f t="shared" si="117"/>
        <v>65000000000245</v>
      </c>
      <c r="W255" s="60">
        <f t="shared" si="118"/>
        <v>65000000000186</v>
      </c>
      <c r="X255" s="60">
        <f t="shared" si="119"/>
        <v>65000000000210</v>
      </c>
      <c r="Y255" s="60">
        <f t="shared" si="120"/>
        <v>65000000000147</v>
      </c>
      <c r="Z255" s="60">
        <f t="shared" si="121"/>
        <v>65000000000245</v>
      </c>
      <c r="AA255" s="60">
        <f t="shared" si="104"/>
        <v>65000000000244</v>
      </c>
      <c r="AB255" s="60">
        <f t="shared" si="122"/>
        <v>65000000000000</v>
      </c>
      <c r="AD255" s="60">
        <f t="shared" si="125"/>
        <v>5</v>
      </c>
      <c r="AE255" s="60">
        <f t="shared" si="126"/>
        <v>3</v>
      </c>
      <c r="AF255" s="60">
        <f t="shared" si="127"/>
        <v>1</v>
      </c>
      <c r="AG255" s="60">
        <f t="shared" si="128"/>
        <v>39</v>
      </c>
      <c r="AH255" s="60">
        <f t="shared" si="129"/>
        <v>1</v>
      </c>
      <c r="AI255" s="60">
        <f t="shared" si="130"/>
        <v>1</v>
      </c>
      <c r="AK255" s="68" t="str">
        <f t="shared" si="105"/>
        <v>L4</v>
      </c>
      <c r="AM255" s="64" t="s">
        <v>1755</v>
      </c>
      <c r="AN255" s="64">
        <f t="shared" si="106"/>
        <v>65000000000186</v>
      </c>
      <c r="AO255" s="64">
        <f t="shared" si="107"/>
        <v>65000000000210</v>
      </c>
      <c r="AP255" s="64">
        <f t="shared" si="108"/>
        <v>65000000000210</v>
      </c>
      <c r="AQ255" s="64">
        <f t="shared" si="109"/>
        <v>65000000000243</v>
      </c>
      <c r="AS255" s="64">
        <f t="shared" si="110"/>
        <v>65000000000210</v>
      </c>
      <c r="AU255" s="59" t="str">
        <f t="shared" si="131"/>
        <v>PERFORM * FROM "SchData-OLTP-Accounting"."Func_TblChartOfAccount_SET"(varSystemLoginSession, null, null, null, varInstitutionBranchID, 62000000000001::bigint,'5-2018', 'Severance Pay - Project', 62000000000001::bigint, '2016-01-01 00:00:00'::timestamp, null::timestamp, 65000000000210::bigint, 66000000000001::bigint);</v>
      </c>
      <c r="AV255" s="65">
        <f t="shared" si="132"/>
        <v>65000000000245</v>
      </c>
      <c r="AW255" s="65">
        <f t="shared" si="133"/>
        <v>65000000000210</v>
      </c>
      <c r="AY255" s="65">
        <f t="shared" si="123"/>
        <v>65000000000147</v>
      </c>
      <c r="BA255" s="78">
        <f t="shared" si="134"/>
        <v>65000000000245</v>
      </c>
      <c r="BB255" s="81" t="str">
        <f t="shared" si="124"/>
        <v>PERFORM * FROM "SchData-OLTP-Accounting"."Func_TblChartOfAccount_SET"(varSystemLoginSession, null, null, null, null, null, varInstitutionBranchID, 62000000000001::bigint,'5-2018', 'Severance Pay - Project', 62000000000001::bigint, '2016-01-01 00:00:00'::timestamp, null::timestamp, 65000000000210::bigint, 66000000000001::bigint, FALSE::boolean);</v>
      </c>
    </row>
    <row r="256" spans="2:54" x14ac:dyDescent="0.2">
      <c r="B256" s="43"/>
      <c r="C256" s="42"/>
      <c r="D256" s="43"/>
      <c r="E256" s="42"/>
      <c r="F256" s="43"/>
      <c r="G256" s="42"/>
      <c r="H256" s="51"/>
      <c r="I256" s="18"/>
      <c r="J256" s="51" t="s">
        <v>1472</v>
      </c>
      <c r="K256" s="18" t="s">
        <v>1307</v>
      </c>
      <c r="L256" s="51"/>
      <c r="M256" s="18"/>
      <c r="O256" s="58" t="str">
        <f t="shared" si="111"/>
        <v>5-0000</v>
      </c>
      <c r="P256" s="58" t="str">
        <f t="shared" si="112"/>
        <v>5-2000</v>
      </c>
      <c r="Q256" s="58" t="str">
        <f t="shared" si="113"/>
        <v>2-1200</v>
      </c>
      <c r="R256" s="58" t="str">
        <f t="shared" si="114"/>
        <v>5-2018</v>
      </c>
      <c r="S256" s="58" t="str">
        <f t="shared" si="115"/>
        <v>5-2018.01</v>
      </c>
      <c r="T256" s="58" t="str">
        <f t="shared" si="116"/>
        <v xml:space="preserve"> </v>
      </c>
      <c r="V256" s="72">
        <f t="shared" si="117"/>
        <v>65000000000246</v>
      </c>
      <c r="W256" s="60">
        <f t="shared" si="118"/>
        <v>65000000000186</v>
      </c>
      <c r="X256" s="60">
        <f t="shared" si="119"/>
        <v>65000000000210</v>
      </c>
      <c r="Y256" s="60">
        <f t="shared" si="120"/>
        <v>65000000000147</v>
      </c>
      <c r="Z256" s="60">
        <f t="shared" si="121"/>
        <v>65000000000245</v>
      </c>
      <c r="AA256" s="60">
        <f t="shared" si="104"/>
        <v>65000000000246</v>
      </c>
      <c r="AB256" s="60">
        <f t="shared" si="122"/>
        <v>65000000000000</v>
      </c>
      <c r="AD256" s="60">
        <f t="shared" si="125"/>
        <v>5</v>
      </c>
      <c r="AE256" s="60">
        <f t="shared" si="126"/>
        <v>3</v>
      </c>
      <c r="AF256" s="60">
        <f t="shared" si="127"/>
        <v>1</v>
      </c>
      <c r="AG256" s="60">
        <f t="shared" si="128"/>
        <v>39</v>
      </c>
      <c r="AH256" s="60">
        <f t="shared" si="129"/>
        <v>2</v>
      </c>
      <c r="AI256" s="60">
        <f t="shared" si="130"/>
        <v>1</v>
      </c>
      <c r="AK256" s="68" t="str">
        <f t="shared" si="105"/>
        <v>L5</v>
      </c>
      <c r="AM256" s="64" t="s">
        <v>1755</v>
      </c>
      <c r="AN256" s="64">
        <f t="shared" si="106"/>
        <v>65000000000186</v>
      </c>
      <c r="AO256" s="64">
        <f t="shared" si="107"/>
        <v>65000000000210</v>
      </c>
      <c r="AP256" s="64">
        <f t="shared" si="108"/>
        <v>65000000000210</v>
      </c>
      <c r="AQ256" s="64">
        <f t="shared" si="109"/>
        <v>65000000000245</v>
      </c>
      <c r="AS256" s="64">
        <f t="shared" si="110"/>
        <v>65000000000245</v>
      </c>
      <c r="AU256" s="59" t="str">
        <f t="shared" si="131"/>
        <v>PERFORM * FROM "SchData-OLTP-Accounting"."Func_TblChartOfAccount_SET"(varSystemLoginSession, null, null, null, varInstitutionBranchID, 62000000000001::bigint,'5-2018.01', 'Severance Pay - Project (IDR)', 62000000000001::bigint, '2016-01-01 00:00:00'::timestamp, null::timestamp, 65000000000245::bigint, 66000000000001::bigint);</v>
      </c>
      <c r="AV256" s="65">
        <f t="shared" si="132"/>
        <v>65000000000246</v>
      </c>
      <c r="AW256" s="65">
        <f t="shared" si="133"/>
        <v>65000000000245</v>
      </c>
      <c r="AY256" s="65">
        <f t="shared" si="123"/>
        <v>65000000000245</v>
      </c>
      <c r="BA256" s="78">
        <f t="shared" si="134"/>
        <v>65000000000246</v>
      </c>
      <c r="BB256" s="81" t="str">
        <f t="shared" si="124"/>
        <v>PERFORM * FROM "SchData-OLTP-Accounting"."Func_TblChartOfAccount_SET"(varSystemLoginSession, null, null, null, null, null, varInstitutionBranchID, 62000000000001::bigint,'5-2018.01', 'Severance Pay - Project (IDR)', 62000000000001::bigint, '2016-01-01 00:00:00'::timestamp, null::timestamp, 65000000000245::bigint, 66000000000001::bigint, FALSE::boolean);</v>
      </c>
    </row>
    <row r="257" spans="2:54" x14ac:dyDescent="0.2">
      <c r="B257" s="43"/>
      <c r="C257" s="42"/>
      <c r="D257" s="43"/>
      <c r="E257" s="42"/>
      <c r="F257" s="43"/>
      <c r="G257" s="42"/>
      <c r="H257" s="51" t="s">
        <v>927</v>
      </c>
      <c r="I257" s="18" t="s">
        <v>407</v>
      </c>
      <c r="J257" s="51"/>
      <c r="K257" s="18"/>
      <c r="L257" s="51"/>
      <c r="M257" s="18"/>
      <c r="O257" s="58" t="str">
        <f t="shared" si="111"/>
        <v>5-0000</v>
      </c>
      <c r="P257" s="58" t="str">
        <f t="shared" si="112"/>
        <v>5-2000</v>
      </c>
      <c r="Q257" s="58" t="str">
        <f t="shared" si="113"/>
        <v>2-1200</v>
      </c>
      <c r="R257" s="58" t="str">
        <f t="shared" si="114"/>
        <v>5-2019</v>
      </c>
      <c r="S257" s="58" t="str">
        <f t="shared" si="115"/>
        <v>5-2018.01</v>
      </c>
      <c r="T257" s="58" t="str">
        <f t="shared" si="116"/>
        <v xml:space="preserve"> </v>
      </c>
      <c r="V257" s="72">
        <f t="shared" si="117"/>
        <v>65000000000247</v>
      </c>
      <c r="W257" s="60">
        <f t="shared" si="118"/>
        <v>65000000000186</v>
      </c>
      <c r="X257" s="60">
        <f t="shared" si="119"/>
        <v>65000000000210</v>
      </c>
      <c r="Y257" s="60">
        <f t="shared" si="120"/>
        <v>65000000000147</v>
      </c>
      <c r="Z257" s="60">
        <f t="shared" si="121"/>
        <v>65000000000247</v>
      </c>
      <c r="AA257" s="60">
        <f t="shared" si="104"/>
        <v>65000000000246</v>
      </c>
      <c r="AB257" s="60">
        <f t="shared" si="122"/>
        <v>65000000000000</v>
      </c>
      <c r="AD257" s="60">
        <f t="shared" si="125"/>
        <v>5</v>
      </c>
      <c r="AE257" s="60">
        <f t="shared" si="126"/>
        <v>3</v>
      </c>
      <c r="AF257" s="60">
        <f t="shared" si="127"/>
        <v>1</v>
      </c>
      <c r="AG257" s="60">
        <f t="shared" si="128"/>
        <v>40</v>
      </c>
      <c r="AH257" s="60">
        <f t="shared" si="129"/>
        <v>1</v>
      </c>
      <c r="AI257" s="60">
        <f t="shared" si="130"/>
        <v>1</v>
      </c>
      <c r="AK257" s="68" t="str">
        <f t="shared" si="105"/>
        <v>L4</v>
      </c>
      <c r="AM257" s="64" t="s">
        <v>1755</v>
      </c>
      <c r="AN257" s="64">
        <f t="shared" si="106"/>
        <v>65000000000186</v>
      </c>
      <c r="AO257" s="64">
        <f t="shared" si="107"/>
        <v>65000000000210</v>
      </c>
      <c r="AP257" s="64">
        <f t="shared" si="108"/>
        <v>65000000000210</v>
      </c>
      <c r="AQ257" s="64">
        <f t="shared" si="109"/>
        <v>65000000000245</v>
      </c>
      <c r="AS257" s="64">
        <f t="shared" si="110"/>
        <v>65000000000210</v>
      </c>
      <c r="AU257" s="59" t="str">
        <f t="shared" si="131"/>
        <v>PERFORM * FROM "SchData-OLTP-Accounting"."Func_TblChartOfAccount_SET"(varSystemLoginSession, null, null, null, varInstitutionBranchID, 62000000000001::bigint,'5-2019', 'Sub Contractor', 62000000000001::bigint, '2016-01-01 00:00:00'::timestamp, null::timestamp, 65000000000210::bigint, 66000000000001::bigint);</v>
      </c>
      <c r="AV257" s="65">
        <f t="shared" si="132"/>
        <v>65000000000247</v>
      </c>
      <c r="AW257" s="65">
        <f t="shared" si="133"/>
        <v>65000000000210</v>
      </c>
      <c r="AY257" s="65">
        <f t="shared" si="123"/>
        <v>65000000000147</v>
      </c>
      <c r="BA257" s="78">
        <f t="shared" si="134"/>
        <v>65000000000247</v>
      </c>
      <c r="BB257" s="81" t="str">
        <f t="shared" si="124"/>
        <v>PERFORM * FROM "SchData-OLTP-Accounting"."Func_TblChartOfAccount_SET"(varSystemLoginSession, null, null, null, null, null, varInstitutionBranchID, 62000000000001::bigint,'5-2019', 'Sub Contractor', 62000000000001::bigint, '2016-01-01 00:00:00'::timestamp, null::timestamp, 65000000000210::bigint, 66000000000001::bigint, FALSE::boolean);</v>
      </c>
    </row>
    <row r="258" spans="2:54" x14ac:dyDescent="0.2">
      <c r="B258" s="43"/>
      <c r="C258" s="42"/>
      <c r="D258" s="43"/>
      <c r="E258" s="42"/>
      <c r="F258" s="43"/>
      <c r="G258" s="42"/>
      <c r="H258" s="51"/>
      <c r="I258" s="18"/>
      <c r="J258" s="51" t="s">
        <v>1473</v>
      </c>
      <c r="K258" s="18" t="s">
        <v>1308</v>
      </c>
      <c r="L258" s="51"/>
      <c r="M258" s="18"/>
      <c r="O258" s="58" t="str">
        <f t="shared" si="111"/>
        <v>5-0000</v>
      </c>
      <c r="P258" s="58" t="str">
        <f t="shared" si="112"/>
        <v>5-2000</v>
      </c>
      <c r="Q258" s="58" t="str">
        <f t="shared" si="113"/>
        <v>2-1200</v>
      </c>
      <c r="R258" s="58" t="str">
        <f t="shared" si="114"/>
        <v>5-2019</v>
      </c>
      <c r="S258" s="58" t="str">
        <f t="shared" si="115"/>
        <v>5-2019.01</v>
      </c>
      <c r="T258" s="58" t="str">
        <f t="shared" si="116"/>
        <v xml:space="preserve"> </v>
      </c>
      <c r="V258" s="72">
        <f t="shared" si="117"/>
        <v>65000000000248</v>
      </c>
      <c r="W258" s="60">
        <f t="shared" si="118"/>
        <v>65000000000186</v>
      </c>
      <c r="X258" s="60">
        <f t="shared" si="119"/>
        <v>65000000000210</v>
      </c>
      <c r="Y258" s="60">
        <f t="shared" si="120"/>
        <v>65000000000147</v>
      </c>
      <c r="Z258" s="60">
        <f t="shared" si="121"/>
        <v>65000000000247</v>
      </c>
      <c r="AA258" s="60">
        <f t="shared" si="104"/>
        <v>65000000000248</v>
      </c>
      <c r="AB258" s="60">
        <f t="shared" si="122"/>
        <v>65000000000000</v>
      </c>
      <c r="AD258" s="60">
        <f t="shared" si="125"/>
        <v>5</v>
      </c>
      <c r="AE258" s="60">
        <f t="shared" si="126"/>
        <v>3</v>
      </c>
      <c r="AF258" s="60">
        <f t="shared" si="127"/>
        <v>1</v>
      </c>
      <c r="AG258" s="60">
        <f t="shared" si="128"/>
        <v>40</v>
      </c>
      <c r="AH258" s="60">
        <f t="shared" si="129"/>
        <v>2</v>
      </c>
      <c r="AI258" s="60">
        <f t="shared" si="130"/>
        <v>1</v>
      </c>
      <c r="AK258" s="68" t="str">
        <f t="shared" si="105"/>
        <v>L5</v>
      </c>
      <c r="AM258" s="64" t="s">
        <v>1755</v>
      </c>
      <c r="AN258" s="64">
        <f t="shared" si="106"/>
        <v>65000000000186</v>
      </c>
      <c r="AO258" s="64">
        <f t="shared" si="107"/>
        <v>65000000000210</v>
      </c>
      <c r="AP258" s="64">
        <f t="shared" si="108"/>
        <v>65000000000210</v>
      </c>
      <c r="AQ258" s="64">
        <f t="shared" si="109"/>
        <v>65000000000247</v>
      </c>
      <c r="AS258" s="64">
        <f t="shared" si="110"/>
        <v>65000000000247</v>
      </c>
      <c r="AU258" s="59" t="str">
        <f t="shared" si="131"/>
        <v>PERFORM * FROM "SchData-OLTP-Accounting"."Func_TblChartOfAccount_SET"(varSystemLoginSession, null, null, null, varInstitutionBranchID, 62000000000001::bigint,'5-2019.01', 'Sub Contractor (IDR)', 62000000000001::bigint, '2016-01-01 00:00:00'::timestamp, null::timestamp, 65000000000247::bigint, 66000000000001::bigint);</v>
      </c>
      <c r="AV258" s="65">
        <f t="shared" si="132"/>
        <v>65000000000248</v>
      </c>
      <c r="AW258" s="65">
        <f t="shared" si="133"/>
        <v>65000000000247</v>
      </c>
      <c r="AY258" s="65">
        <f t="shared" si="123"/>
        <v>65000000000247</v>
      </c>
      <c r="BA258" s="78">
        <f t="shared" si="134"/>
        <v>65000000000248</v>
      </c>
      <c r="BB258" s="81" t="str">
        <f t="shared" si="124"/>
        <v>PERFORM * FROM "SchData-OLTP-Accounting"."Func_TblChartOfAccount_SET"(varSystemLoginSession, null, null, null, null, null, varInstitutionBranchID, 62000000000001::bigint,'5-2019.01', 'Sub Contractor (IDR)', 62000000000001::bigint, '2016-01-01 00:00:00'::timestamp, null::timestamp, 65000000000247::bigint, 66000000000001::bigint, FALSE::boolean);</v>
      </c>
    </row>
    <row r="259" spans="2:54" x14ac:dyDescent="0.2">
      <c r="B259" s="43"/>
      <c r="C259" s="42"/>
      <c r="D259" s="43"/>
      <c r="E259" s="42"/>
      <c r="F259" s="43"/>
      <c r="G259" s="42"/>
      <c r="H259" s="51" t="s">
        <v>1474</v>
      </c>
      <c r="I259" s="42" t="s">
        <v>1169</v>
      </c>
      <c r="J259" s="51"/>
      <c r="K259" s="18"/>
      <c r="L259" s="51"/>
      <c r="M259" s="18"/>
      <c r="O259" s="58" t="str">
        <f t="shared" si="111"/>
        <v>5-0000</v>
      </c>
      <c r="P259" s="58" t="str">
        <f t="shared" si="112"/>
        <v>5-2000</v>
      </c>
      <c r="Q259" s="58" t="str">
        <f t="shared" si="113"/>
        <v>2-1200</v>
      </c>
      <c r="R259" s="58" t="str">
        <f t="shared" si="114"/>
        <v>5-2099</v>
      </c>
      <c r="S259" s="58" t="str">
        <f t="shared" si="115"/>
        <v>5-2019.01</v>
      </c>
      <c r="T259" s="58" t="str">
        <f t="shared" si="116"/>
        <v xml:space="preserve"> </v>
      </c>
      <c r="V259" s="72">
        <f t="shared" si="117"/>
        <v>65000000000249</v>
      </c>
      <c r="W259" s="60">
        <f t="shared" si="118"/>
        <v>65000000000186</v>
      </c>
      <c r="X259" s="60">
        <f t="shared" si="119"/>
        <v>65000000000210</v>
      </c>
      <c r="Y259" s="60">
        <f t="shared" si="120"/>
        <v>65000000000147</v>
      </c>
      <c r="Z259" s="60">
        <f t="shared" si="121"/>
        <v>65000000000249</v>
      </c>
      <c r="AA259" s="60">
        <f t="shared" si="104"/>
        <v>65000000000248</v>
      </c>
      <c r="AB259" s="60">
        <f t="shared" si="122"/>
        <v>65000000000000</v>
      </c>
      <c r="AD259" s="60">
        <f t="shared" si="125"/>
        <v>5</v>
      </c>
      <c r="AE259" s="60">
        <f t="shared" si="126"/>
        <v>3</v>
      </c>
      <c r="AF259" s="60">
        <f t="shared" si="127"/>
        <v>1</v>
      </c>
      <c r="AG259" s="60">
        <f t="shared" si="128"/>
        <v>41</v>
      </c>
      <c r="AH259" s="60">
        <f t="shared" si="129"/>
        <v>1</v>
      </c>
      <c r="AI259" s="60">
        <f t="shared" si="130"/>
        <v>1</v>
      </c>
      <c r="AK259" s="68" t="str">
        <f t="shared" si="105"/>
        <v>L4</v>
      </c>
      <c r="AM259" s="64" t="s">
        <v>1755</v>
      </c>
      <c r="AN259" s="64">
        <f t="shared" si="106"/>
        <v>65000000000186</v>
      </c>
      <c r="AO259" s="64">
        <f t="shared" si="107"/>
        <v>65000000000210</v>
      </c>
      <c r="AP259" s="64">
        <f t="shared" si="108"/>
        <v>65000000000210</v>
      </c>
      <c r="AQ259" s="64">
        <f t="shared" si="109"/>
        <v>65000000000247</v>
      </c>
      <c r="AS259" s="64">
        <f t="shared" si="110"/>
        <v>65000000000210</v>
      </c>
      <c r="AU259" s="59" t="str">
        <f t="shared" si="131"/>
        <v>PERFORM * FROM "SchData-OLTP-Accounting"."Func_TblChartOfAccount_SET"(varSystemLoginSession, null, null, null, varInstitutionBranchID, 62000000000001::bigint,'5-2099', 'Other Cost of Labor', 62000000000001::bigint, '2016-01-01 00:00:00'::timestamp, null::timestamp, 65000000000210::bigint, 66000000000001::bigint);</v>
      </c>
      <c r="AV259" s="65">
        <f t="shared" si="132"/>
        <v>65000000000249</v>
      </c>
      <c r="AW259" s="65">
        <f t="shared" si="133"/>
        <v>65000000000210</v>
      </c>
      <c r="AY259" s="65">
        <f t="shared" si="123"/>
        <v>65000000000147</v>
      </c>
      <c r="BA259" s="78">
        <f t="shared" si="134"/>
        <v>65000000000249</v>
      </c>
      <c r="BB259" s="81" t="str">
        <f t="shared" si="124"/>
        <v>PERFORM * FROM "SchData-OLTP-Accounting"."Func_TblChartOfAccount_SET"(varSystemLoginSession, null, null, null, null, null, varInstitutionBranchID, 62000000000001::bigint,'5-2099', 'Other Cost of Labor', 62000000000001::bigint, '2016-01-01 00:00:00'::timestamp, null::timestamp, 65000000000210::bigint, 66000000000001::bigint, FALSE::boolean);</v>
      </c>
    </row>
    <row r="260" spans="2:54" x14ac:dyDescent="0.2">
      <c r="B260" s="43"/>
      <c r="C260" s="42"/>
      <c r="D260" s="43"/>
      <c r="E260" s="42"/>
      <c r="F260" s="43"/>
      <c r="G260" s="42"/>
      <c r="H260" s="51"/>
      <c r="I260" s="18"/>
      <c r="J260" s="51" t="s">
        <v>1475</v>
      </c>
      <c r="K260" s="42" t="s">
        <v>1309</v>
      </c>
      <c r="L260" s="51"/>
      <c r="M260" s="18"/>
      <c r="O260" s="58" t="str">
        <f t="shared" si="111"/>
        <v>5-0000</v>
      </c>
      <c r="P260" s="58" t="str">
        <f t="shared" si="112"/>
        <v>5-2000</v>
      </c>
      <c r="Q260" s="58" t="str">
        <f t="shared" si="113"/>
        <v>2-1200</v>
      </c>
      <c r="R260" s="58" t="str">
        <f t="shared" si="114"/>
        <v>5-2099</v>
      </c>
      <c r="S260" s="58" t="str">
        <f t="shared" si="115"/>
        <v>5-2099.01</v>
      </c>
      <c r="T260" s="58" t="str">
        <f t="shared" si="116"/>
        <v xml:space="preserve"> </v>
      </c>
      <c r="V260" s="72">
        <f t="shared" si="117"/>
        <v>65000000000250</v>
      </c>
      <c r="W260" s="60">
        <f t="shared" si="118"/>
        <v>65000000000186</v>
      </c>
      <c r="X260" s="60">
        <f t="shared" si="119"/>
        <v>65000000000210</v>
      </c>
      <c r="Y260" s="60">
        <f t="shared" si="120"/>
        <v>65000000000147</v>
      </c>
      <c r="Z260" s="60">
        <f t="shared" si="121"/>
        <v>65000000000249</v>
      </c>
      <c r="AA260" s="60">
        <f t="shared" si="104"/>
        <v>65000000000250</v>
      </c>
      <c r="AB260" s="60">
        <f t="shared" si="122"/>
        <v>65000000000000</v>
      </c>
      <c r="AD260" s="60">
        <f t="shared" si="125"/>
        <v>5</v>
      </c>
      <c r="AE260" s="60">
        <f t="shared" si="126"/>
        <v>3</v>
      </c>
      <c r="AF260" s="60">
        <f t="shared" si="127"/>
        <v>1</v>
      </c>
      <c r="AG260" s="60">
        <f t="shared" si="128"/>
        <v>41</v>
      </c>
      <c r="AH260" s="60">
        <f t="shared" si="129"/>
        <v>2</v>
      </c>
      <c r="AI260" s="60">
        <f t="shared" si="130"/>
        <v>1</v>
      </c>
      <c r="AK260" s="68" t="str">
        <f t="shared" si="105"/>
        <v>L5</v>
      </c>
      <c r="AM260" s="64" t="s">
        <v>1755</v>
      </c>
      <c r="AN260" s="64">
        <f t="shared" si="106"/>
        <v>65000000000186</v>
      </c>
      <c r="AO260" s="64">
        <f t="shared" si="107"/>
        <v>65000000000210</v>
      </c>
      <c r="AP260" s="64">
        <f t="shared" si="108"/>
        <v>65000000000210</v>
      </c>
      <c r="AQ260" s="64">
        <f t="shared" si="109"/>
        <v>65000000000249</v>
      </c>
      <c r="AS260" s="64">
        <f t="shared" si="110"/>
        <v>65000000000249</v>
      </c>
      <c r="AU260" s="59" t="str">
        <f t="shared" si="131"/>
        <v>PERFORM * FROM "SchData-OLTP-Accounting"."Func_TblChartOfAccount_SET"(varSystemLoginSession, null, null, null, varInstitutionBranchID, 62000000000001::bigint,'5-2099.01', 'Other Cost of Labor (IDR)', 62000000000001::bigint, '2016-01-01 00:00:00'::timestamp, null::timestamp, 65000000000249::bigint, 66000000000001::bigint);</v>
      </c>
      <c r="AV260" s="65">
        <f t="shared" si="132"/>
        <v>65000000000250</v>
      </c>
      <c r="AW260" s="65">
        <f t="shared" si="133"/>
        <v>65000000000249</v>
      </c>
      <c r="AY260" s="65">
        <f t="shared" si="123"/>
        <v>65000000000249</v>
      </c>
      <c r="BA260" s="78">
        <f t="shared" si="134"/>
        <v>65000000000250</v>
      </c>
      <c r="BB260" s="81" t="str">
        <f t="shared" si="124"/>
        <v>PERFORM * FROM "SchData-OLTP-Accounting"."Func_TblChartOfAccount_SET"(varSystemLoginSession, null, null, null, null, null, varInstitutionBranchID, 62000000000001::bigint,'5-2099.01', 'Other Cost of Labor (IDR)', 62000000000001::bigint, '2016-01-01 00:00:00'::timestamp, null::timestamp, 65000000000249::bigint, 66000000000001::bigint, FALSE::boolean);</v>
      </c>
    </row>
    <row r="261" spans="2:54" x14ac:dyDescent="0.2">
      <c r="B261" s="41"/>
      <c r="C261" s="42"/>
      <c r="D261" s="43" t="s">
        <v>1101</v>
      </c>
      <c r="E261" s="42" t="s">
        <v>901</v>
      </c>
      <c r="F261" s="43"/>
      <c r="G261" s="42"/>
      <c r="H261" s="51"/>
      <c r="I261" s="18"/>
      <c r="J261" s="51"/>
      <c r="K261" s="18"/>
      <c r="L261" s="51"/>
      <c r="M261" s="18"/>
      <c r="O261" s="58" t="str">
        <f t="shared" si="111"/>
        <v>5-0000</v>
      </c>
      <c r="P261" s="58" t="str">
        <f t="shared" si="112"/>
        <v>5-3000</v>
      </c>
      <c r="Q261" s="58" t="str">
        <f t="shared" si="113"/>
        <v>2-1200</v>
      </c>
      <c r="R261" s="58" t="str">
        <f t="shared" si="114"/>
        <v>5-2099</v>
      </c>
      <c r="S261" s="58" t="str">
        <f t="shared" si="115"/>
        <v>5-2099.01</v>
      </c>
      <c r="T261" s="58" t="str">
        <f t="shared" si="116"/>
        <v xml:space="preserve"> </v>
      </c>
      <c r="V261" s="72">
        <f t="shared" si="117"/>
        <v>65000000000251</v>
      </c>
      <c r="W261" s="60">
        <f t="shared" si="118"/>
        <v>65000000000186</v>
      </c>
      <c r="X261" s="60">
        <f t="shared" si="119"/>
        <v>65000000000251</v>
      </c>
      <c r="Y261" s="60">
        <f t="shared" si="120"/>
        <v>65000000000147</v>
      </c>
      <c r="Z261" s="60">
        <f t="shared" si="121"/>
        <v>65000000000249</v>
      </c>
      <c r="AA261" s="60">
        <f t="shared" ref="AA261:AA324" si="135">IF(EXACT($J261, ""), $AA260, $V261)</f>
        <v>65000000000250</v>
      </c>
      <c r="AB261" s="60">
        <f t="shared" si="122"/>
        <v>65000000000000</v>
      </c>
      <c r="AD261" s="60">
        <f t="shared" si="125"/>
        <v>5</v>
      </c>
      <c r="AE261" s="60">
        <f t="shared" si="126"/>
        <v>4</v>
      </c>
      <c r="AF261" s="60">
        <f t="shared" si="127"/>
        <v>1</v>
      </c>
      <c r="AG261" s="60">
        <f t="shared" si="128"/>
        <v>41</v>
      </c>
      <c r="AH261" s="60">
        <f t="shared" si="129"/>
        <v>2</v>
      </c>
      <c r="AI261" s="60">
        <f t="shared" si="130"/>
        <v>1</v>
      </c>
      <c r="AK261" s="68" t="str">
        <f t="shared" ref="AK261:AK324" si="136" xml:space="preserve">
IF(AA261&lt;&gt;AA260,
     "L5",
     IF(Z261&lt;&gt;Z260,
          "L4",
          IF(Y261&lt;&gt;Y260,
               "L3",
               IF(X261&lt;&gt;X260,
                    "L2",
                     IF(W261&lt;&gt;W260,
                         "L1",
                         "L1"
                         )
                    )
               )
          )
     )</f>
        <v>L2</v>
      </c>
      <c r="AM261" s="64" t="s">
        <v>1755</v>
      </c>
      <c r="AN261" s="64">
        <f t="shared" ref="AN261:AN324" si="137">IF(EXACT($AK260, "L1"), $W260, AN260)</f>
        <v>65000000000186</v>
      </c>
      <c r="AO261" s="64">
        <f t="shared" ref="AO261:AO324" si="138">IF(EXACT($AK260, "L1"), $W260, IF(EXACT($AK260, "L2"), $X260, AO260))</f>
        <v>65000000000210</v>
      </c>
      <c r="AP261" s="64">
        <f t="shared" ref="AP261:AP324" si="139">IF(EXACT($AK260, "L1"), $W260, IF(EXACT($AK260, "L2"), $X260, IF(EXACT($AK260, "L3"), $Y260, AP260)))</f>
        <v>65000000000210</v>
      </c>
      <c r="AQ261" s="64">
        <f t="shared" ref="AQ261:AQ324" si="140">IF(EXACT($AK260, "L1"), $W260, IF(EXACT($AK260, "L2"), $X260, IF(EXACT($AK260, "L3"), $Y260, IF(EXACT($AK260, "L4"), $Z260, AQ260))))</f>
        <v>65000000000249</v>
      </c>
      <c r="AS261" s="64">
        <f t="shared" ref="AS261:AS324" si="141">IF(EXACT($AK261, "L1"), AM261, IF(EXACT($AK261, "L2"), AN261, IF(EXACT($AK261, "L3"), AO261, IF(EXACT($AK261, "L4"), AP261, IF(EXACT($AK261, "L5"), AQ261, "")))))</f>
        <v>65000000000186</v>
      </c>
      <c r="AU261" s="59" t="str">
        <f t="shared" si="131"/>
        <v>PERFORM * FROM "SchData-OLTP-Accounting"."Func_TblChartOfAccount_SET"(varSystemLoginSession, null, null, null, varInstitutionBranchID, 62000000000001::bigint,'5-3000', 'Indirect Cost', 62000000000001::bigint, '2016-01-01 00:00:00'::timestamp, null::timestamp, 65000000000186::bigint, 66000000000001::bigint);</v>
      </c>
      <c r="AV261" s="65">
        <f t="shared" si="132"/>
        <v>65000000000251</v>
      </c>
      <c r="AW261" s="65">
        <f t="shared" si="133"/>
        <v>65000000000186</v>
      </c>
      <c r="AY261" s="65">
        <f t="shared" si="123"/>
        <v>65000000000186</v>
      </c>
      <c r="BA261" s="78">
        <f t="shared" si="134"/>
        <v>65000000000251</v>
      </c>
      <c r="BB261" s="81" t="str">
        <f t="shared" si="124"/>
        <v>PERFORM * FROM "SchData-OLTP-Accounting"."Func_TblChartOfAccount_SET"(varSystemLoginSession, null, null, null, null, null, varInstitutionBranchID, 62000000000001::bigint,'5-3000', 'Indirect Cost', 62000000000001::bigint, '2016-01-01 00:00:00'::timestamp, null::timestamp, 65000000000186::bigint, 66000000000001::bigint, FALSE::boolean);</v>
      </c>
    </row>
    <row r="262" spans="2:54" x14ac:dyDescent="0.2">
      <c r="B262" s="41"/>
      <c r="C262" s="42"/>
      <c r="D262" s="43"/>
      <c r="E262" s="42"/>
      <c r="F262" s="43"/>
      <c r="G262" s="42"/>
      <c r="H262" s="51" t="s">
        <v>928</v>
      </c>
      <c r="I262" s="18" t="s">
        <v>411</v>
      </c>
      <c r="J262" s="51"/>
      <c r="K262" s="18"/>
      <c r="L262" s="51"/>
      <c r="M262" s="18"/>
      <c r="O262" s="58" t="str">
        <f t="shared" ref="O262:O325" si="142">IF(EXACT($B262, ""), $O261, $B262)</f>
        <v>5-0000</v>
      </c>
      <c r="P262" s="58" t="str">
        <f t="shared" ref="P262:P325" si="143">IF(EXACT($D262, ""), $P261, $D262)</f>
        <v>5-3000</v>
      </c>
      <c r="Q262" s="58" t="str">
        <f t="shared" ref="Q262:Q325" si="144">IF(EXACT($F262, ""), $Q261, $F262)</f>
        <v>2-1200</v>
      </c>
      <c r="R262" s="58" t="str">
        <f t="shared" ref="R262:R325" si="145">IF(EXACT($H262, ""), $R261, $H262)</f>
        <v>5-3001</v>
      </c>
      <c r="S262" s="58" t="str">
        <f t="shared" ref="S262:S325" si="146">IF(EXACT($J262, ""), $S261, $J262)</f>
        <v>5-2099.01</v>
      </c>
      <c r="T262" s="58" t="str">
        <f t="shared" ref="T262:T325" si="147">IF(EXACT($L262, ""), $T261, $L262)</f>
        <v xml:space="preserve"> </v>
      </c>
      <c r="V262" s="72">
        <f t="shared" ref="V262:V325" si="148">V261+IF(AND(EXACT(B262, ""), EXACT(D262, ""), EXACT(F262, ""), EXACT(H262, ""), EXACT(J262, ""), EXACT(L262, "")), 0, 1)</f>
        <v>65000000000252</v>
      </c>
      <c r="W262" s="60">
        <f t="shared" ref="W262:W325" si="149">IF(EXACT($B262, ""), $W261, $V262)</f>
        <v>65000000000186</v>
      </c>
      <c r="X262" s="60">
        <f t="shared" ref="X262:X325" si="150">IF(EXACT($D262, ""), $X261, $V262)</f>
        <v>65000000000251</v>
      </c>
      <c r="Y262" s="60">
        <f t="shared" ref="Y262:Y325" si="151">IF(EXACT($F262, ""), $Y261, $V262)</f>
        <v>65000000000147</v>
      </c>
      <c r="Z262" s="60">
        <f t="shared" ref="Z262:Z325" si="152">IF(EXACT($H262, ""), $Z261, $V262)</f>
        <v>65000000000252</v>
      </c>
      <c r="AA262" s="60">
        <f t="shared" si="135"/>
        <v>65000000000250</v>
      </c>
      <c r="AB262" s="60">
        <f t="shared" ref="AB262:AB325" si="153">IF(EXACT($L262, ""), $AB261, $V262)</f>
        <v>65000000000000</v>
      </c>
      <c r="AD262" s="60">
        <f t="shared" si="125"/>
        <v>5</v>
      </c>
      <c r="AE262" s="60">
        <f t="shared" si="126"/>
        <v>4</v>
      </c>
      <c r="AF262" s="60">
        <f t="shared" si="127"/>
        <v>1</v>
      </c>
      <c r="AG262" s="60">
        <f t="shared" si="128"/>
        <v>42</v>
      </c>
      <c r="AH262" s="60">
        <f t="shared" si="129"/>
        <v>1</v>
      </c>
      <c r="AI262" s="60">
        <f t="shared" si="130"/>
        <v>1</v>
      </c>
      <c r="AK262" s="68" t="str">
        <f t="shared" si="136"/>
        <v>L4</v>
      </c>
      <c r="AM262" s="64" t="s">
        <v>1755</v>
      </c>
      <c r="AN262" s="64">
        <f t="shared" si="137"/>
        <v>65000000000186</v>
      </c>
      <c r="AO262" s="64">
        <f t="shared" si="138"/>
        <v>65000000000251</v>
      </c>
      <c r="AP262" s="64">
        <f t="shared" si="139"/>
        <v>65000000000251</v>
      </c>
      <c r="AQ262" s="64">
        <f t="shared" si="140"/>
        <v>65000000000251</v>
      </c>
      <c r="AS262" s="64">
        <f t="shared" si="141"/>
        <v>65000000000251</v>
      </c>
      <c r="AU262" s="59" t="str">
        <f t="shared" si="131"/>
        <v>PERFORM * FROM "SchData-OLTP-Accounting"."Func_TblChartOfAccount_SET"(varSystemLoginSession, null, null, null, varInstitutionBranchID, 62000000000001::bigint,'5-3001', 'Consumables', 62000000000001::bigint, '2016-01-01 00:00:00'::timestamp, null::timestamp, 65000000000251::bigint, 66000000000001::bigint);</v>
      </c>
      <c r="AV262" s="65">
        <f t="shared" si="132"/>
        <v>65000000000252</v>
      </c>
      <c r="AW262" s="65">
        <f t="shared" si="133"/>
        <v>65000000000251</v>
      </c>
      <c r="AY262" s="65">
        <f t="shared" ref="AY262:AY325" si="154">IF(AND(EXACT($B262, ""), EXACT($D262, ""), EXACT($F262, ""), EXACT($H262, ""), EXACT($J262, ""), EXACT($L262, "")), "",
IF(NOT(EXACT($B262, "")), "null",
IF(NOT(EXACT($D262, "")), IF($W261&lt;&gt;$W260, $W261, $W262),
IF(NOT(EXACT($F262, "")), IF($X261&lt;&gt;$X260, $X261, IF($W261&lt;&gt;$W260, $W261, $X262)),
IF(NOT(EXACT($H262, "")), IF($Y261&lt;&gt;$Y260, $Y261, IF($X261&lt;&gt;$X260, $X261, IF($W261&lt;&gt;$W260, $W261, $Y262))),
IF(NOT(EXACT($J262, "")), IF($Z261&lt;&gt;$Z260, $Z261, IF($Y261&lt;&gt;$Y260, $Y261, IF($X261&lt;&gt;$X260, $X261, IF($W261&lt;&gt;$W260, $W261, $Z262)))),
IF(NOT(EXACT($L262, "")), IF($AA261&lt;&gt;$AA260, $AA261, IF($Z261&lt;&gt;$Z260, $Z261, IF($Y261&lt;&gt;$Y260, $Y261, IF($X261&lt;&gt;$X260, $X261, IF($W261&lt;&gt;$W260, $W261, $AA262))))),
"others")))))))</f>
        <v>65000000000251</v>
      </c>
      <c r="BA262" s="78">
        <f t="shared" si="134"/>
        <v>65000000000252</v>
      </c>
      <c r="BB262" s="81" t="str">
        <f t="shared" ref="BB262:BB325" si="155">IF(AND(EXACT($B262, ""), EXACT($D262, ""), EXACT($F262, ""), EXACT($H262, ""), EXACT($J262, ""), EXACT($L262, "")), "", CONCATENATE(
"PERFORM * FROM ""SchData-OLTP-Accounting"".""Func_TblChartOfAccount_SET""(varSystemLoginSession, null, null, null, null, null, varInstitutionBranchID, 62000000000001::bigint,'",
IF(EXACT($B262, ""), IF(EXACT($D262, ""), IF(EXACT($F262, ""), IF(EXACT($H262, ""), IF(EXACT($J262, ""), IF(EXACT($L262, ""), "", $L262), $J262), $H262), $F262), $D262), $B262),
"', '",
IF(EXACT($B262, ""), IF(EXACT($D262, ""), IF(EXACT($F262, ""), IF(EXACT($H262, ""), IF(EXACT($J262, ""), IF(EXACT($L262, ""), "", $M262), $K262), $I262), $G262), $E262), $C262),
"', ",
IF(EXACT($J262, ""), "62000000000001::bigint", IF((RIGHT($J262, 2)*1 = 1), "62000000000001::bigint", IF((RIGHT($J262, 2)*1 = 2), "62000000000002::bigint", "null"))),
", '2016-01-01 00:00:00'::timestamp, null::timestamp, ", $AW262, "::bigint, 66000000000001::bigint, ", IF(EXACT(LEFT(IF(EXACT($B262, ""), IF(EXACT($D262, ""), IF(EXACT($F262, ""), IF(EXACT($H262, ""), IF(EXACT($J262, ""), IF(EXACT($L262, ""), "", $L262), $J262), $H262), $F262), $D262), $B262), 1), "1"), "TRUE", "FALSE"), "::boolean);"))</f>
        <v>PERFORM * FROM "SchData-OLTP-Accounting"."Func_TblChartOfAccount_SET"(varSystemLoginSession, null, null, null, null, null, varInstitutionBranchID, 62000000000001::bigint,'5-3001', 'Consumables', 62000000000001::bigint, '2016-01-01 00:00:00'::timestamp, null::timestamp, 65000000000251::bigint, 66000000000001::bigint, FALSE::boolean);</v>
      </c>
    </row>
    <row r="263" spans="2:54" x14ac:dyDescent="0.2">
      <c r="B263" s="41"/>
      <c r="C263" s="42"/>
      <c r="D263" s="43"/>
      <c r="E263" s="42"/>
      <c r="F263" s="43"/>
      <c r="G263" s="42"/>
      <c r="H263" s="51"/>
      <c r="I263" s="18"/>
      <c r="J263" s="51" t="s">
        <v>1476</v>
      </c>
      <c r="K263" s="18" t="s">
        <v>1310</v>
      </c>
      <c r="L263" s="51"/>
      <c r="M263" s="18"/>
      <c r="O263" s="58" t="str">
        <f t="shared" si="142"/>
        <v>5-0000</v>
      </c>
      <c r="P263" s="58" t="str">
        <f t="shared" si="143"/>
        <v>5-3000</v>
      </c>
      <c r="Q263" s="58" t="str">
        <f t="shared" si="144"/>
        <v>2-1200</v>
      </c>
      <c r="R263" s="58" t="str">
        <f t="shared" si="145"/>
        <v>5-3001</v>
      </c>
      <c r="S263" s="58" t="str">
        <f t="shared" si="146"/>
        <v>5-3001.01</v>
      </c>
      <c r="T263" s="58" t="str">
        <f t="shared" si="147"/>
        <v xml:space="preserve"> </v>
      </c>
      <c r="V263" s="72">
        <f t="shared" si="148"/>
        <v>65000000000253</v>
      </c>
      <c r="W263" s="60">
        <f t="shared" si="149"/>
        <v>65000000000186</v>
      </c>
      <c r="X263" s="60">
        <f t="shared" si="150"/>
        <v>65000000000251</v>
      </c>
      <c r="Y263" s="60">
        <f t="shared" si="151"/>
        <v>65000000000147</v>
      </c>
      <c r="Z263" s="60">
        <f t="shared" si="152"/>
        <v>65000000000252</v>
      </c>
      <c r="AA263" s="60">
        <f t="shared" si="135"/>
        <v>65000000000253</v>
      </c>
      <c r="AB263" s="60">
        <f t="shared" si="153"/>
        <v>65000000000000</v>
      </c>
      <c r="AD263" s="60">
        <f t="shared" ref="AD263:AD326" si="156">AD262 + IF(W263&lt;&gt;W262, 1, 0)</f>
        <v>5</v>
      </c>
      <c r="AE263" s="60">
        <f t="shared" ref="AE263:AE326" si="157">IF(AD262&lt;&gt;AD263, 1, AE262) + IF(X263&lt;&gt;X262, 1, 0)</f>
        <v>4</v>
      </c>
      <c r="AF263" s="60">
        <f t="shared" ref="AF263:AF326" si="158">IF(AE262&lt;&gt;AE263, 1, AF262) + IF(Y263&lt;&gt;Y262, 1, 0)</f>
        <v>1</v>
      </c>
      <c r="AG263" s="60">
        <f t="shared" ref="AG263:AG326" si="159">IF(AF262&lt;&gt;AF263, 1, AG262) + IF(Z263&lt;&gt;Z262, 1, 0)</f>
        <v>42</v>
      </c>
      <c r="AH263" s="60">
        <f t="shared" ref="AH263:AH326" si="160">IF(AG262&lt;&gt;AG263, 1, AH262) + IF(AA263&lt;&gt;AA262, 1, 0)</f>
        <v>2</v>
      </c>
      <c r="AI263" s="60">
        <f t="shared" ref="AI263:AI326" si="161">IF(AH262&lt;&gt;AH263, 1, AI262) + IF(AB263&lt;&gt;AB262, 1, 0)</f>
        <v>1</v>
      </c>
      <c r="AK263" s="68" t="str">
        <f t="shared" si="136"/>
        <v>L5</v>
      </c>
      <c r="AM263" s="64" t="s">
        <v>1755</v>
      </c>
      <c r="AN263" s="64">
        <f t="shared" si="137"/>
        <v>65000000000186</v>
      </c>
      <c r="AO263" s="64">
        <f t="shared" si="138"/>
        <v>65000000000251</v>
      </c>
      <c r="AP263" s="64">
        <f t="shared" si="139"/>
        <v>65000000000251</v>
      </c>
      <c r="AQ263" s="64">
        <f t="shared" si="140"/>
        <v>65000000000252</v>
      </c>
      <c r="AS263" s="64">
        <f t="shared" si="141"/>
        <v>65000000000252</v>
      </c>
      <c r="AU263" s="59" t="str">
        <f t="shared" ref="AU263:AU326" si="162">IF(AND(EXACT(B263, ""), EXACT(D263, ""), EXACT(F263, ""), EXACT(H263, ""), EXACT(J263, ""), EXACT(L263, "")), "", CONCATENATE(
"PERFORM * FROM ""SchData-OLTP-Accounting"".""Func_TblChartOfAccount_SET""(varSystemLoginSession, null, null, null, varInstitutionBranchID, 62000000000001::bigint,'",
IF(EXACT(B263, ""), IF(EXACT(D263, ""), IF(EXACT(F263, ""), IF(EXACT(H263, ""), IF(EXACT(J263, ""), IF(EXACT(L263, ""), "", L263), J263), H263), F263), D263), B263),
"', '",
IF(EXACT(B263, ""), IF(EXACT(D263, ""), IF(EXACT(F263, ""), IF(EXACT(H263, ""), IF(EXACT(J263, ""), IF(EXACT(L263, ""), "", M263), K263), I263), G263), E263), C263),
"', ",
IF(EXACT(J263, ""), "62000000000001::bigint", IF((RIGHT(J263, 2)*1 = 1), "62000000000001::bigint", IF((RIGHT(J263, 2)*1 = 2), "62000000000002::bigint", "null"))),
", '2016-01-01 00:00:00'::timestamp, null::timestamp, ", AW263, "::bigint, 66000000000001::bigint);"))</f>
        <v>PERFORM * FROM "SchData-OLTP-Accounting"."Func_TblChartOfAccount_SET"(varSystemLoginSession, null, null, null, varInstitutionBranchID, 62000000000001::bigint,'5-3001.01', 'Consumables (IDR)', 62000000000001::bigint, '2016-01-01 00:00:00'::timestamp, null::timestamp, 65000000000252::bigint, 66000000000001::bigint);</v>
      </c>
      <c r="AV263" s="65">
        <f t="shared" ref="AV263:AV326" si="163">IF(AND(EXACT($B263, ""), EXACT($D263, ""), EXACT($F263, ""), EXACT($H263, ""), EXACT($J263, ""), EXACT($L263, "")), "", V263)</f>
        <v>65000000000253</v>
      </c>
      <c r="AW263" s="65">
        <f t="shared" ref="AW263:AW326" si="164">AS263</f>
        <v>65000000000252</v>
      </c>
      <c r="AY263" s="65">
        <f t="shared" si="154"/>
        <v>65000000000252</v>
      </c>
      <c r="BA263" s="78">
        <f t="shared" si="134"/>
        <v>65000000000253</v>
      </c>
      <c r="BB263" s="81" t="str">
        <f t="shared" si="155"/>
        <v>PERFORM * FROM "SchData-OLTP-Accounting"."Func_TblChartOfAccount_SET"(varSystemLoginSession, null, null, null, null, null, varInstitutionBranchID, 62000000000001::bigint,'5-3001.01', 'Consumables (IDR)', 62000000000001::bigint, '2016-01-01 00:00:00'::timestamp, null::timestamp, 65000000000252::bigint, 66000000000001::bigint, FALSE::boolean);</v>
      </c>
    </row>
    <row r="264" spans="2:54" x14ac:dyDescent="0.2">
      <c r="B264" s="41"/>
      <c r="C264" s="42"/>
      <c r="D264" s="43"/>
      <c r="E264" s="42"/>
      <c r="F264" s="43"/>
      <c r="G264" s="42"/>
      <c r="H264" s="51" t="s">
        <v>929</v>
      </c>
      <c r="I264" s="18" t="s">
        <v>413</v>
      </c>
      <c r="J264" s="51"/>
      <c r="K264" s="18"/>
      <c r="L264" s="51"/>
      <c r="M264" s="18"/>
      <c r="O264" s="58" t="str">
        <f t="shared" si="142"/>
        <v>5-0000</v>
      </c>
      <c r="P264" s="58" t="str">
        <f t="shared" si="143"/>
        <v>5-3000</v>
      </c>
      <c r="Q264" s="58" t="str">
        <f t="shared" si="144"/>
        <v>2-1200</v>
      </c>
      <c r="R264" s="58" t="str">
        <f t="shared" si="145"/>
        <v>5-3002</v>
      </c>
      <c r="S264" s="58" t="str">
        <f t="shared" si="146"/>
        <v>5-3001.01</v>
      </c>
      <c r="T264" s="58" t="str">
        <f t="shared" si="147"/>
        <v xml:space="preserve"> </v>
      </c>
      <c r="V264" s="72">
        <f t="shared" si="148"/>
        <v>65000000000254</v>
      </c>
      <c r="W264" s="60">
        <f t="shared" si="149"/>
        <v>65000000000186</v>
      </c>
      <c r="X264" s="60">
        <f t="shared" si="150"/>
        <v>65000000000251</v>
      </c>
      <c r="Y264" s="60">
        <f t="shared" si="151"/>
        <v>65000000000147</v>
      </c>
      <c r="Z264" s="60">
        <f t="shared" si="152"/>
        <v>65000000000254</v>
      </c>
      <c r="AA264" s="60">
        <f t="shared" si="135"/>
        <v>65000000000253</v>
      </c>
      <c r="AB264" s="60">
        <f t="shared" si="153"/>
        <v>65000000000000</v>
      </c>
      <c r="AD264" s="60">
        <f t="shared" si="156"/>
        <v>5</v>
      </c>
      <c r="AE264" s="60">
        <f t="shared" si="157"/>
        <v>4</v>
      </c>
      <c r="AF264" s="60">
        <f t="shared" si="158"/>
        <v>1</v>
      </c>
      <c r="AG264" s="60">
        <f t="shared" si="159"/>
        <v>43</v>
      </c>
      <c r="AH264" s="60">
        <f t="shared" si="160"/>
        <v>1</v>
      </c>
      <c r="AI264" s="60">
        <f t="shared" si="161"/>
        <v>1</v>
      </c>
      <c r="AK264" s="68" t="str">
        <f t="shared" si="136"/>
        <v>L4</v>
      </c>
      <c r="AM264" s="64" t="s">
        <v>1755</v>
      </c>
      <c r="AN264" s="64">
        <f t="shared" si="137"/>
        <v>65000000000186</v>
      </c>
      <c r="AO264" s="64">
        <f t="shared" si="138"/>
        <v>65000000000251</v>
      </c>
      <c r="AP264" s="64">
        <f t="shared" si="139"/>
        <v>65000000000251</v>
      </c>
      <c r="AQ264" s="64">
        <f t="shared" si="140"/>
        <v>65000000000252</v>
      </c>
      <c r="AS264" s="64">
        <f t="shared" si="141"/>
        <v>65000000000251</v>
      </c>
      <c r="AU264" s="59" t="str">
        <f t="shared" si="162"/>
        <v>PERFORM * FROM "SchData-OLTP-Accounting"."Func_TblChartOfAccount_SET"(varSystemLoginSession, null, null, null, varInstitutionBranchID, 62000000000001::bigint,'5-3002', 'Spare Parts', 62000000000001::bigint, '2016-01-01 00:00:00'::timestamp, null::timestamp, 65000000000251::bigint, 66000000000001::bigint);</v>
      </c>
      <c r="AV264" s="65">
        <f t="shared" si="163"/>
        <v>65000000000254</v>
      </c>
      <c r="AW264" s="65">
        <f t="shared" si="164"/>
        <v>65000000000251</v>
      </c>
      <c r="AY264" s="65">
        <f t="shared" si="154"/>
        <v>65000000000147</v>
      </c>
      <c r="BA264" s="78">
        <f t="shared" si="134"/>
        <v>65000000000254</v>
      </c>
      <c r="BB264" s="81" t="str">
        <f t="shared" si="155"/>
        <v>PERFORM * FROM "SchData-OLTP-Accounting"."Func_TblChartOfAccount_SET"(varSystemLoginSession, null, null, null, null, null, varInstitutionBranchID, 62000000000001::bigint,'5-3002', 'Spare Parts', 62000000000001::bigint, '2016-01-01 00:00:00'::timestamp, null::timestamp, 65000000000251::bigint, 66000000000001::bigint, FALSE::boolean);</v>
      </c>
    </row>
    <row r="265" spans="2:54" x14ac:dyDescent="0.2">
      <c r="B265" s="41"/>
      <c r="C265" s="42"/>
      <c r="D265" s="43"/>
      <c r="E265" s="42"/>
      <c r="F265" s="43"/>
      <c r="G265" s="42"/>
      <c r="H265" s="51"/>
      <c r="I265" s="18"/>
      <c r="J265" s="51" t="s">
        <v>1477</v>
      </c>
      <c r="K265" s="18" t="s">
        <v>1311</v>
      </c>
      <c r="L265" s="51"/>
      <c r="M265" s="18"/>
      <c r="O265" s="58" t="str">
        <f t="shared" si="142"/>
        <v>5-0000</v>
      </c>
      <c r="P265" s="58" t="str">
        <f t="shared" si="143"/>
        <v>5-3000</v>
      </c>
      <c r="Q265" s="58" t="str">
        <f t="shared" si="144"/>
        <v>2-1200</v>
      </c>
      <c r="R265" s="58" t="str">
        <f t="shared" si="145"/>
        <v>5-3002</v>
      </c>
      <c r="S265" s="58" t="str">
        <f t="shared" si="146"/>
        <v>5-3002.01</v>
      </c>
      <c r="T265" s="58" t="str">
        <f t="shared" si="147"/>
        <v xml:space="preserve"> </v>
      </c>
      <c r="V265" s="72">
        <f t="shared" si="148"/>
        <v>65000000000255</v>
      </c>
      <c r="W265" s="60">
        <f t="shared" si="149"/>
        <v>65000000000186</v>
      </c>
      <c r="X265" s="60">
        <f t="shared" si="150"/>
        <v>65000000000251</v>
      </c>
      <c r="Y265" s="60">
        <f t="shared" si="151"/>
        <v>65000000000147</v>
      </c>
      <c r="Z265" s="60">
        <f t="shared" si="152"/>
        <v>65000000000254</v>
      </c>
      <c r="AA265" s="60">
        <f t="shared" si="135"/>
        <v>65000000000255</v>
      </c>
      <c r="AB265" s="60">
        <f t="shared" si="153"/>
        <v>65000000000000</v>
      </c>
      <c r="AD265" s="60">
        <f t="shared" si="156"/>
        <v>5</v>
      </c>
      <c r="AE265" s="60">
        <f t="shared" si="157"/>
        <v>4</v>
      </c>
      <c r="AF265" s="60">
        <f t="shared" si="158"/>
        <v>1</v>
      </c>
      <c r="AG265" s="60">
        <f t="shared" si="159"/>
        <v>43</v>
      </c>
      <c r="AH265" s="60">
        <f t="shared" si="160"/>
        <v>2</v>
      </c>
      <c r="AI265" s="60">
        <f t="shared" si="161"/>
        <v>1</v>
      </c>
      <c r="AK265" s="68" t="str">
        <f t="shared" si="136"/>
        <v>L5</v>
      </c>
      <c r="AM265" s="64" t="s">
        <v>1755</v>
      </c>
      <c r="AN265" s="64">
        <f t="shared" si="137"/>
        <v>65000000000186</v>
      </c>
      <c r="AO265" s="64">
        <f t="shared" si="138"/>
        <v>65000000000251</v>
      </c>
      <c r="AP265" s="64">
        <f t="shared" si="139"/>
        <v>65000000000251</v>
      </c>
      <c r="AQ265" s="64">
        <f t="shared" si="140"/>
        <v>65000000000254</v>
      </c>
      <c r="AS265" s="64">
        <f t="shared" si="141"/>
        <v>65000000000254</v>
      </c>
      <c r="AU265" s="59" t="str">
        <f t="shared" si="162"/>
        <v>PERFORM * FROM "SchData-OLTP-Accounting"."Func_TblChartOfAccount_SET"(varSystemLoginSession, null, null, null, varInstitutionBranchID, 62000000000001::bigint,'5-3002.01', 'Spare Parts (IDR)', 62000000000001::bigint, '2016-01-01 00:00:00'::timestamp, null::timestamp, 65000000000254::bigint, 66000000000001::bigint);</v>
      </c>
      <c r="AV265" s="65">
        <f t="shared" si="163"/>
        <v>65000000000255</v>
      </c>
      <c r="AW265" s="65">
        <f t="shared" si="164"/>
        <v>65000000000254</v>
      </c>
      <c r="AY265" s="65">
        <f t="shared" si="154"/>
        <v>65000000000254</v>
      </c>
      <c r="BA265" s="78">
        <f t="shared" si="134"/>
        <v>65000000000255</v>
      </c>
      <c r="BB265" s="81" t="str">
        <f t="shared" si="155"/>
        <v>PERFORM * FROM "SchData-OLTP-Accounting"."Func_TblChartOfAccount_SET"(varSystemLoginSession, null, null, null, null, null, varInstitutionBranchID, 62000000000001::bigint,'5-3002.01', 'Spare Parts (IDR)', 62000000000001::bigint, '2016-01-01 00:00:00'::timestamp, null::timestamp, 65000000000254::bigint, 66000000000001::bigint, FALSE::boolean);</v>
      </c>
    </row>
    <row r="266" spans="2:54" x14ac:dyDescent="0.2">
      <c r="B266" s="41"/>
      <c r="C266" s="42"/>
      <c r="D266" s="43"/>
      <c r="E266" s="42"/>
      <c r="F266" s="43"/>
      <c r="G266" s="42"/>
      <c r="H266" s="51" t="s">
        <v>930</v>
      </c>
      <c r="I266" s="18" t="s">
        <v>205</v>
      </c>
      <c r="J266" s="51"/>
      <c r="K266" s="18"/>
      <c r="L266" s="51"/>
      <c r="M266" s="18"/>
      <c r="O266" s="58" t="str">
        <f t="shared" si="142"/>
        <v>5-0000</v>
      </c>
      <c r="P266" s="58" t="str">
        <f t="shared" si="143"/>
        <v>5-3000</v>
      </c>
      <c r="Q266" s="58" t="str">
        <f t="shared" si="144"/>
        <v>2-1200</v>
      </c>
      <c r="R266" s="58" t="str">
        <f t="shared" si="145"/>
        <v>5-3003</v>
      </c>
      <c r="S266" s="58" t="str">
        <f t="shared" si="146"/>
        <v>5-3002.01</v>
      </c>
      <c r="T266" s="58" t="str">
        <f t="shared" si="147"/>
        <v xml:space="preserve"> </v>
      </c>
      <c r="V266" s="72">
        <f t="shared" si="148"/>
        <v>65000000000256</v>
      </c>
      <c r="W266" s="60">
        <f t="shared" si="149"/>
        <v>65000000000186</v>
      </c>
      <c r="X266" s="60">
        <f t="shared" si="150"/>
        <v>65000000000251</v>
      </c>
      <c r="Y266" s="60">
        <f t="shared" si="151"/>
        <v>65000000000147</v>
      </c>
      <c r="Z266" s="60">
        <f t="shared" si="152"/>
        <v>65000000000256</v>
      </c>
      <c r="AA266" s="60">
        <f t="shared" si="135"/>
        <v>65000000000255</v>
      </c>
      <c r="AB266" s="60">
        <f t="shared" si="153"/>
        <v>65000000000000</v>
      </c>
      <c r="AD266" s="60">
        <f t="shared" si="156"/>
        <v>5</v>
      </c>
      <c r="AE266" s="60">
        <f t="shared" si="157"/>
        <v>4</v>
      </c>
      <c r="AF266" s="60">
        <f t="shared" si="158"/>
        <v>1</v>
      </c>
      <c r="AG266" s="60">
        <f t="shared" si="159"/>
        <v>44</v>
      </c>
      <c r="AH266" s="60">
        <f t="shared" si="160"/>
        <v>1</v>
      </c>
      <c r="AI266" s="60">
        <f t="shared" si="161"/>
        <v>1</v>
      </c>
      <c r="AK266" s="68" t="str">
        <f t="shared" si="136"/>
        <v>L4</v>
      </c>
      <c r="AM266" s="64" t="s">
        <v>1755</v>
      </c>
      <c r="AN266" s="64">
        <f t="shared" si="137"/>
        <v>65000000000186</v>
      </c>
      <c r="AO266" s="64">
        <f t="shared" si="138"/>
        <v>65000000000251</v>
      </c>
      <c r="AP266" s="64">
        <f t="shared" si="139"/>
        <v>65000000000251</v>
      </c>
      <c r="AQ266" s="64">
        <f t="shared" si="140"/>
        <v>65000000000254</v>
      </c>
      <c r="AS266" s="64">
        <f t="shared" si="141"/>
        <v>65000000000251</v>
      </c>
      <c r="AU266" s="59" t="str">
        <f t="shared" si="162"/>
        <v>PERFORM * FROM "SchData-OLTP-Accounting"."Func_TblChartOfAccount_SET"(varSystemLoginSession, null, null, null, varInstitutionBranchID, 62000000000001::bigint,'5-3003', 'Tools', 62000000000001::bigint, '2016-01-01 00:00:00'::timestamp, null::timestamp, 65000000000251::bigint, 66000000000001::bigint);</v>
      </c>
      <c r="AV266" s="65">
        <f t="shared" si="163"/>
        <v>65000000000256</v>
      </c>
      <c r="AW266" s="65">
        <f t="shared" si="164"/>
        <v>65000000000251</v>
      </c>
      <c r="AY266" s="65">
        <f t="shared" si="154"/>
        <v>65000000000147</v>
      </c>
      <c r="BA266" s="78">
        <f t="shared" si="134"/>
        <v>65000000000256</v>
      </c>
      <c r="BB266" s="81" t="str">
        <f t="shared" si="155"/>
        <v>PERFORM * FROM "SchData-OLTP-Accounting"."Func_TblChartOfAccount_SET"(varSystemLoginSession, null, null, null, null, null, varInstitutionBranchID, 62000000000001::bigint,'5-3003', 'Tools', 62000000000001::bigint, '2016-01-01 00:00:00'::timestamp, null::timestamp, 65000000000251::bigint, 66000000000001::bigint, FALSE::boolean);</v>
      </c>
    </row>
    <row r="267" spans="2:54" x14ac:dyDescent="0.2">
      <c r="B267" s="41"/>
      <c r="C267" s="42"/>
      <c r="D267" s="43"/>
      <c r="E267" s="42"/>
      <c r="F267" s="43"/>
      <c r="G267" s="42"/>
      <c r="H267" s="51"/>
      <c r="I267" s="18"/>
      <c r="J267" s="51" t="s">
        <v>1478</v>
      </c>
      <c r="K267" s="18" t="s">
        <v>1235</v>
      </c>
      <c r="L267" s="51"/>
      <c r="M267" s="18"/>
      <c r="O267" s="58" t="str">
        <f t="shared" si="142"/>
        <v>5-0000</v>
      </c>
      <c r="P267" s="58" t="str">
        <f t="shared" si="143"/>
        <v>5-3000</v>
      </c>
      <c r="Q267" s="58" t="str">
        <f t="shared" si="144"/>
        <v>2-1200</v>
      </c>
      <c r="R267" s="58" t="str">
        <f t="shared" si="145"/>
        <v>5-3003</v>
      </c>
      <c r="S267" s="58" t="str">
        <f t="shared" si="146"/>
        <v>5-3003.01</v>
      </c>
      <c r="T267" s="58" t="str">
        <f t="shared" si="147"/>
        <v xml:space="preserve"> </v>
      </c>
      <c r="V267" s="72">
        <f t="shared" si="148"/>
        <v>65000000000257</v>
      </c>
      <c r="W267" s="60">
        <f t="shared" si="149"/>
        <v>65000000000186</v>
      </c>
      <c r="X267" s="60">
        <f t="shared" si="150"/>
        <v>65000000000251</v>
      </c>
      <c r="Y267" s="60">
        <f t="shared" si="151"/>
        <v>65000000000147</v>
      </c>
      <c r="Z267" s="60">
        <f t="shared" si="152"/>
        <v>65000000000256</v>
      </c>
      <c r="AA267" s="60">
        <f t="shared" si="135"/>
        <v>65000000000257</v>
      </c>
      <c r="AB267" s="60">
        <f t="shared" si="153"/>
        <v>65000000000000</v>
      </c>
      <c r="AD267" s="60">
        <f t="shared" si="156"/>
        <v>5</v>
      </c>
      <c r="AE267" s="60">
        <f t="shared" si="157"/>
        <v>4</v>
      </c>
      <c r="AF267" s="60">
        <f t="shared" si="158"/>
        <v>1</v>
      </c>
      <c r="AG267" s="60">
        <f t="shared" si="159"/>
        <v>44</v>
      </c>
      <c r="AH267" s="60">
        <f t="shared" si="160"/>
        <v>2</v>
      </c>
      <c r="AI267" s="60">
        <f t="shared" si="161"/>
        <v>1</v>
      </c>
      <c r="AK267" s="68" t="str">
        <f t="shared" si="136"/>
        <v>L5</v>
      </c>
      <c r="AM267" s="64" t="s">
        <v>1755</v>
      </c>
      <c r="AN267" s="64">
        <f t="shared" si="137"/>
        <v>65000000000186</v>
      </c>
      <c r="AO267" s="64">
        <f t="shared" si="138"/>
        <v>65000000000251</v>
      </c>
      <c r="AP267" s="64">
        <f t="shared" si="139"/>
        <v>65000000000251</v>
      </c>
      <c r="AQ267" s="64">
        <f t="shared" si="140"/>
        <v>65000000000256</v>
      </c>
      <c r="AS267" s="64">
        <f t="shared" si="141"/>
        <v>65000000000256</v>
      </c>
      <c r="AU267" s="59" t="str">
        <f t="shared" si="162"/>
        <v>PERFORM * FROM "SchData-OLTP-Accounting"."Func_TblChartOfAccount_SET"(varSystemLoginSession, null, null, null, varInstitutionBranchID, 62000000000001::bigint,'5-3003.01', 'Tools (IDR)', 62000000000001::bigint, '2016-01-01 00:00:00'::timestamp, null::timestamp, 65000000000256::bigint, 66000000000001::bigint);</v>
      </c>
      <c r="AV267" s="65">
        <f t="shared" si="163"/>
        <v>65000000000257</v>
      </c>
      <c r="AW267" s="65">
        <f t="shared" si="164"/>
        <v>65000000000256</v>
      </c>
      <c r="AY267" s="65">
        <f t="shared" si="154"/>
        <v>65000000000256</v>
      </c>
      <c r="BA267" s="78">
        <f t="shared" si="134"/>
        <v>65000000000257</v>
      </c>
      <c r="BB267" s="81" t="str">
        <f t="shared" si="155"/>
        <v>PERFORM * FROM "SchData-OLTP-Accounting"."Func_TblChartOfAccount_SET"(varSystemLoginSession, null, null, null, null, null, varInstitutionBranchID, 62000000000001::bigint,'5-3003.01', 'Tools (IDR)', 62000000000001::bigint, '2016-01-01 00:00:00'::timestamp, null::timestamp, 65000000000256::bigint, 66000000000001::bigint, FALSE::boolean);</v>
      </c>
    </row>
    <row r="268" spans="2:54" x14ac:dyDescent="0.2">
      <c r="B268" s="41"/>
      <c r="C268" s="42"/>
      <c r="D268" s="43"/>
      <c r="E268" s="42"/>
      <c r="F268" s="43"/>
      <c r="G268" s="42"/>
      <c r="H268" s="51" t="s">
        <v>931</v>
      </c>
      <c r="I268" s="18" t="s">
        <v>416</v>
      </c>
      <c r="J268" s="51"/>
      <c r="K268" s="18"/>
      <c r="L268" s="51"/>
      <c r="M268" s="18"/>
      <c r="O268" s="58" t="str">
        <f t="shared" si="142"/>
        <v>5-0000</v>
      </c>
      <c r="P268" s="58" t="str">
        <f t="shared" si="143"/>
        <v>5-3000</v>
      </c>
      <c r="Q268" s="58" t="str">
        <f t="shared" si="144"/>
        <v>2-1200</v>
      </c>
      <c r="R268" s="58" t="str">
        <f t="shared" si="145"/>
        <v>5-3004</v>
      </c>
      <c r="S268" s="58" t="str">
        <f t="shared" si="146"/>
        <v>5-3003.01</v>
      </c>
      <c r="T268" s="58" t="str">
        <f t="shared" si="147"/>
        <v xml:space="preserve"> </v>
      </c>
      <c r="V268" s="72">
        <f t="shared" si="148"/>
        <v>65000000000258</v>
      </c>
      <c r="W268" s="60">
        <f t="shared" si="149"/>
        <v>65000000000186</v>
      </c>
      <c r="X268" s="60">
        <f t="shared" si="150"/>
        <v>65000000000251</v>
      </c>
      <c r="Y268" s="60">
        <f t="shared" si="151"/>
        <v>65000000000147</v>
      </c>
      <c r="Z268" s="60">
        <f t="shared" si="152"/>
        <v>65000000000258</v>
      </c>
      <c r="AA268" s="60">
        <f t="shared" si="135"/>
        <v>65000000000257</v>
      </c>
      <c r="AB268" s="60">
        <f t="shared" si="153"/>
        <v>65000000000000</v>
      </c>
      <c r="AD268" s="60">
        <f t="shared" si="156"/>
        <v>5</v>
      </c>
      <c r="AE268" s="60">
        <f t="shared" si="157"/>
        <v>4</v>
      </c>
      <c r="AF268" s="60">
        <f t="shared" si="158"/>
        <v>1</v>
      </c>
      <c r="AG268" s="60">
        <f t="shared" si="159"/>
        <v>45</v>
      </c>
      <c r="AH268" s="60">
        <f t="shared" si="160"/>
        <v>1</v>
      </c>
      <c r="AI268" s="60">
        <f t="shared" si="161"/>
        <v>1</v>
      </c>
      <c r="AK268" s="68" t="str">
        <f t="shared" si="136"/>
        <v>L4</v>
      </c>
      <c r="AM268" s="64" t="s">
        <v>1755</v>
      </c>
      <c r="AN268" s="64">
        <f t="shared" si="137"/>
        <v>65000000000186</v>
      </c>
      <c r="AO268" s="64">
        <f t="shared" si="138"/>
        <v>65000000000251</v>
      </c>
      <c r="AP268" s="64">
        <f t="shared" si="139"/>
        <v>65000000000251</v>
      </c>
      <c r="AQ268" s="64">
        <f t="shared" si="140"/>
        <v>65000000000256</v>
      </c>
      <c r="AS268" s="64">
        <f t="shared" si="141"/>
        <v>65000000000251</v>
      </c>
      <c r="AU268" s="59" t="str">
        <f t="shared" si="162"/>
        <v>PERFORM * FROM "SchData-OLTP-Accounting"."Func_TblChartOfAccount_SET"(varSystemLoginSession, null, null, null, varInstitutionBranchID, 62000000000001::bigint,'5-3004', 'Utilities', 62000000000001::bigint, '2016-01-01 00:00:00'::timestamp, null::timestamp, 65000000000251::bigint, 66000000000001::bigint);</v>
      </c>
      <c r="AV268" s="65">
        <f t="shared" si="163"/>
        <v>65000000000258</v>
      </c>
      <c r="AW268" s="65">
        <f t="shared" si="164"/>
        <v>65000000000251</v>
      </c>
      <c r="AY268" s="65">
        <f t="shared" si="154"/>
        <v>65000000000147</v>
      </c>
      <c r="BA268" s="78">
        <f t="shared" si="134"/>
        <v>65000000000258</v>
      </c>
      <c r="BB268" s="81" t="str">
        <f t="shared" si="155"/>
        <v>PERFORM * FROM "SchData-OLTP-Accounting"."Func_TblChartOfAccount_SET"(varSystemLoginSession, null, null, null, null, null, varInstitutionBranchID, 62000000000001::bigint,'5-3004', 'Utilities', 62000000000001::bigint, '2016-01-01 00:00:00'::timestamp, null::timestamp, 65000000000251::bigint, 66000000000001::bigint, FALSE::boolean);</v>
      </c>
    </row>
    <row r="269" spans="2:54" x14ac:dyDescent="0.2">
      <c r="B269" s="41"/>
      <c r="C269" s="42"/>
      <c r="D269" s="43"/>
      <c r="E269" s="42"/>
      <c r="F269" s="43"/>
      <c r="G269" s="42"/>
      <c r="H269" s="51"/>
      <c r="I269" s="18"/>
      <c r="J269" s="51" t="s">
        <v>1479</v>
      </c>
      <c r="K269" s="18" t="s">
        <v>1312</v>
      </c>
      <c r="L269" s="51"/>
      <c r="M269" s="18"/>
      <c r="O269" s="58" t="str">
        <f t="shared" si="142"/>
        <v>5-0000</v>
      </c>
      <c r="P269" s="58" t="str">
        <f t="shared" si="143"/>
        <v>5-3000</v>
      </c>
      <c r="Q269" s="58" t="str">
        <f t="shared" si="144"/>
        <v>2-1200</v>
      </c>
      <c r="R269" s="58" t="str">
        <f t="shared" si="145"/>
        <v>5-3004</v>
      </c>
      <c r="S269" s="58" t="str">
        <f t="shared" si="146"/>
        <v>5-3004.01</v>
      </c>
      <c r="T269" s="58" t="str">
        <f t="shared" si="147"/>
        <v xml:space="preserve"> </v>
      </c>
      <c r="V269" s="72">
        <f t="shared" si="148"/>
        <v>65000000000259</v>
      </c>
      <c r="W269" s="60">
        <f t="shared" si="149"/>
        <v>65000000000186</v>
      </c>
      <c r="X269" s="60">
        <f t="shared" si="150"/>
        <v>65000000000251</v>
      </c>
      <c r="Y269" s="60">
        <f t="shared" si="151"/>
        <v>65000000000147</v>
      </c>
      <c r="Z269" s="60">
        <f t="shared" si="152"/>
        <v>65000000000258</v>
      </c>
      <c r="AA269" s="60">
        <f t="shared" si="135"/>
        <v>65000000000259</v>
      </c>
      <c r="AB269" s="60">
        <f t="shared" si="153"/>
        <v>65000000000000</v>
      </c>
      <c r="AD269" s="60">
        <f t="shared" si="156"/>
        <v>5</v>
      </c>
      <c r="AE269" s="60">
        <f t="shared" si="157"/>
        <v>4</v>
      </c>
      <c r="AF269" s="60">
        <f t="shared" si="158"/>
        <v>1</v>
      </c>
      <c r="AG269" s="60">
        <f t="shared" si="159"/>
        <v>45</v>
      </c>
      <c r="AH269" s="60">
        <f t="shared" si="160"/>
        <v>2</v>
      </c>
      <c r="AI269" s="60">
        <f t="shared" si="161"/>
        <v>1</v>
      </c>
      <c r="AK269" s="68" t="str">
        <f t="shared" si="136"/>
        <v>L5</v>
      </c>
      <c r="AM269" s="64" t="s">
        <v>1755</v>
      </c>
      <c r="AN269" s="64">
        <f t="shared" si="137"/>
        <v>65000000000186</v>
      </c>
      <c r="AO269" s="64">
        <f t="shared" si="138"/>
        <v>65000000000251</v>
      </c>
      <c r="AP269" s="64">
        <f t="shared" si="139"/>
        <v>65000000000251</v>
      </c>
      <c r="AQ269" s="64">
        <f t="shared" si="140"/>
        <v>65000000000258</v>
      </c>
      <c r="AS269" s="64">
        <f t="shared" si="141"/>
        <v>65000000000258</v>
      </c>
      <c r="AU269" s="59" t="str">
        <f t="shared" si="162"/>
        <v>PERFORM * FROM "SchData-OLTP-Accounting"."Func_TblChartOfAccount_SET"(varSystemLoginSession, null, null, null, varInstitutionBranchID, 62000000000001::bigint,'5-3004.01', 'Utilities (IDR)', 62000000000001::bigint, '2016-01-01 00:00:00'::timestamp, null::timestamp, 65000000000258::bigint, 66000000000001::bigint);</v>
      </c>
      <c r="AV269" s="65">
        <f t="shared" si="163"/>
        <v>65000000000259</v>
      </c>
      <c r="AW269" s="65">
        <f t="shared" si="164"/>
        <v>65000000000258</v>
      </c>
      <c r="AY269" s="65">
        <f t="shared" si="154"/>
        <v>65000000000258</v>
      </c>
      <c r="BA269" s="78">
        <f t="shared" si="134"/>
        <v>65000000000259</v>
      </c>
      <c r="BB269" s="81" t="str">
        <f t="shared" si="155"/>
        <v>PERFORM * FROM "SchData-OLTP-Accounting"."Func_TblChartOfAccount_SET"(varSystemLoginSession, null, null, null, null, null, varInstitutionBranchID, 62000000000001::bigint,'5-3004.01', 'Utilities (IDR)', 62000000000001::bigint, '2016-01-01 00:00:00'::timestamp, null::timestamp, 65000000000258::bigint, 66000000000001::bigint, FALSE::boolean);</v>
      </c>
    </row>
    <row r="270" spans="2:54" x14ac:dyDescent="0.2">
      <c r="B270" s="41"/>
      <c r="C270" s="42"/>
      <c r="D270" s="43"/>
      <c r="E270" s="42"/>
      <c r="F270" s="43"/>
      <c r="G270" s="42"/>
      <c r="H270" s="51" t="s">
        <v>932</v>
      </c>
      <c r="I270" s="18" t="s">
        <v>418</v>
      </c>
      <c r="J270" s="51"/>
      <c r="K270" s="18"/>
      <c r="L270" s="51"/>
      <c r="M270" s="18"/>
      <c r="O270" s="58" t="str">
        <f t="shared" si="142"/>
        <v>5-0000</v>
      </c>
      <c r="P270" s="58" t="str">
        <f t="shared" si="143"/>
        <v>5-3000</v>
      </c>
      <c r="Q270" s="58" t="str">
        <f t="shared" si="144"/>
        <v>2-1200</v>
      </c>
      <c r="R270" s="58" t="str">
        <f t="shared" si="145"/>
        <v>5-3005</v>
      </c>
      <c r="S270" s="58" t="str">
        <f t="shared" si="146"/>
        <v>5-3004.01</v>
      </c>
      <c r="T270" s="58" t="str">
        <f t="shared" si="147"/>
        <v xml:space="preserve"> </v>
      </c>
      <c r="V270" s="72">
        <f t="shared" si="148"/>
        <v>65000000000260</v>
      </c>
      <c r="W270" s="60">
        <f t="shared" si="149"/>
        <v>65000000000186</v>
      </c>
      <c r="X270" s="60">
        <f t="shared" si="150"/>
        <v>65000000000251</v>
      </c>
      <c r="Y270" s="60">
        <f t="shared" si="151"/>
        <v>65000000000147</v>
      </c>
      <c r="Z270" s="60">
        <f t="shared" si="152"/>
        <v>65000000000260</v>
      </c>
      <c r="AA270" s="60">
        <f t="shared" si="135"/>
        <v>65000000000259</v>
      </c>
      <c r="AB270" s="60">
        <f t="shared" si="153"/>
        <v>65000000000000</v>
      </c>
      <c r="AD270" s="60">
        <f t="shared" si="156"/>
        <v>5</v>
      </c>
      <c r="AE270" s="60">
        <f t="shared" si="157"/>
        <v>4</v>
      </c>
      <c r="AF270" s="60">
        <f t="shared" si="158"/>
        <v>1</v>
      </c>
      <c r="AG270" s="60">
        <f t="shared" si="159"/>
        <v>46</v>
      </c>
      <c r="AH270" s="60">
        <f t="shared" si="160"/>
        <v>1</v>
      </c>
      <c r="AI270" s="60">
        <f t="shared" si="161"/>
        <v>1</v>
      </c>
      <c r="AK270" s="68" t="str">
        <f t="shared" si="136"/>
        <v>L4</v>
      </c>
      <c r="AM270" s="64" t="s">
        <v>1755</v>
      </c>
      <c r="AN270" s="64">
        <f t="shared" si="137"/>
        <v>65000000000186</v>
      </c>
      <c r="AO270" s="64">
        <f t="shared" si="138"/>
        <v>65000000000251</v>
      </c>
      <c r="AP270" s="64">
        <f t="shared" si="139"/>
        <v>65000000000251</v>
      </c>
      <c r="AQ270" s="64">
        <f t="shared" si="140"/>
        <v>65000000000258</v>
      </c>
      <c r="AS270" s="64">
        <f t="shared" si="141"/>
        <v>65000000000251</v>
      </c>
      <c r="AU270" s="59" t="str">
        <f t="shared" si="162"/>
        <v>PERFORM * FROM "SchData-OLTP-Accounting"."Func_TblChartOfAccount_SET"(varSystemLoginSession, null, null, null, varInstitutionBranchID, 62000000000001::bigint,'5-3005', 'Stationery &amp; Printing', 62000000000001::bigint, '2016-01-01 00:00:00'::timestamp, null::timestamp, 65000000000251::bigint, 66000000000001::bigint);</v>
      </c>
      <c r="AV270" s="65">
        <f t="shared" si="163"/>
        <v>65000000000260</v>
      </c>
      <c r="AW270" s="65">
        <f t="shared" si="164"/>
        <v>65000000000251</v>
      </c>
      <c r="AY270" s="65">
        <f t="shared" si="154"/>
        <v>65000000000147</v>
      </c>
      <c r="BA270" s="78">
        <f t="shared" si="134"/>
        <v>65000000000260</v>
      </c>
      <c r="BB270" s="81" t="str">
        <f t="shared" si="155"/>
        <v>PERFORM * FROM "SchData-OLTP-Accounting"."Func_TblChartOfAccount_SET"(varSystemLoginSession, null, null, null, null, null, varInstitutionBranchID, 62000000000001::bigint,'5-3005', 'Stationery &amp; Printing', 62000000000001::bigint, '2016-01-01 00:00:00'::timestamp, null::timestamp, 65000000000251::bigint, 66000000000001::bigint, FALSE::boolean);</v>
      </c>
    </row>
    <row r="271" spans="2:54" x14ac:dyDescent="0.2">
      <c r="B271" s="41"/>
      <c r="C271" s="42"/>
      <c r="D271" s="43"/>
      <c r="E271" s="42"/>
      <c r="F271" s="43"/>
      <c r="G271" s="42"/>
      <c r="H271" s="51"/>
      <c r="I271" s="18"/>
      <c r="J271" s="51" t="s">
        <v>1480</v>
      </c>
      <c r="K271" s="18" t="s">
        <v>1313</v>
      </c>
      <c r="L271" s="51"/>
      <c r="M271" s="18"/>
      <c r="O271" s="58" t="str">
        <f t="shared" si="142"/>
        <v>5-0000</v>
      </c>
      <c r="P271" s="58" t="str">
        <f t="shared" si="143"/>
        <v>5-3000</v>
      </c>
      <c r="Q271" s="58" t="str">
        <f t="shared" si="144"/>
        <v>2-1200</v>
      </c>
      <c r="R271" s="58" t="str">
        <f t="shared" si="145"/>
        <v>5-3005</v>
      </c>
      <c r="S271" s="58" t="str">
        <f t="shared" si="146"/>
        <v>5-3005.01</v>
      </c>
      <c r="T271" s="58" t="str">
        <f t="shared" si="147"/>
        <v xml:space="preserve"> </v>
      </c>
      <c r="V271" s="72">
        <f t="shared" si="148"/>
        <v>65000000000261</v>
      </c>
      <c r="W271" s="60">
        <f t="shared" si="149"/>
        <v>65000000000186</v>
      </c>
      <c r="X271" s="60">
        <f t="shared" si="150"/>
        <v>65000000000251</v>
      </c>
      <c r="Y271" s="60">
        <f t="shared" si="151"/>
        <v>65000000000147</v>
      </c>
      <c r="Z271" s="60">
        <f t="shared" si="152"/>
        <v>65000000000260</v>
      </c>
      <c r="AA271" s="60">
        <f t="shared" si="135"/>
        <v>65000000000261</v>
      </c>
      <c r="AB271" s="60">
        <f t="shared" si="153"/>
        <v>65000000000000</v>
      </c>
      <c r="AD271" s="60">
        <f t="shared" si="156"/>
        <v>5</v>
      </c>
      <c r="AE271" s="60">
        <f t="shared" si="157"/>
        <v>4</v>
      </c>
      <c r="AF271" s="60">
        <f t="shared" si="158"/>
        <v>1</v>
      </c>
      <c r="AG271" s="60">
        <f t="shared" si="159"/>
        <v>46</v>
      </c>
      <c r="AH271" s="60">
        <f t="shared" si="160"/>
        <v>2</v>
      </c>
      <c r="AI271" s="60">
        <f t="shared" si="161"/>
        <v>1</v>
      </c>
      <c r="AK271" s="68" t="str">
        <f t="shared" si="136"/>
        <v>L5</v>
      </c>
      <c r="AM271" s="64" t="s">
        <v>1755</v>
      </c>
      <c r="AN271" s="64">
        <f t="shared" si="137"/>
        <v>65000000000186</v>
      </c>
      <c r="AO271" s="64">
        <f t="shared" si="138"/>
        <v>65000000000251</v>
      </c>
      <c r="AP271" s="64">
        <f t="shared" si="139"/>
        <v>65000000000251</v>
      </c>
      <c r="AQ271" s="64">
        <f t="shared" si="140"/>
        <v>65000000000260</v>
      </c>
      <c r="AS271" s="64">
        <f t="shared" si="141"/>
        <v>65000000000260</v>
      </c>
      <c r="AU271" s="59" t="str">
        <f t="shared" si="162"/>
        <v>PERFORM * FROM "SchData-OLTP-Accounting"."Func_TblChartOfAccount_SET"(varSystemLoginSession, null, null, null, varInstitutionBranchID, 62000000000001::bigint,'5-3005.01', 'Stationery &amp; Printing (IDR)', 62000000000001::bigint, '2016-01-01 00:00:00'::timestamp, null::timestamp, 65000000000260::bigint, 66000000000001::bigint);</v>
      </c>
      <c r="AV271" s="65">
        <f t="shared" si="163"/>
        <v>65000000000261</v>
      </c>
      <c r="AW271" s="65">
        <f t="shared" si="164"/>
        <v>65000000000260</v>
      </c>
      <c r="AY271" s="65">
        <f t="shared" si="154"/>
        <v>65000000000260</v>
      </c>
      <c r="BA271" s="78">
        <f t="shared" ref="BA271:BA334" si="165" xml:space="preserve"> BA270 + IF(EXACT(BB271, ""), 0, 1)</f>
        <v>65000000000261</v>
      </c>
      <c r="BB271" s="81" t="str">
        <f t="shared" si="155"/>
        <v>PERFORM * FROM "SchData-OLTP-Accounting"."Func_TblChartOfAccount_SET"(varSystemLoginSession, null, null, null, null, null, varInstitutionBranchID, 62000000000001::bigint,'5-3005.01', 'Stationery &amp; Printing (IDR)', 62000000000001::bigint, '2016-01-01 00:00:00'::timestamp, null::timestamp, 65000000000260::bigint, 66000000000001::bigint, FALSE::boolean);</v>
      </c>
    </row>
    <row r="272" spans="2:54" x14ac:dyDescent="0.2">
      <c r="B272" s="41"/>
      <c r="C272" s="42"/>
      <c r="D272" s="43"/>
      <c r="E272" s="42"/>
      <c r="F272" s="43"/>
      <c r="G272" s="42"/>
      <c r="H272" s="51" t="s">
        <v>933</v>
      </c>
      <c r="I272" s="18" t="s">
        <v>420</v>
      </c>
      <c r="J272" s="51"/>
      <c r="K272" s="18"/>
      <c r="L272" s="51"/>
      <c r="M272" s="18"/>
      <c r="O272" s="58" t="str">
        <f t="shared" si="142"/>
        <v>5-0000</v>
      </c>
      <c r="P272" s="58" t="str">
        <f t="shared" si="143"/>
        <v>5-3000</v>
      </c>
      <c r="Q272" s="58" t="str">
        <f t="shared" si="144"/>
        <v>2-1200</v>
      </c>
      <c r="R272" s="58" t="str">
        <f t="shared" si="145"/>
        <v>5-3006</v>
      </c>
      <c r="S272" s="58" t="str">
        <f t="shared" si="146"/>
        <v>5-3005.01</v>
      </c>
      <c r="T272" s="58" t="str">
        <f t="shared" si="147"/>
        <v xml:space="preserve"> </v>
      </c>
      <c r="V272" s="72">
        <f t="shared" si="148"/>
        <v>65000000000262</v>
      </c>
      <c r="W272" s="60">
        <f t="shared" si="149"/>
        <v>65000000000186</v>
      </c>
      <c r="X272" s="60">
        <f t="shared" si="150"/>
        <v>65000000000251</v>
      </c>
      <c r="Y272" s="60">
        <f t="shared" si="151"/>
        <v>65000000000147</v>
      </c>
      <c r="Z272" s="60">
        <f t="shared" si="152"/>
        <v>65000000000262</v>
      </c>
      <c r="AA272" s="60">
        <f t="shared" si="135"/>
        <v>65000000000261</v>
      </c>
      <c r="AB272" s="60">
        <f t="shared" si="153"/>
        <v>65000000000000</v>
      </c>
      <c r="AD272" s="60">
        <f t="shared" si="156"/>
        <v>5</v>
      </c>
      <c r="AE272" s="60">
        <f t="shared" si="157"/>
        <v>4</v>
      </c>
      <c r="AF272" s="60">
        <f t="shared" si="158"/>
        <v>1</v>
      </c>
      <c r="AG272" s="60">
        <f t="shared" si="159"/>
        <v>47</v>
      </c>
      <c r="AH272" s="60">
        <f t="shared" si="160"/>
        <v>1</v>
      </c>
      <c r="AI272" s="60">
        <f t="shared" si="161"/>
        <v>1</v>
      </c>
      <c r="AK272" s="68" t="str">
        <f t="shared" si="136"/>
        <v>L4</v>
      </c>
      <c r="AM272" s="64" t="s">
        <v>1755</v>
      </c>
      <c r="AN272" s="64">
        <f t="shared" si="137"/>
        <v>65000000000186</v>
      </c>
      <c r="AO272" s="64">
        <f t="shared" si="138"/>
        <v>65000000000251</v>
      </c>
      <c r="AP272" s="64">
        <f t="shared" si="139"/>
        <v>65000000000251</v>
      </c>
      <c r="AQ272" s="64">
        <f t="shared" si="140"/>
        <v>65000000000260</v>
      </c>
      <c r="AS272" s="64">
        <f t="shared" si="141"/>
        <v>65000000000251</v>
      </c>
      <c r="AU272" s="59" t="str">
        <f t="shared" si="162"/>
        <v>PERFORM * FROM "SchData-OLTP-Accounting"."Func_TblChartOfAccount_SET"(varSystemLoginSession, null, null, null, varInstitutionBranchID, 62000000000001::bigint,'5-3006', 'Postage &amp; Courier Service', 62000000000001::bigint, '2016-01-01 00:00:00'::timestamp, null::timestamp, 65000000000251::bigint, 66000000000001::bigint);</v>
      </c>
      <c r="AV272" s="65">
        <f t="shared" si="163"/>
        <v>65000000000262</v>
      </c>
      <c r="AW272" s="65">
        <f t="shared" si="164"/>
        <v>65000000000251</v>
      </c>
      <c r="AY272" s="65">
        <f t="shared" si="154"/>
        <v>65000000000147</v>
      </c>
      <c r="BA272" s="78">
        <f t="shared" si="165"/>
        <v>65000000000262</v>
      </c>
      <c r="BB272" s="81" t="str">
        <f t="shared" si="155"/>
        <v>PERFORM * FROM "SchData-OLTP-Accounting"."Func_TblChartOfAccount_SET"(varSystemLoginSession, null, null, null, null, null, varInstitutionBranchID, 62000000000001::bigint,'5-3006', 'Postage &amp; Courier Service', 62000000000001::bigint, '2016-01-01 00:00:00'::timestamp, null::timestamp, 65000000000251::bigint, 66000000000001::bigint, FALSE::boolean);</v>
      </c>
    </row>
    <row r="273" spans="2:54" x14ac:dyDescent="0.2">
      <c r="B273" s="41"/>
      <c r="C273" s="42"/>
      <c r="D273" s="43"/>
      <c r="E273" s="42"/>
      <c r="F273" s="43"/>
      <c r="G273" s="42"/>
      <c r="H273" s="51"/>
      <c r="I273" s="18"/>
      <c r="J273" s="51" t="s">
        <v>1481</v>
      </c>
      <c r="K273" s="18" t="s">
        <v>1314</v>
      </c>
      <c r="L273" s="51"/>
      <c r="M273" s="18"/>
      <c r="O273" s="58" t="str">
        <f t="shared" si="142"/>
        <v>5-0000</v>
      </c>
      <c r="P273" s="58" t="str">
        <f t="shared" si="143"/>
        <v>5-3000</v>
      </c>
      <c r="Q273" s="58" t="str">
        <f t="shared" si="144"/>
        <v>2-1200</v>
      </c>
      <c r="R273" s="58" t="str">
        <f t="shared" si="145"/>
        <v>5-3006</v>
      </c>
      <c r="S273" s="58" t="str">
        <f t="shared" si="146"/>
        <v>5-3006.01</v>
      </c>
      <c r="T273" s="58" t="str">
        <f t="shared" si="147"/>
        <v xml:space="preserve"> </v>
      </c>
      <c r="V273" s="72">
        <f t="shared" si="148"/>
        <v>65000000000263</v>
      </c>
      <c r="W273" s="60">
        <f t="shared" si="149"/>
        <v>65000000000186</v>
      </c>
      <c r="X273" s="60">
        <f t="shared" si="150"/>
        <v>65000000000251</v>
      </c>
      <c r="Y273" s="60">
        <f t="shared" si="151"/>
        <v>65000000000147</v>
      </c>
      <c r="Z273" s="60">
        <f t="shared" si="152"/>
        <v>65000000000262</v>
      </c>
      <c r="AA273" s="60">
        <f t="shared" si="135"/>
        <v>65000000000263</v>
      </c>
      <c r="AB273" s="60">
        <f t="shared" si="153"/>
        <v>65000000000000</v>
      </c>
      <c r="AD273" s="60">
        <f t="shared" si="156"/>
        <v>5</v>
      </c>
      <c r="AE273" s="60">
        <f t="shared" si="157"/>
        <v>4</v>
      </c>
      <c r="AF273" s="60">
        <f t="shared" si="158"/>
        <v>1</v>
      </c>
      <c r="AG273" s="60">
        <f t="shared" si="159"/>
        <v>47</v>
      </c>
      <c r="AH273" s="60">
        <f t="shared" si="160"/>
        <v>2</v>
      </c>
      <c r="AI273" s="60">
        <f t="shared" si="161"/>
        <v>1</v>
      </c>
      <c r="AK273" s="68" t="str">
        <f t="shared" si="136"/>
        <v>L5</v>
      </c>
      <c r="AM273" s="64" t="s">
        <v>1755</v>
      </c>
      <c r="AN273" s="64">
        <f t="shared" si="137"/>
        <v>65000000000186</v>
      </c>
      <c r="AO273" s="64">
        <f t="shared" si="138"/>
        <v>65000000000251</v>
      </c>
      <c r="AP273" s="64">
        <f t="shared" si="139"/>
        <v>65000000000251</v>
      </c>
      <c r="AQ273" s="64">
        <f t="shared" si="140"/>
        <v>65000000000262</v>
      </c>
      <c r="AS273" s="64">
        <f t="shared" si="141"/>
        <v>65000000000262</v>
      </c>
      <c r="AU273" s="59" t="str">
        <f t="shared" si="162"/>
        <v>PERFORM * FROM "SchData-OLTP-Accounting"."Func_TblChartOfAccount_SET"(varSystemLoginSession, null, null, null, varInstitutionBranchID, 62000000000001::bigint,'5-3006.01', 'Postage &amp; Courier Service (IDR)', 62000000000001::bigint, '2016-01-01 00:00:00'::timestamp, null::timestamp, 65000000000262::bigint, 66000000000001::bigint);</v>
      </c>
      <c r="AV273" s="65">
        <f t="shared" si="163"/>
        <v>65000000000263</v>
      </c>
      <c r="AW273" s="65">
        <f t="shared" si="164"/>
        <v>65000000000262</v>
      </c>
      <c r="AY273" s="65">
        <f t="shared" si="154"/>
        <v>65000000000262</v>
      </c>
      <c r="BA273" s="78">
        <f t="shared" si="165"/>
        <v>65000000000263</v>
      </c>
      <c r="BB273" s="81" t="str">
        <f t="shared" si="155"/>
        <v>PERFORM * FROM "SchData-OLTP-Accounting"."Func_TblChartOfAccount_SET"(varSystemLoginSession, null, null, null, null, null, varInstitutionBranchID, 62000000000001::bigint,'5-3006.01', 'Postage &amp; Courier Service (IDR)', 62000000000001::bigint, '2016-01-01 00:00:00'::timestamp, null::timestamp, 65000000000262::bigint, 66000000000001::bigint, FALSE::boolean);</v>
      </c>
    </row>
    <row r="274" spans="2:54" x14ac:dyDescent="0.2">
      <c r="B274" s="41"/>
      <c r="C274" s="42"/>
      <c r="D274" s="43"/>
      <c r="E274" s="42"/>
      <c r="F274" s="43"/>
      <c r="G274" s="42"/>
      <c r="H274" s="51" t="s">
        <v>934</v>
      </c>
      <c r="I274" s="18" t="s">
        <v>422</v>
      </c>
      <c r="J274" s="51"/>
      <c r="K274" s="18"/>
      <c r="L274" s="51"/>
      <c r="M274" s="18"/>
      <c r="O274" s="58" t="str">
        <f t="shared" si="142"/>
        <v>5-0000</v>
      </c>
      <c r="P274" s="58" t="str">
        <f t="shared" si="143"/>
        <v>5-3000</v>
      </c>
      <c r="Q274" s="58" t="str">
        <f t="shared" si="144"/>
        <v>2-1200</v>
      </c>
      <c r="R274" s="58" t="str">
        <f t="shared" si="145"/>
        <v>5-3007</v>
      </c>
      <c r="S274" s="58" t="str">
        <f t="shared" si="146"/>
        <v>5-3006.01</v>
      </c>
      <c r="T274" s="58" t="str">
        <f t="shared" si="147"/>
        <v xml:space="preserve"> </v>
      </c>
      <c r="V274" s="72">
        <f t="shared" si="148"/>
        <v>65000000000264</v>
      </c>
      <c r="W274" s="60">
        <f t="shared" si="149"/>
        <v>65000000000186</v>
      </c>
      <c r="X274" s="60">
        <f t="shared" si="150"/>
        <v>65000000000251</v>
      </c>
      <c r="Y274" s="60">
        <f t="shared" si="151"/>
        <v>65000000000147</v>
      </c>
      <c r="Z274" s="60">
        <f t="shared" si="152"/>
        <v>65000000000264</v>
      </c>
      <c r="AA274" s="60">
        <f t="shared" si="135"/>
        <v>65000000000263</v>
      </c>
      <c r="AB274" s="60">
        <f t="shared" si="153"/>
        <v>65000000000000</v>
      </c>
      <c r="AD274" s="60">
        <f t="shared" si="156"/>
        <v>5</v>
      </c>
      <c r="AE274" s="60">
        <f t="shared" si="157"/>
        <v>4</v>
      </c>
      <c r="AF274" s="60">
        <f t="shared" si="158"/>
        <v>1</v>
      </c>
      <c r="AG274" s="60">
        <f t="shared" si="159"/>
        <v>48</v>
      </c>
      <c r="AH274" s="60">
        <f t="shared" si="160"/>
        <v>1</v>
      </c>
      <c r="AI274" s="60">
        <f t="shared" si="161"/>
        <v>1</v>
      </c>
      <c r="AK274" s="68" t="str">
        <f t="shared" si="136"/>
        <v>L4</v>
      </c>
      <c r="AM274" s="64" t="s">
        <v>1755</v>
      </c>
      <c r="AN274" s="64">
        <f t="shared" si="137"/>
        <v>65000000000186</v>
      </c>
      <c r="AO274" s="64">
        <f t="shared" si="138"/>
        <v>65000000000251</v>
      </c>
      <c r="AP274" s="64">
        <f t="shared" si="139"/>
        <v>65000000000251</v>
      </c>
      <c r="AQ274" s="64">
        <f t="shared" si="140"/>
        <v>65000000000262</v>
      </c>
      <c r="AS274" s="64">
        <f t="shared" si="141"/>
        <v>65000000000251</v>
      </c>
      <c r="AU274" s="59" t="str">
        <f t="shared" si="162"/>
        <v>PERFORM * FROM "SchData-OLTP-Accounting"."Func_TblChartOfAccount_SET"(varSystemLoginSession, null, null, null, varInstitutionBranchID, 62000000000001::bigint,'5-3007', 'Telephone Expenses', 62000000000001::bigint, '2016-01-01 00:00:00'::timestamp, null::timestamp, 65000000000251::bigint, 66000000000001::bigint);</v>
      </c>
      <c r="AV274" s="65">
        <f t="shared" si="163"/>
        <v>65000000000264</v>
      </c>
      <c r="AW274" s="65">
        <f t="shared" si="164"/>
        <v>65000000000251</v>
      </c>
      <c r="AY274" s="65">
        <f t="shared" si="154"/>
        <v>65000000000147</v>
      </c>
      <c r="BA274" s="78">
        <f t="shared" si="165"/>
        <v>65000000000264</v>
      </c>
      <c r="BB274" s="81" t="str">
        <f t="shared" si="155"/>
        <v>PERFORM * FROM "SchData-OLTP-Accounting"."Func_TblChartOfAccount_SET"(varSystemLoginSession, null, null, null, null, null, varInstitutionBranchID, 62000000000001::bigint,'5-3007', 'Telephone Expenses', 62000000000001::bigint, '2016-01-01 00:00:00'::timestamp, null::timestamp, 65000000000251::bigint, 66000000000001::bigint, FALSE::boolean);</v>
      </c>
    </row>
    <row r="275" spans="2:54" x14ac:dyDescent="0.2">
      <c r="B275" s="41"/>
      <c r="C275" s="42"/>
      <c r="D275" s="43"/>
      <c r="E275" s="42"/>
      <c r="F275" s="43"/>
      <c r="G275" s="42"/>
      <c r="H275" s="51"/>
      <c r="I275" s="18"/>
      <c r="J275" s="51" t="s">
        <v>1482</v>
      </c>
      <c r="K275" s="18" t="s">
        <v>1315</v>
      </c>
      <c r="L275" s="51"/>
      <c r="M275" s="18"/>
      <c r="O275" s="58" t="str">
        <f t="shared" si="142"/>
        <v>5-0000</v>
      </c>
      <c r="P275" s="58" t="str">
        <f t="shared" si="143"/>
        <v>5-3000</v>
      </c>
      <c r="Q275" s="58" t="str">
        <f t="shared" si="144"/>
        <v>2-1200</v>
      </c>
      <c r="R275" s="58" t="str">
        <f t="shared" si="145"/>
        <v>5-3007</v>
      </c>
      <c r="S275" s="58" t="str">
        <f t="shared" si="146"/>
        <v>5-3007.01</v>
      </c>
      <c r="T275" s="58" t="str">
        <f t="shared" si="147"/>
        <v xml:space="preserve"> </v>
      </c>
      <c r="V275" s="72">
        <f t="shared" si="148"/>
        <v>65000000000265</v>
      </c>
      <c r="W275" s="60">
        <f t="shared" si="149"/>
        <v>65000000000186</v>
      </c>
      <c r="X275" s="60">
        <f t="shared" si="150"/>
        <v>65000000000251</v>
      </c>
      <c r="Y275" s="60">
        <f t="shared" si="151"/>
        <v>65000000000147</v>
      </c>
      <c r="Z275" s="60">
        <f t="shared" si="152"/>
        <v>65000000000264</v>
      </c>
      <c r="AA275" s="60">
        <f t="shared" si="135"/>
        <v>65000000000265</v>
      </c>
      <c r="AB275" s="60">
        <f t="shared" si="153"/>
        <v>65000000000000</v>
      </c>
      <c r="AD275" s="60">
        <f t="shared" si="156"/>
        <v>5</v>
      </c>
      <c r="AE275" s="60">
        <f t="shared" si="157"/>
        <v>4</v>
      </c>
      <c r="AF275" s="60">
        <f t="shared" si="158"/>
        <v>1</v>
      </c>
      <c r="AG275" s="60">
        <f t="shared" si="159"/>
        <v>48</v>
      </c>
      <c r="AH275" s="60">
        <f t="shared" si="160"/>
        <v>2</v>
      </c>
      <c r="AI275" s="60">
        <f t="shared" si="161"/>
        <v>1</v>
      </c>
      <c r="AK275" s="68" t="str">
        <f t="shared" si="136"/>
        <v>L5</v>
      </c>
      <c r="AM275" s="64" t="s">
        <v>1755</v>
      </c>
      <c r="AN275" s="64">
        <f t="shared" si="137"/>
        <v>65000000000186</v>
      </c>
      <c r="AO275" s="64">
        <f t="shared" si="138"/>
        <v>65000000000251</v>
      </c>
      <c r="AP275" s="64">
        <f t="shared" si="139"/>
        <v>65000000000251</v>
      </c>
      <c r="AQ275" s="64">
        <f t="shared" si="140"/>
        <v>65000000000264</v>
      </c>
      <c r="AS275" s="64">
        <f t="shared" si="141"/>
        <v>65000000000264</v>
      </c>
      <c r="AU275" s="59" t="str">
        <f t="shared" si="162"/>
        <v>PERFORM * FROM "SchData-OLTP-Accounting"."Func_TblChartOfAccount_SET"(varSystemLoginSession, null, null, null, varInstitutionBranchID, 62000000000001::bigint,'5-3007.01', 'Telephone Expenses (IDR)', 62000000000001::bigint, '2016-01-01 00:00:00'::timestamp, null::timestamp, 65000000000264::bigint, 66000000000001::bigint);</v>
      </c>
      <c r="AV275" s="65">
        <f t="shared" si="163"/>
        <v>65000000000265</v>
      </c>
      <c r="AW275" s="65">
        <f t="shared" si="164"/>
        <v>65000000000264</v>
      </c>
      <c r="AY275" s="65">
        <f t="shared" si="154"/>
        <v>65000000000264</v>
      </c>
      <c r="BA275" s="78">
        <f t="shared" si="165"/>
        <v>65000000000265</v>
      </c>
      <c r="BB275" s="81" t="str">
        <f t="shared" si="155"/>
        <v>PERFORM * FROM "SchData-OLTP-Accounting"."Func_TblChartOfAccount_SET"(varSystemLoginSession, null, null, null, null, null, varInstitutionBranchID, 62000000000001::bigint,'5-3007.01', 'Telephone Expenses (IDR)', 62000000000001::bigint, '2016-01-01 00:00:00'::timestamp, null::timestamp, 65000000000264::bigint, 66000000000001::bigint, FALSE::boolean);</v>
      </c>
    </row>
    <row r="276" spans="2:54" x14ac:dyDescent="0.2">
      <c r="B276" s="41"/>
      <c r="C276" s="42"/>
      <c r="D276" s="43"/>
      <c r="E276" s="42"/>
      <c r="F276" s="43"/>
      <c r="G276" s="42"/>
      <c r="H276" s="51" t="s">
        <v>935</v>
      </c>
      <c r="I276" s="18" t="s">
        <v>209</v>
      </c>
      <c r="J276" s="51"/>
      <c r="K276" s="18"/>
      <c r="L276" s="51"/>
      <c r="M276" s="18"/>
      <c r="O276" s="58" t="str">
        <f t="shared" si="142"/>
        <v>5-0000</v>
      </c>
      <c r="P276" s="58" t="str">
        <f t="shared" si="143"/>
        <v>5-3000</v>
      </c>
      <c r="Q276" s="58" t="str">
        <f t="shared" si="144"/>
        <v>2-1200</v>
      </c>
      <c r="R276" s="58" t="str">
        <f t="shared" si="145"/>
        <v>5-3008</v>
      </c>
      <c r="S276" s="58" t="str">
        <f t="shared" si="146"/>
        <v>5-3007.01</v>
      </c>
      <c r="T276" s="58" t="str">
        <f t="shared" si="147"/>
        <v xml:space="preserve"> </v>
      </c>
      <c r="V276" s="72">
        <f t="shared" si="148"/>
        <v>65000000000266</v>
      </c>
      <c r="W276" s="60">
        <f t="shared" si="149"/>
        <v>65000000000186</v>
      </c>
      <c r="X276" s="60">
        <f t="shared" si="150"/>
        <v>65000000000251</v>
      </c>
      <c r="Y276" s="60">
        <f t="shared" si="151"/>
        <v>65000000000147</v>
      </c>
      <c r="Z276" s="60">
        <f t="shared" si="152"/>
        <v>65000000000266</v>
      </c>
      <c r="AA276" s="60">
        <f t="shared" si="135"/>
        <v>65000000000265</v>
      </c>
      <c r="AB276" s="60">
        <f t="shared" si="153"/>
        <v>65000000000000</v>
      </c>
      <c r="AD276" s="60">
        <f t="shared" si="156"/>
        <v>5</v>
      </c>
      <c r="AE276" s="60">
        <f t="shared" si="157"/>
        <v>4</v>
      </c>
      <c r="AF276" s="60">
        <f t="shared" si="158"/>
        <v>1</v>
      </c>
      <c r="AG276" s="60">
        <f t="shared" si="159"/>
        <v>49</v>
      </c>
      <c r="AH276" s="60">
        <f t="shared" si="160"/>
        <v>1</v>
      </c>
      <c r="AI276" s="60">
        <f t="shared" si="161"/>
        <v>1</v>
      </c>
      <c r="AK276" s="68" t="str">
        <f t="shared" si="136"/>
        <v>L4</v>
      </c>
      <c r="AM276" s="64" t="s">
        <v>1755</v>
      </c>
      <c r="AN276" s="64">
        <f t="shared" si="137"/>
        <v>65000000000186</v>
      </c>
      <c r="AO276" s="64">
        <f t="shared" si="138"/>
        <v>65000000000251</v>
      </c>
      <c r="AP276" s="64">
        <f t="shared" si="139"/>
        <v>65000000000251</v>
      </c>
      <c r="AQ276" s="64">
        <f t="shared" si="140"/>
        <v>65000000000264</v>
      </c>
      <c r="AS276" s="64">
        <f t="shared" si="141"/>
        <v>65000000000251</v>
      </c>
      <c r="AU276" s="59" t="str">
        <f t="shared" si="162"/>
        <v>PERFORM * FROM "SchData-OLTP-Accounting"."Func_TblChartOfAccount_SET"(varSystemLoginSession, null, null, null, varInstitutionBranchID, 62000000000001::bigint,'5-3008', 'Mobile Phone', 62000000000001::bigint, '2016-01-01 00:00:00'::timestamp, null::timestamp, 65000000000251::bigint, 66000000000001::bigint);</v>
      </c>
      <c r="AV276" s="65">
        <f t="shared" si="163"/>
        <v>65000000000266</v>
      </c>
      <c r="AW276" s="65">
        <f t="shared" si="164"/>
        <v>65000000000251</v>
      </c>
      <c r="AY276" s="65">
        <f t="shared" si="154"/>
        <v>65000000000147</v>
      </c>
      <c r="BA276" s="78">
        <f t="shared" si="165"/>
        <v>65000000000266</v>
      </c>
      <c r="BB276" s="81" t="str">
        <f t="shared" si="155"/>
        <v>PERFORM * FROM "SchData-OLTP-Accounting"."Func_TblChartOfAccount_SET"(varSystemLoginSession, null, null, null, null, null, varInstitutionBranchID, 62000000000001::bigint,'5-3008', 'Mobile Phone', 62000000000001::bigint, '2016-01-01 00:00:00'::timestamp, null::timestamp, 65000000000251::bigint, 66000000000001::bigint, FALSE::boolean);</v>
      </c>
    </row>
    <row r="277" spans="2:54" x14ac:dyDescent="0.2">
      <c r="B277" s="41"/>
      <c r="C277" s="42"/>
      <c r="D277" s="43"/>
      <c r="E277" s="42"/>
      <c r="F277" s="43"/>
      <c r="G277" s="42"/>
      <c r="H277" s="51"/>
      <c r="I277" s="18"/>
      <c r="J277" s="51" t="s">
        <v>1483</v>
      </c>
      <c r="K277" s="18" t="s">
        <v>1237</v>
      </c>
      <c r="L277" s="51"/>
      <c r="M277" s="18"/>
      <c r="O277" s="58" t="str">
        <f t="shared" si="142"/>
        <v>5-0000</v>
      </c>
      <c r="P277" s="58" t="str">
        <f t="shared" si="143"/>
        <v>5-3000</v>
      </c>
      <c r="Q277" s="58" t="str">
        <f t="shared" si="144"/>
        <v>2-1200</v>
      </c>
      <c r="R277" s="58" t="str">
        <f t="shared" si="145"/>
        <v>5-3008</v>
      </c>
      <c r="S277" s="58" t="str">
        <f t="shared" si="146"/>
        <v>5-3008.01</v>
      </c>
      <c r="T277" s="58" t="str">
        <f t="shared" si="147"/>
        <v xml:space="preserve"> </v>
      </c>
      <c r="V277" s="72">
        <f t="shared" si="148"/>
        <v>65000000000267</v>
      </c>
      <c r="W277" s="60">
        <f t="shared" si="149"/>
        <v>65000000000186</v>
      </c>
      <c r="X277" s="60">
        <f t="shared" si="150"/>
        <v>65000000000251</v>
      </c>
      <c r="Y277" s="60">
        <f t="shared" si="151"/>
        <v>65000000000147</v>
      </c>
      <c r="Z277" s="60">
        <f t="shared" si="152"/>
        <v>65000000000266</v>
      </c>
      <c r="AA277" s="60">
        <f t="shared" si="135"/>
        <v>65000000000267</v>
      </c>
      <c r="AB277" s="60">
        <f t="shared" si="153"/>
        <v>65000000000000</v>
      </c>
      <c r="AD277" s="60">
        <f t="shared" si="156"/>
        <v>5</v>
      </c>
      <c r="AE277" s="60">
        <f t="shared" si="157"/>
        <v>4</v>
      </c>
      <c r="AF277" s="60">
        <f t="shared" si="158"/>
        <v>1</v>
      </c>
      <c r="AG277" s="60">
        <f t="shared" si="159"/>
        <v>49</v>
      </c>
      <c r="AH277" s="60">
        <f t="shared" si="160"/>
        <v>2</v>
      </c>
      <c r="AI277" s="60">
        <f t="shared" si="161"/>
        <v>1</v>
      </c>
      <c r="AK277" s="68" t="str">
        <f t="shared" si="136"/>
        <v>L5</v>
      </c>
      <c r="AM277" s="64" t="s">
        <v>1755</v>
      </c>
      <c r="AN277" s="64">
        <f t="shared" si="137"/>
        <v>65000000000186</v>
      </c>
      <c r="AO277" s="64">
        <f t="shared" si="138"/>
        <v>65000000000251</v>
      </c>
      <c r="AP277" s="64">
        <f t="shared" si="139"/>
        <v>65000000000251</v>
      </c>
      <c r="AQ277" s="64">
        <f t="shared" si="140"/>
        <v>65000000000266</v>
      </c>
      <c r="AS277" s="64">
        <f t="shared" si="141"/>
        <v>65000000000266</v>
      </c>
      <c r="AU277" s="59" t="str">
        <f t="shared" si="162"/>
        <v>PERFORM * FROM "SchData-OLTP-Accounting"."Func_TblChartOfAccount_SET"(varSystemLoginSession, null, null, null, varInstitutionBranchID, 62000000000001::bigint,'5-3008.01', 'Mobile Phone (IDR)', 62000000000001::bigint, '2016-01-01 00:00:00'::timestamp, null::timestamp, 65000000000266::bigint, 66000000000001::bigint);</v>
      </c>
      <c r="AV277" s="65">
        <f t="shared" si="163"/>
        <v>65000000000267</v>
      </c>
      <c r="AW277" s="65">
        <f t="shared" si="164"/>
        <v>65000000000266</v>
      </c>
      <c r="AY277" s="65">
        <f t="shared" si="154"/>
        <v>65000000000266</v>
      </c>
      <c r="BA277" s="78">
        <f t="shared" si="165"/>
        <v>65000000000267</v>
      </c>
      <c r="BB277" s="81" t="str">
        <f t="shared" si="155"/>
        <v>PERFORM * FROM "SchData-OLTP-Accounting"."Func_TblChartOfAccount_SET"(varSystemLoginSession, null, null, null, null, null, varInstitutionBranchID, 62000000000001::bigint,'5-3008.01', 'Mobile Phone (IDR)', 62000000000001::bigint, '2016-01-01 00:00:00'::timestamp, null::timestamp, 65000000000266::bigint, 66000000000001::bigint, FALSE::boolean);</v>
      </c>
    </row>
    <row r="278" spans="2:54" x14ac:dyDescent="0.2">
      <c r="B278" s="41"/>
      <c r="C278" s="42"/>
      <c r="D278" s="43"/>
      <c r="E278" s="42"/>
      <c r="F278" s="43"/>
      <c r="G278" s="42"/>
      <c r="H278" s="51" t="s">
        <v>936</v>
      </c>
      <c r="I278" s="18" t="s">
        <v>425</v>
      </c>
      <c r="J278" s="51"/>
      <c r="K278" s="18"/>
      <c r="L278" s="51"/>
      <c r="M278" s="18"/>
      <c r="O278" s="58" t="str">
        <f t="shared" si="142"/>
        <v>5-0000</v>
      </c>
      <c r="P278" s="58" t="str">
        <f t="shared" si="143"/>
        <v>5-3000</v>
      </c>
      <c r="Q278" s="58" t="str">
        <f t="shared" si="144"/>
        <v>2-1200</v>
      </c>
      <c r="R278" s="58" t="str">
        <f t="shared" si="145"/>
        <v>5-3009</v>
      </c>
      <c r="S278" s="58" t="str">
        <f t="shared" si="146"/>
        <v>5-3008.01</v>
      </c>
      <c r="T278" s="58" t="str">
        <f t="shared" si="147"/>
        <v xml:space="preserve"> </v>
      </c>
      <c r="V278" s="72">
        <f t="shared" si="148"/>
        <v>65000000000268</v>
      </c>
      <c r="W278" s="60">
        <f t="shared" si="149"/>
        <v>65000000000186</v>
      </c>
      <c r="X278" s="60">
        <f t="shared" si="150"/>
        <v>65000000000251</v>
      </c>
      <c r="Y278" s="60">
        <f t="shared" si="151"/>
        <v>65000000000147</v>
      </c>
      <c r="Z278" s="60">
        <f t="shared" si="152"/>
        <v>65000000000268</v>
      </c>
      <c r="AA278" s="60">
        <f t="shared" si="135"/>
        <v>65000000000267</v>
      </c>
      <c r="AB278" s="60">
        <f t="shared" si="153"/>
        <v>65000000000000</v>
      </c>
      <c r="AD278" s="60">
        <f t="shared" si="156"/>
        <v>5</v>
      </c>
      <c r="AE278" s="60">
        <f t="shared" si="157"/>
        <v>4</v>
      </c>
      <c r="AF278" s="60">
        <f t="shared" si="158"/>
        <v>1</v>
      </c>
      <c r="AG278" s="60">
        <f t="shared" si="159"/>
        <v>50</v>
      </c>
      <c r="AH278" s="60">
        <f t="shared" si="160"/>
        <v>1</v>
      </c>
      <c r="AI278" s="60">
        <f t="shared" si="161"/>
        <v>1</v>
      </c>
      <c r="AK278" s="68" t="str">
        <f t="shared" si="136"/>
        <v>L4</v>
      </c>
      <c r="AM278" s="64" t="s">
        <v>1755</v>
      </c>
      <c r="AN278" s="64">
        <f t="shared" si="137"/>
        <v>65000000000186</v>
      </c>
      <c r="AO278" s="64">
        <f t="shared" si="138"/>
        <v>65000000000251</v>
      </c>
      <c r="AP278" s="64">
        <f t="shared" si="139"/>
        <v>65000000000251</v>
      </c>
      <c r="AQ278" s="64">
        <f t="shared" si="140"/>
        <v>65000000000266</v>
      </c>
      <c r="AS278" s="64">
        <f t="shared" si="141"/>
        <v>65000000000251</v>
      </c>
      <c r="AU278" s="59" t="str">
        <f t="shared" si="162"/>
        <v>PERFORM * FROM "SchData-OLTP-Accounting"."Func_TblChartOfAccount_SET"(varSystemLoginSession, null, null, null, varInstitutionBranchID, 62000000000001::bigint,'5-3009', 'Insurance Expenses', 62000000000001::bigint, '2016-01-01 00:00:00'::timestamp, null::timestamp, 65000000000251::bigint, 66000000000001::bigint);</v>
      </c>
      <c r="AV278" s="65">
        <f t="shared" si="163"/>
        <v>65000000000268</v>
      </c>
      <c r="AW278" s="65">
        <f t="shared" si="164"/>
        <v>65000000000251</v>
      </c>
      <c r="AY278" s="65">
        <f t="shared" si="154"/>
        <v>65000000000147</v>
      </c>
      <c r="BA278" s="78">
        <f t="shared" si="165"/>
        <v>65000000000268</v>
      </c>
      <c r="BB278" s="81" t="str">
        <f t="shared" si="155"/>
        <v>PERFORM * FROM "SchData-OLTP-Accounting"."Func_TblChartOfAccount_SET"(varSystemLoginSession, null, null, null, null, null, varInstitutionBranchID, 62000000000001::bigint,'5-3009', 'Insurance Expenses', 62000000000001::bigint, '2016-01-01 00:00:00'::timestamp, null::timestamp, 65000000000251::bigint, 66000000000001::bigint, FALSE::boolean);</v>
      </c>
    </row>
    <row r="279" spans="2:54" x14ac:dyDescent="0.2">
      <c r="B279" s="41"/>
      <c r="C279" s="42"/>
      <c r="D279" s="43"/>
      <c r="E279" s="42"/>
      <c r="F279" s="43"/>
      <c r="G279" s="42"/>
      <c r="H279" s="51"/>
      <c r="I279" s="18"/>
      <c r="J279" s="51" t="s">
        <v>1484</v>
      </c>
      <c r="K279" s="18" t="s">
        <v>1316</v>
      </c>
      <c r="L279" s="51"/>
      <c r="M279" s="18"/>
      <c r="O279" s="58" t="str">
        <f t="shared" si="142"/>
        <v>5-0000</v>
      </c>
      <c r="P279" s="58" t="str">
        <f t="shared" si="143"/>
        <v>5-3000</v>
      </c>
      <c r="Q279" s="58" t="str">
        <f t="shared" si="144"/>
        <v>2-1200</v>
      </c>
      <c r="R279" s="58" t="str">
        <f t="shared" si="145"/>
        <v>5-3009</v>
      </c>
      <c r="S279" s="58" t="str">
        <f t="shared" si="146"/>
        <v>5-3009.01</v>
      </c>
      <c r="T279" s="58" t="str">
        <f t="shared" si="147"/>
        <v xml:space="preserve"> </v>
      </c>
      <c r="V279" s="72">
        <f t="shared" si="148"/>
        <v>65000000000269</v>
      </c>
      <c r="W279" s="60">
        <f t="shared" si="149"/>
        <v>65000000000186</v>
      </c>
      <c r="X279" s="60">
        <f t="shared" si="150"/>
        <v>65000000000251</v>
      </c>
      <c r="Y279" s="60">
        <f t="shared" si="151"/>
        <v>65000000000147</v>
      </c>
      <c r="Z279" s="60">
        <f t="shared" si="152"/>
        <v>65000000000268</v>
      </c>
      <c r="AA279" s="60">
        <f t="shared" si="135"/>
        <v>65000000000269</v>
      </c>
      <c r="AB279" s="60">
        <f t="shared" si="153"/>
        <v>65000000000000</v>
      </c>
      <c r="AD279" s="60">
        <f t="shared" si="156"/>
        <v>5</v>
      </c>
      <c r="AE279" s="60">
        <f t="shared" si="157"/>
        <v>4</v>
      </c>
      <c r="AF279" s="60">
        <f t="shared" si="158"/>
        <v>1</v>
      </c>
      <c r="AG279" s="60">
        <f t="shared" si="159"/>
        <v>50</v>
      </c>
      <c r="AH279" s="60">
        <f t="shared" si="160"/>
        <v>2</v>
      </c>
      <c r="AI279" s="60">
        <f t="shared" si="161"/>
        <v>1</v>
      </c>
      <c r="AK279" s="68" t="str">
        <f t="shared" si="136"/>
        <v>L5</v>
      </c>
      <c r="AM279" s="64" t="s">
        <v>1755</v>
      </c>
      <c r="AN279" s="64">
        <f t="shared" si="137"/>
        <v>65000000000186</v>
      </c>
      <c r="AO279" s="64">
        <f t="shared" si="138"/>
        <v>65000000000251</v>
      </c>
      <c r="AP279" s="64">
        <f t="shared" si="139"/>
        <v>65000000000251</v>
      </c>
      <c r="AQ279" s="64">
        <f t="shared" si="140"/>
        <v>65000000000268</v>
      </c>
      <c r="AS279" s="64">
        <f t="shared" si="141"/>
        <v>65000000000268</v>
      </c>
      <c r="AU279" s="59" t="str">
        <f t="shared" si="162"/>
        <v>PERFORM * FROM "SchData-OLTP-Accounting"."Func_TblChartOfAccount_SET"(varSystemLoginSession, null, null, null, varInstitutionBranchID, 62000000000001::bigint,'5-3009.01', 'Insurance Expenses (IDR)', 62000000000001::bigint, '2016-01-01 00:00:00'::timestamp, null::timestamp, 65000000000268::bigint, 66000000000001::bigint);</v>
      </c>
      <c r="AV279" s="65">
        <f t="shared" si="163"/>
        <v>65000000000269</v>
      </c>
      <c r="AW279" s="65">
        <f t="shared" si="164"/>
        <v>65000000000268</v>
      </c>
      <c r="AY279" s="65">
        <f t="shared" si="154"/>
        <v>65000000000268</v>
      </c>
      <c r="BA279" s="78">
        <f t="shared" si="165"/>
        <v>65000000000269</v>
      </c>
      <c r="BB279" s="81" t="str">
        <f t="shared" si="155"/>
        <v>PERFORM * FROM "SchData-OLTP-Accounting"."Func_TblChartOfAccount_SET"(varSystemLoginSession, null, null, null, null, null, varInstitutionBranchID, 62000000000001::bigint,'5-3009.01', 'Insurance Expenses (IDR)', 62000000000001::bigint, '2016-01-01 00:00:00'::timestamp, null::timestamp, 65000000000268::bigint, 66000000000001::bigint, FALSE::boolean);</v>
      </c>
    </row>
    <row r="280" spans="2:54" x14ac:dyDescent="0.2">
      <c r="B280" s="41"/>
      <c r="C280" s="42"/>
      <c r="D280" s="43"/>
      <c r="E280" s="42"/>
      <c r="F280" s="43"/>
      <c r="G280" s="42"/>
      <c r="H280" s="51" t="s">
        <v>410</v>
      </c>
      <c r="I280" s="18" t="s">
        <v>427</v>
      </c>
      <c r="J280" s="51"/>
      <c r="K280" s="18"/>
      <c r="L280" s="51"/>
      <c r="M280" s="18"/>
      <c r="O280" s="58" t="str">
        <f t="shared" si="142"/>
        <v>5-0000</v>
      </c>
      <c r="P280" s="58" t="str">
        <f t="shared" si="143"/>
        <v>5-3000</v>
      </c>
      <c r="Q280" s="58" t="str">
        <f t="shared" si="144"/>
        <v>2-1200</v>
      </c>
      <c r="R280" s="58" t="str">
        <f t="shared" si="145"/>
        <v>5-3010</v>
      </c>
      <c r="S280" s="58" t="str">
        <f t="shared" si="146"/>
        <v>5-3009.01</v>
      </c>
      <c r="T280" s="58" t="str">
        <f t="shared" si="147"/>
        <v xml:space="preserve"> </v>
      </c>
      <c r="V280" s="72">
        <f t="shared" si="148"/>
        <v>65000000000270</v>
      </c>
      <c r="W280" s="60">
        <f t="shared" si="149"/>
        <v>65000000000186</v>
      </c>
      <c r="X280" s="60">
        <f t="shared" si="150"/>
        <v>65000000000251</v>
      </c>
      <c r="Y280" s="60">
        <f t="shared" si="151"/>
        <v>65000000000147</v>
      </c>
      <c r="Z280" s="60">
        <f t="shared" si="152"/>
        <v>65000000000270</v>
      </c>
      <c r="AA280" s="60">
        <f t="shared" si="135"/>
        <v>65000000000269</v>
      </c>
      <c r="AB280" s="60">
        <f t="shared" si="153"/>
        <v>65000000000000</v>
      </c>
      <c r="AD280" s="60">
        <f t="shared" si="156"/>
        <v>5</v>
      </c>
      <c r="AE280" s="60">
        <f t="shared" si="157"/>
        <v>4</v>
      </c>
      <c r="AF280" s="60">
        <f t="shared" si="158"/>
        <v>1</v>
      </c>
      <c r="AG280" s="60">
        <f t="shared" si="159"/>
        <v>51</v>
      </c>
      <c r="AH280" s="60">
        <f t="shared" si="160"/>
        <v>1</v>
      </c>
      <c r="AI280" s="60">
        <f t="shared" si="161"/>
        <v>1</v>
      </c>
      <c r="AK280" s="68" t="str">
        <f t="shared" si="136"/>
        <v>L4</v>
      </c>
      <c r="AM280" s="64" t="s">
        <v>1755</v>
      </c>
      <c r="AN280" s="64">
        <f t="shared" si="137"/>
        <v>65000000000186</v>
      </c>
      <c r="AO280" s="64">
        <f t="shared" si="138"/>
        <v>65000000000251</v>
      </c>
      <c r="AP280" s="64">
        <f t="shared" si="139"/>
        <v>65000000000251</v>
      </c>
      <c r="AQ280" s="64">
        <f t="shared" si="140"/>
        <v>65000000000268</v>
      </c>
      <c r="AS280" s="64">
        <f t="shared" si="141"/>
        <v>65000000000251</v>
      </c>
      <c r="AU280" s="59" t="str">
        <f t="shared" si="162"/>
        <v>PERFORM * FROM "SchData-OLTP-Accounting"."Func_TblChartOfAccount_SET"(varSystemLoginSession, null, null, null, varInstitutionBranchID, 62000000000001::bigint,'5-3010', 'Property Rental/Lease', 62000000000001::bigint, '2016-01-01 00:00:00'::timestamp, null::timestamp, 65000000000251::bigint, 66000000000001::bigint);</v>
      </c>
      <c r="AV280" s="65">
        <f t="shared" si="163"/>
        <v>65000000000270</v>
      </c>
      <c r="AW280" s="65">
        <f t="shared" si="164"/>
        <v>65000000000251</v>
      </c>
      <c r="AY280" s="65">
        <f t="shared" si="154"/>
        <v>65000000000147</v>
      </c>
      <c r="BA280" s="78">
        <f t="shared" si="165"/>
        <v>65000000000270</v>
      </c>
      <c r="BB280" s="81" t="str">
        <f t="shared" si="155"/>
        <v>PERFORM * FROM "SchData-OLTP-Accounting"."Func_TblChartOfAccount_SET"(varSystemLoginSession, null, null, null, null, null, varInstitutionBranchID, 62000000000001::bigint,'5-3010', 'Property Rental/Lease', 62000000000001::bigint, '2016-01-01 00:00:00'::timestamp, null::timestamp, 65000000000251::bigint, 66000000000001::bigint, FALSE::boolean);</v>
      </c>
    </row>
    <row r="281" spans="2:54" x14ac:dyDescent="0.2">
      <c r="B281" s="41"/>
      <c r="C281" s="42"/>
      <c r="D281" s="43"/>
      <c r="E281" s="42"/>
      <c r="F281" s="43"/>
      <c r="G281" s="42"/>
      <c r="H281" s="51"/>
      <c r="I281" s="18"/>
      <c r="J281" s="51" t="s">
        <v>1485</v>
      </c>
      <c r="K281" s="18" t="s">
        <v>1317</v>
      </c>
      <c r="L281" s="51"/>
      <c r="M281" s="18"/>
      <c r="O281" s="58" t="str">
        <f t="shared" si="142"/>
        <v>5-0000</v>
      </c>
      <c r="P281" s="58" t="str">
        <f t="shared" si="143"/>
        <v>5-3000</v>
      </c>
      <c r="Q281" s="58" t="str">
        <f t="shared" si="144"/>
        <v>2-1200</v>
      </c>
      <c r="R281" s="58" t="str">
        <f t="shared" si="145"/>
        <v>5-3010</v>
      </c>
      <c r="S281" s="58" t="str">
        <f t="shared" si="146"/>
        <v>5-3010.01</v>
      </c>
      <c r="T281" s="58" t="str">
        <f t="shared" si="147"/>
        <v xml:space="preserve"> </v>
      </c>
      <c r="V281" s="72">
        <f t="shared" si="148"/>
        <v>65000000000271</v>
      </c>
      <c r="W281" s="60">
        <f t="shared" si="149"/>
        <v>65000000000186</v>
      </c>
      <c r="X281" s="60">
        <f t="shared" si="150"/>
        <v>65000000000251</v>
      </c>
      <c r="Y281" s="60">
        <f t="shared" si="151"/>
        <v>65000000000147</v>
      </c>
      <c r="Z281" s="60">
        <f t="shared" si="152"/>
        <v>65000000000270</v>
      </c>
      <c r="AA281" s="60">
        <f t="shared" si="135"/>
        <v>65000000000271</v>
      </c>
      <c r="AB281" s="60">
        <f t="shared" si="153"/>
        <v>65000000000000</v>
      </c>
      <c r="AD281" s="60">
        <f t="shared" si="156"/>
        <v>5</v>
      </c>
      <c r="AE281" s="60">
        <f t="shared" si="157"/>
        <v>4</v>
      </c>
      <c r="AF281" s="60">
        <f t="shared" si="158"/>
        <v>1</v>
      </c>
      <c r="AG281" s="60">
        <f t="shared" si="159"/>
        <v>51</v>
      </c>
      <c r="AH281" s="60">
        <f t="shared" si="160"/>
        <v>2</v>
      </c>
      <c r="AI281" s="60">
        <f t="shared" si="161"/>
        <v>1</v>
      </c>
      <c r="AK281" s="68" t="str">
        <f t="shared" si="136"/>
        <v>L5</v>
      </c>
      <c r="AM281" s="64" t="s">
        <v>1755</v>
      </c>
      <c r="AN281" s="64">
        <f t="shared" si="137"/>
        <v>65000000000186</v>
      </c>
      <c r="AO281" s="64">
        <f t="shared" si="138"/>
        <v>65000000000251</v>
      </c>
      <c r="AP281" s="64">
        <f t="shared" si="139"/>
        <v>65000000000251</v>
      </c>
      <c r="AQ281" s="64">
        <f t="shared" si="140"/>
        <v>65000000000270</v>
      </c>
      <c r="AS281" s="64">
        <f t="shared" si="141"/>
        <v>65000000000270</v>
      </c>
      <c r="AU281" s="59" t="str">
        <f t="shared" si="162"/>
        <v>PERFORM * FROM "SchData-OLTP-Accounting"."Func_TblChartOfAccount_SET"(varSystemLoginSession, null, null, null, varInstitutionBranchID, 62000000000001::bigint,'5-3010.01', 'Property Rental/Lease (IDR)', 62000000000001::bigint, '2016-01-01 00:00:00'::timestamp, null::timestamp, 65000000000270::bigint, 66000000000001::bigint);</v>
      </c>
      <c r="AV281" s="65">
        <f t="shared" si="163"/>
        <v>65000000000271</v>
      </c>
      <c r="AW281" s="65">
        <f t="shared" si="164"/>
        <v>65000000000270</v>
      </c>
      <c r="AY281" s="65">
        <f t="shared" si="154"/>
        <v>65000000000270</v>
      </c>
      <c r="BA281" s="78">
        <f t="shared" si="165"/>
        <v>65000000000271</v>
      </c>
      <c r="BB281" s="81" t="str">
        <f t="shared" si="155"/>
        <v>PERFORM * FROM "SchData-OLTP-Accounting"."Func_TblChartOfAccount_SET"(varSystemLoginSession, null, null, null, null, null, varInstitutionBranchID, 62000000000001::bigint,'5-3010.01', 'Property Rental/Lease (IDR)', 62000000000001::bigint, '2016-01-01 00:00:00'::timestamp, null::timestamp, 65000000000270::bigint, 66000000000001::bigint, FALSE::boolean);</v>
      </c>
    </row>
    <row r="282" spans="2:54" x14ac:dyDescent="0.2">
      <c r="B282" s="41"/>
      <c r="C282" s="42"/>
      <c r="D282" s="43"/>
      <c r="E282" s="42"/>
      <c r="F282" s="43"/>
      <c r="G282" s="42"/>
      <c r="H282" s="51" t="s">
        <v>937</v>
      </c>
      <c r="I282" s="18" t="s">
        <v>429</v>
      </c>
      <c r="J282" s="51"/>
      <c r="K282" s="18"/>
      <c r="L282" s="51"/>
      <c r="M282" s="18"/>
      <c r="O282" s="58" t="str">
        <f t="shared" si="142"/>
        <v>5-0000</v>
      </c>
      <c r="P282" s="58" t="str">
        <f t="shared" si="143"/>
        <v>5-3000</v>
      </c>
      <c r="Q282" s="58" t="str">
        <f t="shared" si="144"/>
        <v>2-1200</v>
      </c>
      <c r="R282" s="58" t="str">
        <f t="shared" si="145"/>
        <v>5-3011</v>
      </c>
      <c r="S282" s="58" t="str">
        <f t="shared" si="146"/>
        <v>5-3010.01</v>
      </c>
      <c r="T282" s="58" t="str">
        <f t="shared" si="147"/>
        <v xml:space="preserve"> </v>
      </c>
      <c r="V282" s="72">
        <f t="shared" si="148"/>
        <v>65000000000272</v>
      </c>
      <c r="W282" s="60">
        <f t="shared" si="149"/>
        <v>65000000000186</v>
      </c>
      <c r="X282" s="60">
        <f t="shared" si="150"/>
        <v>65000000000251</v>
      </c>
      <c r="Y282" s="60">
        <f t="shared" si="151"/>
        <v>65000000000147</v>
      </c>
      <c r="Z282" s="60">
        <f t="shared" si="152"/>
        <v>65000000000272</v>
      </c>
      <c r="AA282" s="60">
        <f t="shared" si="135"/>
        <v>65000000000271</v>
      </c>
      <c r="AB282" s="60">
        <f t="shared" si="153"/>
        <v>65000000000000</v>
      </c>
      <c r="AD282" s="60">
        <f t="shared" si="156"/>
        <v>5</v>
      </c>
      <c r="AE282" s="60">
        <f t="shared" si="157"/>
        <v>4</v>
      </c>
      <c r="AF282" s="60">
        <f t="shared" si="158"/>
        <v>1</v>
      </c>
      <c r="AG282" s="60">
        <f t="shared" si="159"/>
        <v>52</v>
      </c>
      <c r="AH282" s="60">
        <f t="shared" si="160"/>
        <v>1</v>
      </c>
      <c r="AI282" s="60">
        <f t="shared" si="161"/>
        <v>1</v>
      </c>
      <c r="AK282" s="68" t="str">
        <f t="shared" si="136"/>
        <v>L4</v>
      </c>
      <c r="AM282" s="64" t="s">
        <v>1755</v>
      </c>
      <c r="AN282" s="64">
        <f t="shared" si="137"/>
        <v>65000000000186</v>
      </c>
      <c r="AO282" s="64">
        <f t="shared" si="138"/>
        <v>65000000000251</v>
      </c>
      <c r="AP282" s="64">
        <f t="shared" si="139"/>
        <v>65000000000251</v>
      </c>
      <c r="AQ282" s="64">
        <f t="shared" si="140"/>
        <v>65000000000270</v>
      </c>
      <c r="AS282" s="64">
        <f t="shared" si="141"/>
        <v>65000000000251</v>
      </c>
      <c r="AU282" s="59" t="str">
        <f t="shared" si="162"/>
        <v>PERFORM * FROM "SchData-OLTP-Accounting"."Func_TblChartOfAccount_SET"(varSystemLoginSession, null, null, null, varInstitutionBranchID, 62000000000001::bigint,'5-3011', 'Hire of Other Plant &amp; Equipt', 62000000000001::bigint, '2016-01-01 00:00:00'::timestamp, null::timestamp, 65000000000251::bigint, 66000000000001::bigint);</v>
      </c>
      <c r="AV282" s="65">
        <f t="shared" si="163"/>
        <v>65000000000272</v>
      </c>
      <c r="AW282" s="65">
        <f t="shared" si="164"/>
        <v>65000000000251</v>
      </c>
      <c r="AY282" s="65">
        <f t="shared" si="154"/>
        <v>65000000000147</v>
      </c>
      <c r="BA282" s="78">
        <f t="shared" si="165"/>
        <v>65000000000272</v>
      </c>
      <c r="BB282" s="81" t="str">
        <f t="shared" si="155"/>
        <v>PERFORM * FROM "SchData-OLTP-Accounting"."Func_TblChartOfAccount_SET"(varSystemLoginSession, null, null, null, null, null, varInstitutionBranchID, 62000000000001::bigint,'5-3011', 'Hire of Other Plant &amp; Equipt', 62000000000001::bigint, '2016-01-01 00:00:00'::timestamp, null::timestamp, 65000000000251::bigint, 66000000000001::bigint, FALSE::boolean);</v>
      </c>
    </row>
    <row r="283" spans="2:54" x14ac:dyDescent="0.2">
      <c r="B283" s="41"/>
      <c r="C283" s="42"/>
      <c r="D283" s="43"/>
      <c r="E283" s="42"/>
      <c r="F283" s="43"/>
      <c r="G283" s="42"/>
      <c r="H283" s="51"/>
      <c r="I283" s="18"/>
      <c r="J283" s="51" t="s">
        <v>1486</v>
      </c>
      <c r="K283" s="18" t="s">
        <v>1318</v>
      </c>
      <c r="L283" s="51"/>
      <c r="M283" s="18"/>
      <c r="O283" s="58" t="str">
        <f t="shared" si="142"/>
        <v>5-0000</v>
      </c>
      <c r="P283" s="58" t="str">
        <f t="shared" si="143"/>
        <v>5-3000</v>
      </c>
      <c r="Q283" s="58" t="str">
        <f t="shared" si="144"/>
        <v>2-1200</v>
      </c>
      <c r="R283" s="58" t="str">
        <f t="shared" si="145"/>
        <v>5-3011</v>
      </c>
      <c r="S283" s="58" t="str">
        <f t="shared" si="146"/>
        <v>5-3011.01</v>
      </c>
      <c r="T283" s="58" t="str">
        <f t="shared" si="147"/>
        <v xml:space="preserve"> </v>
      </c>
      <c r="V283" s="72">
        <f t="shared" si="148"/>
        <v>65000000000273</v>
      </c>
      <c r="W283" s="60">
        <f t="shared" si="149"/>
        <v>65000000000186</v>
      </c>
      <c r="X283" s="60">
        <f t="shared" si="150"/>
        <v>65000000000251</v>
      </c>
      <c r="Y283" s="60">
        <f t="shared" si="151"/>
        <v>65000000000147</v>
      </c>
      <c r="Z283" s="60">
        <f t="shared" si="152"/>
        <v>65000000000272</v>
      </c>
      <c r="AA283" s="60">
        <f t="shared" si="135"/>
        <v>65000000000273</v>
      </c>
      <c r="AB283" s="60">
        <f t="shared" si="153"/>
        <v>65000000000000</v>
      </c>
      <c r="AD283" s="60">
        <f t="shared" si="156"/>
        <v>5</v>
      </c>
      <c r="AE283" s="60">
        <f t="shared" si="157"/>
        <v>4</v>
      </c>
      <c r="AF283" s="60">
        <f t="shared" si="158"/>
        <v>1</v>
      </c>
      <c r="AG283" s="60">
        <f t="shared" si="159"/>
        <v>52</v>
      </c>
      <c r="AH283" s="60">
        <f t="shared" si="160"/>
        <v>2</v>
      </c>
      <c r="AI283" s="60">
        <f t="shared" si="161"/>
        <v>1</v>
      </c>
      <c r="AK283" s="68" t="str">
        <f t="shared" si="136"/>
        <v>L5</v>
      </c>
      <c r="AM283" s="64" t="s">
        <v>1755</v>
      </c>
      <c r="AN283" s="64">
        <f t="shared" si="137"/>
        <v>65000000000186</v>
      </c>
      <c r="AO283" s="64">
        <f t="shared" si="138"/>
        <v>65000000000251</v>
      </c>
      <c r="AP283" s="64">
        <f t="shared" si="139"/>
        <v>65000000000251</v>
      </c>
      <c r="AQ283" s="64">
        <f t="shared" si="140"/>
        <v>65000000000272</v>
      </c>
      <c r="AS283" s="64">
        <f t="shared" si="141"/>
        <v>65000000000272</v>
      </c>
      <c r="AU283" s="59" t="str">
        <f t="shared" si="162"/>
        <v>PERFORM * FROM "SchData-OLTP-Accounting"."Func_TblChartOfAccount_SET"(varSystemLoginSession, null, null, null, varInstitutionBranchID, 62000000000001::bigint,'5-3011.01', 'Hire of Other Plant &amp; Equipt (IDR)', 62000000000001::bigint, '2016-01-01 00:00:00'::timestamp, null::timestamp, 65000000000272::bigint, 66000000000001::bigint);</v>
      </c>
      <c r="AV283" s="65">
        <f t="shared" si="163"/>
        <v>65000000000273</v>
      </c>
      <c r="AW283" s="65">
        <f t="shared" si="164"/>
        <v>65000000000272</v>
      </c>
      <c r="AY283" s="65">
        <f t="shared" si="154"/>
        <v>65000000000272</v>
      </c>
      <c r="BA283" s="78">
        <f t="shared" si="165"/>
        <v>65000000000273</v>
      </c>
      <c r="BB283" s="81" t="str">
        <f t="shared" si="155"/>
        <v>PERFORM * FROM "SchData-OLTP-Accounting"."Func_TblChartOfAccount_SET"(varSystemLoginSession, null, null, null, null, null, varInstitutionBranchID, 62000000000001::bigint,'5-3011.01', 'Hire of Other Plant &amp; Equipt (IDR)', 62000000000001::bigint, '2016-01-01 00:00:00'::timestamp, null::timestamp, 65000000000272::bigint, 66000000000001::bigint, FALSE::boolean);</v>
      </c>
    </row>
    <row r="284" spans="2:54" ht="25.5" x14ac:dyDescent="0.2">
      <c r="B284" s="41"/>
      <c r="C284" s="42"/>
      <c r="D284" s="43"/>
      <c r="E284" s="42"/>
      <c r="F284" s="43"/>
      <c r="G284" s="42"/>
      <c r="H284" s="51" t="s">
        <v>938</v>
      </c>
      <c r="I284" s="18" t="s">
        <v>431</v>
      </c>
      <c r="J284" s="51"/>
      <c r="K284" s="18"/>
      <c r="L284" s="51"/>
      <c r="M284" s="18"/>
      <c r="O284" s="58" t="str">
        <f t="shared" si="142"/>
        <v>5-0000</v>
      </c>
      <c r="P284" s="58" t="str">
        <f t="shared" si="143"/>
        <v>5-3000</v>
      </c>
      <c r="Q284" s="58" t="str">
        <f t="shared" si="144"/>
        <v>2-1200</v>
      </c>
      <c r="R284" s="58" t="str">
        <f t="shared" si="145"/>
        <v>5-3012</v>
      </c>
      <c r="S284" s="58" t="str">
        <f t="shared" si="146"/>
        <v>5-3011.01</v>
      </c>
      <c r="T284" s="58" t="str">
        <f t="shared" si="147"/>
        <v xml:space="preserve"> </v>
      </c>
      <c r="V284" s="72">
        <f t="shared" si="148"/>
        <v>65000000000274</v>
      </c>
      <c r="W284" s="60">
        <f t="shared" si="149"/>
        <v>65000000000186</v>
      </c>
      <c r="X284" s="60">
        <f t="shared" si="150"/>
        <v>65000000000251</v>
      </c>
      <c r="Y284" s="60">
        <f t="shared" si="151"/>
        <v>65000000000147</v>
      </c>
      <c r="Z284" s="60">
        <f t="shared" si="152"/>
        <v>65000000000274</v>
      </c>
      <c r="AA284" s="60">
        <f t="shared" si="135"/>
        <v>65000000000273</v>
      </c>
      <c r="AB284" s="60">
        <f t="shared" si="153"/>
        <v>65000000000000</v>
      </c>
      <c r="AD284" s="60">
        <f t="shared" si="156"/>
        <v>5</v>
      </c>
      <c r="AE284" s="60">
        <f t="shared" si="157"/>
        <v>4</v>
      </c>
      <c r="AF284" s="60">
        <f t="shared" si="158"/>
        <v>1</v>
      </c>
      <c r="AG284" s="60">
        <f t="shared" si="159"/>
        <v>53</v>
      </c>
      <c r="AH284" s="60">
        <f t="shared" si="160"/>
        <v>1</v>
      </c>
      <c r="AI284" s="60">
        <f t="shared" si="161"/>
        <v>1</v>
      </c>
      <c r="AK284" s="68" t="str">
        <f t="shared" si="136"/>
        <v>L4</v>
      </c>
      <c r="AM284" s="64" t="s">
        <v>1755</v>
      </c>
      <c r="AN284" s="64">
        <f t="shared" si="137"/>
        <v>65000000000186</v>
      </c>
      <c r="AO284" s="64">
        <f t="shared" si="138"/>
        <v>65000000000251</v>
      </c>
      <c r="AP284" s="64">
        <f t="shared" si="139"/>
        <v>65000000000251</v>
      </c>
      <c r="AQ284" s="64">
        <f t="shared" si="140"/>
        <v>65000000000272</v>
      </c>
      <c r="AS284" s="64">
        <f t="shared" si="141"/>
        <v>65000000000251</v>
      </c>
      <c r="AU284" s="59" t="str">
        <f t="shared" si="162"/>
        <v>PERFORM * FROM "SchData-OLTP-Accounting"."Func_TblChartOfAccount_SET"(varSystemLoginSession, null, null, null, varInstitutionBranchID, 62000000000001::bigint,'5-3012', 'Property Repair &amp; Maintenance', 62000000000001::bigint, '2016-01-01 00:00:00'::timestamp, null::timestamp, 65000000000251::bigint, 66000000000001::bigint);</v>
      </c>
      <c r="AV284" s="65">
        <f t="shared" si="163"/>
        <v>65000000000274</v>
      </c>
      <c r="AW284" s="65">
        <f t="shared" si="164"/>
        <v>65000000000251</v>
      </c>
      <c r="AY284" s="65">
        <f t="shared" si="154"/>
        <v>65000000000147</v>
      </c>
      <c r="BA284" s="78">
        <f t="shared" si="165"/>
        <v>65000000000274</v>
      </c>
      <c r="BB284" s="81" t="str">
        <f t="shared" si="155"/>
        <v>PERFORM * FROM "SchData-OLTP-Accounting"."Func_TblChartOfAccount_SET"(varSystemLoginSession, null, null, null, null, null, varInstitutionBranchID, 62000000000001::bigint,'5-3012', 'Property Repair &amp; Maintenance', 62000000000001::bigint, '2016-01-01 00:00:00'::timestamp, null::timestamp, 65000000000251::bigint, 66000000000001::bigint, FALSE::boolean);</v>
      </c>
    </row>
    <row r="285" spans="2:54" ht="25.5" x14ac:dyDescent="0.2">
      <c r="B285" s="41"/>
      <c r="C285" s="42"/>
      <c r="D285" s="43"/>
      <c r="E285" s="42"/>
      <c r="F285" s="43"/>
      <c r="G285" s="42"/>
      <c r="H285" s="51"/>
      <c r="I285" s="18"/>
      <c r="J285" s="51" t="s">
        <v>1487</v>
      </c>
      <c r="K285" s="18" t="s">
        <v>1319</v>
      </c>
      <c r="L285" s="51"/>
      <c r="M285" s="18"/>
      <c r="O285" s="58" t="str">
        <f t="shared" si="142"/>
        <v>5-0000</v>
      </c>
      <c r="P285" s="58" t="str">
        <f t="shared" si="143"/>
        <v>5-3000</v>
      </c>
      <c r="Q285" s="58" t="str">
        <f t="shared" si="144"/>
        <v>2-1200</v>
      </c>
      <c r="R285" s="58" t="str">
        <f t="shared" si="145"/>
        <v>5-3012</v>
      </c>
      <c r="S285" s="58" t="str">
        <f t="shared" si="146"/>
        <v>5-3012.01</v>
      </c>
      <c r="T285" s="58" t="str">
        <f t="shared" si="147"/>
        <v xml:space="preserve"> </v>
      </c>
      <c r="V285" s="72">
        <f t="shared" si="148"/>
        <v>65000000000275</v>
      </c>
      <c r="W285" s="60">
        <f t="shared" si="149"/>
        <v>65000000000186</v>
      </c>
      <c r="X285" s="60">
        <f t="shared" si="150"/>
        <v>65000000000251</v>
      </c>
      <c r="Y285" s="60">
        <f t="shared" si="151"/>
        <v>65000000000147</v>
      </c>
      <c r="Z285" s="60">
        <f t="shared" si="152"/>
        <v>65000000000274</v>
      </c>
      <c r="AA285" s="60">
        <f t="shared" si="135"/>
        <v>65000000000275</v>
      </c>
      <c r="AB285" s="60">
        <f t="shared" si="153"/>
        <v>65000000000000</v>
      </c>
      <c r="AD285" s="60">
        <f t="shared" si="156"/>
        <v>5</v>
      </c>
      <c r="AE285" s="60">
        <f t="shared" si="157"/>
        <v>4</v>
      </c>
      <c r="AF285" s="60">
        <f t="shared" si="158"/>
        <v>1</v>
      </c>
      <c r="AG285" s="60">
        <f t="shared" si="159"/>
        <v>53</v>
      </c>
      <c r="AH285" s="60">
        <f t="shared" si="160"/>
        <v>2</v>
      </c>
      <c r="AI285" s="60">
        <f t="shared" si="161"/>
        <v>1</v>
      </c>
      <c r="AK285" s="68" t="str">
        <f t="shared" si="136"/>
        <v>L5</v>
      </c>
      <c r="AM285" s="64" t="s">
        <v>1755</v>
      </c>
      <c r="AN285" s="64">
        <f t="shared" si="137"/>
        <v>65000000000186</v>
      </c>
      <c r="AO285" s="64">
        <f t="shared" si="138"/>
        <v>65000000000251</v>
      </c>
      <c r="AP285" s="64">
        <f t="shared" si="139"/>
        <v>65000000000251</v>
      </c>
      <c r="AQ285" s="64">
        <f t="shared" si="140"/>
        <v>65000000000274</v>
      </c>
      <c r="AS285" s="64">
        <f t="shared" si="141"/>
        <v>65000000000274</v>
      </c>
      <c r="AU285" s="59" t="str">
        <f t="shared" si="162"/>
        <v>PERFORM * FROM "SchData-OLTP-Accounting"."Func_TblChartOfAccount_SET"(varSystemLoginSession, null, null, null, varInstitutionBranchID, 62000000000001::bigint,'5-3012.01', 'Property Repair &amp; Maintenance (IDR)', 62000000000001::bigint, '2016-01-01 00:00:00'::timestamp, null::timestamp, 65000000000274::bigint, 66000000000001::bigint);</v>
      </c>
      <c r="AV285" s="65">
        <f t="shared" si="163"/>
        <v>65000000000275</v>
      </c>
      <c r="AW285" s="65">
        <f t="shared" si="164"/>
        <v>65000000000274</v>
      </c>
      <c r="AY285" s="65">
        <f t="shared" si="154"/>
        <v>65000000000274</v>
      </c>
      <c r="BA285" s="78">
        <f t="shared" si="165"/>
        <v>65000000000275</v>
      </c>
      <c r="BB285" s="81" t="str">
        <f t="shared" si="155"/>
        <v>PERFORM * FROM "SchData-OLTP-Accounting"."Func_TblChartOfAccount_SET"(varSystemLoginSession, null, null, null, null, null, varInstitutionBranchID, 62000000000001::bigint,'5-3012.01', 'Property Repair &amp; Maintenance (IDR)', 62000000000001::bigint, '2016-01-01 00:00:00'::timestamp, null::timestamp, 65000000000274::bigint, 66000000000001::bigint, FALSE::boolean);</v>
      </c>
    </row>
    <row r="286" spans="2:54" x14ac:dyDescent="0.2">
      <c r="B286" s="41"/>
      <c r="C286" s="42"/>
      <c r="D286" s="43"/>
      <c r="E286" s="42"/>
      <c r="F286" s="43"/>
      <c r="G286" s="42"/>
      <c r="H286" s="51" t="s">
        <v>939</v>
      </c>
      <c r="I286" s="18" t="s">
        <v>433</v>
      </c>
      <c r="J286" s="51"/>
      <c r="K286" s="18"/>
      <c r="L286" s="51"/>
      <c r="M286" s="18"/>
      <c r="O286" s="58" t="str">
        <f t="shared" si="142"/>
        <v>5-0000</v>
      </c>
      <c r="P286" s="58" t="str">
        <f t="shared" si="143"/>
        <v>5-3000</v>
      </c>
      <c r="Q286" s="58" t="str">
        <f t="shared" si="144"/>
        <v>2-1200</v>
      </c>
      <c r="R286" s="58" t="str">
        <f t="shared" si="145"/>
        <v>5-3013</v>
      </c>
      <c r="S286" s="58" t="str">
        <f t="shared" si="146"/>
        <v>5-3012.01</v>
      </c>
      <c r="T286" s="58" t="str">
        <f t="shared" si="147"/>
        <v xml:space="preserve"> </v>
      </c>
      <c r="V286" s="72">
        <f t="shared" si="148"/>
        <v>65000000000276</v>
      </c>
      <c r="W286" s="60">
        <f t="shared" si="149"/>
        <v>65000000000186</v>
      </c>
      <c r="X286" s="60">
        <f t="shared" si="150"/>
        <v>65000000000251</v>
      </c>
      <c r="Y286" s="60">
        <f t="shared" si="151"/>
        <v>65000000000147</v>
      </c>
      <c r="Z286" s="60">
        <f t="shared" si="152"/>
        <v>65000000000276</v>
      </c>
      <c r="AA286" s="60">
        <f t="shared" si="135"/>
        <v>65000000000275</v>
      </c>
      <c r="AB286" s="60">
        <f t="shared" si="153"/>
        <v>65000000000000</v>
      </c>
      <c r="AD286" s="60">
        <f t="shared" si="156"/>
        <v>5</v>
      </c>
      <c r="AE286" s="60">
        <f t="shared" si="157"/>
        <v>4</v>
      </c>
      <c r="AF286" s="60">
        <f t="shared" si="158"/>
        <v>1</v>
      </c>
      <c r="AG286" s="60">
        <f t="shared" si="159"/>
        <v>54</v>
      </c>
      <c r="AH286" s="60">
        <f t="shared" si="160"/>
        <v>1</v>
      </c>
      <c r="AI286" s="60">
        <f t="shared" si="161"/>
        <v>1</v>
      </c>
      <c r="AK286" s="68" t="str">
        <f t="shared" si="136"/>
        <v>L4</v>
      </c>
      <c r="AM286" s="64" t="s">
        <v>1755</v>
      </c>
      <c r="AN286" s="64">
        <f t="shared" si="137"/>
        <v>65000000000186</v>
      </c>
      <c r="AO286" s="64">
        <f t="shared" si="138"/>
        <v>65000000000251</v>
      </c>
      <c r="AP286" s="64">
        <f t="shared" si="139"/>
        <v>65000000000251</v>
      </c>
      <c r="AQ286" s="64">
        <f t="shared" si="140"/>
        <v>65000000000274</v>
      </c>
      <c r="AS286" s="64">
        <f t="shared" si="141"/>
        <v>65000000000251</v>
      </c>
      <c r="AU286" s="59" t="str">
        <f t="shared" si="162"/>
        <v>PERFORM * FROM "SchData-OLTP-Accounting"."Func_TblChartOfAccount_SET"(varSystemLoginSession, null, null, null, varInstitutionBranchID, 62000000000001::bigint,'5-3013', 'IT Expenses', 62000000000001::bigint, '2016-01-01 00:00:00'::timestamp, null::timestamp, 65000000000251::bigint, 66000000000001::bigint);</v>
      </c>
      <c r="AV286" s="65">
        <f t="shared" si="163"/>
        <v>65000000000276</v>
      </c>
      <c r="AW286" s="65">
        <f t="shared" si="164"/>
        <v>65000000000251</v>
      </c>
      <c r="AY286" s="65">
        <f t="shared" si="154"/>
        <v>65000000000147</v>
      </c>
      <c r="BA286" s="78">
        <f t="shared" si="165"/>
        <v>65000000000276</v>
      </c>
      <c r="BB286" s="81" t="str">
        <f t="shared" si="155"/>
        <v>PERFORM * FROM "SchData-OLTP-Accounting"."Func_TblChartOfAccount_SET"(varSystemLoginSession, null, null, null, null, null, varInstitutionBranchID, 62000000000001::bigint,'5-3013', 'IT Expenses', 62000000000001::bigint, '2016-01-01 00:00:00'::timestamp, null::timestamp, 65000000000251::bigint, 66000000000001::bigint, FALSE::boolean);</v>
      </c>
    </row>
    <row r="287" spans="2:54" x14ac:dyDescent="0.2">
      <c r="B287" s="41"/>
      <c r="C287" s="42"/>
      <c r="D287" s="43"/>
      <c r="E287" s="42"/>
      <c r="F287" s="43"/>
      <c r="G287" s="42"/>
      <c r="H287" s="51"/>
      <c r="I287" s="18"/>
      <c r="J287" s="51" t="s">
        <v>1488</v>
      </c>
      <c r="K287" s="18" t="s">
        <v>1320</v>
      </c>
      <c r="L287" s="51"/>
      <c r="M287" s="18"/>
      <c r="O287" s="58" t="str">
        <f t="shared" si="142"/>
        <v>5-0000</v>
      </c>
      <c r="P287" s="58" t="str">
        <f t="shared" si="143"/>
        <v>5-3000</v>
      </c>
      <c r="Q287" s="58" t="str">
        <f t="shared" si="144"/>
        <v>2-1200</v>
      </c>
      <c r="R287" s="58" t="str">
        <f t="shared" si="145"/>
        <v>5-3013</v>
      </c>
      <c r="S287" s="58" t="str">
        <f t="shared" si="146"/>
        <v>5-3013.01</v>
      </c>
      <c r="T287" s="58" t="str">
        <f t="shared" si="147"/>
        <v xml:space="preserve"> </v>
      </c>
      <c r="V287" s="72">
        <f t="shared" si="148"/>
        <v>65000000000277</v>
      </c>
      <c r="W287" s="60">
        <f t="shared" si="149"/>
        <v>65000000000186</v>
      </c>
      <c r="X287" s="60">
        <f t="shared" si="150"/>
        <v>65000000000251</v>
      </c>
      <c r="Y287" s="60">
        <f t="shared" si="151"/>
        <v>65000000000147</v>
      </c>
      <c r="Z287" s="60">
        <f t="shared" si="152"/>
        <v>65000000000276</v>
      </c>
      <c r="AA287" s="60">
        <f t="shared" si="135"/>
        <v>65000000000277</v>
      </c>
      <c r="AB287" s="60">
        <f t="shared" si="153"/>
        <v>65000000000000</v>
      </c>
      <c r="AD287" s="60">
        <f t="shared" si="156"/>
        <v>5</v>
      </c>
      <c r="AE287" s="60">
        <f t="shared" si="157"/>
        <v>4</v>
      </c>
      <c r="AF287" s="60">
        <f t="shared" si="158"/>
        <v>1</v>
      </c>
      <c r="AG287" s="60">
        <f t="shared" si="159"/>
        <v>54</v>
      </c>
      <c r="AH287" s="60">
        <f t="shared" si="160"/>
        <v>2</v>
      </c>
      <c r="AI287" s="60">
        <f t="shared" si="161"/>
        <v>1</v>
      </c>
      <c r="AK287" s="68" t="str">
        <f t="shared" si="136"/>
        <v>L5</v>
      </c>
      <c r="AM287" s="64" t="s">
        <v>1755</v>
      </c>
      <c r="AN287" s="64">
        <f t="shared" si="137"/>
        <v>65000000000186</v>
      </c>
      <c r="AO287" s="64">
        <f t="shared" si="138"/>
        <v>65000000000251</v>
      </c>
      <c r="AP287" s="64">
        <f t="shared" si="139"/>
        <v>65000000000251</v>
      </c>
      <c r="AQ287" s="64">
        <f t="shared" si="140"/>
        <v>65000000000276</v>
      </c>
      <c r="AS287" s="64">
        <f t="shared" si="141"/>
        <v>65000000000276</v>
      </c>
      <c r="AU287" s="59" t="str">
        <f t="shared" si="162"/>
        <v>PERFORM * FROM "SchData-OLTP-Accounting"."Func_TblChartOfAccount_SET"(varSystemLoginSession, null, null, null, varInstitutionBranchID, 62000000000001::bigint,'5-3013.01', 'IT Expenses (IDR)', 62000000000001::bigint, '2016-01-01 00:00:00'::timestamp, null::timestamp, 65000000000276::bigint, 66000000000001::bigint);</v>
      </c>
      <c r="AV287" s="65">
        <f t="shared" si="163"/>
        <v>65000000000277</v>
      </c>
      <c r="AW287" s="65">
        <f t="shared" si="164"/>
        <v>65000000000276</v>
      </c>
      <c r="AY287" s="65">
        <f t="shared" si="154"/>
        <v>65000000000276</v>
      </c>
      <c r="BA287" s="78">
        <f t="shared" si="165"/>
        <v>65000000000277</v>
      </c>
      <c r="BB287" s="81" t="str">
        <f t="shared" si="155"/>
        <v>PERFORM * FROM "SchData-OLTP-Accounting"."Func_TblChartOfAccount_SET"(varSystemLoginSession, null, null, null, null, null, varInstitutionBranchID, 62000000000001::bigint,'5-3013.01', 'IT Expenses (IDR)', 62000000000001::bigint, '2016-01-01 00:00:00'::timestamp, null::timestamp, 65000000000276::bigint, 66000000000001::bigint, FALSE::boolean);</v>
      </c>
    </row>
    <row r="288" spans="2:54" x14ac:dyDescent="0.2">
      <c r="B288" s="41"/>
      <c r="C288" s="42"/>
      <c r="D288" s="43"/>
      <c r="E288" s="42"/>
      <c r="F288" s="43"/>
      <c r="G288" s="42"/>
      <c r="H288" s="51" t="s">
        <v>940</v>
      </c>
      <c r="I288" s="18" t="s">
        <v>435</v>
      </c>
      <c r="J288" s="51"/>
      <c r="K288" s="18"/>
      <c r="L288" s="51"/>
      <c r="M288" s="18"/>
      <c r="O288" s="58" t="str">
        <f t="shared" si="142"/>
        <v>5-0000</v>
      </c>
      <c r="P288" s="58" t="str">
        <f t="shared" si="143"/>
        <v>5-3000</v>
      </c>
      <c r="Q288" s="58" t="str">
        <f t="shared" si="144"/>
        <v>2-1200</v>
      </c>
      <c r="R288" s="58" t="str">
        <f t="shared" si="145"/>
        <v>5-3014</v>
      </c>
      <c r="S288" s="58" t="str">
        <f t="shared" si="146"/>
        <v>5-3013.01</v>
      </c>
      <c r="T288" s="58" t="str">
        <f t="shared" si="147"/>
        <v xml:space="preserve"> </v>
      </c>
      <c r="V288" s="72">
        <f t="shared" si="148"/>
        <v>65000000000278</v>
      </c>
      <c r="W288" s="60">
        <f t="shared" si="149"/>
        <v>65000000000186</v>
      </c>
      <c r="X288" s="60">
        <f t="shared" si="150"/>
        <v>65000000000251</v>
      </c>
      <c r="Y288" s="60">
        <f t="shared" si="151"/>
        <v>65000000000147</v>
      </c>
      <c r="Z288" s="60">
        <f t="shared" si="152"/>
        <v>65000000000278</v>
      </c>
      <c r="AA288" s="60">
        <f t="shared" si="135"/>
        <v>65000000000277</v>
      </c>
      <c r="AB288" s="60">
        <f t="shared" si="153"/>
        <v>65000000000000</v>
      </c>
      <c r="AD288" s="60">
        <f t="shared" si="156"/>
        <v>5</v>
      </c>
      <c r="AE288" s="60">
        <f t="shared" si="157"/>
        <v>4</v>
      </c>
      <c r="AF288" s="60">
        <f t="shared" si="158"/>
        <v>1</v>
      </c>
      <c r="AG288" s="60">
        <f t="shared" si="159"/>
        <v>55</v>
      </c>
      <c r="AH288" s="60">
        <f t="shared" si="160"/>
        <v>1</v>
      </c>
      <c r="AI288" s="60">
        <f t="shared" si="161"/>
        <v>1</v>
      </c>
      <c r="AK288" s="68" t="str">
        <f t="shared" si="136"/>
        <v>L4</v>
      </c>
      <c r="AM288" s="64" t="s">
        <v>1755</v>
      </c>
      <c r="AN288" s="64">
        <f t="shared" si="137"/>
        <v>65000000000186</v>
      </c>
      <c r="AO288" s="64">
        <f t="shared" si="138"/>
        <v>65000000000251</v>
      </c>
      <c r="AP288" s="64">
        <f t="shared" si="139"/>
        <v>65000000000251</v>
      </c>
      <c r="AQ288" s="64">
        <f t="shared" si="140"/>
        <v>65000000000276</v>
      </c>
      <c r="AS288" s="64">
        <f t="shared" si="141"/>
        <v>65000000000251</v>
      </c>
      <c r="AU288" s="59" t="str">
        <f t="shared" si="162"/>
        <v>PERFORM * FROM "SchData-OLTP-Accounting"."Func_TblChartOfAccount_SET"(varSystemLoginSession, null, null, null, varInstitutionBranchID, 62000000000001::bigint,'5-3014', 'Hire of Motor Vehicle', 62000000000001::bigint, '2016-01-01 00:00:00'::timestamp, null::timestamp, 65000000000251::bigint, 66000000000001::bigint);</v>
      </c>
      <c r="AV288" s="65">
        <f t="shared" si="163"/>
        <v>65000000000278</v>
      </c>
      <c r="AW288" s="65">
        <f t="shared" si="164"/>
        <v>65000000000251</v>
      </c>
      <c r="AY288" s="65">
        <f t="shared" si="154"/>
        <v>65000000000147</v>
      </c>
      <c r="BA288" s="78">
        <f t="shared" si="165"/>
        <v>65000000000278</v>
      </c>
      <c r="BB288" s="81" t="str">
        <f t="shared" si="155"/>
        <v>PERFORM * FROM "SchData-OLTP-Accounting"."Func_TblChartOfAccount_SET"(varSystemLoginSession, null, null, null, null, null, varInstitutionBranchID, 62000000000001::bigint,'5-3014', 'Hire of Motor Vehicle', 62000000000001::bigint, '2016-01-01 00:00:00'::timestamp, null::timestamp, 65000000000251::bigint, 66000000000001::bigint, FALSE::boolean);</v>
      </c>
    </row>
    <row r="289" spans="2:54" x14ac:dyDescent="0.2">
      <c r="B289" s="41"/>
      <c r="C289" s="42"/>
      <c r="D289" s="43"/>
      <c r="E289" s="42"/>
      <c r="F289" s="43"/>
      <c r="G289" s="42"/>
      <c r="H289" s="51"/>
      <c r="I289" s="18"/>
      <c r="J289" s="51" t="s">
        <v>1489</v>
      </c>
      <c r="K289" s="18" t="s">
        <v>1321</v>
      </c>
      <c r="L289" s="51"/>
      <c r="M289" s="18"/>
      <c r="O289" s="58" t="str">
        <f t="shared" si="142"/>
        <v>5-0000</v>
      </c>
      <c r="P289" s="58" t="str">
        <f t="shared" si="143"/>
        <v>5-3000</v>
      </c>
      <c r="Q289" s="58" t="str">
        <f t="shared" si="144"/>
        <v>2-1200</v>
      </c>
      <c r="R289" s="58" t="str">
        <f t="shared" si="145"/>
        <v>5-3014</v>
      </c>
      <c r="S289" s="58" t="str">
        <f t="shared" si="146"/>
        <v>5-3014.01</v>
      </c>
      <c r="T289" s="58" t="str">
        <f t="shared" si="147"/>
        <v xml:space="preserve"> </v>
      </c>
      <c r="V289" s="72">
        <f t="shared" si="148"/>
        <v>65000000000279</v>
      </c>
      <c r="W289" s="60">
        <f t="shared" si="149"/>
        <v>65000000000186</v>
      </c>
      <c r="X289" s="60">
        <f t="shared" si="150"/>
        <v>65000000000251</v>
      </c>
      <c r="Y289" s="60">
        <f t="shared" si="151"/>
        <v>65000000000147</v>
      </c>
      <c r="Z289" s="60">
        <f t="shared" si="152"/>
        <v>65000000000278</v>
      </c>
      <c r="AA289" s="60">
        <f t="shared" si="135"/>
        <v>65000000000279</v>
      </c>
      <c r="AB289" s="60">
        <f t="shared" si="153"/>
        <v>65000000000000</v>
      </c>
      <c r="AD289" s="60">
        <f t="shared" si="156"/>
        <v>5</v>
      </c>
      <c r="AE289" s="60">
        <f t="shared" si="157"/>
        <v>4</v>
      </c>
      <c r="AF289" s="60">
        <f t="shared" si="158"/>
        <v>1</v>
      </c>
      <c r="AG289" s="60">
        <f t="shared" si="159"/>
        <v>55</v>
      </c>
      <c r="AH289" s="60">
        <f t="shared" si="160"/>
        <v>2</v>
      </c>
      <c r="AI289" s="60">
        <f t="shared" si="161"/>
        <v>1</v>
      </c>
      <c r="AK289" s="68" t="str">
        <f t="shared" si="136"/>
        <v>L5</v>
      </c>
      <c r="AM289" s="64" t="s">
        <v>1755</v>
      </c>
      <c r="AN289" s="64">
        <f t="shared" si="137"/>
        <v>65000000000186</v>
      </c>
      <c r="AO289" s="64">
        <f t="shared" si="138"/>
        <v>65000000000251</v>
      </c>
      <c r="AP289" s="64">
        <f t="shared" si="139"/>
        <v>65000000000251</v>
      </c>
      <c r="AQ289" s="64">
        <f t="shared" si="140"/>
        <v>65000000000278</v>
      </c>
      <c r="AS289" s="64">
        <f t="shared" si="141"/>
        <v>65000000000278</v>
      </c>
      <c r="AU289" s="59" t="str">
        <f t="shared" si="162"/>
        <v>PERFORM * FROM "SchData-OLTP-Accounting"."Func_TblChartOfAccount_SET"(varSystemLoginSession, null, null, null, varInstitutionBranchID, 62000000000001::bigint,'5-3014.01', 'Hire of Motor Vehicle (IDR)', 62000000000001::bigint, '2016-01-01 00:00:00'::timestamp, null::timestamp, 65000000000278::bigint, 66000000000001::bigint);</v>
      </c>
      <c r="AV289" s="65">
        <f t="shared" si="163"/>
        <v>65000000000279</v>
      </c>
      <c r="AW289" s="65">
        <f t="shared" si="164"/>
        <v>65000000000278</v>
      </c>
      <c r="AY289" s="65">
        <f t="shared" si="154"/>
        <v>65000000000278</v>
      </c>
      <c r="BA289" s="78">
        <f t="shared" si="165"/>
        <v>65000000000279</v>
      </c>
      <c r="BB289" s="81" t="str">
        <f t="shared" si="155"/>
        <v>PERFORM * FROM "SchData-OLTP-Accounting"."Func_TblChartOfAccount_SET"(varSystemLoginSession, null, null, null, null, null, varInstitutionBranchID, 62000000000001::bigint,'5-3014.01', 'Hire of Motor Vehicle (IDR)', 62000000000001::bigint, '2016-01-01 00:00:00'::timestamp, null::timestamp, 65000000000278::bigint, 66000000000001::bigint, FALSE::boolean);</v>
      </c>
    </row>
    <row r="290" spans="2:54" x14ac:dyDescent="0.2">
      <c r="B290" s="41"/>
      <c r="C290" s="42"/>
      <c r="D290" s="43"/>
      <c r="E290" s="42"/>
      <c r="F290" s="43"/>
      <c r="G290" s="42"/>
      <c r="H290" s="51" t="s">
        <v>941</v>
      </c>
      <c r="I290" s="18" t="s">
        <v>437</v>
      </c>
      <c r="J290" s="51"/>
      <c r="K290" s="18"/>
      <c r="L290" s="51"/>
      <c r="M290" s="18"/>
      <c r="O290" s="58" t="str">
        <f t="shared" si="142"/>
        <v>5-0000</v>
      </c>
      <c r="P290" s="58" t="str">
        <f t="shared" si="143"/>
        <v>5-3000</v>
      </c>
      <c r="Q290" s="58" t="str">
        <f t="shared" si="144"/>
        <v>2-1200</v>
      </c>
      <c r="R290" s="58" t="str">
        <f t="shared" si="145"/>
        <v>5-3015</v>
      </c>
      <c r="S290" s="58" t="str">
        <f t="shared" si="146"/>
        <v>5-3014.01</v>
      </c>
      <c r="T290" s="58" t="str">
        <f t="shared" si="147"/>
        <v xml:space="preserve"> </v>
      </c>
      <c r="V290" s="72">
        <f t="shared" si="148"/>
        <v>65000000000280</v>
      </c>
      <c r="W290" s="60">
        <f t="shared" si="149"/>
        <v>65000000000186</v>
      </c>
      <c r="X290" s="60">
        <f t="shared" si="150"/>
        <v>65000000000251</v>
      </c>
      <c r="Y290" s="60">
        <f t="shared" si="151"/>
        <v>65000000000147</v>
      </c>
      <c r="Z290" s="60">
        <f t="shared" si="152"/>
        <v>65000000000280</v>
      </c>
      <c r="AA290" s="60">
        <f t="shared" si="135"/>
        <v>65000000000279</v>
      </c>
      <c r="AB290" s="60">
        <f t="shared" si="153"/>
        <v>65000000000000</v>
      </c>
      <c r="AD290" s="60">
        <f t="shared" si="156"/>
        <v>5</v>
      </c>
      <c r="AE290" s="60">
        <f t="shared" si="157"/>
        <v>4</v>
      </c>
      <c r="AF290" s="60">
        <f t="shared" si="158"/>
        <v>1</v>
      </c>
      <c r="AG290" s="60">
        <f t="shared" si="159"/>
        <v>56</v>
      </c>
      <c r="AH290" s="60">
        <f t="shared" si="160"/>
        <v>1</v>
      </c>
      <c r="AI290" s="60">
        <f t="shared" si="161"/>
        <v>1</v>
      </c>
      <c r="AK290" s="68" t="str">
        <f t="shared" si="136"/>
        <v>L4</v>
      </c>
      <c r="AM290" s="64" t="s">
        <v>1755</v>
      </c>
      <c r="AN290" s="64">
        <f t="shared" si="137"/>
        <v>65000000000186</v>
      </c>
      <c r="AO290" s="64">
        <f t="shared" si="138"/>
        <v>65000000000251</v>
      </c>
      <c r="AP290" s="64">
        <f t="shared" si="139"/>
        <v>65000000000251</v>
      </c>
      <c r="AQ290" s="64">
        <f t="shared" si="140"/>
        <v>65000000000278</v>
      </c>
      <c r="AS290" s="64">
        <f t="shared" si="141"/>
        <v>65000000000251</v>
      </c>
      <c r="AU290" s="59" t="str">
        <f t="shared" si="162"/>
        <v>PERFORM * FROM "SchData-OLTP-Accounting"."Func_TblChartOfAccount_SET"(varSystemLoginSession, null, null, null, varInstitutionBranchID, 62000000000001::bigint,'5-3015', 'MV-Fuel &amp; Oil', 62000000000001::bigint, '2016-01-01 00:00:00'::timestamp, null::timestamp, 65000000000251::bigint, 66000000000001::bigint);</v>
      </c>
      <c r="AV290" s="65">
        <f t="shared" si="163"/>
        <v>65000000000280</v>
      </c>
      <c r="AW290" s="65">
        <f t="shared" si="164"/>
        <v>65000000000251</v>
      </c>
      <c r="AY290" s="65">
        <f t="shared" si="154"/>
        <v>65000000000147</v>
      </c>
      <c r="BA290" s="78">
        <f t="shared" si="165"/>
        <v>65000000000280</v>
      </c>
      <c r="BB290" s="81" t="str">
        <f t="shared" si="155"/>
        <v>PERFORM * FROM "SchData-OLTP-Accounting"."Func_TblChartOfAccount_SET"(varSystemLoginSession, null, null, null, null, null, varInstitutionBranchID, 62000000000001::bigint,'5-3015', 'MV-Fuel &amp; Oil', 62000000000001::bigint, '2016-01-01 00:00:00'::timestamp, null::timestamp, 65000000000251::bigint, 66000000000001::bigint, FALSE::boolean);</v>
      </c>
    </row>
    <row r="291" spans="2:54" x14ac:dyDescent="0.2">
      <c r="B291" s="41"/>
      <c r="C291" s="42"/>
      <c r="D291" s="43"/>
      <c r="E291" s="42"/>
      <c r="F291" s="43"/>
      <c r="G291" s="42"/>
      <c r="H291" s="51"/>
      <c r="I291" s="18"/>
      <c r="J291" s="51" t="s">
        <v>1490</v>
      </c>
      <c r="K291" s="18" t="s">
        <v>1322</v>
      </c>
      <c r="L291" s="51"/>
      <c r="M291" s="18"/>
      <c r="O291" s="58" t="str">
        <f t="shared" si="142"/>
        <v>5-0000</v>
      </c>
      <c r="P291" s="58" t="str">
        <f t="shared" si="143"/>
        <v>5-3000</v>
      </c>
      <c r="Q291" s="58" t="str">
        <f t="shared" si="144"/>
        <v>2-1200</v>
      </c>
      <c r="R291" s="58" t="str">
        <f t="shared" si="145"/>
        <v>5-3015</v>
      </c>
      <c r="S291" s="58" t="str">
        <f t="shared" si="146"/>
        <v>5-3015.01</v>
      </c>
      <c r="T291" s="58" t="str">
        <f t="shared" si="147"/>
        <v xml:space="preserve"> </v>
      </c>
      <c r="V291" s="72">
        <f t="shared" si="148"/>
        <v>65000000000281</v>
      </c>
      <c r="W291" s="60">
        <f t="shared" si="149"/>
        <v>65000000000186</v>
      </c>
      <c r="X291" s="60">
        <f t="shared" si="150"/>
        <v>65000000000251</v>
      </c>
      <c r="Y291" s="60">
        <f t="shared" si="151"/>
        <v>65000000000147</v>
      </c>
      <c r="Z291" s="60">
        <f t="shared" si="152"/>
        <v>65000000000280</v>
      </c>
      <c r="AA291" s="60">
        <f t="shared" si="135"/>
        <v>65000000000281</v>
      </c>
      <c r="AB291" s="60">
        <f t="shared" si="153"/>
        <v>65000000000000</v>
      </c>
      <c r="AD291" s="60">
        <f t="shared" si="156"/>
        <v>5</v>
      </c>
      <c r="AE291" s="60">
        <f t="shared" si="157"/>
        <v>4</v>
      </c>
      <c r="AF291" s="60">
        <f t="shared" si="158"/>
        <v>1</v>
      </c>
      <c r="AG291" s="60">
        <f t="shared" si="159"/>
        <v>56</v>
      </c>
      <c r="AH291" s="60">
        <f t="shared" si="160"/>
        <v>2</v>
      </c>
      <c r="AI291" s="60">
        <f t="shared" si="161"/>
        <v>1</v>
      </c>
      <c r="AK291" s="68" t="str">
        <f t="shared" si="136"/>
        <v>L5</v>
      </c>
      <c r="AM291" s="64" t="s">
        <v>1755</v>
      </c>
      <c r="AN291" s="64">
        <f t="shared" si="137"/>
        <v>65000000000186</v>
      </c>
      <c r="AO291" s="64">
        <f t="shared" si="138"/>
        <v>65000000000251</v>
      </c>
      <c r="AP291" s="64">
        <f t="shared" si="139"/>
        <v>65000000000251</v>
      </c>
      <c r="AQ291" s="64">
        <f t="shared" si="140"/>
        <v>65000000000280</v>
      </c>
      <c r="AS291" s="64">
        <f t="shared" si="141"/>
        <v>65000000000280</v>
      </c>
      <c r="AU291" s="59" t="str">
        <f t="shared" si="162"/>
        <v>PERFORM * FROM "SchData-OLTP-Accounting"."Func_TblChartOfAccount_SET"(varSystemLoginSession, null, null, null, varInstitutionBranchID, 62000000000001::bigint,'5-3015.01', 'MV-Fuel &amp; Oil (IDR)', 62000000000001::bigint, '2016-01-01 00:00:00'::timestamp, null::timestamp, 65000000000280::bigint, 66000000000001::bigint);</v>
      </c>
      <c r="AV291" s="65">
        <f t="shared" si="163"/>
        <v>65000000000281</v>
      </c>
      <c r="AW291" s="65">
        <f t="shared" si="164"/>
        <v>65000000000280</v>
      </c>
      <c r="AY291" s="65">
        <f t="shared" si="154"/>
        <v>65000000000280</v>
      </c>
      <c r="BA291" s="78">
        <f t="shared" si="165"/>
        <v>65000000000281</v>
      </c>
      <c r="BB291" s="81" t="str">
        <f t="shared" si="155"/>
        <v>PERFORM * FROM "SchData-OLTP-Accounting"."Func_TblChartOfAccount_SET"(varSystemLoginSession, null, null, null, null, null, varInstitutionBranchID, 62000000000001::bigint,'5-3015.01', 'MV-Fuel &amp; Oil (IDR)', 62000000000001::bigint, '2016-01-01 00:00:00'::timestamp, null::timestamp, 65000000000280::bigint, 66000000000001::bigint, FALSE::boolean);</v>
      </c>
    </row>
    <row r="292" spans="2:54" x14ac:dyDescent="0.2">
      <c r="B292" s="41"/>
      <c r="C292" s="42"/>
      <c r="D292" s="43"/>
      <c r="E292" s="42"/>
      <c r="F292" s="43"/>
      <c r="G292" s="42"/>
      <c r="H292" s="51" t="s">
        <v>942</v>
      </c>
      <c r="I292" s="18" t="s">
        <v>439</v>
      </c>
      <c r="J292" s="51"/>
      <c r="K292" s="18"/>
      <c r="L292" s="51"/>
      <c r="M292" s="18"/>
      <c r="O292" s="58" t="str">
        <f t="shared" si="142"/>
        <v>5-0000</v>
      </c>
      <c r="P292" s="58" t="str">
        <f t="shared" si="143"/>
        <v>5-3000</v>
      </c>
      <c r="Q292" s="58" t="str">
        <f t="shared" si="144"/>
        <v>2-1200</v>
      </c>
      <c r="R292" s="58" t="str">
        <f t="shared" si="145"/>
        <v>5-3016</v>
      </c>
      <c r="S292" s="58" t="str">
        <f t="shared" si="146"/>
        <v>5-3015.01</v>
      </c>
      <c r="T292" s="58" t="str">
        <f t="shared" si="147"/>
        <v xml:space="preserve"> </v>
      </c>
      <c r="V292" s="72">
        <f t="shared" si="148"/>
        <v>65000000000282</v>
      </c>
      <c r="W292" s="60">
        <f t="shared" si="149"/>
        <v>65000000000186</v>
      </c>
      <c r="X292" s="60">
        <f t="shared" si="150"/>
        <v>65000000000251</v>
      </c>
      <c r="Y292" s="60">
        <f t="shared" si="151"/>
        <v>65000000000147</v>
      </c>
      <c r="Z292" s="60">
        <f t="shared" si="152"/>
        <v>65000000000282</v>
      </c>
      <c r="AA292" s="60">
        <f t="shared" si="135"/>
        <v>65000000000281</v>
      </c>
      <c r="AB292" s="60">
        <f t="shared" si="153"/>
        <v>65000000000000</v>
      </c>
      <c r="AD292" s="60">
        <f t="shared" si="156"/>
        <v>5</v>
      </c>
      <c r="AE292" s="60">
        <f t="shared" si="157"/>
        <v>4</v>
      </c>
      <c r="AF292" s="60">
        <f t="shared" si="158"/>
        <v>1</v>
      </c>
      <c r="AG292" s="60">
        <f t="shared" si="159"/>
        <v>57</v>
      </c>
      <c r="AH292" s="60">
        <f t="shared" si="160"/>
        <v>1</v>
      </c>
      <c r="AI292" s="60">
        <f t="shared" si="161"/>
        <v>1</v>
      </c>
      <c r="AK292" s="68" t="str">
        <f t="shared" si="136"/>
        <v>L4</v>
      </c>
      <c r="AM292" s="64" t="s">
        <v>1755</v>
      </c>
      <c r="AN292" s="64">
        <f t="shared" si="137"/>
        <v>65000000000186</v>
      </c>
      <c r="AO292" s="64">
        <f t="shared" si="138"/>
        <v>65000000000251</v>
      </c>
      <c r="AP292" s="64">
        <f t="shared" si="139"/>
        <v>65000000000251</v>
      </c>
      <c r="AQ292" s="64">
        <f t="shared" si="140"/>
        <v>65000000000280</v>
      </c>
      <c r="AS292" s="64">
        <f t="shared" si="141"/>
        <v>65000000000251</v>
      </c>
      <c r="AU292" s="59" t="str">
        <f t="shared" si="162"/>
        <v>PERFORM * FROM "SchData-OLTP-Accounting"."Func_TblChartOfAccount_SET"(varSystemLoginSession, null, null, null, varInstitutionBranchID, 62000000000001::bigint,'5-3016', 'MV-Repair &amp; Maintenance', 62000000000001::bigint, '2016-01-01 00:00:00'::timestamp, null::timestamp, 65000000000251::bigint, 66000000000001::bigint);</v>
      </c>
      <c r="AV292" s="65">
        <f t="shared" si="163"/>
        <v>65000000000282</v>
      </c>
      <c r="AW292" s="65">
        <f t="shared" si="164"/>
        <v>65000000000251</v>
      </c>
      <c r="AY292" s="65">
        <f t="shared" si="154"/>
        <v>65000000000147</v>
      </c>
      <c r="BA292" s="78">
        <f t="shared" si="165"/>
        <v>65000000000282</v>
      </c>
      <c r="BB292" s="81" t="str">
        <f t="shared" si="155"/>
        <v>PERFORM * FROM "SchData-OLTP-Accounting"."Func_TblChartOfAccount_SET"(varSystemLoginSession, null, null, null, null, null, varInstitutionBranchID, 62000000000001::bigint,'5-3016', 'MV-Repair &amp; Maintenance', 62000000000001::bigint, '2016-01-01 00:00:00'::timestamp, null::timestamp, 65000000000251::bigint, 66000000000001::bigint, FALSE::boolean);</v>
      </c>
    </row>
    <row r="293" spans="2:54" x14ac:dyDescent="0.2">
      <c r="B293" s="41"/>
      <c r="C293" s="42"/>
      <c r="D293" s="43"/>
      <c r="E293" s="42"/>
      <c r="F293" s="43"/>
      <c r="G293" s="42"/>
      <c r="H293" s="51"/>
      <c r="I293" s="18"/>
      <c r="J293" s="51" t="s">
        <v>1491</v>
      </c>
      <c r="K293" s="18" t="s">
        <v>1323</v>
      </c>
      <c r="L293" s="51"/>
      <c r="M293" s="18"/>
      <c r="O293" s="58" t="str">
        <f t="shared" si="142"/>
        <v>5-0000</v>
      </c>
      <c r="P293" s="58" t="str">
        <f t="shared" si="143"/>
        <v>5-3000</v>
      </c>
      <c r="Q293" s="58" t="str">
        <f t="shared" si="144"/>
        <v>2-1200</v>
      </c>
      <c r="R293" s="58" t="str">
        <f t="shared" si="145"/>
        <v>5-3016</v>
      </c>
      <c r="S293" s="58" t="str">
        <f t="shared" si="146"/>
        <v>5-3016.01</v>
      </c>
      <c r="T293" s="58" t="str">
        <f t="shared" si="147"/>
        <v xml:space="preserve"> </v>
      </c>
      <c r="V293" s="72">
        <f t="shared" si="148"/>
        <v>65000000000283</v>
      </c>
      <c r="W293" s="60">
        <f t="shared" si="149"/>
        <v>65000000000186</v>
      </c>
      <c r="X293" s="60">
        <f t="shared" si="150"/>
        <v>65000000000251</v>
      </c>
      <c r="Y293" s="60">
        <f t="shared" si="151"/>
        <v>65000000000147</v>
      </c>
      <c r="Z293" s="60">
        <f t="shared" si="152"/>
        <v>65000000000282</v>
      </c>
      <c r="AA293" s="60">
        <f t="shared" si="135"/>
        <v>65000000000283</v>
      </c>
      <c r="AB293" s="60">
        <f t="shared" si="153"/>
        <v>65000000000000</v>
      </c>
      <c r="AD293" s="60">
        <f t="shared" si="156"/>
        <v>5</v>
      </c>
      <c r="AE293" s="60">
        <f t="shared" si="157"/>
        <v>4</v>
      </c>
      <c r="AF293" s="60">
        <f t="shared" si="158"/>
        <v>1</v>
      </c>
      <c r="AG293" s="60">
        <f t="shared" si="159"/>
        <v>57</v>
      </c>
      <c r="AH293" s="60">
        <f t="shared" si="160"/>
        <v>2</v>
      </c>
      <c r="AI293" s="60">
        <f t="shared" si="161"/>
        <v>1</v>
      </c>
      <c r="AK293" s="68" t="str">
        <f t="shared" si="136"/>
        <v>L5</v>
      </c>
      <c r="AM293" s="64" t="s">
        <v>1755</v>
      </c>
      <c r="AN293" s="64">
        <f t="shared" si="137"/>
        <v>65000000000186</v>
      </c>
      <c r="AO293" s="64">
        <f t="shared" si="138"/>
        <v>65000000000251</v>
      </c>
      <c r="AP293" s="64">
        <f t="shared" si="139"/>
        <v>65000000000251</v>
      </c>
      <c r="AQ293" s="64">
        <f t="shared" si="140"/>
        <v>65000000000282</v>
      </c>
      <c r="AS293" s="64">
        <f t="shared" si="141"/>
        <v>65000000000282</v>
      </c>
      <c r="AU293" s="59" t="str">
        <f t="shared" si="162"/>
        <v>PERFORM * FROM "SchData-OLTP-Accounting"."Func_TblChartOfAccount_SET"(varSystemLoginSession, null, null, null, varInstitutionBranchID, 62000000000001::bigint,'5-3016.01', 'MV-Repair &amp; Maintenance (IDR)', 62000000000001::bigint, '2016-01-01 00:00:00'::timestamp, null::timestamp, 65000000000282::bigint, 66000000000001::bigint);</v>
      </c>
      <c r="AV293" s="65">
        <f t="shared" si="163"/>
        <v>65000000000283</v>
      </c>
      <c r="AW293" s="65">
        <f t="shared" si="164"/>
        <v>65000000000282</v>
      </c>
      <c r="AY293" s="65">
        <f t="shared" si="154"/>
        <v>65000000000282</v>
      </c>
      <c r="BA293" s="78">
        <f t="shared" si="165"/>
        <v>65000000000283</v>
      </c>
      <c r="BB293" s="81" t="str">
        <f t="shared" si="155"/>
        <v>PERFORM * FROM "SchData-OLTP-Accounting"."Func_TblChartOfAccount_SET"(varSystemLoginSession, null, null, null, null, null, varInstitutionBranchID, 62000000000001::bigint,'5-3016.01', 'MV-Repair &amp; Maintenance (IDR)', 62000000000001::bigint, '2016-01-01 00:00:00'::timestamp, null::timestamp, 65000000000282::bigint, 66000000000001::bigint, FALSE::boolean);</v>
      </c>
    </row>
    <row r="294" spans="2:54" x14ac:dyDescent="0.2">
      <c r="B294" s="41"/>
      <c r="C294" s="42"/>
      <c r="D294" s="43"/>
      <c r="E294" s="42"/>
      <c r="F294" s="43"/>
      <c r="G294" s="42"/>
      <c r="H294" s="51" t="s">
        <v>943</v>
      </c>
      <c r="I294" s="18" t="s">
        <v>441</v>
      </c>
      <c r="J294" s="51"/>
      <c r="K294" s="18"/>
      <c r="L294" s="51"/>
      <c r="M294" s="18"/>
      <c r="O294" s="58" t="str">
        <f t="shared" si="142"/>
        <v>5-0000</v>
      </c>
      <c r="P294" s="58" t="str">
        <f t="shared" si="143"/>
        <v>5-3000</v>
      </c>
      <c r="Q294" s="58" t="str">
        <f t="shared" si="144"/>
        <v>2-1200</v>
      </c>
      <c r="R294" s="58" t="str">
        <f t="shared" si="145"/>
        <v>5-3017</v>
      </c>
      <c r="S294" s="58" t="str">
        <f t="shared" si="146"/>
        <v>5-3016.01</v>
      </c>
      <c r="T294" s="58" t="str">
        <f t="shared" si="147"/>
        <v xml:space="preserve"> </v>
      </c>
      <c r="V294" s="72">
        <f t="shared" si="148"/>
        <v>65000000000284</v>
      </c>
      <c r="W294" s="60">
        <f t="shared" si="149"/>
        <v>65000000000186</v>
      </c>
      <c r="X294" s="60">
        <f t="shared" si="150"/>
        <v>65000000000251</v>
      </c>
      <c r="Y294" s="60">
        <f t="shared" si="151"/>
        <v>65000000000147</v>
      </c>
      <c r="Z294" s="60">
        <f t="shared" si="152"/>
        <v>65000000000284</v>
      </c>
      <c r="AA294" s="60">
        <f t="shared" si="135"/>
        <v>65000000000283</v>
      </c>
      <c r="AB294" s="60">
        <f t="shared" si="153"/>
        <v>65000000000000</v>
      </c>
      <c r="AD294" s="60">
        <f t="shared" si="156"/>
        <v>5</v>
      </c>
      <c r="AE294" s="60">
        <f t="shared" si="157"/>
        <v>4</v>
      </c>
      <c r="AF294" s="60">
        <f t="shared" si="158"/>
        <v>1</v>
      </c>
      <c r="AG294" s="60">
        <f t="shared" si="159"/>
        <v>58</v>
      </c>
      <c r="AH294" s="60">
        <f t="shared" si="160"/>
        <v>1</v>
      </c>
      <c r="AI294" s="60">
        <f t="shared" si="161"/>
        <v>1</v>
      </c>
      <c r="AK294" s="68" t="str">
        <f t="shared" si="136"/>
        <v>L4</v>
      </c>
      <c r="AM294" s="64" t="s">
        <v>1755</v>
      </c>
      <c r="AN294" s="64">
        <f t="shared" si="137"/>
        <v>65000000000186</v>
      </c>
      <c r="AO294" s="64">
        <f t="shared" si="138"/>
        <v>65000000000251</v>
      </c>
      <c r="AP294" s="64">
        <f t="shared" si="139"/>
        <v>65000000000251</v>
      </c>
      <c r="AQ294" s="64">
        <f t="shared" si="140"/>
        <v>65000000000282</v>
      </c>
      <c r="AS294" s="64">
        <f t="shared" si="141"/>
        <v>65000000000251</v>
      </c>
      <c r="AU294" s="59" t="str">
        <f t="shared" si="162"/>
        <v>PERFORM * FROM "SchData-OLTP-Accounting"."Func_TblChartOfAccount_SET"(varSystemLoginSession, null, null, null, varInstitutionBranchID, 62000000000001::bigint,'5-3017', 'MV-Tyres, Tubes', 62000000000001::bigint, '2016-01-01 00:00:00'::timestamp, null::timestamp, 65000000000251::bigint, 66000000000001::bigint);</v>
      </c>
      <c r="AV294" s="65">
        <f t="shared" si="163"/>
        <v>65000000000284</v>
      </c>
      <c r="AW294" s="65">
        <f t="shared" si="164"/>
        <v>65000000000251</v>
      </c>
      <c r="AY294" s="65">
        <f t="shared" si="154"/>
        <v>65000000000147</v>
      </c>
      <c r="BA294" s="78">
        <f t="shared" si="165"/>
        <v>65000000000284</v>
      </c>
      <c r="BB294" s="81" t="str">
        <f t="shared" si="155"/>
        <v>PERFORM * FROM "SchData-OLTP-Accounting"."Func_TblChartOfAccount_SET"(varSystemLoginSession, null, null, null, null, null, varInstitutionBranchID, 62000000000001::bigint,'5-3017', 'MV-Tyres, Tubes', 62000000000001::bigint, '2016-01-01 00:00:00'::timestamp, null::timestamp, 65000000000251::bigint, 66000000000001::bigint, FALSE::boolean);</v>
      </c>
    </row>
    <row r="295" spans="2:54" x14ac:dyDescent="0.2">
      <c r="B295" s="41"/>
      <c r="C295" s="42"/>
      <c r="D295" s="43"/>
      <c r="E295" s="42"/>
      <c r="F295" s="43"/>
      <c r="G295" s="42"/>
      <c r="H295" s="51"/>
      <c r="I295" s="18"/>
      <c r="J295" s="51" t="s">
        <v>1492</v>
      </c>
      <c r="K295" s="18" t="s">
        <v>1324</v>
      </c>
      <c r="L295" s="51"/>
      <c r="M295" s="18"/>
      <c r="O295" s="58" t="str">
        <f t="shared" si="142"/>
        <v>5-0000</v>
      </c>
      <c r="P295" s="58" t="str">
        <f t="shared" si="143"/>
        <v>5-3000</v>
      </c>
      <c r="Q295" s="58" t="str">
        <f t="shared" si="144"/>
        <v>2-1200</v>
      </c>
      <c r="R295" s="58" t="str">
        <f t="shared" si="145"/>
        <v>5-3017</v>
      </c>
      <c r="S295" s="58" t="str">
        <f t="shared" si="146"/>
        <v>5-3017.01</v>
      </c>
      <c r="T295" s="58" t="str">
        <f t="shared" si="147"/>
        <v xml:space="preserve"> </v>
      </c>
      <c r="V295" s="72">
        <f t="shared" si="148"/>
        <v>65000000000285</v>
      </c>
      <c r="W295" s="60">
        <f t="shared" si="149"/>
        <v>65000000000186</v>
      </c>
      <c r="X295" s="60">
        <f t="shared" si="150"/>
        <v>65000000000251</v>
      </c>
      <c r="Y295" s="60">
        <f t="shared" si="151"/>
        <v>65000000000147</v>
      </c>
      <c r="Z295" s="60">
        <f t="shared" si="152"/>
        <v>65000000000284</v>
      </c>
      <c r="AA295" s="60">
        <f t="shared" si="135"/>
        <v>65000000000285</v>
      </c>
      <c r="AB295" s="60">
        <f t="shared" si="153"/>
        <v>65000000000000</v>
      </c>
      <c r="AD295" s="60">
        <f t="shared" si="156"/>
        <v>5</v>
      </c>
      <c r="AE295" s="60">
        <f t="shared" si="157"/>
        <v>4</v>
      </c>
      <c r="AF295" s="60">
        <f t="shared" si="158"/>
        <v>1</v>
      </c>
      <c r="AG295" s="60">
        <f t="shared" si="159"/>
        <v>58</v>
      </c>
      <c r="AH295" s="60">
        <f t="shared" si="160"/>
        <v>2</v>
      </c>
      <c r="AI295" s="60">
        <f t="shared" si="161"/>
        <v>1</v>
      </c>
      <c r="AK295" s="68" t="str">
        <f t="shared" si="136"/>
        <v>L5</v>
      </c>
      <c r="AM295" s="64" t="s">
        <v>1755</v>
      </c>
      <c r="AN295" s="64">
        <f t="shared" si="137"/>
        <v>65000000000186</v>
      </c>
      <c r="AO295" s="64">
        <f t="shared" si="138"/>
        <v>65000000000251</v>
      </c>
      <c r="AP295" s="64">
        <f t="shared" si="139"/>
        <v>65000000000251</v>
      </c>
      <c r="AQ295" s="64">
        <f t="shared" si="140"/>
        <v>65000000000284</v>
      </c>
      <c r="AS295" s="64">
        <f t="shared" si="141"/>
        <v>65000000000284</v>
      </c>
      <c r="AU295" s="59" t="str">
        <f t="shared" si="162"/>
        <v>PERFORM * FROM "SchData-OLTP-Accounting"."Func_TblChartOfAccount_SET"(varSystemLoginSession, null, null, null, varInstitutionBranchID, 62000000000001::bigint,'5-3017.01', 'MV-Tyres, Tubes (IDR)', 62000000000001::bigint, '2016-01-01 00:00:00'::timestamp, null::timestamp, 65000000000284::bigint, 66000000000001::bigint);</v>
      </c>
      <c r="AV295" s="65">
        <f t="shared" si="163"/>
        <v>65000000000285</v>
      </c>
      <c r="AW295" s="65">
        <f t="shared" si="164"/>
        <v>65000000000284</v>
      </c>
      <c r="AY295" s="65">
        <f t="shared" si="154"/>
        <v>65000000000284</v>
      </c>
      <c r="BA295" s="78">
        <f t="shared" si="165"/>
        <v>65000000000285</v>
      </c>
      <c r="BB295" s="81" t="str">
        <f t="shared" si="155"/>
        <v>PERFORM * FROM "SchData-OLTP-Accounting"."Func_TblChartOfAccount_SET"(varSystemLoginSession, null, null, null, null, null, varInstitutionBranchID, 62000000000001::bigint,'5-3017.01', 'MV-Tyres, Tubes (IDR)', 62000000000001::bigint, '2016-01-01 00:00:00'::timestamp, null::timestamp, 65000000000284::bigint, 66000000000001::bigint, FALSE::boolean);</v>
      </c>
    </row>
    <row r="296" spans="2:54" x14ac:dyDescent="0.2">
      <c r="B296" s="41"/>
      <c r="C296" s="42"/>
      <c r="D296" s="43"/>
      <c r="E296" s="42"/>
      <c r="F296" s="43"/>
      <c r="G296" s="42"/>
      <c r="H296" s="51" t="s">
        <v>944</v>
      </c>
      <c r="I296" s="18" t="s">
        <v>443</v>
      </c>
      <c r="J296" s="51"/>
      <c r="K296" s="18"/>
      <c r="L296" s="51"/>
      <c r="M296" s="18"/>
      <c r="O296" s="58" t="str">
        <f t="shared" si="142"/>
        <v>5-0000</v>
      </c>
      <c r="P296" s="58" t="str">
        <f t="shared" si="143"/>
        <v>5-3000</v>
      </c>
      <c r="Q296" s="58" t="str">
        <f t="shared" si="144"/>
        <v>2-1200</v>
      </c>
      <c r="R296" s="58" t="str">
        <f t="shared" si="145"/>
        <v>5-3018</v>
      </c>
      <c r="S296" s="58" t="str">
        <f t="shared" si="146"/>
        <v>5-3017.01</v>
      </c>
      <c r="T296" s="58" t="str">
        <f t="shared" si="147"/>
        <v xml:space="preserve"> </v>
      </c>
      <c r="V296" s="72">
        <f t="shared" si="148"/>
        <v>65000000000286</v>
      </c>
      <c r="W296" s="60">
        <f t="shared" si="149"/>
        <v>65000000000186</v>
      </c>
      <c r="X296" s="60">
        <f t="shared" si="150"/>
        <v>65000000000251</v>
      </c>
      <c r="Y296" s="60">
        <f t="shared" si="151"/>
        <v>65000000000147</v>
      </c>
      <c r="Z296" s="60">
        <f t="shared" si="152"/>
        <v>65000000000286</v>
      </c>
      <c r="AA296" s="60">
        <f t="shared" si="135"/>
        <v>65000000000285</v>
      </c>
      <c r="AB296" s="60">
        <f t="shared" si="153"/>
        <v>65000000000000</v>
      </c>
      <c r="AD296" s="60">
        <f t="shared" si="156"/>
        <v>5</v>
      </c>
      <c r="AE296" s="60">
        <f t="shared" si="157"/>
        <v>4</v>
      </c>
      <c r="AF296" s="60">
        <f t="shared" si="158"/>
        <v>1</v>
      </c>
      <c r="AG296" s="60">
        <f t="shared" si="159"/>
        <v>59</v>
      </c>
      <c r="AH296" s="60">
        <f t="shared" si="160"/>
        <v>1</v>
      </c>
      <c r="AI296" s="60">
        <f t="shared" si="161"/>
        <v>1</v>
      </c>
      <c r="AK296" s="68" t="str">
        <f t="shared" si="136"/>
        <v>L4</v>
      </c>
      <c r="AM296" s="64" t="s">
        <v>1755</v>
      </c>
      <c r="AN296" s="64">
        <f t="shared" si="137"/>
        <v>65000000000186</v>
      </c>
      <c r="AO296" s="64">
        <f t="shared" si="138"/>
        <v>65000000000251</v>
      </c>
      <c r="AP296" s="64">
        <f t="shared" si="139"/>
        <v>65000000000251</v>
      </c>
      <c r="AQ296" s="64">
        <f t="shared" si="140"/>
        <v>65000000000284</v>
      </c>
      <c r="AS296" s="64">
        <f t="shared" si="141"/>
        <v>65000000000251</v>
      </c>
      <c r="AU296" s="59" t="str">
        <f t="shared" si="162"/>
        <v>PERFORM * FROM "SchData-OLTP-Accounting"."Func_TblChartOfAccount_SET"(varSystemLoginSession, null, null, null, varInstitutionBranchID, 62000000000001::bigint,'5-3018', 'MV-Spare Parts', 62000000000001::bigint, '2016-01-01 00:00:00'::timestamp, null::timestamp, 65000000000251::bigint, 66000000000001::bigint);</v>
      </c>
      <c r="AV296" s="65">
        <f t="shared" si="163"/>
        <v>65000000000286</v>
      </c>
      <c r="AW296" s="65">
        <f t="shared" si="164"/>
        <v>65000000000251</v>
      </c>
      <c r="AY296" s="65">
        <f t="shared" si="154"/>
        <v>65000000000147</v>
      </c>
      <c r="BA296" s="78">
        <f t="shared" si="165"/>
        <v>65000000000286</v>
      </c>
      <c r="BB296" s="81" t="str">
        <f t="shared" si="155"/>
        <v>PERFORM * FROM "SchData-OLTP-Accounting"."Func_TblChartOfAccount_SET"(varSystemLoginSession, null, null, null, null, null, varInstitutionBranchID, 62000000000001::bigint,'5-3018', 'MV-Spare Parts', 62000000000001::bigint, '2016-01-01 00:00:00'::timestamp, null::timestamp, 65000000000251::bigint, 66000000000001::bigint, FALSE::boolean);</v>
      </c>
    </row>
    <row r="297" spans="2:54" x14ac:dyDescent="0.2">
      <c r="B297" s="41"/>
      <c r="C297" s="42"/>
      <c r="D297" s="43"/>
      <c r="E297" s="42"/>
      <c r="F297" s="43"/>
      <c r="G297" s="42"/>
      <c r="H297" s="51"/>
      <c r="I297" s="18"/>
      <c r="J297" s="51" t="s">
        <v>1493</v>
      </c>
      <c r="K297" s="18" t="s">
        <v>1325</v>
      </c>
      <c r="L297" s="51"/>
      <c r="M297" s="18"/>
      <c r="O297" s="58" t="str">
        <f t="shared" si="142"/>
        <v>5-0000</v>
      </c>
      <c r="P297" s="58" t="str">
        <f t="shared" si="143"/>
        <v>5-3000</v>
      </c>
      <c r="Q297" s="58" t="str">
        <f t="shared" si="144"/>
        <v>2-1200</v>
      </c>
      <c r="R297" s="58" t="str">
        <f t="shared" si="145"/>
        <v>5-3018</v>
      </c>
      <c r="S297" s="58" t="str">
        <f t="shared" si="146"/>
        <v>5-3018.01</v>
      </c>
      <c r="T297" s="58" t="str">
        <f t="shared" si="147"/>
        <v xml:space="preserve"> </v>
      </c>
      <c r="V297" s="72">
        <f t="shared" si="148"/>
        <v>65000000000287</v>
      </c>
      <c r="W297" s="60">
        <f t="shared" si="149"/>
        <v>65000000000186</v>
      </c>
      <c r="X297" s="60">
        <f t="shared" si="150"/>
        <v>65000000000251</v>
      </c>
      <c r="Y297" s="60">
        <f t="shared" si="151"/>
        <v>65000000000147</v>
      </c>
      <c r="Z297" s="60">
        <f t="shared" si="152"/>
        <v>65000000000286</v>
      </c>
      <c r="AA297" s="60">
        <f t="shared" si="135"/>
        <v>65000000000287</v>
      </c>
      <c r="AB297" s="60">
        <f t="shared" si="153"/>
        <v>65000000000000</v>
      </c>
      <c r="AD297" s="60">
        <f t="shared" si="156"/>
        <v>5</v>
      </c>
      <c r="AE297" s="60">
        <f t="shared" si="157"/>
        <v>4</v>
      </c>
      <c r="AF297" s="60">
        <f t="shared" si="158"/>
        <v>1</v>
      </c>
      <c r="AG297" s="60">
        <f t="shared" si="159"/>
        <v>59</v>
      </c>
      <c r="AH297" s="60">
        <f t="shared" si="160"/>
        <v>2</v>
      </c>
      <c r="AI297" s="60">
        <f t="shared" si="161"/>
        <v>1</v>
      </c>
      <c r="AK297" s="68" t="str">
        <f t="shared" si="136"/>
        <v>L5</v>
      </c>
      <c r="AM297" s="64" t="s">
        <v>1755</v>
      </c>
      <c r="AN297" s="64">
        <f t="shared" si="137"/>
        <v>65000000000186</v>
      </c>
      <c r="AO297" s="64">
        <f t="shared" si="138"/>
        <v>65000000000251</v>
      </c>
      <c r="AP297" s="64">
        <f t="shared" si="139"/>
        <v>65000000000251</v>
      </c>
      <c r="AQ297" s="64">
        <f t="shared" si="140"/>
        <v>65000000000286</v>
      </c>
      <c r="AS297" s="64">
        <f t="shared" si="141"/>
        <v>65000000000286</v>
      </c>
      <c r="AU297" s="59" t="str">
        <f t="shared" si="162"/>
        <v>PERFORM * FROM "SchData-OLTP-Accounting"."Func_TblChartOfAccount_SET"(varSystemLoginSession, null, null, null, varInstitutionBranchID, 62000000000001::bigint,'5-3018.01', 'MV-Spare Parts (IDR)', 62000000000001::bigint, '2016-01-01 00:00:00'::timestamp, null::timestamp, 65000000000286::bigint, 66000000000001::bigint);</v>
      </c>
      <c r="AV297" s="65">
        <f t="shared" si="163"/>
        <v>65000000000287</v>
      </c>
      <c r="AW297" s="65">
        <f t="shared" si="164"/>
        <v>65000000000286</v>
      </c>
      <c r="AY297" s="65">
        <f t="shared" si="154"/>
        <v>65000000000286</v>
      </c>
      <c r="BA297" s="78">
        <f t="shared" si="165"/>
        <v>65000000000287</v>
      </c>
      <c r="BB297" s="81" t="str">
        <f t="shared" si="155"/>
        <v>PERFORM * FROM "SchData-OLTP-Accounting"."Func_TblChartOfAccount_SET"(varSystemLoginSession, null, null, null, null, null, varInstitutionBranchID, 62000000000001::bigint,'5-3018.01', 'MV-Spare Parts (IDR)', 62000000000001::bigint, '2016-01-01 00:00:00'::timestamp, null::timestamp, 65000000000286::bigint, 66000000000001::bigint, FALSE::boolean);</v>
      </c>
    </row>
    <row r="298" spans="2:54" x14ac:dyDescent="0.2">
      <c r="B298" s="41"/>
      <c r="C298" s="42"/>
      <c r="D298" s="43"/>
      <c r="E298" s="42"/>
      <c r="F298" s="43"/>
      <c r="G298" s="42"/>
      <c r="H298" s="51" t="s">
        <v>945</v>
      </c>
      <c r="I298" s="18" t="s">
        <v>445</v>
      </c>
      <c r="J298" s="51"/>
      <c r="K298" s="18"/>
      <c r="L298" s="51"/>
      <c r="M298" s="18"/>
      <c r="O298" s="58" t="str">
        <f t="shared" si="142"/>
        <v>5-0000</v>
      </c>
      <c r="P298" s="58" t="str">
        <f t="shared" si="143"/>
        <v>5-3000</v>
      </c>
      <c r="Q298" s="58" t="str">
        <f t="shared" si="144"/>
        <v>2-1200</v>
      </c>
      <c r="R298" s="58" t="str">
        <f t="shared" si="145"/>
        <v>5-3019</v>
      </c>
      <c r="S298" s="58" t="str">
        <f t="shared" si="146"/>
        <v>5-3018.01</v>
      </c>
      <c r="T298" s="58" t="str">
        <f t="shared" si="147"/>
        <v xml:space="preserve"> </v>
      </c>
      <c r="V298" s="72">
        <f t="shared" si="148"/>
        <v>65000000000288</v>
      </c>
      <c r="W298" s="60">
        <f t="shared" si="149"/>
        <v>65000000000186</v>
      </c>
      <c r="X298" s="60">
        <f t="shared" si="150"/>
        <v>65000000000251</v>
      </c>
      <c r="Y298" s="60">
        <f t="shared" si="151"/>
        <v>65000000000147</v>
      </c>
      <c r="Z298" s="60">
        <f t="shared" si="152"/>
        <v>65000000000288</v>
      </c>
      <c r="AA298" s="60">
        <f t="shared" si="135"/>
        <v>65000000000287</v>
      </c>
      <c r="AB298" s="60">
        <f t="shared" si="153"/>
        <v>65000000000000</v>
      </c>
      <c r="AD298" s="60">
        <f t="shared" si="156"/>
        <v>5</v>
      </c>
      <c r="AE298" s="60">
        <f t="shared" si="157"/>
        <v>4</v>
      </c>
      <c r="AF298" s="60">
        <f t="shared" si="158"/>
        <v>1</v>
      </c>
      <c r="AG298" s="60">
        <f t="shared" si="159"/>
        <v>60</v>
      </c>
      <c r="AH298" s="60">
        <f t="shared" si="160"/>
        <v>1</v>
      </c>
      <c r="AI298" s="60">
        <f t="shared" si="161"/>
        <v>1</v>
      </c>
      <c r="AK298" s="68" t="str">
        <f t="shared" si="136"/>
        <v>L4</v>
      </c>
      <c r="AM298" s="64" t="s">
        <v>1755</v>
      </c>
      <c r="AN298" s="64">
        <f t="shared" si="137"/>
        <v>65000000000186</v>
      </c>
      <c r="AO298" s="64">
        <f t="shared" si="138"/>
        <v>65000000000251</v>
      </c>
      <c r="AP298" s="64">
        <f t="shared" si="139"/>
        <v>65000000000251</v>
      </c>
      <c r="AQ298" s="64">
        <f t="shared" si="140"/>
        <v>65000000000286</v>
      </c>
      <c r="AS298" s="64">
        <f t="shared" si="141"/>
        <v>65000000000251</v>
      </c>
      <c r="AU298" s="59" t="str">
        <f t="shared" si="162"/>
        <v>PERFORM * FROM "SchData-OLTP-Accounting"."Func_TblChartOfAccount_SET"(varSystemLoginSession, null, null, null, varInstitutionBranchID, 62000000000001::bigint,'5-3019', 'MV-Accessories', 62000000000001::bigint, '2016-01-01 00:00:00'::timestamp, null::timestamp, 65000000000251::bigint, 66000000000001::bigint);</v>
      </c>
      <c r="AV298" s="65">
        <f t="shared" si="163"/>
        <v>65000000000288</v>
      </c>
      <c r="AW298" s="65">
        <f t="shared" si="164"/>
        <v>65000000000251</v>
      </c>
      <c r="AY298" s="65">
        <f t="shared" si="154"/>
        <v>65000000000147</v>
      </c>
      <c r="BA298" s="78">
        <f t="shared" si="165"/>
        <v>65000000000288</v>
      </c>
      <c r="BB298" s="81" t="str">
        <f t="shared" si="155"/>
        <v>PERFORM * FROM "SchData-OLTP-Accounting"."Func_TblChartOfAccount_SET"(varSystemLoginSession, null, null, null, null, null, varInstitutionBranchID, 62000000000001::bigint,'5-3019', 'MV-Accessories', 62000000000001::bigint, '2016-01-01 00:00:00'::timestamp, null::timestamp, 65000000000251::bigint, 66000000000001::bigint, FALSE::boolean);</v>
      </c>
    </row>
    <row r="299" spans="2:54" x14ac:dyDescent="0.2">
      <c r="B299" s="41"/>
      <c r="C299" s="42"/>
      <c r="D299" s="43"/>
      <c r="E299" s="42"/>
      <c r="F299" s="43"/>
      <c r="G299" s="42"/>
      <c r="H299" s="51"/>
      <c r="I299" s="18"/>
      <c r="J299" s="51" t="s">
        <v>1494</v>
      </c>
      <c r="K299" s="18" t="s">
        <v>1326</v>
      </c>
      <c r="L299" s="51"/>
      <c r="M299" s="18"/>
      <c r="O299" s="58" t="str">
        <f t="shared" si="142"/>
        <v>5-0000</v>
      </c>
      <c r="P299" s="58" t="str">
        <f t="shared" si="143"/>
        <v>5-3000</v>
      </c>
      <c r="Q299" s="58" t="str">
        <f t="shared" si="144"/>
        <v>2-1200</v>
      </c>
      <c r="R299" s="58" t="str">
        <f t="shared" si="145"/>
        <v>5-3019</v>
      </c>
      <c r="S299" s="58" t="str">
        <f t="shared" si="146"/>
        <v>5-3019.01</v>
      </c>
      <c r="T299" s="58" t="str">
        <f t="shared" si="147"/>
        <v xml:space="preserve"> </v>
      </c>
      <c r="V299" s="72">
        <f t="shared" si="148"/>
        <v>65000000000289</v>
      </c>
      <c r="W299" s="60">
        <f t="shared" si="149"/>
        <v>65000000000186</v>
      </c>
      <c r="X299" s="60">
        <f t="shared" si="150"/>
        <v>65000000000251</v>
      </c>
      <c r="Y299" s="60">
        <f t="shared" si="151"/>
        <v>65000000000147</v>
      </c>
      <c r="Z299" s="60">
        <f t="shared" si="152"/>
        <v>65000000000288</v>
      </c>
      <c r="AA299" s="60">
        <f t="shared" si="135"/>
        <v>65000000000289</v>
      </c>
      <c r="AB299" s="60">
        <f t="shared" si="153"/>
        <v>65000000000000</v>
      </c>
      <c r="AD299" s="60">
        <f t="shared" si="156"/>
        <v>5</v>
      </c>
      <c r="AE299" s="60">
        <f t="shared" si="157"/>
        <v>4</v>
      </c>
      <c r="AF299" s="60">
        <f t="shared" si="158"/>
        <v>1</v>
      </c>
      <c r="AG299" s="60">
        <f t="shared" si="159"/>
        <v>60</v>
      </c>
      <c r="AH299" s="60">
        <f t="shared" si="160"/>
        <v>2</v>
      </c>
      <c r="AI299" s="60">
        <f t="shared" si="161"/>
        <v>1</v>
      </c>
      <c r="AK299" s="68" t="str">
        <f t="shared" si="136"/>
        <v>L5</v>
      </c>
      <c r="AM299" s="64" t="s">
        <v>1755</v>
      </c>
      <c r="AN299" s="64">
        <f t="shared" si="137"/>
        <v>65000000000186</v>
      </c>
      <c r="AO299" s="64">
        <f t="shared" si="138"/>
        <v>65000000000251</v>
      </c>
      <c r="AP299" s="64">
        <f t="shared" si="139"/>
        <v>65000000000251</v>
      </c>
      <c r="AQ299" s="64">
        <f t="shared" si="140"/>
        <v>65000000000288</v>
      </c>
      <c r="AS299" s="64">
        <f t="shared" si="141"/>
        <v>65000000000288</v>
      </c>
      <c r="AU299" s="59" t="str">
        <f t="shared" si="162"/>
        <v>PERFORM * FROM "SchData-OLTP-Accounting"."Func_TblChartOfAccount_SET"(varSystemLoginSession, null, null, null, varInstitutionBranchID, 62000000000001::bigint,'5-3019.01', 'MV-Accessories (IDR)', 62000000000001::bigint, '2016-01-01 00:00:00'::timestamp, null::timestamp, 65000000000288::bigint, 66000000000001::bigint);</v>
      </c>
      <c r="AV299" s="65">
        <f t="shared" si="163"/>
        <v>65000000000289</v>
      </c>
      <c r="AW299" s="65">
        <f t="shared" si="164"/>
        <v>65000000000288</v>
      </c>
      <c r="AY299" s="65">
        <f t="shared" si="154"/>
        <v>65000000000288</v>
      </c>
      <c r="BA299" s="78">
        <f t="shared" si="165"/>
        <v>65000000000289</v>
      </c>
      <c r="BB299" s="81" t="str">
        <f t="shared" si="155"/>
        <v>PERFORM * FROM "SchData-OLTP-Accounting"."Func_TblChartOfAccount_SET"(varSystemLoginSession, null, null, null, null, null, varInstitutionBranchID, 62000000000001::bigint,'5-3019.01', 'MV-Accessories (IDR)', 62000000000001::bigint, '2016-01-01 00:00:00'::timestamp, null::timestamp, 65000000000288::bigint, 66000000000001::bigint, FALSE::boolean);</v>
      </c>
    </row>
    <row r="300" spans="2:54" x14ac:dyDescent="0.2">
      <c r="B300" s="41"/>
      <c r="C300" s="42"/>
      <c r="D300" s="43"/>
      <c r="E300" s="42"/>
      <c r="F300" s="43"/>
      <c r="G300" s="42"/>
      <c r="H300" s="51" t="s">
        <v>412</v>
      </c>
      <c r="I300" s="18" t="s">
        <v>447</v>
      </c>
      <c r="J300" s="51"/>
      <c r="K300" s="18"/>
      <c r="L300" s="51"/>
      <c r="M300" s="18"/>
      <c r="O300" s="58" t="str">
        <f t="shared" si="142"/>
        <v>5-0000</v>
      </c>
      <c r="P300" s="58" t="str">
        <f t="shared" si="143"/>
        <v>5-3000</v>
      </c>
      <c r="Q300" s="58" t="str">
        <f t="shared" si="144"/>
        <v>2-1200</v>
      </c>
      <c r="R300" s="58" t="str">
        <f t="shared" si="145"/>
        <v>5-3020</v>
      </c>
      <c r="S300" s="58" t="str">
        <f t="shared" si="146"/>
        <v>5-3019.01</v>
      </c>
      <c r="T300" s="58" t="str">
        <f t="shared" si="147"/>
        <v xml:space="preserve"> </v>
      </c>
      <c r="V300" s="72">
        <f t="shared" si="148"/>
        <v>65000000000290</v>
      </c>
      <c r="W300" s="60">
        <f t="shared" si="149"/>
        <v>65000000000186</v>
      </c>
      <c r="X300" s="60">
        <f t="shared" si="150"/>
        <v>65000000000251</v>
      </c>
      <c r="Y300" s="60">
        <f t="shared" si="151"/>
        <v>65000000000147</v>
      </c>
      <c r="Z300" s="60">
        <f t="shared" si="152"/>
        <v>65000000000290</v>
      </c>
      <c r="AA300" s="60">
        <f t="shared" si="135"/>
        <v>65000000000289</v>
      </c>
      <c r="AB300" s="60">
        <f t="shared" si="153"/>
        <v>65000000000000</v>
      </c>
      <c r="AD300" s="60">
        <f t="shared" si="156"/>
        <v>5</v>
      </c>
      <c r="AE300" s="60">
        <f t="shared" si="157"/>
        <v>4</v>
      </c>
      <c r="AF300" s="60">
        <f t="shared" si="158"/>
        <v>1</v>
      </c>
      <c r="AG300" s="60">
        <f t="shared" si="159"/>
        <v>61</v>
      </c>
      <c r="AH300" s="60">
        <f t="shared" si="160"/>
        <v>1</v>
      </c>
      <c r="AI300" s="60">
        <f t="shared" si="161"/>
        <v>1</v>
      </c>
      <c r="AK300" s="68" t="str">
        <f t="shared" si="136"/>
        <v>L4</v>
      </c>
      <c r="AM300" s="64" t="s">
        <v>1755</v>
      </c>
      <c r="AN300" s="64">
        <f t="shared" si="137"/>
        <v>65000000000186</v>
      </c>
      <c r="AO300" s="64">
        <f t="shared" si="138"/>
        <v>65000000000251</v>
      </c>
      <c r="AP300" s="64">
        <f t="shared" si="139"/>
        <v>65000000000251</v>
      </c>
      <c r="AQ300" s="64">
        <f t="shared" si="140"/>
        <v>65000000000288</v>
      </c>
      <c r="AS300" s="64">
        <f t="shared" si="141"/>
        <v>65000000000251</v>
      </c>
      <c r="AU300" s="59" t="str">
        <f t="shared" si="162"/>
        <v>PERFORM * FROM "SchData-OLTP-Accounting"."Func_TblChartOfAccount_SET"(varSystemLoginSession, null, null, null, varInstitutionBranchID, 62000000000001::bigint,'5-3020', 'MV Other', 62000000000001::bigint, '2016-01-01 00:00:00'::timestamp, null::timestamp, 65000000000251::bigint, 66000000000001::bigint);</v>
      </c>
      <c r="AV300" s="65">
        <f t="shared" si="163"/>
        <v>65000000000290</v>
      </c>
      <c r="AW300" s="65">
        <f t="shared" si="164"/>
        <v>65000000000251</v>
      </c>
      <c r="AY300" s="65">
        <f t="shared" si="154"/>
        <v>65000000000147</v>
      </c>
      <c r="BA300" s="78">
        <f t="shared" si="165"/>
        <v>65000000000290</v>
      </c>
      <c r="BB300" s="81" t="str">
        <f t="shared" si="155"/>
        <v>PERFORM * FROM "SchData-OLTP-Accounting"."Func_TblChartOfAccount_SET"(varSystemLoginSession, null, null, null, null, null, varInstitutionBranchID, 62000000000001::bigint,'5-3020', 'MV Other', 62000000000001::bigint, '2016-01-01 00:00:00'::timestamp, null::timestamp, 65000000000251::bigint, 66000000000001::bigint, FALSE::boolean);</v>
      </c>
    </row>
    <row r="301" spans="2:54" x14ac:dyDescent="0.2">
      <c r="B301" s="41"/>
      <c r="C301" s="42"/>
      <c r="D301" s="43"/>
      <c r="E301" s="42"/>
      <c r="F301" s="43"/>
      <c r="G301" s="42"/>
      <c r="H301" s="51"/>
      <c r="I301" s="18"/>
      <c r="J301" s="51" t="s">
        <v>1495</v>
      </c>
      <c r="K301" s="18" t="s">
        <v>1327</v>
      </c>
      <c r="L301" s="51"/>
      <c r="M301" s="18"/>
      <c r="O301" s="58" t="str">
        <f t="shared" si="142"/>
        <v>5-0000</v>
      </c>
      <c r="P301" s="58" t="str">
        <f t="shared" si="143"/>
        <v>5-3000</v>
      </c>
      <c r="Q301" s="58" t="str">
        <f t="shared" si="144"/>
        <v>2-1200</v>
      </c>
      <c r="R301" s="58" t="str">
        <f t="shared" si="145"/>
        <v>5-3020</v>
      </c>
      <c r="S301" s="58" t="str">
        <f t="shared" si="146"/>
        <v>5-3020.01</v>
      </c>
      <c r="T301" s="58" t="str">
        <f t="shared" si="147"/>
        <v xml:space="preserve"> </v>
      </c>
      <c r="V301" s="72">
        <f t="shared" si="148"/>
        <v>65000000000291</v>
      </c>
      <c r="W301" s="60">
        <f t="shared" si="149"/>
        <v>65000000000186</v>
      </c>
      <c r="X301" s="60">
        <f t="shared" si="150"/>
        <v>65000000000251</v>
      </c>
      <c r="Y301" s="60">
        <f t="shared" si="151"/>
        <v>65000000000147</v>
      </c>
      <c r="Z301" s="60">
        <f t="shared" si="152"/>
        <v>65000000000290</v>
      </c>
      <c r="AA301" s="60">
        <f t="shared" si="135"/>
        <v>65000000000291</v>
      </c>
      <c r="AB301" s="60">
        <f t="shared" si="153"/>
        <v>65000000000000</v>
      </c>
      <c r="AD301" s="60">
        <f t="shared" si="156"/>
        <v>5</v>
      </c>
      <c r="AE301" s="60">
        <f t="shared" si="157"/>
        <v>4</v>
      </c>
      <c r="AF301" s="60">
        <f t="shared" si="158"/>
        <v>1</v>
      </c>
      <c r="AG301" s="60">
        <f t="shared" si="159"/>
        <v>61</v>
      </c>
      <c r="AH301" s="60">
        <f t="shared" si="160"/>
        <v>2</v>
      </c>
      <c r="AI301" s="60">
        <f t="shared" si="161"/>
        <v>1</v>
      </c>
      <c r="AK301" s="68" t="str">
        <f t="shared" si="136"/>
        <v>L5</v>
      </c>
      <c r="AM301" s="64" t="s">
        <v>1755</v>
      </c>
      <c r="AN301" s="64">
        <f t="shared" si="137"/>
        <v>65000000000186</v>
      </c>
      <c r="AO301" s="64">
        <f t="shared" si="138"/>
        <v>65000000000251</v>
      </c>
      <c r="AP301" s="64">
        <f t="shared" si="139"/>
        <v>65000000000251</v>
      </c>
      <c r="AQ301" s="64">
        <f t="shared" si="140"/>
        <v>65000000000290</v>
      </c>
      <c r="AS301" s="64">
        <f t="shared" si="141"/>
        <v>65000000000290</v>
      </c>
      <c r="AU301" s="59" t="str">
        <f t="shared" si="162"/>
        <v>PERFORM * FROM "SchData-OLTP-Accounting"."Func_TblChartOfAccount_SET"(varSystemLoginSession, null, null, null, varInstitutionBranchID, 62000000000001::bigint,'5-3020.01', 'MV Other (IDR)', 62000000000001::bigint, '2016-01-01 00:00:00'::timestamp, null::timestamp, 65000000000290::bigint, 66000000000001::bigint);</v>
      </c>
      <c r="AV301" s="65">
        <f t="shared" si="163"/>
        <v>65000000000291</v>
      </c>
      <c r="AW301" s="65">
        <f t="shared" si="164"/>
        <v>65000000000290</v>
      </c>
      <c r="AY301" s="65">
        <f t="shared" si="154"/>
        <v>65000000000290</v>
      </c>
      <c r="BA301" s="78">
        <f t="shared" si="165"/>
        <v>65000000000291</v>
      </c>
      <c r="BB301" s="81" t="str">
        <f t="shared" si="155"/>
        <v>PERFORM * FROM "SchData-OLTP-Accounting"."Func_TblChartOfAccount_SET"(varSystemLoginSession, null, null, null, null, null, varInstitutionBranchID, 62000000000001::bigint,'5-3020.01', 'MV Other (IDR)', 62000000000001::bigint, '2016-01-01 00:00:00'::timestamp, null::timestamp, 65000000000290::bigint, 66000000000001::bigint, FALSE::boolean);</v>
      </c>
    </row>
    <row r="302" spans="2:54" x14ac:dyDescent="0.2">
      <c r="B302" s="41"/>
      <c r="C302" s="42"/>
      <c r="D302" s="43"/>
      <c r="E302" s="42"/>
      <c r="F302" s="43"/>
      <c r="G302" s="42"/>
      <c r="H302" s="51" t="s">
        <v>946</v>
      </c>
      <c r="I302" s="18" t="s">
        <v>449</v>
      </c>
      <c r="J302" s="51"/>
      <c r="K302" s="18"/>
      <c r="L302" s="51"/>
      <c r="M302" s="18"/>
      <c r="O302" s="58" t="str">
        <f t="shared" si="142"/>
        <v>5-0000</v>
      </c>
      <c r="P302" s="58" t="str">
        <f t="shared" si="143"/>
        <v>5-3000</v>
      </c>
      <c r="Q302" s="58" t="str">
        <f t="shared" si="144"/>
        <v>2-1200</v>
      </c>
      <c r="R302" s="58" t="str">
        <f t="shared" si="145"/>
        <v>5-3021</v>
      </c>
      <c r="S302" s="58" t="str">
        <f t="shared" si="146"/>
        <v>5-3020.01</v>
      </c>
      <c r="T302" s="58" t="str">
        <f t="shared" si="147"/>
        <v xml:space="preserve"> </v>
      </c>
      <c r="V302" s="72">
        <f t="shared" si="148"/>
        <v>65000000000292</v>
      </c>
      <c r="W302" s="60">
        <f t="shared" si="149"/>
        <v>65000000000186</v>
      </c>
      <c r="X302" s="60">
        <f t="shared" si="150"/>
        <v>65000000000251</v>
      </c>
      <c r="Y302" s="60">
        <f t="shared" si="151"/>
        <v>65000000000147</v>
      </c>
      <c r="Z302" s="60">
        <f t="shared" si="152"/>
        <v>65000000000292</v>
      </c>
      <c r="AA302" s="60">
        <f t="shared" si="135"/>
        <v>65000000000291</v>
      </c>
      <c r="AB302" s="60">
        <f t="shared" si="153"/>
        <v>65000000000000</v>
      </c>
      <c r="AD302" s="60">
        <f t="shared" si="156"/>
        <v>5</v>
      </c>
      <c r="AE302" s="60">
        <f t="shared" si="157"/>
        <v>4</v>
      </c>
      <c r="AF302" s="60">
        <f t="shared" si="158"/>
        <v>1</v>
      </c>
      <c r="AG302" s="60">
        <f t="shared" si="159"/>
        <v>62</v>
      </c>
      <c r="AH302" s="60">
        <f t="shared" si="160"/>
        <v>1</v>
      </c>
      <c r="AI302" s="60">
        <f t="shared" si="161"/>
        <v>1</v>
      </c>
      <c r="AK302" s="68" t="str">
        <f t="shared" si="136"/>
        <v>L4</v>
      </c>
      <c r="AM302" s="64" t="s">
        <v>1755</v>
      </c>
      <c r="AN302" s="64">
        <f t="shared" si="137"/>
        <v>65000000000186</v>
      </c>
      <c r="AO302" s="64">
        <f t="shared" si="138"/>
        <v>65000000000251</v>
      </c>
      <c r="AP302" s="64">
        <f t="shared" si="139"/>
        <v>65000000000251</v>
      </c>
      <c r="AQ302" s="64">
        <f t="shared" si="140"/>
        <v>65000000000290</v>
      </c>
      <c r="AS302" s="64">
        <f t="shared" si="141"/>
        <v>65000000000251</v>
      </c>
      <c r="AU302" s="59" t="str">
        <f t="shared" si="162"/>
        <v>PERFORM * FROM "SchData-OLTP-Accounting"."Func_TblChartOfAccount_SET"(varSystemLoginSession, null, null, null, varInstitutionBranchID, 62000000000001::bigint,'5-3021', 'Local Transport', 62000000000001::bigint, '2016-01-01 00:00:00'::timestamp, null::timestamp, 65000000000251::bigint, 66000000000001::bigint);</v>
      </c>
      <c r="AV302" s="65">
        <f t="shared" si="163"/>
        <v>65000000000292</v>
      </c>
      <c r="AW302" s="65">
        <f t="shared" si="164"/>
        <v>65000000000251</v>
      </c>
      <c r="AY302" s="65">
        <f t="shared" si="154"/>
        <v>65000000000147</v>
      </c>
      <c r="BA302" s="78">
        <f t="shared" si="165"/>
        <v>65000000000292</v>
      </c>
      <c r="BB302" s="81" t="str">
        <f t="shared" si="155"/>
        <v>PERFORM * FROM "SchData-OLTP-Accounting"."Func_TblChartOfAccount_SET"(varSystemLoginSession, null, null, null, null, null, varInstitutionBranchID, 62000000000001::bigint,'5-3021', 'Local Transport', 62000000000001::bigint, '2016-01-01 00:00:00'::timestamp, null::timestamp, 65000000000251::bigint, 66000000000001::bigint, FALSE::boolean);</v>
      </c>
    </row>
    <row r="303" spans="2:54" x14ac:dyDescent="0.2">
      <c r="B303" s="41"/>
      <c r="C303" s="42"/>
      <c r="D303" s="43"/>
      <c r="E303" s="42"/>
      <c r="F303" s="43"/>
      <c r="G303" s="42"/>
      <c r="H303" s="51"/>
      <c r="I303" s="18"/>
      <c r="J303" s="51" t="s">
        <v>1496</v>
      </c>
      <c r="K303" s="18" t="s">
        <v>1328</v>
      </c>
      <c r="L303" s="51"/>
      <c r="M303" s="18"/>
      <c r="O303" s="58" t="str">
        <f t="shared" si="142"/>
        <v>5-0000</v>
      </c>
      <c r="P303" s="58" t="str">
        <f t="shared" si="143"/>
        <v>5-3000</v>
      </c>
      <c r="Q303" s="58" t="str">
        <f t="shared" si="144"/>
        <v>2-1200</v>
      </c>
      <c r="R303" s="58" t="str">
        <f t="shared" si="145"/>
        <v>5-3021</v>
      </c>
      <c r="S303" s="58" t="str">
        <f t="shared" si="146"/>
        <v>5-3021.01</v>
      </c>
      <c r="T303" s="58" t="str">
        <f t="shared" si="147"/>
        <v xml:space="preserve"> </v>
      </c>
      <c r="V303" s="72">
        <f t="shared" si="148"/>
        <v>65000000000293</v>
      </c>
      <c r="W303" s="60">
        <f t="shared" si="149"/>
        <v>65000000000186</v>
      </c>
      <c r="X303" s="60">
        <f t="shared" si="150"/>
        <v>65000000000251</v>
      </c>
      <c r="Y303" s="60">
        <f t="shared" si="151"/>
        <v>65000000000147</v>
      </c>
      <c r="Z303" s="60">
        <f t="shared" si="152"/>
        <v>65000000000292</v>
      </c>
      <c r="AA303" s="60">
        <f t="shared" si="135"/>
        <v>65000000000293</v>
      </c>
      <c r="AB303" s="60">
        <f t="shared" si="153"/>
        <v>65000000000000</v>
      </c>
      <c r="AD303" s="60">
        <f t="shared" si="156"/>
        <v>5</v>
      </c>
      <c r="AE303" s="60">
        <f t="shared" si="157"/>
        <v>4</v>
      </c>
      <c r="AF303" s="60">
        <f t="shared" si="158"/>
        <v>1</v>
      </c>
      <c r="AG303" s="60">
        <f t="shared" si="159"/>
        <v>62</v>
      </c>
      <c r="AH303" s="60">
        <f t="shared" si="160"/>
        <v>2</v>
      </c>
      <c r="AI303" s="60">
        <f t="shared" si="161"/>
        <v>1</v>
      </c>
      <c r="AK303" s="68" t="str">
        <f t="shared" si="136"/>
        <v>L5</v>
      </c>
      <c r="AM303" s="64" t="s">
        <v>1755</v>
      </c>
      <c r="AN303" s="64">
        <f t="shared" si="137"/>
        <v>65000000000186</v>
      </c>
      <c r="AO303" s="64">
        <f t="shared" si="138"/>
        <v>65000000000251</v>
      </c>
      <c r="AP303" s="64">
        <f t="shared" si="139"/>
        <v>65000000000251</v>
      </c>
      <c r="AQ303" s="64">
        <f t="shared" si="140"/>
        <v>65000000000292</v>
      </c>
      <c r="AS303" s="64">
        <f t="shared" si="141"/>
        <v>65000000000292</v>
      </c>
      <c r="AU303" s="59" t="str">
        <f t="shared" si="162"/>
        <v>PERFORM * FROM "SchData-OLTP-Accounting"."Func_TblChartOfAccount_SET"(varSystemLoginSession, null, null, null, varInstitutionBranchID, 62000000000001::bigint,'5-3021.01', 'Local Transport (IDR)', 62000000000001::bigint, '2016-01-01 00:00:00'::timestamp, null::timestamp, 65000000000292::bigint, 66000000000001::bigint);</v>
      </c>
      <c r="AV303" s="65">
        <f t="shared" si="163"/>
        <v>65000000000293</v>
      </c>
      <c r="AW303" s="65">
        <f t="shared" si="164"/>
        <v>65000000000292</v>
      </c>
      <c r="AY303" s="65">
        <f t="shared" si="154"/>
        <v>65000000000292</v>
      </c>
      <c r="BA303" s="78">
        <f t="shared" si="165"/>
        <v>65000000000293</v>
      </c>
      <c r="BB303" s="81" t="str">
        <f t="shared" si="155"/>
        <v>PERFORM * FROM "SchData-OLTP-Accounting"."Func_TblChartOfAccount_SET"(varSystemLoginSession, null, null, null, null, null, varInstitutionBranchID, 62000000000001::bigint,'5-3021.01', 'Local Transport (IDR)', 62000000000001::bigint, '2016-01-01 00:00:00'::timestamp, null::timestamp, 65000000000292::bigint, 66000000000001::bigint, FALSE::boolean);</v>
      </c>
    </row>
    <row r="304" spans="2:54" x14ac:dyDescent="0.2">
      <c r="B304" s="41"/>
      <c r="C304" s="42"/>
      <c r="D304" s="43"/>
      <c r="E304" s="42"/>
      <c r="F304" s="43"/>
      <c r="G304" s="42"/>
      <c r="H304" s="51" t="s">
        <v>947</v>
      </c>
      <c r="I304" s="18" t="s">
        <v>451</v>
      </c>
      <c r="J304" s="51"/>
      <c r="K304" s="18"/>
      <c r="L304" s="51"/>
      <c r="M304" s="18"/>
      <c r="O304" s="58" t="str">
        <f t="shared" si="142"/>
        <v>5-0000</v>
      </c>
      <c r="P304" s="58" t="str">
        <f t="shared" si="143"/>
        <v>5-3000</v>
      </c>
      <c r="Q304" s="58" t="str">
        <f t="shared" si="144"/>
        <v>2-1200</v>
      </c>
      <c r="R304" s="58" t="str">
        <f t="shared" si="145"/>
        <v>5-3022</v>
      </c>
      <c r="S304" s="58" t="str">
        <f t="shared" si="146"/>
        <v>5-3021.01</v>
      </c>
      <c r="T304" s="58" t="str">
        <f t="shared" si="147"/>
        <v xml:space="preserve"> </v>
      </c>
      <c r="V304" s="72">
        <f t="shared" si="148"/>
        <v>65000000000294</v>
      </c>
      <c r="W304" s="60">
        <f t="shared" si="149"/>
        <v>65000000000186</v>
      </c>
      <c r="X304" s="60">
        <f t="shared" si="150"/>
        <v>65000000000251</v>
      </c>
      <c r="Y304" s="60">
        <f t="shared" si="151"/>
        <v>65000000000147</v>
      </c>
      <c r="Z304" s="60">
        <f t="shared" si="152"/>
        <v>65000000000294</v>
      </c>
      <c r="AA304" s="60">
        <f t="shared" si="135"/>
        <v>65000000000293</v>
      </c>
      <c r="AB304" s="60">
        <f t="shared" si="153"/>
        <v>65000000000000</v>
      </c>
      <c r="AD304" s="60">
        <f t="shared" si="156"/>
        <v>5</v>
      </c>
      <c r="AE304" s="60">
        <f t="shared" si="157"/>
        <v>4</v>
      </c>
      <c r="AF304" s="60">
        <f t="shared" si="158"/>
        <v>1</v>
      </c>
      <c r="AG304" s="60">
        <f t="shared" si="159"/>
        <v>63</v>
      </c>
      <c r="AH304" s="60">
        <f t="shared" si="160"/>
        <v>1</v>
      </c>
      <c r="AI304" s="60">
        <f t="shared" si="161"/>
        <v>1</v>
      </c>
      <c r="AK304" s="68" t="str">
        <f t="shared" si="136"/>
        <v>L4</v>
      </c>
      <c r="AM304" s="64" t="s">
        <v>1755</v>
      </c>
      <c r="AN304" s="64">
        <f t="shared" si="137"/>
        <v>65000000000186</v>
      </c>
      <c r="AO304" s="64">
        <f t="shared" si="138"/>
        <v>65000000000251</v>
      </c>
      <c r="AP304" s="64">
        <f t="shared" si="139"/>
        <v>65000000000251</v>
      </c>
      <c r="AQ304" s="64">
        <f t="shared" si="140"/>
        <v>65000000000292</v>
      </c>
      <c r="AS304" s="64">
        <f t="shared" si="141"/>
        <v>65000000000251</v>
      </c>
      <c r="AU304" s="59" t="str">
        <f t="shared" si="162"/>
        <v>PERFORM * FROM "SchData-OLTP-Accounting"."Func_TblChartOfAccount_SET"(varSystemLoginSession, null, null, null, varInstitutionBranchID, 62000000000001::bigint,'5-3022', 'Business Travelling', 62000000000001::bigint, '2016-01-01 00:00:00'::timestamp, null::timestamp, 65000000000251::bigint, 66000000000001::bigint);</v>
      </c>
      <c r="AV304" s="65">
        <f t="shared" si="163"/>
        <v>65000000000294</v>
      </c>
      <c r="AW304" s="65">
        <f t="shared" si="164"/>
        <v>65000000000251</v>
      </c>
      <c r="AY304" s="65">
        <f t="shared" si="154"/>
        <v>65000000000147</v>
      </c>
      <c r="BA304" s="78">
        <f t="shared" si="165"/>
        <v>65000000000294</v>
      </c>
      <c r="BB304" s="81" t="str">
        <f t="shared" si="155"/>
        <v>PERFORM * FROM "SchData-OLTP-Accounting"."Func_TblChartOfAccount_SET"(varSystemLoginSession, null, null, null, null, null, varInstitutionBranchID, 62000000000001::bigint,'5-3022', 'Business Travelling', 62000000000001::bigint, '2016-01-01 00:00:00'::timestamp, null::timestamp, 65000000000251::bigint, 66000000000001::bigint, FALSE::boolean);</v>
      </c>
    </row>
    <row r="305" spans="2:54" x14ac:dyDescent="0.2">
      <c r="B305" s="41"/>
      <c r="C305" s="42"/>
      <c r="D305" s="43"/>
      <c r="E305" s="42"/>
      <c r="F305" s="43"/>
      <c r="G305" s="42"/>
      <c r="H305" s="51"/>
      <c r="I305" s="18"/>
      <c r="J305" s="51" t="s">
        <v>1497</v>
      </c>
      <c r="K305" s="18" t="s">
        <v>1329</v>
      </c>
      <c r="L305" s="51"/>
      <c r="M305" s="18"/>
      <c r="O305" s="58" t="str">
        <f t="shared" si="142"/>
        <v>5-0000</v>
      </c>
      <c r="P305" s="58" t="str">
        <f t="shared" si="143"/>
        <v>5-3000</v>
      </c>
      <c r="Q305" s="58" t="str">
        <f t="shared" si="144"/>
        <v>2-1200</v>
      </c>
      <c r="R305" s="58" t="str">
        <f t="shared" si="145"/>
        <v>5-3022</v>
      </c>
      <c r="S305" s="58" t="str">
        <f t="shared" si="146"/>
        <v>5-3022.01</v>
      </c>
      <c r="T305" s="58" t="str">
        <f t="shared" si="147"/>
        <v xml:space="preserve"> </v>
      </c>
      <c r="V305" s="72">
        <f t="shared" si="148"/>
        <v>65000000000295</v>
      </c>
      <c r="W305" s="60">
        <f t="shared" si="149"/>
        <v>65000000000186</v>
      </c>
      <c r="X305" s="60">
        <f t="shared" si="150"/>
        <v>65000000000251</v>
      </c>
      <c r="Y305" s="60">
        <f t="shared" si="151"/>
        <v>65000000000147</v>
      </c>
      <c r="Z305" s="60">
        <f t="shared" si="152"/>
        <v>65000000000294</v>
      </c>
      <c r="AA305" s="60">
        <f t="shared" si="135"/>
        <v>65000000000295</v>
      </c>
      <c r="AB305" s="60">
        <f t="shared" si="153"/>
        <v>65000000000000</v>
      </c>
      <c r="AD305" s="60">
        <f t="shared" si="156"/>
        <v>5</v>
      </c>
      <c r="AE305" s="60">
        <f t="shared" si="157"/>
        <v>4</v>
      </c>
      <c r="AF305" s="60">
        <f t="shared" si="158"/>
        <v>1</v>
      </c>
      <c r="AG305" s="60">
        <f t="shared" si="159"/>
        <v>63</v>
      </c>
      <c r="AH305" s="60">
        <f t="shared" si="160"/>
        <v>2</v>
      </c>
      <c r="AI305" s="60">
        <f t="shared" si="161"/>
        <v>1</v>
      </c>
      <c r="AK305" s="68" t="str">
        <f t="shared" si="136"/>
        <v>L5</v>
      </c>
      <c r="AM305" s="64" t="s">
        <v>1755</v>
      </c>
      <c r="AN305" s="64">
        <f t="shared" si="137"/>
        <v>65000000000186</v>
      </c>
      <c r="AO305" s="64">
        <f t="shared" si="138"/>
        <v>65000000000251</v>
      </c>
      <c r="AP305" s="64">
        <f t="shared" si="139"/>
        <v>65000000000251</v>
      </c>
      <c r="AQ305" s="64">
        <f t="shared" si="140"/>
        <v>65000000000294</v>
      </c>
      <c r="AS305" s="64">
        <f t="shared" si="141"/>
        <v>65000000000294</v>
      </c>
      <c r="AU305" s="59" t="str">
        <f t="shared" si="162"/>
        <v>PERFORM * FROM "SchData-OLTP-Accounting"."Func_TblChartOfAccount_SET"(varSystemLoginSession, null, null, null, varInstitutionBranchID, 62000000000001::bigint,'5-3022.01', 'Business Travelling (IDR)', 62000000000001::bigint, '2016-01-01 00:00:00'::timestamp, null::timestamp, 65000000000294::bigint, 66000000000001::bigint);</v>
      </c>
      <c r="AV305" s="65">
        <f t="shared" si="163"/>
        <v>65000000000295</v>
      </c>
      <c r="AW305" s="65">
        <f t="shared" si="164"/>
        <v>65000000000294</v>
      </c>
      <c r="AY305" s="65">
        <f t="shared" si="154"/>
        <v>65000000000294</v>
      </c>
      <c r="BA305" s="78">
        <f t="shared" si="165"/>
        <v>65000000000295</v>
      </c>
      <c r="BB305" s="81" t="str">
        <f t="shared" si="155"/>
        <v>PERFORM * FROM "SchData-OLTP-Accounting"."Func_TblChartOfAccount_SET"(varSystemLoginSession, null, null, null, null, null, varInstitutionBranchID, 62000000000001::bigint,'5-3022.01', 'Business Travelling (IDR)', 62000000000001::bigint, '2016-01-01 00:00:00'::timestamp, null::timestamp, 65000000000294::bigint, 66000000000001::bigint, FALSE::boolean);</v>
      </c>
    </row>
    <row r="306" spans="2:54" x14ac:dyDescent="0.2">
      <c r="B306" s="41"/>
      <c r="C306" s="42"/>
      <c r="D306" s="43"/>
      <c r="E306" s="42"/>
      <c r="F306" s="43"/>
      <c r="G306" s="42"/>
      <c r="H306" s="51" t="s">
        <v>948</v>
      </c>
      <c r="I306" s="18" t="s">
        <v>453</v>
      </c>
      <c r="J306" s="51"/>
      <c r="K306" s="18"/>
      <c r="L306" s="51"/>
      <c r="M306" s="18"/>
      <c r="O306" s="58" t="str">
        <f t="shared" si="142"/>
        <v>5-0000</v>
      </c>
      <c r="P306" s="58" t="str">
        <f t="shared" si="143"/>
        <v>5-3000</v>
      </c>
      <c r="Q306" s="58" t="str">
        <f t="shared" si="144"/>
        <v>2-1200</v>
      </c>
      <c r="R306" s="58" t="str">
        <f t="shared" si="145"/>
        <v>5-3023</v>
      </c>
      <c r="S306" s="58" t="str">
        <f t="shared" si="146"/>
        <v>5-3022.01</v>
      </c>
      <c r="T306" s="58" t="str">
        <f t="shared" si="147"/>
        <v xml:space="preserve"> </v>
      </c>
      <c r="V306" s="72">
        <f t="shared" si="148"/>
        <v>65000000000296</v>
      </c>
      <c r="W306" s="60">
        <f t="shared" si="149"/>
        <v>65000000000186</v>
      </c>
      <c r="X306" s="60">
        <f t="shared" si="150"/>
        <v>65000000000251</v>
      </c>
      <c r="Y306" s="60">
        <f t="shared" si="151"/>
        <v>65000000000147</v>
      </c>
      <c r="Z306" s="60">
        <f t="shared" si="152"/>
        <v>65000000000296</v>
      </c>
      <c r="AA306" s="60">
        <f t="shared" si="135"/>
        <v>65000000000295</v>
      </c>
      <c r="AB306" s="60">
        <f t="shared" si="153"/>
        <v>65000000000000</v>
      </c>
      <c r="AD306" s="60">
        <f t="shared" si="156"/>
        <v>5</v>
      </c>
      <c r="AE306" s="60">
        <f t="shared" si="157"/>
        <v>4</v>
      </c>
      <c r="AF306" s="60">
        <f t="shared" si="158"/>
        <v>1</v>
      </c>
      <c r="AG306" s="60">
        <f t="shared" si="159"/>
        <v>64</v>
      </c>
      <c r="AH306" s="60">
        <f t="shared" si="160"/>
        <v>1</v>
      </c>
      <c r="AI306" s="60">
        <f t="shared" si="161"/>
        <v>1</v>
      </c>
      <c r="AK306" s="68" t="str">
        <f t="shared" si="136"/>
        <v>L4</v>
      </c>
      <c r="AM306" s="64" t="s">
        <v>1755</v>
      </c>
      <c r="AN306" s="64">
        <f t="shared" si="137"/>
        <v>65000000000186</v>
      </c>
      <c r="AO306" s="64">
        <f t="shared" si="138"/>
        <v>65000000000251</v>
      </c>
      <c r="AP306" s="64">
        <f t="shared" si="139"/>
        <v>65000000000251</v>
      </c>
      <c r="AQ306" s="64">
        <f t="shared" si="140"/>
        <v>65000000000294</v>
      </c>
      <c r="AS306" s="64">
        <f t="shared" si="141"/>
        <v>65000000000251</v>
      </c>
      <c r="AU306" s="59" t="str">
        <f t="shared" si="162"/>
        <v>PERFORM * FROM "SchData-OLTP-Accounting"."Func_TblChartOfAccount_SET"(varSystemLoginSession, null, null, null, varInstitutionBranchID, 62000000000001::bigint,'5-3023', 'Travel &amp; Fares', 62000000000001::bigint, '2016-01-01 00:00:00'::timestamp, null::timestamp, 65000000000251::bigint, 66000000000001::bigint);</v>
      </c>
      <c r="AV306" s="65">
        <f t="shared" si="163"/>
        <v>65000000000296</v>
      </c>
      <c r="AW306" s="65">
        <f t="shared" si="164"/>
        <v>65000000000251</v>
      </c>
      <c r="AY306" s="65">
        <f t="shared" si="154"/>
        <v>65000000000147</v>
      </c>
      <c r="BA306" s="78">
        <f t="shared" si="165"/>
        <v>65000000000296</v>
      </c>
      <c r="BB306" s="81" t="str">
        <f t="shared" si="155"/>
        <v>PERFORM * FROM "SchData-OLTP-Accounting"."Func_TblChartOfAccount_SET"(varSystemLoginSession, null, null, null, null, null, varInstitutionBranchID, 62000000000001::bigint,'5-3023', 'Travel &amp; Fares', 62000000000001::bigint, '2016-01-01 00:00:00'::timestamp, null::timestamp, 65000000000251::bigint, 66000000000001::bigint, FALSE::boolean);</v>
      </c>
    </row>
    <row r="307" spans="2:54" x14ac:dyDescent="0.2">
      <c r="B307" s="41"/>
      <c r="C307" s="42"/>
      <c r="D307" s="43"/>
      <c r="E307" s="42"/>
      <c r="F307" s="43"/>
      <c r="G307" s="42"/>
      <c r="H307" s="51"/>
      <c r="I307" s="18"/>
      <c r="J307" s="51" t="s">
        <v>1498</v>
      </c>
      <c r="K307" s="18" t="s">
        <v>1330</v>
      </c>
      <c r="L307" s="51"/>
      <c r="M307" s="18"/>
      <c r="O307" s="58" t="str">
        <f t="shared" si="142"/>
        <v>5-0000</v>
      </c>
      <c r="P307" s="58" t="str">
        <f t="shared" si="143"/>
        <v>5-3000</v>
      </c>
      <c r="Q307" s="58" t="str">
        <f t="shared" si="144"/>
        <v>2-1200</v>
      </c>
      <c r="R307" s="58" t="str">
        <f t="shared" si="145"/>
        <v>5-3023</v>
      </c>
      <c r="S307" s="58" t="str">
        <f t="shared" si="146"/>
        <v>5-3023.01</v>
      </c>
      <c r="T307" s="58" t="str">
        <f t="shared" si="147"/>
        <v xml:space="preserve"> </v>
      </c>
      <c r="V307" s="72">
        <f t="shared" si="148"/>
        <v>65000000000297</v>
      </c>
      <c r="W307" s="60">
        <f t="shared" si="149"/>
        <v>65000000000186</v>
      </c>
      <c r="X307" s="60">
        <f t="shared" si="150"/>
        <v>65000000000251</v>
      </c>
      <c r="Y307" s="60">
        <f t="shared" si="151"/>
        <v>65000000000147</v>
      </c>
      <c r="Z307" s="60">
        <f t="shared" si="152"/>
        <v>65000000000296</v>
      </c>
      <c r="AA307" s="60">
        <f t="shared" si="135"/>
        <v>65000000000297</v>
      </c>
      <c r="AB307" s="60">
        <f t="shared" si="153"/>
        <v>65000000000000</v>
      </c>
      <c r="AD307" s="60">
        <f t="shared" si="156"/>
        <v>5</v>
      </c>
      <c r="AE307" s="60">
        <f t="shared" si="157"/>
        <v>4</v>
      </c>
      <c r="AF307" s="60">
        <f t="shared" si="158"/>
        <v>1</v>
      </c>
      <c r="AG307" s="60">
        <f t="shared" si="159"/>
        <v>64</v>
      </c>
      <c r="AH307" s="60">
        <f t="shared" si="160"/>
        <v>2</v>
      </c>
      <c r="AI307" s="60">
        <f t="shared" si="161"/>
        <v>1</v>
      </c>
      <c r="AK307" s="68" t="str">
        <f t="shared" si="136"/>
        <v>L5</v>
      </c>
      <c r="AM307" s="64" t="s">
        <v>1755</v>
      </c>
      <c r="AN307" s="64">
        <f t="shared" si="137"/>
        <v>65000000000186</v>
      </c>
      <c r="AO307" s="64">
        <f t="shared" si="138"/>
        <v>65000000000251</v>
      </c>
      <c r="AP307" s="64">
        <f t="shared" si="139"/>
        <v>65000000000251</v>
      </c>
      <c r="AQ307" s="64">
        <f t="shared" si="140"/>
        <v>65000000000296</v>
      </c>
      <c r="AS307" s="64">
        <f t="shared" si="141"/>
        <v>65000000000296</v>
      </c>
      <c r="AU307" s="59" t="str">
        <f t="shared" si="162"/>
        <v>PERFORM * FROM "SchData-OLTP-Accounting"."Func_TblChartOfAccount_SET"(varSystemLoginSession, null, null, null, varInstitutionBranchID, 62000000000001::bigint,'5-3023.01', 'Travel &amp; Fares (IDR)', 62000000000001::bigint, '2016-01-01 00:00:00'::timestamp, null::timestamp, 65000000000296::bigint, 66000000000001::bigint);</v>
      </c>
      <c r="AV307" s="65">
        <f t="shared" si="163"/>
        <v>65000000000297</v>
      </c>
      <c r="AW307" s="65">
        <f t="shared" si="164"/>
        <v>65000000000296</v>
      </c>
      <c r="AY307" s="65">
        <f t="shared" si="154"/>
        <v>65000000000296</v>
      </c>
      <c r="BA307" s="78">
        <f t="shared" si="165"/>
        <v>65000000000297</v>
      </c>
      <c r="BB307" s="81" t="str">
        <f t="shared" si="155"/>
        <v>PERFORM * FROM "SchData-OLTP-Accounting"."Func_TblChartOfAccount_SET"(varSystemLoginSession, null, null, null, null, null, varInstitutionBranchID, 62000000000001::bigint,'5-3023.01', 'Travel &amp; Fares (IDR)', 62000000000001::bigint, '2016-01-01 00:00:00'::timestamp, null::timestamp, 65000000000296::bigint, 66000000000001::bigint, FALSE::boolean);</v>
      </c>
    </row>
    <row r="308" spans="2:54" x14ac:dyDescent="0.2">
      <c r="B308" s="41"/>
      <c r="C308" s="42"/>
      <c r="D308" s="43"/>
      <c r="E308" s="42"/>
      <c r="F308" s="43"/>
      <c r="G308" s="42"/>
      <c r="H308" s="51" t="s">
        <v>949</v>
      </c>
      <c r="I308" s="18" t="s">
        <v>455</v>
      </c>
      <c r="J308" s="51"/>
      <c r="K308" s="18"/>
      <c r="L308" s="51"/>
      <c r="M308" s="18"/>
      <c r="O308" s="58" t="str">
        <f t="shared" si="142"/>
        <v>5-0000</v>
      </c>
      <c r="P308" s="58" t="str">
        <f t="shared" si="143"/>
        <v>5-3000</v>
      </c>
      <c r="Q308" s="58" t="str">
        <f t="shared" si="144"/>
        <v>2-1200</v>
      </c>
      <c r="R308" s="58" t="str">
        <f t="shared" si="145"/>
        <v>5-3024</v>
      </c>
      <c r="S308" s="58" t="str">
        <f t="shared" si="146"/>
        <v>5-3023.01</v>
      </c>
      <c r="T308" s="58" t="str">
        <f t="shared" si="147"/>
        <v xml:space="preserve"> </v>
      </c>
      <c r="V308" s="72">
        <f t="shared" si="148"/>
        <v>65000000000298</v>
      </c>
      <c r="W308" s="60">
        <f t="shared" si="149"/>
        <v>65000000000186</v>
      </c>
      <c r="X308" s="60">
        <f t="shared" si="150"/>
        <v>65000000000251</v>
      </c>
      <c r="Y308" s="60">
        <f t="shared" si="151"/>
        <v>65000000000147</v>
      </c>
      <c r="Z308" s="60">
        <f t="shared" si="152"/>
        <v>65000000000298</v>
      </c>
      <c r="AA308" s="60">
        <f t="shared" si="135"/>
        <v>65000000000297</v>
      </c>
      <c r="AB308" s="60">
        <f t="shared" si="153"/>
        <v>65000000000000</v>
      </c>
      <c r="AD308" s="60">
        <f t="shared" si="156"/>
        <v>5</v>
      </c>
      <c r="AE308" s="60">
        <f t="shared" si="157"/>
        <v>4</v>
      </c>
      <c r="AF308" s="60">
        <f t="shared" si="158"/>
        <v>1</v>
      </c>
      <c r="AG308" s="60">
        <f t="shared" si="159"/>
        <v>65</v>
      </c>
      <c r="AH308" s="60">
        <f t="shared" si="160"/>
        <v>1</v>
      </c>
      <c r="AI308" s="60">
        <f t="shared" si="161"/>
        <v>1</v>
      </c>
      <c r="AK308" s="68" t="str">
        <f t="shared" si="136"/>
        <v>L4</v>
      </c>
      <c r="AM308" s="64" t="s">
        <v>1755</v>
      </c>
      <c r="AN308" s="64">
        <f t="shared" si="137"/>
        <v>65000000000186</v>
      </c>
      <c r="AO308" s="64">
        <f t="shared" si="138"/>
        <v>65000000000251</v>
      </c>
      <c r="AP308" s="64">
        <f t="shared" si="139"/>
        <v>65000000000251</v>
      </c>
      <c r="AQ308" s="64">
        <f t="shared" si="140"/>
        <v>65000000000296</v>
      </c>
      <c r="AS308" s="64">
        <f t="shared" si="141"/>
        <v>65000000000251</v>
      </c>
      <c r="AU308" s="59" t="str">
        <f t="shared" si="162"/>
        <v>PERFORM * FROM "SchData-OLTP-Accounting"."Func_TblChartOfAccount_SET"(varSystemLoginSession, null, null, null, varInstitutionBranchID, 62000000000001::bigint,'5-3024', 'Freight Expenses', 62000000000001::bigint, '2016-01-01 00:00:00'::timestamp, null::timestamp, 65000000000251::bigint, 66000000000001::bigint);</v>
      </c>
      <c r="AV308" s="65">
        <f t="shared" si="163"/>
        <v>65000000000298</v>
      </c>
      <c r="AW308" s="65">
        <f t="shared" si="164"/>
        <v>65000000000251</v>
      </c>
      <c r="AY308" s="65">
        <f t="shared" si="154"/>
        <v>65000000000147</v>
      </c>
      <c r="BA308" s="78">
        <f t="shared" si="165"/>
        <v>65000000000298</v>
      </c>
      <c r="BB308" s="81" t="str">
        <f t="shared" si="155"/>
        <v>PERFORM * FROM "SchData-OLTP-Accounting"."Func_TblChartOfAccount_SET"(varSystemLoginSession, null, null, null, null, null, varInstitutionBranchID, 62000000000001::bigint,'5-3024', 'Freight Expenses', 62000000000001::bigint, '2016-01-01 00:00:00'::timestamp, null::timestamp, 65000000000251::bigint, 66000000000001::bigint, FALSE::boolean);</v>
      </c>
    </row>
    <row r="309" spans="2:54" x14ac:dyDescent="0.2">
      <c r="B309" s="41"/>
      <c r="C309" s="42"/>
      <c r="D309" s="43"/>
      <c r="E309" s="42"/>
      <c r="F309" s="43"/>
      <c r="G309" s="42"/>
      <c r="H309" s="51"/>
      <c r="I309" s="18"/>
      <c r="J309" s="51" t="s">
        <v>1499</v>
      </c>
      <c r="K309" s="18" t="s">
        <v>1331</v>
      </c>
      <c r="L309" s="51"/>
      <c r="M309" s="18"/>
      <c r="O309" s="58" t="str">
        <f t="shared" si="142"/>
        <v>5-0000</v>
      </c>
      <c r="P309" s="58" t="str">
        <f t="shared" si="143"/>
        <v>5-3000</v>
      </c>
      <c r="Q309" s="58" t="str">
        <f t="shared" si="144"/>
        <v>2-1200</v>
      </c>
      <c r="R309" s="58" t="str">
        <f t="shared" si="145"/>
        <v>5-3024</v>
      </c>
      <c r="S309" s="58" t="str">
        <f t="shared" si="146"/>
        <v>5-3024.01</v>
      </c>
      <c r="T309" s="58" t="str">
        <f t="shared" si="147"/>
        <v xml:space="preserve"> </v>
      </c>
      <c r="V309" s="72">
        <f t="shared" si="148"/>
        <v>65000000000299</v>
      </c>
      <c r="W309" s="60">
        <f t="shared" si="149"/>
        <v>65000000000186</v>
      </c>
      <c r="X309" s="60">
        <f t="shared" si="150"/>
        <v>65000000000251</v>
      </c>
      <c r="Y309" s="60">
        <f t="shared" si="151"/>
        <v>65000000000147</v>
      </c>
      <c r="Z309" s="60">
        <f t="shared" si="152"/>
        <v>65000000000298</v>
      </c>
      <c r="AA309" s="60">
        <f t="shared" si="135"/>
        <v>65000000000299</v>
      </c>
      <c r="AB309" s="60">
        <f t="shared" si="153"/>
        <v>65000000000000</v>
      </c>
      <c r="AD309" s="60">
        <f t="shared" si="156"/>
        <v>5</v>
      </c>
      <c r="AE309" s="60">
        <f t="shared" si="157"/>
        <v>4</v>
      </c>
      <c r="AF309" s="60">
        <f t="shared" si="158"/>
        <v>1</v>
      </c>
      <c r="AG309" s="60">
        <f t="shared" si="159"/>
        <v>65</v>
      </c>
      <c r="AH309" s="60">
        <f t="shared" si="160"/>
        <v>2</v>
      </c>
      <c r="AI309" s="60">
        <f t="shared" si="161"/>
        <v>1</v>
      </c>
      <c r="AK309" s="68" t="str">
        <f t="shared" si="136"/>
        <v>L5</v>
      </c>
      <c r="AM309" s="64" t="s">
        <v>1755</v>
      </c>
      <c r="AN309" s="64">
        <f t="shared" si="137"/>
        <v>65000000000186</v>
      </c>
      <c r="AO309" s="64">
        <f t="shared" si="138"/>
        <v>65000000000251</v>
      </c>
      <c r="AP309" s="64">
        <f t="shared" si="139"/>
        <v>65000000000251</v>
      </c>
      <c r="AQ309" s="64">
        <f t="shared" si="140"/>
        <v>65000000000298</v>
      </c>
      <c r="AS309" s="64">
        <f t="shared" si="141"/>
        <v>65000000000298</v>
      </c>
      <c r="AU309" s="59" t="str">
        <f t="shared" si="162"/>
        <v>PERFORM * FROM "SchData-OLTP-Accounting"."Func_TblChartOfAccount_SET"(varSystemLoginSession, null, null, null, varInstitutionBranchID, 62000000000001::bigint,'5-3024.01', 'Freight Expenses (IDR)', 62000000000001::bigint, '2016-01-01 00:00:00'::timestamp, null::timestamp, 65000000000298::bigint, 66000000000001::bigint);</v>
      </c>
      <c r="AV309" s="65">
        <f t="shared" si="163"/>
        <v>65000000000299</v>
      </c>
      <c r="AW309" s="65">
        <f t="shared" si="164"/>
        <v>65000000000298</v>
      </c>
      <c r="AY309" s="65">
        <f t="shared" si="154"/>
        <v>65000000000298</v>
      </c>
      <c r="BA309" s="78">
        <f t="shared" si="165"/>
        <v>65000000000299</v>
      </c>
      <c r="BB309" s="81" t="str">
        <f t="shared" si="155"/>
        <v>PERFORM * FROM "SchData-OLTP-Accounting"."Func_TblChartOfAccount_SET"(varSystemLoginSession, null, null, null, null, null, varInstitutionBranchID, 62000000000001::bigint,'5-3024.01', 'Freight Expenses (IDR)', 62000000000001::bigint, '2016-01-01 00:00:00'::timestamp, null::timestamp, 65000000000298::bigint, 66000000000001::bigint, FALSE::boolean);</v>
      </c>
    </row>
    <row r="310" spans="2:54" x14ac:dyDescent="0.2">
      <c r="B310" s="41"/>
      <c r="C310" s="42"/>
      <c r="D310" s="43"/>
      <c r="E310" s="42"/>
      <c r="F310" s="43"/>
      <c r="G310" s="42"/>
      <c r="H310" s="51" t="s">
        <v>950</v>
      </c>
      <c r="I310" s="18" t="s">
        <v>457</v>
      </c>
      <c r="J310" s="51"/>
      <c r="K310" s="18"/>
      <c r="L310" s="51"/>
      <c r="M310" s="18"/>
      <c r="O310" s="58" t="str">
        <f t="shared" si="142"/>
        <v>5-0000</v>
      </c>
      <c r="P310" s="58" t="str">
        <f t="shared" si="143"/>
        <v>5-3000</v>
      </c>
      <c r="Q310" s="58" t="str">
        <f t="shared" si="144"/>
        <v>2-1200</v>
      </c>
      <c r="R310" s="58" t="str">
        <f t="shared" si="145"/>
        <v>5-3025</v>
      </c>
      <c r="S310" s="58" t="str">
        <f t="shared" si="146"/>
        <v>5-3024.01</v>
      </c>
      <c r="T310" s="58" t="str">
        <f t="shared" si="147"/>
        <v xml:space="preserve"> </v>
      </c>
      <c r="V310" s="72">
        <f t="shared" si="148"/>
        <v>65000000000300</v>
      </c>
      <c r="W310" s="60">
        <f t="shared" si="149"/>
        <v>65000000000186</v>
      </c>
      <c r="X310" s="60">
        <f t="shared" si="150"/>
        <v>65000000000251</v>
      </c>
      <c r="Y310" s="60">
        <f t="shared" si="151"/>
        <v>65000000000147</v>
      </c>
      <c r="Z310" s="60">
        <f t="shared" si="152"/>
        <v>65000000000300</v>
      </c>
      <c r="AA310" s="60">
        <f t="shared" si="135"/>
        <v>65000000000299</v>
      </c>
      <c r="AB310" s="60">
        <f t="shared" si="153"/>
        <v>65000000000000</v>
      </c>
      <c r="AD310" s="60">
        <f t="shared" si="156"/>
        <v>5</v>
      </c>
      <c r="AE310" s="60">
        <f t="shared" si="157"/>
        <v>4</v>
      </c>
      <c r="AF310" s="60">
        <f t="shared" si="158"/>
        <v>1</v>
      </c>
      <c r="AG310" s="60">
        <f t="shared" si="159"/>
        <v>66</v>
      </c>
      <c r="AH310" s="60">
        <f t="shared" si="160"/>
        <v>1</v>
      </c>
      <c r="AI310" s="60">
        <f t="shared" si="161"/>
        <v>1</v>
      </c>
      <c r="AK310" s="68" t="str">
        <f t="shared" si="136"/>
        <v>L4</v>
      </c>
      <c r="AM310" s="64" t="s">
        <v>1755</v>
      </c>
      <c r="AN310" s="64">
        <f t="shared" si="137"/>
        <v>65000000000186</v>
      </c>
      <c r="AO310" s="64">
        <f t="shared" si="138"/>
        <v>65000000000251</v>
      </c>
      <c r="AP310" s="64">
        <f t="shared" si="139"/>
        <v>65000000000251</v>
      </c>
      <c r="AQ310" s="64">
        <f t="shared" si="140"/>
        <v>65000000000298</v>
      </c>
      <c r="AS310" s="64">
        <f t="shared" si="141"/>
        <v>65000000000251</v>
      </c>
      <c r="AU310" s="59" t="str">
        <f t="shared" si="162"/>
        <v>PERFORM * FROM "SchData-OLTP-Accounting"."Func_TblChartOfAccount_SET"(varSystemLoginSession, null, null, null, varInstitutionBranchID, 62000000000001::bigint,'5-3025', 'Custom Clearance', 62000000000001::bigint, '2016-01-01 00:00:00'::timestamp, null::timestamp, 65000000000251::bigint, 66000000000001::bigint);</v>
      </c>
      <c r="AV310" s="65">
        <f t="shared" si="163"/>
        <v>65000000000300</v>
      </c>
      <c r="AW310" s="65">
        <f t="shared" si="164"/>
        <v>65000000000251</v>
      </c>
      <c r="AY310" s="65">
        <f t="shared" si="154"/>
        <v>65000000000147</v>
      </c>
      <c r="BA310" s="78">
        <f t="shared" si="165"/>
        <v>65000000000300</v>
      </c>
      <c r="BB310" s="81" t="str">
        <f t="shared" si="155"/>
        <v>PERFORM * FROM "SchData-OLTP-Accounting"."Func_TblChartOfAccount_SET"(varSystemLoginSession, null, null, null, null, null, varInstitutionBranchID, 62000000000001::bigint,'5-3025', 'Custom Clearance', 62000000000001::bigint, '2016-01-01 00:00:00'::timestamp, null::timestamp, 65000000000251::bigint, 66000000000001::bigint, FALSE::boolean);</v>
      </c>
    </row>
    <row r="311" spans="2:54" x14ac:dyDescent="0.2">
      <c r="B311" s="41"/>
      <c r="C311" s="42"/>
      <c r="D311" s="43"/>
      <c r="E311" s="42"/>
      <c r="F311" s="43"/>
      <c r="G311" s="42"/>
      <c r="H311" s="51"/>
      <c r="I311" s="18"/>
      <c r="J311" s="51" t="s">
        <v>1500</v>
      </c>
      <c r="K311" s="18" t="s">
        <v>1332</v>
      </c>
      <c r="L311" s="51"/>
      <c r="M311" s="18"/>
      <c r="O311" s="58" t="str">
        <f t="shared" si="142"/>
        <v>5-0000</v>
      </c>
      <c r="P311" s="58" t="str">
        <f t="shared" si="143"/>
        <v>5-3000</v>
      </c>
      <c r="Q311" s="58" t="str">
        <f t="shared" si="144"/>
        <v>2-1200</v>
      </c>
      <c r="R311" s="58" t="str">
        <f t="shared" si="145"/>
        <v>5-3025</v>
      </c>
      <c r="S311" s="58" t="str">
        <f t="shared" si="146"/>
        <v>5-3025.01</v>
      </c>
      <c r="T311" s="58" t="str">
        <f t="shared" si="147"/>
        <v xml:space="preserve"> </v>
      </c>
      <c r="V311" s="72">
        <f t="shared" si="148"/>
        <v>65000000000301</v>
      </c>
      <c r="W311" s="60">
        <f t="shared" si="149"/>
        <v>65000000000186</v>
      </c>
      <c r="X311" s="60">
        <f t="shared" si="150"/>
        <v>65000000000251</v>
      </c>
      <c r="Y311" s="60">
        <f t="shared" si="151"/>
        <v>65000000000147</v>
      </c>
      <c r="Z311" s="60">
        <f t="shared" si="152"/>
        <v>65000000000300</v>
      </c>
      <c r="AA311" s="60">
        <f t="shared" si="135"/>
        <v>65000000000301</v>
      </c>
      <c r="AB311" s="60">
        <f t="shared" si="153"/>
        <v>65000000000000</v>
      </c>
      <c r="AD311" s="60">
        <f t="shared" si="156"/>
        <v>5</v>
      </c>
      <c r="AE311" s="60">
        <f t="shared" si="157"/>
        <v>4</v>
      </c>
      <c r="AF311" s="60">
        <f t="shared" si="158"/>
        <v>1</v>
      </c>
      <c r="AG311" s="60">
        <f t="shared" si="159"/>
        <v>66</v>
      </c>
      <c r="AH311" s="60">
        <f t="shared" si="160"/>
        <v>2</v>
      </c>
      <c r="AI311" s="60">
        <f t="shared" si="161"/>
        <v>1</v>
      </c>
      <c r="AK311" s="68" t="str">
        <f t="shared" si="136"/>
        <v>L5</v>
      </c>
      <c r="AM311" s="64" t="s">
        <v>1755</v>
      </c>
      <c r="AN311" s="64">
        <f t="shared" si="137"/>
        <v>65000000000186</v>
      </c>
      <c r="AO311" s="64">
        <f t="shared" si="138"/>
        <v>65000000000251</v>
      </c>
      <c r="AP311" s="64">
        <f t="shared" si="139"/>
        <v>65000000000251</v>
      </c>
      <c r="AQ311" s="64">
        <f t="shared" si="140"/>
        <v>65000000000300</v>
      </c>
      <c r="AS311" s="64">
        <f t="shared" si="141"/>
        <v>65000000000300</v>
      </c>
      <c r="AU311" s="59" t="str">
        <f t="shared" si="162"/>
        <v>PERFORM * FROM "SchData-OLTP-Accounting"."Func_TblChartOfAccount_SET"(varSystemLoginSession, null, null, null, varInstitutionBranchID, 62000000000001::bigint,'5-3025.01', 'Custom Clearance (IDR)', 62000000000001::bigint, '2016-01-01 00:00:00'::timestamp, null::timestamp, 65000000000300::bigint, 66000000000001::bigint);</v>
      </c>
      <c r="AV311" s="65">
        <f t="shared" si="163"/>
        <v>65000000000301</v>
      </c>
      <c r="AW311" s="65">
        <f t="shared" si="164"/>
        <v>65000000000300</v>
      </c>
      <c r="AY311" s="65">
        <f t="shared" si="154"/>
        <v>65000000000300</v>
      </c>
      <c r="BA311" s="78">
        <f t="shared" si="165"/>
        <v>65000000000301</v>
      </c>
      <c r="BB311" s="81" t="str">
        <f t="shared" si="155"/>
        <v>PERFORM * FROM "SchData-OLTP-Accounting"."Func_TblChartOfAccount_SET"(varSystemLoginSession, null, null, null, null, null, varInstitutionBranchID, 62000000000001::bigint,'5-3025.01', 'Custom Clearance (IDR)', 62000000000001::bigint, '2016-01-01 00:00:00'::timestamp, null::timestamp, 65000000000300::bigint, 66000000000001::bigint, FALSE::boolean);</v>
      </c>
    </row>
    <row r="312" spans="2:54" x14ac:dyDescent="0.2">
      <c r="B312" s="41"/>
      <c r="C312" s="42"/>
      <c r="D312" s="43"/>
      <c r="E312" s="42"/>
      <c r="F312" s="43"/>
      <c r="G312" s="42"/>
      <c r="H312" s="51" t="s">
        <v>951</v>
      </c>
      <c r="I312" s="18" t="s">
        <v>459</v>
      </c>
      <c r="J312" s="51"/>
      <c r="K312" s="18"/>
      <c r="L312" s="51"/>
      <c r="M312" s="18"/>
      <c r="O312" s="58" t="str">
        <f t="shared" si="142"/>
        <v>5-0000</v>
      </c>
      <c r="P312" s="58" t="str">
        <f t="shared" si="143"/>
        <v>5-3000</v>
      </c>
      <c r="Q312" s="58" t="str">
        <f t="shared" si="144"/>
        <v>2-1200</v>
      </c>
      <c r="R312" s="58" t="str">
        <f t="shared" si="145"/>
        <v>5-3026</v>
      </c>
      <c r="S312" s="58" t="str">
        <f t="shared" si="146"/>
        <v>5-3025.01</v>
      </c>
      <c r="T312" s="58" t="str">
        <f t="shared" si="147"/>
        <v xml:space="preserve"> </v>
      </c>
      <c r="V312" s="72">
        <f t="shared" si="148"/>
        <v>65000000000302</v>
      </c>
      <c r="W312" s="60">
        <f t="shared" si="149"/>
        <v>65000000000186</v>
      </c>
      <c r="X312" s="60">
        <f t="shared" si="150"/>
        <v>65000000000251</v>
      </c>
      <c r="Y312" s="60">
        <f t="shared" si="151"/>
        <v>65000000000147</v>
      </c>
      <c r="Z312" s="60">
        <f t="shared" si="152"/>
        <v>65000000000302</v>
      </c>
      <c r="AA312" s="60">
        <f t="shared" si="135"/>
        <v>65000000000301</v>
      </c>
      <c r="AB312" s="60">
        <f t="shared" si="153"/>
        <v>65000000000000</v>
      </c>
      <c r="AD312" s="60">
        <f t="shared" si="156"/>
        <v>5</v>
      </c>
      <c r="AE312" s="60">
        <f t="shared" si="157"/>
        <v>4</v>
      </c>
      <c r="AF312" s="60">
        <f t="shared" si="158"/>
        <v>1</v>
      </c>
      <c r="AG312" s="60">
        <f t="shared" si="159"/>
        <v>67</v>
      </c>
      <c r="AH312" s="60">
        <f t="shared" si="160"/>
        <v>1</v>
      </c>
      <c r="AI312" s="60">
        <f t="shared" si="161"/>
        <v>1</v>
      </c>
      <c r="AK312" s="68" t="str">
        <f t="shared" si="136"/>
        <v>L4</v>
      </c>
      <c r="AM312" s="64" t="s">
        <v>1755</v>
      </c>
      <c r="AN312" s="64">
        <f t="shared" si="137"/>
        <v>65000000000186</v>
      </c>
      <c r="AO312" s="64">
        <f t="shared" si="138"/>
        <v>65000000000251</v>
      </c>
      <c r="AP312" s="64">
        <f t="shared" si="139"/>
        <v>65000000000251</v>
      </c>
      <c r="AQ312" s="64">
        <f t="shared" si="140"/>
        <v>65000000000300</v>
      </c>
      <c r="AS312" s="64">
        <f t="shared" si="141"/>
        <v>65000000000251</v>
      </c>
      <c r="AU312" s="59" t="str">
        <f t="shared" si="162"/>
        <v>PERFORM * FROM "SchData-OLTP-Accounting"."Func_TblChartOfAccount_SET"(varSystemLoginSession, null, null, null, varInstitutionBranchID, 62000000000001::bigint,'5-3026', 'Infrastructure', 62000000000001::bigint, '2016-01-01 00:00:00'::timestamp, null::timestamp, 65000000000251::bigint, 66000000000001::bigint);</v>
      </c>
      <c r="AV312" s="65">
        <f t="shared" si="163"/>
        <v>65000000000302</v>
      </c>
      <c r="AW312" s="65">
        <f t="shared" si="164"/>
        <v>65000000000251</v>
      </c>
      <c r="AY312" s="65">
        <f t="shared" si="154"/>
        <v>65000000000147</v>
      </c>
      <c r="BA312" s="78">
        <f t="shared" si="165"/>
        <v>65000000000302</v>
      </c>
      <c r="BB312" s="81" t="str">
        <f t="shared" si="155"/>
        <v>PERFORM * FROM "SchData-OLTP-Accounting"."Func_TblChartOfAccount_SET"(varSystemLoginSession, null, null, null, null, null, varInstitutionBranchID, 62000000000001::bigint,'5-3026', 'Infrastructure', 62000000000001::bigint, '2016-01-01 00:00:00'::timestamp, null::timestamp, 65000000000251::bigint, 66000000000001::bigint, FALSE::boolean);</v>
      </c>
    </row>
    <row r="313" spans="2:54" x14ac:dyDescent="0.2">
      <c r="B313" s="41"/>
      <c r="C313" s="42"/>
      <c r="D313" s="43"/>
      <c r="E313" s="42"/>
      <c r="F313" s="43"/>
      <c r="G313" s="42"/>
      <c r="H313" s="51"/>
      <c r="I313" s="18"/>
      <c r="J313" s="51" t="s">
        <v>1501</v>
      </c>
      <c r="K313" s="18" t="s">
        <v>1333</v>
      </c>
      <c r="L313" s="51"/>
      <c r="M313" s="18"/>
      <c r="O313" s="58" t="str">
        <f t="shared" si="142"/>
        <v>5-0000</v>
      </c>
      <c r="P313" s="58" t="str">
        <f t="shared" si="143"/>
        <v>5-3000</v>
      </c>
      <c r="Q313" s="58" t="str">
        <f t="shared" si="144"/>
        <v>2-1200</v>
      </c>
      <c r="R313" s="58" t="str">
        <f t="shared" si="145"/>
        <v>5-3026</v>
      </c>
      <c r="S313" s="58" t="str">
        <f t="shared" si="146"/>
        <v>5-3026.01</v>
      </c>
      <c r="T313" s="58" t="str">
        <f t="shared" si="147"/>
        <v xml:space="preserve"> </v>
      </c>
      <c r="V313" s="72">
        <f t="shared" si="148"/>
        <v>65000000000303</v>
      </c>
      <c r="W313" s="60">
        <f t="shared" si="149"/>
        <v>65000000000186</v>
      </c>
      <c r="X313" s="60">
        <f t="shared" si="150"/>
        <v>65000000000251</v>
      </c>
      <c r="Y313" s="60">
        <f t="shared" si="151"/>
        <v>65000000000147</v>
      </c>
      <c r="Z313" s="60">
        <f t="shared" si="152"/>
        <v>65000000000302</v>
      </c>
      <c r="AA313" s="60">
        <f t="shared" si="135"/>
        <v>65000000000303</v>
      </c>
      <c r="AB313" s="60">
        <f t="shared" si="153"/>
        <v>65000000000000</v>
      </c>
      <c r="AD313" s="60">
        <f t="shared" si="156"/>
        <v>5</v>
      </c>
      <c r="AE313" s="60">
        <f t="shared" si="157"/>
        <v>4</v>
      </c>
      <c r="AF313" s="60">
        <f t="shared" si="158"/>
        <v>1</v>
      </c>
      <c r="AG313" s="60">
        <f t="shared" si="159"/>
        <v>67</v>
      </c>
      <c r="AH313" s="60">
        <f t="shared" si="160"/>
        <v>2</v>
      </c>
      <c r="AI313" s="60">
        <f t="shared" si="161"/>
        <v>1</v>
      </c>
      <c r="AK313" s="68" t="str">
        <f t="shared" si="136"/>
        <v>L5</v>
      </c>
      <c r="AM313" s="64" t="s">
        <v>1755</v>
      </c>
      <c r="AN313" s="64">
        <f t="shared" si="137"/>
        <v>65000000000186</v>
      </c>
      <c r="AO313" s="64">
        <f t="shared" si="138"/>
        <v>65000000000251</v>
      </c>
      <c r="AP313" s="64">
        <f t="shared" si="139"/>
        <v>65000000000251</v>
      </c>
      <c r="AQ313" s="64">
        <f t="shared" si="140"/>
        <v>65000000000302</v>
      </c>
      <c r="AS313" s="64">
        <f t="shared" si="141"/>
        <v>65000000000302</v>
      </c>
      <c r="AU313" s="59" t="str">
        <f t="shared" si="162"/>
        <v>PERFORM * FROM "SchData-OLTP-Accounting"."Func_TblChartOfAccount_SET"(varSystemLoginSession, null, null, null, varInstitutionBranchID, 62000000000001::bigint,'5-3026.01', 'Infrastructure (IDR)', 62000000000001::bigint, '2016-01-01 00:00:00'::timestamp, null::timestamp, 65000000000302::bigint, 66000000000001::bigint);</v>
      </c>
      <c r="AV313" s="65">
        <f t="shared" si="163"/>
        <v>65000000000303</v>
      </c>
      <c r="AW313" s="65">
        <f t="shared" si="164"/>
        <v>65000000000302</v>
      </c>
      <c r="AY313" s="65">
        <f t="shared" si="154"/>
        <v>65000000000302</v>
      </c>
      <c r="BA313" s="78">
        <f t="shared" si="165"/>
        <v>65000000000303</v>
      </c>
      <c r="BB313" s="81" t="str">
        <f t="shared" si="155"/>
        <v>PERFORM * FROM "SchData-OLTP-Accounting"."Func_TblChartOfAccount_SET"(varSystemLoginSession, null, null, null, null, null, varInstitutionBranchID, 62000000000001::bigint,'5-3026.01', 'Infrastructure (IDR)', 62000000000001::bigint, '2016-01-01 00:00:00'::timestamp, null::timestamp, 65000000000302::bigint, 66000000000001::bigint, FALSE::boolean);</v>
      </c>
    </row>
    <row r="314" spans="2:54" x14ac:dyDescent="0.2">
      <c r="B314" s="41"/>
      <c r="C314" s="42"/>
      <c r="D314" s="43"/>
      <c r="E314" s="42"/>
      <c r="F314" s="43"/>
      <c r="G314" s="42"/>
      <c r="H314" s="51" t="s">
        <v>952</v>
      </c>
      <c r="I314" s="18" t="s">
        <v>461</v>
      </c>
      <c r="J314" s="51"/>
      <c r="K314" s="18"/>
      <c r="L314" s="51"/>
      <c r="M314" s="18"/>
      <c r="O314" s="58" t="str">
        <f t="shared" si="142"/>
        <v>5-0000</v>
      </c>
      <c r="P314" s="58" t="str">
        <f t="shared" si="143"/>
        <v>5-3000</v>
      </c>
      <c r="Q314" s="58" t="str">
        <f t="shared" si="144"/>
        <v>2-1200</v>
      </c>
      <c r="R314" s="58" t="str">
        <f t="shared" si="145"/>
        <v>5-3027</v>
      </c>
      <c r="S314" s="58" t="str">
        <f t="shared" si="146"/>
        <v>5-3026.01</v>
      </c>
      <c r="T314" s="58" t="str">
        <f t="shared" si="147"/>
        <v xml:space="preserve"> </v>
      </c>
      <c r="V314" s="72">
        <f t="shared" si="148"/>
        <v>65000000000304</v>
      </c>
      <c r="W314" s="60">
        <f t="shared" si="149"/>
        <v>65000000000186</v>
      </c>
      <c r="X314" s="60">
        <f t="shared" si="150"/>
        <v>65000000000251</v>
      </c>
      <c r="Y314" s="60">
        <f t="shared" si="151"/>
        <v>65000000000147</v>
      </c>
      <c r="Z314" s="60">
        <f t="shared" si="152"/>
        <v>65000000000304</v>
      </c>
      <c r="AA314" s="60">
        <f t="shared" si="135"/>
        <v>65000000000303</v>
      </c>
      <c r="AB314" s="60">
        <f t="shared" si="153"/>
        <v>65000000000000</v>
      </c>
      <c r="AD314" s="60">
        <f t="shared" si="156"/>
        <v>5</v>
      </c>
      <c r="AE314" s="60">
        <f t="shared" si="157"/>
        <v>4</v>
      </c>
      <c r="AF314" s="60">
        <f t="shared" si="158"/>
        <v>1</v>
      </c>
      <c r="AG314" s="60">
        <f t="shared" si="159"/>
        <v>68</v>
      </c>
      <c r="AH314" s="60">
        <f t="shared" si="160"/>
        <v>1</v>
      </c>
      <c r="AI314" s="60">
        <f t="shared" si="161"/>
        <v>1</v>
      </c>
      <c r="AK314" s="68" t="str">
        <f t="shared" si="136"/>
        <v>L4</v>
      </c>
      <c r="AM314" s="64" t="s">
        <v>1755</v>
      </c>
      <c r="AN314" s="64">
        <f t="shared" si="137"/>
        <v>65000000000186</v>
      </c>
      <c r="AO314" s="64">
        <f t="shared" si="138"/>
        <v>65000000000251</v>
      </c>
      <c r="AP314" s="64">
        <f t="shared" si="139"/>
        <v>65000000000251</v>
      </c>
      <c r="AQ314" s="64">
        <f t="shared" si="140"/>
        <v>65000000000302</v>
      </c>
      <c r="AS314" s="64">
        <f t="shared" si="141"/>
        <v>65000000000251</v>
      </c>
      <c r="AU314" s="59" t="str">
        <f t="shared" si="162"/>
        <v>PERFORM * FROM "SchData-OLTP-Accounting"."Func_TblChartOfAccount_SET"(varSystemLoginSession, null, null, null, varInstitutionBranchID, 62000000000001::bigint,'5-3027', 'Tender Cost', 62000000000001::bigint, '2016-01-01 00:00:00'::timestamp, null::timestamp, 65000000000251::bigint, 66000000000001::bigint);</v>
      </c>
      <c r="AV314" s="65">
        <f t="shared" si="163"/>
        <v>65000000000304</v>
      </c>
      <c r="AW314" s="65">
        <f t="shared" si="164"/>
        <v>65000000000251</v>
      </c>
      <c r="AY314" s="65">
        <f t="shared" si="154"/>
        <v>65000000000147</v>
      </c>
      <c r="BA314" s="78">
        <f t="shared" si="165"/>
        <v>65000000000304</v>
      </c>
      <c r="BB314" s="81" t="str">
        <f t="shared" si="155"/>
        <v>PERFORM * FROM "SchData-OLTP-Accounting"."Func_TblChartOfAccount_SET"(varSystemLoginSession, null, null, null, null, null, varInstitutionBranchID, 62000000000001::bigint,'5-3027', 'Tender Cost', 62000000000001::bigint, '2016-01-01 00:00:00'::timestamp, null::timestamp, 65000000000251::bigint, 66000000000001::bigint, FALSE::boolean);</v>
      </c>
    </row>
    <row r="315" spans="2:54" x14ac:dyDescent="0.2">
      <c r="B315" s="41"/>
      <c r="C315" s="42"/>
      <c r="D315" s="43"/>
      <c r="E315" s="42"/>
      <c r="F315" s="43"/>
      <c r="G315" s="42"/>
      <c r="H315" s="51"/>
      <c r="I315" s="18"/>
      <c r="J315" s="51" t="s">
        <v>1502</v>
      </c>
      <c r="K315" s="18" t="s">
        <v>1334</v>
      </c>
      <c r="L315" s="51"/>
      <c r="M315" s="18"/>
      <c r="O315" s="58" t="str">
        <f t="shared" si="142"/>
        <v>5-0000</v>
      </c>
      <c r="P315" s="58" t="str">
        <f t="shared" si="143"/>
        <v>5-3000</v>
      </c>
      <c r="Q315" s="58" t="str">
        <f t="shared" si="144"/>
        <v>2-1200</v>
      </c>
      <c r="R315" s="58" t="str">
        <f t="shared" si="145"/>
        <v>5-3027</v>
      </c>
      <c r="S315" s="58" t="str">
        <f t="shared" si="146"/>
        <v>5-3027.01</v>
      </c>
      <c r="T315" s="58" t="str">
        <f t="shared" si="147"/>
        <v xml:space="preserve"> </v>
      </c>
      <c r="V315" s="72">
        <f t="shared" si="148"/>
        <v>65000000000305</v>
      </c>
      <c r="W315" s="60">
        <f t="shared" si="149"/>
        <v>65000000000186</v>
      </c>
      <c r="X315" s="60">
        <f t="shared" si="150"/>
        <v>65000000000251</v>
      </c>
      <c r="Y315" s="60">
        <f t="shared" si="151"/>
        <v>65000000000147</v>
      </c>
      <c r="Z315" s="60">
        <f t="shared" si="152"/>
        <v>65000000000304</v>
      </c>
      <c r="AA315" s="60">
        <f t="shared" si="135"/>
        <v>65000000000305</v>
      </c>
      <c r="AB315" s="60">
        <f t="shared" si="153"/>
        <v>65000000000000</v>
      </c>
      <c r="AD315" s="60">
        <f t="shared" si="156"/>
        <v>5</v>
      </c>
      <c r="AE315" s="60">
        <f t="shared" si="157"/>
        <v>4</v>
      </c>
      <c r="AF315" s="60">
        <f t="shared" si="158"/>
        <v>1</v>
      </c>
      <c r="AG315" s="60">
        <f t="shared" si="159"/>
        <v>68</v>
      </c>
      <c r="AH315" s="60">
        <f t="shared" si="160"/>
        <v>2</v>
      </c>
      <c r="AI315" s="60">
        <f t="shared" si="161"/>
        <v>1</v>
      </c>
      <c r="AK315" s="68" t="str">
        <f t="shared" si="136"/>
        <v>L5</v>
      </c>
      <c r="AM315" s="64" t="s">
        <v>1755</v>
      </c>
      <c r="AN315" s="64">
        <f t="shared" si="137"/>
        <v>65000000000186</v>
      </c>
      <c r="AO315" s="64">
        <f t="shared" si="138"/>
        <v>65000000000251</v>
      </c>
      <c r="AP315" s="64">
        <f t="shared" si="139"/>
        <v>65000000000251</v>
      </c>
      <c r="AQ315" s="64">
        <f t="shared" si="140"/>
        <v>65000000000304</v>
      </c>
      <c r="AS315" s="64">
        <f t="shared" si="141"/>
        <v>65000000000304</v>
      </c>
      <c r="AU315" s="59" t="str">
        <f t="shared" si="162"/>
        <v>PERFORM * FROM "SchData-OLTP-Accounting"."Func_TblChartOfAccount_SET"(varSystemLoginSession, null, null, null, varInstitutionBranchID, 62000000000001::bigint,'5-3027.01', 'Tender Cost (IDR)', 62000000000001::bigint, '2016-01-01 00:00:00'::timestamp, null::timestamp, 65000000000304::bigint, 66000000000001::bigint);</v>
      </c>
      <c r="AV315" s="65">
        <f t="shared" si="163"/>
        <v>65000000000305</v>
      </c>
      <c r="AW315" s="65">
        <f t="shared" si="164"/>
        <v>65000000000304</v>
      </c>
      <c r="AY315" s="65">
        <f t="shared" si="154"/>
        <v>65000000000304</v>
      </c>
      <c r="BA315" s="78">
        <f t="shared" si="165"/>
        <v>65000000000305</v>
      </c>
      <c r="BB315" s="81" t="str">
        <f t="shared" si="155"/>
        <v>PERFORM * FROM "SchData-OLTP-Accounting"."Func_TblChartOfAccount_SET"(varSystemLoginSession, null, null, null, null, null, varInstitutionBranchID, 62000000000001::bigint,'5-3027.01', 'Tender Cost (IDR)', 62000000000001::bigint, '2016-01-01 00:00:00'::timestamp, null::timestamp, 65000000000304::bigint, 66000000000001::bigint, FALSE::boolean);</v>
      </c>
    </row>
    <row r="316" spans="2:54" x14ac:dyDescent="0.2">
      <c r="B316" s="41"/>
      <c r="C316" s="42"/>
      <c r="D316" s="43"/>
      <c r="E316" s="42"/>
      <c r="F316" s="43"/>
      <c r="G316" s="42"/>
      <c r="H316" s="51" t="s">
        <v>953</v>
      </c>
      <c r="I316" s="18" t="s">
        <v>463</v>
      </c>
      <c r="J316" s="51"/>
      <c r="K316" s="18"/>
      <c r="L316" s="51"/>
      <c r="M316" s="18"/>
      <c r="O316" s="58" t="str">
        <f t="shared" si="142"/>
        <v>5-0000</v>
      </c>
      <c r="P316" s="58" t="str">
        <f t="shared" si="143"/>
        <v>5-3000</v>
      </c>
      <c r="Q316" s="58" t="str">
        <f t="shared" si="144"/>
        <v>2-1200</v>
      </c>
      <c r="R316" s="58" t="str">
        <f t="shared" si="145"/>
        <v>5-3028</v>
      </c>
      <c r="S316" s="58" t="str">
        <f t="shared" si="146"/>
        <v>5-3027.01</v>
      </c>
      <c r="T316" s="58" t="str">
        <f t="shared" si="147"/>
        <v xml:space="preserve"> </v>
      </c>
      <c r="V316" s="72">
        <f t="shared" si="148"/>
        <v>65000000000306</v>
      </c>
      <c r="W316" s="60">
        <f t="shared" si="149"/>
        <v>65000000000186</v>
      </c>
      <c r="X316" s="60">
        <f t="shared" si="150"/>
        <v>65000000000251</v>
      </c>
      <c r="Y316" s="60">
        <f t="shared" si="151"/>
        <v>65000000000147</v>
      </c>
      <c r="Z316" s="60">
        <f t="shared" si="152"/>
        <v>65000000000306</v>
      </c>
      <c r="AA316" s="60">
        <f t="shared" si="135"/>
        <v>65000000000305</v>
      </c>
      <c r="AB316" s="60">
        <f t="shared" si="153"/>
        <v>65000000000000</v>
      </c>
      <c r="AD316" s="60">
        <f t="shared" si="156"/>
        <v>5</v>
      </c>
      <c r="AE316" s="60">
        <f t="shared" si="157"/>
        <v>4</v>
      </c>
      <c r="AF316" s="60">
        <f t="shared" si="158"/>
        <v>1</v>
      </c>
      <c r="AG316" s="60">
        <f t="shared" si="159"/>
        <v>69</v>
      </c>
      <c r="AH316" s="60">
        <f t="shared" si="160"/>
        <v>1</v>
      </c>
      <c r="AI316" s="60">
        <f t="shared" si="161"/>
        <v>1</v>
      </c>
      <c r="AK316" s="68" t="str">
        <f t="shared" si="136"/>
        <v>L4</v>
      </c>
      <c r="AM316" s="64" t="s">
        <v>1755</v>
      </c>
      <c r="AN316" s="64">
        <f t="shared" si="137"/>
        <v>65000000000186</v>
      </c>
      <c r="AO316" s="64">
        <f t="shared" si="138"/>
        <v>65000000000251</v>
      </c>
      <c r="AP316" s="64">
        <f t="shared" si="139"/>
        <v>65000000000251</v>
      </c>
      <c r="AQ316" s="64">
        <f t="shared" si="140"/>
        <v>65000000000304</v>
      </c>
      <c r="AS316" s="64">
        <f t="shared" si="141"/>
        <v>65000000000251</v>
      </c>
      <c r="AU316" s="59" t="str">
        <f t="shared" si="162"/>
        <v>PERFORM * FROM "SchData-OLTP-Accounting"."Func_TblChartOfAccount_SET"(varSystemLoginSession, null, null, null, varInstitutionBranchID, 62000000000001::bigint,'5-3028', 'Sitac Expenses', 62000000000001::bigint, '2016-01-01 00:00:00'::timestamp, null::timestamp, 65000000000251::bigint, 66000000000001::bigint);</v>
      </c>
      <c r="AV316" s="65">
        <f t="shared" si="163"/>
        <v>65000000000306</v>
      </c>
      <c r="AW316" s="65">
        <f t="shared" si="164"/>
        <v>65000000000251</v>
      </c>
      <c r="AY316" s="65">
        <f t="shared" si="154"/>
        <v>65000000000147</v>
      </c>
      <c r="BA316" s="78">
        <f t="shared" si="165"/>
        <v>65000000000306</v>
      </c>
      <c r="BB316" s="81" t="str">
        <f t="shared" si="155"/>
        <v>PERFORM * FROM "SchData-OLTP-Accounting"."Func_TblChartOfAccount_SET"(varSystemLoginSession, null, null, null, null, null, varInstitutionBranchID, 62000000000001::bigint,'5-3028', 'Sitac Expenses', 62000000000001::bigint, '2016-01-01 00:00:00'::timestamp, null::timestamp, 65000000000251::bigint, 66000000000001::bigint, FALSE::boolean);</v>
      </c>
    </row>
    <row r="317" spans="2:54" x14ac:dyDescent="0.2">
      <c r="B317" s="41"/>
      <c r="C317" s="42"/>
      <c r="D317" s="43"/>
      <c r="E317" s="42"/>
      <c r="F317" s="43"/>
      <c r="G317" s="42"/>
      <c r="H317" s="51"/>
      <c r="I317" s="18"/>
      <c r="J317" s="51" t="s">
        <v>1503</v>
      </c>
      <c r="K317" s="18" t="s">
        <v>1335</v>
      </c>
      <c r="L317" s="51"/>
      <c r="M317" s="18"/>
      <c r="O317" s="58" t="str">
        <f t="shared" si="142"/>
        <v>5-0000</v>
      </c>
      <c r="P317" s="58" t="str">
        <f t="shared" si="143"/>
        <v>5-3000</v>
      </c>
      <c r="Q317" s="58" t="str">
        <f t="shared" si="144"/>
        <v>2-1200</v>
      </c>
      <c r="R317" s="58" t="str">
        <f t="shared" si="145"/>
        <v>5-3028</v>
      </c>
      <c r="S317" s="58" t="str">
        <f t="shared" si="146"/>
        <v>5-3028.01</v>
      </c>
      <c r="T317" s="58" t="str">
        <f t="shared" si="147"/>
        <v xml:space="preserve"> </v>
      </c>
      <c r="V317" s="72">
        <f t="shared" si="148"/>
        <v>65000000000307</v>
      </c>
      <c r="W317" s="60">
        <f t="shared" si="149"/>
        <v>65000000000186</v>
      </c>
      <c r="X317" s="60">
        <f t="shared" si="150"/>
        <v>65000000000251</v>
      </c>
      <c r="Y317" s="60">
        <f t="shared" si="151"/>
        <v>65000000000147</v>
      </c>
      <c r="Z317" s="60">
        <f t="shared" si="152"/>
        <v>65000000000306</v>
      </c>
      <c r="AA317" s="60">
        <f t="shared" si="135"/>
        <v>65000000000307</v>
      </c>
      <c r="AB317" s="60">
        <f t="shared" si="153"/>
        <v>65000000000000</v>
      </c>
      <c r="AD317" s="60">
        <f t="shared" si="156"/>
        <v>5</v>
      </c>
      <c r="AE317" s="60">
        <f t="shared" si="157"/>
        <v>4</v>
      </c>
      <c r="AF317" s="60">
        <f t="shared" si="158"/>
        <v>1</v>
      </c>
      <c r="AG317" s="60">
        <f t="shared" si="159"/>
        <v>69</v>
      </c>
      <c r="AH317" s="60">
        <f t="shared" si="160"/>
        <v>2</v>
      </c>
      <c r="AI317" s="60">
        <f t="shared" si="161"/>
        <v>1</v>
      </c>
      <c r="AK317" s="68" t="str">
        <f t="shared" si="136"/>
        <v>L5</v>
      </c>
      <c r="AM317" s="64" t="s">
        <v>1755</v>
      </c>
      <c r="AN317" s="64">
        <f t="shared" si="137"/>
        <v>65000000000186</v>
      </c>
      <c r="AO317" s="64">
        <f t="shared" si="138"/>
        <v>65000000000251</v>
      </c>
      <c r="AP317" s="64">
        <f t="shared" si="139"/>
        <v>65000000000251</v>
      </c>
      <c r="AQ317" s="64">
        <f t="shared" si="140"/>
        <v>65000000000306</v>
      </c>
      <c r="AS317" s="64">
        <f t="shared" si="141"/>
        <v>65000000000306</v>
      </c>
      <c r="AU317" s="59" t="str">
        <f t="shared" si="162"/>
        <v>PERFORM * FROM "SchData-OLTP-Accounting"."Func_TblChartOfAccount_SET"(varSystemLoginSession, null, null, null, varInstitutionBranchID, 62000000000001::bigint,'5-3028.01', 'Sitac Expenses (IDR)', 62000000000001::bigint, '2016-01-01 00:00:00'::timestamp, null::timestamp, 65000000000306::bigint, 66000000000001::bigint);</v>
      </c>
      <c r="AV317" s="65">
        <f t="shared" si="163"/>
        <v>65000000000307</v>
      </c>
      <c r="AW317" s="65">
        <f t="shared" si="164"/>
        <v>65000000000306</v>
      </c>
      <c r="AY317" s="65">
        <f t="shared" si="154"/>
        <v>65000000000306</v>
      </c>
      <c r="BA317" s="78">
        <f t="shared" si="165"/>
        <v>65000000000307</v>
      </c>
      <c r="BB317" s="81" t="str">
        <f t="shared" si="155"/>
        <v>PERFORM * FROM "SchData-OLTP-Accounting"."Func_TblChartOfAccount_SET"(varSystemLoginSession, null, null, null, null, null, varInstitutionBranchID, 62000000000001::bigint,'5-3028.01', 'Sitac Expenses (IDR)', 62000000000001::bigint, '2016-01-01 00:00:00'::timestamp, null::timestamp, 65000000000306::bigint, 66000000000001::bigint, FALSE::boolean);</v>
      </c>
    </row>
    <row r="318" spans="2:54" x14ac:dyDescent="0.2">
      <c r="B318" s="41"/>
      <c r="C318" s="42"/>
      <c r="D318" s="43"/>
      <c r="E318" s="42"/>
      <c r="F318" s="43"/>
      <c r="G318" s="42"/>
      <c r="H318" s="51" t="s">
        <v>954</v>
      </c>
      <c r="I318" s="18" t="s">
        <v>465</v>
      </c>
      <c r="J318" s="51"/>
      <c r="K318" s="18"/>
      <c r="L318" s="51"/>
      <c r="M318" s="18"/>
      <c r="O318" s="58" t="str">
        <f t="shared" si="142"/>
        <v>5-0000</v>
      </c>
      <c r="P318" s="58" t="str">
        <f t="shared" si="143"/>
        <v>5-3000</v>
      </c>
      <c r="Q318" s="58" t="str">
        <f t="shared" si="144"/>
        <v>2-1200</v>
      </c>
      <c r="R318" s="58" t="str">
        <f t="shared" si="145"/>
        <v>5-3029</v>
      </c>
      <c r="S318" s="58" t="str">
        <f t="shared" si="146"/>
        <v>5-3028.01</v>
      </c>
      <c r="T318" s="58" t="str">
        <f t="shared" si="147"/>
        <v xml:space="preserve"> </v>
      </c>
      <c r="V318" s="72">
        <f t="shared" si="148"/>
        <v>65000000000308</v>
      </c>
      <c r="W318" s="60">
        <f t="shared" si="149"/>
        <v>65000000000186</v>
      </c>
      <c r="X318" s="60">
        <f t="shared" si="150"/>
        <v>65000000000251</v>
      </c>
      <c r="Y318" s="60">
        <f t="shared" si="151"/>
        <v>65000000000147</v>
      </c>
      <c r="Z318" s="60">
        <f t="shared" si="152"/>
        <v>65000000000308</v>
      </c>
      <c r="AA318" s="60">
        <f t="shared" si="135"/>
        <v>65000000000307</v>
      </c>
      <c r="AB318" s="60">
        <f t="shared" si="153"/>
        <v>65000000000000</v>
      </c>
      <c r="AD318" s="60">
        <f t="shared" si="156"/>
        <v>5</v>
      </c>
      <c r="AE318" s="60">
        <f t="shared" si="157"/>
        <v>4</v>
      </c>
      <c r="AF318" s="60">
        <f t="shared" si="158"/>
        <v>1</v>
      </c>
      <c r="AG318" s="60">
        <f t="shared" si="159"/>
        <v>70</v>
      </c>
      <c r="AH318" s="60">
        <f t="shared" si="160"/>
        <v>1</v>
      </c>
      <c r="AI318" s="60">
        <f t="shared" si="161"/>
        <v>1</v>
      </c>
      <c r="AK318" s="68" t="str">
        <f t="shared" si="136"/>
        <v>L4</v>
      </c>
      <c r="AM318" s="64" t="s">
        <v>1755</v>
      </c>
      <c r="AN318" s="64">
        <f t="shared" si="137"/>
        <v>65000000000186</v>
      </c>
      <c r="AO318" s="64">
        <f t="shared" si="138"/>
        <v>65000000000251</v>
      </c>
      <c r="AP318" s="64">
        <f t="shared" si="139"/>
        <v>65000000000251</v>
      </c>
      <c r="AQ318" s="64">
        <f t="shared" si="140"/>
        <v>65000000000306</v>
      </c>
      <c r="AS318" s="64">
        <f t="shared" si="141"/>
        <v>65000000000251</v>
      </c>
      <c r="AU318" s="59" t="str">
        <f t="shared" si="162"/>
        <v>PERFORM * FROM "SchData-OLTP-Accounting"."Func_TblChartOfAccount_SET"(varSystemLoginSession, null, null, null, varInstitutionBranchID, 62000000000001::bigint,'5-3029', 'Loss, Damage &amp; Pinalty', 62000000000001::bigint, '2016-01-01 00:00:00'::timestamp, null::timestamp, 65000000000251::bigint, 66000000000001::bigint);</v>
      </c>
      <c r="AV318" s="65">
        <f t="shared" si="163"/>
        <v>65000000000308</v>
      </c>
      <c r="AW318" s="65">
        <f t="shared" si="164"/>
        <v>65000000000251</v>
      </c>
      <c r="AY318" s="65">
        <f t="shared" si="154"/>
        <v>65000000000147</v>
      </c>
      <c r="BA318" s="78">
        <f t="shared" si="165"/>
        <v>65000000000308</v>
      </c>
      <c r="BB318" s="81" t="str">
        <f t="shared" si="155"/>
        <v>PERFORM * FROM "SchData-OLTP-Accounting"."Func_TblChartOfAccount_SET"(varSystemLoginSession, null, null, null, null, null, varInstitutionBranchID, 62000000000001::bigint,'5-3029', 'Loss, Damage &amp; Pinalty', 62000000000001::bigint, '2016-01-01 00:00:00'::timestamp, null::timestamp, 65000000000251::bigint, 66000000000001::bigint, FALSE::boolean);</v>
      </c>
    </row>
    <row r="319" spans="2:54" x14ac:dyDescent="0.2">
      <c r="B319" s="41"/>
      <c r="C319" s="42"/>
      <c r="D319" s="43"/>
      <c r="E319" s="42"/>
      <c r="F319" s="43"/>
      <c r="G319" s="42"/>
      <c r="H319" s="51"/>
      <c r="I319" s="18"/>
      <c r="J319" s="51" t="s">
        <v>1504</v>
      </c>
      <c r="K319" s="18" t="s">
        <v>1336</v>
      </c>
      <c r="L319" s="51"/>
      <c r="M319" s="18"/>
      <c r="O319" s="58" t="str">
        <f t="shared" si="142"/>
        <v>5-0000</v>
      </c>
      <c r="P319" s="58" t="str">
        <f t="shared" si="143"/>
        <v>5-3000</v>
      </c>
      <c r="Q319" s="58" t="str">
        <f t="shared" si="144"/>
        <v>2-1200</v>
      </c>
      <c r="R319" s="58" t="str">
        <f t="shared" si="145"/>
        <v>5-3029</v>
      </c>
      <c r="S319" s="58" t="str">
        <f t="shared" si="146"/>
        <v>5-3029.01</v>
      </c>
      <c r="T319" s="58" t="str">
        <f t="shared" si="147"/>
        <v xml:space="preserve"> </v>
      </c>
      <c r="V319" s="72">
        <f t="shared" si="148"/>
        <v>65000000000309</v>
      </c>
      <c r="W319" s="60">
        <f t="shared" si="149"/>
        <v>65000000000186</v>
      </c>
      <c r="X319" s="60">
        <f t="shared" si="150"/>
        <v>65000000000251</v>
      </c>
      <c r="Y319" s="60">
        <f t="shared" si="151"/>
        <v>65000000000147</v>
      </c>
      <c r="Z319" s="60">
        <f t="shared" si="152"/>
        <v>65000000000308</v>
      </c>
      <c r="AA319" s="60">
        <f t="shared" si="135"/>
        <v>65000000000309</v>
      </c>
      <c r="AB319" s="60">
        <f t="shared" si="153"/>
        <v>65000000000000</v>
      </c>
      <c r="AD319" s="60">
        <f t="shared" si="156"/>
        <v>5</v>
      </c>
      <c r="AE319" s="60">
        <f t="shared" si="157"/>
        <v>4</v>
      </c>
      <c r="AF319" s="60">
        <f t="shared" si="158"/>
        <v>1</v>
      </c>
      <c r="AG319" s="60">
        <f t="shared" si="159"/>
        <v>70</v>
      </c>
      <c r="AH319" s="60">
        <f t="shared" si="160"/>
        <v>2</v>
      </c>
      <c r="AI319" s="60">
        <f t="shared" si="161"/>
        <v>1</v>
      </c>
      <c r="AK319" s="68" t="str">
        <f t="shared" si="136"/>
        <v>L5</v>
      </c>
      <c r="AM319" s="64" t="s">
        <v>1755</v>
      </c>
      <c r="AN319" s="64">
        <f t="shared" si="137"/>
        <v>65000000000186</v>
      </c>
      <c r="AO319" s="64">
        <f t="shared" si="138"/>
        <v>65000000000251</v>
      </c>
      <c r="AP319" s="64">
        <f t="shared" si="139"/>
        <v>65000000000251</v>
      </c>
      <c r="AQ319" s="64">
        <f t="shared" si="140"/>
        <v>65000000000308</v>
      </c>
      <c r="AS319" s="64">
        <f t="shared" si="141"/>
        <v>65000000000308</v>
      </c>
      <c r="AU319" s="59" t="str">
        <f t="shared" si="162"/>
        <v>PERFORM * FROM "SchData-OLTP-Accounting"."Func_TblChartOfAccount_SET"(varSystemLoginSession, null, null, null, varInstitutionBranchID, 62000000000001::bigint,'5-3029.01', 'Loss, Damage &amp; Pinalty (IDR)', 62000000000001::bigint, '2016-01-01 00:00:00'::timestamp, null::timestamp, 65000000000308::bigint, 66000000000001::bigint);</v>
      </c>
      <c r="AV319" s="65">
        <f t="shared" si="163"/>
        <v>65000000000309</v>
      </c>
      <c r="AW319" s="65">
        <f t="shared" si="164"/>
        <v>65000000000308</v>
      </c>
      <c r="AY319" s="65">
        <f t="shared" si="154"/>
        <v>65000000000308</v>
      </c>
      <c r="BA319" s="78">
        <f t="shared" si="165"/>
        <v>65000000000309</v>
      </c>
      <c r="BB319" s="81" t="str">
        <f t="shared" si="155"/>
        <v>PERFORM * FROM "SchData-OLTP-Accounting"."Func_TblChartOfAccount_SET"(varSystemLoginSession, null, null, null, null, null, varInstitutionBranchID, 62000000000001::bigint,'5-3029.01', 'Loss, Damage &amp; Pinalty (IDR)', 62000000000001::bigint, '2016-01-01 00:00:00'::timestamp, null::timestamp, 65000000000308::bigint, 66000000000001::bigint, FALSE::boolean);</v>
      </c>
    </row>
    <row r="320" spans="2:54" x14ac:dyDescent="0.2">
      <c r="B320" s="41"/>
      <c r="C320" s="42"/>
      <c r="D320" s="43"/>
      <c r="E320" s="42"/>
      <c r="F320" s="43"/>
      <c r="G320" s="42"/>
      <c r="H320" s="51" t="s">
        <v>414</v>
      </c>
      <c r="I320" s="18" t="s">
        <v>467</v>
      </c>
      <c r="J320" s="51"/>
      <c r="K320" s="18"/>
      <c r="L320" s="51"/>
      <c r="M320" s="18"/>
      <c r="O320" s="58" t="str">
        <f t="shared" si="142"/>
        <v>5-0000</v>
      </c>
      <c r="P320" s="58" t="str">
        <f t="shared" si="143"/>
        <v>5-3000</v>
      </c>
      <c r="Q320" s="58" t="str">
        <f t="shared" si="144"/>
        <v>2-1200</v>
      </c>
      <c r="R320" s="58" t="str">
        <f t="shared" si="145"/>
        <v>5-3030</v>
      </c>
      <c r="S320" s="58" t="str">
        <f t="shared" si="146"/>
        <v>5-3029.01</v>
      </c>
      <c r="T320" s="58" t="str">
        <f t="shared" si="147"/>
        <v xml:space="preserve"> </v>
      </c>
      <c r="V320" s="72">
        <f t="shared" si="148"/>
        <v>65000000000310</v>
      </c>
      <c r="W320" s="60">
        <f t="shared" si="149"/>
        <v>65000000000186</v>
      </c>
      <c r="X320" s="60">
        <f t="shared" si="150"/>
        <v>65000000000251</v>
      </c>
      <c r="Y320" s="60">
        <f t="shared" si="151"/>
        <v>65000000000147</v>
      </c>
      <c r="Z320" s="60">
        <f t="shared" si="152"/>
        <v>65000000000310</v>
      </c>
      <c r="AA320" s="60">
        <f t="shared" si="135"/>
        <v>65000000000309</v>
      </c>
      <c r="AB320" s="60">
        <f t="shared" si="153"/>
        <v>65000000000000</v>
      </c>
      <c r="AD320" s="60">
        <f t="shared" si="156"/>
        <v>5</v>
      </c>
      <c r="AE320" s="60">
        <f t="shared" si="157"/>
        <v>4</v>
      </c>
      <c r="AF320" s="60">
        <f t="shared" si="158"/>
        <v>1</v>
      </c>
      <c r="AG320" s="60">
        <f t="shared" si="159"/>
        <v>71</v>
      </c>
      <c r="AH320" s="60">
        <f t="shared" si="160"/>
        <v>1</v>
      </c>
      <c r="AI320" s="60">
        <f t="shared" si="161"/>
        <v>1</v>
      </c>
      <c r="AK320" s="68" t="str">
        <f t="shared" si="136"/>
        <v>L4</v>
      </c>
      <c r="AM320" s="64" t="s">
        <v>1755</v>
      </c>
      <c r="AN320" s="64">
        <f t="shared" si="137"/>
        <v>65000000000186</v>
      </c>
      <c r="AO320" s="64">
        <f t="shared" si="138"/>
        <v>65000000000251</v>
      </c>
      <c r="AP320" s="64">
        <f t="shared" si="139"/>
        <v>65000000000251</v>
      </c>
      <c r="AQ320" s="64">
        <f t="shared" si="140"/>
        <v>65000000000308</v>
      </c>
      <c r="AS320" s="64">
        <f t="shared" si="141"/>
        <v>65000000000251</v>
      </c>
      <c r="AU320" s="59" t="str">
        <f t="shared" si="162"/>
        <v>PERFORM * FROM "SchData-OLTP-Accounting"."Func_TblChartOfAccount_SET"(varSystemLoginSession, null, null, null, varInstitutionBranchID, 62000000000001::bigint,'5-3030', 'Supervision Expenses', 62000000000001::bigint, '2016-01-01 00:00:00'::timestamp, null::timestamp, 65000000000251::bigint, 66000000000001::bigint);</v>
      </c>
      <c r="AV320" s="65">
        <f t="shared" si="163"/>
        <v>65000000000310</v>
      </c>
      <c r="AW320" s="65">
        <f t="shared" si="164"/>
        <v>65000000000251</v>
      </c>
      <c r="AY320" s="65">
        <f t="shared" si="154"/>
        <v>65000000000147</v>
      </c>
      <c r="BA320" s="78">
        <f t="shared" si="165"/>
        <v>65000000000310</v>
      </c>
      <c r="BB320" s="81" t="str">
        <f t="shared" si="155"/>
        <v>PERFORM * FROM "SchData-OLTP-Accounting"."Func_TblChartOfAccount_SET"(varSystemLoginSession, null, null, null, null, null, varInstitutionBranchID, 62000000000001::bigint,'5-3030', 'Supervision Expenses', 62000000000001::bigint, '2016-01-01 00:00:00'::timestamp, null::timestamp, 65000000000251::bigint, 66000000000001::bigint, FALSE::boolean);</v>
      </c>
    </row>
    <row r="321" spans="2:54" x14ac:dyDescent="0.2">
      <c r="B321" s="41"/>
      <c r="C321" s="42"/>
      <c r="D321" s="43"/>
      <c r="E321" s="42"/>
      <c r="F321" s="43"/>
      <c r="G321" s="42"/>
      <c r="H321" s="51"/>
      <c r="I321" s="18"/>
      <c r="J321" s="51" t="s">
        <v>1505</v>
      </c>
      <c r="K321" s="18" t="s">
        <v>1337</v>
      </c>
      <c r="L321" s="51"/>
      <c r="M321" s="18"/>
      <c r="O321" s="58" t="str">
        <f t="shared" si="142"/>
        <v>5-0000</v>
      </c>
      <c r="P321" s="58" t="str">
        <f t="shared" si="143"/>
        <v>5-3000</v>
      </c>
      <c r="Q321" s="58" t="str">
        <f t="shared" si="144"/>
        <v>2-1200</v>
      </c>
      <c r="R321" s="58" t="str">
        <f t="shared" si="145"/>
        <v>5-3030</v>
      </c>
      <c r="S321" s="58" t="str">
        <f t="shared" si="146"/>
        <v>5-3030.01</v>
      </c>
      <c r="T321" s="58" t="str">
        <f t="shared" si="147"/>
        <v xml:space="preserve"> </v>
      </c>
      <c r="V321" s="72">
        <f t="shared" si="148"/>
        <v>65000000000311</v>
      </c>
      <c r="W321" s="60">
        <f t="shared" si="149"/>
        <v>65000000000186</v>
      </c>
      <c r="X321" s="60">
        <f t="shared" si="150"/>
        <v>65000000000251</v>
      </c>
      <c r="Y321" s="60">
        <f t="shared" si="151"/>
        <v>65000000000147</v>
      </c>
      <c r="Z321" s="60">
        <f t="shared" si="152"/>
        <v>65000000000310</v>
      </c>
      <c r="AA321" s="60">
        <f t="shared" si="135"/>
        <v>65000000000311</v>
      </c>
      <c r="AB321" s="60">
        <f t="shared" si="153"/>
        <v>65000000000000</v>
      </c>
      <c r="AD321" s="60">
        <f t="shared" si="156"/>
        <v>5</v>
      </c>
      <c r="AE321" s="60">
        <f t="shared" si="157"/>
        <v>4</v>
      </c>
      <c r="AF321" s="60">
        <f t="shared" si="158"/>
        <v>1</v>
      </c>
      <c r="AG321" s="60">
        <f t="shared" si="159"/>
        <v>71</v>
      </c>
      <c r="AH321" s="60">
        <f t="shared" si="160"/>
        <v>2</v>
      </c>
      <c r="AI321" s="60">
        <f t="shared" si="161"/>
        <v>1</v>
      </c>
      <c r="AK321" s="68" t="str">
        <f t="shared" si="136"/>
        <v>L5</v>
      </c>
      <c r="AM321" s="64" t="s">
        <v>1755</v>
      </c>
      <c r="AN321" s="64">
        <f t="shared" si="137"/>
        <v>65000000000186</v>
      </c>
      <c r="AO321" s="64">
        <f t="shared" si="138"/>
        <v>65000000000251</v>
      </c>
      <c r="AP321" s="64">
        <f t="shared" si="139"/>
        <v>65000000000251</v>
      </c>
      <c r="AQ321" s="64">
        <f t="shared" si="140"/>
        <v>65000000000310</v>
      </c>
      <c r="AS321" s="64">
        <f t="shared" si="141"/>
        <v>65000000000310</v>
      </c>
      <c r="AU321" s="59" t="str">
        <f t="shared" si="162"/>
        <v>PERFORM * FROM "SchData-OLTP-Accounting"."Func_TblChartOfAccount_SET"(varSystemLoginSession, null, null, null, varInstitutionBranchID, 62000000000001::bigint,'5-3030.01', 'Supervision Expenses (IDR)', 62000000000001::bigint, '2016-01-01 00:00:00'::timestamp, null::timestamp, 65000000000310::bigint, 66000000000001::bigint);</v>
      </c>
      <c r="AV321" s="65">
        <f t="shared" si="163"/>
        <v>65000000000311</v>
      </c>
      <c r="AW321" s="65">
        <f t="shared" si="164"/>
        <v>65000000000310</v>
      </c>
      <c r="AY321" s="65">
        <f t="shared" si="154"/>
        <v>65000000000310</v>
      </c>
      <c r="BA321" s="78">
        <f t="shared" si="165"/>
        <v>65000000000311</v>
      </c>
      <c r="BB321" s="81" t="str">
        <f t="shared" si="155"/>
        <v>PERFORM * FROM "SchData-OLTP-Accounting"."Func_TblChartOfAccount_SET"(varSystemLoginSession, null, null, null, null, null, varInstitutionBranchID, 62000000000001::bigint,'5-3030.01', 'Supervision Expenses (IDR)', 62000000000001::bigint, '2016-01-01 00:00:00'::timestamp, null::timestamp, 65000000000310::bigint, 66000000000001::bigint, FALSE::boolean);</v>
      </c>
    </row>
    <row r="322" spans="2:54" x14ac:dyDescent="0.2">
      <c r="B322" s="41"/>
      <c r="C322" s="42"/>
      <c r="D322" s="43"/>
      <c r="E322" s="42"/>
      <c r="F322" s="43"/>
      <c r="G322" s="42"/>
      <c r="H322" s="51" t="s">
        <v>955</v>
      </c>
      <c r="I322" s="18" t="s">
        <v>469</v>
      </c>
      <c r="J322" s="51"/>
      <c r="K322" s="18"/>
      <c r="L322" s="51"/>
      <c r="M322" s="18"/>
      <c r="O322" s="58" t="str">
        <f t="shared" si="142"/>
        <v>5-0000</v>
      </c>
      <c r="P322" s="58" t="str">
        <f t="shared" si="143"/>
        <v>5-3000</v>
      </c>
      <c r="Q322" s="58" t="str">
        <f t="shared" si="144"/>
        <v>2-1200</v>
      </c>
      <c r="R322" s="58" t="str">
        <f t="shared" si="145"/>
        <v>5-3031</v>
      </c>
      <c r="S322" s="58" t="str">
        <f t="shared" si="146"/>
        <v>5-3030.01</v>
      </c>
      <c r="T322" s="58" t="str">
        <f t="shared" si="147"/>
        <v xml:space="preserve"> </v>
      </c>
      <c r="V322" s="72">
        <f t="shared" si="148"/>
        <v>65000000000312</v>
      </c>
      <c r="W322" s="60">
        <f t="shared" si="149"/>
        <v>65000000000186</v>
      </c>
      <c r="X322" s="60">
        <f t="shared" si="150"/>
        <v>65000000000251</v>
      </c>
      <c r="Y322" s="60">
        <f t="shared" si="151"/>
        <v>65000000000147</v>
      </c>
      <c r="Z322" s="60">
        <f t="shared" si="152"/>
        <v>65000000000312</v>
      </c>
      <c r="AA322" s="60">
        <f t="shared" si="135"/>
        <v>65000000000311</v>
      </c>
      <c r="AB322" s="60">
        <f t="shared" si="153"/>
        <v>65000000000000</v>
      </c>
      <c r="AD322" s="60">
        <f t="shared" si="156"/>
        <v>5</v>
      </c>
      <c r="AE322" s="60">
        <f t="shared" si="157"/>
        <v>4</v>
      </c>
      <c r="AF322" s="60">
        <f t="shared" si="158"/>
        <v>1</v>
      </c>
      <c r="AG322" s="60">
        <f t="shared" si="159"/>
        <v>72</v>
      </c>
      <c r="AH322" s="60">
        <f t="shared" si="160"/>
        <v>1</v>
      </c>
      <c r="AI322" s="60">
        <f t="shared" si="161"/>
        <v>1</v>
      </c>
      <c r="AK322" s="68" t="str">
        <f t="shared" si="136"/>
        <v>L4</v>
      </c>
      <c r="AM322" s="64" t="s">
        <v>1755</v>
      </c>
      <c r="AN322" s="64">
        <f t="shared" si="137"/>
        <v>65000000000186</v>
      </c>
      <c r="AO322" s="64">
        <f t="shared" si="138"/>
        <v>65000000000251</v>
      </c>
      <c r="AP322" s="64">
        <f t="shared" si="139"/>
        <v>65000000000251</v>
      </c>
      <c r="AQ322" s="64">
        <f t="shared" si="140"/>
        <v>65000000000310</v>
      </c>
      <c r="AS322" s="64">
        <f t="shared" si="141"/>
        <v>65000000000251</v>
      </c>
      <c r="AU322" s="59" t="str">
        <f t="shared" si="162"/>
        <v>PERFORM * FROM "SchData-OLTP-Accounting"."Func_TblChartOfAccount_SET"(varSystemLoginSession, null, null, null, varInstitutionBranchID, 62000000000001::bigint,'5-3031', 'Power Supply', 62000000000001::bigint, '2016-01-01 00:00:00'::timestamp, null::timestamp, 65000000000251::bigint, 66000000000001::bigint);</v>
      </c>
      <c r="AV322" s="65">
        <f t="shared" si="163"/>
        <v>65000000000312</v>
      </c>
      <c r="AW322" s="65">
        <f t="shared" si="164"/>
        <v>65000000000251</v>
      </c>
      <c r="AY322" s="65">
        <f t="shared" si="154"/>
        <v>65000000000147</v>
      </c>
      <c r="BA322" s="78">
        <f t="shared" si="165"/>
        <v>65000000000312</v>
      </c>
      <c r="BB322" s="81" t="str">
        <f t="shared" si="155"/>
        <v>PERFORM * FROM "SchData-OLTP-Accounting"."Func_TblChartOfAccount_SET"(varSystemLoginSession, null, null, null, null, null, varInstitutionBranchID, 62000000000001::bigint,'5-3031', 'Power Supply', 62000000000001::bigint, '2016-01-01 00:00:00'::timestamp, null::timestamp, 65000000000251::bigint, 66000000000001::bigint, FALSE::boolean);</v>
      </c>
    </row>
    <row r="323" spans="2:54" x14ac:dyDescent="0.2">
      <c r="B323" s="41"/>
      <c r="C323" s="42"/>
      <c r="D323" s="43"/>
      <c r="E323" s="42"/>
      <c r="F323" s="43"/>
      <c r="G323" s="42"/>
      <c r="H323" s="51"/>
      <c r="I323" s="18"/>
      <c r="J323" s="51" t="s">
        <v>1506</v>
      </c>
      <c r="K323" s="18" t="s">
        <v>1338</v>
      </c>
      <c r="L323" s="51"/>
      <c r="M323" s="18"/>
      <c r="O323" s="58" t="str">
        <f t="shared" si="142"/>
        <v>5-0000</v>
      </c>
      <c r="P323" s="58" t="str">
        <f t="shared" si="143"/>
        <v>5-3000</v>
      </c>
      <c r="Q323" s="58" t="str">
        <f t="shared" si="144"/>
        <v>2-1200</v>
      </c>
      <c r="R323" s="58" t="str">
        <f t="shared" si="145"/>
        <v>5-3031</v>
      </c>
      <c r="S323" s="58" t="str">
        <f t="shared" si="146"/>
        <v>5-3031.01</v>
      </c>
      <c r="T323" s="58" t="str">
        <f t="shared" si="147"/>
        <v xml:space="preserve"> </v>
      </c>
      <c r="V323" s="72">
        <f t="shared" si="148"/>
        <v>65000000000313</v>
      </c>
      <c r="W323" s="60">
        <f t="shared" si="149"/>
        <v>65000000000186</v>
      </c>
      <c r="X323" s="60">
        <f t="shared" si="150"/>
        <v>65000000000251</v>
      </c>
      <c r="Y323" s="60">
        <f t="shared" si="151"/>
        <v>65000000000147</v>
      </c>
      <c r="Z323" s="60">
        <f t="shared" si="152"/>
        <v>65000000000312</v>
      </c>
      <c r="AA323" s="60">
        <f t="shared" si="135"/>
        <v>65000000000313</v>
      </c>
      <c r="AB323" s="60">
        <f t="shared" si="153"/>
        <v>65000000000000</v>
      </c>
      <c r="AD323" s="60">
        <f t="shared" si="156"/>
        <v>5</v>
      </c>
      <c r="AE323" s="60">
        <f t="shared" si="157"/>
        <v>4</v>
      </c>
      <c r="AF323" s="60">
        <f t="shared" si="158"/>
        <v>1</v>
      </c>
      <c r="AG323" s="60">
        <f t="shared" si="159"/>
        <v>72</v>
      </c>
      <c r="AH323" s="60">
        <f t="shared" si="160"/>
        <v>2</v>
      </c>
      <c r="AI323" s="60">
        <f t="shared" si="161"/>
        <v>1</v>
      </c>
      <c r="AK323" s="68" t="str">
        <f t="shared" si="136"/>
        <v>L5</v>
      </c>
      <c r="AM323" s="64" t="s">
        <v>1755</v>
      </c>
      <c r="AN323" s="64">
        <f t="shared" si="137"/>
        <v>65000000000186</v>
      </c>
      <c r="AO323" s="64">
        <f t="shared" si="138"/>
        <v>65000000000251</v>
      </c>
      <c r="AP323" s="64">
        <f t="shared" si="139"/>
        <v>65000000000251</v>
      </c>
      <c r="AQ323" s="64">
        <f t="shared" si="140"/>
        <v>65000000000312</v>
      </c>
      <c r="AS323" s="64">
        <f t="shared" si="141"/>
        <v>65000000000312</v>
      </c>
      <c r="AU323" s="59" t="str">
        <f t="shared" si="162"/>
        <v>PERFORM * FROM "SchData-OLTP-Accounting"."Func_TblChartOfAccount_SET"(varSystemLoginSession, null, null, null, varInstitutionBranchID, 62000000000001::bigint,'5-3031.01', 'Power Supply (IDR)', 62000000000001::bigint, '2016-01-01 00:00:00'::timestamp, null::timestamp, 65000000000312::bigint, 66000000000001::bigint);</v>
      </c>
      <c r="AV323" s="65">
        <f t="shared" si="163"/>
        <v>65000000000313</v>
      </c>
      <c r="AW323" s="65">
        <f t="shared" si="164"/>
        <v>65000000000312</v>
      </c>
      <c r="AY323" s="65">
        <f t="shared" si="154"/>
        <v>65000000000312</v>
      </c>
      <c r="BA323" s="78">
        <f t="shared" si="165"/>
        <v>65000000000313</v>
      </c>
      <c r="BB323" s="81" t="str">
        <f t="shared" si="155"/>
        <v>PERFORM * FROM "SchData-OLTP-Accounting"."Func_TblChartOfAccount_SET"(varSystemLoginSession, null, null, null, null, null, varInstitutionBranchID, 62000000000001::bigint,'5-3031.01', 'Power Supply (IDR)', 62000000000001::bigint, '2016-01-01 00:00:00'::timestamp, null::timestamp, 65000000000312::bigint, 66000000000001::bigint, FALSE::boolean);</v>
      </c>
    </row>
    <row r="324" spans="2:54" x14ac:dyDescent="0.2">
      <c r="B324" s="41"/>
      <c r="C324" s="42"/>
      <c r="D324" s="43"/>
      <c r="E324" s="42"/>
      <c r="F324" s="43"/>
      <c r="G324" s="42"/>
      <c r="H324" s="51" t="s">
        <v>956</v>
      </c>
      <c r="I324" s="18" t="s">
        <v>471</v>
      </c>
      <c r="J324" s="51"/>
      <c r="K324" s="18"/>
      <c r="L324" s="51"/>
      <c r="M324" s="18"/>
      <c r="O324" s="58" t="str">
        <f t="shared" si="142"/>
        <v>5-0000</v>
      </c>
      <c r="P324" s="58" t="str">
        <f t="shared" si="143"/>
        <v>5-3000</v>
      </c>
      <c r="Q324" s="58" t="str">
        <f t="shared" si="144"/>
        <v>2-1200</v>
      </c>
      <c r="R324" s="58" t="str">
        <f t="shared" si="145"/>
        <v>5-3032</v>
      </c>
      <c r="S324" s="58" t="str">
        <f t="shared" si="146"/>
        <v>5-3031.01</v>
      </c>
      <c r="T324" s="58" t="str">
        <f t="shared" si="147"/>
        <v xml:space="preserve"> </v>
      </c>
      <c r="V324" s="72">
        <f t="shared" si="148"/>
        <v>65000000000314</v>
      </c>
      <c r="W324" s="60">
        <f t="shared" si="149"/>
        <v>65000000000186</v>
      </c>
      <c r="X324" s="60">
        <f t="shared" si="150"/>
        <v>65000000000251</v>
      </c>
      <c r="Y324" s="60">
        <f t="shared" si="151"/>
        <v>65000000000147</v>
      </c>
      <c r="Z324" s="60">
        <f t="shared" si="152"/>
        <v>65000000000314</v>
      </c>
      <c r="AA324" s="60">
        <f t="shared" si="135"/>
        <v>65000000000313</v>
      </c>
      <c r="AB324" s="60">
        <f t="shared" si="153"/>
        <v>65000000000000</v>
      </c>
      <c r="AD324" s="60">
        <f t="shared" si="156"/>
        <v>5</v>
      </c>
      <c r="AE324" s="60">
        <f t="shared" si="157"/>
        <v>4</v>
      </c>
      <c r="AF324" s="60">
        <f t="shared" si="158"/>
        <v>1</v>
      </c>
      <c r="AG324" s="60">
        <f t="shared" si="159"/>
        <v>73</v>
      </c>
      <c r="AH324" s="60">
        <f t="shared" si="160"/>
        <v>1</v>
      </c>
      <c r="AI324" s="60">
        <f t="shared" si="161"/>
        <v>1</v>
      </c>
      <c r="AK324" s="68" t="str">
        <f t="shared" si="136"/>
        <v>L4</v>
      </c>
      <c r="AM324" s="64" t="s">
        <v>1755</v>
      </c>
      <c r="AN324" s="64">
        <f t="shared" si="137"/>
        <v>65000000000186</v>
      </c>
      <c r="AO324" s="64">
        <f t="shared" si="138"/>
        <v>65000000000251</v>
      </c>
      <c r="AP324" s="64">
        <f t="shared" si="139"/>
        <v>65000000000251</v>
      </c>
      <c r="AQ324" s="64">
        <f t="shared" si="140"/>
        <v>65000000000312</v>
      </c>
      <c r="AS324" s="64">
        <f t="shared" si="141"/>
        <v>65000000000251</v>
      </c>
      <c r="AU324" s="59" t="str">
        <f t="shared" si="162"/>
        <v>PERFORM * FROM "SchData-OLTP-Accounting"."Func_TblChartOfAccount_SET"(varSystemLoginSession, null, null, null, varInstitutionBranchID, 62000000000001::bigint,'5-3032', 'Civil  Work', 62000000000001::bigint, '2016-01-01 00:00:00'::timestamp, null::timestamp, 65000000000251::bigint, 66000000000001::bigint);</v>
      </c>
      <c r="AV324" s="65">
        <f t="shared" si="163"/>
        <v>65000000000314</v>
      </c>
      <c r="AW324" s="65">
        <f t="shared" si="164"/>
        <v>65000000000251</v>
      </c>
      <c r="AY324" s="65">
        <f t="shared" si="154"/>
        <v>65000000000147</v>
      </c>
      <c r="BA324" s="78">
        <f t="shared" si="165"/>
        <v>65000000000314</v>
      </c>
      <c r="BB324" s="81" t="str">
        <f t="shared" si="155"/>
        <v>PERFORM * FROM "SchData-OLTP-Accounting"."Func_TblChartOfAccount_SET"(varSystemLoginSession, null, null, null, null, null, varInstitutionBranchID, 62000000000001::bigint,'5-3032', 'Civil  Work', 62000000000001::bigint, '2016-01-01 00:00:00'::timestamp, null::timestamp, 65000000000251::bigint, 66000000000001::bigint, FALSE::boolean);</v>
      </c>
    </row>
    <row r="325" spans="2:54" x14ac:dyDescent="0.2">
      <c r="B325" s="41"/>
      <c r="C325" s="42"/>
      <c r="D325" s="43"/>
      <c r="E325" s="42"/>
      <c r="F325" s="43"/>
      <c r="G325" s="42"/>
      <c r="H325" s="51"/>
      <c r="I325" s="18"/>
      <c r="J325" s="51" t="s">
        <v>1507</v>
      </c>
      <c r="K325" s="18" t="s">
        <v>1339</v>
      </c>
      <c r="L325" s="51"/>
      <c r="M325" s="18"/>
      <c r="O325" s="58" t="str">
        <f t="shared" si="142"/>
        <v>5-0000</v>
      </c>
      <c r="P325" s="58" t="str">
        <f t="shared" si="143"/>
        <v>5-3000</v>
      </c>
      <c r="Q325" s="58" t="str">
        <f t="shared" si="144"/>
        <v>2-1200</v>
      </c>
      <c r="R325" s="58" t="str">
        <f t="shared" si="145"/>
        <v>5-3032</v>
      </c>
      <c r="S325" s="58" t="str">
        <f t="shared" si="146"/>
        <v>5-3032.01</v>
      </c>
      <c r="T325" s="58" t="str">
        <f t="shared" si="147"/>
        <v xml:space="preserve"> </v>
      </c>
      <c r="V325" s="72">
        <f t="shared" si="148"/>
        <v>65000000000315</v>
      </c>
      <c r="W325" s="60">
        <f t="shared" si="149"/>
        <v>65000000000186</v>
      </c>
      <c r="X325" s="60">
        <f t="shared" si="150"/>
        <v>65000000000251</v>
      </c>
      <c r="Y325" s="60">
        <f t="shared" si="151"/>
        <v>65000000000147</v>
      </c>
      <c r="Z325" s="60">
        <f t="shared" si="152"/>
        <v>65000000000314</v>
      </c>
      <c r="AA325" s="60">
        <f t="shared" ref="AA325:AA388" si="166">IF(EXACT($J325, ""), $AA324, $V325)</f>
        <v>65000000000315</v>
      </c>
      <c r="AB325" s="60">
        <f t="shared" si="153"/>
        <v>65000000000000</v>
      </c>
      <c r="AD325" s="60">
        <f t="shared" si="156"/>
        <v>5</v>
      </c>
      <c r="AE325" s="60">
        <f t="shared" si="157"/>
        <v>4</v>
      </c>
      <c r="AF325" s="60">
        <f t="shared" si="158"/>
        <v>1</v>
      </c>
      <c r="AG325" s="60">
        <f t="shared" si="159"/>
        <v>73</v>
      </c>
      <c r="AH325" s="60">
        <f t="shared" si="160"/>
        <v>2</v>
      </c>
      <c r="AI325" s="60">
        <f t="shared" si="161"/>
        <v>1</v>
      </c>
      <c r="AK325" s="68" t="str">
        <f t="shared" ref="AK325:AK388" si="167" xml:space="preserve">
IF(AA325&lt;&gt;AA324,
     "L5",
     IF(Z325&lt;&gt;Z324,
          "L4",
          IF(Y325&lt;&gt;Y324,
               "L3",
               IF(X325&lt;&gt;X324,
                    "L2",
                     IF(W325&lt;&gt;W324,
                         "L1",
                         "L1"
                         )
                    )
               )
          )
     )</f>
        <v>L5</v>
      </c>
      <c r="AM325" s="64" t="s">
        <v>1755</v>
      </c>
      <c r="AN325" s="64">
        <f t="shared" ref="AN325:AN388" si="168">IF(EXACT($AK324, "L1"), $W324, AN324)</f>
        <v>65000000000186</v>
      </c>
      <c r="AO325" s="64">
        <f t="shared" ref="AO325:AO388" si="169">IF(EXACT($AK324, "L1"), $W324, IF(EXACT($AK324, "L2"), $X324, AO324))</f>
        <v>65000000000251</v>
      </c>
      <c r="AP325" s="64">
        <f t="shared" ref="AP325:AP388" si="170">IF(EXACT($AK324, "L1"), $W324, IF(EXACT($AK324, "L2"), $X324, IF(EXACT($AK324, "L3"), $Y324, AP324)))</f>
        <v>65000000000251</v>
      </c>
      <c r="AQ325" s="64">
        <f t="shared" ref="AQ325:AQ388" si="171">IF(EXACT($AK324, "L1"), $W324, IF(EXACT($AK324, "L2"), $X324, IF(EXACT($AK324, "L3"), $Y324, IF(EXACT($AK324, "L4"), $Z324, AQ324))))</f>
        <v>65000000000314</v>
      </c>
      <c r="AS325" s="64">
        <f t="shared" ref="AS325:AS388" si="172">IF(EXACT($AK325, "L1"), AM325, IF(EXACT($AK325, "L2"), AN325, IF(EXACT($AK325, "L3"), AO325, IF(EXACT($AK325, "L4"), AP325, IF(EXACT($AK325, "L5"), AQ325, "")))))</f>
        <v>65000000000314</v>
      </c>
      <c r="AU325" s="59" t="str">
        <f t="shared" si="162"/>
        <v>PERFORM * FROM "SchData-OLTP-Accounting"."Func_TblChartOfAccount_SET"(varSystemLoginSession, null, null, null, varInstitutionBranchID, 62000000000001::bigint,'5-3032.01', 'Civil  Work (IDR)', 62000000000001::bigint, '2016-01-01 00:00:00'::timestamp, null::timestamp, 65000000000314::bigint, 66000000000001::bigint);</v>
      </c>
      <c r="AV325" s="65">
        <f t="shared" si="163"/>
        <v>65000000000315</v>
      </c>
      <c r="AW325" s="65">
        <f t="shared" si="164"/>
        <v>65000000000314</v>
      </c>
      <c r="AY325" s="65">
        <f t="shared" si="154"/>
        <v>65000000000314</v>
      </c>
      <c r="BA325" s="78">
        <f t="shared" si="165"/>
        <v>65000000000315</v>
      </c>
      <c r="BB325" s="81" t="str">
        <f t="shared" si="155"/>
        <v>PERFORM * FROM "SchData-OLTP-Accounting"."Func_TblChartOfAccount_SET"(varSystemLoginSession, null, null, null, null, null, varInstitutionBranchID, 62000000000001::bigint,'5-3032.01', 'Civil  Work (IDR)', 62000000000001::bigint, '2016-01-01 00:00:00'::timestamp, null::timestamp, 65000000000314::bigint, 66000000000001::bigint, FALSE::boolean);</v>
      </c>
    </row>
    <row r="326" spans="2:54" x14ac:dyDescent="0.2">
      <c r="B326" s="41"/>
      <c r="C326" s="42"/>
      <c r="D326" s="43"/>
      <c r="E326" s="42"/>
      <c r="F326" s="43"/>
      <c r="G326" s="42"/>
      <c r="H326" s="51" t="s">
        <v>957</v>
      </c>
      <c r="I326" s="18" t="s">
        <v>473</v>
      </c>
      <c r="J326" s="51"/>
      <c r="K326" s="18"/>
      <c r="L326" s="51"/>
      <c r="M326" s="18"/>
      <c r="O326" s="58" t="str">
        <f t="shared" ref="O326:O389" si="173">IF(EXACT($B326, ""), $O325, $B326)</f>
        <v>5-0000</v>
      </c>
      <c r="P326" s="58" t="str">
        <f t="shared" ref="P326:P389" si="174">IF(EXACT($D326, ""), $P325, $D326)</f>
        <v>5-3000</v>
      </c>
      <c r="Q326" s="58" t="str">
        <f t="shared" ref="Q326:Q389" si="175">IF(EXACT($F326, ""), $Q325, $F326)</f>
        <v>2-1200</v>
      </c>
      <c r="R326" s="58" t="str">
        <f t="shared" ref="R326:R389" si="176">IF(EXACT($H326, ""), $R325, $H326)</f>
        <v>5-3033</v>
      </c>
      <c r="S326" s="58" t="str">
        <f t="shared" ref="S326:S389" si="177">IF(EXACT($J326, ""), $S325, $J326)</f>
        <v>5-3032.01</v>
      </c>
      <c r="T326" s="58" t="str">
        <f t="shared" ref="T326:T389" si="178">IF(EXACT($L326, ""), $T325, $L326)</f>
        <v xml:space="preserve"> </v>
      </c>
      <c r="V326" s="72">
        <f t="shared" ref="V326:V389" si="179">V325+IF(AND(EXACT(B326, ""), EXACT(D326, ""), EXACT(F326, ""), EXACT(H326, ""), EXACT(J326, ""), EXACT(L326, "")), 0, 1)</f>
        <v>65000000000316</v>
      </c>
      <c r="W326" s="60">
        <f t="shared" ref="W326:W389" si="180">IF(EXACT($B326, ""), $W325, $V326)</f>
        <v>65000000000186</v>
      </c>
      <c r="X326" s="60">
        <f t="shared" ref="X326:X389" si="181">IF(EXACT($D326, ""), $X325, $V326)</f>
        <v>65000000000251</v>
      </c>
      <c r="Y326" s="60">
        <f t="shared" ref="Y326:Y389" si="182">IF(EXACT($F326, ""), $Y325, $V326)</f>
        <v>65000000000147</v>
      </c>
      <c r="Z326" s="60">
        <f t="shared" ref="Z326:Z389" si="183">IF(EXACT($H326, ""), $Z325, $V326)</f>
        <v>65000000000316</v>
      </c>
      <c r="AA326" s="60">
        <f t="shared" si="166"/>
        <v>65000000000315</v>
      </c>
      <c r="AB326" s="60">
        <f t="shared" ref="AB326:AB389" si="184">IF(EXACT($L326, ""), $AB325, $V326)</f>
        <v>65000000000000</v>
      </c>
      <c r="AD326" s="60">
        <f t="shared" si="156"/>
        <v>5</v>
      </c>
      <c r="AE326" s="60">
        <f t="shared" si="157"/>
        <v>4</v>
      </c>
      <c r="AF326" s="60">
        <f t="shared" si="158"/>
        <v>1</v>
      </c>
      <c r="AG326" s="60">
        <f t="shared" si="159"/>
        <v>74</v>
      </c>
      <c r="AH326" s="60">
        <f t="shared" si="160"/>
        <v>1</v>
      </c>
      <c r="AI326" s="60">
        <f t="shared" si="161"/>
        <v>1</v>
      </c>
      <c r="AK326" s="68" t="str">
        <f t="shared" si="167"/>
        <v>L4</v>
      </c>
      <c r="AM326" s="64" t="s">
        <v>1755</v>
      </c>
      <c r="AN326" s="64">
        <f t="shared" si="168"/>
        <v>65000000000186</v>
      </c>
      <c r="AO326" s="64">
        <f t="shared" si="169"/>
        <v>65000000000251</v>
      </c>
      <c r="AP326" s="64">
        <f t="shared" si="170"/>
        <v>65000000000251</v>
      </c>
      <c r="AQ326" s="64">
        <f t="shared" si="171"/>
        <v>65000000000314</v>
      </c>
      <c r="AS326" s="64">
        <f t="shared" si="172"/>
        <v>65000000000251</v>
      </c>
      <c r="AU326" s="59" t="str">
        <f t="shared" si="162"/>
        <v>PERFORM * FROM "SchData-OLTP-Accounting"."Func_TblChartOfAccount_SET"(varSystemLoginSession, null, null, null, varInstitutionBranchID, 62000000000001::bigint,'5-3033', 'Moblilization &amp; demobilization', 62000000000001::bigint, '2016-01-01 00:00:00'::timestamp, null::timestamp, 65000000000251::bigint, 66000000000001::bigint);</v>
      </c>
      <c r="AV326" s="65">
        <f t="shared" si="163"/>
        <v>65000000000316</v>
      </c>
      <c r="AW326" s="65">
        <f t="shared" si="164"/>
        <v>65000000000251</v>
      </c>
      <c r="AY326" s="65">
        <f t="shared" ref="AY326:AY389" si="185">IF(AND(EXACT($B326, ""), EXACT($D326, ""), EXACT($F326, ""), EXACT($H326, ""), EXACT($J326, ""), EXACT($L326, "")), "",
IF(NOT(EXACT($B326, "")), "null",
IF(NOT(EXACT($D326, "")), IF($W325&lt;&gt;$W324, $W325, $W326),
IF(NOT(EXACT($F326, "")), IF($X325&lt;&gt;$X324, $X325, IF($W325&lt;&gt;$W324, $W325, $X326)),
IF(NOT(EXACT($H326, "")), IF($Y325&lt;&gt;$Y324, $Y325, IF($X325&lt;&gt;$X324, $X325, IF($W325&lt;&gt;$W324, $W325, $Y326))),
IF(NOT(EXACT($J326, "")), IF($Z325&lt;&gt;$Z324, $Z325, IF($Y325&lt;&gt;$Y324, $Y325, IF($X325&lt;&gt;$X324, $X325, IF($W325&lt;&gt;$W324, $W325, $Z326)))),
IF(NOT(EXACT($L326, "")), IF($AA325&lt;&gt;$AA324, $AA325, IF($Z325&lt;&gt;$Z324, $Z325, IF($Y325&lt;&gt;$Y324, $Y325, IF($X325&lt;&gt;$X324, $X325, IF($W325&lt;&gt;$W324, $W325, $AA326))))),
"others")))))))</f>
        <v>65000000000147</v>
      </c>
      <c r="BA326" s="78">
        <f t="shared" si="165"/>
        <v>65000000000316</v>
      </c>
      <c r="BB326" s="81" t="str">
        <f t="shared" ref="BB326:BB389" si="186">IF(AND(EXACT($B326, ""), EXACT($D326, ""), EXACT($F326, ""), EXACT($H326, ""), EXACT($J326, ""), EXACT($L326, "")), "", CONCATENATE(
"PERFORM * FROM ""SchData-OLTP-Accounting"".""Func_TblChartOfAccount_SET""(varSystemLoginSession, null, null, null, null, null, varInstitutionBranchID, 62000000000001::bigint,'",
IF(EXACT($B326, ""), IF(EXACT($D326, ""), IF(EXACT($F326, ""), IF(EXACT($H326, ""), IF(EXACT($J326, ""), IF(EXACT($L326, ""), "", $L326), $J326), $H326), $F326), $D326), $B326),
"', '",
IF(EXACT($B326, ""), IF(EXACT($D326, ""), IF(EXACT($F326, ""), IF(EXACT($H326, ""), IF(EXACT($J326, ""), IF(EXACT($L326, ""), "", $M326), $K326), $I326), $G326), $E326), $C326),
"', ",
IF(EXACT($J326, ""), "62000000000001::bigint", IF((RIGHT($J326, 2)*1 = 1), "62000000000001::bigint", IF((RIGHT($J326, 2)*1 = 2), "62000000000002::bigint", "null"))),
", '2016-01-01 00:00:00'::timestamp, null::timestamp, ", $AW326, "::bigint, 66000000000001::bigint, ", IF(EXACT(LEFT(IF(EXACT($B326, ""), IF(EXACT($D326, ""), IF(EXACT($F326, ""), IF(EXACT($H326, ""), IF(EXACT($J326, ""), IF(EXACT($L326, ""), "", $L326), $J326), $H326), $F326), $D326), $B326), 1), "1"), "TRUE", "FALSE"), "::boolean);"))</f>
        <v>PERFORM * FROM "SchData-OLTP-Accounting"."Func_TblChartOfAccount_SET"(varSystemLoginSession, null, null, null, null, null, varInstitutionBranchID, 62000000000001::bigint,'5-3033', 'Moblilization &amp; demobilization', 62000000000001::bigint, '2016-01-01 00:00:00'::timestamp, null::timestamp, 65000000000251::bigint, 66000000000001::bigint, FALSE::boolean);</v>
      </c>
    </row>
    <row r="327" spans="2:54" x14ac:dyDescent="0.2">
      <c r="B327" s="41"/>
      <c r="C327" s="42"/>
      <c r="D327" s="43"/>
      <c r="E327" s="42"/>
      <c r="F327" s="43"/>
      <c r="G327" s="42"/>
      <c r="H327" s="51"/>
      <c r="I327" s="18"/>
      <c r="J327" s="51" t="s">
        <v>1508</v>
      </c>
      <c r="K327" s="18" t="s">
        <v>1340</v>
      </c>
      <c r="L327" s="51"/>
      <c r="M327" s="18"/>
      <c r="O327" s="58" t="str">
        <f t="shared" si="173"/>
        <v>5-0000</v>
      </c>
      <c r="P327" s="58" t="str">
        <f t="shared" si="174"/>
        <v>5-3000</v>
      </c>
      <c r="Q327" s="58" t="str">
        <f t="shared" si="175"/>
        <v>2-1200</v>
      </c>
      <c r="R327" s="58" t="str">
        <f t="shared" si="176"/>
        <v>5-3033</v>
      </c>
      <c r="S327" s="58" t="str">
        <f t="shared" si="177"/>
        <v>5-3033.01</v>
      </c>
      <c r="T327" s="58" t="str">
        <f t="shared" si="178"/>
        <v xml:space="preserve"> </v>
      </c>
      <c r="V327" s="72">
        <f t="shared" si="179"/>
        <v>65000000000317</v>
      </c>
      <c r="W327" s="60">
        <f t="shared" si="180"/>
        <v>65000000000186</v>
      </c>
      <c r="X327" s="60">
        <f t="shared" si="181"/>
        <v>65000000000251</v>
      </c>
      <c r="Y327" s="60">
        <f t="shared" si="182"/>
        <v>65000000000147</v>
      </c>
      <c r="Z327" s="60">
        <f t="shared" si="183"/>
        <v>65000000000316</v>
      </c>
      <c r="AA327" s="60">
        <f t="shared" si="166"/>
        <v>65000000000317</v>
      </c>
      <c r="AB327" s="60">
        <f t="shared" si="184"/>
        <v>65000000000000</v>
      </c>
      <c r="AD327" s="60">
        <f t="shared" ref="AD327:AD390" si="187">AD326 + IF(W327&lt;&gt;W326, 1, 0)</f>
        <v>5</v>
      </c>
      <c r="AE327" s="60">
        <f t="shared" ref="AE327:AE390" si="188">IF(AD326&lt;&gt;AD327, 1, AE326) + IF(X327&lt;&gt;X326, 1, 0)</f>
        <v>4</v>
      </c>
      <c r="AF327" s="60">
        <f t="shared" ref="AF327:AF390" si="189">IF(AE326&lt;&gt;AE327, 1, AF326) + IF(Y327&lt;&gt;Y326, 1, 0)</f>
        <v>1</v>
      </c>
      <c r="AG327" s="60">
        <f t="shared" ref="AG327:AG390" si="190">IF(AF326&lt;&gt;AF327, 1, AG326) + IF(Z327&lt;&gt;Z326, 1, 0)</f>
        <v>74</v>
      </c>
      <c r="AH327" s="60">
        <f t="shared" ref="AH327:AH390" si="191">IF(AG326&lt;&gt;AG327, 1, AH326) + IF(AA327&lt;&gt;AA326, 1, 0)</f>
        <v>2</v>
      </c>
      <c r="AI327" s="60">
        <f t="shared" ref="AI327:AI390" si="192">IF(AH326&lt;&gt;AH327, 1, AI326) + IF(AB327&lt;&gt;AB326, 1, 0)</f>
        <v>1</v>
      </c>
      <c r="AK327" s="68" t="str">
        <f t="shared" si="167"/>
        <v>L5</v>
      </c>
      <c r="AM327" s="64" t="s">
        <v>1755</v>
      </c>
      <c r="AN327" s="64">
        <f t="shared" si="168"/>
        <v>65000000000186</v>
      </c>
      <c r="AO327" s="64">
        <f t="shared" si="169"/>
        <v>65000000000251</v>
      </c>
      <c r="AP327" s="64">
        <f t="shared" si="170"/>
        <v>65000000000251</v>
      </c>
      <c r="AQ327" s="64">
        <f t="shared" si="171"/>
        <v>65000000000316</v>
      </c>
      <c r="AS327" s="64">
        <f t="shared" si="172"/>
        <v>65000000000316</v>
      </c>
      <c r="AU327" s="59" t="str">
        <f t="shared" ref="AU327:AU390" si="193">IF(AND(EXACT(B327, ""), EXACT(D327, ""), EXACT(F327, ""), EXACT(H327, ""), EXACT(J327, ""), EXACT(L327, "")), "", CONCATENATE(
"PERFORM * FROM ""SchData-OLTP-Accounting"".""Func_TblChartOfAccount_SET""(varSystemLoginSession, null, null, null, varInstitutionBranchID, 62000000000001::bigint,'",
IF(EXACT(B327, ""), IF(EXACT(D327, ""), IF(EXACT(F327, ""), IF(EXACT(H327, ""), IF(EXACT(J327, ""), IF(EXACT(L327, ""), "", L327), J327), H327), F327), D327), B327),
"', '",
IF(EXACT(B327, ""), IF(EXACT(D327, ""), IF(EXACT(F327, ""), IF(EXACT(H327, ""), IF(EXACT(J327, ""), IF(EXACT(L327, ""), "", M327), K327), I327), G327), E327), C327),
"', ",
IF(EXACT(J327, ""), "62000000000001::bigint", IF((RIGHT(J327, 2)*1 = 1), "62000000000001::bigint", IF((RIGHT(J327, 2)*1 = 2), "62000000000002::bigint", "null"))),
", '2016-01-01 00:00:00'::timestamp, null::timestamp, ", AW327, "::bigint, 66000000000001::bigint);"))</f>
        <v>PERFORM * FROM "SchData-OLTP-Accounting"."Func_TblChartOfAccount_SET"(varSystemLoginSession, null, null, null, varInstitutionBranchID, 62000000000001::bigint,'5-3033.01', 'Moblilization &amp; demobilization (IDR)', 62000000000001::bigint, '2016-01-01 00:00:00'::timestamp, null::timestamp, 65000000000316::bigint, 66000000000001::bigint);</v>
      </c>
      <c r="AV327" s="65">
        <f t="shared" ref="AV327:AV390" si="194">IF(AND(EXACT($B327, ""), EXACT($D327, ""), EXACT($F327, ""), EXACT($H327, ""), EXACT($J327, ""), EXACT($L327, "")), "", V327)</f>
        <v>65000000000317</v>
      </c>
      <c r="AW327" s="65">
        <f t="shared" ref="AW327:AW390" si="195">AS327</f>
        <v>65000000000316</v>
      </c>
      <c r="AY327" s="65">
        <f t="shared" si="185"/>
        <v>65000000000316</v>
      </c>
      <c r="BA327" s="78">
        <f t="shared" si="165"/>
        <v>65000000000317</v>
      </c>
      <c r="BB327" s="81" t="str">
        <f t="shared" si="186"/>
        <v>PERFORM * FROM "SchData-OLTP-Accounting"."Func_TblChartOfAccount_SET"(varSystemLoginSession, null, null, null, null, null, varInstitutionBranchID, 62000000000001::bigint,'5-3033.01', 'Moblilization &amp; demobilization (IDR)', 62000000000001::bigint, '2016-01-01 00:00:00'::timestamp, null::timestamp, 65000000000316::bigint, 66000000000001::bigint, FALSE::boolean);</v>
      </c>
    </row>
    <row r="328" spans="2:54" x14ac:dyDescent="0.2">
      <c r="B328" s="41"/>
      <c r="C328" s="42"/>
      <c r="D328" s="43"/>
      <c r="E328" s="42"/>
      <c r="F328" s="43"/>
      <c r="G328" s="42"/>
      <c r="H328" s="51" t="s">
        <v>958</v>
      </c>
      <c r="I328" s="18" t="s">
        <v>475</v>
      </c>
      <c r="J328" s="51"/>
      <c r="K328" s="18"/>
      <c r="L328" s="51"/>
      <c r="M328" s="18"/>
      <c r="O328" s="58" t="str">
        <f t="shared" si="173"/>
        <v>5-0000</v>
      </c>
      <c r="P328" s="58" t="str">
        <f t="shared" si="174"/>
        <v>5-3000</v>
      </c>
      <c r="Q328" s="58" t="str">
        <f t="shared" si="175"/>
        <v>2-1200</v>
      </c>
      <c r="R328" s="58" t="str">
        <f t="shared" si="176"/>
        <v>5-3034</v>
      </c>
      <c r="S328" s="58" t="str">
        <f t="shared" si="177"/>
        <v>5-3033.01</v>
      </c>
      <c r="T328" s="58" t="str">
        <f t="shared" si="178"/>
        <v xml:space="preserve"> </v>
      </c>
      <c r="V328" s="72">
        <f t="shared" si="179"/>
        <v>65000000000318</v>
      </c>
      <c r="W328" s="60">
        <f t="shared" si="180"/>
        <v>65000000000186</v>
      </c>
      <c r="X328" s="60">
        <f t="shared" si="181"/>
        <v>65000000000251</v>
      </c>
      <c r="Y328" s="60">
        <f t="shared" si="182"/>
        <v>65000000000147</v>
      </c>
      <c r="Z328" s="60">
        <f t="shared" si="183"/>
        <v>65000000000318</v>
      </c>
      <c r="AA328" s="60">
        <f t="shared" si="166"/>
        <v>65000000000317</v>
      </c>
      <c r="AB328" s="60">
        <f t="shared" si="184"/>
        <v>65000000000000</v>
      </c>
      <c r="AD328" s="60">
        <f t="shared" si="187"/>
        <v>5</v>
      </c>
      <c r="AE328" s="60">
        <f t="shared" si="188"/>
        <v>4</v>
      </c>
      <c r="AF328" s="60">
        <f t="shared" si="189"/>
        <v>1</v>
      </c>
      <c r="AG328" s="60">
        <f t="shared" si="190"/>
        <v>75</v>
      </c>
      <c r="AH328" s="60">
        <f t="shared" si="191"/>
        <v>1</v>
      </c>
      <c r="AI328" s="60">
        <f t="shared" si="192"/>
        <v>1</v>
      </c>
      <c r="AK328" s="68" t="str">
        <f t="shared" si="167"/>
        <v>L4</v>
      </c>
      <c r="AM328" s="64" t="s">
        <v>1755</v>
      </c>
      <c r="AN328" s="64">
        <f t="shared" si="168"/>
        <v>65000000000186</v>
      </c>
      <c r="AO328" s="64">
        <f t="shared" si="169"/>
        <v>65000000000251</v>
      </c>
      <c r="AP328" s="64">
        <f t="shared" si="170"/>
        <v>65000000000251</v>
      </c>
      <c r="AQ328" s="64">
        <f t="shared" si="171"/>
        <v>65000000000316</v>
      </c>
      <c r="AS328" s="64">
        <f t="shared" si="172"/>
        <v>65000000000251</v>
      </c>
      <c r="AU328" s="59" t="str">
        <f t="shared" si="193"/>
        <v>PERFORM * FROM "SchData-OLTP-Accounting"."Func_TblChartOfAccount_SET"(varSystemLoginSession, null, null, null, varInstitutionBranchID, 62000000000001::bigint,'5-3034', 'Entertainment-Deductable', 62000000000001::bigint, '2016-01-01 00:00:00'::timestamp, null::timestamp, 65000000000251::bigint, 66000000000001::bigint);</v>
      </c>
      <c r="AV328" s="65">
        <f t="shared" si="194"/>
        <v>65000000000318</v>
      </c>
      <c r="AW328" s="65">
        <f t="shared" si="195"/>
        <v>65000000000251</v>
      </c>
      <c r="AY328" s="65">
        <f t="shared" si="185"/>
        <v>65000000000147</v>
      </c>
      <c r="BA328" s="78">
        <f t="shared" si="165"/>
        <v>65000000000318</v>
      </c>
      <c r="BB328" s="81" t="str">
        <f t="shared" si="186"/>
        <v>PERFORM * FROM "SchData-OLTP-Accounting"."Func_TblChartOfAccount_SET"(varSystemLoginSession, null, null, null, null, null, varInstitutionBranchID, 62000000000001::bigint,'5-3034', 'Entertainment-Deductable', 62000000000001::bigint, '2016-01-01 00:00:00'::timestamp, null::timestamp, 65000000000251::bigint, 66000000000001::bigint, FALSE::boolean);</v>
      </c>
    </row>
    <row r="329" spans="2:54" x14ac:dyDescent="0.2">
      <c r="B329" s="41"/>
      <c r="C329" s="42"/>
      <c r="D329" s="43"/>
      <c r="E329" s="42"/>
      <c r="F329" s="43"/>
      <c r="G329" s="42"/>
      <c r="H329" s="51"/>
      <c r="I329" s="18"/>
      <c r="J329" s="51" t="s">
        <v>1509</v>
      </c>
      <c r="K329" s="18" t="s">
        <v>1341</v>
      </c>
      <c r="L329" s="51"/>
      <c r="M329" s="18"/>
      <c r="O329" s="58" t="str">
        <f t="shared" si="173"/>
        <v>5-0000</v>
      </c>
      <c r="P329" s="58" t="str">
        <f t="shared" si="174"/>
        <v>5-3000</v>
      </c>
      <c r="Q329" s="58" t="str">
        <f t="shared" si="175"/>
        <v>2-1200</v>
      </c>
      <c r="R329" s="58" t="str">
        <f t="shared" si="176"/>
        <v>5-3034</v>
      </c>
      <c r="S329" s="58" t="str">
        <f t="shared" si="177"/>
        <v>5-3034.01</v>
      </c>
      <c r="T329" s="58" t="str">
        <f t="shared" si="178"/>
        <v xml:space="preserve"> </v>
      </c>
      <c r="V329" s="72">
        <f t="shared" si="179"/>
        <v>65000000000319</v>
      </c>
      <c r="W329" s="60">
        <f t="shared" si="180"/>
        <v>65000000000186</v>
      </c>
      <c r="X329" s="60">
        <f t="shared" si="181"/>
        <v>65000000000251</v>
      </c>
      <c r="Y329" s="60">
        <f t="shared" si="182"/>
        <v>65000000000147</v>
      </c>
      <c r="Z329" s="60">
        <f t="shared" si="183"/>
        <v>65000000000318</v>
      </c>
      <c r="AA329" s="60">
        <f t="shared" si="166"/>
        <v>65000000000319</v>
      </c>
      <c r="AB329" s="60">
        <f t="shared" si="184"/>
        <v>65000000000000</v>
      </c>
      <c r="AD329" s="60">
        <f t="shared" si="187"/>
        <v>5</v>
      </c>
      <c r="AE329" s="60">
        <f t="shared" si="188"/>
        <v>4</v>
      </c>
      <c r="AF329" s="60">
        <f t="shared" si="189"/>
        <v>1</v>
      </c>
      <c r="AG329" s="60">
        <f t="shared" si="190"/>
        <v>75</v>
      </c>
      <c r="AH329" s="60">
        <f t="shared" si="191"/>
        <v>2</v>
      </c>
      <c r="AI329" s="60">
        <f t="shared" si="192"/>
        <v>1</v>
      </c>
      <c r="AK329" s="68" t="str">
        <f t="shared" si="167"/>
        <v>L5</v>
      </c>
      <c r="AM329" s="64" t="s">
        <v>1755</v>
      </c>
      <c r="AN329" s="64">
        <f t="shared" si="168"/>
        <v>65000000000186</v>
      </c>
      <c r="AO329" s="64">
        <f t="shared" si="169"/>
        <v>65000000000251</v>
      </c>
      <c r="AP329" s="64">
        <f t="shared" si="170"/>
        <v>65000000000251</v>
      </c>
      <c r="AQ329" s="64">
        <f t="shared" si="171"/>
        <v>65000000000318</v>
      </c>
      <c r="AS329" s="64">
        <f t="shared" si="172"/>
        <v>65000000000318</v>
      </c>
      <c r="AU329" s="59" t="str">
        <f t="shared" si="193"/>
        <v>PERFORM * FROM "SchData-OLTP-Accounting"."Func_TblChartOfAccount_SET"(varSystemLoginSession, null, null, null, varInstitutionBranchID, 62000000000001::bigint,'5-3034.01', 'Entertainment-Deductable (IDR)', 62000000000001::bigint, '2016-01-01 00:00:00'::timestamp, null::timestamp, 65000000000318::bigint, 66000000000001::bigint);</v>
      </c>
      <c r="AV329" s="65">
        <f t="shared" si="194"/>
        <v>65000000000319</v>
      </c>
      <c r="AW329" s="65">
        <f t="shared" si="195"/>
        <v>65000000000318</v>
      </c>
      <c r="AY329" s="65">
        <f t="shared" si="185"/>
        <v>65000000000318</v>
      </c>
      <c r="BA329" s="78">
        <f t="shared" si="165"/>
        <v>65000000000319</v>
      </c>
      <c r="BB329" s="81" t="str">
        <f t="shared" si="186"/>
        <v>PERFORM * FROM "SchData-OLTP-Accounting"."Func_TblChartOfAccount_SET"(varSystemLoginSession, null, null, null, null, null, varInstitutionBranchID, 62000000000001::bigint,'5-3034.01', 'Entertainment-Deductable (IDR)', 62000000000001::bigint, '2016-01-01 00:00:00'::timestamp, null::timestamp, 65000000000318::bigint, 66000000000001::bigint, FALSE::boolean);</v>
      </c>
    </row>
    <row r="330" spans="2:54" x14ac:dyDescent="0.2">
      <c r="B330" s="41"/>
      <c r="C330" s="42"/>
      <c r="D330" s="43"/>
      <c r="E330" s="42"/>
      <c r="F330" s="43"/>
      <c r="G330" s="42"/>
      <c r="H330" s="51" t="s">
        <v>959</v>
      </c>
      <c r="I330" s="18" t="s">
        <v>477</v>
      </c>
      <c r="J330" s="51"/>
      <c r="K330" s="18"/>
      <c r="L330" s="51"/>
      <c r="M330" s="18"/>
      <c r="O330" s="58" t="str">
        <f t="shared" si="173"/>
        <v>5-0000</v>
      </c>
      <c r="P330" s="58" t="str">
        <f t="shared" si="174"/>
        <v>5-3000</v>
      </c>
      <c r="Q330" s="58" t="str">
        <f t="shared" si="175"/>
        <v>2-1200</v>
      </c>
      <c r="R330" s="58" t="str">
        <f t="shared" si="176"/>
        <v>5-3035</v>
      </c>
      <c r="S330" s="58" t="str">
        <f t="shared" si="177"/>
        <v>5-3034.01</v>
      </c>
      <c r="T330" s="58" t="str">
        <f t="shared" si="178"/>
        <v xml:space="preserve"> </v>
      </c>
      <c r="V330" s="72">
        <f t="shared" si="179"/>
        <v>65000000000320</v>
      </c>
      <c r="W330" s="60">
        <f t="shared" si="180"/>
        <v>65000000000186</v>
      </c>
      <c r="X330" s="60">
        <f t="shared" si="181"/>
        <v>65000000000251</v>
      </c>
      <c r="Y330" s="60">
        <f t="shared" si="182"/>
        <v>65000000000147</v>
      </c>
      <c r="Z330" s="60">
        <f t="shared" si="183"/>
        <v>65000000000320</v>
      </c>
      <c r="AA330" s="60">
        <f t="shared" si="166"/>
        <v>65000000000319</v>
      </c>
      <c r="AB330" s="60">
        <f t="shared" si="184"/>
        <v>65000000000000</v>
      </c>
      <c r="AD330" s="60">
        <f t="shared" si="187"/>
        <v>5</v>
      </c>
      <c r="AE330" s="60">
        <f t="shared" si="188"/>
        <v>4</v>
      </c>
      <c r="AF330" s="60">
        <f t="shared" si="189"/>
        <v>1</v>
      </c>
      <c r="AG330" s="60">
        <f t="shared" si="190"/>
        <v>76</v>
      </c>
      <c r="AH330" s="60">
        <f t="shared" si="191"/>
        <v>1</v>
      </c>
      <c r="AI330" s="60">
        <f t="shared" si="192"/>
        <v>1</v>
      </c>
      <c r="AK330" s="68" t="str">
        <f t="shared" si="167"/>
        <v>L4</v>
      </c>
      <c r="AM330" s="64" t="s">
        <v>1755</v>
      </c>
      <c r="AN330" s="64">
        <f t="shared" si="168"/>
        <v>65000000000186</v>
      </c>
      <c r="AO330" s="64">
        <f t="shared" si="169"/>
        <v>65000000000251</v>
      </c>
      <c r="AP330" s="64">
        <f t="shared" si="170"/>
        <v>65000000000251</v>
      </c>
      <c r="AQ330" s="64">
        <f t="shared" si="171"/>
        <v>65000000000318</v>
      </c>
      <c r="AS330" s="64">
        <f t="shared" si="172"/>
        <v>65000000000251</v>
      </c>
      <c r="AU330" s="59" t="str">
        <f t="shared" si="193"/>
        <v>PERFORM * FROM "SchData-OLTP-Accounting"."Func_TblChartOfAccount_SET"(varSystemLoginSession, null, null, null, varInstitutionBranchID, 62000000000001::bigint,'5-3035', 'Entertainment-Undeductable', 62000000000001::bigint, '2016-01-01 00:00:00'::timestamp, null::timestamp, 65000000000251::bigint, 66000000000001::bigint);</v>
      </c>
      <c r="AV330" s="65">
        <f t="shared" si="194"/>
        <v>65000000000320</v>
      </c>
      <c r="AW330" s="65">
        <f t="shared" si="195"/>
        <v>65000000000251</v>
      </c>
      <c r="AY330" s="65">
        <f t="shared" si="185"/>
        <v>65000000000147</v>
      </c>
      <c r="BA330" s="78">
        <f t="shared" si="165"/>
        <v>65000000000320</v>
      </c>
      <c r="BB330" s="81" t="str">
        <f t="shared" si="186"/>
        <v>PERFORM * FROM "SchData-OLTP-Accounting"."Func_TblChartOfAccount_SET"(varSystemLoginSession, null, null, null, null, null, varInstitutionBranchID, 62000000000001::bigint,'5-3035', 'Entertainment-Undeductable', 62000000000001::bigint, '2016-01-01 00:00:00'::timestamp, null::timestamp, 65000000000251::bigint, 66000000000001::bigint, FALSE::boolean);</v>
      </c>
    </row>
    <row r="331" spans="2:54" x14ac:dyDescent="0.2">
      <c r="B331" s="41"/>
      <c r="C331" s="42"/>
      <c r="D331" s="43"/>
      <c r="E331" s="42"/>
      <c r="F331" s="43"/>
      <c r="G331" s="42"/>
      <c r="H331" s="51"/>
      <c r="I331" s="18"/>
      <c r="J331" s="51" t="s">
        <v>1510</v>
      </c>
      <c r="K331" s="18" t="s">
        <v>1342</v>
      </c>
      <c r="L331" s="51"/>
      <c r="M331" s="18"/>
      <c r="O331" s="58" t="str">
        <f t="shared" si="173"/>
        <v>5-0000</v>
      </c>
      <c r="P331" s="58" t="str">
        <f t="shared" si="174"/>
        <v>5-3000</v>
      </c>
      <c r="Q331" s="58" t="str">
        <f t="shared" si="175"/>
        <v>2-1200</v>
      </c>
      <c r="R331" s="58" t="str">
        <f t="shared" si="176"/>
        <v>5-3035</v>
      </c>
      <c r="S331" s="58" t="str">
        <f t="shared" si="177"/>
        <v>5-3035.01</v>
      </c>
      <c r="T331" s="58" t="str">
        <f t="shared" si="178"/>
        <v xml:space="preserve"> </v>
      </c>
      <c r="V331" s="72">
        <f t="shared" si="179"/>
        <v>65000000000321</v>
      </c>
      <c r="W331" s="60">
        <f t="shared" si="180"/>
        <v>65000000000186</v>
      </c>
      <c r="X331" s="60">
        <f t="shared" si="181"/>
        <v>65000000000251</v>
      </c>
      <c r="Y331" s="60">
        <f t="shared" si="182"/>
        <v>65000000000147</v>
      </c>
      <c r="Z331" s="60">
        <f t="shared" si="183"/>
        <v>65000000000320</v>
      </c>
      <c r="AA331" s="60">
        <f t="shared" si="166"/>
        <v>65000000000321</v>
      </c>
      <c r="AB331" s="60">
        <f t="shared" si="184"/>
        <v>65000000000000</v>
      </c>
      <c r="AD331" s="60">
        <f t="shared" si="187"/>
        <v>5</v>
      </c>
      <c r="AE331" s="60">
        <f t="shared" si="188"/>
        <v>4</v>
      </c>
      <c r="AF331" s="60">
        <f t="shared" si="189"/>
        <v>1</v>
      </c>
      <c r="AG331" s="60">
        <f t="shared" si="190"/>
        <v>76</v>
      </c>
      <c r="AH331" s="60">
        <f t="shared" si="191"/>
        <v>2</v>
      </c>
      <c r="AI331" s="60">
        <f t="shared" si="192"/>
        <v>1</v>
      </c>
      <c r="AK331" s="68" t="str">
        <f t="shared" si="167"/>
        <v>L5</v>
      </c>
      <c r="AM331" s="64" t="s">
        <v>1755</v>
      </c>
      <c r="AN331" s="64">
        <f t="shared" si="168"/>
        <v>65000000000186</v>
      </c>
      <c r="AO331" s="64">
        <f t="shared" si="169"/>
        <v>65000000000251</v>
      </c>
      <c r="AP331" s="64">
        <f t="shared" si="170"/>
        <v>65000000000251</v>
      </c>
      <c r="AQ331" s="64">
        <f t="shared" si="171"/>
        <v>65000000000320</v>
      </c>
      <c r="AS331" s="64">
        <f t="shared" si="172"/>
        <v>65000000000320</v>
      </c>
      <c r="AU331" s="59" t="str">
        <f t="shared" si="193"/>
        <v>PERFORM * FROM "SchData-OLTP-Accounting"."Func_TblChartOfAccount_SET"(varSystemLoginSession, null, null, null, varInstitutionBranchID, 62000000000001::bigint,'5-3035.01', 'Entertainment-Undeductable (IDR)', 62000000000001::bigint, '2016-01-01 00:00:00'::timestamp, null::timestamp, 65000000000320::bigint, 66000000000001::bigint);</v>
      </c>
      <c r="AV331" s="65">
        <f t="shared" si="194"/>
        <v>65000000000321</v>
      </c>
      <c r="AW331" s="65">
        <f t="shared" si="195"/>
        <v>65000000000320</v>
      </c>
      <c r="AY331" s="65">
        <f t="shared" si="185"/>
        <v>65000000000320</v>
      </c>
      <c r="BA331" s="78">
        <f t="shared" si="165"/>
        <v>65000000000321</v>
      </c>
      <c r="BB331" s="81" t="str">
        <f t="shared" si="186"/>
        <v>PERFORM * FROM "SchData-OLTP-Accounting"."Func_TblChartOfAccount_SET"(varSystemLoginSession, null, null, null, null, null, varInstitutionBranchID, 62000000000001::bigint,'5-3035.01', 'Entertainment-Undeductable (IDR)', 62000000000001::bigint, '2016-01-01 00:00:00'::timestamp, null::timestamp, 65000000000320::bigint, 66000000000001::bigint, FALSE::boolean);</v>
      </c>
    </row>
    <row r="332" spans="2:54" x14ac:dyDescent="0.2">
      <c r="B332" s="41"/>
      <c r="C332" s="42"/>
      <c r="D332" s="43"/>
      <c r="E332" s="42"/>
      <c r="F332" s="43"/>
      <c r="G332" s="42"/>
      <c r="H332" s="51" t="s">
        <v>960</v>
      </c>
      <c r="I332" s="18" t="s">
        <v>479</v>
      </c>
      <c r="J332" s="51"/>
      <c r="K332" s="18"/>
      <c r="L332" s="51"/>
      <c r="M332" s="18"/>
      <c r="O332" s="58" t="str">
        <f t="shared" si="173"/>
        <v>5-0000</v>
      </c>
      <c r="P332" s="58" t="str">
        <f t="shared" si="174"/>
        <v>5-3000</v>
      </c>
      <c r="Q332" s="58" t="str">
        <f t="shared" si="175"/>
        <v>2-1200</v>
      </c>
      <c r="R332" s="58" t="str">
        <f t="shared" si="176"/>
        <v>5-3036</v>
      </c>
      <c r="S332" s="58" t="str">
        <f t="shared" si="177"/>
        <v>5-3035.01</v>
      </c>
      <c r="T332" s="58" t="str">
        <f t="shared" si="178"/>
        <v xml:space="preserve"> </v>
      </c>
      <c r="V332" s="72">
        <f t="shared" si="179"/>
        <v>65000000000322</v>
      </c>
      <c r="W332" s="60">
        <f t="shared" si="180"/>
        <v>65000000000186</v>
      </c>
      <c r="X332" s="60">
        <f t="shared" si="181"/>
        <v>65000000000251</v>
      </c>
      <c r="Y332" s="60">
        <f t="shared" si="182"/>
        <v>65000000000147</v>
      </c>
      <c r="Z332" s="60">
        <f t="shared" si="183"/>
        <v>65000000000322</v>
      </c>
      <c r="AA332" s="60">
        <f t="shared" si="166"/>
        <v>65000000000321</v>
      </c>
      <c r="AB332" s="60">
        <f t="shared" si="184"/>
        <v>65000000000000</v>
      </c>
      <c r="AD332" s="60">
        <f t="shared" si="187"/>
        <v>5</v>
      </c>
      <c r="AE332" s="60">
        <f t="shared" si="188"/>
        <v>4</v>
      </c>
      <c r="AF332" s="60">
        <f t="shared" si="189"/>
        <v>1</v>
      </c>
      <c r="AG332" s="60">
        <f t="shared" si="190"/>
        <v>77</v>
      </c>
      <c r="AH332" s="60">
        <f t="shared" si="191"/>
        <v>1</v>
      </c>
      <c r="AI332" s="60">
        <f t="shared" si="192"/>
        <v>1</v>
      </c>
      <c r="AK332" s="68" t="str">
        <f t="shared" si="167"/>
        <v>L4</v>
      </c>
      <c r="AM332" s="64" t="s">
        <v>1755</v>
      </c>
      <c r="AN332" s="64">
        <f t="shared" si="168"/>
        <v>65000000000186</v>
      </c>
      <c r="AO332" s="64">
        <f t="shared" si="169"/>
        <v>65000000000251</v>
      </c>
      <c r="AP332" s="64">
        <f t="shared" si="170"/>
        <v>65000000000251</v>
      </c>
      <c r="AQ332" s="64">
        <f t="shared" si="171"/>
        <v>65000000000320</v>
      </c>
      <c r="AS332" s="64">
        <f t="shared" si="172"/>
        <v>65000000000251</v>
      </c>
      <c r="AU332" s="59" t="str">
        <f t="shared" si="193"/>
        <v>PERFORM * FROM "SchData-OLTP-Accounting"."Func_TblChartOfAccount_SET"(varSystemLoginSession, null, null, null, varInstitutionBranchID, 62000000000001::bigint,'5-3036', 'Non Meal Entertaint-Ded.', 62000000000001::bigint, '2016-01-01 00:00:00'::timestamp, null::timestamp, 65000000000251::bigint, 66000000000001::bigint);</v>
      </c>
      <c r="AV332" s="65">
        <f t="shared" si="194"/>
        <v>65000000000322</v>
      </c>
      <c r="AW332" s="65">
        <f t="shared" si="195"/>
        <v>65000000000251</v>
      </c>
      <c r="AY332" s="65">
        <f t="shared" si="185"/>
        <v>65000000000147</v>
      </c>
      <c r="BA332" s="78">
        <f t="shared" si="165"/>
        <v>65000000000322</v>
      </c>
      <c r="BB332" s="81" t="str">
        <f t="shared" si="186"/>
        <v>PERFORM * FROM "SchData-OLTP-Accounting"."Func_TblChartOfAccount_SET"(varSystemLoginSession, null, null, null, null, null, varInstitutionBranchID, 62000000000001::bigint,'5-3036', 'Non Meal Entertaint-Ded.', 62000000000001::bigint, '2016-01-01 00:00:00'::timestamp, null::timestamp, 65000000000251::bigint, 66000000000001::bigint, FALSE::boolean);</v>
      </c>
    </row>
    <row r="333" spans="2:54" x14ac:dyDescent="0.2">
      <c r="B333" s="41"/>
      <c r="C333" s="42"/>
      <c r="D333" s="43"/>
      <c r="E333" s="42"/>
      <c r="F333" s="43"/>
      <c r="G333" s="42"/>
      <c r="H333" s="51"/>
      <c r="I333" s="18"/>
      <c r="J333" s="51" t="s">
        <v>1511</v>
      </c>
      <c r="K333" s="18" t="s">
        <v>1343</v>
      </c>
      <c r="L333" s="51"/>
      <c r="M333" s="18"/>
      <c r="O333" s="58" t="str">
        <f t="shared" si="173"/>
        <v>5-0000</v>
      </c>
      <c r="P333" s="58" t="str">
        <f t="shared" si="174"/>
        <v>5-3000</v>
      </c>
      <c r="Q333" s="58" t="str">
        <f t="shared" si="175"/>
        <v>2-1200</v>
      </c>
      <c r="R333" s="58" t="str">
        <f t="shared" si="176"/>
        <v>5-3036</v>
      </c>
      <c r="S333" s="58" t="str">
        <f t="shared" si="177"/>
        <v>5-3036.01</v>
      </c>
      <c r="T333" s="58" t="str">
        <f t="shared" si="178"/>
        <v xml:space="preserve"> </v>
      </c>
      <c r="V333" s="72">
        <f t="shared" si="179"/>
        <v>65000000000323</v>
      </c>
      <c r="W333" s="60">
        <f t="shared" si="180"/>
        <v>65000000000186</v>
      </c>
      <c r="X333" s="60">
        <f t="shared" si="181"/>
        <v>65000000000251</v>
      </c>
      <c r="Y333" s="60">
        <f t="shared" si="182"/>
        <v>65000000000147</v>
      </c>
      <c r="Z333" s="60">
        <f t="shared" si="183"/>
        <v>65000000000322</v>
      </c>
      <c r="AA333" s="60">
        <f t="shared" si="166"/>
        <v>65000000000323</v>
      </c>
      <c r="AB333" s="60">
        <f t="shared" si="184"/>
        <v>65000000000000</v>
      </c>
      <c r="AD333" s="60">
        <f t="shared" si="187"/>
        <v>5</v>
      </c>
      <c r="AE333" s="60">
        <f t="shared" si="188"/>
        <v>4</v>
      </c>
      <c r="AF333" s="60">
        <f t="shared" si="189"/>
        <v>1</v>
      </c>
      <c r="AG333" s="60">
        <f t="shared" si="190"/>
        <v>77</v>
      </c>
      <c r="AH333" s="60">
        <f t="shared" si="191"/>
        <v>2</v>
      </c>
      <c r="AI333" s="60">
        <f t="shared" si="192"/>
        <v>1</v>
      </c>
      <c r="AK333" s="68" t="str">
        <f t="shared" si="167"/>
        <v>L5</v>
      </c>
      <c r="AM333" s="64" t="s">
        <v>1755</v>
      </c>
      <c r="AN333" s="64">
        <f t="shared" si="168"/>
        <v>65000000000186</v>
      </c>
      <c r="AO333" s="64">
        <f t="shared" si="169"/>
        <v>65000000000251</v>
      </c>
      <c r="AP333" s="64">
        <f t="shared" si="170"/>
        <v>65000000000251</v>
      </c>
      <c r="AQ333" s="64">
        <f t="shared" si="171"/>
        <v>65000000000322</v>
      </c>
      <c r="AS333" s="64">
        <f t="shared" si="172"/>
        <v>65000000000322</v>
      </c>
      <c r="AU333" s="59" t="str">
        <f t="shared" si="193"/>
        <v>PERFORM * FROM "SchData-OLTP-Accounting"."Func_TblChartOfAccount_SET"(varSystemLoginSession, null, null, null, varInstitutionBranchID, 62000000000001::bigint,'5-3036.01', 'Non Meal Entertaint-Ded. (IDR)', 62000000000001::bigint, '2016-01-01 00:00:00'::timestamp, null::timestamp, 65000000000322::bigint, 66000000000001::bigint);</v>
      </c>
      <c r="AV333" s="65">
        <f t="shared" si="194"/>
        <v>65000000000323</v>
      </c>
      <c r="AW333" s="65">
        <f t="shared" si="195"/>
        <v>65000000000322</v>
      </c>
      <c r="AY333" s="65">
        <f t="shared" si="185"/>
        <v>65000000000322</v>
      </c>
      <c r="BA333" s="78">
        <f t="shared" si="165"/>
        <v>65000000000323</v>
      </c>
      <c r="BB333" s="81" t="str">
        <f t="shared" si="186"/>
        <v>PERFORM * FROM "SchData-OLTP-Accounting"."Func_TblChartOfAccount_SET"(varSystemLoginSession, null, null, null, null, null, varInstitutionBranchID, 62000000000001::bigint,'5-3036.01', 'Non Meal Entertaint-Ded. (IDR)', 62000000000001::bigint, '2016-01-01 00:00:00'::timestamp, null::timestamp, 65000000000322::bigint, 66000000000001::bigint, FALSE::boolean);</v>
      </c>
    </row>
    <row r="334" spans="2:54" x14ac:dyDescent="0.2">
      <c r="B334" s="41"/>
      <c r="C334" s="42"/>
      <c r="D334" s="43"/>
      <c r="E334" s="42"/>
      <c r="F334" s="43"/>
      <c r="G334" s="42"/>
      <c r="H334" s="51" t="s">
        <v>961</v>
      </c>
      <c r="I334" s="18" t="s">
        <v>481</v>
      </c>
      <c r="J334" s="51"/>
      <c r="K334" s="18"/>
      <c r="L334" s="51"/>
      <c r="M334" s="18"/>
      <c r="O334" s="58" t="str">
        <f t="shared" si="173"/>
        <v>5-0000</v>
      </c>
      <c r="P334" s="58" t="str">
        <f t="shared" si="174"/>
        <v>5-3000</v>
      </c>
      <c r="Q334" s="58" t="str">
        <f t="shared" si="175"/>
        <v>2-1200</v>
      </c>
      <c r="R334" s="58" t="str">
        <f t="shared" si="176"/>
        <v>5-3037</v>
      </c>
      <c r="S334" s="58" t="str">
        <f t="shared" si="177"/>
        <v>5-3036.01</v>
      </c>
      <c r="T334" s="58" t="str">
        <f t="shared" si="178"/>
        <v xml:space="preserve"> </v>
      </c>
      <c r="V334" s="72">
        <f t="shared" si="179"/>
        <v>65000000000324</v>
      </c>
      <c r="W334" s="60">
        <f t="shared" si="180"/>
        <v>65000000000186</v>
      </c>
      <c r="X334" s="60">
        <f t="shared" si="181"/>
        <v>65000000000251</v>
      </c>
      <c r="Y334" s="60">
        <f t="shared" si="182"/>
        <v>65000000000147</v>
      </c>
      <c r="Z334" s="60">
        <f t="shared" si="183"/>
        <v>65000000000324</v>
      </c>
      <c r="AA334" s="60">
        <f t="shared" si="166"/>
        <v>65000000000323</v>
      </c>
      <c r="AB334" s="60">
        <f t="shared" si="184"/>
        <v>65000000000000</v>
      </c>
      <c r="AD334" s="60">
        <f t="shared" si="187"/>
        <v>5</v>
      </c>
      <c r="AE334" s="60">
        <f t="shared" si="188"/>
        <v>4</v>
      </c>
      <c r="AF334" s="60">
        <f t="shared" si="189"/>
        <v>1</v>
      </c>
      <c r="AG334" s="60">
        <f t="shared" si="190"/>
        <v>78</v>
      </c>
      <c r="AH334" s="60">
        <f t="shared" si="191"/>
        <v>1</v>
      </c>
      <c r="AI334" s="60">
        <f t="shared" si="192"/>
        <v>1</v>
      </c>
      <c r="AK334" s="68" t="str">
        <f t="shared" si="167"/>
        <v>L4</v>
      </c>
      <c r="AM334" s="64" t="s">
        <v>1755</v>
      </c>
      <c r="AN334" s="64">
        <f t="shared" si="168"/>
        <v>65000000000186</v>
      </c>
      <c r="AO334" s="64">
        <f t="shared" si="169"/>
        <v>65000000000251</v>
      </c>
      <c r="AP334" s="64">
        <f t="shared" si="170"/>
        <v>65000000000251</v>
      </c>
      <c r="AQ334" s="64">
        <f t="shared" si="171"/>
        <v>65000000000322</v>
      </c>
      <c r="AS334" s="64">
        <f t="shared" si="172"/>
        <v>65000000000251</v>
      </c>
      <c r="AU334" s="59" t="str">
        <f t="shared" si="193"/>
        <v>PERFORM * FROM "SchData-OLTP-Accounting"."Func_TblChartOfAccount_SET"(varSystemLoginSession, null, null, null, varInstitutionBranchID, 62000000000001::bigint,'5-3037', 'Non Meal Entertaint-Unded.', 62000000000001::bigint, '2016-01-01 00:00:00'::timestamp, null::timestamp, 65000000000251::bigint, 66000000000001::bigint);</v>
      </c>
      <c r="AV334" s="65">
        <f t="shared" si="194"/>
        <v>65000000000324</v>
      </c>
      <c r="AW334" s="65">
        <f t="shared" si="195"/>
        <v>65000000000251</v>
      </c>
      <c r="AY334" s="65">
        <f t="shared" si="185"/>
        <v>65000000000147</v>
      </c>
      <c r="BA334" s="78">
        <f t="shared" si="165"/>
        <v>65000000000324</v>
      </c>
      <c r="BB334" s="81" t="str">
        <f t="shared" si="186"/>
        <v>PERFORM * FROM "SchData-OLTP-Accounting"."Func_TblChartOfAccount_SET"(varSystemLoginSession, null, null, null, null, null, varInstitutionBranchID, 62000000000001::bigint,'5-3037', 'Non Meal Entertaint-Unded.', 62000000000001::bigint, '2016-01-01 00:00:00'::timestamp, null::timestamp, 65000000000251::bigint, 66000000000001::bigint, FALSE::boolean);</v>
      </c>
    </row>
    <row r="335" spans="2:54" x14ac:dyDescent="0.2">
      <c r="B335" s="41"/>
      <c r="C335" s="42"/>
      <c r="D335" s="43"/>
      <c r="E335" s="42"/>
      <c r="F335" s="43"/>
      <c r="G335" s="42"/>
      <c r="H335" s="51"/>
      <c r="I335" s="18"/>
      <c r="J335" s="51" t="s">
        <v>1512</v>
      </c>
      <c r="K335" s="18" t="s">
        <v>1344</v>
      </c>
      <c r="L335" s="51"/>
      <c r="M335" s="18"/>
      <c r="O335" s="58" t="str">
        <f t="shared" si="173"/>
        <v>5-0000</v>
      </c>
      <c r="P335" s="58" t="str">
        <f t="shared" si="174"/>
        <v>5-3000</v>
      </c>
      <c r="Q335" s="58" t="str">
        <f t="shared" si="175"/>
        <v>2-1200</v>
      </c>
      <c r="R335" s="58" t="str">
        <f t="shared" si="176"/>
        <v>5-3037</v>
      </c>
      <c r="S335" s="58" t="str">
        <f t="shared" si="177"/>
        <v>5-3037.01</v>
      </c>
      <c r="T335" s="58" t="str">
        <f t="shared" si="178"/>
        <v xml:space="preserve"> </v>
      </c>
      <c r="V335" s="72">
        <f t="shared" si="179"/>
        <v>65000000000325</v>
      </c>
      <c r="W335" s="60">
        <f t="shared" si="180"/>
        <v>65000000000186</v>
      </c>
      <c r="X335" s="60">
        <f t="shared" si="181"/>
        <v>65000000000251</v>
      </c>
      <c r="Y335" s="60">
        <f t="shared" si="182"/>
        <v>65000000000147</v>
      </c>
      <c r="Z335" s="60">
        <f t="shared" si="183"/>
        <v>65000000000324</v>
      </c>
      <c r="AA335" s="60">
        <f t="shared" si="166"/>
        <v>65000000000325</v>
      </c>
      <c r="AB335" s="60">
        <f t="shared" si="184"/>
        <v>65000000000000</v>
      </c>
      <c r="AD335" s="60">
        <f t="shared" si="187"/>
        <v>5</v>
      </c>
      <c r="AE335" s="60">
        <f t="shared" si="188"/>
        <v>4</v>
      </c>
      <c r="AF335" s="60">
        <f t="shared" si="189"/>
        <v>1</v>
      </c>
      <c r="AG335" s="60">
        <f t="shared" si="190"/>
        <v>78</v>
      </c>
      <c r="AH335" s="60">
        <f t="shared" si="191"/>
        <v>2</v>
      </c>
      <c r="AI335" s="60">
        <f t="shared" si="192"/>
        <v>1</v>
      </c>
      <c r="AK335" s="68" t="str">
        <f t="shared" si="167"/>
        <v>L5</v>
      </c>
      <c r="AM335" s="64" t="s">
        <v>1755</v>
      </c>
      <c r="AN335" s="64">
        <f t="shared" si="168"/>
        <v>65000000000186</v>
      </c>
      <c r="AO335" s="64">
        <f t="shared" si="169"/>
        <v>65000000000251</v>
      </c>
      <c r="AP335" s="64">
        <f t="shared" si="170"/>
        <v>65000000000251</v>
      </c>
      <c r="AQ335" s="64">
        <f t="shared" si="171"/>
        <v>65000000000324</v>
      </c>
      <c r="AS335" s="64">
        <f t="shared" si="172"/>
        <v>65000000000324</v>
      </c>
      <c r="AU335" s="59" t="str">
        <f t="shared" si="193"/>
        <v>PERFORM * FROM "SchData-OLTP-Accounting"."Func_TblChartOfAccount_SET"(varSystemLoginSession, null, null, null, varInstitutionBranchID, 62000000000001::bigint,'5-3037.01', 'Non Meal Entertaint-Unded. (IDR)', 62000000000001::bigint, '2016-01-01 00:00:00'::timestamp, null::timestamp, 65000000000324::bigint, 66000000000001::bigint);</v>
      </c>
      <c r="AV335" s="65">
        <f t="shared" si="194"/>
        <v>65000000000325</v>
      </c>
      <c r="AW335" s="65">
        <f t="shared" si="195"/>
        <v>65000000000324</v>
      </c>
      <c r="AY335" s="65">
        <f t="shared" si="185"/>
        <v>65000000000324</v>
      </c>
      <c r="BA335" s="78">
        <f t="shared" ref="BA335:BA398" si="196" xml:space="preserve"> BA334 + IF(EXACT(BB335, ""), 0, 1)</f>
        <v>65000000000325</v>
      </c>
      <c r="BB335" s="81" t="str">
        <f t="shared" si="186"/>
        <v>PERFORM * FROM "SchData-OLTP-Accounting"."Func_TblChartOfAccount_SET"(varSystemLoginSession, null, null, null, null, null, varInstitutionBranchID, 62000000000001::bigint,'5-3037.01', 'Non Meal Entertaint-Unded. (IDR)', 62000000000001::bigint, '2016-01-01 00:00:00'::timestamp, null::timestamp, 65000000000324::bigint, 66000000000001::bigint, FALSE::boolean);</v>
      </c>
    </row>
    <row r="336" spans="2:54" x14ac:dyDescent="0.2">
      <c r="B336" s="41"/>
      <c r="C336" s="42"/>
      <c r="D336" s="43"/>
      <c r="E336" s="42"/>
      <c r="F336" s="43"/>
      <c r="G336" s="42"/>
      <c r="H336" s="51" t="s">
        <v>962</v>
      </c>
      <c r="I336" s="18" t="s">
        <v>483</v>
      </c>
      <c r="J336" s="51"/>
      <c r="K336" s="18"/>
      <c r="L336" s="51"/>
      <c r="M336" s="18"/>
      <c r="O336" s="58" t="str">
        <f t="shared" si="173"/>
        <v>5-0000</v>
      </c>
      <c r="P336" s="58" t="str">
        <f t="shared" si="174"/>
        <v>5-3000</v>
      </c>
      <c r="Q336" s="58" t="str">
        <f t="shared" si="175"/>
        <v>2-1200</v>
      </c>
      <c r="R336" s="58" t="str">
        <f t="shared" si="176"/>
        <v>5-3038</v>
      </c>
      <c r="S336" s="58" t="str">
        <f t="shared" si="177"/>
        <v>5-3037.01</v>
      </c>
      <c r="T336" s="58" t="str">
        <f t="shared" si="178"/>
        <v xml:space="preserve"> </v>
      </c>
      <c r="V336" s="72">
        <f t="shared" si="179"/>
        <v>65000000000326</v>
      </c>
      <c r="W336" s="60">
        <f t="shared" si="180"/>
        <v>65000000000186</v>
      </c>
      <c r="X336" s="60">
        <f t="shared" si="181"/>
        <v>65000000000251</v>
      </c>
      <c r="Y336" s="60">
        <f t="shared" si="182"/>
        <v>65000000000147</v>
      </c>
      <c r="Z336" s="60">
        <f t="shared" si="183"/>
        <v>65000000000326</v>
      </c>
      <c r="AA336" s="60">
        <f t="shared" si="166"/>
        <v>65000000000325</v>
      </c>
      <c r="AB336" s="60">
        <f t="shared" si="184"/>
        <v>65000000000000</v>
      </c>
      <c r="AD336" s="60">
        <f t="shared" si="187"/>
        <v>5</v>
      </c>
      <c r="AE336" s="60">
        <f t="shared" si="188"/>
        <v>4</v>
      </c>
      <c r="AF336" s="60">
        <f t="shared" si="189"/>
        <v>1</v>
      </c>
      <c r="AG336" s="60">
        <f t="shared" si="190"/>
        <v>79</v>
      </c>
      <c r="AH336" s="60">
        <f t="shared" si="191"/>
        <v>1</v>
      </c>
      <c r="AI336" s="60">
        <f t="shared" si="192"/>
        <v>1</v>
      </c>
      <c r="AK336" s="68" t="str">
        <f t="shared" si="167"/>
        <v>L4</v>
      </c>
      <c r="AM336" s="64" t="s">
        <v>1755</v>
      </c>
      <c r="AN336" s="64">
        <f t="shared" si="168"/>
        <v>65000000000186</v>
      </c>
      <c r="AO336" s="64">
        <f t="shared" si="169"/>
        <v>65000000000251</v>
      </c>
      <c r="AP336" s="64">
        <f t="shared" si="170"/>
        <v>65000000000251</v>
      </c>
      <c r="AQ336" s="64">
        <f t="shared" si="171"/>
        <v>65000000000324</v>
      </c>
      <c r="AS336" s="64">
        <f t="shared" si="172"/>
        <v>65000000000251</v>
      </c>
      <c r="AU336" s="59" t="str">
        <f t="shared" si="193"/>
        <v>PERFORM * FROM "SchData-OLTP-Accounting"."Func_TblChartOfAccount_SET"(varSystemLoginSession, null, null, null, varInstitutionBranchID, 62000000000001::bigint,'5-3038', 'Donation', 62000000000001::bigint, '2016-01-01 00:00:00'::timestamp, null::timestamp, 65000000000251::bigint, 66000000000001::bigint);</v>
      </c>
      <c r="AV336" s="65">
        <f t="shared" si="194"/>
        <v>65000000000326</v>
      </c>
      <c r="AW336" s="65">
        <f t="shared" si="195"/>
        <v>65000000000251</v>
      </c>
      <c r="AY336" s="65">
        <f t="shared" si="185"/>
        <v>65000000000147</v>
      </c>
      <c r="BA336" s="78">
        <f t="shared" si="196"/>
        <v>65000000000326</v>
      </c>
      <c r="BB336" s="81" t="str">
        <f t="shared" si="186"/>
        <v>PERFORM * FROM "SchData-OLTP-Accounting"."Func_TblChartOfAccount_SET"(varSystemLoginSession, null, null, null, null, null, varInstitutionBranchID, 62000000000001::bigint,'5-3038', 'Donation', 62000000000001::bigint, '2016-01-01 00:00:00'::timestamp, null::timestamp, 65000000000251::bigint, 66000000000001::bigint, FALSE::boolean);</v>
      </c>
    </row>
    <row r="337" spans="2:54" x14ac:dyDescent="0.2">
      <c r="B337" s="41"/>
      <c r="C337" s="42"/>
      <c r="D337" s="43"/>
      <c r="E337" s="42"/>
      <c r="F337" s="43"/>
      <c r="G337" s="42"/>
      <c r="H337" s="51"/>
      <c r="I337" s="18"/>
      <c r="J337" s="51" t="s">
        <v>1513</v>
      </c>
      <c r="K337" s="18" t="s">
        <v>1345</v>
      </c>
      <c r="L337" s="51"/>
      <c r="M337" s="18"/>
      <c r="O337" s="58" t="str">
        <f t="shared" si="173"/>
        <v>5-0000</v>
      </c>
      <c r="P337" s="58" t="str">
        <f t="shared" si="174"/>
        <v>5-3000</v>
      </c>
      <c r="Q337" s="58" t="str">
        <f t="shared" si="175"/>
        <v>2-1200</v>
      </c>
      <c r="R337" s="58" t="str">
        <f t="shared" si="176"/>
        <v>5-3038</v>
      </c>
      <c r="S337" s="58" t="str">
        <f t="shared" si="177"/>
        <v>5-3038.01</v>
      </c>
      <c r="T337" s="58" t="str">
        <f t="shared" si="178"/>
        <v xml:space="preserve"> </v>
      </c>
      <c r="V337" s="72">
        <f t="shared" si="179"/>
        <v>65000000000327</v>
      </c>
      <c r="W337" s="60">
        <f t="shared" si="180"/>
        <v>65000000000186</v>
      </c>
      <c r="X337" s="60">
        <f t="shared" si="181"/>
        <v>65000000000251</v>
      </c>
      <c r="Y337" s="60">
        <f t="shared" si="182"/>
        <v>65000000000147</v>
      </c>
      <c r="Z337" s="60">
        <f t="shared" si="183"/>
        <v>65000000000326</v>
      </c>
      <c r="AA337" s="60">
        <f t="shared" si="166"/>
        <v>65000000000327</v>
      </c>
      <c r="AB337" s="60">
        <f t="shared" si="184"/>
        <v>65000000000000</v>
      </c>
      <c r="AD337" s="60">
        <f t="shared" si="187"/>
        <v>5</v>
      </c>
      <c r="AE337" s="60">
        <f t="shared" si="188"/>
        <v>4</v>
      </c>
      <c r="AF337" s="60">
        <f t="shared" si="189"/>
        <v>1</v>
      </c>
      <c r="AG337" s="60">
        <f t="shared" si="190"/>
        <v>79</v>
      </c>
      <c r="AH337" s="60">
        <f t="shared" si="191"/>
        <v>2</v>
      </c>
      <c r="AI337" s="60">
        <f t="shared" si="192"/>
        <v>1</v>
      </c>
      <c r="AK337" s="68" t="str">
        <f t="shared" si="167"/>
        <v>L5</v>
      </c>
      <c r="AM337" s="64" t="s">
        <v>1755</v>
      </c>
      <c r="AN337" s="64">
        <f t="shared" si="168"/>
        <v>65000000000186</v>
      </c>
      <c r="AO337" s="64">
        <f t="shared" si="169"/>
        <v>65000000000251</v>
      </c>
      <c r="AP337" s="64">
        <f t="shared" si="170"/>
        <v>65000000000251</v>
      </c>
      <c r="AQ337" s="64">
        <f t="shared" si="171"/>
        <v>65000000000326</v>
      </c>
      <c r="AS337" s="64">
        <f t="shared" si="172"/>
        <v>65000000000326</v>
      </c>
      <c r="AU337" s="59" t="str">
        <f t="shared" si="193"/>
        <v>PERFORM * FROM "SchData-OLTP-Accounting"."Func_TblChartOfAccount_SET"(varSystemLoginSession, null, null, null, varInstitutionBranchID, 62000000000001::bigint,'5-3038.01', 'Donation (IDR)', 62000000000001::bigint, '2016-01-01 00:00:00'::timestamp, null::timestamp, 65000000000326::bigint, 66000000000001::bigint);</v>
      </c>
      <c r="AV337" s="65">
        <f t="shared" si="194"/>
        <v>65000000000327</v>
      </c>
      <c r="AW337" s="65">
        <f t="shared" si="195"/>
        <v>65000000000326</v>
      </c>
      <c r="AY337" s="65">
        <f t="shared" si="185"/>
        <v>65000000000326</v>
      </c>
      <c r="BA337" s="78">
        <f t="shared" si="196"/>
        <v>65000000000327</v>
      </c>
      <c r="BB337" s="81" t="str">
        <f t="shared" si="186"/>
        <v>PERFORM * FROM "SchData-OLTP-Accounting"."Func_TblChartOfAccount_SET"(varSystemLoginSession, null, null, null, null, null, varInstitutionBranchID, 62000000000001::bigint,'5-3038.01', 'Donation (IDR)', 62000000000001::bigint, '2016-01-01 00:00:00'::timestamp, null::timestamp, 65000000000326::bigint, 66000000000001::bigint, FALSE::boolean);</v>
      </c>
    </row>
    <row r="338" spans="2:54" ht="25.5" x14ac:dyDescent="0.2">
      <c r="B338" s="41"/>
      <c r="C338" s="42"/>
      <c r="D338" s="43"/>
      <c r="E338" s="42"/>
      <c r="F338" s="43"/>
      <c r="G338" s="42"/>
      <c r="H338" s="51" t="s">
        <v>963</v>
      </c>
      <c r="I338" s="18" t="s">
        <v>485</v>
      </c>
      <c r="J338" s="51"/>
      <c r="K338" s="18"/>
      <c r="L338" s="51"/>
      <c r="M338" s="18"/>
      <c r="O338" s="58" t="str">
        <f t="shared" si="173"/>
        <v>5-0000</v>
      </c>
      <c r="P338" s="58" t="str">
        <f t="shared" si="174"/>
        <v>5-3000</v>
      </c>
      <c r="Q338" s="58" t="str">
        <f t="shared" si="175"/>
        <v>2-1200</v>
      </c>
      <c r="R338" s="58" t="str">
        <f t="shared" si="176"/>
        <v>5-3039</v>
      </c>
      <c r="S338" s="58" t="str">
        <f t="shared" si="177"/>
        <v>5-3038.01</v>
      </c>
      <c r="T338" s="58" t="str">
        <f t="shared" si="178"/>
        <v xml:space="preserve"> </v>
      </c>
      <c r="V338" s="72">
        <f t="shared" si="179"/>
        <v>65000000000328</v>
      </c>
      <c r="W338" s="60">
        <f t="shared" si="180"/>
        <v>65000000000186</v>
      </c>
      <c r="X338" s="60">
        <f t="shared" si="181"/>
        <v>65000000000251</v>
      </c>
      <c r="Y338" s="60">
        <f t="shared" si="182"/>
        <v>65000000000147</v>
      </c>
      <c r="Z338" s="60">
        <f t="shared" si="183"/>
        <v>65000000000328</v>
      </c>
      <c r="AA338" s="60">
        <f t="shared" si="166"/>
        <v>65000000000327</v>
      </c>
      <c r="AB338" s="60">
        <f t="shared" si="184"/>
        <v>65000000000000</v>
      </c>
      <c r="AD338" s="60">
        <f t="shared" si="187"/>
        <v>5</v>
      </c>
      <c r="AE338" s="60">
        <f t="shared" si="188"/>
        <v>4</v>
      </c>
      <c r="AF338" s="60">
        <f t="shared" si="189"/>
        <v>1</v>
      </c>
      <c r="AG338" s="60">
        <f t="shared" si="190"/>
        <v>80</v>
      </c>
      <c r="AH338" s="60">
        <f t="shared" si="191"/>
        <v>1</v>
      </c>
      <c r="AI338" s="60">
        <f t="shared" si="192"/>
        <v>1</v>
      </c>
      <c r="AK338" s="68" t="str">
        <f t="shared" si="167"/>
        <v>L4</v>
      </c>
      <c r="AM338" s="64" t="s">
        <v>1755</v>
      </c>
      <c r="AN338" s="64">
        <f t="shared" si="168"/>
        <v>65000000000186</v>
      </c>
      <c r="AO338" s="64">
        <f t="shared" si="169"/>
        <v>65000000000251</v>
      </c>
      <c r="AP338" s="64">
        <f t="shared" si="170"/>
        <v>65000000000251</v>
      </c>
      <c r="AQ338" s="64">
        <f t="shared" si="171"/>
        <v>65000000000326</v>
      </c>
      <c r="AS338" s="64">
        <f t="shared" si="172"/>
        <v>65000000000251</v>
      </c>
      <c r="AU338" s="59" t="str">
        <f t="shared" si="193"/>
        <v>PERFORM * FROM "SchData-OLTP-Accounting"."Func_TblChartOfAccount_SET"(varSystemLoginSession, null, null, null, varInstitutionBranchID, 62000000000001::bigint,'5-3039', 'Depre - Building Improvement', 62000000000001::bigint, '2016-01-01 00:00:00'::timestamp, null::timestamp, 65000000000251::bigint, 66000000000001::bigint);</v>
      </c>
      <c r="AV338" s="65">
        <f t="shared" si="194"/>
        <v>65000000000328</v>
      </c>
      <c r="AW338" s="65">
        <f t="shared" si="195"/>
        <v>65000000000251</v>
      </c>
      <c r="AY338" s="65">
        <f t="shared" si="185"/>
        <v>65000000000147</v>
      </c>
      <c r="BA338" s="78">
        <f t="shared" si="196"/>
        <v>65000000000328</v>
      </c>
      <c r="BB338" s="81" t="str">
        <f t="shared" si="186"/>
        <v>PERFORM * FROM "SchData-OLTP-Accounting"."Func_TblChartOfAccount_SET"(varSystemLoginSession, null, null, null, null, null, varInstitutionBranchID, 62000000000001::bigint,'5-3039', 'Depre - Building Improvement', 62000000000001::bigint, '2016-01-01 00:00:00'::timestamp, null::timestamp, 65000000000251::bigint, 66000000000001::bigint, FALSE::boolean);</v>
      </c>
    </row>
    <row r="339" spans="2:54" ht="25.5" x14ac:dyDescent="0.2">
      <c r="B339" s="41"/>
      <c r="C339" s="42"/>
      <c r="D339" s="43"/>
      <c r="E339" s="42"/>
      <c r="F339" s="43"/>
      <c r="G339" s="42"/>
      <c r="H339" s="51"/>
      <c r="I339" s="18"/>
      <c r="J339" s="51" t="s">
        <v>1514</v>
      </c>
      <c r="K339" s="18" t="s">
        <v>1346</v>
      </c>
      <c r="L339" s="51"/>
      <c r="M339" s="18"/>
      <c r="O339" s="58" t="str">
        <f t="shared" si="173"/>
        <v>5-0000</v>
      </c>
      <c r="P339" s="58" t="str">
        <f t="shared" si="174"/>
        <v>5-3000</v>
      </c>
      <c r="Q339" s="58" t="str">
        <f t="shared" si="175"/>
        <v>2-1200</v>
      </c>
      <c r="R339" s="58" t="str">
        <f t="shared" si="176"/>
        <v>5-3039</v>
      </c>
      <c r="S339" s="58" t="str">
        <f t="shared" si="177"/>
        <v>5-3039.01</v>
      </c>
      <c r="T339" s="58" t="str">
        <f t="shared" si="178"/>
        <v xml:space="preserve"> </v>
      </c>
      <c r="V339" s="72">
        <f t="shared" si="179"/>
        <v>65000000000329</v>
      </c>
      <c r="W339" s="60">
        <f t="shared" si="180"/>
        <v>65000000000186</v>
      </c>
      <c r="X339" s="60">
        <f t="shared" si="181"/>
        <v>65000000000251</v>
      </c>
      <c r="Y339" s="60">
        <f t="shared" si="182"/>
        <v>65000000000147</v>
      </c>
      <c r="Z339" s="60">
        <f t="shared" si="183"/>
        <v>65000000000328</v>
      </c>
      <c r="AA339" s="60">
        <f t="shared" si="166"/>
        <v>65000000000329</v>
      </c>
      <c r="AB339" s="60">
        <f t="shared" si="184"/>
        <v>65000000000000</v>
      </c>
      <c r="AD339" s="60">
        <f t="shared" si="187"/>
        <v>5</v>
      </c>
      <c r="AE339" s="60">
        <f t="shared" si="188"/>
        <v>4</v>
      </c>
      <c r="AF339" s="60">
        <f t="shared" si="189"/>
        <v>1</v>
      </c>
      <c r="AG339" s="60">
        <f t="shared" si="190"/>
        <v>80</v>
      </c>
      <c r="AH339" s="60">
        <f t="shared" si="191"/>
        <v>2</v>
      </c>
      <c r="AI339" s="60">
        <f t="shared" si="192"/>
        <v>1</v>
      </c>
      <c r="AK339" s="68" t="str">
        <f t="shared" si="167"/>
        <v>L5</v>
      </c>
      <c r="AM339" s="64" t="s">
        <v>1755</v>
      </c>
      <c r="AN339" s="64">
        <f t="shared" si="168"/>
        <v>65000000000186</v>
      </c>
      <c r="AO339" s="64">
        <f t="shared" si="169"/>
        <v>65000000000251</v>
      </c>
      <c r="AP339" s="64">
        <f t="shared" si="170"/>
        <v>65000000000251</v>
      </c>
      <c r="AQ339" s="64">
        <f t="shared" si="171"/>
        <v>65000000000328</v>
      </c>
      <c r="AS339" s="64">
        <f t="shared" si="172"/>
        <v>65000000000328</v>
      </c>
      <c r="AU339" s="59" t="str">
        <f t="shared" si="193"/>
        <v>PERFORM * FROM "SchData-OLTP-Accounting"."Func_TblChartOfAccount_SET"(varSystemLoginSession, null, null, null, varInstitutionBranchID, 62000000000001::bigint,'5-3039.01', 'Depre - Building Improvement (IDR)', 62000000000001::bigint, '2016-01-01 00:00:00'::timestamp, null::timestamp, 65000000000328::bigint, 66000000000001::bigint);</v>
      </c>
      <c r="AV339" s="65">
        <f t="shared" si="194"/>
        <v>65000000000329</v>
      </c>
      <c r="AW339" s="65">
        <f t="shared" si="195"/>
        <v>65000000000328</v>
      </c>
      <c r="AY339" s="65">
        <f t="shared" si="185"/>
        <v>65000000000328</v>
      </c>
      <c r="BA339" s="78">
        <f t="shared" si="196"/>
        <v>65000000000329</v>
      </c>
      <c r="BB339" s="81" t="str">
        <f t="shared" si="186"/>
        <v>PERFORM * FROM "SchData-OLTP-Accounting"."Func_TblChartOfAccount_SET"(varSystemLoginSession, null, null, null, null, null, varInstitutionBranchID, 62000000000001::bigint,'5-3039.01', 'Depre - Building Improvement (IDR)', 62000000000001::bigint, '2016-01-01 00:00:00'::timestamp, null::timestamp, 65000000000328::bigint, 66000000000001::bigint, FALSE::boolean);</v>
      </c>
    </row>
    <row r="340" spans="2:54" x14ac:dyDescent="0.2">
      <c r="B340" s="41"/>
      <c r="C340" s="42"/>
      <c r="D340" s="43"/>
      <c r="E340" s="42"/>
      <c r="F340" s="43"/>
      <c r="G340" s="42"/>
      <c r="H340" s="51" t="s">
        <v>415</v>
      </c>
      <c r="I340" s="18" t="s">
        <v>487</v>
      </c>
      <c r="J340" s="51"/>
      <c r="K340" s="18"/>
      <c r="L340" s="51"/>
      <c r="M340" s="18"/>
      <c r="O340" s="58" t="str">
        <f t="shared" si="173"/>
        <v>5-0000</v>
      </c>
      <c r="P340" s="58" t="str">
        <f t="shared" si="174"/>
        <v>5-3000</v>
      </c>
      <c r="Q340" s="58" t="str">
        <f t="shared" si="175"/>
        <v>2-1200</v>
      </c>
      <c r="R340" s="58" t="str">
        <f t="shared" si="176"/>
        <v>5-3040</v>
      </c>
      <c r="S340" s="58" t="str">
        <f t="shared" si="177"/>
        <v>5-3039.01</v>
      </c>
      <c r="T340" s="58" t="str">
        <f t="shared" si="178"/>
        <v xml:space="preserve"> </v>
      </c>
      <c r="V340" s="72">
        <f t="shared" si="179"/>
        <v>65000000000330</v>
      </c>
      <c r="W340" s="60">
        <f t="shared" si="180"/>
        <v>65000000000186</v>
      </c>
      <c r="X340" s="60">
        <f t="shared" si="181"/>
        <v>65000000000251</v>
      </c>
      <c r="Y340" s="60">
        <f t="shared" si="182"/>
        <v>65000000000147</v>
      </c>
      <c r="Z340" s="60">
        <f t="shared" si="183"/>
        <v>65000000000330</v>
      </c>
      <c r="AA340" s="60">
        <f t="shared" si="166"/>
        <v>65000000000329</v>
      </c>
      <c r="AB340" s="60">
        <f t="shared" si="184"/>
        <v>65000000000000</v>
      </c>
      <c r="AD340" s="60">
        <f t="shared" si="187"/>
        <v>5</v>
      </c>
      <c r="AE340" s="60">
        <f t="shared" si="188"/>
        <v>4</v>
      </c>
      <c r="AF340" s="60">
        <f t="shared" si="189"/>
        <v>1</v>
      </c>
      <c r="AG340" s="60">
        <f t="shared" si="190"/>
        <v>81</v>
      </c>
      <c r="AH340" s="60">
        <f t="shared" si="191"/>
        <v>1</v>
      </c>
      <c r="AI340" s="60">
        <f t="shared" si="192"/>
        <v>1</v>
      </c>
      <c r="AK340" s="68" t="str">
        <f t="shared" si="167"/>
        <v>L4</v>
      </c>
      <c r="AM340" s="64" t="s">
        <v>1755</v>
      </c>
      <c r="AN340" s="64">
        <f t="shared" si="168"/>
        <v>65000000000186</v>
      </c>
      <c r="AO340" s="64">
        <f t="shared" si="169"/>
        <v>65000000000251</v>
      </c>
      <c r="AP340" s="64">
        <f t="shared" si="170"/>
        <v>65000000000251</v>
      </c>
      <c r="AQ340" s="64">
        <f t="shared" si="171"/>
        <v>65000000000328</v>
      </c>
      <c r="AS340" s="64">
        <f t="shared" si="172"/>
        <v>65000000000251</v>
      </c>
      <c r="AU340" s="59" t="str">
        <f t="shared" si="193"/>
        <v>PERFORM * FROM "SchData-OLTP-Accounting"."Func_TblChartOfAccount_SET"(varSystemLoginSession, null, null, null, varInstitutionBranchID, 62000000000001::bigint,'5-3040', 'Depre - IT Equipment', 62000000000001::bigint, '2016-01-01 00:00:00'::timestamp, null::timestamp, 65000000000251::bigint, 66000000000001::bigint);</v>
      </c>
      <c r="AV340" s="65">
        <f t="shared" si="194"/>
        <v>65000000000330</v>
      </c>
      <c r="AW340" s="65">
        <f t="shared" si="195"/>
        <v>65000000000251</v>
      </c>
      <c r="AY340" s="65">
        <f t="shared" si="185"/>
        <v>65000000000147</v>
      </c>
      <c r="BA340" s="78">
        <f t="shared" si="196"/>
        <v>65000000000330</v>
      </c>
      <c r="BB340" s="81" t="str">
        <f t="shared" si="186"/>
        <v>PERFORM * FROM "SchData-OLTP-Accounting"."Func_TblChartOfAccount_SET"(varSystemLoginSession, null, null, null, null, null, varInstitutionBranchID, 62000000000001::bigint,'5-3040', 'Depre - IT Equipment', 62000000000001::bigint, '2016-01-01 00:00:00'::timestamp, null::timestamp, 65000000000251::bigint, 66000000000001::bigint, FALSE::boolean);</v>
      </c>
    </row>
    <row r="341" spans="2:54" x14ac:dyDescent="0.2">
      <c r="B341" s="41"/>
      <c r="C341" s="42"/>
      <c r="D341" s="43"/>
      <c r="E341" s="42"/>
      <c r="F341" s="43"/>
      <c r="G341" s="42"/>
      <c r="H341" s="51"/>
      <c r="I341" s="18"/>
      <c r="J341" s="51" t="s">
        <v>1515</v>
      </c>
      <c r="K341" s="18" t="s">
        <v>1347</v>
      </c>
      <c r="L341" s="51"/>
      <c r="M341" s="18"/>
      <c r="O341" s="58" t="str">
        <f t="shared" si="173"/>
        <v>5-0000</v>
      </c>
      <c r="P341" s="58" t="str">
        <f t="shared" si="174"/>
        <v>5-3000</v>
      </c>
      <c r="Q341" s="58" t="str">
        <f t="shared" si="175"/>
        <v>2-1200</v>
      </c>
      <c r="R341" s="58" t="str">
        <f t="shared" si="176"/>
        <v>5-3040</v>
      </c>
      <c r="S341" s="58" t="str">
        <f t="shared" si="177"/>
        <v>5-3040.01</v>
      </c>
      <c r="T341" s="58" t="str">
        <f t="shared" si="178"/>
        <v xml:space="preserve"> </v>
      </c>
      <c r="V341" s="72">
        <f t="shared" si="179"/>
        <v>65000000000331</v>
      </c>
      <c r="W341" s="60">
        <f t="shared" si="180"/>
        <v>65000000000186</v>
      </c>
      <c r="X341" s="60">
        <f t="shared" si="181"/>
        <v>65000000000251</v>
      </c>
      <c r="Y341" s="60">
        <f t="shared" si="182"/>
        <v>65000000000147</v>
      </c>
      <c r="Z341" s="60">
        <f t="shared" si="183"/>
        <v>65000000000330</v>
      </c>
      <c r="AA341" s="60">
        <f t="shared" si="166"/>
        <v>65000000000331</v>
      </c>
      <c r="AB341" s="60">
        <f t="shared" si="184"/>
        <v>65000000000000</v>
      </c>
      <c r="AD341" s="60">
        <f t="shared" si="187"/>
        <v>5</v>
      </c>
      <c r="AE341" s="60">
        <f t="shared" si="188"/>
        <v>4</v>
      </c>
      <c r="AF341" s="60">
        <f t="shared" si="189"/>
        <v>1</v>
      </c>
      <c r="AG341" s="60">
        <f t="shared" si="190"/>
        <v>81</v>
      </c>
      <c r="AH341" s="60">
        <f t="shared" si="191"/>
        <v>2</v>
      </c>
      <c r="AI341" s="60">
        <f t="shared" si="192"/>
        <v>1</v>
      </c>
      <c r="AK341" s="68" t="str">
        <f t="shared" si="167"/>
        <v>L5</v>
      </c>
      <c r="AM341" s="64" t="s">
        <v>1755</v>
      </c>
      <c r="AN341" s="64">
        <f t="shared" si="168"/>
        <v>65000000000186</v>
      </c>
      <c r="AO341" s="64">
        <f t="shared" si="169"/>
        <v>65000000000251</v>
      </c>
      <c r="AP341" s="64">
        <f t="shared" si="170"/>
        <v>65000000000251</v>
      </c>
      <c r="AQ341" s="64">
        <f t="shared" si="171"/>
        <v>65000000000330</v>
      </c>
      <c r="AS341" s="64">
        <f t="shared" si="172"/>
        <v>65000000000330</v>
      </c>
      <c r="AU341" s="59" t="str">
        <f t="shared" si="193"/>
        <v>PERFORM * FROM "SchData-OLTP-Accounting"."Func_TblChartOfAccount_SET"(varSystemLoginSession, null, null, null, varInstitutionBranchID, 62000000000001::bigint,'5-3040.01', 'Depre - IT Equipment (IDR)', 62000000000001::bigint, '2016-01-01 00:00:00'::timestamp, null::timestamp, 65000000000330::bigint, 66000000000001::bigint);</v>
      </c>
      <c r="AV341" s="65">
        <f t="shared" si="194"/>
        <v>65000000000331</v>
      </c>
      <c r="AW341" s="65">
        <f t="shared" si="195"/>
        <v>65000000000330</v>
      </c>
      <c r="AY341" s="65">
        <f t="shared" si="185"/>
        <v>65000000000330</v>
      </c>
      <c r="BA341" s="78">
        <f t="shared" si="196"/>
        <v>65000000000331</v>
      </c>
      <c r="BB341" s="81" t="str">
        <f t="shared" si="186"/>
        <v>PERFORM * FROM "SchData-OLTP-Accounting"."Func_TblChartOfAccount_SET"(varSystemLoginSession, null, null, null, null, null, varInstitutionBranchID, 62000000000001::bigint,'5-3040.01', 'Depre - IT Equipment (IDR)', 62000000000001::bigint, '2016-01-01 00:00:00'::timestamp, null::timestamp, 65000000000330::bigint, 66000000000001::bigint, FALSE::boolean);</v>
      </c>
    </row>
    <row r="342" spans="2:54" ht="25.5" x14ac:dyDescent="0.2">
      <c r="B342" s="41"/>
      <c r="C342" s="42"/>
      <c r="D342" s="43"/>
      <c r="E342" s="42"/>
      <c r="F342" s="43"/>
      <c r="G342" s="42"/>
      <c r="H342" s="51" t="s">
        <v>964</v>
      </c>
      <c r="I342" s="18" t="s">
        <v>489</v>
      </c>
      <c r="J342" s="51"/>
      <c r="K342" s="18"/>
      <c r="L342" s="51"/>
      <c r="M342" s="18"/>
      <c r="O342" s="58" t="str">
        <f t="shared" si="173"/>
        <v>5-0000</v>
      </c>
      <c r="P342" s="58" t="str">
        <f t="shared" si="174"/>
        <v>5-3000</v>
      </c>
      <c r="Q342" s="58" t="str">
        <f t="shared" si="175"/>
        <v>2-1200</v>
      </c>
      <c r="R342" s="58" t="str">
        <f t="shared" si="176"/>
        <v>5-3041</v>
      </c>
      <c r="S342" s="58" t="str">
        <f t="shared" si="177"/>
        <v>5-3040.01</v>
      </c>
      <c r="T342" s="58" t="str">
        <f t="shared" si="178"/>
        <v xml:space="preserve"> </v>
      </c>
      <c r="V342" s="72">
        <f t="shared" si="179"/>
        <v>65000000000332</v>
      </c>
      <c r="W342" s="60">
        <f t="shared" si="180"/>
        <v>65000000000186</v>
      </c>
      <c r="X342" s="60">
        <f t="shared" si="181"/>
        <v>65000000000251</v>
      </c>
      <c r="Y342" s="60">
        <f t="shared" si="182"/>
        <v>65000000000147</v>
      </c>
      <c r="Z342" s="60">
        <f t="shared" si="183"/>
        <v>65000000000332</v>
      </c>
      <c r="AA342" s="60">
        <f t="shared" si="166"/>
        <v>65000000000331</v>
      </c>
      <c r="AB342" s="60">
        <f t="shared" si="184"/>
        <v>65000000000000</v>
      </c>
      <c r="AD342" s="60">
        <f t="shared" si="187"/>
        <v>5</v>
      </c>
      <c r="AE342" s="60">
        <f t="shared" si="188"/>
        <v>4</v>
      </c>
      <c r="AF342" s="60">
        <f t="shared" si="189"/>
        <v>1</v>
      </c>
      <c r="AG342" s="60">
        <f t="shared" si="190"/>
        <v>82</v>
      </c>
      <c r="AH342" s="60">
        <f t="shared" si="191"/>
        <v>1</v>
      </c>
      <c r="AI342" s="60">
        <f t="shared" si="192"/>
        <v>1</v>
      </c>
      <c r="AK342" s="68" t="str">
        <f t="shared" si="167"/>
        <v>L4</v>
      </c>
      <c r="AM342" s="64" t="s">
        <v>1755</v>
      </c>
      <c r="AN342" s="64">
        <f t="shared" si="168"/>
        <v>65000000000186</v>
      </c>
      <c r="AO342" s="64">
        <f t="shared" si="169"/>
        <v>65000000000251</v>
      </c>
      <c r="AP342" s="64">
        <f t="shared" si="170"/>
        <v>65000000000251</v>
      </c>
      <c r="AQ342" s="64">
        <f t="shared" si="171"/>
        <v>65000000000330</v>
      </c>
      <c r="AS342" s="64">
        <f t="shared" si="172"/>
        <v>65000000000251</v>
      </c>
      <c r="AU342" s="59" t="str">
        <f t="shared" si="193"/>
        <v>PERFORM * FROM "SchData-OLTP-Accounting"."Func_TblChartOfAccount_SET"(varSystemLoginSession, null, null, null, varInstitutionBranchID, 62000000000001::bigint,'5-3041', 'Depre - Office Machine &amp; Equip', 62000000000001::bigint, '2016-01-01 00:00:00'::timestamp, null::timestamp, 65000000000251::bigint, 66000000000001::bigint);</v>
      </c>
      <c r="AV342" s="65">
        <f t="shared" si="194"/>
        <v>65000000000332</v>
      </c>
      <c r="AW342" s="65">
        <f t="shared" si="195"/>
        <v>65000000000251</v>
      </c>
      <c r="AY342" s="65">
        <f t="shared" si="185"/>
        <v>65000000000147</v>
      </c>
      <c r="BA342" s="78">
        <f t="shared" si="196"/>
        <v>65000000000332</v>
      </c>
      <c r="BB342" s="81" t="str">
        <f t="shared" si="186"/>
        <v>PERFORM * FROM "SchData-OLTP-Accounting"."Func_TblChartOfAccount_SET"(varSystemLoginSession, null, null, null, null, null, varInstitutionBranchID, 62000000000001::bigint,'5-3041', 'Depre - Office Machine &amp; Equip', 62000000000001::bigint, '2016-01-01 00:00:00'::timestamp, null::timestamp, 65000000000251::bigint, 66000000000001::bigint, FALSE::boolean);</v>
      </c>
    </row>
    <row r="343" spans="2:54" ht="25.5" x14ac:dyDescent="0.2">
      <c r="B343" s="41"/>
      <c r="C343" s="42"/>
      <c r="D343" s="43"/>
      <c r="E343" s="42"/>
      <c r="F343" s="43"/>
      <c r="G343" s="42"/>
      <c r="H343" s="51"/>
      <c r="I343" s="18"/>
      <c r="J343" s="51" t="s">
        <v>1516</v>
      </c>
      <c r="K343" s="18" t="s">
        <v>1348</v>
      </c>
      <c r="L343" s="51"/>
      <c r="M343" s="18"/>
      <c r="O343" s="58" t="str">
        <f t="shared" si="173"/>
        <v>5-0000</v>
      </c>
      <c r="P343" s="58" t="str">
        <f t="shared" si="174"/>
        <v>5-3000</v>
      </c>
      <c r="Q343" s="58" t="str">
        <f t="shared" si="175"/>
        <v>2-1200</v>
      </c>
      <c r="R343" s="58" t="str">
        <f t="shared" si="176"/>
        <v>5-3041</v>
      </c>
      <c r="S343" s="58" t="str">
        <f t="shared" si="177"/>
        <v>5-3041.01</v>
      </c>
      <c r="T343" s="58" t="str">
        <f t="shared" si="178"/>
        <v xml:space="preserve"> </v>
      </c>
      <c r="V343" s="72">
        <f t="shared" si="179"/>
        <v>65000000000333</v>
      </c>
      <c r="W343" s="60">
        <f t="shared" si="180"/>
        <v>65000000000186</v>
      </c>
      <c r="X343" s="60">
        <f t="shared" si="181"/>
        <v>65000000000251</v>
      </c>
      <c r="Y343" s="60">
        <f t="shared" si="182"/>
        <v>65000000000147</v>
      </c>
      <c r="Z343" s="60">
        <f t="shared" si="183"/>
        <v>65000000000332</v>
      </c>
      <c r="AA343" s="60">
        <f t="shared" si="166"/>
        <v>65000000000333</v>
      </c>
      <c r="AB343" s="60">
        <f t="shared" si="184"/>
        <v>65000000000000</v>
      </c>
      <c r="AD343" s="60">
        <f t="shared" si="187"/>
        <v>5</v>
      </c>
      <c r="AE343" s="60">
        <f t="shared" si="188"/>
        <v>4</v>
      </c>
      <c r="AF343" s="60">
        <f t="shared" si="189"/>
        <v>1</v>
      </c>
      <c r="AG343" s="60">
        <f t="shared" si="190"/>
        <v>82</v>
      </c>
      <c r="AH343" s="60">
        <f t="shared" si="191"/>
        <v>2</v>
      </c>
      <c r="AI343" s="60">
        <f t="shared" si="192"/>
        <v>1</v>
      </c>
      <c r="AK343" s="68" t="str">
        <f t="shared" si="167"/>
        <v>L5</v>
      </c>
      <c r="AM343" s="64" t="s">
        <v>1755</v>
      </c>
      <c r="AN343" s="64">
        <f t="shared" si="168"/>
        <v>65000000000186</v>
      </c>
      <c r="AO343" s="64">
        <f t="shared" si="169"/>
        <v>65000000000251</v>
      </c>
      <c r="AP343" s="64">
        <f t="shared" si="170"/>
        <v>65000000000251</v>
      </c>
      <c r="AQ343" s="64">
        <f t="shared" si="171"/>
        <v>65000000000332</v>
      </c>
      <c r="AS343" s="64">
        <f t="shared" si="172"/>
        <v>65000000000332</v>
      </c>
      <c r="AU343" s="59" t="str">
        <f t="shared" si="193"/>
        <v>PERFORM * FROM "SchData-OLTP-Accounting"."Func_TblChartOfAccount_SET"(varSystemLoginSession, null, null, null, varInstitutionBranchID, 62000000000001::bigint,'5-3041.01', 'Depre - Office Machine &amp; Equip (IDR)', 62000000000001::bigint, '2016-01-01 00:00:00'::timestamp, null::timestamp, 65000000000332::bigint, 66000000000001::bigint);</v>
      </c>
      <c r="AV343" s="65">
        <f t="shared" si="194"/>
        <v>65000000000333</v>
      </c>
      <c r="AW343" s="65">
        <f t="shared" si="195"/>
        <v>65000000000332</v>
      </c>
      <c r="AY343" s="65">
        <f t="shared" si="185"/>
        <v>65000000000332</v>
      </c>
      <c r="BA343" s="78">
        <f t="shared" si="196"/>
        <v>65000000000333</v>
      </c>
      <c r="BB343" s="81" t="str">
        <f t="shared" si="186"/>
        <v>PERFORM * FROM "SchData-OLTP-Accounting"."Func_TblChartOfAccount_SET"(varSystemLoginSession, null, null, null, null, null, varInstitutionBranchID, 62000000000001::bigint,'5-3041.01', 'Depre - Office Machine &amp; Equip (IDR)', 62000000000001::bigint, '2016-01-01 00:00:00'::timestamp, null::timestamp, 65000000000332::bigint, 66000000000001::bigint, FALSE::boolean);</v>
      </c>
    </row>
    <row r="344" spans="2:54" ht="25.5" x14ac:dyDescent="0.2">
      <c r="B344" s="41"/>
      <c r="C344" s="42"/>
      <c r="D344" s="43"/>
      <c r="E344" s="42"/>
      <c r="F344" s="43"/>
      <c r="G344" s="42"/>
      <c r="H344" s="51" t="s">
        <v>965</v>
      </c>
      <c r="I344" s="18" t="s">
        <v>491</v>
      </c>
      <c r="J344" s="51"/>
      <c r="K344" s="18"/>
      <c r="L344" s="51"/>
      <c r="M344" s="18"/>
      <c r="O344" s="58" t="str">
        <f t="shared" si="173"/>
        <v>5-0000</v>
      </c>
      <c r="P344" s="58" t="str">
        <f t="shared" si="174"/>
        <v>5-3000</v>
      </c>
      <c r="Q344" s="58" t="str">
        <f t="shared" si="175"/>
        <v>2-1200</v>
      </c>
      <c r="R344" s="58" t="str">
        <f t="shared" si="176"/>
        <v>5-3042</v>
      </c>
      <c r="S344" s="58" t="str">
        <f t="shared" si="177"/>
        <v>5-3041.01</v>
      </c>
      <c r="T344" s="58" t="str">
        <f t="shared" si="178"/>
        <v xml:space="preserve"> </v>
      </c>
      <c r="V344" s="72">
        <f t="shared" si="179"/>
        <v>65000000000334</v>
      </c>
      <c r="W344" s="60">
        <f t="shared" si="180"/>
        <v>65000000000186</v>
      </c>
      <c r="X344" s="60">
        <f t="shared" si="181"/>
        <v>65000000000251</v>
      </c>
      <c r="Y344" s="60">
        <f t="shared" si="182"/>
        <v>65000000000147</v>
      </c>
      <c r="Z344" s="60">
        <f t="shared" si="183"/>
        <v>65000000000334</v>
      </c>
      <c r="AA344" s="60">
        <f t="shared" si="166"/>
        <v>65000000000333</v>
      </c>
      <c r="AB344" s="60">
        <f t="shared" si="184"/>
        <v>65000000000000</v>
      </c>
      <c r="AD344" s="60">
        <f t="shared" si="187"/>
        <v>5</v>
      </c>
      <c r="AE344" s="60">
        <f t="shared" si="188"/>
        <v>4</v>
      </c>
      <c r="AF344" s="60">
        <f t="shared" si="189"/>
        <v>1</v>
      </c>
      <c r="AG344" s="60">
        <f t="shared" si="190"/>
        <v>83</v>
      </c>
      <c r="AH344" s="60">
        <f t="shared" si="191"/>
        <v>1</v>
      </c>
      <c r="AI344" s="60">
        <f t="shared" si="192"/>
        <v>1</v>
      </c>
      <c r="AK344" s="68" t="str">
        <f t="shared" si="167"/>
        <v>L4</v>
      </c>
      <c r="AM344" s="64" t="s">
        <v>1755</v>
      </c>
      <c r="AN344" s="64">
        <f t="shared" si="168"/>
        <v>65000000000186</v>
      </c>
      <c r="AO344" s="64">
        <f t="shared" si="169"/>
        <v>65000000000251</v>
      </c>
      <c r="AP344" s="64">
        <f t="shared" si="170"/>
        <v>65000000000251</v>
      </c>
      <c r="AQ344" s="64">
        <f t="shared" si="171"/>
        <v>65000000000332</v>
      </c>
      <c r="AS344" s="64">
        <f t="shared" si="172"/>
        <v>65000000000251</v>
      </c>
      <c r="AU344" s="59" t="str">
        <f t="shared" si="193"/>
        <v>PERFORM * FROM "SchData-OLTP-Accounting"."Func_TblChartOfAccount_SET"(varSystemLoginSession, null, null, null, varInstitutionBranchID, 62000000000001::bigint,'5-3042', 'Depre - Sundry Plant &amp; Equipt', 62000000000001::bigint, '2016-01-01 00:00:00'::timestamp, null::timestamp, 65000000000251::bigint, 66000000000001::bigint);</v>
      </c>
      <c r="AV344" s="65">
        <f t="shared" si="194"/>
        <v>65000000000334</v>
      </c>
      <c r="AW344" s="65">
        <f t="shared" si="195"/>
        <v>65000000000251</v>
      </c>
      <c r="AY344" s="65">
        <f t="shared" si="185"/>
        <v>65000000000147</v>
      </c>
      <c r="BA344" s="78">
        <f t="shared" si="196"/>
        <v>65000000000334</v>
      </c>
      <c r="BB344" s="81" t="str">
        <f t="shared" si="186"/>
        <v>PERFORM * FROM "SchData-OLTP-Accounting"."Func_TblChartOfAccount_SET"(varSystemLoginSession, null, null, null, null, null, varInstitutionBranchID, 62000000000001::bigint,'5-3042', 'Depre - Sundry Plant &amp; Equipt', 62000000000001::bigint, '2016-01-01 00:00:00'::timestamp, null::timestamp, 65000000000251::bigint, 66000000000001::bigint, FALSE::boolean);</v>
      </c>
    </row>
    <row r="345" spans="2:54" ht="25.5" x14ac:dyDescent="0.2">
      <c r="B345" s="41"/>
      <c r="C345" s="42"/>
      <c r="D345" s="43"/>
      <c r="E345" s="42"/>
      <c r="F345" s="43"/>
      <c r="G345" s="42"/>
      <c r="H345" s="51"/>
      <c r="I345" s="18"/>
      <c r="J345" s="51" t="s">
        <v>1517</v>
      </c>
      <c r="K345" s="18" t="s">
        <v>1349</v>
      </c>
      <c r="L345" s="51"/>
      <c r="M345" s="18"/>
      <c r="O345" s="58" t="str">
        <f t="shared" si="173"/>
        <v>5-0000</v>
      </c>
      <c r="P345" s="58" t="str">
        <f t="shared" si="174"/>
        <v>5-3000</v>
      </c>
      <c r="Q345" s="58" t="str">
        <f t="shared" si="175"/>
        <v>2-1200</v>
      </c>
      <c r="R345" s="58" t="str">
        <f t="shared" si="176"/>
        <v>5-3042</v>
      </c>
      <c r="S345" s="58" t="str">
        <f t="shared" si="177"/>
        <v>5-3042.01</v>
      </c>
      <c r="T345" s="58" t="str">
        <f t="shared" si="178"/>
        <v xml:space="preserve"> </v>
      </c>
      <c r="V345" s="72">
        <f t="shared" si="179"/>
        <v>65000000000335</v>
      </c>
      <c r="W345" s="60">
        <f t="shared" si="180"/>
        <v>65000000000186</v>
      </c>
      <c r="X345" s="60">
        <f t="shared" si="181"/>
        <v>65000000000251</v>
      </c>
      <c r="Y345" s="60">
        <f t="shared" si="182"/>
        <v>65000000000147</v>
      </c>
      <c r="Z345" s="60">
        <f t="shared" si="183"/>
        <v>65000000000334</v>
      </c>
      <c r="AA345" s="60">
        <f t="shared" si="166"/>
        <v>65000000000335</v>
      </c>
      <c r="AB345" s="60">
        <f t="shared" si="184"/>
        <v>65000000000000</v>
      </c>
      <c r="AD345" s="60">
        <f t="shared" si="187"/>
        <v>5</v>
      </c>
      <c r="AE345" s="60">
        <f t="shared" si="188"/>
        <v>4</v>
      </c>
      <c r="AF345" s="60">
        <f t="shared" si="189"/>
        <v>1</v>
      </c>
      <c r="AG345" s="60">
        <f t="shared" si="190"/>
        <v>83</v>
      </c>
      <c r="AH345" s="60">
        <f t="shared" si="191"/>
        <v>2</v>
      </c>
      <c r="AI345" s="60">
        <f t="shared" si="192"/>
        <v>1</v>
      </c>
      <c r="AK345" s="68" t="str">
        <f t="shared" si="167"/>
        <v>L5</v>
      </c>
      <c r="AM345" s="64" t="s">
        <v>1755</v>
      </c>
      <c r="AN345" s="64">
        <f t="shared" si="168"/>
        <v>65000000000186</v>
      </c>
      <c r="AO345" s="64">
        <f t="shared" si="169"/>
        <v>65000000000251</v>
      </c>
      <c r="AP345" s="64">
        <f t="shared" si="170"/>
        <v>65000000000251</v>
      </c>
      <c r="AQ345" s="64">
        <f t="shared" si="171"/>
        <v>65000000000334</v>
      </c>
      <c r="AS345" s="64">
        <f t="shared" si="172"/>
        <v>65000000000334</v>
      </c>
      <c r="AU345" s="59" t="str">
        <f t="shared" si="193"/>
        <v>PERFORM * FROM "SchData-OLTP-Accounting"."Func_TblChartOfAccount_SET"(varSystemLoginSession, null, null, null, varInstitutionBranchID, 62000000000001::bigint,'5-3042.01', 'Depre - Sundry Plant &amp; Equipt (IDR)', 62000000000001::bigint, '2016-01-01 00:00:00'::timestamp, null::timestamp, 65000000000334::bigint, 66000000000001::bigint);</v>
      </c>
      <c r="AV345" s="65">
        <f t="shared" si="194"/>
        <v>65000000000335</v>
      </c>
      <c r="AW345" s="65">
        <f t="shared" si="195"/>
        <v>65000000000334</v>
      </c>
      <c r="AY345" s="65">
        <f t="shared" si="185"/>
        <v>65000000000334</v>
      </c>
      <c r="BA345" s="78">
        <f t="shared" si="196"/>
        <v>65000000000335</v>
      </c>
      <c r="BB345" s="81" t="str">
        <f t="shared" si="186"/>
        <v>PERFORM * FROM "SchData-OLTP-Accounting"."Func_TblChartOfAccount_SET"(varSystemLoginSession, null, null, null, null, null, varInstitutionBranchID, 62000000000001::bigint,'5-3042.01', 'Depre - Sundry Plant &amp; Equipt (IDR)', 62000000000001::bigint, '2016-01-01 00:00:00'::timestamp, null::timestamp, 65000000000334::bigint, 66000000000001::bigint, FALSE::boolean);</v>
      </c>
    </row>
    <row r="346" spans="2:54" x14ac:dyDescent="0.2">
      <c r="B346" s="41"/>
      <c r="C346" s="42"/>
      <c r="D346" s="43"/>
      <c r="E346" s="42"/>
      <c r="F346" s="43"/>
      <c r="G346" s="42"/>
      <c r="H346" s="51" t="s">
        <v>966</v>
      </c>
      <c r="I346" s="18" t="s">
        <v>493</v>
      </c>
      <c r="J346" s="51"/>
      <c r="K346" s="18"/>
      <c r="L346" s="51"/>
      <c r="M346" s="18"/>
      <c r="O346" s="58" t="str">
        <f t="shared" si="173"/>
        <v>5-0000</v>
      </c>
      <c r="P346" s="58" t="str">
        <f t="shared" si="174"/>
        <v>5-3000</v>
      </c>
      <c r="Q346" s="58" t="str">
        <f t="shared" si="175"/>
        <v>2-1200</v>
      </c>
      <c r="R346" s="58" t="str">
        <f t="shared" si="176"/>
        <v>5-3043</v>
      </c>
      <c r="S346" s="58" t="str">
        <f t="shared" si="177"/>
        <v>5-3042.01</v>
      </c>
      <c r="T346" s="58" t="str">
        <f t="shared" si="178"/>
        <v xml:space="preserve"> </v>
      </c>
      <c r="V346" s="72">
        <f t="shared" si="179"/>
        <v>65000000000336</v>
      </c>
      <c r="W346" s="60">
        <f t="shared" si="180"/>
        <v>65000000000186</v>
      </c>
      <c r="X346" s="60">
        <f t="shared" si="181"/>
        <v>65000000000251</v>
      </c>
      <c r="Y346" s="60">
        <f t="shared" si="182"/>
        <v>65000000000147</v>
      </c>
      <c r="Z346" s="60">
        <f t="shared" si="183"/>
        <v>65000000000336</v>
      </c>
      <c r="AA346" s="60">
        <f t="shared" si="166"/>
        <v>65000000000335</v>
      </c>
      <c r="AB346" s="60">
        <f t="shared" si="184"/>
        <v>65000000000000</v>
      </c>
      <c r="AD346" s="60">
        <f t="shared" si="187"/>
        <v>5</v>
      </c>
      <c r="AE346" s="60">
        <f t="shared" si="188"/>
        <v>4</v>
      </c>
      <c r="AF346" s="60">
        <f t="shared" si="189"/>
        <v>1</v>
      </c>
      <c r="AG346" s="60">
        <f t="shared" si="190"/>
        <v>84</v>
      </c>
      <c r="AH346" s="60">
        <f t="shared" si="191"/>
        <v>1</v>
      </c>
      <c r="AI346" s="60">
        <f t="shared" si="192"/>
        <v>1</v>
      </c>
      <c r="AK346" s="68" t="str">
        <f t="shared" si="167"/>
        <v>L4</v>
      </c>
      <c r="AM346" s="64" t="s">
        <v>1755</v>
      </c>
      <c r="AN346" s="64">
        <f t="shared" si="168"/>
        <v>65000000000186</v>
      </c>
      <c r="AO346" s="64">
        <f t="shared" si="169"/>
        <v>65000000000251</v>
      </c>
      <c r="AP346" s="64">
        <f t="shared" si="170"/>
        <v>65000000000251</v>
      </c>
      <c r="AQ346" s="64">
        <f t="shared" si="171"/>
        <v>65000000000334</v>
      </c>
      <c r="AS346" s="64">
        <f t="shared" si="172"/>
        <v>65000000000251</v>
      </c>
      <c r="AU346" s="59" t="str">
        <f t="shared" si="193"/>
        <v>PERFORM * FROM "SchData-OLTP-Accounting"."Func_TblChartOfAccount_SET"(varSystemLoginSession, null, null, null, varInstitutionBranchID, 62000000000001::bigint,'5-3043', 'Depre - Test Equipment', 62000000000001::bigint, '2016-01-01 00:00:00'::timestamp, null::timestamp, 65000000000251::bigint, 66000000000001::bigint);</v>
      </c>
      <c r="AV346" s="65">
        <f t="shared" si="194"/>
        <v>65000000000336</v>
      </c>
      <c r="AW346" s="65">
        <f t="shared" si="195"/>
        <v>65000000000251</v>
      </c>
      <c r="AY346" s="65">
        <f t="shared" si="185"/>
        <v>65000000000147</v>
      </c>
      <c r="BA346" s="78">
        <f t="shared" si="196"/>
        <v>65000000000336</v>
      </c>
      <c r="BB346" s="81" t="str">
        <f t="shared" si="186"/>
        <v>PERFORM * FROM "SchData-OLTP-Accounting"."Func_TblChartOfAccount_SET"(varSystemLoginSession, null, null, null, null, null, varInstitutionBranchID, 62000000000001::bigint,'5-3043', 'Depre - Test Equipment', 62000000000001::bigint, '2016-01-01 00:00:00'::timestamp, null::timestamp, 65000000000251::bigint, 66000000000001::bigint, FALSE::boolean);</v>
      </c>
    </row>
    <row r="347" spans="2:54" x14ac:dyDescent="0.2">
      <c r="B347" s="41"/>
      <c r="C347" s="42"/>
      <c r="D347" s="43"/>
      <c r="E347" s="42"/>
      <c r="F347" s="43"/>
      <c r="G347" s="42"/>
      <c r="H347" s="51"/>
      <c r="I347" s="18"/>
      <c r="J347" s="51" t="s">
        <v>1518</v>
      </c>
      <c r="K347" s="18" t="s">
        <v>1350</v>
      </c>
      <c r="L347" s="51"/>
      <c r="M347" s="18"/>
      <c r="O347" s="58" t="str">
        <f t="shared" si="173"/>
        <v>5-0000</v>
      </c>
      <c r="P347" s="58" t="str">
        <f t="shared" si="174"/>
        <v>5-3000</v>
      </c>
      <c r="Q347" s="58" t="str">
        <f t="shared" si="175"/>
        <v>2-1200</v>
      </c>
      <c r="R347" s="58" t="str">
        <f t="shared" si="176"/>
        <v>5-3043</v>
      </c>
      <c r="S347" s="58" t="str">
        <f t="shared" si="177"/>
        <v>5-3043.01</v>
      </c>
      <c r="T347" s="58" t="str">
        <f t="shared" si="178"/>
        <v xml:space="preserve"> </v>
      </c>
      <c r="V347" s="72">
        <f t="shared" si="179"/>
        <v>65000000000337</v>
      </c>
      <c r="W347" s="60">
        <f t="shared" si="180"/>
        <v>65000000000186</v>
      </c>
      <c r="X347" s="60">
        <f t="shared" si="181"/>
        <v>65000000000251</v>
      </c>
      <c r="Y347" s="60">
        <f t="shared" si="182"/>
        <v>65000000000147</v>
      </c>
      <c r="Z347" s="60">
        <f t="shared" si="183"/>
        <v>65000000000336</v>
      </c>
      <c r="AA347" s="60">
        <f t="shared" si="166"/>
        <v>65000000000337</v>
      </c>
      <c r="AB347" s="60">
        <f t="shared" si="184"/>
        <v>65000000000000</v>
      </c>
      <c r="AD347" s="60">
        <f t="shared" si="187"/>
        <v>5</v>
      </c>
      <c r="AE347" s="60">
        <f t="shared" si="188"/>
        <v>4</v>
      </c>
      <c r="AF347" s="60">
        <f t="shared" si="189"/>
        <v>1</v>
      </c>
      <c r="AG347" s="60">
        <f t="shared" si="190"/>
        <v>84</v>
      </c>
      <c r="AH347" s="60">
        <f t="shared" si="191"/>
        <v>2</v>
      </c>
      <c r="AI347" s="60">
        <f t="shared" si="192"/>
        <v>1</v>
      </c>
      <c r="AK347" s="68" t="str">
        <f t="shared" si="167"/>
        <v>L5</v>
      </c>
      <c r="AM347" s="64" t="s">
        <v>1755</v>
      </c>
      <c r="AN347" s="64">
        <f t="shared" si="168"/>
        <v>65000000000186</v>
      </c>
      <c r="AO347" s="64">
        <f t="shared" si="169"/>
        <v>65000000000251</v>
      </c>
      <c r="AP347" s="64">
        <f t="shared" si="170"/>
        <v>65000000000251</v>
      </c>
      <c r="AQ347" s="64">
        <f t="shared" si="171"/>
        <v>65000000000336</v>
      </c>
      <c r="AS347" s="64">
        <f t="shared" si="172"/>
        <v>65000000000336</v>
      </c>
      <c r="AU347" s="59" t="str">
        <f t="shared" si="193"/>
        <v>PERFORM * FROM "SchData-OLTP-Accounting"."Func_TblChartOfAccount_SET"(varSystemLoginSession, null, null, null, varInstitutionBranchID, 62000000000001::bigint,'5-3043.01', 'Depre - Test Equipment (IDR)', 62000000000001::bigint, '2016-01-01 00:00:00'::timestamp, null::timestamp, 65000000000336::bigint, 66000000000001::bigint);</v>
      </c>
      <c r="AV347" s="65">
        <f t="shared" si="194"/>
        <v>65000000000337</v>
      </c>
      <c r="AW347" s="65">
        <f t="shared" si="195"/>
        <v>65000000000336</v>
      </c>
      <c r="AY347" s="65">
        <f t="shared" si="185"/>
        <v>65000000000336</v>
      </c>
      <c r="BA347" s="78">
        <f t="shared" si="196"/>
        <v>65000000000337</v>
      </c>
      <c r="BB347" s="81" t="str">
        <f t="shared" si="186"/>
        <v>PERFORM * FROM "SchData-OLTP-Accounting"."Func_TblChartOfAccount_SET"(varSystemLoginSession, null, null, null, null, null, varInstitutionBranchID, 62000000000001::bigint,'5-3043.01', 'Depre - Test Equipment (IDR)', 62000000000001::bigint, '2016-01-01 00:00:00'::timestamp, null::timestamp, 65000000000336::bigint, 66000000000001::bigint, FALSE::boolean);</v>
      </c>
    </row>
    <row r="348" spans="2:54" x14ac:dyDescent="0.2">
      <c r="B348" s="41"/>
      <c r="C348" s="42"/>
      <c r="D348" s="43"/>
      <c r="E348" s="42"/>
      <c r="F348" s="43"/>
      <c r="G348" s="42"/>
      <c r="H348" s="51" t="s">
        <v>967</v>
      </c>
      <c r="I348" s="18" t="s">
        <v>495</v>
      </c>
      <c r="J348" s="51"/>
      <c r="K348" s="18"/>
      <c r="L348" s="51"/>
      <c r="M348" s="18"/>
      <c r="O348" s="58" t="str">
        <f t="shared" si="173"/>
        <v>5-0000</v>
      </c>
      <c r="P348" s="58" t="str">
        <f t="shared" si="174"/>
        <v>5-3000</v>
      </c>
      <c r="Q348" s="58" t="str">
        <f t="shared" si="175"/>
        <v>2-1200</v>
      </c>
      <c r="R348" s="58" t="str">
        <f t="shared" si="176"/>
        <v>5-3044</v>
      </c>
      <c r="S348" s="58" t="str">
        <f t="shared" si="177"/>
        <v>5-3043.01</v>
      </c>
      <c r="T348" s="58" t="str">
        <f t="shared" si="178"/>
        <v xml:space="preserve"> </v>
      </c>
      <c r="V348" s="72">
        <f t="shared" si="179"/>
        <v>65000000000338</v>
      </c>
      <c r="W348" s="60">
        <f t="shared" si="180"/>
        <v>65000000000186</v>
      </c>
      <c r="X348" s="60">
        <f t="shared" si="181"/>
        <v>65000000000251</v>
      </c>
      <c r="Y348" s="60">
        <f t="shared" si="182"/>
        <v>65000000000147</v>
      </c>
      <c r="Z348" s="60">
        <f t="shared" si="183"/>
        <v>65000000000338</v>
      </c>
      <c r="AA348" s="60">
        <f t="shared" si="166"/>
        <v>65000000000337</v>
      </c>
      <c r="AB348" s="60">
        <f t="shared" si="184"/>
        <v>65000000000000</v>
      </c>
      <c r="AD348" s="60">
        <f t="shared" si="187"/>
        <v>5</v>
      </c>
      <c r="AE348" s="60">
        <f t="shared" si="188"/>
        <v>4</v>
      </c>
      <c r="AF348" s="60">
        <f t="shared" si="189"/>
        <v>1</v>
      </c>
      <c r="AG348" s="60">
        <f t="shared" si="190"/>
        <v>85</v>
      </c>
      <c r="AH348" s="60">
        <f t="shared" si="191"/>
        <v>1</v>
      </c>
      <c r="AI348" s="60">
        <f t="shared" si="192"/>
        <v>1</v>
      </c>
      <c r="AK348" s="68" t="str">
        <f t="shared" si="167"/>
        <v>L4</v>
      </c>
      <c r="AM348" s="64" t="s">
        <v>1755</v>
      </c>
      <c r="AN348" s="64">
        <f t="shared" si="168"/>
        <v>65000000000186</v>
      </c>
      <c r="AO348" s="64">
        <f t="shared" si="169"/>
        <v>65000000000251</v>
      </c>
      <c r="AP348" s="64">
        <f t="shared" si="170"/>
        <v>65000000000251</v>
      </c>
      <c r="AQ348" s="64">
        <f t="shared" si="171"/>
        <v>65000000000336</v>
      </c>
      <c r="AS348" s="64">
        <f t="shared" si="172"/>
        <v>65000000000251</v>
      </c>
      <c r="AU348" s="59" t="str">
        <f t="shared" si="193"/>
        <v>PERFORM * FROM "SchData-OLTP-Accounting"."Func_TblChartOfAccount_SET"(varSystemLoginSession, null, null, null, varInstitutionBranchID, 62000000000001::bigint,'5-3044', 'Depre - Motor Vehicle', 62000000000001::bigint, '2016-01-01 00:00:00'::timestamp, null::timestamp, 65000000000251::bigint, 66000000000001::bigint);</v>
      </c>
      <c r="AV348" s="65">
        <f t="shared" si="194"/>
        <v>65000000000338</v>
      </c>
      <c r="AW348" s="65">
        <f t="shared" si="195"/>
        <v>65000000000251</v>
      </c>
      <c r="AY348" s="65">
        <f t="shared" si="185"/>
        <v>65000000000147</v>
      </c>
      <c r="BA348" s="78">
        <f t="shared" si="196"/>
        <v>65000000000338</v>
      </c>
      <c r="BB348" s="81" t="str">
        <f t="shared" si="186"/>
        <v>PERFORM * FROM "SchData-OLTP-Accounting"."Func_TblChartOfAccount_SET"(varSystemLoginSession, null, null, null, null, null, varInstitutionBranchID, 62000000000001::bigint,'5-3044', 'Depre - Motor Vehicle', 62000000000001::bigint, '2016-01-01 00:00:00'::timestamp, null::timestamp, 65000000000251::bigint, 66000000000001::bigint, FALSE::boolean);</v>
      </c>
    </row>
    <row r="349" spans="2:54" x14ac:dyDescent="0.2">
      <c r="B349" s="41"/>
      <c r="C349" s="42"/>
      <c r="D349" s="43"/>
      <c r="E349" s="42"/>
      <c r="F349" s="43"/>
      <c r="G349" s="42"/>
      <c r="H349" s="51"/>
      <c r="I349" s="18"/>
      <c r="J349" s="51" t="s">
        <v>1519</v>
      </c>
      <c r="K349" s="18" t="s">
        <v>1351</v>
      </c>
      <c r="L349" s="51"/>
      <c r="M349" s="18"/>
      <c r="O349" s="58" t="str">
        <f t="shared" si="173"/>
        <v>5-0000</v>
      </c>
      <c r="P349" s="58" t="str">
        <f t="shared" si="174"/>
        <v>5-3000</v>
      </c>
      <c r="Q349" s="58" t="str">
        <f t="shared" si="175"/>
        <v>2-1200</v>
      </c>
      <c r="R349" s="58" t="str">
        <f t="shared" si="176"/>
        <v>5-3044</v>
      </c>
      <c r="S349" s="58" t="str">
        <f t="shared" si="177"/>
        <v>5-3044.01</v>
      </c>
      <c r="T349" s="58" t="str">
        <f t="shared" si="178"/>
        <v xml:space="preserve"> </v>
      </c>
      <c r="V349" s="72">
        <f t="shared" si="179"/>
        <v>65000000000339</v>
      </c>
      <c r="W349" s="60">
        <f t="shared" si="180"/>
        <v>65000000000186</v>
      </c>
      <c r="X349" s="60">
        <f t="shared" si="181"/>
        <v>65000000000251</v>
      </c>
      <c r="Y349" s="60">
        <f t="shared" si="182"/>
        <v>65000000000147</v>
      </c>
      <c r="Z349" s="60">
        <f t="shared" si="183"/>
        <v>65000000000338</v>
      </c>
      <c r="AA349" s="60">
        <f t="shared" si="166"/>
        <v>65000000000339</v>
      </c>
      <c r="AB349" s="60">
        <f t="shared" si="184"/>
        <v>65000000000000</v>
      </c>
      <c r="AD349" s="60">
        <f t="shared" si="187"/>
        <v>5</v>
      </c>
      <c r="AE349" s="60">
        <f t="shared" si="188"/>
        <v>4</v>
      </c>
      <c r="AF349" s="60">
        <f t="shared" si="189"/>
        <v>1</v>
      </c>
      <c r="AG349" s="60">
        <f t="shared" si="190"/>
        <v>85</v>
      </c>
      <c r="AH349" s="60">
        <f t="shared" si="191"/>
        <v>2</v>
      </c>
      <c r="AI349" s="60">
        <f t="shared" si="192"/>
        <v>1</v>
      </c>
      <c r="AK349" s="68" t="str">
        <f t="shared" si="167"/>
        <v>L5</v>
      </c>
      <c r="AM349" s="64" t="s">
        <v>1755</v>
      </c>
      <c r="AN349" s="64">
        <f t="shared" si="168"/>
        <v>65000000000186</v>
      </c>
      <c r="AO349" s="64">
        <f t="shared" si="169"/>
        <v>65000000000251</v>
      </c>
      <c r="AP349" s="64">
        <f t="shared" si="170"/>
        <v>65000000000251</v>
      </c>
      <c r="AQ349" s="64">
        <f t="shared" si="171"/>
        <v>65000000000338</v>
      </c>
      <c r="AS349" s="64">
        <f t="shared" si="172"/>
        <v>65000000000338</v>
      </c>
      <c r="AU349" s="59" t="str">
        <f t="shared" si="193"/>
        <v>PERFORM * FROM "SchData-OLTP-Accounting"."Func_TblChartOfAccount_SET"(varSystemLoginSession, null, null, null, varInstitutionBranchID, 62000000000001::bigint,'5-3044.01', 'Depre - Motor Vehicle (IDR)', 62000000000001::bigint, '2016-01-01 00:00:00'::timestamp, null::timestamp, 65000000000338::bigint, 66000000000001::bigint);</v>
      </c>
      <c r="AV349" s="65">
        <f t="shared" si="194"/>
        <v>65000000000339</v>
      </c>
      <c r="AW349" s="65">
        <f t="shared" si="195"/>
        <v>65000000000338</v>
      </c>
      <c r="AY349" s="65">
        <f t="shared" si="185"/>
        <v>65000000000338</v>
      </c>
      <c r="BA349" s="78">
        <f t="shared" si="196"/>
        <v>65000000000339</v>
      </c>
      <c r="BB349" s="81" t="str">
        <f t="shared" si="186"/>
        <v>PERFORM * FROM "SchData-OLTP-Accounting"."Func_TblChartOfAccount_SET"(varSystemLoginSession, null, null, null, null, null, varInstitutionBranchID, 62000000000001::bigint,'5-3044.01', 'Depre - Motor Vehicle (IDR)', 62000000000001::bigint, '2016-01-01 00:00:00'::timestamp, null::timestamp, 65000000000338::bigint, 66000000000001::bigint, FALSE::boolean);</v>
      </c>
    </row>
    <row r="350" spans="2:54" x14ac:dyDescent="0.2">
      <c r="B350" s="41"/>
      <c r="C350" s="42"/>
      <c r="D350" s="43"/>
      <c r="E350" s="42"/>
      <c r="F350" s="43"/>
      <c r="G350" s="42"/>
      <c r="H350" s="51" t="s">
        <v>968</v>
      </c>
      <c r="I350" s="18" t="s">
        <v>497</v>
      </c>
      <c r="J350" s="51"/>
      <c r="K350" s="18"/>
      <c r="L350" s="51"/>
      <c r="M350" s="18"/>
      <c r="O350" s="58" t="str">
        <f t="shared" si="173"/>
        <v>5-0000</v>
      </c>
      <c r="P350" s="58" t="str">
        <f t="shared" si="174"/>
        <v>5-3000</v>
      </c>
      <c r="Q350" s="58" t="str">
        <f t="shared" si="175"/>
        <v>2-1200</v>
      </c>
      <c r="R350" s="58" t="str">
        <f t="shared" si="176"/>
        <v>5-3045</v>
      </c>
      <c r="S350" s="58" t="str">
        <f t="shared" si="177"/>
        <v>5-3044.01</v>
      </c>
      <c r="T350" s="58" t="str">
        <f t="shared" si="178"/>
        <v xml:space="preserve"> </v>
      </c>
      <c r="V350" s="72">
        <f t="shared" si="179"/>
        <v>65000000000340</v>
      </c>
      <c r="W350" s="60">
        <f t="shared" si="180"/>
        <v>65000000000186</v>
      </c>
      <c r="X350" s="60">
        <f t="shared" si="181"/>
        <v>65000000000251</v>
      </c>
      <c r="Y350" s="60">
        <f t="shared" si="182"/>
        <v>65000000000147</v>
      </c>
      <c r="Z350" s="60">
        <f t="shared" si="183"/>
        <v>65000000000340</v>
      </c>
      <c r="AA350" s="60">
        <f t="shared" si="166"/>
        <v>65000000000339</v>
      </c>
      <c r="AB350" s="60">
        <f t="shared" si="184"/>
        <v>65000000000000</v>
      </c>
      <c r="AD350" s="60">
        <f t="shared" si="187"/>
        <v>5</v>
      </c>
      <c r="AE350" s="60">
        <f t="shared" si="188"/>
        <v>4</v>
      </c>
      <c r="AF350" s="60">
        <f t="shared" si="189"/>
        <v>1</v>
      </c>
      <c r="AG350" s="60">
        <f t="shared" si="190"/>
        <v>86</v>
      </c>
      <c r="AH350" s="60">
        <f t="shared" si="191"/>
        <v>1</v>
      </c>
      <c r="AI350" s="60">
        <f t="shared" si="192"/>
        <v>1</v>
      </c>
      <c r="AK350" s="68" t="str">
        <f t="shared" si="167"/>
        <v>L4</v>
      </c>
      <c r="AM350" s="64" t="s">
        <v>1755</v>
      </c>
      <c r="AN350" s="64">
        <f t="shared" si="168"/>
        <v>65000000000186</v>
      </c>
      <c r="AO350" s="64">
        <f t="shared" si="169"/>
        <v>65000000000251</v>
      </c>
      <c r="AP350" s="64">
        <f t="shared" si="170"/>
        <v>65000000000251</v>
      </c>
      <c r="AQ350" s="64">
        <f t="shared" si="171"/>
        <v>65000000000338</v>
      </c>
      <c r="AS350" s="64">
        <f t="shared" si="172"/>
        <v>65000000000251</v>
      </c>
      <c r="AU350" s="59" t="str">
        <f t="shared" si="193"/>
        <v>PERFORM * FROM "SchData-OLTP-Accounting"."Func_TblChartOfAccount_SET"(varSystemLoginSession, null, null, null, varInstitutionBranchID, 62000000000001::bigint,'5-3045', 'Depre - Tools', 62000000000001::bigint, '2016-01-01 00:00:00'::timestamp, null::timestamp, 65000000000251::bigint, 66000000000001::bigint);</v>
      </c>
      <c r="AV350" s="65">
        <f t="shared" si="194"/>
        <v>65000000000340</v>
      </c>
      <c r="AW350" s="65">
        <f t="shared" si="195"/>
        <v>65000000000251</v>
      </c>
      <c r="AY350" s="65">
        <f t="shared" si="185"/>
        <v>65000000000147</v>
      </c>
      <c r="BA350" s="78">
        <f t="shared" si="196"/>
        <v>65000000000340</v>
      </c>
      <c r="BB350" s="81" t="str">
        <f t="shared" si="186"/>
        <v>PERFORM * FROM "SchData-OLTP-Accounting"."Func_TblChartOfAccount_SET"(varSystemLoginSession, null, null, null, null, null, varInstitutionBranchID, 62000000000001::bigint,'5-3045', 'Depre - Tools', 62000000000001::bigint, '2016-01-01 00:00:00'::timestamp, null::timestamp, 65000000000251::bigint, 66000000000001::bigint, FALSE::boolean);</v>
      </c>
    </row>
    <row r="351" spans="2:54" x14ac:dyDescent="0.2">
      <c r="B351" s="41"/>
      <c r="C351" s="42"/>
      <c r="D351" s="43"/>
      <c r="E351" s="42"/>
      <c r="F351" s="43"/>
      <c r="G351" s="42"/>
      <c r="H351" s="51"/>
      <c r="I351" s="18"/>
      <c r="J351" s="51" t="s">
        <v>1520</v>
      </c>
      <c r="K351" s="18" t="s">
        <v>1352</v>
      </c>
      <c r="L351" s="51"/>
      <c r="M351" s="18"/>
      <c r="O351" s="58" t="str">
        <f t="shared" si="173"/>
        <v>5-0000</v>
      </c>
      <c r="P351" s="58" t="str">
        <f t="shared" si="174"/>
        <v>5-3000</v>
      </c>
      <c r="Q351" s="58" t="str">
        <f t="shared" si="175"/>
        <v>2-1200</v>
      </c>
      <c r="R351" s="58" t="str">
        <f t="shared" si="176"/>
        <v>5-3045</v>
      </c>
      <c r="S351" s="58" t="str">
        <f t="shared" si="177"/>
        <v>5-3045.01</v>
      </c>
      <c r="T351" s="58" t="str">
        <f t="shared" si="178"/>
        <v xml:space="preserve"> </v>
      </c>
      <c r="V351" s="72">
        <f t="shared" si="179"/>
        <v>65000000000341</v>
      </c>
      <c r="W351" s="60">
        <f t="shared" si="180"/>
        <v>65000000000186</v>
      </c>
      <c r="X351" s="60">
        <f t="shared" si="181"/>
        <v>65000000000251</v>
      </c>
      <c r="Y351" s="60">
        <f t="shared" si="182"/>
        <v>65000000000147</v>
      </c>
      <c r="Z351" s="60">
        <f t="shared" si="183"/>
        <v>65000000000340</v>
      </c>
      <c r="AA351" s="60">
        <f t="shared" si="166"/>
        <v>65000000000341</v>
      </c>
      <c r="AB351" s="60">
        <f t="shared" si="184"/>
        <v>65000000000000</v>
      </c>
      <c r="AD351" s="60">
        <f t="shared" si="187"/>
        <v>5</v>
      </c>
      <c r="AE351" s="60">
        <f t="shared" si="188"/>
        <v>4</v>
      </c>
      <c r="AF351" s="60">
        <f t="shared" si="189"/>
        <v>1</v>
      </c>
      <c r="AG351" s="60">
        <f t="shared" si="190"/>
        <v>86</v>
      </c>
      <c r="AH351" s="60">
        <f t="shared" si="191"/>
        <v>2</v>
      </c>
      <c r="AI351" s="60">
        <f t="shared" si="192"/>
        <v>1</v>
      </c>
      <c r="AK351" s="68" t="str">
        <f t="shared" si="167"/>
        <v>L5</v>
      </c>
      <c r="AM351" s="64" t="s">
        <v>1755</v>
      </c>
      <c r="AN351" s="64">
        <f t="shared" si="168"/>
        <v>65000000000186</v>
      </c>
      <c r="AO351" s="64">
        <f t="shared" si="169"/>
        <v>65000000000251</v>
      </c>
      <c r="AP351" s="64">
        <f t="shared" si="170"/>
        <v>65000000000251</v>
      </c>
      <c r="AQ351" s="64">
        <f t="shared" si="171"/>
        <v>65000000000340</v>
      </c>
      <c r="AS351" s="64">
        <f t="shared" si="172"/>
        <v>65000000000340</v>
      </c>
      <c r="AU351" s="59" t="str">
        <f t="shared" si="193"/>
        <v>PERFORM * FROM "SchData-OLTP-Accounting"."Func_TblChartOfAccount_SET"(varSystemLoginSession, null, null, null, varInstitutionBranchID, 62000000000001::bigint,'5-3045.01', 'Depre - Tools (IDR)', 62000000000001::bigint, '2016-01-01 00:00:00'::timestamp, null::timestamp, 65000000000340::bigint, 66000000000001::bigint);</v>
      </c>
      <c r="AV351" s="65">
        <f t="shared" si="194"/>
        <v>65000000000341</v>
      </c>
      <c r="AW351" s="65">
        <f t="shared" si="195"/>
        <v>65000000000340</v>
      </c>
      <c r="AY351" s="65">
        <f t="shared" si="185"/>
        <v>65000000000340</v>
      </c>
      <c r="BA351" s="78">
        <f t="shared" si="196"/>
        <v>65000000000341</v>
      </c>
      <c r="BB351" s="81" t="str">
        <f t="shared" si="186"/>
        <v>PERFORM * FROM "SchData-OLTP-Accounting"."Func_TblChartOfAccount_SET"(varSystemLoginSession, null, null, null, null, null, varInstitutionBranchID, 62000000000001::bigint,'5-3045.01', 'Depre - Tools (IDR)', 62000000000001::bigint, '2016-01-01 00:00:00'::timestamp, null::timestamp, 65000000000340::bigint, 66000000000001::bigint, FALSE::boolean);</v>
      </c>
    </row>
    <row r="352" spans="2:54" x14ac:dyDescent="0.2">
      <c r="B352" s="41"/>
      <c r="C352" s="42"/>
      <c r="D352" s="43"/>
      <c r="E352" s="42"/>
      <c r="F352" s="43"/>
      <c r="G352" s="42"/>
      <c r="H352" s="51" t="s">
        <v>969</v>
      </c>
      <c r="I352" s="18" t="s">
        <v>499</v>
      </c>
      <c r="J352" s="51"/>
      <c r="K352" s="18"/>
      <c r="L352" s="51"/>
      <c r="M352" s="18"/>
      <c r="O352" s="58" t="str">
        <f t="shared" si="173"/>
        <v>5-0000</v>
      </c>
      <c r="P352" s="58" t="str">
        <f t="shared" si="174"/>
        <v>5-3000</v>
      </c>
      <c r="Q352" s="58" t="str">
        <f t="shared" si="175"/>
        <v>2-1200</v>
      </c>
      <c r="R352" s="58" t="str">
        <f t="shared" si="176"/>
        <v>5-3046</v>
      </c>
      <c r="S352" s="58" t="str">
        <f t="shared" si="177"/>
        <v>5-3045.01</v>
      </c>
      <c r="T352" s="58" t="str">
        <f t="shared" si="178"/>
        <v xml:space="preserve"> </v>
      </c>
      <c r="V352" s="72">
        <f t="shared" si="179"/>
        <v>65000000000342</v>
      </c>
      <c r="W352" s="60">
        <f t="shared" si="180"/>
        <v>65000000000186</v>
      </c>
      <c r="X352" s="60">
        <f t="shared" si="181"/>
        <v>65000000000251</v>
      </c>
      <c r="Y352" s="60">
        <f t="shared" si="182"/>
        <v>65000000000147</v>
      </c>
      <c r="Z352" s="60">
        <f t="shared" si="183"/>
        <v>65000000000342</v>
      </c>
      <c r="AA352" s="60">
        <f t="shared" si="166"/>
        <v>65000000000341</v>
      </c>
      <c r="AB352" s="60">
        <f t="shared" si="184"/>
        <v>65000000000000</v>
      </c>
      <c r="AD352" s="60">
        <f t="shared" si="187"/>
        <v>5</v>
      </c>
      <c r="AE352" s="60">
        <f t="shared" si="188"/>
        <v>4</v>
      </c>
      <c r="AF352" s="60">
        <f t="shared" si="189"/>
        <v>1</v>
      </c>
      <c r="AG352" s="60">
        <f t="shared" si="190"/>
        <v>87</v>
      </c>
      <c r="AH352" s="60">
        <f t="shared" si="191"/>
        <v>1</v>
      </c>
      <c r="AI352" s="60">
        <f t="shared" si="192"/>
        <v>1</v>
      </c>
      <c r="AK352" s="68" t="str">
        <f t="shared" si="167"/>
        <v>L4</v>
      </c>
      <c r="AM352" s="64" t="s">
        <v>1755</v>
      </c>
      <c r="AN352" s="64">
        <f t="shared" si="168"/>
        <v>65000000000186</v>
      </c>
      <c r="AO352" s="64">
        <f t="shared" si="169"/>
        <v>65000000000251</v>
      </c>
      <c r="AP352" s="64">
        <f t="shared" si="170"/>
        <v>65000000000251</v>
      </c>
      <c r="AQ352" s="64">
        <f t="shared" si="171"/>
        <v>65000000000340</v>
      </c>
      <c r="AS352" s="64">
        <f t="shared" si="172"/>
        <v>65000000000251</v>
      </c>
      <c r="AU352" s="59" t="str">
        <f t="shared" si="193"/>
        <v>PERFORM * FROM "SchData-OLTP-Accounting"."Func_TblChartOfAccount_SET"(varSystemLoginSession, null, null, null, varInstitutionBranchID, 62000000000001::bigint,'5-3046', 'Depre - Furniture Fitting', 62000000000001::bigint, '2016-01-01 00:00:00'::timestamp, null::timestamp, 65000000000251::bigint, 66000000000001::bigint);</v>
      </c>
      <c r="AV352" s="65">
        <f t="shared" si="194"/>
        <v>65000000000342</v>
      </c>
      <c r="AW352" s="65">
        <f t="shared" si="195"/>
        <v>65000000000251</v>
      </c>
      <c r="AY352" s="65">
        <f t="shared" si="185"/>
        <v>65000000000147</v>
      </c>
      <c r="BA352" s="78">
        <f t="shared" si="196"/>
        <v>65000000000342</v>
      </c>
      <c r="BB352" s="81" t="str">
        <f t="shared" si="186"/>
        <v>PERFORM * FROM "SchData-OLTP-Accounting"."Func_TblChartOfAccount_SET"(varSystemLoginSession, null, null, null, null, null, varInstitutionBranchID, 62000000000001::bigint,'5-3046', 'Depre - Furniture Fitting', 62000000000001::bigint, '2016-01-01 00:00:00'::timestamp, null::timestamp, 65000000000251::bigint, 66000000000001::bigint, FALSE::boolean);</v>
      </c>
    </row>
    <row r="353" spans="2:54" x14ac:dyDescent="0.2">
      <c r="B353" s="41"/>
      <c r="C353" s="42"/>
      <c r="D353" s="43"/>
      <c r="E353" s="42"/>
      <c r="F353" s="43"/>
      <c r="G353" s="42"/>
      <c r="H353" s="51"/>
      <c r="I353" s="18"/>
      <c r="J353" s="51" t="s">
        <v>1521</v>
      </c>
      <c r="K353" s="18" t="s">
        <v>1353</v>
      </c>
      <c r="L353" s="51"/>
      <c r="M353" s="18"/>
      <c r="O353" s="58" t="str">
        <f t="shared" si="173"/>
        <v>5-0000</v>
      </c>
      <c r="P353" s="58" t="str">
        <f t="shared" si="174"/>
        <v>5-3000</v>
      </c>
      <c r="Q353" s="58" t="str">
        <f t="shared" si="175"/>
        <v>2-1200</v>
      </c>
      <c r="R353" s="58" t="str">
        <f t="shared" si="176"/>
        <v>5-3046</v>
      </c>
      <c r="S353" s="58" t="str">
        <f t="shared" si="177"/>
        <v>5-3046.01</v>
      </c>
      <c r="T353" s="58" t="str">
        <f t="shared" si="178"/>
        <v xml:space="preserve"> </v>
      </c>
      <c r="V353" s="72">
        <f t="shared" si="179"/>
        <v>65000000000343</v>
      </c>
      <c r="W353" s="60">
        <f t="shared" si="180"/>
        <v>65000000000186</v>
      </c>
      <c r="X353" s="60">
        <f t="shared" si="181"/>
        <v>65000000000251</v>
      </c>
      <c r="Y353" s="60">
        <f t="shared" si="182"/>
        <v>65000000000147</v>
      </c>
      <c r="Z353" s="60">
        <f t="shared" si="183"/>
        <v>65000000000342</v>
      </c>
      <c r="AA353" s="60">
        <f t="shared" si="166"/>
        <v>65000000000343</v>
      </c>
      <c r="AB353" s="60">
        <f t="shared" si="184"/>
        <v>65000000000000</v>
      </c>
      <c r="AD353" s="60">
        <f t="shared" si="187"/>
        <v>5</v>
      </c>
      <c r="AE353" s="60">
        <f t="shared" si="188"/>
        <v>4</v>
      </c>
      <c r="AF353" s="60">
        <f t="shared" si="189"/>
        <v>1</v>
      </c>
      <c r="AG353" s="60">
        <f t="shared" si="190"/>
        <v>87</v>
      </c>
      <c r="AH353" s="60">
        <f t="shared" si="191"/>
        <v>2</v>
      </c>
      <c r="AI353" s="60">
        <f t="shared" si="192"/>
        <v>1</v>
      </c>
      <c r="AK353" s="68" t="str">
        <f t="shared" si="167"/>
        <v>L5</v>
      </c>
      <c r="AM353" s="64" t="s">
        <v>1755</v>
      </c>
      <c r="AN353" s="64">
        <f t="shared" si="168"/>
        <v>65000000000186</v>
      </c>
      <c r="AO353" s="64">
        <f t="shared" si="169"/>
        <v>65000000000251</v>
      </c>
      <c r="AP353" s="64">
        <f t="shared" si="170"/>
        <v>65000000000251</v>
      </c>
      <c r="AQ353" s="64">
        <f t="shared" si="171"/>
        <v>65000000000342</v>
      </c>
      <c r="AS353" s="64">
        <f t="shared" si="172"/>
        <v>65000000000342</v>
      </c>
      <c r="AU353" s="59" t="str">
        <f t="shared" si="193"/>
        <v>PERFORM * FROM "SchData-OLTP-Accounting"."Func_TblChartOfAccount_SET"(varSystemLoginSession, null, null, null, varInstitutionBranchID, 62000000000001::bigint,'5-3046.01', 'Depre - Furniture Fitting (IDR)', 62000000000001::bigint, '2016-01-01 00:00:00'::timestamp, null::timestamp, 65000000000342::bigint, 66000000000001::bigint);</v>
      </c>
      <c r="AV353" s="65">
        <f t="shared" si="194"/>
        <v>65000000000343</v>
      </c>
      <c r="AW353" s="65">
        <f t="shared" si="195"/>
        <v>65000000000342</v>
      </c>
      <c r="AY353" s="65">
        <f t="shared" si="185"/>
        <v>65000000000342</v>
      </c>
      <c r="BA353" s="78">
        <f t="shared" si="196"/>
        <v>65000000000343</v>
      </c>
      <c r="BB353" s="81" t="str">
        <f t="shared" si="186"/>
        <v>PERFORM * FROM "SchData-OLTP-Accounting"."Func_TblChartOfAccount_SET"(varSystemLoginSession, null, null, null, null, null, varInstitutionBranchID, 62000000000001::bigint,'5-3046.01', 'Depre - Furniture Fitting (IDR)', 62000000000001::bigint, '2016-01-01 00:00:00'::timestamp, null::timestamp, 65000000000342::bigint, 66000000000001::bigint, FALSE::boolean);</v>
      </c>
    </row>
    <row r="354" spans="2:54" x14ac:dyDescent="0.2">
      <c r="B354" s="41"/>
      <c r="C354" s="42"/>
      <c r="D354" s="43"/>
      <c r="E354" s="42"/>
      <c r="F354" s="43"/>
      <c r="G354" s="42"/>
      <c r="H354" s="51" t="s">
        <v>970</v>
      </c>
      <c r="I354" s="18" t="s">
        <v>501</v>
      </c>
      <c r="J354" s="51"/>
      <c r="K354" s="18"/>
      <c r="L354" s="51"/>
      <c r="M354" s="18"/>
      <c r="O354" s="58" t="str">
        <f t="shared" si="173"/>
        <v>5-0000</v>
      </c>
      <c r="P354" s="58" t="str">
        <f t="shared" si="174"/>
        <v>5-3000</v>
      </c>
      <c r="Q354" s="58" t="str">
        <f t="shared" si="175"/>
        <v>2-1200</v>
      </c>
      <c r="R354" s="58" t="str">
        <f t="shared" si="176"/>
        <v>5-3047</v>
      </c>
      <c r="S354" s="58" t="str">
        <f t="shared" si="177"/>
        <v>5-3046.01</v>
      </c>
      <c r="T354" s="58" t="str">
        <f t="shared" si="178"/>
        <v xml:space="preserve"> </v>
      </c>
      <c r="V354" s="72">
        <f t="shared" si="179"/>
        <v>65000000000344</v>
      </c>
      <c r="W354" s="60">
        <f t="shared" si="180"/>
        <v>65000000000186</v>
      </c>
      <c r="X354" s="60">
        <f t="shared" si="181"/>
        <v>65000000000251</v>
      </c>
      <c r="Y354" s="60">
        <f t="shared" si="182"/>
        <v>65000000000147</v>
      </c>
      <c r="Z354" s="60">
        <f t="shared" si="183"/>
        <v>65000000000344</v>
      </c>
      <c r="AA354" s="60">
        <f t="shared" si="166"/>
        <v>65000000000343</v>
      </c>
      <c r="AB354" s="60">
        <f t="shared" si="184"/>
        <v>65000000000000</v>
      </c>
      <c r="AD354" s="60">
        <f t="shared" si="187"/>
        <v>5</v>
      </c>
      <c r="AE354" s="60">
        <f t="shared" si="188"/>
        <v>4</v>
      </c>
      <c r="AF354" s="60">
        <f t="shared" si="189"/>
        <v>1</v>
      </c>
      <c r="AG354" s="60">
        <f t="shared" si="190"/>
        <v>88</v>
      </c>
      <c r="AH354" s="60">
        <f t="shared" si="191"/>
        <v>1</v>
      </c>
      <c r="AI354" s="60">
        <f t="shared" si="192"/>
        <v>1</v>
      </c>
      <c r="AK354" s="68" t="str">
        <f t="shared" si="167"/>
        <v>L4</v>
      </c>
      <c r="AM354" s="64" t="s">
        <v>1755</v>
      </c>
      <c r="AN354" s="64">
        <f t="shared" si="168"/>
        <v>65000000000186</v>
      </c>
      <c r="AO354" s="64">
        <f t="shared" si="169"/>
        <v>65000000000251</v>
      </c>
      <c r="AP354" s="64">
        <f t="shared" si="170"/>
        <v>65000000000251</v>
      </c>
      <c r="AQ354" s="64">
        <f t="shared" si="171"/>
        <v>65000000000342</v>
      </c>
      <c r="AS354" s="64">
        <f t="shared" si="172"/>
        <v>65000000000251</v>
      </c>
      <c r="AU354" s="59" t="str">
        <f t="shared" si="193"/>
        <v>PERFORM * FROM "SchData-OLTP-Accounting"."Func_TblChartOfAccount_SET"(varSystemLoginSession, null, null, null, varInstitutionBranchID, 62000000000001::bigint,'5-3047', 'Depre - Mobile Phone', 62000000000001::bigint, '2016-01-01 00:00:00'::timestamp, null::timestamp, 65000000000251::bigint, 66000000000001::bigint);</v>
      </c>
      <c r="AV354" s="65">
        <f t="shared" si="194"/>
        <v>65000000000344</v>
      </c>
      <c r="AW354" s="65">
        <f t="shared" si="195"/>
        <v>65000000000251</v>
      </c>
      <c r="AY354" s="65">
        <f t="shared" si="185"/>
        <v>65000000000147</v>
      </c>
      <c r="BA354" s="78">
        <f t="shared" si="196"/>
        <v>65000000000344</v>
      </c>
      <c r="BB354" s="81" t="str">
        <f t="shared" si="186"/>
        <v>PERFORM * FROM "SchData-OLTP-Accounting"."Func_TblChartOfAccount_SET"(varSystemLoginSession, null, null, null, null, null, varInstitutionBranchID, 62000000000001::bigint,'5-3047', 'Depre - Mobile Phone', 62000000000001::bigint, '2016-01-01 00:00:00'::timestamp, null::timestamp, 65000000000251::bigint, 66000000000001::bigint, FALSE::boolean);</v>
      </c>
    </row>
    <row r="355" spans="2:54" x14ac:dyDescent="0.2">
      <c r="B355" s="41"/>
      <c r="C355" s="42"/>
      <c r="D355" s="43"/>
      <c r="E355" s="42"/>
      <c r="F355" s="43"/>
      <c r="G355" s="42"/>
      <c r="H355" s="51"/>
      <c r="I355" s="18"/>
      <c r="J355" s="51" t="s">
        <v>1522</v>
      </c>
      <c r="K355" s="18" t="s">
        <v>1354</v>
      </c>
      <c r="L355" s="51"/>
      <c r="M355" s="18"/>
      <c r="O355" s="58" t="str">
        <f t="shared" si="173"/>
        <v>5-0000</v>
      </c>
      <c r="P355" s="58" t="str">
        <f t="shared" si="174"/>
        <v>5-3000</v>
      </c>
      <c r="Q355" s="58" t="str">
        <f t="shared" si="175"/>
        <v>2-1200</v>
      </c>
      <c r="R355" s="58" t="str">
        <f t="shared" si="176"/>
        <v>5-3047</v>
      </c>
      <c r="S355" s="58" t="str">
        <f t="shared" si="177"/>
        <v>5-3047.01</v>
      </c>
      <c r="T355" s="58" t="str">
        <f t="shared" si="178"/>
        <v xml:space="preserve"> </v>
      </c>
      <c r="V355" s="72">
        <f t="shared" si="179"/>
        <v>65000000000345</v>
      </c>
      <c r="W355" s="60">
        <f t="shared" si="180"/>
        <v>65000000000186</v>
      </c>
      <c r="X355" s="60">
        <f t="shared" si="181"/>
        <v>65000000000251</v>
      </c>
      <c r="Y355" s="60">
        <f t="shared" si="182"/>
        <v>65000000000147</v>
      </c>
      <c r="Z355" s="60">
        <f t="shared" si="183"/>
        <v>65000000000344</v>
      </c>
      <c r="AA355" s="60">
        <f t="shared" si="166"/>
        <v>65000000000345</v>
      </c>
      <c r="AB355" s="60">
        <f t="shared" si="184"/>
        <v>65000000000000</v>
      </c>
      <c r="AD355" s="60">
        <f t="shared" si="187"/>
        <v>5</v>
      </c>
      <c r="AE355" s="60">
        <f t="shared" si="188"/>
        <v>4</v>
      </c>
      <c r="AF355" s="60">
        <f t="shared" si="189"/>
        <v>1</v>
      </c>
      <c r="AG355" s="60">
        <f t="shared" si="190"/>
        <v>88</v>
      </c>
      <c r="AH355" s="60">
        <f t="shared" si="191"/>
        <v>2</v>
      </c>
      <c r="AI355" s="60">
        <f t="shared" si="192"/>
        <v>1</v>
      </c>
      <c r="AK355" s="68" t="str">
        <f t="shared" si="167"/>
        <v>L5</v>
      </c>
      <c r="AM355" s="64" t="s">
        <v>1755</v>
      </c>
      <c r="AN355" s="64">
        <f t="shared" si="168"/>
        <v>65000000000186</v>
      </c>
      <c r="AO355" s="64">
        <f t="shared" si="169"/>
        <v>65000000000251</v>
      </c>
      <c r="AP355" s="64">
        <f t="shared" si="170"/>
        <v>65000000000251</v>
      </c>
      <c r="AQ355" s="64">
        <f t="shared" si="171"/>
        <v>65000000000344</v>
      </c>
      <c r="AS355" s="64">
        <f t="shared" si="172"/>
        <v>65000000000344</v>
      </c>
      <c r="AU355" s="59" t="str">
        <f t="shared" si="193"/>
        <v>PERFORM * FROM "SchData-OLTP-Accounting"."Func_TblChartOfAccount_SET"(varSystemLoginSession, null, null, null, varInstitutionBranchID, 62000000000001::bigint,'5-3047.01', 'Depre - Mobile Phone (IDR)', 62000000000001::bigint, '2016-01-01 00:00:00'::timestamp, null::timestamp, 65000000000344::bigint, 66000000000001::bigint);</v>
      </c>
      <c r="AV355" s="65">
        <f t="shared" si="194"/>
        <v>65000000000345</v>
      </c>
      <c r="AW355" s="65">
        <f t="shared" si="195"/>
        <v>65000000000344</v>
      </c>
      <c r="AY355" s="65">
        <f t="shared" si="185"/>
        <v>65000000000344</v>
      </c>
      <c r="BA355" s="78">
        <f t="shared" si="196"/>
        <v>65000000000345</v>
      </c>
      <c r="BB355" s="81" t="str">
        <f t="shared" si="186"/>
        <v>PERFORM * FROM "SchData-OLTP-Accounting"."Func_TblChartOfAccount_SET"(varSystemLoginSession, null, null, null, null, null, varInstitutionBranchID, 62000000000001::bigint,'5-3047.01', 'Depre - Mobile Phone (IDR)', 62000000000001::bigint, '2016-01-01 00:00:00'::timestamp, null::timestamp, 65000000000344::bigint, 66000000000001::bigint, FALSE::boolean);</v>
      </c>
    </row>
    <row r="356" spans="2:54" x14ac:dyDescent="0.2">
      <c r="B356" s="41"/>
      <c r="C356" s="42"/>
      <c r="D356" s="43"/>
      <c r="E356" s="42"/>
      <c r="F356" s="43"/>
      <c r="G356" s="42"/>
      <c r="H356" s="51" t="s">
        <v>971</v>
      </c>
      <c r="I356" s="18" t="s">
        <v>503</v>
      </c>
      <c r="J356" s="51"/>
      <c r="K356" s="18"/>
      <c r="L356" s="51"/>
      <c r="M356" s="18"/>
      <c r="O356" s="58" t="str">
        <f t="shared" si="173"/>
        <v>5-0000</v>
      </c>
      <c r="P356" s="58" t="str">
        <f t="shared" si="174"/>
        <v>5-3000</v>
      </c>
      <c r="Q356" s="58" t="str">
        <f t="shared" si="175"/>
        <v>2-1200</v>
      </c>
      <c r="R356" s="58" t="str">
        <f t="shared" si="176"/>
        <v>5-3048</v>
      </c>
      <c r="S356" s="58" t="str">
        <f t="shared" si="177"/>
        <v>5-3047.01</v>
      </c>
      <c r="T356" s="58" t="str">
        <f t="shared" si="178"/>
        <v xml:space="preserve"> </v>
      </c>
      <c r="V356" s="72">
        <f t="shared" si="179"/>
        <v>65000000000346</v>
      </c>
      <c r="W356" s="60">
        <f t="shared" si="180"/>
        <v>65000000000186</v>
      </c>
      <c r="X356" s="60">
        <f t="shared" si="181"/>
        <v>65000000000251</v>
      </c>
      <c r="Y356" s="60">
        <f t="shared" si="182"/>
        <v>65000000000147</v>
      </c>
      <c r="Z356" s="60">
        <f t="shared" si="183"/>
        <v>65000000000346</v>
      </c>
      <c r="AA356" s="60">
        <f t="shared" si="166"/>
        <v>65000000000345</v>
      </c>
      <c r="AB356" s="60">
        <f t="shared" si="184"/>
        <v>65000000000000</v>
      </c>
      <c r="AD356" s="60">
        <f t="shared" si="187"/>
        <v>5</v>
      </c>
      <c r="AE356" s="60">
        <f t="shared" si="188"/>
        <v>4</v>
      </c>
      <c r="AF356" s="60">
        <f t="shared" si="189"/>
        <v>1</v>
      </c>
      <c r="AG356" s="60">
        <f t="shared" si="190"/>
        <v>89</v>
      </c>
      <c r="AH356" s="60">
        <f t="shared" si="191"/>
        <v>1</v>
      </c>
      <c r="AI356" s="60">
        <f t="shared" si="192"/>
        <v>1</v>
      </c>
      <c r="AK356" s="68" t="str">
        <f t="shared" si="167"/>
        <v>L4</v>
      </c>
      <c r="AM356" s="64" t="s">
        <v>1755</v>
      </c>
      <c r="AN356" s="64">
        <f t="shared" si="168"/>
        <v>65000000000186</v>
      </c>
      <c r="AO356" s="64">
        <f t="shared" si="169"/>
        <v>65000000000251</v>
      </c>
      <c r="AP356" s="64">
        <f t="shared" si="170"/>
        <v>65000000000251</v>
      </c>
      <c r="AQ356" s="64">
        <f t="shared" si="171"/>
        <v>65000000000344</v>
      </c>
      <c r="AS356" s="64">
        <f t="shared" si="172"/>
        <v>65000000000251</v>
      </c>
      <c r="AU356" s="59" t="str">
        <f t="shared" si="193"/>
        <v>PERFORM * FROM "SchData-OLTP-Accounting"."Func_TblChartOfAccount_SET"(varSystemLoginSession, null, null, null, varInstitutionBranchID, 62000000000001::bigint,'5-3048', 'Customer Claims', 62000000000001::bigint, '2016-01-01 00:00:00'::timestamp, null::timestamp, 65000000000251::bigint, 66000000000001::bigint);</v>
      </c>
      <c r="AV356" s="65">
        <f t="shared" si="194"/>
        <v>65000000000346</v>
      </c>
      <c r="AW356" s="65">
        <f t="shared" si="195"/>
        <v>65000000000251</v>
      </c>
      <c r="AY356" s="65">
        <f t="shared" si="185"/>
        <v>65000000000147</v>
      </c>
      <c r="BA356" s="78">
        <f t="shared" si="196"/>
        <v>65000000000346</v>
      </c>
      <c r="BB356" s="81" t="str">
        <f t="shared" si="186"/>
        <v>PERFORM * FROM "SchData-OLTP-Accounting"."Func_TblChartOfAccount_SET"(varSystemLoginSession, null, null, null, null, null, varInstitutionBranchID, 62000000000001::bigint,'5-3048', 'Customer Claims', 62000000000001::bigint, '2016-01-01 00:00:00'::timestamp, null::timestamp, 65000000000251::bigint, 66000000000001::bigint, FALSE::boolean);</v>
      </c>
    </row>
    <row r="357" spans="2:54" x14ac:dyDescent="0.2">
      <c r="B357" s="41"/>
      <c r="C357" s="42"/>
      <c r="D357" s="43"/>
      <c r="E357" s="42"/>
      <c r="F357" s="43"/>
      <c r="G357" s="42"/>
      <c r="H357" s="51"/>
      <c r="I357" s="18"/>
      <c r="J357" s="51" t="s">
        <v>1523</v>
      </c>
      <c r="K357" s="18" t="s">
        <v>1355</v>
      </c>
      <c r="L357" s="51"/>
      <c r="M357" s="18"/>
      <c r="O357" s="58" t="str">
        <f t="shared" si="173"/>
        <v>5-0000</v>
      </c>
      <c r="P357" s="58" t="str">
        <f t="shared" si="174"/>
        <v>5-3000</v>
      </c>
      <c r="Q357" s="58" t="str">
        <f t="shared" si="175"/>
        <v>2-1200</v>
      </c>
      <c r="R357" s="58" t="str">
        <f t="shared" si="176"/>
        <v>5-3048</v>
      </c>
      <c r="S357" s="58" t="str">
        <f t="shared" si="177"/>
        <v>5-3048.01</v>
      </c>
      <c r="T357" s="58" t="str">
        <f t="shared" si="178"/>
        <v xml:space="preserve"> </v>
      </c>
      <c r="V357" s="72">
        <f t="shared" si="179"/>
        <v>65000000000347</v>
      </c>
      <c r="W357" s="60">
        <f t="shared" si="180"/>
        <v>65000000000186</v>
      </c>
      <c r="X357" s="60">
        <f t="shared" si="181"/>
        <v>65000000000251</v>
      </c>
      <c r="Y357" s="60">
        <f t="shared" si="182"/>
        <v>65000000000147</v>
      </c>
      <c r="Z357" s="60">
        <f t="shared" si="183"/>
        <v>65000000000346</v>
      </c>
      <c r="AA357" s="60">
        <f t="shared" si="166"/>
        <v>65000000000347</v>
      </c>
      <c r="AB357" s="60">
        <f t="shared" si="184"/>
        <v>65000000000000</v>
      </c>
      <c r="AD357" s="60">
        <f t="shared" si="187"/>
        <v>5</v>
      </c>
      <c r="AE357" s="60">
        <f t="shared" si="188"/>
        <v>4</v>
      </c>
      <c r="AF357" s="60">
        <f t="shared" si="189"/>
        <v>1</v>
      </c>
      <c r="AG357" s="60">
        <f t="shared" si="190"/>
        <v>89</v>
      </c>
      <c r="AH357" s="60">
        <f t="shared" si="191"/>
        <v>2</v>
      </c>
      <c r="AI357" s="60">
        <f t="shared" si="192"/>
        <v>1</v>
      </c>
      <c r="AK357" s="68" t="str">
        <f t="shared" si="167"/>
        <v>L5</v>
      </c>
      <c r="AM357" s="64" t="s">
        <v>1755</v>
      </c>
      <c r="AN357" s="64">
        <f t="shared" si="168"/>
        <v>65000000000186</v>
      </c>
      <c r="AO357" s="64">
        <f t="shared" si="169"/>
        <v>65000000000251</v>
      </c>
      <c r="AP357" s="64">
        <f t="shared" si="170"/>
        <v>65000000000251</v>
      </c>
      <c r="AQ357" s="64">
        <f t="shared" si="171"/>
        <v>65000000000346</v>
      </c>
      <c r="AS357" s="64">
        <f t="shared" si="172"/>
        <v>65000000000346</v>
      </c>
      <c r="AU357" s="59" t="str">
        <f t="shared" si="193"/>
        <v>PERFORM * FROM "SchData-OLTP-Accounting"."Func_TblChartOfAccount_SET"(varSystemLoginSession, null, null, null, varInstitutionBranchID, 62000000000001::bigint,'5-3048.01', 'Customer Claims (IDR)', 62000000000001::bigint, '2016-01-01 00:00:00'::timestamp, null::timestamp, 65000000000346::bigint, 66000000000001::bigint);</v>
      </c>
      <c r="AV357" s="65">
        <f t="shared" si="194"/>
        <v>65000000000347</v>
      </c>
      <c r="AW357" s="65">
        <f t="shared" si="195"/>
        <v>65000000000346</v>
      </c>
      <c r="AY357" s="65">
        <f t="shared" si="185"/>
        <v>65000000000346</v>
      </c>
      <c r="BA357" s="78">
        <f t="shared" si="196"/>
        <v>65000000000347</v>
      </c>
      <c r="BB357" s="81" t="str">
        <f t="shared" si="186"/>
        <v>PERFORM * FROM "SchData-OLTP-Accounting"."Func_TblChartOfAccount_SET"(varSystemLoginSession, null, null, null, null, null, varInstitutionBranchID, 62000000000001::bigint,'5-3048.01', 'Customer Claims (IDR)', 62000000000001::bigint, '2016-01-01 00:00:00'::timestamp, null::timestamp, 65000000000346::bigint, 66000000000001::bigint, FALSE::boolean);</v>
      </c>
    </row>
    <row r="358" spans="2:54" x14ac:dyDescent="0.2">
      <c r="B358" s="41"/>
      <c r="C358" s="42"/>
      <c r="D358" s="43"/>
      <c r="E358" s="42"/>
      <c r="F358" s="43"/>
      <c r="G358" s="42"/>
      <c r="H358" s="51" t="s">
        <v>1524</v>
      </c>
      <c r="I358" s="18" t="s">
        <v>505</v>
      </c>
      <c r="J358" s="51"/>
      <c r="K358" s="18"/>
      <c r="L358" s="51"/>
      <c r="M358" s="18"/>
      <c r="O358" s="58" t="str">
        <f t="shared" si="173"/>
        <v>5-0000</v>
      </c>
      <c r="P358" s="58" t="str">
        <f t="shared" si="174"/>
        <v>5-3000</v>
      </c>
      <c r="Q358" s="58" t="str">
        <f t="shared" si="175"/>
        <v>2-1200</v>
      </c>
      <c r="R358" s="58" t="str">
        <f t="shared" si="176"/>
        <v>5-3099</v>
      </c>
      <c r="S358" s="58" t="str">
        <f t="shared" si="177"/>
        <v>5-3048.01</v>
      </c>
      <c r="T358" s="58" t="str">
        <f t="shared" si="178"/>
        <v xml:space="preserve"> </v>
      </c>
      <c r="V358" s="72">
        <f t="shared" si="179"/>
        <v>65000000000348</v>
      </c>
      <c r="W358" s="60">
        <f t="shared" si="180"/>
        <v>65000000000186</v>
      </c>
      <c r="X358" s="60">
        <f t="shared" si="181"/>
        <v>65000000000251</v>
      </c>
      <c r="Y358" s="60">
        <f t="shared" si="182"/>
        <v>65000000000147</v>
      </c>
      <c r="Z358" s="60">
        <f t="shared" si="183"/>
        <v>65000000000348</v>
      </c>
      <c r="AA358" s="60">
        <f t="shared" si="166"/>
        <v>65000000000347</v>
      </c>
      <c r="AB358" s="60">
        <f t="shared" si="184"/>
        <v>65000000000000</v>
      </c>
      <c r="AD358" s="60">
        <f t="shared" si="187"/>
        <v>5</v>
      </c>
      <c r="AE358" s="60">
        <f t="shared" si="188"/>
        <v>4</v>
      </c>
      <c r="AF358" s="60">
        <f t="shared" si="189"/>
        <v>1</v>
      </c>
      <c r="AG358" s="60">
        <f t="shared" si="190"/>
        <v>90</v>
      </c>
      <c r="AH358" s="60">
        <f t="shared" si="191"/>
        <v>1</v>
      </c>
      <c r="AI358" s="60">
        <f t="shared" si="192"/>
        <v>1</v>
      </c>
      <c r="AK358" s="68" t="str">
        <f t="shared" si="167"/>
        <v>L4</v>
      </c>
      <c r="AM358" s="64" t="s">
        <v>1755</v>
      </c>
      <c r="AN358" s="64">
        <f t="shared" si="168"/>
        <v>65000000000186</v>
      </c>
      <c r="AO358" s="64">
        <f t="shared" si="169"/>
        <v>65000000000251</v>
      </c>
      <c r="AP358" s="64">
        <f t="shared" si="170"/>
        <v>65000000000251</v>
      </c>
      <c r="AQ358" s="64">
        <f t="shared" si="171"/>
        <v>65000000000346</v>
      </c>
      <c r="AS358" s="64">
        <f t="shared" si="172"/>
        <v>65000000000251</v>
      </c>
      <c r="AU358" s="59" t="str">
        <f t="shared" si="193"/>
        <v>PERFORM * FROM "SchData-OLTP-Accounting"."Func_TblChartOfAccount_SET"(varSystemLoginSession, null, null, null, varInstitutionBranchID, 62000000000001::bigint,'5-3099', 'Other Overhead', 62000000000001::bigint, '2016-01-01 00:00:00'::timestamp, null::timestamp, 65000000000251::bigint, 66000000000001::bigint);</v>
      </c>
      <c r="AV358" s="65">
        <f t="shared" si="194"/>
        <v>65000000000348</v>
      </c>
      <c r="AW358" s="65">
        <f t="shared" si="195"/>
        <v>65000000000251</v>
      </c>
      <c r="AY358" s="65">
        <f t="shared" si="185"/>
        <v>65000000000147</v>
      </c>
      <c r="BA358" s="78">
        <f t="shared" si="196"/>
        <v>65000000000348</v>
      </c>
      <c r="BB358" s="81" t="str">
        <f t="shared" si="186"/>
        <v>PERFORM * FROM "SchData-OLTP-Accounting"."Func_TblChartOfAccount_SET"(varSystemLoginSession, null, null, null, null, null, varInstitutionBranchID, 62000000000001::bigint,'5-3099', 'Other Overhead', 62000000000001::bigint, '2016-01-01 00:00:00'::timestamp, null::timestamp, 65000000000251::bigint, 66000000000001::bigint, FALSE::boolean);</v>
      </c>
    </row>
    <row r="359" spans="2:54" x14ac:dyDescent="0.2">
      <c r="B359" s="41"/>
      <c r="C359" s="42"/>
      <c r="D359" s="43"/>
      <c r="E359" s="42"/>
      <c r="F359" s="43"/>
      <c r="G359" s="42"/>
      <c r="H359" s="51"/>
      <c r="I359" s="18"/>
      <c r="J359" s="51" t="s">
        <v>1525</v>
      </c>
      <c r="K359" s="18" t="s">
        <v>1356</v>
      </c>
      <c r="L359" s="51"/>
      <c r="M359" s="18"/>
      <c r="O359" s="58" t="str">
        <f t="shared" si="173"/>
        <v>5-0000</v>
      </c>
      <c r="P359" s="58" t="str">
        <f t="shared" si="174"/>
        <v>5-3000</v>
      </c>
      <c r="Q359" s="58" t="str">
        <f t="shared" si="175"/>
        <v>2-1200</v>
      </c>
      <c r="R359" s="58" t="str">
        <f t="shared" si="176"/>
        <v>5-3099</v>
      </c>
      <c r="S359" s="58" t="str">
        <f t="shared" si="177"/>
        <v>5-3099.01</v>
      </c>
      <c r="T359" s="58" t="str">
        <f t="shared" si="178"/>
        <v xml:space="preserve"> </v>
      </c>
      <c r="V359" s="72">
        <f t="shared" si="179"/>
        <v>65000000000349</v>
      </c>
      <c r="W359" s="60">
        <f t="shared" si="180"/>
        <v>65000000000186</v>
      </c>
      <c r="X359" s="60">
        <f t="shared" si="181"/>
        <v>65000000000251</v>
      </c>
      <c r="Y359" s="60">
        <f t="shared" si="182"/>
        <v>65000000000147</v>
      </c>
      <c r="Z359" s="60">
        <f t="shared" si="183"/>
        <v>65000000000348</v>
      </c>
      <c r="AA359" s="60">
        <f t="shared" si="166"/>
        <v>65000000000349</v>
      </c>
      <c r="AB359" s="60">
        <f t="shared" si="184"/>
        <v>65000000000000</v>
      </c>
      <c r="AD359" s="60">
        <f t="shared" si="187"/>
        <v>5</v>
      </c>
      <c r="AE359" s="60">
        <f t="shared" si="188"/>
        <v>4</v>
      </c>
      <c r="AF359" s="60">
        <f t="shared" si="189"/>
        <v>1</v>
      </c>
      <c r="AG359" s="60">
        <f t="shared" si="190"/>
        <v>90</v>
      </c>
      <c r="AH359" s="60">
        <f t="shared" si="191"/>
        <v>2</v>
      </c>
      <c r="AI359" s="60">
        <f t="shared" si="192"/>
        <v>1</v>
      </c>
      <c r="AK359" s="68" t="str">
        <f t="shared" si="167"/>
        <v>L5</v>
      </c>
      <c r="AM359" s="64" t="s">
        <v>1755</v>
      </c>
      <c r="AN359" s="64">
        <f t="shared" si="168"/>
        <v>65000000000186</v>
      </c>
      <c r="AO359" s="64">
        <f t="shared" si="169"/>
        <v>65000000000251</v>
      </c>
      <c r="AP359" s="64">
        <f t="shared" si="170"/>
        <v>65000000000251</v>
      </c>
      <c r="AQ359" s="64">
        <f t="shared" si="171"/>
        <v>65000000000348</v>
      </c>
      <c r="AS359" s="64">
        <f t="shared" si="172"/>
        <v>65000000000348</v>
      </c>
      <c r="AU359" s="59" t="str">
        <f t="shared" si="193"/>
        <v>PERFORM * FROM "SchData-OLTP-Accounting"."Func_TblChartOfAccount_SET"(varSystemLoginSession, null, null, null, varInstitutionBranchID, 62000000000001::bigint,'5-3099.01', 'Other Overhead (IDR)', 62000000000001::bigint, '2016-01-01 00:00:00'::timestamp, null::timestamp, 65000000000348::bigint, 66000000000001::bigint);</v>
      </c>
      <c r="AV359" s="65">
        <f t="shared" si="194"/>
        <v>65000000000349</v>
      </c>
      <c r="AW359" s="65">
        <f t="shared" si="195"/>
        <v>65000000000348</v>
      </c>
      <c r="AY359" s="65">
        <f t="shared" si="185"/>
        <v>65000000000348</v>
      </c>
      <c r="BA359" s="78">
        <f t="shared" si="196"/>
        <v>65000000000349</v>
      </c>
      <c r="BB359" s="81" t="str">
        <f t="shared" si="186"/>
        <v>PERFORM * FROM "SchData-OLTP-Accounting"."Func_TblChartOfAccount_SET"(varSystemLoginSession, null, null, null, null, null, varInstitutionBranchID, 62000000000001::bigint,'5-3099.01', 'Other Overhead (IDR)', 62000000000001::bigint, '2016-01-01 00:00:00'::timestamp, null::timestamp, 65000000000348::bigint, 66000000000001::bigint, FALSE::boolean);</v>
      </c>
    </row>
    <row r="360" spans="2:54" ht="25.5" x14ac:dyDescent="0.2">
      <c r="B360" s="43" t="s">
        <v>1079</v>
      </c>
      <c r="C360" s="42" t="s">
        <v>1214</v>
      </c>
      <c r="D360" s="43"/>
      <c r="E360" s="42"/>
      <c r="F360" s="43"/>
      <c r="G360" s="42"/>
      <c r="H360" s="51"/>
      <c r="I360" s="18"/>
      <c r="J360" s="51"/>
      <c r="K360" s="18"/>
      <c r="L360" s="51"/>
      <c r="M360" s="18"/>
      <c r="O360" s="58" t="str">
        <f t="shared" si="173"/>
        <v>6-0000</v>
      </c>
      <c r="P360" s="58" t="str">
        <f t="shared" si="174"/>
        <v>5-3000</v>
      </c>
      <c r="Q360" s="58" t="str">
        <f t="shared" si="175"/>
        <v>2-1200</v>
      </c>
      <c r="R360" s="58" t="str">
        <f t="shared" si="176"/>
        <v>5-3099</v>
      </c>
      <c r="S360" s="58" t="str">
        <f t="shared" si="177"/>
        <v>5-3099.01</v>
      </c>
      <c r="T360" s="58" t="str">
        <f t="shared" si="178"/>
        <v xml:space="preserve"> </v>
      </c>
      <c r="V360" s="72">
        <f t="shared" si="179"/>
        <v>65000000000350</v>
      </c>
      <c r="W360" s="60">
        <f t="shared" si="180"/>
        <v>65000000000350</v>
      </c>
      <c r="X360" s="60">
        <f t="shared" si="181"/>
        <v>65000000000251</v>
      </c>
      <c r="Y360" s="60">
        <f t="shared" si="182"/>
        <v>65000000000147</v>
      </c>
      <c r="Z360" s="60">
        <f t="shared" si="183"/>
        <v>65000000000348</v>
      </c>
      <c r="AA360" s="60">
        <f t="shared" si="166"/>
        <v>65000000000349</v>
      </c>
      <c r="AB360" s="60">
        <f t="shared" si="184"/>
        <v>65000000000000</v>
      </c>
      <c r="AD360" s="60">
        <f t="shared" si="187"/>
        <v>6</v>
      </c>
      <c r="AE360" s="60">
        <f t="shared" si="188"/>
        <v>1</v>
      </c>
      <c r="AF360" s="60">
        <f t="shared" si="189"/>
        <v>1</v>
      </c>
      <c r="AG360" s="60">
        <f t="shared" si="190"/>
        <v>90</v>
      </c>
      <c r="AH360" s="60">
        <f t="shared" si="191"/>
        <v>2</v>
      </c>
      <c r="AI360" s="60">
        <f t="shared" si="192"/>
        <v>1</v>
      </c>
      <c r="AK360" s="68" t="str">
        <f t="shared" si="167"/>
        <v>L1</v>
      </c>
      <c r="AM360" s="64" t="s">
        <v>1755</v>
      </c>
      <c r="AN360" s="64">
        <f t="shared" si="168"/>
        <v>65000000000186</v>
      </c>
      <c r="AO360" s="64">
        <f t="shared" si="169"/>
        <v>65000000000251</v>
      </c>
      <c r="AP360" s="64">
        <f t="shared" si="170"/>
        <v>65000000000251</v>
      </c>
      <c r="AQ360" s="64">
        <f t="shared" si="171"/>
        <v>65000000000348</v>
      </c>
      <c r="AS360" s="64" t="str">
        <f t="shared" si="172"/>
        <v>null</v>
      </c>
      <c r="AU360" s="59" t="str">
        <f t="shared" si="193"/>
        <v>PERFORM * FROM "SchData-OLTP-Accounting"."Func_TblChartOfAccount_SET"(varSystemLoginSession, null, null, null, varInstitutionBranchID, 62000000000001::bigint,'6-0000', 'Biaya Administrasi &amp; Umum', 62000000000001::bigint, '2016-01-01 00:00:00'::timestamp, null::timestamp, null::bigint, 66000000000001::bigint);</v>
      </c>
      <c r="AV360" s="65">
        <f t="shared" si="194"/>
        <v>65000000000350</v>
      </c>
      <c r="AW360" s="65" t="str">
        <f t="shared" si="195"/>
        <v>null</v>
      </c>
      <c r="AY360" s="65" t="str">
        <f t="shared" si="185"/>
        <v>null</v>
      </c>
      <c r="BA360" s="78">
        <f t="shared" si="196"/>
        <v>65000000000350</v>
      </c>
      <c r="BB360" s="81" t="str">
        <f t="shared" si="186"/>
        <v>PERFORM * FROM "SchData-OLTP-Accounting"."Func_TblChartOfAccount_SET"(varSystemLoginSession, null, null, null, null, null, varInstitutionBranchID, 62000000000001::bigint,'6-0000', 'Biaya Administrasi &amp; Umum', 62000000000001::bigint, '2016-01-01 00:00:00'::timestamp, null::timestamp, null::bigint, 66000000000001::bigint, FALSE::boolean);</v>
      </c>
    </row>
    <row r="361" spans="2:54" x14ac:dyDescent="0.2">
      <c r="B361" s="41"/>
      <c r="C361" s="42"/>
      <c r="D361" s="43" t="s">
        <v>1170</v>
      </c>
      <c r="E361" s="42" t="s">
        <v>1173</v>
      </c>
      <c r="F361" s="43"/>
      <c r="G361" s="42"/>
      <c r="H361" s="51"/>
      <c r="I361" s="18"/>
      <c r="J361" s="51"/>
      <c r="K361" s="18"/>
      <c r="L361" s="51"/>
      <c r="M361" s="18"/>
      <c r="O361" s="58" t="str">
        <f t="shared" si="173"/>
        <v>6-0000</v>
      </c>
      <c r="P361" s="58" t="str">
        <f t="shared" si="174"/>
        <v>6-1000</v>
      </c>
      <c r="Q361" s="58" t="str">
        <f t="shared" si="175"/>
        <v>2-1200</v>
      </c>
      <c r="R361" s="58" t="str">
        <f t="shared" si="176"/>
        <v>5-3099</v>
      </c>
      <c r="S361" s="58" t="str">
        <f t="shared" si="177"/>
        <v>5-3099.01</v>
      </c>
      <c r="T361" s="58" t="str">
        <f t="shared" si="178"/>
        <v xml:space="preserve"> </v>
      </c>
      <c r="V361" s="72">
        <f t="shared" si="179"/>
        <v>65000000000351</v>
      </c>
      <c r="W361" s="60">
        <f t="shared" si="180"/>
        <v>65000000000350</v>
      </c>
      <c r="X361" s="60">
        <f t="shared" si="181"/>
        <v>65000000000351</v>
      </c>
      <c r="Y361" s="60">
        <f t="shared" si="182"/>
        <v>65000000000147</v>
      </c>
      <c r="Z361" s="60">
        <f t="shared" si="183"/>
        <v>65000000000348</v>
      </c>
      <c r="AA361" s="60">
        <f t="shared" si="166"/>
        <v>65000000000349</v>
      </c>
      <c r="AB361" s="60">
        <f t="shared" si="184"/>
        <v>65000000000000</v>
      </c>
      <c r="AD361" s="60">
        <f t="shared" si="187"/>
        <v>6</v>
      </c>
      <c r="AE361" s="60">
        <f t="shared" si="188"/>
        <v>2</v>
      </c>
      <c r="AF361" s="60">
        <f t="shared" si="189"/>
        <v>1</v>
      </c>
      <c r="AG361" s="60">
        <f t="shared" si="190"/>
        <v>90</v>
      </c>
      <c r="AH361" s="60">
        <f t="shared" si="191"/>
        <v>2</v>
      </c>
      <c r="AI361" s="60">
        <f t="shared" si="192"/>
        <v>1</v>
      </c>
      <c r="AK361" s="68" t="str">
        <f t="shared" si="167"/>
        <v>L2</v>
      </c>
      <c r="AM361" s="64" t="s">
        <v>1755</v>
      </c>
      <c r="AN361" s="64">
        <f t="shared" si="168"/>
        <v>65000000000350</v>
      </c>
      <c r="AO361" s="64">
        <f t="shared" si="169"/>
        <v>65000000000350</v>
      </c>
      <c r="AP361" s="64">
        <f t="shared" si="170"/>
        <v>65000000000350</v>
      </c>
      <c r="AQ361" s="64">
        <f t="shared" si="171"/>
        <v>65000000000350</v>
      </c>
      <c r="AS361" s="64">
        <f t="shared" si="172"/>
        <v>65000000000350</v>
      </c>
      <c r="AU361" s="59" t="str">
        <f t="shared" si="193"/>
        <v>PERFORM * FROM "SchData-OLTP-Accounting"."Func_TblChartOfAccount_SET"(varSystemLoginSession, null, null, null, varInstitutionBranchID, 62000000000001::bigint,'6-1000', 'Biaya Pegawai', 62000000000001::bigint, '2016-01-01 00:00:00'::timestamp, null::timestamp, 65000000000350::bigint, 66000000000001::bigint);</v>
      </c>
      <c r="AV361" s="65">
        <f t="shared" si="194"/>
        <v>65000000000351</v>
      </c>
      <c r="AW361" s="65">
        <f t="shared" si="195"/>
        <v>65000000000350</v>
      </c>
      <c r="AY361" s="65">
        <f t="shared" si="185"/>
        <v>65000000000350</v>
      </c>
      <c r="BA361" s="78">
        <f t="shared" si="196"/>
        <v>65000000000351</v>
      </c>
      <c r="BB361" s="81" t="str">
        <f t="shared" si="186"/>
        <v>PERFORM * FROM "SchData-OLTP-Accounting"."Func_TblChartOfAccount_SET"(varSystemLoginSession, null, null, null, null, null, varInstitutionBranchID, 62000000000001::bigint,'6-1000', 'Biaya Pegawai', 62000000000001::bigint, '2016-01-01 00:00:00'::timestamp, null::timestamp, 65000000000350::bigint, 66000000000001::bigint, FALSE::boolean);</v>
      </c>
    </row>
    <row r="362" spans="2:54" x14ac:dyDescent="0.2">
      <c r="B362" s="41"/>
      <c r="C362" s="42"/>
      <c r="D362" s="43"/>
      <c r="E362" s="42"/>
      <c r="F362" s="43"/>
      <c r="G362" s="42"/>
      <c r="H362" s="51" t="s">
        <v>1638</v>
      </c>
      <c r="I362" s="18" t="s">
        <v>509</v>
      </c>
      <c r="J362" s="51"/>
      <c r="K362" s="18"/>
      <c r="L362" s="51"/>
      <c r="M362" s="18"/>
      <c r="O362" s="58" t="str">
        <f t="shared" si="173"/>
        <v>6-0000</v>
      </c>
      <c r="P362" s="58" t="str">
        <f t="shared" si="174"/>
        <v>6-1000</v>
      </c>
      <c r="Q362" s="58" t="str">
        <f t="shared" si="175"/>
        <v>2-1200</v>
      </c>
      <c r="R362" s="58" t="str">
        <f t="shared" si="176"/>
        <v>6-1001</v>
      </c>
      <c r="S362" s="58" t="str">
        <f t="shared" si="177"/>
        <v>5-3099.01</v>
      </c>
      <c r="T362" s="58" t="str">
        <f t="shared" si="178"/>
        <v xml:space="preserve"> </v>
      </c>
      <c r="V362" s="72">
        <f t="shared" si="179"/>
        <v>65000000000352</v>
      </c>
      <c r="W362" s="60">
        <f t="shared" si="180"/>
        <v>65000000000350</v>
      </c>
      <c r="X362" s="60">
        <f t="shared" si="181"/>
        <v>65000000000351</v>
      </c>
      <c r="Y362" s="60">
        <f t="shared" si="182"/>
        <v>65000000000147</v>
      </c>
      <c r="Z362" s="60">
        <f t="shared" si="183"/>
        <v>65000000000352</v>
      </c>
      <c r="AA362" s="60">
        <f t="shared" si="166"/>
        <v>65000000000349</v>
      </c>
      <c r="AB362" s="60">
        <f t="shared" si="184"/>
        <v>65000000000000</v>
      </c>
      <c r="AD362" s="60">
        <f t="shared" si="187"/>
        <v>6</v>
      </c>
      <c r="AE362" s="60">
        <f t="shared" si="188"/>
        <v>2</v>
      </c>
      <c r="AF362" s="60">
        <f t="shared" si="189"/>
        <v>1</v>
      </c>
      <c r="AG362" s="60">
        <f t="shared" si="190"/>
        <v>91</v>
      </c>
      <c r="AH362" s="60">
        <f t="shared" si="191"/>
        <v>1</v>
      </c>
      <c r="AI362" s="60">
        <f t="shared" si="192"/>
        <v>1</v>
      </c>
      <c r="AK362" s="68" t="str">
        <f t="shared" si="167"/>
        <v>L4</v>
      </c>
      <c r="AM362" s="64" t="s">
        <v>1755</v>
      </c>
      <c r="AN362" s="64">
        <f t="shared" si="168"/>
        <v>65000000000350</v>
      </c>
      <c r="AO362" s="64">
        <f t="shared" si="169"/>
        <v>65000000000351</v>
      </c>
      <c r="AP362" s="64">
        <f t="shared" si="170"/>
        <v>65000000000351</v>
      </c>
      <c r="AQ362" s="64">
        <f t="shared" si="171"/>
        <v>65000000000351</v>
      </c>
      <c r="AS362" s="64">
        <f t="shared" si="172"/>
        <v>65000000000351</v>
      </c>
      <c r="AU362" s="59" t="str">
        <f t="shared" si="193"/>
        <v>PERFORM * FROM "SchData-OLTP-Accounting"."Func_TblChartOfAccount_SET"(varSystemLoginSession, null, null, null, varInstitutionBranchID, 62000000000001::bigint,'6-1001', 'Salary', 62000000000001::bigint, '2016-01-01 00:00:00'::timestamp, null::timestamp, 65000000000351::bigint, 66000000000001::bigint);</v>
      </c>
      <c r="AV362" s="65">
        <f t="shared" si="194"/>
        <v>65000000000352</v>
      </c>
      <c r="AW362" s="65">
        <f t="shared" si="195"/>
        <v>65000000000351</v>
      </c>
      <c r="AY362" s="65">
        <f t="shared" si="185"/>
        <v>65000000000351</v>
      </c>
      <c r="BA362" s="78">
        <f t="shared" si="196"/>
        <v>65000000000352</v>
      </c>
      <c r="BB362" s="81" t="str">
        <f t="shared" si="186"/>
        <v>PERFORM * FROM "SchData-OLTP-Accounting"."Func_TblChartOfAccount_SET"(varSystemLoginSession, null, null, null, null, null, varInstitutionBranchID, 62000000000001::bigint,'6-1001', 'Salary', 62000000000001::bigint, '2016-01-01 00:00:00'::timestamp, null::timestamp, 65000000000351::bigint, 66000000000001::bigint, FALSE::boolean);</v>
      </c>
    </row>
    <row r="363" spans="2:54" x14ac:dyDescent="0.2">
      <c r="B363" s="41"/>
      <c r="C363" s="42"/>
      <c r="D363" s="43"/>
      <c r="E363" s="42"/>
      <c r="F363" s="43"/>
      <c r="G363" s="42"/>
      <c r="H363" s="51"/>
      <c r="I363" s="18"/>
      <c r="J363" s="51" t="s">
        <v>1639</v>
      </c>
      <c r="K363" s="18" t="s">
        <v>1357</v>
      </c>
      <c r="L363" s="51"/>
      <c r="M363" s="18"/>
      <c r="O363" s="58" t="str">
        <f t="shared" si="173"/>
        <v>6-0000</v>
      </c>
      <c r="P363" s="58" t="str">
        <f t="shared" si="174"/>
        <v>6-1000</v>
      </c>
      <c r="Q363" s="58" t="str">
        <f t="shared" si="175"/>
        <v>2-1200</v>
      </c>
      <c r="R363" s="58" t="str">
        <f t="shared" si="176"/>
        <v>6-1001</v>
      </c>
      <c r="S363" s="58" t="str">
        <f t="shared" si="177"/>
        <v>6-1001.01</v>
      </c>
      <c r="T363" s="58" t="str">
        <f t="shared" si="178"/>
        <v xml:space="preserve"> </v>
      </c>
      <c r="V363" s="72">
        <f t="shared" si="179"/>
        <v>65000000000353</v>
      </c>
      <c r="W363" s="60">
        <f t="shared" si="180"/>
        <v>65000000000350</v>
      </c>
      <c r="X363" s="60">
        <f t="shared" si="181"/>
        <v>65000000000351</v>
      </c>
      <c r="Y363" s="60">
        <f t="shared" si="182"/>
        <v>65000000000147</v>
      </c>
      <c r="Z363" s="60">
        <f t="shared" si="183"/>
        <v>65000000000352</v>
      </c>
      <c r="AA363" s="60">
        <f t="shared" si="166"/>
        <v>65000000000353</v>
      </c>
      <c r="AB363" s="60">
        <f t="shared" si="184"/>
        <v>65000000000000</v>
      </c>
      <c r="AD363" s="60">
        <f t="shared" si="187"/>
        <v>6</v>
      </c>
      <c r="AE363" s="60">
        <f t="shared" si="188"/>
        <v>2</v>
      </c>
      <c r="AF363" s="60">
        <f t="shared" si="189"/>
        <v>1</v>
      </c>
      <c r="AG363" s="60">
        <f t="shared" si="190"/>
        <v>91</v>
      </c>
      <c r="AH363" s="60">
        <f t="shared" si="191"/>
        <v>2</v>
      </c>
      <c r="AI363" s="60">
        <f t="shared" si="192"/>
        <v>1</v>
      </c>
      <c r="AK363" s="68" t="str">
        <f t="shared" si="167"/>
        <v>L5</v>
      </c>
      <c r="AM363" s="64" t="s">
        <v>1755</v>
      </c>
      <c r="AN363" s="64">
        <f t="shared" si="168"/>
        <v>65000000000350</v>
      </c>
      <c r="AO363" s="64">
        <f t="shared" si="169"/>
        <v>65000000000351</v>
      </c>
      <c r="AP363" s="64">
        <f t="shared" si="170"/>
        <v>65000000000351</v>
      </c>
      <c r="AQ363" s="64">
        <f t="shared" si="171"/>
        <v>65000000000352</v>
      </c>
      <c r="AS363" s="64">
        <f t="shared" si="172"/>
        <v>65000000000352</v>
      </c>
      <c r="AU363" s="59" t="str">
        <f t="shared" si="193"/>
        <v>PERFORM * FROM "SchData-OLTP-Accounting"."Func_TblChartOfAccount_SET"(varSystemLoginSession, null, null, null, varInstitutionBranchID, 62000000000001::bigint,'6-1001.01', 'Salary (IDR)', 62000000000001::bigint, '2016-01-01 00:00:00'::timestamp, null::timestamp, 65000000000352::bigint, 66000000000001::bigint);</v>
      </c>
      <c r="AV363" s="65">
        <f t="shared" si="194"/>
        <v>65000000000353</v>
      </c>
      <c r="AW363" s="65">
        <f t="shared" si="195"/>
        <v>65000000000352</v>
      </c>
      <c r="AY363" s="65">
        <f t="shared" si="185"/>
        <v>65000000000352</v>
      </c>
      <c r="BA363" s="78">
        <f t="shared" si="196"/>
        <v>65000000000353</v>
      </c>
      <c r="BB363" s="81" t="str">
        <f t="shared" si="186"/>
        <v>PERFORM * FROM "SchData-OLTP-Accounting"."Func_TblChartOfAccount_SET"(varSystemLoginSession, null, null, null, null, null, varInstitutionBranchID, 62000000000001::bigint,'6-1001.01', 'Salary (IDR)', 62000000000001::bigint, '2016-01-01 00:00:00'::timestamp, null::timestamp, 65000000000352::bigint, 66000000000001::bigint, FALSE::boolean);</v>
      </c>
    </row>
    <row r="364" spans="2:54" x14ac:dyDescent="0.2">
      <c r="B364" s="41"/>
      <c r="C364" s="42"/>
      <c r="D364" s="43"/>
      <c r="E364" s="42"/>
      <c r="F364" s="43"/>
      <c r="G364" s="42"/>
      <c r="H364" s="51" t="s">
        <v>1640</v>
      </c>
      <c r="I364" s="18" t="s">
        <v>511</v>
      </c>
      <c r="J364" s="51"/>
      <c r="K364" s="18"/>
      <c r="L364" s="51"/>
      <c r="M364" s="18"/>
      <c r="O364" s="58" t="str">
        <f t="shared" si="173"/>
        <v>6-0000</v>
      </c>
      <c r="P364" s="58" t="str">
        <f t="shared" si="174"/>
        <v>6-1000</v>
      </c>
      <c r="Q364" s="58" t="str">
        <f t="shared" si="175"/>
        <v>2-1200</v>
      </c>
      <c r="R364" s="58" t="str">
        <f t="shared" si="176"/>
        <v>6-1002</v>
      </c>
      <c r="S364" s="58" t="str">
        <f t="shared" si="177"/>
        <v>6-1001.01</v>
      </c>
      <c r="T364" s="58" t="str">
        <f t="shared" si="178"/>
        <v xml:space="preserve"> </v>
      </c>
      <c r="V364" s="72">
        <f t="shared" si="179"/>
        <v>65000000000354</v>
      </c>
      <c r="W364" s="60">
        <f t="shared" si="180"/>
        <v>65000000000350</v>
      </c>
      <c r="X364" s="60">
        <f t="shared" si="181"/>
        <v>65000000000351</v>
      </c>
      <c r="Y364" s="60">
        <f t="shared" si="182"/>
        <v>65000000000147</v>
      </c>
      <c r="Z364" s="60">
        <f t="shared" si="183"/>
        <v>65000000000354</v>
      </c>
      <c r="AA364" s="60">
        <f t="shared" si="166"/>
        <v>65000000000353</v>
      </c>
      <c r="AB364" s="60">
        <f t="shared" si="184"/>
        <v>65000000000000</v>
      </c>
      <c r="AD364" s="60">
        <f t="shared" si="187"/>
        <v>6</v>
      </c>
      <c r="AE364" s="60">
        <f t="shared" si="188"/>
        <v>2</v>
      </c>
      <c r="AF364" s="60">
        <f t="shared" si="189"/>
        <v>1</v>
      </c>
      <c r="AG364" s="60">
        <f t="shared" si="190"/>
        <v>92</v>
      </c>
      <c r="AH364" s="60">
        <f t="shared" si="191"/>
        <v>1</v>
      </c>
      <c r="AI364" s="60">
        <f t="shared" si="192"/>
        <v>1</v>
      </c>
      <c r="AK364" s="68" t="str">
        <f t="shared" si="167"/>
        <v>L4</v>
      </c>
      <c r="AM364" s="64" t="s">
        <v>1755</v>
      </c>
      <c r="AN364" s="64">
        <f t="shared" si="168"/>
        <v>65000000000350</v>
      </c>
      <c r="AO364" s="64">
        <f t="shared" si="169"/>
        <v>65000000000351</v>
      </c>
      <c r="AP364" s="64">
        <f t="shared" si="170"/>
        <v>65000000000351</v>
      </c>
      <c r="AQ364" s="64">
        <f t="shared" si="171"/>
        <v>65000000000352</v>
      </c>
      <c r="AS364" s="64">
        <f t="shared" si="172"/>
        <v>65000000000351</v>
      </c>
      <c r="AU364" s="59" t="str">
        <f t="shared" si="193"/>
        <v>PERFORM * FROM "SchData-OLTP-Accounting"."Func_TblChartOfAccount_SET"(varSystemLoginSession, null, null, null, varInstitutionBranchID, 62000000000001::bigint,'6-1002', 'Overtime', 62000000000001::bigint, '2016-01-01 00:00:00'::timestamp, null::timestamp, 65000000000351::bigint, 66000000000001::bigint);</v>
      </c>
      <c r="AV364" s="65">
        <f t="shared" si="194"/>
        <v>65000000000354</v>
      </c>
      <c r="AW364" s="65">
        <f t="shared" si="195"/>
        <v>65000000000351</v>
      </c>
      <c r="AY364" s="65">
        <f t="shared" si="185"/>
        <v>65000000000147</v>
      </c>
      <c r="BA364" s="78">
        <f t="shared" si="196"/>
        <v>65000000000354</v>
      </c>
      <c r="BB364" s="81" t="str">
        <f t="shared" si="186"/>
        <v>PERFORM * FROM "SchData-OLTP-Accounting"."Func_TblChartOfAccount_SET"(varSystemLoginSession, null, null, null, null, null, varInstitutionBranchID, 62000000000001::bigint,'6-1002', 'Overtime', 62000000000001::bigint, '2016-01-01 00:00:00'::timestamp, null::timestamp, 65000000000351::bigint, 66000000000001::bigint, FALSE::boolean);</v>
      </c>
    </row>
    <row r="365" spans="2:54" x14ac:dyDescent="0.2">
      <c r="B365" s="41"/>
      <c r="C365" s="42"/>
      <c r="D365" s="43"/>
      <c r="E365" s="42"/>
      <c r="F365" s="43"/>
      <c r="G365" s="42"/>
      <c r="H365" s="51"/>
      <c r="I365" s="18"/>
      <c r="J365" s="51" t="s">
        <v>1641</v>
      </c>
      <c r="K365" s="18" t="s">
        <v>1358</v>
      </c>
      <c r="L365" s="51"/>
      <c r="M365" s="18"/>
      <c r="O365" s="58" t="str">
        <f t="shared" si="173"/>
        <v>6-0000</v>
      </c>
      <c r="P365" s="58" t="str">
        <f t="shared" si="174"/>
        <v>6-1000</v>
      </c>
      <c r="Q365" s="58" t="str">
        <f t="shared" si="175"/>
        <v>2-1200</v>
      </c>
      <c r="R365" s="58" t="str">
        <f t="shared" si="176"/>
        <v>6-1002</v>
      </c>
      <c r="S365" s="58" t="str">
        <f t="shared" si="177"/>
        <v>6-1002.01</v>
      </c>
      <c r="T365" s="58" t="str">
        <f t="shared" si="178"/>
        <v xml:space="preserve"> </v>
      </c>
      <c r="V365" s="72">
        <f t="shared" si="179"/>
        <v>65000000000355</v>
      </c>
      <c r="W365" s="60">
        <f t="shared" si="180"/>
        <v>65000000000350</v>
      </c>
      <c r="X365" s="60">
        <f t="shared" si="181"/>
        <v>65000000000351</v>
      </c>
      <c r="Y365" s="60">
        <f t="shared" si="182"/>
        <v>65000000000147</v>
      </c>
      <c r="Z365" s="60">
        <f t="shared" si="183"/>
        <v>65000000000354</v>
      </c>
      <c r="AA365" s="60">
        <f t="shared" si="166"/>
        <v>65000000000355</v>
      </c>
      <c r="AB365" s="60">
        <f t="shared" si="184"/>
        <v>65000000000000</v>
      </c>
      <c r="AD365" s="60">
        <f t="shared" si="187"/>
        <v>6</v>
      </c>
      <c r="AE365" s="60">
        <f t="shared" si="188"/>
        <v>2</v>
      </c>
      <c r="AF365" s="60">
        <f t="shared" si="189"/>
        <v>1</v>
      </c>
      <c r="AG365" s="60">
        <f t="shared" si="190"/>
        <v>92</v>
      </c>
      <c r="AH365" s="60">
        <f t="shared" si="191"/>
        <v>2</v>
      </c>
      <c r="AI365" s="60">
        <f t="shared" si="192"/>
        <v>1</v>
      </c>
      <c r="AK365" s="68" t="str">
        <f t="shared" si="167"/>
        <v>L5</v>
      </c>
      <c r="AM365" s="64" t="s">
        <v>1755</v>
      </c>
      <c r="AN365" s="64">
        <f t="shared" si="168"/>
        <v>65000000000350</v>
      </c>
      <c r="AO365" s="64">
        <f t="shared" si="169"/>
        <v>65000000000351</v>
      </c>
      <c r="AP365" s="64">
        <f t="shared" si="170"/>
        <v>65000000000351</v>
      </c>
      <c r="AQ365" s="64">
        <f t="shared" si="171"/>
        <v>65000000000354</v>
      </c>
      <c r="AS365" s="64">
        <f t="shared" si="172"/>
        <v>65000000000354</v>
      </c>
      <c r="AU365" s="59" t="str">
        <f t="shared" si="193"/>
        <v>PERFORM * FROM "SchData-OLTP-Accounting"."Func_TblChartOfAccount_SET"(varSystemLoginSession, null, null, null, varInstitutionBranchID, 62000000000001::bigint,'6-1002.01', 'Overtime (IDR)', 62000000000001::bigint, '2016-01-01 00:00:00'::timestamp, null::timestamp, 65000000000354::bigint, 66000000000001::bigint);</v>
      </c>
      <c r="AV365" s="65">
        <f t="shared" si="194"/>
        <v>65000000000355</v>
      </c>
      <c r="AW365" s="65">
        <f t="shared" si="195"/>
        <v>65000000000354</v>
      </c>
      <c r="AY365" s="65">
        <f t="shared" si="185"/>
        <v>65000000000354</v>
      </c>
      <c r="BA365" s="78">
        <f t="shared" si="196"/>
        <v>65000000000355</v>
      </c>
      <c r="BB365" s="81" t="str">
        <f t="shared" si="186"/>
        <v>PERFORM * FROM "SchData-OLTP-Accounting"."Func_TblChartOfAccount_SET"(varSystemLoginSession, null, null, null, null, null, varInstitutionBranchID, 62000000000001::bigint,'6-1002.01', 'Overtime (IDR)', 62000000000001::bigint, '2016-01-01 00:00:00'::timestamp, null::timestamp, 65000000000354::bigint, 66000000000001::bigint, FALSE::boolean);</v>
      </c>
    </row>
    <row r="366" spans="2:54" x14ac:dyDescent="0.2">
      <c r="B366" s="41"/>
      <c r="C366" s="42"/>
      <c r="D366" s="43"/>
      <c r="E366" s="42"/>
      <c r="F366" s="43"/>
      <c r="G366" s="42"/>
      <c r="H366" s="51" t="s">
        <v>1642</v>
      </c>
      <c r="I366" s="18" t="s">
        <v>513</v>
      </c>
      <c r="J366" s="51"/>
      <c r="K366" s="18"/>
      <c r="L366" s="51"/>
      <c r="M366" s="18"/>
      <c r="O366" s="58" t="str">
        <f t="shared" si="173"/>
        <v>6-0000</v>
      </c>
      <c r="P366" s="58" t="str">
        <f t="shared" si="174"/>
        <v>6-1000</v>
      </c>
      <c r="Q366" s="58" t="str">
        <f t="shared" si="175"/>
        <v>2-1200</v>
      </c>
      <c r="R366" s="58" t="str">
        <f t="shared" si="176"/>
        <v>6-1003</v>
      </c>
      <c r="S366" s="58" t="str">
        <f t="shared" si="177"/>
        <v>6-1002.01</v>
      </c>
      <c r="T366" s="58" t="str">
        <f t="shared" si="178"/>
        <v xml:space="preserve"> </v>
      </c>
      <c r="V366" s="72">
        <f t="shared" si="179"/>
        <v>65000000000356</v>
      </c>
      <c r="W366" s="60">
        <f t="shared" si="180"/>
        <v>65000000000350</v>
      </c>
      <c r="X366" s="60">
        <f t="shared" si="181"/>
        <v>65000000000351</v>
      </c>
      <c r="Y366" s="60">
        <f t="shared" si="182"/>
        <v>65000000000147</v>
      </c>
      <c r="Z366" s="60">
        <f t="shared" si="183"/>
        <v>65000000000356</v>
      </c>
      <c r="AA366" s="60">
        <f t="shared" si="166"/>
        <v>65000000000355</v>
      </c>
      <c r="AB366" s="60">
        <f t="shared" si="184"/>
        <v>65000000000000</v>
      </c>
      <c r="AD366" s="60">
        <f t="shared" si="187"/>
        <v>6</v>
      </c>
      <c r="AE366" s="60">
        <f t="shared" si="188"/>
        <v>2</v>
      </c>
      <c r="AF366" s="60">
        <f t="shared" si="189"/>
        <v>1</v>
      </c>
      <c r="AG366" s="60">
        <f t="shared" si="190"/>
        <v>93</v>
      </c>
      <c r="AH366" s="60">
        <f t="shared" si="191"/>
        <v>1</v>
      </c>
      <c r="AI366" s="60">
        <f t="shared" si="192"/>
        <v>1</v>
      </c>
      <c r="AK366" s="68" t="str">
        <f t="shared" si="167"/>
        <v>L4</v>
      </c>
      <c r="AM366" s="64" t="s">
        <v>1755</v>
      </c>
      <c r="AN366" s="64">
        <f t="shared" si="168"/>
        <v>65000000000350</v>
      </c>
      <c r="AO366" s="64">
        <f t="shared" si="169"/>
        <v>65000000000351</v>
      </c>
      <c r="AP366" s="64">
        <f t="shared" si="170"/>
        <v>65000000000351</v>
      </c>
      <c r="AQ366" s="64">
        <f t="shared" si="171"/>
        <v>65000000000354</v>
      </c>
      <c r="AS366" s="64">
        <f t="shared" si="172"/>
        <v>65000000000351</v>
      </c>
      <c r="AU366" s="59" t="str">
        <f t="shared" si="193"/>
        <v>PERFORM * FROM "SchData-OLTP-Accounting"."Func_TblChartOfAccount_SET"(varSystemLoginSession, null, null, null, varInstitutionBranchID, 62000000000001::bigint,'6-1003', 'Bonus, THR', 62000000000001::bigint, '2016-01-01 00:00:00'::timestamp, null::timestamp, 65000000000351::bigint, 66000000000001::bigint);</v>
      </c>
      <c r="AV366" s="65">
        <f t="shared" si="194"/>
        <v>65000000000356</v>
      </c>
      <c r="AW366" s="65">
        <f t="shared" si="195"/>
        <v>65000000000351</v>
      </c>
      <c r="AY366" s="65">
        <f t="shared" si="185"/>
        <v>65000000000147</v>
      </c>
      <c r="BA366" s="78">
        <f t="shared" si="196"/>
        <v>65000000000356</v>
      </c>
      <c r="BB366" s="81" t="str">
        <f t="shared" si="186"/>
        <v>PERFORM * FROM "SchData-OLTP-Accounting"."Func_TblChartOfAccount_SET"(varSystemLoginSession, null, null, null, null, null, varInstitutionBranchID, 62000000000001::bigint,'6-1003', 'Bonus, THR', 62000000000001::bigint, '2016-01-01 00:00:00'::timestamp, null::timestamp, 65000000000351::bigint, 66000000000001::bigint, FALSE::boolean);</v>
      </c>
    </row>
    <row r="367" spans="2:54" x14ac:dyDescent="0.2">
      <c r="B367" s="41"/>
      <c r="C367" s="42"/>
      <c r="D367" s="43"/>
      <c r="E367" s="42"/>
      <c r="F367" s="43"/>
      <c r="G367" s="42"/>
      <c r="H367" s="51"/>
      <c r="I367" s="18"/>
      <c r="J367" s="51" t="s">
        <v>1643</v>
      </c>
      <c r="K367" s="18" t="s">
        <v>1359</v>
      </c>
      <c r="L367" s="51"/>
      <c r="M367" s="18"/>
      <c r="O367" s="58" t="str">
        <f t="shared" si="173"/>
        <v>6-0000</v>
      </c>
      <c r="P367" s="58" t="str">
        <f t="shared" si="174"/>
        <v>6-1000</v>
      </c>
      <c r="Q367" s="58" t="str">
        <f t="shared" si="175"/>
        <v>2-1200</v>
      </c>
      <c r="R367" s="58" t="str">
        <f t="shared" si="176"/>
        <v>6-1003</v>
      </c>
      <c r="S367" s="58" t="str">
        <f t="shared" si="177"/>
        <v>6-1003.01</v>
      </c>
      <c r="T367" s="58" t="str">
        <f t="shared" si="178"/>
        <v xml:space="preserve"> </v>
      </c>
      <c r="V367" s="72">
        <f t="shared" si="179"/>
        <v>65000000000357</v>
      </c>
      <c r="W367" s="60">
        <f t="shared" si="180"/>
        <v>65000000000350</v>
      </c>
      <c r="X367" s="60">
        <f t="shared" si="181"/>
        <v>65000000000351</v>
      </c>
      <c r="Y367" s="60">
        <f t="shared" si="182"/>
        <v>65000000000147</v>
      </c>
      <c r="Z367" s="60">
        <f t="shared" si="183"/>
        <v>65000000000356</v>
      </c>
      <c r="AA367" s="60">
        <f t="shared" si="166"/>
        <v>65000000000357</v>
      </c>
      <c r="AB367" s="60">
        <f t="shared" si="184"/>
        <v>65000000000000</v>
      </c>
      <c r="AD367" s="60">
        <f t="shared" si="187"/>
        <v>6</v>
      </c>
      <c r="AE367" s="60">
        <f t="shared" si="188"/>
        <v>2</v>
      </c>
      <c r="AF367" s="60">
        <f t="shared" si="189"/>
        <v>1</v>
      </c>
      <c r="AG367" s="60">
        <f t="shared" si="190"/>
        <v>93</v>
      </c>
      <c r="AH367" s="60">
        <f t="shared" si="191"/>
        <v>2</v>
      </c>
      <c r="AI367" s="60">
        <f t="shared" si="192"/>
        <v>1</v>
      </c>
      <c r="AK367" s="68" t="str">
        <f t="shared" si="167"/>
        <v>L5</v>
      </c>
      <c r="AM367" s="64" t="s">
        <v>1755</v>
      </c>
      <c r="AN367" s="64">
        <f t="shared" si="168"/>
        <v>65000000000350</v>
      </c>
      <c r="AO367" s="64">
        <f t="shared" si="169"/>
        <v>65000000000351</v>
      </c>
      <c r="AP367" s="64">
        <f t="shared" si="170"/>
        <v>65000000000351</v>
      </c>
      <c r="AQ367" s="64">
        <f t="shared" si="171"/>
        <v>65000000000356</v>
      </c>
      <c r="AS367" s="64">
        <f t="shared" si="172"/>
        <v>65000000000356</v>
      </c>
      <c r="AU367" s="59" t="str">
        <f t="shared" si="193"/>
        <v>PERFORM * FROM "SchData-OLTP-Accounting"."Func_TblChartOfAccount_SET"(varSystemLoginSession, null, null, null, varInstitutionBranchID, 62000000000001::bigint,'6-1003.01', 'Bonus, THR (IDR)', 62000000000001::bigint, '2016-01-01 00:00:00'::timestamp, null::timestamp, 65000000000356::bigint, 66000000000001::bigint);</v>
      </c>
      <c r="AV367" s="65">
        <f t="shared" si="194"/>
        <v>65000000000357</v>
      </c>
      <c r="AW367" s="65">
        <f t="shared" si="195"/>
        <v>65000000000356</v>
      </c>
      <c r="AY367" s="65">
        <f t="shared" si="185"/>
        <v>65000000000356</v>
      </c>
      <c r="BA367" s="78">
        <f t="shared" si="196"/>
        <v>65000000000357</v>
      </c>
      <c r="BB367" s="81" t="str">
        <f t="shared" si="186"/>
        <v>PERFORM * FROM "SchData-OLTP-Accounting"."Func_TblChartOfAccount_SET"(varSystemLoginSession, null, null, null, null, null, varInstitutionBranchID, 62000000000001::bigint,'6-1003.01', 'Bonus, THR (IDR)', 62000000000001::bigint, '2016-01-01 00:00:00'::timestamp, null::timestamp, 65000000000356::bigint, 66000000000001::bigint, FALSE::boolean);</v>
      </c>
    </row>
    <row r="368" spans="2:54" x14ac:dyDescent="0.2">
      <c r="B368" s="41"/>
      <c r="C368" s="42"/>
      <c r="D368" s="43"/>
      <c r="E368" s="42"/>
      <c r="F368" s="43"/>
      <c r="G368" s="42"/>
      <c r="H368" s="51" t="s">
        <v>1644</v>
      </c>
      <c r="I368" s="18" t="s">
        <v>515</v>
      </c>
      <c r="J368" s="51"/>
      <c r="K368" s="18"/>
      <c r="L368" s="51"/>
      <c r="M368" s="18"/>
      <c r="O368" s="58" t="str">
        <f t="shared" si="173"/>
        <v>6-0000</v>
      </c>
      <c r="P368" s="58" t="str">
        <f t="shared" si="174"/>
        <v>6-1000</v>
      </c>
      <c r="Q368" s="58" t="str">
        <f t="shared" si="175"/>
        <v>2-1200</v>
      </c>
      <c r="R368" s="58" t="str">
        <f t="shared" si="176"/>
        <v>6-1004</v>
      </c>
      <c r="S368" s="58" t="str">
        <f t="shared" si="177"/>
        <v>6-1003.01</v>
      </c>
      <c r="T368" s="58" t="str">
        <f t="shared" si="178"/>
        <v xml:space="preserve"> </v>
      </c>
      <c r="V368" s="72">
        <f t="shared" si="179"/>
        <v>65000000000358</v>
      </c>
      <c r="W368" s="60">
        <f t="shared" si="180"/>
        <v>65000000000350</v>
      </c>
      <c r="X368" s="60">
        <f t="shared" si="181"/>
        <v>65000000000351</v>
      </c>
      <c r="Y368" s="60">
        <f t="shared" si="182"/>
        <v>65000000000147</v>
      </c>
      <c r="Z368" s="60">
        <f t="shared" si="183"/>
        <v>65000000000358</v>
      </c>
      <c r="AA368" s="60">
        <f t="shared" si="166"/>
        <v>65000000000357</v>
      </c>
      <c r="AB368" s="60">
        <f t="shared" si="184"/>
        <v>65000000000000</v>
      </c>
      <c r="AD368" s="60">
        <f t="shared" si="187"/>
        <v>6</v>
      </c>
      <c r="AE368" s="60">
        <f t="shared" si="188"/>
        <v>2</v>
      </c>
      <c r="AF368" s="60">
        <f t="shared" si="189"/>
        <v>1</v>
      </c>
      <c r="AG368" s="60">
        <f t="shared" si="190"/>
        <v>94</v>
      </c>
      <c r="AH368" s="60">
        <f t="shared" si="191"/>
        <v>1</v>
      </c>
      <c r="AI368" s="60">
        <f t="shared" si="192"/>
        <v>1</v>
      </c>
      <c r="AK368" s="68" t="str">
        <f t="shared" si="167"/>
        <v>L4</v>
      </c>
      <c r="AM368" s="64" t="s">
        <v>1755</v>
      </c>
      <c r="AN368" s="64">
        <f t="shared" si="168"/>
        <v>65000000000350</v>
      </c>
      <c r="AO368" s="64">
        <f t="shared" si="169"/>
        <v>65000000000351</v>
      </c>
      <c r="AP368" s="64">
        <f t="shared" si="170"/>
        <v>65000000000351</v>
      </c>
      <c r="AQ368" s="64">
        <f t="shared" si="171"/>
        <v>65000000000356</v>
      </c>
      <c r="AS368" s="64">
        <f t="shared" si="172"/>
        <v>65000000000351</v>
      </c>
      <c r="AU368" s="59" t="str">
        <f t="shared" si="193"/>
        <v>PERFORM * FROM "SchData-OLTP-Accounting"."Func_TblChartOfAccount_SET"(varSystemLoginSession, null, null, null, varInstitutionBranchID, 62000000000001::bigint,'6-1004', 'Performance Bonus', 62000000000001::bigint, '2016-01-01 00:00:00'::timestamp, null::timestamp, 65000000000351::bigint, 66000000000001::bigint);</v>
      </c>
      <c r="AV368" s="65">
        <f t="shared" si="194"/>
        <v>65000000000358</v>
      </c>
      <c r="AW368" s="65">
        <f t="shared" si="195"/>
        <v>65000000000351</v>
      </c>
      <c r="AY368" s="65">
        <f t="shared" si="185"/>
        <v>65000000000147</v>
      </c>
      <c r="BA368" s="78">
        <f t="shared" si="196"/>
        <v>65000000000358</v>
      </c>
      <c r="BB368" s="81" t="str">
        <f t="shared" si="186"/>
        <v>PERFORM * FROM "SchData-OLTP-Accounting"."Func_TblChartOfAccount_SET"(varSystemLoginSession, null, null, null, null, null, varInstitutionBranchID, 62000000000001::bigint,'6-1004', 'Performance Bonus', 62000000000001::bigint, '2016-01-01 00:00:00'::timestamp, null::timestamp, 65000000000351::bigint, 66000000000001::bigint, FALSE::boolean);</v>
      </c>
    </row>
    <row r="369" spans="2:54" x14ac:dyDescent="0.2">
      <c r="B369" s="41"/>
      <c r="C369" s="42"/>
      <c r="D369" s="43"/>
      <c r="E369" s="42"/>
      <c r="F369" s="43"/>
      <c r="G369" s="42"/>
      <c r="H369" s="51"/>
      <c r="I369" s="18"/>
      <c r="J369" s="51" t="s">
        <v>1645</v>
      </c>
      <c r="K369" s="18" t="s">
        <v>1360</v>
      </c>
      <c r="L369" s="51"/>
      <c r="M369" s="18"/>
      <c r="O369" s="58" t="str">
        <f t="shared" si="173"/>
        <v>6-0000</v>
      </c>
      <c r="P369" s="58" t="str">
        <f t="shared" si="174"/>
        <v>6-1000</v>
      </c>
      <c r="Q369" s="58" t="str">
        <f t="shared" si="175"/>
        <v>2-1200</v>
      </c>
      <c r="R369" s="58" t="str">
        <f t="shared" si="176"/>
        <v>6-1004</v>
      </c>
      <c r="S369" s="58" t="str">
        <f t="shared" si="177"/>
        <v>6-1004.01</v>
      </c>
      <c r="T369" s="58" t="str">
        <f t="shared" si="178"/>
        <v xml:space="preserve"> </v>
      </c>
      <c r="V369" s="72">
        <f t="shared" si="179"/>
        <v>65000000000359</v>
      </c>
      <c r="W369" s="60">
        <f t="shared" si="180"/>
        <v>65000000000350</v>
      </c>
      <c r="X369" s="60">
        <f t="shared" si="181"/>
        <v>65000000000351</v>
      </c>
      <c r="Y369" s="60">
        <f t="shared" si="182"/>
        <v>65000000000147</v>
      </c>
      <c r="Z369" s="60">
        <f t="shared" si="183"/>
        <v>65000000000358</v>
      </c>
      <c r="AA369" s="60">
        <f t="shared" si="166"/>
        <v>65000000000359</v>
      </c>
      <c r="AB369" s="60">
        <f t="shared" si="184"/>
        <v>65000000000000</v>
      </c>
      <c r="AD369" s="60">
        <f t="shared" si="187"/>
        <v>6</v>
      </c>
      <c r="AE369" s="60">
        <f t="shared" si="188"/>
        <v>2</v>
      </c>
      <c r="AF369" s="60">
        <f t="shared" si="189"/>
        <v>1</v>
      </c>
      <c r="AG369" s="60">
        <f t="shared" si="190"/>
        <v>94</v>
      </c>
      <c r="AH369" s="60">
        <f t="shared" si="191"/>
        <v>2</v>
      </c>
      <c r="AI369" s="60">
        <f t="shared" si="192"/>
        <v>1</v>
      </c>
      <c r="AK369" s="68" t="str">
        <f t="shared" si="167"/>
        <v>L5</v>
      </c>
      <c r="AM369" s="64" t="s">
        <v>1755</v>
      </c>
      <c r="AN369" s="64">
        <f t="shared" si="168"/>
        <v>65000000000350</v>
      </c>
      <c r="AO369" s="64">
        <f t="shared" si="169"/>
        <v>65000000000351</v>
      </c>
      <c r="AP369" s="64">
        <f t="shared" si="170"/>
        <v>65000000000351</v>
      </c>
      <c r="AQ369" s="64">
        <f t="shared" si="171"/>
        <v>65000000000358</v>
      </c>
      <c r="AS369" s="64">
        <f t="shared" si="172"/>
        <v>65000000000358</v>
      </c>
      <c r="AU369" s="59" t="str">
        <f t="shared" si="193"/>
        <v>PERFORM * FROM "SchData-OLTP-Accounting"."Func_TblChartOfAccount_SET"(varSystemLoginSession, null, null, null, varInstitutionBranchID, 62000000000001::bigint,'6-1004.01', 'Performance Bonus (IDR)', 62000000000001::bigint, '2016-01-01 00:00:00'::timestamp, null::timestamp, 65000000000358::bigint, 66000000000001::bigint);</v>
      </c>
      <c r="AV369" s="65">
        <f t="shared" si="194"/>
        <v>65000000000359</v>
      </c>
      <c r="AW369" s="65">
        <f t="shared" si="195"/>
        <v>65000000000358</v>
      </c>
      <c r="AY369" s="65">
        <f t="shared" si="185"/>
        <v>65000000000358</v>
      </c>
      <c r="BA369" s="78">
        <f t="shared" si="196"/>
        <v>65000000000359</v>
      </c>
      <c r="BB369" s="81" t="str">
        <f t="shared" si="186"/>
        <v>PERFORM * FROM "SchData-OLTP-Accounting"."Func_TblChartOfAccount_SET"(varSystemLoginSession, null, null, null, null, null, varInstitutionBranchID, 62000000000001::bigint,'6-1004.01', 'Performance Bonus (IDR)', 62000000000001::bigint, '2016-01-01 00:00:00'::timestamp, null::timestamp, 65000000000358::bigint, 66000000000001::bigint, FALSE::boolean);</v>
      </c>
    </row>
    <row r="370" spans="2:54" x14ac:dyDescent="0.2">
      <c r="B370" s="41"/>
      <c r="C370" s="42"/>
      <c r="D370" s="43"/>
      <c r="E370" s="42"/>
      <c r="F370" s="43"/>
      <c r="G370" s="42"/>
      <c r="H370" s="51" t="s">
        <v>1646</v>
      </c>
      <c r="I370" s="18" t="s">
        <v>517</v>
      </c>
      <c r="J370" s="51"/>
      <c r="K370" s="18"/>
      <c r="L370" s="51"/>
      <c r="M370" s="18"/>
      <c r="O370" s="58" t="str">
        <f t="shared" si="173"/>
        <v>6-0000</v>
      </c>
      <c r="P370" s="58" t="str">
        <f t="shared" si="174"/>
        <v>6-1000</v>
      </c>
      <c r="Q370" s="58" t="str">
        <f t="shared" si="175"/>
        <v>2-1200</v>
      </c>
      <c r="R370" s="58" t="str">
        <f t="shared" si="176"/>
        <v>6-1005</v>
      </c>
      <c r="S370" s="58" t="str">
        <f t="shared" si="177"/>
        <v>6-1004.01</v>
      </c>
      <c r="T370" s="58" t="str">
        <f t="shared" si="178"/>
        <v xml:space="preserve"> </v>
      </c>
      <c r="V370" s="72">
        <f t="shared" si="179"/>
        <v>65000000000360</v>
      </c>
      <c r="W370" s="60">
        <f t="shared" si="180"/>
        <v>65000000000350</v>
      </c>
      <c r="X370" s="60">
        <f t="shared" si="181"/>
        <v>65000000000351</v>
      </c>
      <c r="Y370" s="60">
        <f t="shared" si="182"/>
        <v>65000000000147</v>
      </c>
      <c r="Z370" s="60">
        <f t="shared" si="183"/>
        <v>65000000000360</v>
      </c>
      <c r="AA370" s="60">
        <f t="shared" si="166"/>
        <v>65000000000359</v>
      </c>
      <c r="AB370" s="60">
        <f t="shared" si="184"/>
        <v>65000000000000</v>
      </c>
      <c r="AD370" s="60">
        <f t="shared" si="187"/>
        <v>6</v>
      </c>
      <c r="AE370" s="60">
        <f t="shared" si="188"/>
        <v>2</v>
      </c>
      <c r="AF370" s="60">
        <f t="shared" si="189"/>
        <v>1</v>
      </c>
      <c r="AG370" s="60">
        <f t="shared" si="190"/>
        <v>95</v>
      </c>
      <c r="AH370" s="60">
        <f t="shared" si="191"/>
        <v>1</v>
      </c>
      <c r="AI370" s="60">
        <f t="shared" si="192"/>
        <v>1</v>
      </c>
      <c r="AK370" s="68" t="str">
        <f t="shared" si="167"/>
        <v>L4</v>
      </c>
      <c r="AM370" s="64" t="s">
        <v>1755</v>
      </c>
      <c r="AN370" s="64">
        <f t="shared" si="168"/>
        <v>65000000000350</v>
      </c>
      <c r="AO370" s="64">
        <f t="shared" si="169"/>
        <v>65000000000351</v>
      </c>
      <c r="AP370" s="64">
        <f t="shared" si="170"/>
        <v>65000000000351</v>
      </c>
      <c r="AQ370" s="64">
        <f t="shared" si="171"/>
        <v>65000000000358</v>
      </c>
      <c r="AS370" s="64">
        <f t="shared" si="172"/>
        <v>65000000000351</v>
      </c>
      <c r="AU370" s="59" t="str">
        <f t="shared" si="193"/>
        <v>PERFORM * FROM "SchData-OLTP-Accounting"."Func_TblChartOfAccount_SET"(varSystemLoginSession, null, null, null, varInstitutionBranchID, 62000000000001::bigint,'6-1005', 'Jamsostek', 62000000000001::bigint, '2016-01-01 00:00:00'::timestamp, null::timestamp, 65000000000351::bigint, 66000000000001::bigint);</v>
      </c>
      <c r="AV370" s="65">
        <f t="shared" si="194"/>
        <v>65000000000360</v>
      </c>
      <c r="AW370" s="65">
        <f t="shared" si="195"/>
        <v>65000000000351</v>
      </c>
      <c r="AY370" s="65">
        <f t="shared" si="185"/>
        <v>65000000000147</v>
      </c>
      <c r="BA370" s="78">
        <f t="shared" si="196"/>
        <v>65000000000360</v>
      </c>
      <c r="BB370" s="81" t="str">
        <f t="shared" si="186"/>
        <v>PERFORM * FROM "SchData-OLTP-Accounting"."Func_TblChartOfAccount_SET"(varSystemLoginSession, null, null, null, null, null, varInstitutionBranchID, 62000000000001::bigint,'6-1005', 'Jamsostek', 62000000000001::bigint, '2016-01-01 00:00:00'::timestamp, null::timestamp, 65000000000351::bigint, 66000000000001::bigint, FALSE::boolean);</v>
      </c>
    </row>
    <row r="371" spans="2:54" x14ac:dyDescent="0.2">
      <c r="B371" s="41"/>
      <c r="C371" s="42"/>
      <c r="D371" s="43"/>
      <c r="E371" s="42"/>
      <c r="F371" s="43"/>
      <c r="G371" s="42"/>
      <c r="H371" s="51"/>
      <c r="I371" s="18"/>
      <c r="J371" s="51" t="s">
        <v>1647</v>
      </c>
      <c r="K371" s="18" t="s">
        <v>1361</v>
      </c>
      <c r="L371" s="51"/>
      <c r="M371" s="18"/>
      <c r="O371" s="58" t="str">
        <f t="shared" si="173"/>
        <v>6-0000</v>
      </c>
      <c r="P371" s="58" t="str">
        <f t="shared" si="174"/>
        <v>6-1000</v>
      </c>
      <c r="Q371" s="58" t="str">
        <f t="shared" si="175"/>
        <v>2-1200</v>
      </c>
      <c r="R371" s="58" t="str">
        <f t="shared" si="176"/>
        <v>6-1005</v>
      </c>
      <c r="S371" s="58" t="str">
        <f t="shared" si="177"/>
        <v>6-1005.01</v>
      </c>
      <c r="T371" s="58" t="str">
        <f t="shared" si="178"/>
        <v xml:space="preserve"> </v>
      </c>
      <c r="V371" s="72">
        <f t="shared" si="179"/>
        <v>65000000000361</v>
      </c>
      <c r="W371" s="60">
        <f t="shared" si="180"/>
        <v>65000000000350</v>
      </c>
      <c r="X371" s="60">
        <f t="shared" si="181"/>
        <v>65000000000351</v>
      </c>
      <c r="Y371" s="60">
        <f t="shared" si="182"/>
        <v>65000000000147</v>
      </c>
      <c r="Z371" s="60">
        <f t="shared" si="183"/>
        <v>65000000000360</v>
      </c>
      <c r="AA371" s="60">
        <f t="shared" si="166"/>
        <v>65000000000361</v>
      </c>
      <c r="AB371" s="60">
        <f t="shared" si="184"/>
        <v>65000000000000</v>
      </c>
      <c r="AD371" s="60">
        <f t="shared" si="187"/>
        <v>6</v>
      </c>
      <c r="AE371" s="60">
        <f t="shared" si="188"/>
        <v>2</v>
      </c>
      <c r="AF371" s="60">
        <f t="shared" si="189"/>
        <v>1</v>
      </c>
      <c r="AG371" s="60">
        <f t="shared" si="190"/>
        <v>95</v>
      </c>
      <c r="AH371" s="60">
        <f t="shared" si="191"/>
        <v>2</v>
      </c>
      <c r="AI371" s="60">
        <f t="shared" si="192"/>
        <v>1</v>
      </c>
      <c r="AK371" s="68" t="str">
        <f t="shared" si="167"/>
        <v>L5</v>
      </c>
      <c r="AM371" s="64" t="s">
        <v>1755</v>
      </c>
      <c r="AN371" s="64">
        <f t="shared" si="168"/>
        <v>65000000000350</v>
      </c>
      <c r="AO371" s="64">
        <f t="shared" si="169"/>
        <v>65000000000351</v>
      </c>
      <c r="AP371" s="64">
        <f t="shared" si="170"/>
        <v>65000000000351</v>
      </c>
      <c r="AQ371" s="64">
        <f t="shared" si="171"/>
        <v>65000000000360</v>
      </c>
      <c r="AS371" s="64">
        <f t="shared" si="172"/>
        <v>65000000000360</v>
      </c>
      <c r="AU371" s="59" t="str">
        <f t="shared" si="193"/>
        <v>PERFORM * FROM "SchData-OLTP-Accounting"."Func_TblChartOfAccount_SET"(varSystemLoginSession, null, null, null, varInstitutionBranchID, 62000000000001::bigint,'6-1005.01', 'Jamsostek (IDR)', 62000000000001::bigint, '2016-01-01 00:00:00'::timestamp, null::timestamp, 65000000000360::bigint, 66000000000001::bigint);</v>
      </c>
      <c r="AV371" s="65">
        <f t="shared" si="194"/>
        <v>65000000000361</v>
      </c>
      <c r="AW371" s="65">
        <f t="shared" si="195"/>
        <v>65000000000360</v>
      </c>
      <c r="AY371" s="65">
        <f t="shared" si="185"/>
        <v>65000000000360</v>
      </c>
      <c r="BA371" s="78">
        <f t="shared" si="196"/>
        <v>65000000000361</v>
      </c>
      <c r="BB371" s="81" t="str">
        <f t="shared" si="186"/>
        <v>PERFORM * FROM "SchData-OLTP-Accounting"."Func_TblChartOfAccount_SET"(varSystemLoginSession, null, null, null, null, null, varInstitutionBranchID, 62000000000001::bigint,'6-1005.01', 'Jamsostek (IDR)', 62000000000001::bigint, '2016-01-01 00:00:00'::timestamp, null::timestamp, 65000000000360::bigint, 66000000000001::bigint, FALSE::boolean);</v>
      </c>
    </row>
    <row r="372" spans="2:54" x14ac:dyDescent="0.2">
      <c r="B372" s="41"/>
      <c r="C372" s="42"/>
      <c r="D372" s="43"/>
      <c r="E372" s="42"/>
      <c r="F372" s="43"/>
      <c r="G372" s="42"/>
      <c r="H372" s="51" t="s">
        <v>1648</v>
      </c>
      <c r="I372" s="18" t="s">
        <v>519</v>
      </c>
      <c r="J372" s="51"/>
      <c r="K372" s="18"/>
      <c r="L372" s="51"/>
      <c r="M372" s="18"/>
      <c r="O372" s="58" t="str">
        <f t="shared" si="173"/>
        <v>6-0000</v>
      </c>
      <c r="P372" s="58" t="str">
        <f t="shared" si="174"/>
        <v>6-1000</v>
      </c>
      <c r="Q372" s="58" t="str">
        <f t="shared" si="175"/>
        <v>2-1200</v>
      </c>
      <c r="R372" s="58" t="str">
        <f t="shared" si="176"/>
        <v>6-1006</v>
      </c>
      <c r="S372" s="58" t="str">
        <f t="shared" si="177"/>
        <v>6-1005.01</v>
      </c>
      <c r="T372" s="58" t="str">
        <f t="shared" si="178"/>
        <v xml:space="preserve"> </v>
      </c>
      <c r="V372" s="72">
        <f t="shared" si="179"/>
        <v>65000000000362</v>
      </c>
      <c r="W372" s="60">
        <f t="shared" si="180"/>
        <v>65000000000350</v>
      </c>
      <c r="X372" s="60">
        <f t="shared" si="181"/>
        <v>65000000000351</v>
      </c>
      <c r="Y372" s="60">
        <f t="shared" si="182"/>
        <v>65000000000147</v>
      </c>
      <c r="Z372" s="60">
        <f t="shared" si="183"/>
        <v>65000000000362</v>
      </c>
      <c r="AA372" s="60">
        <f t="shared" si="166"/>
        <v>65000000000361</v>
      </c>
      <c r="AB372" s="60">
        <f t="shared" si="184"/>
        <v>65000000000000</v>
      </c>
      <c r="AD372" s="60">
        <f t="shared" si="187"/>
        <v>6</v>
      </c>
      <c r="AE372" s="60">
        <f t="shared" si="188"/>
        <v>2</v>
      </c>
      <c r="AF372" s="60">
        <f t="shared" si="189"/>
        <v>1</v>
      </c>
      <c r="AG372" s="60">
        <f t="shared" si="190"/>
        <v>96</v>
      </c>
      <c r="AH372" s="60">
        <f t="shared" si="191"/>
        <v>1</v>
      </c>
      <c r="AI372" s="60">
        <f t="shared" si="192"/>
        <v>1</v>
      </c>
      <c r="AK372" s="68" t="str">
        <f t="shared" si="167"/>
        <v>L4</v>
      </c>
      <c r="AM372" s="64" t="s">
        <v>1755</v>
      </c>
      <c r="AN372" s="64">
        <f t="shared" si="168"/>
        <v>65000000000350</v>
      </c>
      <c r="AO372" s="64">
        <f t="shared" si="169"/>
        <v>65000000000351</v>
      </c>
      <c r="AP372" s="64">
        <f t="shared" si="170"/>
        <v>65000000000351</v>
      </c>
      <c r="AQ372" s="64">
        <f t="shared" si="171"/>
        <v>65000000000360</v>
      </c>
      <c r="AS372" s="64">
        <f t="shared" si="172"/>
        <v>65000000000351</v>
      </c>
      <c r="AU372" s="59" t="str">
        <f t="shared" si="193"/>
        <v>PERFORM * FROM "SchData-OLTP-Accounting"."Func_TblChartOfAccount_SET"(varSystemLoginSession, null, null, null, varInstitutionBranchID, 62000000000001::bigint,'6-1006', 'Personal Income Tax', 62000000000001::bigint, '2016-01-01 00:00:00'::timestamp, null::timestamp, 65000000000351::bigint, 66000000000001::bigint);</v>
      </c>
      <c r="AV372" s="65">
        <f t="shared" si="194"/>
        <v>65000000000362</v>
      </c>
      <c r="AW372" s="65">
        <f t="shared" si="195"/>
        <v>65000000000351</v>
      </c>
      <c r="AY372" s="65">
        <f t="shared" si="185"/>
        <v>65000000000147</v>
      </c>
      <c r="BA372" s="78">
        <f t="shared" si="196"/>
        <v>65000000000362</v>
      </c>
      <c r="BB372" s="81" t="str">
        <f t="shared" si="186"/>
        <v>PERFORM * FROM "SchData-OLTP-Accounting"."Func_TblChartOfAccount_SET"(varSystemLoginSession, null, null, null, null, null, varInstitutionBranchID, 62000000000001::bigint,'6-1006', 'Personal Income Tax', 62000000000001::bigint, '2016-01-01 00:00:00'::timestamp, null::timestamp, 65000000000351::bigint, 66000000000001::bigint, FALSE::boolean);</v>
      </c>
    </row>
    <row r="373" spans="2:54" x14ac:dyDescent="0.2">
      <c r="B373" s="41"/>
      <c r="C373" s="42"/>
      <c r="D373" s="43"/>
      <c r="E373" s="42"/>
      <c r="F373" s="43"/>
      <c r="G373" s="42"/>
      <c r="H373" s="51"/>
      <c r="I373" s="18"/>
      <c r="J373" s="51" t="s">
        <v>1649</v>
      </c>
      <c r="K373" s="18" t="s">
        <v>1362</v>
      </c>
      <c r="L373" s="51"/>
      <c r="M373" s="18"/>
      <c r="O373" s="58" t="str">
        <f t="shared" si="173"/>
        <v>6-0000</v>
      </c>
      <c r="P373" s="58" t="str">
        <f t="shared" si="174"/>
        <v>6-1000</v>
      </c>
      <c r="Q373" s="58" t="str">
        <f t="shared" si="175"/>
        <v>2-1200</v>
      </c>
      <c r="R373" s="58" t="str">
        <f t="shared" si="176"/>
        <v>6-1006</v>
      </c>
      <c r="S373" s="58" t="str">
        <f t="shared" si="177"/>
        <v>6-1006.01</v>
      </c>
      <c r="T373" s="58" t="str">
        <f t="shared" si="178"/>
        <v xml:space="preserve"> </v>
      </c>
      <c r="V373" s="72">
        <f t="shared" si="179"/>
        <v>65000000000363</v>
      </c>
      <c r="W373" s="60">
        <f t="shared" si="180"/>
        <v>65000000000350</v>
      </c>
      <c r="X373" s="60">
        <f t="shared" si="181"/>
        <v>65000000000351</v>
      </c>
      <c r="Y373" s="60">
        <f t="shared" si="182"/>
        <v>65000000000147</v>
      </c>
      <c r="Z373" s="60">
        <f t="shared" si="183"/>
        <v>65000000000362</v>
      </c>
      <c r="AA373" s="60">
        <f t="shared" si="166"/>
        <v>65000000000363</v>
      </c>
      <c r="AB373" s="60">
        <f t="shared" si="184"/>
        <v>65000000000000</v>
      </c>
      <c r="AD373" s="60">
        <f t="shared" si="187"/>
        <v>6</v>
      </c>
      <c r="AE373" s="60">
        <f t="shared" si="188"/>
        <v>2</v>
      </c>
      <c r="AF373" s="60">
        <f t="shared" si="189"/>
        <v>1</v>
      </c>
      <c r="AG373" s="60">
        <f t="shared" si="190"/>
        <v>96</v>
      </c>
      <c r="AH373" s="60">
        <f t="shared" si="191"/>
        <v>2</v>
      </c>
      <c r="AI373" s="60">
        <f t="shared" si="192"/>
        <v>1</v>
      </c>
      <c r="AK373" s="68" t="str">
        <f t="shared" si="167"/>
        <v>L5</v>
      </c>
      <c r="AM373" s="64" t="s">
        <v>1755</v>
      </c>
      <c r="AN373" s="64">
        <f t="shared" si="168"/>
        <v>65000000000350</v>
      </c>
      <c r="AO373" s="64">
        <f t="shared" si="169"/>
        <v>65000000000351</v>
      </c>
      <c r="AP373" s="64">
        <f t="shared" si="170"/>
        <v>65000000000351</v>
      </c>
      <c r="AQ373" s="64">
        <f t="shared" si="171"/>
        <v>65000000000362</v>
      </c>
      <c r="AS373" s="64">
        <f t="shared" si="172"/>
        <v>65000000000362</v>
      </c>
      <c r="AU373" s="59" t="str">
        <f t="shared" si="193"/>
        <v>PERFORM * FROM "SchData-OLTP-Accounting"."Func_TblChartOfAccount_SET"(varSystemLoginSession, null, null, null, varInstitutionBranchID, 62000000000001::bigint,'6-1006.01', 'Personal Income Tax (IDR)', 62000000000001::bigint, '2016-01-01 00:00:00'::timestamp, null::timestamp, 65000000000362::bigint, 66000000000001::bigint);</v>
      </c>
      <c r="AV373" s="65">
        <f t="shared" si="194"/>
        <v>65000000000363</v>
      </c>
      <c r="AW373" s="65">
        <f t="shared" si="195"/>
        <v>65000000000362</v>
      </c>
      <c r="AY373" s="65">
        <f t="shared" si="185"/>
        <v>65000000000362</v>
      </c>
      <c r="BA373" s="78">
        <f t="shared" si="196"/>
        <v>65000000000363</v>
      </c>
      <c r="BB373" s="81" t="str">
        <f t="shared" si="186"/>
        <v>PERFORM * FROM "SchData-OLTP-Accounting"."Func_TblChartOfAccount_SET"(varSystemLoginSession, null, null, null, null, null, varInstitutionBranchID, 62000000000001::bigint,'6-1006.01', 'Personal Income Tax (IDR)', 62000000000001::bigint, '2016-01-01 00:00:00'::timestamp, null::timestamp, 65000000000362::bigint, 66000000000001::bigint, FALSE::boolean);</v>
      </c>
    </row>
    <row r="374" spans="2:54" ht="25.5" x14ac:dyDescent="0.2">
      <c r="B374" s="41"/>
      <c r="C374" s="42"/>
      <c r="D374" s="43"/>
      <c r="E374" s="42"/>
      <c r="F374" s="43"/>
      <c r="G374" s="42"/>
      <c r="H374" s="51" t="s">
        <v>1650</v>
      </c>
      <c r="I374" s="18" t="s">
        <v>521</v>
      </c>
      <c r="J374" s="51"/>
      <c r="K374" s="18"/>
      <c r="L374" s="51"/>
      <c r="M374" s="18"/>
      <c r="O374" s="58" t="str">
        <f t="shared" si="173"/>
        <v>6-0000</v>
      </c>
      <c r="P374" s="58" t="str">
        <f t="shared" si="174"/>
        <v>6-1000</v>
      </c>
      <c r="Q374" s="58" t="str">
        <f t="shared" si="175"/>
        <v>2-1200</v>
      </c>
      <c r="R374" s="58" t="str">
        <f t="shared" si="176"/>
        <v>6-1007</v>
      </c>
      <c r="S374" s="58" t="str">
        <f t="shared" si="177"/>
        <v>6-1006.01</v>
      </c>
      <c r="T374" s="58" t="str">
        <f t="shared" si="178"/>
        <v xml:space="preserve"> </v>
      </c>
      <c r="V374" s="72">
        <f t="shared" si="179"/>
        <v>65000000000364</v>
      </c>
      <c r="W374" s="60">
        <f t="shared" si="180"/>
        <v>65000000000350</v>
      </c>
      <c r="X374" s="60">
        <f t="shared" si="181"/>
        <v>65000000000351</v>
      </c>
      <c r="Y374" s="60">
        <f t="shared" si="182"/>
        <v>65000000000147</v>
      </c>
      <c r="Z374" s="60">
        <f t="shared" si="183"/>
        <v>65000000000364</v>
      </c>
      <c r="AA374" s="60">
        <f t="shared" si="166"/>
        <v>65000000000363</v>
      </c>
      <c r="AB374" s="60">
        <f t="shared" si="184"/>
        <v>65000000000000</v>
      </c>
      <c r="AD374" s="60">
        <f t="shared" si="187"/>
        <v>6</v>
      </c>
      <c r="AE374" s="60">
        <f t="shared" si="188"/>
        <v>2</v>
      </c>
      <c r="AF374" s="60">
        <f t="shared" si="189"/>
        <v>1</v>
      </c>
      <c r="AG374" s="60">
        <f t="shared" si="190"/>
        <v>97</v>
      </c>
      <c r="AH374" s="60">
        <f t="shared" si="191"/>
        <v>1</v>
      </c>
      <c r="AI374" s="60">
        <f t="shared" si="192"/>
        <v>1</v>
      </c>
      <c r="AK374" s="68" t="str">
        <f t="shared" si="167"/>
        <v>L4</v>
      </c>
      <c r="AM374" s="64" t="s">
        <v>1755</v>
      </c>
      <c r="AN374" s="64">
        <f t="shared" si="168"/>
        <v>65000000000350</v>
      </c>
      <c r="AO374" s="64">
        <f t="shared" si="169"/>
        <v>65000000000351</v>
      </c>
      <c r="AP374" s="64">
        <f t="shared" si="170"/>
        <v>65000000000351</v>
      </c>
      <c r="AQ374" s="64">
        <f t="shared" si="171"/>
        <v>65000000000362</v>
      </c>
      <c r="AS374" s="64">
        <f t="shared" si="172"/>
        <v>65000000000351</v>
      </c>
      <c r="AU374" s="59" t="str">
        <f t="shared" si="193"/>
        <v>PERFORM * FROM "SchData-OLTP-Accounting"."Func_TblChartOfAccount_SET"(varSystemLoginSession, null, null, null, varInstitutionBranchID, 62000000000001::bigint,'6-1007', 'Post Employee benefit Expense', 62000000000001::bigint, '2016-01-01 00:00:00'::timestamp, null::timestamp, 65000000000351::bigint, 66000000000001::bigint);</v>
      </c>
      <c r="AV374" s="65">
        <f t="shared" si="194"/>
        <v>65000000000364</v>
      </c>
      <c r="AW374" s="65">
        <f t="shared" si="195"/>
        <v>65000000000351</v>
      </c>
      <c r="AY374" s="65">
        <f t="shared" si="185"/>
        <v>65000000000147</v>
      </c>
      <c r="BA374" s="78">
        <f t="shared" si="196"/>
        <v>65000000000364</v>
      </c>
      <c r="BB374" s="81" t="str">
        <f t="shared" si="186"/>
        <v>PERFORM * FROM "SchData-OLTP-Accounting"."Func_TblChartOfAccount_SET"(varSystemLoginSession, null, null, null, null, null, varInstitutionBranchID, 62000000000001::bigint,'6-1007', 'Post Employee benefit Expense', 62000000000001::bigint, '2016-01-01 00:00:00'::timestamp, null::timestamp, 65000000000351::bigint, 66000000000001::bigint, FALSE::boolean);</v>
      </c>
    </row>
    <row r="375" spans="2:54" ht="25.5" x14ac:dyDescent="0.2">
      <c r="B375" s="41"/>
      <c r="C375" s="42"/>
      <c r="D375" s="43"/>
      <c r="E375" s="42"/>
      <c r="F375" s="43"/>
      <c r="G375" s="42"/>
      <c r="H375" s="51"/>
      <c r="I375" s="18"/>
      <c r="J375" s="51" t="s">
        <v>1651</v>
      </c>
      <c r="K375" s="18" t="s">
        <v>1363</v>
      </c>
      <c r="L375" s="51"/>
      <c r="M375" s="18"/>
      <c r="O375" s="58" t="str">
        <f t="shared" si="173"/>
        <v>6-0000</v>
      </c>
      <c r="P375" s="58" t="str">
        <f t="shared" si="174"/>
        <v>6-1000</v>
      </c>
      <c r="Q375" s="58" t="str">
        <f t="shared" si="175"/>
        <v>2-1200</v>
      </c>
      <c r="R375" s="58" t="str">
        <f t="shared" si="176"/>
        <v>6-1007</v>
      </c>
      <c r="S375" s="58" t="str">
        <f t="shared" si="177"/>
        <v>6-1007.01</v>
      </c>
      <c r="T375" s="58" t="str">
        <f t="shared" si="178"/>
        <v xml:space="preserve"> </v>
      </c>
      <c r="V375" s="72">
        <f t="shared" si="179"/>
        <v>65000000000365</v>
      </c>
      <c r="W375" s="60">
        <f t="shared" si="180"/>
        <v>65000000000350</v>
      </c>
      <c r="X375" s="60">
        <f t="shared" si="181"/>
        <v>65000000000351</v>
      </c>
      <c r="Y375" s="60">
        <f t="shared" si="182"/>
        <v>65000000000147</v>
      </c>
      <c r="Z375" s="60">
        <f t="shared" si="183"/>
        <v>65000000000364</v>
      </c>
      <c r="AA375" s="60">
        <f t="shared" si="166"/>
        <v>65000000000365</v>
      </c>
      <c r="AB375" s="60">
        <f t="shared" si="184"/>
        <v>65000000000000</v>
      </c>
      <c r="AD375" s="60">
        <f t="shared" si="187"/>
        <v>6</v>
      </c>
      <c r="AE375" s="60">
        <f t="shared" si="188"/>
        <v>2</v>
      </c>
      <c r="AF375" s="60">
        <f t="shared" si="189"/>
        <v>1</v>
      </c>
      <c r="AG375" s="60">
        <f t="shared" si="190"/>
        <v>97</v>
      </c>
      <c r="AH375" s="60">
        <f t="shared" si="191"/>
        <v>2</v>
      </c>
      <c r="AI375" s="60">
        <f t="shared" si="192"/>
        <v>1</v>
      </c>
      <c r="AK375" s="68" t="str">
        <f t="shared" si="167"/>
        <v>L5</v>
      </c>
      <c r="AM375" s="64" t="s">
        <v>1755</v>
      </c>
      <c r="AN375" s="64">
        <f t="shared" si="168"/>
        <v>65000000000350</v>
      </c>
      <c r="AO375" s="64">
        <f t="shared" si="169"/>
        <v>65000000000351</v>
      </c>
      <c r="AP375" s="64">
        <f t="shared" si="170"/>
        <v>65000000000351</v>
      </c>
      <c r="AQ375" s="64">
        <f t="shared" si="171"/>
        <v>65000000000364</v>
      </c>
      <c r="AS375" s="64">
        <f t="shared" si="172"/>
        <v>65000000000364</v>
      </c>
      <c r="AU375" s="59" t="str">
        <f t="shared" si="193"/>
        <v>PERFORM * FROM "SchData-OLTP-Accounting"."Func_TblChartOfAccount_SET"(varSystemLoginSession, null, null, null, varInstitutionBranchID, 62000000000001::bigint,'6-1007.01', 'Post Employee benefit Expense (IDR)', 62000000000001::bigint, '2016-01-01 00:00:00'::timestamp, null::timestamp, 65000000000364::bigint, 66000000000001::bigint);</v>
      </c>
      <c r="AV375" s="65">
        <f t="shared" si="194"/>
        <v>65000000000365</v>
      </c>
      <c r="AW375" s="65">
        <f t="shared" si="195"/>
        <v>65000000000364</v>
      </c>
      <c r="AY375" s="65">
        <f t="shared" si="185"/>
        <v>65000000000364</v>
      </c>
      <c r="BA375" s="78">
        <f t="shared" si="196"/>
        <v>65000000000365</v>
      </c>
      <c r="BB375" s="81" t="str">
        <f t="shared" si="186"/>
        <v>PERFORM * FROM "SchData-OLTP-Accounting"."Func_TblChartOfAccount_SET"(varSystemLoginSession, null, null, null, null, null, varInstitutionBranchID, 62000000000001::bigint,'6-1007.01', 'Post Employee benefit Expense (IDR)', 62000000000001::bigint, '2016-01-01 00:00:00'::timestamp, null::timestamp, 65000000000364::bigint, 66000000000001::bigint, FALSE::boolean);</v>
      </c>
    </row>
    <row r="376" spans="2:54" x14ac:dyDescent="0.2">
      <c r="B376" s="41"/>
      <c r="C376" s="42"/>
      <c r="D376" s="43"/>
      <c r="E376" s="42"/>
      <c r="F376" s="43"/>
      <c r="G376" s="42"/>
      <c r="H376" s="51" t="s">
        <v>1652</v>
      </c>
      <c r="I376" s="18" t="s">
        <v>523</v>
      </c>
      <c r="J376" s="51"/>
      <c r="K376" s="18"/>
      <c r="L376" s="51"/>
      <c r="M376" s="18"/>
      <c r="O376" s="58" t="str">
        <f t="shared" si="173"/>
        <v>6-0000</v>
      </c>
      <c r="P376" s="58" t="str">
        <f t="shared" si="174"/>
        <v>6-1000</v>
      </c>
      <c r="Q376" s="58" t="str">
        <f t="shared" si="175"/>
        <v>2-1200</v>
      </c>
      <c r="R376" s="58" t="str">
        <f t="shared" si="176"/>
        <v>6-1008</v>
      </c>
      <c r="S376" s="58" t="str">
        <f t="shared" si="177"/>
        <v>6-1007.01</v>
      </c>
      <c r="T376" s="58" t="str">
        <f t="shared" si="178"/>
        <v xml:space="preserve"> </v>
      </c>
      <c r="V376" s="72">
        <f t="shared" si="179"/>
        <v>65000000000366</v>
      </c>
      <c r="W376" s="60">
        <f t="shared" si="180"/>
        <v>65000000000350</v>
      </c>
      <c r="X376" s="60">
        <f t="shared" si="181"/>
        <v>65000000000351</v>
      </c>
      <c r="Y376" s="60">
        <f t="shared" si="182"/>
        <v>65000000000147</v>
      </c>
      <c r="Z376" s="60">
        <f t="shared" si="183"/>
        <v>65000000000366</v>
      </c>
      <c r="AA376" s="60">
        <f t="shared" si="166"/>
        <v>65000000000365</v>
      </c>
      <c r="AB376" s="60">
        <f t="shared" si="184"/>
        <v>65000000000000</v>
      </c>
      <c r="AD376" s="60">
        <f t="shared" si="187"/>
        <v>6</v>
      </c>
      <c r="AE376" s="60">
        <f t="shared" si="188"/>
        <v>2</v>
      </c>
      <c r="AF376" s="60">
        <f t="shared" si="189"/>
        <v>1</v>
      </c>
      <c r="AG376" s="60">
        <f t="shared" si="190"/>
        <v>98</v>
      </c>
      <c r="AH376" s="60">
        <f t="shared" si="191"/>
        <v>1</v>
      </c>
      <c r="AI376" s="60">
        <f t="shared" si="192"/>
        <v>1</v>
      </c>
      <c r="AK376" s="68" t="str">
        <f t="shared" si="167"/>
        <v>L4</v>
      </c>
      <c r="AM376" s="64" t="s">
        <v>1755</v>
      </c>
      <c r="AN376" s="64">
        <f t="shared" si="168"/>
        <v>65000000000350</v>
      </c>
      <c r="AO376" s="64">
        <f t="shared" si="169"/>
        <v>65000000000351</v>
      </c>
      <c r="AP376" s="64">
        <f t="shared" si="170"/>
        <v>65000000000351</v>
      </c>
      <c r="AQ376" s="64">
        <f t="shared" si="171"/>
        <v>65000000000364</v>
      </c>
      <c r="AS376" s="64">
        <f t="shared" si="172"/>
        <v>65000000000351</v>
      </c>
      <c r="AU376" s="59" t="str">
        <f t="shared" si="193"/>
        <v>PERFORM * FROM "SchData-OLTP-Accounting"."Func_TblChartOfAccount_SET"(varSystemLoginSession, null, null, null, varInstitutionBranchID, 62000000000001::bigint,'6-1008', 'Medical Expense', 62000000000001::bigint, '2016-01-01 00:00:00'::timestamp, null::timestamp, 65000000000351::bigint, 66000000000001::bigint);</v>
      </c>
      <c r="AV376" s="65">
        <f t="shared" si="194"/>
        <v>65000000000366</v>
      </c>
      <c r="AW376" s="65">
        <f t="shared" si="195"/>
        <v>65000000000351</v>
      </c>
      <c r="AY376" s="65">
        <f t="shared" si="185"/>
        <v>65000000000147</v>
      </c>
      <c r="BA376" s="78">
        <f t="shared" si="196"/>
        <v>65000000000366</v>
      </c>
      <c r="BB376" s="81" t="str">
        <f t="shared" si="186"/>
        <v>PERFORM * FROM "SchData-OLTP-Accounting"."Func_TblChartOfAccount_SET"(varSystemLoginSession, null, null, null, null, null, varInstitutionBranchID, 62000000000001::bigint,'6-1008', 'Medical Expense', 62000000000001::bigint, '2016-01-01 00:00:00'::timestamp, null::timestamp, 65000000000351::bigint, 66000000000001::bigint, FALSE::boolean);</v>
      </c>
    </row>
    <row r="377" spans="2:54" x14ac:dyDescent="0.2">
      <c r="B377" s="41"/>
      <c r="C377" s="42"/>
      <c r="D377" s="43"/>
      <c r="E377" s="42"/>
      <c r="F377" s="43"/>
      <c r="G377" s="42"/>
      <c r="H377" s="51"/>
      <c r="I377" s="18"/>
      <c r="J377" s="51" t="s">
        <v>1653</v>
      </c>
      <c r="K377" s="18" t="s">
        <v>1364</v>
      </c>
      <c r="L377" s="51"/>
      <c r="M377" s="18"/>
      <c r="O377" s="58" t="str">
        <f t="shared" si="173"/>
        <v>6-0000</v>
      </c>
      <c r="P377" s="58" t="str">
        <f t="shared" si="174"/>
        <v>6-1000</v>
      </c>
      <c r="Q377" s="58" t="str">
        <f t="shared" si="175"/>
        <v>2-1200</v>
      </c>
      <c r="R377" s="58" t="str">
        <f t="shared" si="176"/>
        <v>6-1008</v>
      </c>
      <c r="S377" s="58" t="str">
        <f t="shared" si="177"/>
        <v>6-1008.01</v>
      </c>
      <c r="T377" s="58" t="str">
        <f t="shared" si="178"/>
        <v xml:space="preserve"> </v>
      </c>
      <c r="V377" s="72">
        <f t="shared" si="179"/>
        <v>65000000000367</v>
      </c>
      <c r="W377" s="60">
        <f t="shared" si="180"/>
        <v>65000000000350</v>
      </c>
      <c r="X377" s="60">
        <f t="shared" si="181"/>
        <v>65000000000351</v>
      </c>
      <c r="Y377" s="60">
        <f t="shared" si="182"/>
        <v>65000000000147</v>
      </c>
      <c r="Z377" s="60">
        <f t="shared" si="183"/>
        <v>65000000000366</v>
      </c>
      <c r="AA377" s="60">
        <f t="shared" si="166"/>
        <v>65000000000367</v>
      </c>
      <c r="AB377" s="60">
        <f t="shared" si="184"/>
        <v>65000000000000</v>
      </c>
      <c r="AD377" s="60">
        <f t="shared" si="187"/>
        <v>6</v>
      </c>
      <c r="AE377" s="60">
        <f t="shared" si="188"/>
        <v>2</v>
      </c>
      <c r="AF377" s="60">
        <f t="shared" si="189"/>
        <v>1</v>
      </c>
      <c r="AG377" s="60">
        <f t="shared" si="190"/>
        <v>98</v>
      </c>
      <c r="AH377" s="60">
        <f t="shared" si="191"/>
        <v>2</v>
      </c>
      <c r="AI377" s="60">
        <f t="shared" si="192"/>
        <v>1</v>
      </c>
      <c r="AK377" s="68" t="str">
        <f t="shared" si="167"/>
        <v>L5</v>
      </c>
      <c r="AM377" s="64" t="s">
        <v>1755</v>
      </c>
      <c r="AN377" s="64">
        <f t="shared" si="168"/>
        <v>65000000000350</v>
      </c>
      <c r="AO377" s="64">
        <f t="shared" si="169"/>
        <v>65000000000351</v>
      </c>
      <c r="AP377" s="64">
        <f t="shared" si="170"/>
        <v>65000000000351</v>
      </c>
      <c r="AQ377" s="64">
        <f t="shared" si="171"/>
        <v>65000000000366</v>
      </c>
      <c r="AS377" s="64">
        <f t="shared" si="172"/>
        <v>65000000000366</v>
      </c>
      <c r="AU377" s="59" t="str">
        <f t="shared" si="193"/>
        <v>PERFORM * FROM "SchData-OLTP-Accounting"."Func_TblChartOfAccount_SET"(varSystemLoginSession, null, null, null, varInstitutionBranchID, 62000000000001::bigint,'6-1008.01', 'Medical Expense (IDR)', 62000000000001::bigint, '2016-01-01 00:00:00'::timestamp, null::timestamp, 65000000000366::bigint, 66000000000001::bigint);</v>
      </c>
      <c r="AV377" s="65">
        <f t="shared" si="194"/>
        <v>65000000000367</v>
      </c>
      <c r="AW377" s="65">
        <f t="shared" si="195"/>
        <v>65000000000366</v>
      </c>
      <c r="AY377" s="65">
        <f t="shared" si="185"/>
        <v>65000000000366</v>
      </c>
      <c r="BA377" s="78">
        <f t="shared" si="196"/>
        <v>65000000000367</v>
      </c>
      <c r="BB377" s="81" t="str">
        <f t="shared" si="186"/>
        <v>PERFORM * FROM "SchData-OLTP-Accounting"."Func_TblChartOfAccount_SET"(varSystemLoginSession, null, null, null, null, null, varInstitutionBranchID, 62000000000001::bigint,'6-1008.01', 'Medical Expense (IDR)', 62000000000001::bigint, '2016-01-01 00:00:00'::timestamp, null::timestamp, 65000000000366::bigint, 66000000000001::bigint, FALSE::boolean);</v>
      </c>
    </row>
    <row r="378" spans="2:54" x14ac:dyDescent="0.2">
      <c r="B378" s="41"/>
      <c r="C378" s="42"/>
      <c r="D378" s="43"/>
      <c r="E378" s="42"/>
      <c r="F378" s="43"/>
      <c r="G378" s="42"/>
      <c r="H378" s="51" t="s">
        <v>1654</v>
      </c>
      <c r="I378" s="18" t="s">
        <v>525</v>
      </c>
      <c r="J378" s="51"/>
      <c r="K378" s="18"/>
      <c r="L378" s="51"/>
      <c r="M378" s="18"/>
      <c r="O378" s="58" t="str">
        <f t="shared" si="173"/>
        <v>6-0000</v>
      </c>
      <c r="P378" s="58" t="str">
        <f t="shared" si="174"/>
        <v>6-1000</v>
      </c>
      <c r="Q378" s="58" t="str">
        <f t="shared" si="175"/>
        <v>2-1200</v>
      </c>
      <c r="R378" s="58" t="str">
        <f t="shared" si="176"/>
        <v>6-1009</v>
      </c>
      <c r="S378" s="58" t="str">
        <f t="shared" si="177"/>
        <v>6-1008.01</v>
      </c>
      <c r="T378" s="58" t="str">
        <f t="shared" si="178"/>
        <v xml:space="preserve"> </v>
      </c>
      <c r="V378" s="72">
        <f t="shared" si="179"/>
        <v>65000000000368</v>
      </c>
      <c r="W378" s="60">
        <f t="shared" si="180"/>
        <v>65000000000350</v>
      </c>
      <c r="X378" s="60">
        <f t="shared" si="181"/>
        <v>65000000000351</v>
      </c>
      <c r="Y378" s="60">
        <f t="shared" si="182"/>
        <v>65000000000147</v>
      </c>
      <c r="Z378" s="60">
        <f t="shared" si="183"/>
        <v>65000000000368</v>
      </c>
      <c r="AA378" s="60">
        <f t="shared" si="166"/>
        <v>65000000000367</v>
      </c>
      <c r="AB378" s="60">
        <f t="shared" si="184"/>
        <v>65000000000000</v>
      </c>
      <c r="AD378" s="60">
        <f t="shared" si="187"/>
        <v>6</v>
      </c>
      <c r="AE378" s="60">
        <f t="shared" si="188"/>
        <v>2</v>
      </c>
      <c r="AF378" s="60">
        <f t="shared" si="189"/>
        <v>1</v>
      </c>
      <c r="AG378" s="60">
        <f t="shared" si="190"/>
        <v>99</v>
      </c>
      <c r="AH378" s="60">
        <f t="shared" si="191"/>
        <v>1</v>
      </c>
      <c r="AI378" s="60">
        <f t="shared" si="192"/>
        <v>1</v>
      </c>
      <c r="AK378" s="68" t="str">
        <f t="shared" si="167"/>
        <v>L4</v>
      </c>
      <c r="AM378" s="64" t="s">
        <v>1755</v>
      </c>
      <c r="AN378" s="64">
        <f t="shared" si="168"/>
        <v>65000000000350</v>
      </c>
      <c r="AO378" s="64">
        <f t="shared" si="169"/>
        <v>65000000000351</v>
      </c>
      <c r="AP378" s="64">
        <f t="shared" si="170"/>
        <v>65000000000351</v>
      </c>
      <c r="AQ378" s="64">
        <f t="shared" si="171"/>
        <v>65000000000366</v>
      </c>
      <c r="AS378" s="64">
        <f t="shared" si="172"/>
        <v>65000000000351</v>
      </c>
      <c r="AU378" s="59" t="str">
        <f t="shared" si="193"/>
        <v>PERFORM * FROM "SchData-OLTP-Accounting"."Func_TblChartOfAccount_SET"(varSystemLoginSession, null, null, null, varInstitutionBranchID, 62000000000001::bigint,'6-1009', 'Accrual for Operation Staff', 62000000000001::bigint, '2016-01-01 00:00:00'::timestamp, null::timestamp, 65000000000351::bigint, 66000000000001::bigint);</v>
      </c>
      <c r="AV378" s="65">
        <f t="shared" si="194"/>
        <v>65000000000368</v>
      </c>
      <c r="AW378" s="65">
        <f t="shared" si="195"/>
        <v>65000000000351</v>
      </c>
      <c r="AY378" s="65">
        <f t="shared" si="185"/>
        <v>65000000000147</v>
      </c>
      <c r="BA378" s="78">
        <f t="shared" si="196"/>
        <v>65000000000368</v>
      </c>
      <c r="BB378" s="81" t="str">
        <f t="shared" si="186"/>
        <v>PERFORM * FROM "SchData-OLTP-Accounting"."Func_TblChartOfAccount_SET"(varSystemLoginSession, null, null, null, null, null, varInstitutionBranchID, 62000000000001::bigint,'6-1009', 'Accrual for Operation Staff', 62000000000001::bigint, '2016-01-01 00:00:00'::timestamp, null::timestamp, 65000000000351::bigint, 66000000000001::bigint, FALSE::boolean);</v>
      </c>
    </row>
    <row r="379" spans="2:54" x14ac:dyDescent="0.2">
      <c r="B379" s="41"/>
      <c r="C379" s="42"/>
      <c r="D379" s="43"/>
      <c r="E379" s="42"/>
      <c r="F379" s="43"/>
      <c r="G379" s="42"/>
      <c r="H379" s="51"/>
      <c r="I379" s="18"/>
      <c r="J379" s="51" t="s">
        <v>1655</v>
      </c>
      <c r="K379" s="18" t="s">
        <v>1365</v>
      </c>
      <c r="L379" s="51"/>
      <c r="M379" s="18"/>
      <c r="O379" s="58" t="str">
        <f t="shared" si="173"/>
        <v>6-0000</v>
      </c>
      <c r="P379" s="58" t="str">
        <f t="shared" si="174"/>
        <v>6-1000</v>
      </c>
      <c r="Q379" s="58" t="str">
        <f t="shared" si="175"/>
        <v>2-1200</v>
      </c>
      <c r="R379" s="58" t="str">
        <f t="shared" si="176"/>
        <v>6-1009</v>
      </c>
      <c r="S379" s="58" t="str">
        <f t="shared" si="177"/>
        <v>6-1009.01</v>
      </c>
      <c r="T379" s="58" t="str">
        <f t="shared" si="178"/>
        <v xml:space="preserve"> </v>
      </c>
      <c r="V379" s="72">
        <f t="shared" si="179"/>
        <v>65000000000369</v>
      </c>
      <c r="W379" s="60">
        <f t="shared" si="180"/>
        <v>65000000000350</v>
      </c>
      <c r="X379" s="60">
        <f t="shared" si="181"/>
        <v>65000000000351</v>
      </c>
      <c r="Y379" s="60">
        <f t="shared" si="182"/>
        <v>65000000000147</v>
      </c>
      <c r="Z379" s="60">
        <f t="shared" si="183"/>
        <v>65000000000368</v>
      </c>
      <c r="AA379" s="60">
        <f t="shared" si="166"/>
        <v>65000000000369</v>
      </c>
      <c r="AB379" s="60">
        <f t="shared" si="184"/>
        <v>65000000000000</v>
      </c>
      <c r="AD379" s="60">
        <f t="shared" si="187"/>
        <v>6</v>
      </c>
      <c r="AE379" s="60">
        <f t="shared" si="188"/>
        <v>2</v>
      </c>
      <c r="AF379" s="60">
        <f t="shared" si="189"/>
        <v>1</v>
      </c>
      <c r="AG379" s="60">
        <f t="shared" si="190"/>
        <v>99</v>
      </c>
      <c r="AH379" s="60">
        <f t="shared" si="191"/>
        <v>2</v>
      </c>
      <c r="AI379" s="60">
        <f t="shared" si="192"/>
        <v>1</v>
      </c>
      <c r="AK379" s="68" t="str">
        <f t="shared" si="167"/>
        <v>L5</v>
      </c>
      <c r="AM379" s="64" t="s">
        <v>1755</v>
      </c>
      <c r="AN379" s="64">
        <f t="shared" si="168"/>
        <v>65000000000350</v>
      </c>
      <c r="AO379" s="64">
        <f t="shared" si="169"/>
        <v>65000000000351</v>
      </c>
      <c r="AP379" s="64">
        <f t="shared" si="170"/>
        <v>65000000000351</v>
      </c>
      <c r="AQ379" s="64">
        <f t="shared" si="171"/>
        <v>65000000000368</v>
      </c>
      <c r="AS379" s="64">
        <f t="shared" si="172"/>
        <v>65000000000368</v>
      </c>
      <c r="AU379" s="59" t="str">
        <f t="shared" si="193"/>
        <v>PERFORM * FROM "SchData-OLTP-Accounting"."Func_TblChartOfAccount_SET"(varSystemLoginSession, null, null, null, varInstitutionBranchID, 62000000000001::bigint,'6-1009.01', 'Accrual for Operation Staff (IDR)', 62000000000001::bigint, '2016-01-01 00:00:00'::timestamp, null::timestamp, 65000000000368::bigint, 66000000000001::bigint);</v>
      </c>
      <c r="AV379" s="65">
        <f t="shared" si="194"/>
        <v>65000000000369</v>
      </c>
      <c r="AW379" s="65">
        <f t="shared" si="195"/>
        <v>65000000000368</v>
      </c>
      <c r="AY379" s="65">
        <f t="shared" si="185"/>
        <v>65000000000368</v>
      </c>
      <c r="BA379" s="78">
        <f t="shared" si="196"/>
        <v>65000000000369</v>
      </c>
      <c r="BB379" s="81" t="str">
        <f t="shared" si="186"/>
        <v>PERFORM * FROM "SchData-OLTP-Accounting"."Func_TblChartOfAccount_SET"(varSystemLoginSession, null, null, null, null, null, varInstitutionBranchID, 62000000000001::bigint,'6-1009.01', 'Accrual for Operation Staff (IDR)', 62000000000001::bigint, '2016-01-01 00:00:00'::timestamp, null::timestamp, 65000000000368::bigint, 66000000000001::bigint, FALSE::boolean);</v>
      </c>
    </row>
    <row r="380" spans="2:54" x14ac:dyDescent="0.2">
      <c r="B380" s="41"/>
      <c r="C380" s="42"/>
      <c r="D380" s="43"/>
      <c r="E380" s="42"/>
      <c r="F380" s="43"/>
      <c r="G380" s="42"/>
      <c r="H380" s="51" t="s">
        <v>508</v>
      </c>
      <c r="I380" s="18" t="s">
        <v>527</v>
      </c>
      <c r="J380" s="51"/>
      <c r="K380" s="18"/>
      <c r="L380" s="51"/>
      <c r="M380" s="18"/>
      <c r="O380" s="58" t="str">
        <f t="shared" si="173"/>
        <v>6-0000</v>
      </c>
      <c r="P380" s="58" t="str">
        <f t="shared" si="174"/>
        <v>6-1000</v>
      </c>
      <c r="Q380" s="58" t="str">
        <f t="shared" si="175"/>
        <v>2-1200</v>
      </c>
      <c r="R380" s="58" t="str">
        <f t="shared" si="176"/>
        <v>6-1010</v>
      </c>
      <c r="S380" s="58" t="str">
        <f t="shared" si="177"/>
        <v>6-1009.01</v>
      </c>
      <c r="T380" s="58" t="str">
        <f t="shared" si="178"/>
        <v xml:space="preserve"> </v>
      </c>
      <c r="V380" s="72">
        <f t="shared" si="179"/>
        <v>65000000000370</v>
      </c>
      <c r="W380" s="60">
        <f t="shared" si="180"/>
        <v>65000000000350</v>
      </c>
      <c r="X380" s="60">
        <f t="shared" si="181"/>
        <v>65000000000351</v>
      </c>
      <c r="Y380" s="60">
        <f t="shared" si="182"/>
        <v>65000000000147</v>
      </c>
      <c r="Z380" s="60">
        <f t="shared" si="183"/>
        <v>65000000000370</v>
      </c>
      <c r="AA380" s="60">
        <f t="shared" si="166"/>
        <v>65000000000369</v>
      </c>
      <c r="AB380" s="60">
        <f t="shared" si="184"/>
        <v>65000000000000</v>
      </c>
      <c r="AD380" s="60">
        <f t="shared" si="187"/>
        <v>6</v>
      </c>
      <c r="AE380" s="60">
        <f t="shared" si="188"/>
        <v>2</v>
      </c>
      <c r="AF380" s="60">
        <f t="shared" si="189"/>
        <v>1</v>
      </c>
      <c r="AG380" s="60">
        <f t="shared" si="190"/>
        <v>100</v>
      </c>
      <c r="AH380" s="60">
        <f t="shared" si="191"/>
        <v>1</v>
      </c>
      <c r="AI380" s="60">
        <f t="shared" si="192"/>
        <v>1</v>
      </c>
      <c r="AK380" s="68" t="str">
        <f t="shared" si="167"/>
        <v>L4</v>
      </c>
      <c r="AM380" s="64" t="s">
        <v>1755</v>
      </c>
      <c r="AN380" s="64">
        <f t="shared" si="168"/>
        <v>65000000000350</v>
      </c>
      <c r="AO380" s="64">
        <f t="shared" si="169"/>
        <v>65000000000351</v>
      </c>
      <c r="AP380" s="64">
        <f t="shared" si="170"/>
        <v>65000000000351</v>
      </c>
      <c r="AQ380" s="64">
        <f t="shared" si="171"/>
        <v>65000000000368</v>
      </c>
      <c r="AS380" s="64">
        <f t="shared" si="172"/>
        <v>65000000000351</v>
      </c>
      <c r="AU380" s="59" t="str">
        <f t="shared" si="193"/>
        <v>PERFORM * FROM "SchData-OLTP-Accounting"."Func_TblChartOfAccount_SET"(varSystemLoginSession, null, null, null, varInstitutionBranchID, 62000000000001::bigint,'6-1010', 'Meal Allowance', 62000000000001::bigint, '2016-01-01 00:00:00'::timestamp, null::timestamp, 65000000000351::bigint, 66000000000001::bigint);</v>
      </c>
      <c r="AV380" s="65">
        <f t="shared" si="194"/>
        <v>65000000000370</v>
      </c>
      <c r="AW380" s="65">
        <f t="shared" si="195"/>
        <v>65000000000351</v>
      </c>
      <c r="AY380" s="65">
        <f t="shared" si="185"/>
        <v>65000000000147</v>
      </c>
      <c r="BA380" s="78">
        <f t="shared" si="196"/>
        <v>65000000000370</v>
      </c>
      <c r="BB380" s="81" t="str">
        <f t="shared" si="186"/>
        <v>PERFORM * FROM "SchData-OLTP-Accounting"."Func_TblChartOfAccount_SET"(varSystemLoginSession, null, null, null, null, null, varInstitutionBranchID, 62000000000001::bigint,'6-1010', 'Meal Allowance', 62000000000001::bigint, '2016-01-01 00:00:00'::timestamp, null::timestamp, 65000000000351::bigint, 66000000000001::bigint, FALSE::boolean);</v>
      </c>
    </row>
    <row r="381" spans="2:54" x14ac:dyDescent="0.2">
      <c r="B381" s="41"/>
      <c r="C381" s="42"/>
      <c r="D381" s="43"/>
      <c r="E381" s="42"/>
      <c r="F381" s="43"/>
      <c r="G381" s="42"/>
      <c r="H381" s="51"/>
      <c r="I381" s="18"/>
      <c r="J381" s="51" t="s">
        <v>1656</v>
      </c>
      <c r="K381" s="18" t="s">
        <v>1366</v>
      </c>
      <c r="L381" s="51"/>
      <c r="M381" s="18"/>
      <c r="O381" s="58" t="str">
        <f t="shared" si="173"/>
        <v>6-0000</v>
      </c>
      <c r="P381" s="58" t="str">
        <f t="shared" si="174"/>
        <v>6-1000</v>
      </c>
      <c r="Q381" s="58" t="str">
        <f t="shared" si="175"/>
        <v>2-1200</v>
      </c>
      <c r="R381" s="58" t="str">
        <f t="shared" si="176"/>
        <v>6-1010</v>
      </c>
      <c r="S381" s="58" t="str">
        <f t="shared" si="177"/>
        <v>6-1010.01</v>
      </c>
      <c r="T381" s="58" t="str">
        <f t="shared" si="178"/>
        <v xml:space="preserve"> </v>
      </c>
      <c r="V381" s="72">
        <f t="shared" si="179"/>
        <v>65000000000371</v>
      </c>
      <c r="W381" s="60">
        <f t="shared" si="180"/>
        <v>65000000000350</v>
      </c>
      <c r="X381" s="60">
        <f t="shared" si="181"/>
        <v>65000000000351</v>
      </c>
      <c r="Y381" s="60">
        <f t="shared" si="182"/>
        <v>65000000000147</v>
      </c>
      <c r="Z381" s="60">
        <f t="shared" si="183"/>
        <v>65000000000370</v>
      </c>
      <c r="AA381" s="60">
        <f t="shared" si="166"/>
        <v>65000000000371</v>
      </c>
      <c r="AB381" s="60">
        <f t="shared" si="184"/>
        <v>65000000000000</v>
      </c>
      <c r="AD381" s="60">
        <f t="shared" si="187"/>
        <v>6</v>
      </c>
      <c r="AE381" s="60">
        <f t="shared" si="188"/>
        <v>2</v>
      </c>
      <c r="AF381" s="60">
        <f t="shared" si="189"/>
        <v>1</v>
      </c>
      <c r="AG381" s="60">
        <f t="shared" si="190"/>
        <v>100</v>
      </c>
      <c r="AH381" s="60">
        <f t="shared" si="191"/>
        <v>2</v>
      </c>
      <c r="AI381" s="60">
        <f t="shared" si="192"/>
        <v>1</v>
      </c>
      <c r="AK381" s="68" t="str">
        <f t="shared" si="167"/>
        <v>L5</v>
      </c>
      <c r="AM381" s="64" t="s">
        <v>1755</v>
      </c>
      <c r="AN381" s="64">
        <f t="shared" si="168"/>
        <v>65000000000350</v>
      </c>
      <c r="AO381" s="64">
        <f t="shared" si="169"/>
        <v>65000000000351</v>
      </c>
      <c r="AP381" s="64">
        <f t="shared" si="170"/>
        <v>65000000000351</v>
      </c>
      <c r="AQ381" s="64">
        <f t="shared" si="171"/>
        <v>65000000000370</v>
      </c>
      <c r="AS381" s="64">
        <f t="shared" si="172"/>
        <v>65000000000370</v>
      </c>
      <c r="AU381" s="59" t="str">
        <f t="shared" si="193"/>
        <v>PERFORM * FROM "SchData-OLTP-Accounting"."Func_TblChartOfAccount_SET"(varSystemLoginSession, null, null, null, varInstitutionBranchID, 62000000000001::bigint,'6-1010.01', 'Meal Allowance (IDR)', 62000000000001::bigint, '2016-01-01 00:00:00'::timestamp, null::timestamp, 65000000000370::bigint, 66000000000001::bigint);</v>
      </c>
      <c r="AV381" s="65">
        <f t="shared" si="194"/>
        <v>65000000000371</v>
      </c>
      <c r="AW381" s="65">
        <f t="shared" si="195"/>
        <v>65000000000370</v>
      </c>
      <c r="AY381" s="65">
        <f t="shared" si="185"/>
        <v>65000000000370</v>
      </c>
      <c r="BA381" s="78">
        <f t="shared" si="196"/>
        <v>65000000000371</v>
      </c>
      <c r="BB381" s="81" t="str">
        <f t="shared" si="186"/>
        <v>PERFORM * FROM "SchData-OLTP-Accounting"."Func_TblChartOfAccount_SET"(varSystemLoginSession, null, null, null, null, null, varInstitutionBranchID, 62000000000001::bigint,'6-1010.01', 'Meal Allowance (IDR)', 62000000000001::bigint, '2016-01-01 00:00:00'::timestamp, null::timestamp, 65000000000370::bigint, 66000000000001::bigint, FALSE::boolean);</v>
      </c>
    </row>
    <row r="382" spans="2:54" x14ac:dyDescent="0.2">
      <c r="B382" s="41"/>
      <c r="C382" s="42"/>
      <c r="D382" s="43"/>
      <c r="E382" s="42"/>
      <c r="F382" s="43"/>
      <c r="G382" s="42"/>
      <c r="H382" s="51" t="s">
        <v>1657</v>
      </c>
      <c r="I382" s="18" t="s">
        <v>529</v>
      </c>
      <c r="J382" s="51"/>
      <c r="K382" s="18"/>
      <c r="L382" s="51"/>
      <c r="M382" s="18"/>
      <c r="O382" s="58" t="str">
        <f t="shared" si="173"/>
        <v>6-0000</v>
      </c>
      <c r="P382" s="58" t="str">
        <f t="shared" si="174"/>
        <v>6-1000</v>
      </c>
      <c r="Q382" s="58" t="str">
        <f t="shared" si="175"/>
        <v>2-1200</v>
      </c>
      <c r="R382" s="58" t="str">
        <f t="shared" si="176"/>
        <v>6-1011</v>
      </c>
      <c r="S382" s="58" t="str">
        <f t="shared" si="177"/>
        <v>6-1010.01</v>
      </c>
      <c r="T382" s="58" t="str">
        <f t="shared" si="178"/>
        <v xml:space="preserve"> </v>
      </c>
      <c r="V382" s="72">
        <f t="shared" si="179"/>
        <v>65000000000372</v>
      </c>
      <c r="W382" s="60">
        <f t="shared" si="180"/>
        <v>65000000000350</v>
      </c>
      <c r="X382" s="60">
        <f t="shared" si="181"/>
        <v>65000000000351</v>
      </c>
      <c r="Y382" s="60">
        <f t="shared" si="182"/>
        <v>65000000000147</v>
      </c>
      <c r="Z382" s="60">
        <f t="shared" si="183"/>
        <v>65000000000372</v>
      </c>
      <c r="AA382" s="60">
        <f t="shared" si="166"/>
        <v>65000000000371</v>
      </c>
      <c r="AB382" s="60">
        <f t="shared" si="184"/>
        <v>65000000000000</v>
      </c>
      <c r="AD382" s="60">
        <f t="shared" si="187"/>
        <v>6</v>
      </c>
      <c r="AE382" s="60">
        <f t="shared" si="188"/>
        <v>2</v>
      </c>
      <c r="AF382" s="60">
        <f t="shared" si="189"/>
        <v>1</v>
      </c>
      <c r="AG382" s="60">
        <f t="shared" si="190"/>
        <v>101</v>
      </c>
      <c r="AH382" s="60">
        <f t="shared" si="191"/>
        <v>1</v>
      </c>
      <c r="AI382" s="60">
        <f t="shared" si="192"/>
        <v>1</v>
      </c>
      <c r="AK382" s="68" t="str">
        <f t="shared" si="167"/>
        <v>L4</v>
      </c>
      <c r="AM382" s="64" t="s">
        <v>1755</v>
      </c>
      <c r="AN382" s="64">
        <f t="shared" si="168"/>
        <v>65000000000350</v>
      </c>
      <c r="AO382" s="64">
        <f t="shared" si="169"/>
        <v>65000000000351</v>
      </c>
      <c r="AP382" s="64">
        <f t="shared" si="170"/>
        <v>65000000000351</v>
      </c>
      <c r="AQ382" s="64">
        <f t="shared" si="171"/>
        <v>65000000000370</v>
      </c>
      <c r="AS382" s="64">
        <f t="shared" si="172"/>
        <v>65000000000351</v>
      </c>
      <c r="AU382" s="59" t="str">
        <f t="shared" si="193"/>
        <v>PERFORM * FROM "SchData-OLTP-Accounting"."Func_TblChartOfAccount_SET"(varSystemLoginSession, null, null, null, varInstitutionBranchID, 62000000000001::bigint,'6-1011', 'Staff Welfare', 62000000000001::bigint, '2016-01-01 00:00:00'::timestamp, null::timestamp, 65000000000351::bigint, 66000000000001::bigint);</v>
      </c>
      <c r="AV382" s="65">
        <f t="shared" si="194"/>
        <v>65000000000372</v>
      </c>
      <c r="AW382" s="65">
        <f t="shared" si="195"/>
        <v>65000000000351</v>
      </c>
      <c r="AY382" s="65">
        <f t="shared" si="185"/>
        <v>65000000000147</v>
      </c>
      <c r="BA382" s="78">
        <f t="shared" si="196"/>
        <v>65000000000372</v>
      </c>
      <c r="BB382" s="81" t="str">
        <f t="shared" si="186"/>
        <v>PERFORM * FROM "SchData-OLTP-Accounting"."Func_TblChartOfAccount_SET"(varSystemLoginSession, null, null, null, null, null, varInstitutionBranchID, 62000000000001::bigint,'6-1011', 'Staff Welfare', 62000000000001::bigint, '2016-01-01 00:00:00'::timestamp, null::timestamp, 65000000000351::bigint, 66000000000001::bigint, FALSE::boolean);</v>
      </c>
    </row>
    <row r="383" spans="2:54" x14ac:dyDescent="0.2">
      <c r="B383" s="41"/>
      <c r="C383" s="42"/>
      <c r="D383" s="43"/>
      <c r="E383" s="42"/>
      <c r="F383" s="43"/>
      <c r="G383" s="42"/>
      <c r="H383" s="51"/>
      <c r="I383" s="18"/>
      <c r="J383" s="51" t="s">
        <v>1658</v>
      </c>
      <c r="K383" s="18" t="s">
        <v>1367</v>
      </c>
      <c r="L383" s="51"/>
      <c r="M383" s="18"/>
      <c r="O383" s="58" t="str">
        <f t="shared" si="173"/>
        <v>6-0000</v>
      </c>
      <c r="P383" s="58" t="str">
        <f t="shared" si="174"/>
        <v>6-1000</v>
      </c>
      <c r="Q383" s="58" t="str">
        <f t="shared" si="175"/>
        <v>2-1200</v>
      </c>
      <c r="R383" s="58" t="str">
        <f t="shared" si="176"/>
        <v>6-1011</v>
      </c>
      <c r="S383" s="58" t="str">
        <f t="shared" si="177"/>
        <v>6-1011.01</v>
      </c>
      <c r="T383" s="58" t="str">
        <f t="shared" si="178"/>
        <v xml:space="preserve"> </v>
      </c>
      <c r="V383" s="72">
        <f t="shared" si="179"/>
        <v>65000000000373</v>
      </c>
      <c r="W383" s="60">
        <f t="shared" si="180"/>
        <v>65000000000350</v>
      </c>
      <c r="X383" s="60">
        <f t="shared" si="181"/>
        <v>65000000000351</v>
      </c>
      <c r="Y383" s="60">
        <f t="shared" si="182"/>
        <v>65000000000147</v>
      </c>
      <c r="Z383" s="60">
        <f t="shared" si="183"/>
        <v>65000000000372</v>
      </c>
      <c r="AA383" s="60">
        <f t="shared" si="166"/>
        <v>65000000000373</v>
      </c>
      <c r="AB383" s="60">
        <f t="shared" si="184"/>
        <v>65000000000000</v>
      </c>
      <c r="AD383" s="60">
        <f t="shared" si="187"/>
        <v>6</v>
      </c>
      <c r="AE383" s="60">
        <f t="shared" si="188"/>
        <v>2</v>
      </c>
      <c r="AF383" s="60">
        <f t="shared" si="189"/>
        <v>1</v>
      </c>
      <c r="AG383" s="60">
        <f t="shared" si="190"/>
        <v>101</v>
      </c>
      <c r="AH383" s="60">
        <f t="shared" si="191"/>
        <v>2</v>
      </c>
      <c r="AI383" s="60">
        <f t="shared" si="192"/>
        <v>1</v>
      </c>
      <c r="AK383" s="68" t="str">
        <f t="shared" si="167"/>
        <v>L5</v>
      </c>
      <c r="AM383" s="64" t="s">
        <v>1755</v>
      </c>
      <c r="AN383" s="64">
        <f t="shared" si="168"/>
        <v>65000000000350</v>
      </c>
      <c r="AO383" s="64">
        <f t="shared" si="169"/>
        <v>65000000000351</v>
      </c>
      <c r="AP383" s="64">
        <f t="shared" si="170"/>
        <v>65000000000351</v>
      </c>
      <c r="AQ383" s="64">
        <f t="shared" si="171"/>
        <v>65000000000372</v>
      </c>
      <c r="AS383" s="64">
        <f t="shared" si="172"/>
        <v>65000000000372</v>
      </c>
      <c r="AU383" s="59" t="str">
        <f t="shared" si="193"/>
        <v>PERFORM * FROM "SchData-OLTP-Accounting"."Func_TblChartOfAccount_SET"(varSystemLoginSession, null, null, null, varInstitutionBranchID, 62000000000001::bigint,'6-1011.01', 'Staff Welfare (IDR)', 62000000000001::bigint, '2016-01-01 00:00:00'::timestamp, null::timestamp, 65000000000372::bigint, 66000000000001::bigint);</v>
      </c>
      <c r="AV383" s="65">
        <f t="shared" si="194"/>
        <v>65000000000373</v>
      </c>
      <c r="AW383" s="65">
        <f t="shared" si="195"/>
        <v>65000000000372</v>
      </c>
      <c r="AY383" s="65">
        <f t="shared" si="185"/>
        <v>65000000000372</v>
      </c>
      <c r="BA383" s="78">
        <f t="shared" si="196"/>
        <v>65000000000373</v>
      </c>
      <c r="BB383" s="81" t="str">
        <f t="shared" si="186"/>
        <v>PERFORM * FROM "SchData-OLTP-Accounting"."Func_TblChartOfAccount_SET"(varSystemLoginSession, null, null, null, null, null, varInstitutionBranchID, 62000000000001::bigint,'6-1011.01', 'Staff Welfare (IDR)', 62000000000001::bigint, '2016-01-01 00:00:00'::timestamp, null::timestamp, 65000000000372::bigint, 66000000000001::bigint, FALSE::boolean);</v>
      </c>
    </row>
    <row r="384" spans="2:54" x14ac:dyDescent="0.2">
      <c r="B384" s="41"/>
      <c r="C384" s="42"/>
      <c r="D384" s="43"/>
      <c r="E384" s="42"/>
      <c r="F384" s="43"/>
      <c r="G384" s="42"/>
      <c r="H384" s="51" t="s">
        <v>1659</v>
      </c>
      <c r="I384" s="18" t="s">
        <v>531</v>
      </c>
      <c r="J384" s="51"/>
      <c r="K384" s="18"/>
      <c r="L384" s="51"/>
      <c r="M384" s="18"/>
      <c r="O384" s="58" t="str">
        <f t="shared" si="173"/>
        <v>6-0000</v>
      </c>
      <c r="P384" s="58" t="str">
        <f t="shared" si="174"/>
        <v>6-1000</v>
      </c>
      <c r="Q384" s="58" t="str">
        <f t="shared" si="175"/>
        <v>2-1200</v>
      </c>
      <c r="R384" s="58" t="str">
        <f t="shared" si="176"/>
        <v>6-1012</v>
      </c>
      <c r="S384" s="58" t="str">
        <f t="shared" si="177"/>
        <v>6-1011.01</v>
      </c>
      <c r="T384" s="58" t="str">
        <f t="shared" si="178"/>
        <v xml:space="preserve"> </v>
      </c>
      <c r="V384" s="72">
        <f t="shared" si="179"/>
        <v>65000000000374</v>
      </c>
      <c r="W384" s="60">
        <f t="shared" si="180"/>
        <v>65000000000350</v>
      </c>
      <c r="X384" s="60">
        <f t="shared" si="181"/>
        <v>65000000000351</v>
      </c>
      <c r="Y384" s="60">
        <f t="shared" si="182"/>
        <v>65000000000147</v>
      </c>
      <c r="Z384" s="60">
        <f t="shared" si="183"/>
        <v>65000000000374</v>
      </c>
      <c r="AA384" s="60">
        <f t="shared" si="166"/>
        <v>65000000000373</v>
      </c>
      <c r="AB384" s="60">
        <f t="shared" si="184"/>
        <v>65000000000000</v>
      </c>
      <c r="AD384" s="60">
        <f t="shared" si="187"/>
        <v>6</v>
      </c>
      <c r="AE384" s="60">
        <f t="shared" si="188"/>
        <v>2</v>
      </c>
      <c r="AF384" s="60">
        <f t="shared" si="189"/>
        <v>1</v>
      </c>
      <c r="AG384" s="60">
        <f t="shared" si="190"/>
        <v>102</v>
      </c>
      <c r="AH384" s="60">
        <f t="shared" si="191"/>
        <v>1</v>
      </c>
      <c r="AI384" s="60">
        <f t="shared" si="192"/>
        <v>1</v>
      </c>
      <c r="AK384" s="68" t="str">
        <f t="shared" si="167"/>
        <v>L4</v>
      </c>
      <c r="AM384" s="64" t="s">
        <v>1755</v>
      </c>
      <c r="AN384" s="64">
        <f t="shared" si="168"/>
        <v>65000000000350</v>
      </c>
      <c r="AO384" s="64">
        <f t="shared" si="169"/>
        <v>65000000000351</v>
      </c>
      <c r="AP384" s="64">
        <f t="shared" si="170"/>
        <v>65000000000351</v>
      </c>
      <c r="AQ384" s="64">
        <f t="shared" si="171"/>
        <v>65000000000372</v>
      </c>
      <c r="AS384" s="64">
        <f t="shared" si="172"/>
        <v>65000000000351</v>
      </c>
      <c r="AU384" s="59" t="str">
        <f t="shared" si="193"/>
        <v>PERFORM * FROM "SchData-OLTP-Accounting"."Func_TblChartOfAccount_SET"(varSystemLoginSession, null, null, null, varInstitutionBranchID, 62000000000001::bigint,'6-1012', 'Housing Allowance', 62000000000001::bigint, '2016-01-01 00:00:00'::timestamp, null::timestamp, 65000000000351::bigint, 66000000000001::bigint);</v>
      </c>
      <c r="AV384" s="65">
        <f t="shared" si="194"/>
        <v>65000000000374</v>
      </c>
      <c r="AW384" s="65">
        <f t="shared" si="195"/>
        <v>65000000000351</v>
      </c>
      <c r="AY384" s="65">
        <f t="shared" si="185"/>
        <v>65000000000147</v>
      </c>
      <c r="BA384" s="78">
        <f t="shared" si="196"/>
        <v>65000000000374</v>
      </c>
      <c r="BB384" s="81" t="str">
        <f t="shared" si="186"/>
        <v>PERFORM * FROM "SchData-OLTP-Accounting"."Func_TblChartOfAccount_SET"(varSystemLoginSession, null, null, null, null, null, varInstitutionBranchID, 62000000000001::bigint,'6-1012', 'Housing Allowance', 62000000000001::bigint, '2016-01-01 00:00:00'::timestamp, null::timestamp, 65000000000351::bigint, 66000000000001::bigint, FALSE::boolean);</v>
      </c>
    </row>
    <row r="385" spans="2:54" x14ac:dyDescent="0.2">
      <c r="B385" s="41"/>
      <c r="C385" s="42"/>
      <c r="D385" s="43"/>
      <c r="E385" s="42"/>
      <c r="F385" s="43"/>
      <c r="G385" s="42"/>
      <c r="H385" s="51"/>
      <c r="I385" s="18"/>
      <c r="J385" s="51" t="s">
        <v>1660</v>
      </c>
      <c r="K385" s="18" t="s">
        <v>1368</v>
      </c>
      <c r="L385" s="51"/>
      <c r="M385" s="18"/>
      <c r="O385" s="58" t="str">
        <f t="shared" si="173"/>
        <v>6-0000</v>
      </c>
      <c r="P385" s="58" t="str">
        <f t="shared" si="174"/>
        <v>6-1000</v>
      </c>
      <c r="Q385" s="58" t="str">
        <f t="shared" si="175"/>
        <v>2-1200</v>
      </c>
      <c r="R385" s="58" t="str">
        <f t="shared" si="176"/>
        <v>6-1012</v>
      </c>
      <c r="S385" s="58" t="str">
        <f t="shared" si="177"/>
        <v>6-1012.01</v>
      </c>
      <c r="T385" s="58" t="str">
        <f t="shared" si="178"/>
        <v xml:space="preserve"> </v>
      </c>
      <c r="V385" s="72">
        <f t="shared" si="179"/>
        <v>65000000000375</v>
      </c>
      <c r="W385" s="60">
        <f t="shared" si="180"/>
        <v>65000000000350</v>
      </c>
      <c r="X385" s="60">
        <f t="shared" si="181"/>
        <v>65000000000351</v>
      </c>
      <c r="Y385" s="60">
        <f t="shared" si="182"/>
        <v>65000000000147</v>
      </c>
      <c r="Z385" s="60">
        <f t="shared" si="183"/>
        <v>65000000000374</v>
      </c>
      <c r="AA385" s="60">
        <f t="shared" si="166"/>
        <v>65000000000375</v>
      </c>
      <c r="AB385" s="60">
        <f t="shared" si="184"/>
        <v>65000000000000</v>
      </c>
      <c r="AD385" s="60">
        <f t="shared" si="187"/>
        <v>6</v>
      </c>
      <c r="AE385" s="60">
        <f t="shared" si="188"/>
        <v>2</v>
      </c>
      <c r="AF385" s="60">
        <f t="shared" si="189"/>
        <v>1</v>
      </c>
      <c r="AG385" s="60">
        <f t="shared" si="190"/>
        <v>102</v>
      </c>
      <c r="AH385" s="60">
        <f t="shared" si="191"/>
        <v>2</v>
      </c>
      <c r="AI385" s="60">
        <f t="shared" si="192"/>
        <v>1</v>
      </c>
      <c r="AK385" s="68" t="str">
        <f t="shared" si="167"/>
        <v>L5</v>
      </c>
      <c r="AM385" s="64" t="s">
        <v>1755</v>
      </c>
      <c r="AN385" s="64">
        <f t="shared" si="168"/>
        <v>65000000000350</v>
      </c>
      <c r="AO385" s="64">
        <f t="shared" si="169"/>
        <v>65000000000351</v>
      </c>
      <c r="AP385" s="64">
        <f t="shared" si="170"/>
        <v>65000000000351</v>
      </c>
      <c r="AQ385" s="64">
        <f t="shared" si="171"/>
        <v>65000000000374</v>
      </c>
      <c r="AS385" s="64">
        <f t="shared" si="172"/>
        <v>65000000000374</v>
      </c>
      <c r="AU385" s="59" t="str">
        <f t="shared" si="193"/>
        <v>PERFORM * FROM "SchData-OLTP-Accounting"."Func_TblChartOfAccount_SET"(varSystemLoginSession, null, null, null, varInstitutionBranchID, 62000000000001::bigint,'6-1012.01', 'Housing Allowance (IDR)', 62000000000001::bigint, '2016-01-01 00:00:00'::timestamp, null::timestamp, 65000000000374::bigint, 66000000000001::bigint);</v>
      </c>
      <c r="AV385" s="65">
        <f t="shared" si="194"/>
        <v>65000000000375</v>
      </c>
      <c r="AW385" s="65">
        <f t="shared" si="195"/>
        <v>65000000000374</v>
      </c>
      <c r="AY385" s="65">
        <f t="shared" si="185"/>
        <v>65000000000374</v>
      </c>
      <c r="BA385" s="78">
        <f t="shared" si="196"/>
        <v>65000000000375</v>
      </c>
      <c r="BB385" s="81" t="str">
        <f t="shared" si="186"/>
        <v>PERFORM * FROM "SchData-OLTP-Accounting"."Func_TblChartOfAccount_SET"(varSystemLoginSession, null, null, null, null, null, varInstitutionBranchID, 62000000000001::bigint,'6-1012.01', 'Housing Allowance (IDR)', 62000000000001::bigint, '2016-01-01 00:00:00'::timestamp, null::timestamp, 65000000000374::bigint, 66000000000001::bigint, FALSE::boolean);</v>
      </c>
    </row>
    <row r="386" spans="2:54" x14ac:dyDescent="0.2">
      <c r="B386" s="41"/>
      <c r="C386" s="42"/>
      <c r="D386" s="43"/>
      <c r="E386" s="42"/>
      <c r="F386" s="43"/>
      <c r="G386" s="42"/>
      <c r="H386" s="51" t="s">
        <v>1661</v>
      </c>
      <c r="I386" s="18" t="s">
        <v>533</v>
      </c>
      <c r="J386" s="51"/>
      <c r="K386" s="18"/>
      <c r="L386" s="51"/>
      <c r="M386" s="18"/>
      <c r="O386" s="58" t="str">
        <f t="shared" si="173"/>
        <v>6-0000</v>
      </c>
      <c r="P386" s="58" t="str">
        <f t="shared" si="174"/>
        <v>6-1000</v>
      </c>
      <c r="Q386" s="58" t="str">
        <f t="shared" si="175"/>
        <v>2-1200</v>
      </c>
      <c r="R386" s="58" t="str">
        <f t="shared" si="176"/>
        <v>6-1013</v>
      </c>
      <c r="S386" s="58" t="str">
        <f t="shared" si="177"/>
        <v>6-1012.01</v>
      </c>
      <c r="T386" s="58" t="str">
        <f t="shared" si="178"/>
        <v xml:space="preserve"> </v>
      </c>
      <c r="V386" s="72">
        <f t="shared" si="179"/>
        <v>65000000000376</v>
      </c>
      <c r="W386" s="60">
        <f t="shared" si="180"/>
        <v>65000000000350</v>
      </c>
      <c r="X386" s="60">
        <f t="shared" si="181"/>
        <v>65000000000351</v>
      </c>
      <c r="Y386" s="60">
        <f t="shared" si="182"/>
        <v>65000000000147</v>
      </c>
      <c r="Z386" s="60">
        <f t="shared" si="183"/>
        <v>65000000000376</v>
      </c>
      <c r="AA386" s="60">
        <f t="shared" si="166"/>
        <v>65000000000375</v>
      </c>
      <c r="AB386" s="60">
        <f t="shared" si="184"/>
        <v>65000000000000</v>
      </c>
      <c r="AD386" s="60">
        <f t="shared" si="187"/>
        <v>6</v>
      </c>
      <c r="AE386" s="60">
        <f t="shared" si="188"/>
        <v>2</v>
      </c>
      <c r="AF386" s="60">
        <f t="shared" si="189"/>
        <v>1</v>
      </c>
      <c r="AG386" s="60">
        <f t="shared" si="190"/>
        <v>103</v>
      </c>
      <c r="AH386" s="60">
        <f t="shared" si="191"/>
        <v>1</v>
      </c>
      <c r="AI386" s="60">
        <f t="shared" si="192"/>
        <v>1</v>
      </c>
      <c r="AK386" s="68" t="str">
        <f t="shared" si="167"/>
        <v>L4</v>
      </c>
      <c r="AM386" s="64" t="s">
        <v>1755</v>
      </c>
      <c r="AN386" s="64">
        <f t="shared" si="168"/>
        <v>65000000000350</v>
      </c>
      <c r="AO386" s="64">
        <f t="shared" si="169"/>
        <v>65000000000351</v>
      </c>
      <c r="AP386" s="64">
        <f t="shared" si="170"/>
        <v>65000000000351</v>
      </c>
      <c r="AQ386" s="64">
        <f t="shared" si="171"/>
        <v>65000000000374</v>
      </c>
      <c r="AS386" s="64">
        <f t="shared" si="172"/>
        <v>65000000000351</v>
      </c>
      <c r="AU386" s="59" t="str">
        <f t="shared" si="193"/>
        <v>PERFORM * FROM "SchData-OLTP-Accounting"."Func_TblChartOfAccount_SET"(varSystemLoginSession, null, null, null, varInstitutionBranchID, 62000000000001::bigint,'6-1013', 'Uniform', 62000000000001::bigint, '2016-01-01 00:00:00'::timestamp, null::timestamp, 65000000000351::bigint, 66000000000001::bigint);</v>
      </c>
      <c r="AV386" s="65">
        <f t="shared" si="194"/>
        <v>65000000000376</v>
      </c>
      <c r="AW386" s="65">
        <f t="shared" si="195"/>
        <v>65000000000351</v>
      </c>
      <c r="AY386" s="65">
        <f t="shared" si="185"/>
        <v>65000000000147</v>
      </c>
      <c r="BA386" s="78">
        <f t="shared" si="196"/>
        <v>65000000000376</v>
      </c>
      <c r="BB386" s="81" t="str">
        <f t="shared" si="186"/>
        <v>PERFORM * FROM "SchData-OLTP-Accounting"."Func_TblChartOfAccount_SET"(varSystemLoginSession, null, null, null, null, null, varInstitutionBranchID, 62000000000001::bigint,'6-1013', 'Uniform', 62000000000001::bigint, '2016-01-01 00:00:00'::timestamp, null::timestamp, 65000000000351::bigint, 66000000000001::bigint, FALSE::boolean);</v>
      </c>
    </row>
    <row r="387" spans="2:54" x14ac:dyDescent="0.2">
      <c r="B387" s="41"/>
      <c r="C387" s="42"/>
      <c r="D387" s="43"/>
      <c r="E387" s="42"/>
      <c r="F387" s="43"/>
      <c r="G387" s="42"/>
      <c r="H387" s="51"/>
      <c r="I387" s="18"/>
      <c r="J387" s="51" t="s">
        <v>1662</v>
      </c>
      <c r="K387" s="18" t="s">
        <v>1369</v>
      </c>
      <c r="L387" s="51"/>
      <c r="M387" s="18"/>
      <c r="O387" s="58" t="str">
        <f t="shared" si="173"/>
        <v>6-0000</v>
      </c>
      <c r="P387" s="58" t="str">
        <f t="shared" si="174"/>
        <v>6-1000</v>
      </c>
      <c r="Q387" s="58" t="str">
        <f t="shared" si="175"/>
        <v>2-1200</v>
      </c>
      <c r="R387" s="58" t="str">
        <f t="shared" si="176"/>
        <v>6-1013</v>
      </c>
      <c r="S387" s="58" t="str">
        <f t="shared" si="177"/>
        <v>6-1013.01</v>
      </c>
      <c r="T387" s="58" t="str">
        <f t="shared" si="178"/>
        <v xml:space="preserve"> </v>
      </c>
      <c r="V387" s="72">
        <f t="shared" si="179"/>
        <v>65000000000377</v>
      </c>
      <c r="W387" s="60">
        <f t="shared" si="180"/>
        <v>65000000000350</v>
      </c>
      <c r="X387" s="60">
        <f t="shared" si="181"/>
        <v>65000000000351</v>
      </c>
      <c r="Y387" s="60">
        <f t="shared" si="182"/>
        <v>65000000000147</v>
      </c>
      <c r="Z387" s="60">
        <f t="shared" si="183"/>
        <v>65000000000376</v>
      </c>
      <c r="AA387" s="60">
        <f t="shared" si="166"/>
        <v>65000000000377</v>
      </c>
      <c r="AB387" s="60">
        <f t="shared" si="184"/>
        <v>65000000000000</v>
      </c>
      <c r="AD387" s="60">
        <f t="shared" si="187"/>
        <v>6</v>
      </c>
      <c r="AE387" s="60">
        <f t="shared" si="188"/>
        <v>2</v>
      </c>
      <c r="AF387" s="60">
        <f t="shared" si="189"/>
        <v>1</v>
      </c>
      <c r="AG387" s="60">
        <f t="shared" si="190"/>
        <v>103</v>
      </c>
      <c r="AH387" s="60">
        <f t="shared" si="191"/>
        <v>2</v>
      </c>
      <c r="AI387" s="60">
        <f t="shared" si="192"/>
        <v>1</v>
      </c>
      <c r="AK387" s="68" t="str">
        <f t="shared" si="167"/>
        <v>L5</v>
      </c>
      <c r="AM387" s="64" t="s">
        <v>1755</v>
      </c>
      <c r="AN387" s="64">
        <f t="shared" si="168"/>
        <v>65000000000350</v>
      </c>
      <c r="AO387" s="64">
        <f t="shared" si="169"/>
        <v>65000000000351</v>
      </c>
      <c r="AP387" s="64">
        <f t="shared" si="170"/>
        <v>65000000000351</v>
      </c>
      <c r="AQ387" s="64">
        <f t="shared" si="171"/>
        <v>65000000000376</v>
      </c>
      <c r="AS387" s="64">
        <f t="shared" si="172"/>
        <v>65000000000376</v>
      </c>
      <c r="AU387" s="59" t="str">
        <f t="shared" si="193"/>
        <v>PERFORM * FROM "SchData-OLTP-Accounting"."Func_TblChartOfAccount_SET"(varSystemLoginSession, null, null, null, varInstitutionBranchID, 62000000000001::bigint,'6-1013.01', 'Uniform (IDR)', 62000000000001::bigint, '2016-01-01 00:00:00'::timestamp, null::timestamp, 65000000000376::bigint, 66000000000001::bigint);</v>
      </c>
      <c r="AV387" s="65">
        <f t="shared" si="194"/>
        <v>65000000000377</v>
      </c>
      <c r="AW387" s="65">
        <f t="shared" si="195"/>
        <v>65000000000376</v>
      </c>
      <c r="AY387" s="65">
        <f t="shared" si="185"/>
        <v>65000000000376</v>
      </c>
      <c r="BA387" s="78">
        <f t="shared" si="196"/>
        <v>65000000000377</v>
      </c>
      <c r="BB387" s="81" t="str">
        <f t="shared" si="186"/>
        <v>PERFORM * FROM "SchData-OLTP-Accounting"."Func_TblChartOfAccount_SET"(varSystemLoginSession, null, null, null, null, null, varInstitutionBranchID, 62000000000001::bigint,'6-1013.01', 'Uniform (IDR)', 62000000000001::bigint, '2016-01-01 00:00:00'::timestamp, null::timestamp, 65000000000376::bigint, 66000000000001::bigint, FALSE::boolean);</v>
      </c>
    </row>
    <row r="388" spans="2:54" x14ac:dyDescent="0.2">
      <c r="B388" s="41"/>
      <c r="C388" s="42"/>
      <c r="D388" s="43"/>
      <c r="E388" s="42"/>
      <c r="F388" s="43"/>
      <c r="G388" s="42"/>
      <c r="H388" s="51" t="s">
        <v>1663</v>
      </c>
      <c r="I388" s="18" t="s">
        <v>535</v>
      </c>
      <c r="J388" s="51"/>
      <c r="K388" s="18"/>
      <c r="L388" s="51"/>
      <c r="M388" s="18"/>
      <c r="O388" s="58" t="str">
        <f t="shared" si="173"/>
        <v>6-0000</v>
      </c>
      <c r="P388" s="58" t="str">
        <f t="shared" si="174"/>
        <v>6-1000</v>
      </c>
      <c r="Q388" s="58" t="str">
        <f t="shared" si="175"/>
        <v>2-1200</v>
      </c>
      <c r="R388" s="58" t="str">
        <f t="shared" si="176"/>
        <v>6-1014</v>
      </c>
      <c r="S388" s="58" t="str">
        <f t="shared" si="177"/>
        <v>6-1013.01</v>
      </c>
      <c r="T388" s="58" t="str">
        <f t="shared" si="178"/>
        <v xml:space="preserve"> </v>
      </c>
      <c r="V388" s="72">
        <f t="shared" si="179"/>
        <v>65000000000378</v>
      </c>
      <c r="W388" s="60">
        <f t="shared" si="180"/>
        <v>65000000000350</v>
      </c>
      <c r="X388" s="60">
        <f t="shared" si="181"/>
        <v>65000000000351</v>
      </c>
      <c r="Y388" s="60">
        <f t="shared" si="182"/>
        <v>65000000000147</v>
      </c>
      <c r="Z388" s="60">
        <f t="shared" si="183"/>
        <v>65000000000378</v>
      </c>
      <c r="AA388" s="60">
        <f t="shared" si="166"/>
        <v>65000000000377</v>
      </c>
      <c r="AB388" s="60">
        <f t="shared" si="184"/>
        <v>65000000000000</v>
      </c>
      <c r="AD388" s="60">
        <f t="shared" si="187"/>
        <v>6</v>
      </c>
      <c r="AE388" s="60">
        <f t="shared" si="188"/>
        <v>2</v>
      </c>
      <c r="AF388" s="60">
        <f t="shared" si="189"/>
        <v>1</v>
      </c>
      <c r="AG388" s="60">
        <f t="shared" si="190"/>
        <v>104</v>
      </c>
      <c r="AH388" s="60">
        <f t="shared" si="191"/>
        <v>1</v>
      </c>
      <c r="AI388" s="60">
        <f t="shared" si="192"/>
        <v>1</v>
      </c>
      <c r="AK388" s="68" t="str">
        <f t="shared" si="167"/>
        <v>L4</v>
      </c>
      <c r="AM388" s="64" t="s">
        <v>1755</v>
      </c>
      <c r="AN388" s="64">
        <f t="shared" si="168"/>
        <v>65000000000350</v>
      </c>
      <c r="AO388" s="64">
        <f t="shared" si="169"/>
        <v>65000000000351</v>
      </c>
      <c r="AP388" s="64">
        <f t="shared" si="170"/>
        <v>65000000000351</v>
      </c>
      <c r="AQ388" s="64">
        <f t="shared" si="171"/>
        <v>65000000000376</v>
      </c>
      <c r="AS388" s="64">
        <f t="shared" si="172"/>
        <v>65000000000351</v>
      </c>
      <c r="AU388" s="59" t="str">
        <f t="shared" si="193"/>
        <v>PERFORM * FROM "SchData-OLTP-Accounting"."Func_TblChartOfAccount_SET"(varSystemLoginSession, null, null, null, varInstitutionBranchID, 62000000000001::bigint,'6-1014', 'Recruitment expense', 62000000000001::bigint, '2016-01-01 00:00:00'::timestamp, null::timestamp, 65000000000351::bigint, 66000000000001::bigint);</v>
      </c>
      <c r="AV388" s="65">
        <f t="shared" si="194"/>
        <v>65000000000378</v>
      </c>
      <c r="AW388" s="65">
        <f t="shared" si="195"/>
        <v>65000000000351</v>
      </c>
      <c r="AY388" s="65">
        <f t="shared" si="185"/>
        <v>65000000000147</v>
      </c>
      <c r="BA388" s="78">
        <f t="shared" si="196"/>
        <v>65000000000378</v>
      </c>
      <c r="BB388" s="81" t="str">
        <f t="shared" si="186"/>
        <v>PERFORM * FROM "SchData-OLTP-Accounting"."Func_TblChartOfAccount_SET"(varSystemLoginSession, null, null, null, null, null, varInstitutionBranchID, 62000000000001::bigint,'6-1014', 'Recruitment expense', 62000000000001::bigint, '2016-01-01 00:00:00'::timestamp, null::timestamp, 65000000000351::bigint, 66000000000001::bigint, FALSE::boolean);</v>
      </c>
    </row>
    <row r="389" spans="2:54" x14ac:dyDescent="0.2">
      <c r="B389" s="41"/>
      <c r="C389" s="42"/>
      <c r="D389" s="43"/>
      <c r="E389" s="42"/>
      <c r="F389" s="43"/>
      <c r="G389" s="42"/>
      <c r="H389" s="51"/>
      <c r="I389" s="18"/>
      <c r="J389" s="51" t="s">
        <v>1664</v>
      </c>
      <c r="K389" s="18" t="s">
        <v>1370</v>
      </c>
      <c r="L389" s="51"/>
      <c r="M389" s="18"/>
      <c r="O389" s="58" t="str">
        <f t="shared" si="173"/>
        <v>6-0000</v>
      </c>
      <c r="P389" s="58" t="str">
        <f t="shared" si="174"/>
        <v>6-1000</v>
      </c>
      <c r="Q389" s="58" t="str">
        <f t="shared" si="175"/>
        <v>2-1200</v>
      </c>
      <c r="R389" s="58" t="str">
        <f t="shared" si="176"/>
        <v>6-1014</v>
      </c>
      <c r="S389" s="58" t="str">
        <f t="shared" si="177"/>
        <v>6-1014.01</v>
      </c>
      <c r="T389" s="58" t="str">
        <f t="shared" si="178"/>
        <v xml:space="preserve"> </v>
      </c>
      <c r="V389" s="72">
        <f t="shared" si="179"/>
        <v>65000000000379</v>
      </c>
      <c r="W389" s="60">
        <f t="shared" si="180"/>
        <v>65000000000350</v>
      </c>
      <c r="X389" s="60">
        <f t="shared" si="181"/>
        <v>65000000000351</v>
      </c>
      <c r="Y389" s="60">
        <f t="shared" si="182"/>
        <v>65000000000147</v>
      </c>
      <c r="Z389" s="60">
        <f t="shared" si="183"/>
        <v>65000000000378</v>
      </c>
      <c r="AA389" s="60">
        <f t="shared" ref="AA389:AA452" si="197">IF(EXACT($J389, ""), $AA388, $V389)</f>
        <v>65000000000379</v>
      </c>
      <c r="AB389" s="60">
        <f t="shared" si="184"/>
        <v>65000000000000</v>
      </c>
      <c r="AD389" s="60">
        <f t="shared" si="187"/>
        <v>6</v>
      </c>
      <c r="AE389" s="60">
        <f t="shared" si="188"/>
        <v>2</v>
      </c>
      <c r="AF389" s="60">
        <f t="shared" si="189"/>
        <v>1</v>
      </c>
      <c r="AG389" s="60">
        <f t="shared" si="190"/>
        <v>104</v>
      </c>
      <c r="AH389" s="60">
        <f t="shared" si="191"/>
        <v>2</v>
      </c>
      <c r="AI389" s="60">
        <f t="shared" si="192"/>
        <v>1</v>
      </c>
      <c r="AK389" s="68" t="str">
        <f t="shared" ref="AK389:AK452" si="198" xml:space="preserve">
IF(AA389&lt;&gt;AA388,
     "L5",
     IF(Z389&lt;&gt;Z388,
          "L4",
          IF(Y389&lt;&gt;Y388,
               "L3",
               IF(X389&lt;&gt;X388,
                    "L2",
                     IF(W389&lt;&gt;W388,
                         "L1",
                         "L1"
                         )
                    )
               )
          )
     )</f>
        <v>L5</v>
      </c>
      <c r="AM389" s="64" t="s">
        <v>1755</v>
      </c>
      <c r="AN389" s="64">
        <f t="shared" ref="AN389:AN452" si="199">IF(EXACT($AK388, "L1"), $W388, AN388)</f>
        <v>65000000000350</v>
      </c>
      <c r="AO389" s="64">
        <f t="shared" ref="AO389:AO452" si="200">IF(EXACT($AK388, "L1"), $W388, IF(EXACT($AK388, "L2"), $X388, AO388))</f>
        <v>65000000000351</v>
      </c>
      <c r="AP389" s="64">
        <f t="shared" ref="AP389:AP452" si="201">IF(EXACT($AK388, "L1"), $W388, IF(EXACT($AK388, "L2"), $X388, IF(EXACT($AK388, "L3"), $Y388, AP388)))</f>
        <v>65000000000351</v>
      </c>
      <c r="AQ389" s="64">
        <f t="shared" ref="AQ389:AQ452" si="202">IF(EXACT($AK388, "L1"), $W388, IF(EXACT($AK388, "L2"), $X388, IF(EXACT($AK388, "L3"), $Y388, IF(EXACT($AK388, "L4"), $Z388, AQ388))))</f>
        <v>65000000000378</v>
      </c>
      <c r="AS389" s="64">
        <f t="shared" ref="AS389:AS452" si="203">IF(EXACT($AK389, "L1"), AM389, IF(EXACT($AK389, "L2"), AN389, IF(EXACT($AK389, "L3"), AO389, IF(EXACT($AK389, "L4"), AP389, IF(EXACT($AK389, "L5"), AQ389, "")))))</f>
        <v>65000000000378</v>
      </c>
      <c r="AU389" s="59" t="str">
        <f t="shared" si="193"/>
        <v>PERFORM * FROM "SchData-OLTP-Accounting"."Func_TblChartOfAccount_SET"(varSystemLoginSession, null, null, null, varInstitutionBranchID, 62000000000001::bigint,'6-1014.01', 'Recruitment expense (IDR)', 62000000000001::bigint, '2016-01-01 00:00:00'::timestamp, null::timestamp, 65000000000378::bigint, 66000000000001::bigint);</v>
      </c>
      <c r="AV389" s="65">
        <f t="shared" si="194"/>
        <v>65000000000379</v>
      </c>
      <c r="AW389" s="65">
        <f t="shared" si="195"/>
        <v>65000000000378</v>
      </c>
      <c r="AY389" s="65">
        <f t="shared" si="185"/>
        <v>65000000000378</v>
      </c>
      <c r="BA389" s="78">
        <f t="shared" si="196"/>
        <v>65000000000379</v>
      </c>
      <c r="BB389" s="81" t="str">
        <f t="shared" si="186"/>
        <v>PERFORM * FROM "SchData-OLTP-Accounting"."Func_TblChartOfAccount_SET"(varSystemLoginSession, null, null, null, null, null, varInstitutionBranchID, 62000000000001::bigint,'6-1014.01', 'Recruitment expense (IDR)', 62000000000001::bigint, '2016-01-01 00:00:00'::timestamp, null::timestamp, 65000000000378::bigint, 66000000000001::bigint, FALSE::boolean);</v>
      </c>
    </row>
    <row r="390" spans="2:54" ht="25.5" x14ac:dyDescent="0.2">
      <c r="B390" s="41"/>
      <c r="C390" s="42"/>
      <c r="D390" s="43"/>
      <c r="E390" s="42"/>
      <c r="F390" s="43"/>
      <c r="G390" s="42"/>
      <c r="H390" s="51" t="s">
        <v>1665</v>
      </c>
      <c r="I390" s="18" t="s">
        <v>537</v>
      </c>
      <c r="J390" s="51"/>
      <c r="K390" s="18"/>
      <c r="L390" s="51"/>
      <c r="M390" s="18"/>
      <c r="O390" s="58" t="str">
        <f t="shared" ref="O390:O453" si="204">IF(EXACT($B390, ""), $O389, $B390)</f>
        <v>6-0000</v>
      </c>
      <c r="P390" s="58" t="str">
        <f t="shared" ref="P390:P453" si="205">IF(EXACT($D390, ""), $P389, $D390)</f>
        <v>6-1000</v>
      </c>
      <c r="Q390" s="58" t="str">
        <f t="shared" ref="Q390:Q453" si="206">IF(EXACT($F390, ""), $Q389, $F390)</f>
        <v>2-1200</v>
      </c>
      <c r="R390" s="58" t="str">
        <f t="shared" ref="R390:R453" si="207">IF(EXACT($H390, ""), $R389, $H390)</f>
        <v>6-1015</v>
      </c>
      <c r="S390" s="58" t="str">
        <f t="shared" ref="S390:S453" si="208">IF(EXACT($J390, ""), $S389, $J390)</f>
        <v>6-1014.01</v>
      </c>
      <c r="T390" s="58" t="str">
        <f t="shared" ref="T390:T453" si="209">IF(EXACT($L390, ""), $T389, $L390)</f>
        <v xml:space="preserve"> </v>
      </c>
      <c r="V390" s="72">
        <f t="shared" ref="V390:V453" si="210">V389+IF(AND(EXACT(B390, ""), EXACT(D390, ""), EXACT(F390, ""), EXACT(H390, ""), EXACT(J390, ""), EXACT(L390, "")), 0, 1)</f>
        <v>65000000000380</v>
      </c>
      <c r="W390" s="60">
        <f t="shared" ref="W390:W453" si="211">IF(EXACT($B390, ""), $W389, $V390)</f>
        <v>65000000000350</v>
      </c>
      <c r="X390" s="60">
        <f t="shared" ref="X390:X453" si="212">IF(EXACT($D390, ""), $X389, $V390)</f>
        <v>65000000000351</v>
      </c>
      <c r="Y390" s="60">
        <f t="shared" ref="Y390:Y453" si="213">IF(EXACT($F390, ""), $Y389, $V390)</f>
        <v>65000000000147</v>
      </c>
      <c r="Z390" s="60">
        <f t="shared" ref="Z390:Z453" si="214">IF(EXACT($H390, ""), $Z389, $V390)</f>
        <v>65000000000380</v>
      </c>
      <c r="AA390" s="60">
        <f t="shared" si="197"/>
        <v>65000000000379</v>
      </c>
      <c r="AB390" s="60">
        <f t="shared" ref="AB390:AB453" si="215">IF(EXACT($L390, ""), $AB389, $V390)</f>
        <v>65000000000000</v>
      </c>
      <c r="AD390" s="60">
        <f t="shared" si="187"/>
        <v>6</v>
      </c>
      <c r="AE390" s="60">
        <f t="shared" si="188"/>
        <v>2</v>
      </c>
      <c r="AF390" s="60">
        <f t="shared" si="189"/>
        <v>1</v>
      </c>
      <c r="AG390" s="60">
        <f t="shared" si="190"/>
        <v>105</v>
      </c>
      <c r="AH390" s="60">
        <f t="shared" si="191"/>
        <v>1</v>
      </c>
      <c r="AI390" s="60">
        <f t="shared" si="192"/>
        <v>1</v>
      </c>
      <c r="AK390" s="68" t="str">
        <f t="shared" si="198"/>
        <v>L4</v>
      </c>
      <c r="AM390" s="64" t="s">
        <v>1755</v>
      </c>
      <c r="AN390" s="64">
        <f t="shared" si="199"/>
        <v>65000000000350</v>
      </c>
      <c r="AO390" s="64">
        <f t="shared" si="200"/>
        <v>65000000000351</v>
      </c>
      <c r="AP390" s="64">
        <f t="shared" si="201"/>
        <v>65000000000351</v>
      </c>
      <c r="AQ390" s="64">
        <f t="shared" si="202"/>
        <v>65000000000378</v>
      </c>
      <c r="AS390" s="64">
        <f t="shared" si="203"/>
        <v>65000000000351</v>
      </c>
      <c r="AU390" s="59" t="str">
        <f t="shared" si="193"/>
        <v>PERFORM * FROM "SchData-OLTP-Accounting"."Func_TblChartOfAccount_SET"(varSystemLoginSession, null, null, null, varInstitutionBranchID, 62000000000001::bigint,'6-1015', 'Seminar, Confrences, Meeting', 62000000000001::bigint, '2016-01-01 00:00:00'::timestamp, null::timestamp, 65000000000351::bigint, 66000000000001::bigint);</v>
      </c>
      <c r="AV390" s="65">
        <f t="shared" si="194"/>
        <v>65000000000380</v>
      </c>
      <c r="AW390" s="65">
        <f t="shared" si="195"/>
        <v>65000000000351</v>
      </c>
      <c r="AY390" s="65">
        <f t="shared" ref="AY390:AY453" si="216">IF(AND(EXACT($B390, ""), EXACT($D390, ""), EXACT($F390, ""), EXACT($H390, ""), EXACT($J390, ""), EXACT($L390, "")), "",
IF(NOT(EXACT($B390, "")), "null",
IF(NOT(EXACT($D390, "")), IF($W389&lt;&gt;$W388, $W389, $W390),
IF(NOT(EXACT($F390, "")), IF($X389&lt;&gt;$X388, $X389, IF($W389&lt;&gt;$W388, $W389, $X390)),
IF(NOT(EXACT($H390, "")), IF($Y389&lt;&gt;$Y388, $Y389, IF($X389&lt;&gt;$X388, $X389, IF($W389&lt;&gt;$W388, $W389, $Y390))),
IF(NOT(EXACT($J390, "")), IF($Z389&lt;&gt;$Z388, $Z389, IF($Y389&lt;&gt;$Y388, $Y389, IF($X389&lt;&gt;$X388, $X389, IF($W389&lt;&gt;$W388, $W389, $Z390)))),
IF(NOT(EXACT($L390, "")), IF($AA389&lt;&gt;$AA388, $AA389, IF($Z389&lt;&gt;$Z388, $Z389, IF($Y389&lt;&gt;$Y388, $Y389, IF($X389&lt;&gt;$X388, $X389, IF($W389&lt;&gt;$W388, $W389, $AA390))))),
"others")))))))</f>
        <v>65000000000147</v>
      </c>
      <c r="BA390" s="78">
        <f t="shared" si="196"/>
        <v>65000000000380</v>
      </c>
      <c r="BB390" s="81" t="str">
        <f t="shared" ref="BB390:BB453" si="217">IF(AND(EXACT($B390, ""), EXACT($D390, ""), EXACT($F390, ""), EXACT($H390, ""), EXACT($J390, ""), EXACT($L390, "")), "", CONCATENATE(
"PERFORM * FROM ""SchData-OLTP-Accounting"".""Func_TblChartOfAccount_SET""(varSystemLoginSession, null, null, null, null, null, varInstitutionBranchID, 62000000000001::bigint,'",
IF(EXACT($B390, ""), IF(EXACT($D390, ""), IF(EXACT($F390, ""), IF(EXACT($H390, ""), IF(EXACT($J390, ""), IF(EXACT($L390, ""), "", $L390), $J390), $H390), $F390), $D390), $B390),
"', '",
IF(EXACT($B390, ""), IF(EXACT($D390, ""), IF(EXACT($F390, ""), IF(EXACT($H390, ""), IF(EXACT($J390, ""), IF(EXACT($L390, ""), "", $M390), $K390), $I390), $G390), $E390), $C390),
"', ",
IF(EXACT($J390, ""), "62000000000001::bigint", IF((RIGHT($J390, 2)*1 = 1), "62000000000001::bigint", IF((RIGHT($J390, 2)*1 = 2), "62000000000002::bigint", "null"))),
", '2016-01-01 00:00:00'::timestamp, null::timestamp, ", $AW390, "::bigint, 66000000000001::bigint, ", IF(EXACT(LEFT(IF(EXACT($B390, ""), IF(EXACT($D390, ""), IF(EXACT($F390, ""), IF(EXACT($H390, ""), IF(EXACT($J390, ""), IF(EXACT($L390, ""), "", $L390), $J390), $H390), $F390), $D390), $B390), 1), "1"), "TRUE", "FALSE"), "::boolean);"))</f>
        <v>PERFORM * FROM "SchData-OLTP-Accounting"."Func_TblChartOfAccount_SET"(varSystemLoginSession, null, null, null, null, null, varInstitutionBranchID, 62000000000001::bigint,'6-1015', 'Seminar, Confrences, Meeting', 62000000000001::bigint, '2016-01-01 00:00:00'::timestamp, null::timestamp, 65000000000351::bigint, 66000000000001::bigint, FALSE::boolean);</v>
      </c>
    </row>
    <row r="391" spans="2:54" ht="25.5" x14ac:dyDescent="0.2">
      <c r="B391" s="41"/>
      <c r="C391" s="42"/>
      <c r="D391" s="43"/>
      <c r="E391" s="42"/>
      <c r="F391" s="43"/>
      <c r="G391" s="42"/>
      <c r="H391" s="51"/>
      <c r="I391" s="18"/>
      <c r="J391" s="51" t="s">
        <v>1666</v>
      </c>
      <c r="K391" s="18" t="s">
        <v>1371</v>
      </c>
      <c r="L391" s="51"/>
      <c r="M391" s="18"/>
      <c r="O391" s="58" t="str">
        <f t="shared" si="204"/>
        <v>6-0000</v>
      </c>
      <c r="P391" s="58" t="str">
        <f t="shared" si="205"/>
        <v>6-1000</v>
      </c>
      <c r="Q391" s="58" t="str">
        <f t="shared" si="206"/>
        <v>2-1200</v>
      </c>
      <c r="R391" s="58" t="str">
        <f t="shared" si="207"/>
        <v>6-1015</v>
      </c>
      <c r="S391" s="58" t="str">
        <f t="shared" si="208"/>
        <v>6-1015.01</v>
      </c>
      <c r="T391" s="58" t="str">
        <f t="shared" si="209"/>
        <v xml:space="preserve"> </v>
      </c>
      <c r="V391" s="72">
        <f t="shared" si="210"/>
        <v>65000000000381</v>
      </c>
      <c r="W391" s="60">
        <f t="shared" si="211"/>
        <v>65000000000350</v>
      </c>
      <c r="X391" s="60">
        <f t="shared" si="212"/>
        <v>65000000000351</v>
      </c>
      <c r="Y391" s="60">
        <f t="shared" si="213"/>
        <v>65000000000147</v>
      </c>
      <c r="Z391" s="60">
        <f t="shared" si="214"/>
        <v>65000000000380</v>
      </c>
      <c r="AA391" s="60">
        <f t="shared" si="197"/>
        <v>65000000000381</v>
      </c>
      <c r="AB391" s="60">
        <f t="shared" si="215"/>
        <v>65000000000000</v>
      </c>
      <c r="AD391" s="60">
        <f t="shared" ref="AD391:AD454" si="218">AD390 + IF(W391&lt;&gt;W390, 1, 0)</f>
        <v>6</v>
      </c>
      <c r="AE391" s="60">
        <f t="shared" ref="AE391:AE454" si="219">IF(AD390&lt;&gt;AD391, 1, AE390) + IF(X391&lt;&gt;X390, 1, 0)</f>
        <v>2</v>
      </c>
      <c r="AF391" s="60">
        <f t="shared" ref="AF391:AF454" si="220">IF(AE390&lt;&gt;AE391, 1, AF390) + IF(Y391&lt;&gt;Y390, 1, 0)</f>
        <v>1</v>
      </c>
      <c r="AG391" s="60">
        <f t="shared" ref="AG391:AG454" si="221">IF(AF390&lt;&gt;AF391, 1, AG390) + IF(Z391&lt;&gt;Z390, 1, 0)</f>
        <v>105</v>
      </c>
      <c r="AH391" s="60">
        <f t="shared" ref="AH391:AH454" si="222">IF(AG390&lt;&gt;AG391, 1, AH390) + IF(AA391&lt;&gt;AA390, 1, 0)</f>
        <v>2</v>
      </c>
      <c r="AI391" s="60">
        <f t="shared" ref="AI391:AI454" si="223">IF(AH390&lt;&gt;AH391, 1, AI390) + IF(AB391&lt;&gt;AB390, 1, 0)</f>
        <v>1</v>
      </c>
      <c r="AK391" s="68" t="str">
        <f t="shared" si="198"/>
        <v>L5</v>
      </c>
      <c r="AM391" s="64" t="s">
        <v>1755</v>
      </c>
      <c r="AN391" s="64">
        <f t="shared" si="199"/>
        <v>65000000000350</v>
      </c>
      <c r="AO391" s="64">
        <f t="shared" si="200"/>
        <v>65000000000351</v>
      </c>
      <c r="AP391" s="64">
        <f t="shared" si="201"/>
        <v>65000000000351</v>
      </c>
      <c r="AQ391" s="64">
        <f t="shared" si="202"/>
        <v>65000000000380</v>
      </c>
      <c r="AS391" s="64">
        <f t="shared" si="203"/>
        <v>65000000000380</v>
      </c>
      <c r="AU391" s="59" t="str">
        <f t="shared" ref="AU391:AU454" si="224">IF(AND(EXACT(B391, ""), EXACT(D391, ""), EXACT(F391, ""), EXACT(H391, ""), EXACT(J391, ""), EXACT(L391, "")), "", CONCATENATE(
"PERFORM * FROM ""SchData-OLTP-Accounting"".""Func_TblChartOfAccount_SET""(varSystemLoginSession, null, null, null, varInstitutionBranchID, 62000000000001::bigint,'",
IF(EXACT(B391, ""), IF(EXACT(D391, ""), IF(EXACT(F391, ""), IF(EXACT(H391, ""), IF(EXACT(J391, ""), IF(EXACT(L391, ""), "", L391), J391), H391), F391), D391), B391),
"', '",
IF(EXACT(B391, ""), IF(EXACT(D391, ""), IF(EXACT(F391, ""), IF(EXACT(H391, ""), IF(EXACT(J391, ""), IF(EXACT(L391, ""), "", M391), K391), I391), G391), E391), C391),
"', ",
IF(EXACT(J391, ""), "62000000000001::bigint", IF((RIGHT(J391, 2)*1 = 1), "62000000000001::bigint", IF((RIGHT(J391, 2)*1 = 2), "62000000000002::bigint", "null"))),
", '2016-01-01 00:00:00'::timestamp, null::timestamp, ", AW391, "::bigint, 66000000000001::bigint);"))</f>
        <v>PERFORM * FROM "SchData-OLTP-Accounting"."Func_TblChartOfAccount_SET"(varSystemLoginSession, null, null, null, varInstitutionBranchID, 62000000000001::bigint,'6-1015.01', 'Seminar, Confrences, Meeting (IDR)', 62000000000001::bigint, '2016-01-01 00:00:00'::timestamp, null::timestamp, 65000000000380::bigint, 66000000000001::bigint);</v>
      </c>
      <c r="AV391" s="65">
        <f t="shared" ref="AV391:AV454" si="225">IF(AND(EXACT($B391, ""), EXACT($D391, ""), EXACT($F391, ""), EXACT($H391, ""), EXACT($J391, ""), EXACT($L391, "")), "", V391)</f>
        <v>65000000000381</v>
      </c>
      <c r="AW391" s="65">
        <f t="shared" ref="AW391:AW454" si="226">AS391</f>
        <v>65000000000380</v>
      </c>
      <c r="AY391" s="65">
        <f t="shared" si="216"/>
        <v>65000000000380</v>
      </c>
      <c r="BA391" s="78">
        <f t="shared" si="196"/>
        <v>65000000000381</v>
      </c>
      <c r="BB391" s="81" t="str">
        <f t="shared" si="217"/>
        <v>PERFORM * FROM "SchData-OLTP-Accounting"."Func_TblChartOfAccount_SET"(varSystemLoginSession, null, null, null, null, null, varInstitutionBranchID, 62000000000001::bigint,'6-1015.01', 'Seminar, Confrences, Meeting (IDR)', 62000000000001::bigint, '2016-01-01 00:00:00'::timestamp, null::timestamp, 65000000000380::bigint, 66000000000001::bigint, FALSE::boolean);</v>
      </c>
    </row>
    <row r="392" spans="2:54" x14ac:dyDescent="0.2">
      <c r="B392" s="41"/>
      <c r="C392" s="42"/>
      <c r="D392" s="43"/>
      <c r="E392" s="42"/>
      <c r="F392" s="43"/>
      <c r="G392" s="42"/>
      <c r="H392" s="51" t="s">
        <v>1667</v>
      </c>
      <c r="I392" s="18" t="s">
        <v>539</v>
      </c>
      <c r="J392" s="51"/>
      <c r="K392" s="18"/>
      <c r="L392" s="51"/>
      <c r="M392" s="18"/>
      <c r="O392" s="58" t="str">
        <f t="shared" si="204"/>
        <v>6-0000</v>
      </c>
      <c r="P392" s="58" t="str">
        <f t="shared" si="205"/>
        <v>6-1000</v>
      </c>
      <c r="Q392" s="58" t="str">
        <f t="shared" si="206"/>
        <v>2-1200</v>
      </c>
      <c r="R392" s="58" t="str">
        <f t="shared" si="207"/>
        <v>6-1016</v>
      </c>
      <c r="S392" s="58" t="str">
        <f t="shared" si="208"/>
        <v>6-1015.01</v>
      </c>
      <c r="T392" s="58" t="str">
        <f t="shared" si="209"/>
        <v xml:space="preserve"> </v>
      </c>
      <c r="V392" s="72">
        <f t="shared" si="210"/>
        <v>65000000000382</v>
      </c>
      <c r="W392" s="60">
        <f t="shared" si="211"/>
        <v>65000000000350</v>
      </c>
      <c r="X392" s="60">
        <f t="shared" si="212"/>
        <v>65000000000351</v>
      </c>
      <c r="Y392" s="60">
        <f t="shared" si="213"/>
        <v>65000000000147</v>
      </c>
      <c r="Z392" s="60">
        <f t="shared" si="214"/>
        <v>65000000000382</v>
      </c>
      <c r="AA392" s="60">
        <f t="shared" si="197"/>
        <v>65000000000381</v>
      </c>
      <c r="AB392" s="60">
        <f t="shared" si="215"/>
        <v>65000000000000</v>
      </c>
      <c r="AD392" s="60">
        <f t="shared" si="218"/>
        <v>6</v>
      </c>
      <c r="AE392" s="60">
        <f t="shared" si="219"/>
        <v>2</v>
      </c>
      <c r="AF392" s="60">
        <f t="shared" si="220"/>
        <v>1</v>
      </c>
      <c r="AG392" s="60">
        <f t="shared" si="221"/>
        <v>106</v>
      </c>
      <c r="AH392" s="60">
        <f t="shared" si="222"/>
        <v>1</v>
      </c>
      <c r="AI392" s="60">
        <f t="shared" si="223"/>
        <v>1</v>
      </c>
      <c r="AK392" s="68" t="str">
        <f t="shared" si="198"/>
        <v>L4</v>
      </c>
      <c r="AM392" s="64" t="s">
        <v>1755</v>
      </c>
      <c r="AN392" s="64">
        <f t="shared" si="199"/>
        <v>65000000000350</v>
      </c>
      <c r="AO392" s="64">
        <f t="shared" si="200"/>
        <v>65000000000351</v>
      </c>
      <c r="AP392" s="64">
        <f t="shared" si="201"/>
        <v>65000000000351</v>
      </c>
      <c r="AQ392" s="64">
        <f t="shared" si="202"/>
        <v>65000000000380</v>
      </c>
      <c r="AS392" s="64">
        <f t="shared" si="203"/>
        <v>65000000000351</v>
      </c>
      <c r="AU392" s="59" t="str">
        <f t="shared" si="224"/>
        <v>PERFORM * FROM "SchData-OLTP-Accounting"."Func_TblChartOfAccount_SET"(varSystemLoginSession, null, null, null, varInstitutionBranchID, 62000000000001::bigint,'6-1016', 'Skill Development Expense', 62000000000001::bigint, '2016-01-01 00:00:00'::timestamp, null::timestamp, 65000000000351::bigint, 66000000000001::bigint);</v>
      </c>
      <c r="AV392" s="65">
        <f t="shared" si="225"/>
        <v>65000000000382</v>
      </c>
      <c r="AW392" s="65">
        <f t="shared" si="226"/>
        <v>65000000000351</v>
      </c>
      <c r="AY392" s="65">
        <f t="shared" si="216"/>
        <v>65000000000147</v>
      </c>
      <c r="BA392" s="78">
        <f t="shared" si="196"/>
        <v>65000000000382</v>
      </c>
      <c r="BB392" s="81" t="str">
        <f t="shared" si="217"/>
        <v>PERFORM * FROM "SchData-OLTP-Accounting"."Func_TblChartOfAccount_SET"(varSystemLoginSession, null, null, null, null, null, varInstitutionBranchID, 62000000000001::bigint,'6-1016', 'Skill Development Expense', 62000000000001::bigint, '2016-01-01 00:00:00'::timestamp, null::timestamp, 65000000000351::bigint, 66000000000001::bigint, FALSE::boolean);</v>
      </c>
    </row>
    <row r="393" spans="2:54" x14ac:dyDescent="0.2">
      <c r="B393" s="41"/>
      <c r="C393" s="42"/>
      <c r="D393" s="43"/>
      <c r="E393" s="42"/>
      <c r="F393" s="43"/>
      <c r="G393" s="42"/>
      <c r="H393" s="51"/>
      <c r="I393" s="18"/>
      <c r="J393" s="51" t="s">
        <v>1668</v>
      </c>
      <c r="K393" s="18" t="s">
        <v>1372</v>
      </c>
      <c r="L393" s="51"/>
      <c r="M393" s="18"/>
      <c r="O393" s="58" t="str">
        <f t="shared" si="204"/>
        <v>6-0000</v>
      </c>
      <c r="P393" s="58" t="str">
        <f t="shared" si="205"/>
        <v>6-1000</v>
      </c>
      <c r="Q393" s="58" t="str">
        <f t="shared" si="206"/>
        <v>2-1200</v>
      </c>
      <c r="R393" s="58" t="str">
        <f t="shared" si="207"/>
        <v>6-1016</v>
      </c>
      <c r="S393" s="58" t="str">
        <f t="shared" si="208"/>
        <v>6-1016.01</v>
      </c>
      <c r="T393" s="58" t="str">
        <f t="shared" si="209"/>
        <v xml:space="preserve"> </v>
      </c>
      <c r="V393" s="72">
        <f t="shared" si="210"/>
        <v>65000000000383</v>
      </c>
      <c r="W393" s="60">
        <f t="shared" si="211"/>
        <v>65000000000350</v>
      </c>
      <c r="X393" s="60">
        <f t="shared" si="212"/>
        <v>65000000000351</v>
      </c>
      <c r="Y393" s="60">
        <f t="shared" si="213"/>
        <v>65000000000147</v>
      </c>
      <c r="Z393" s="60">
        <f t="shared" si="214"/>
        <v>65000000000382</v>
      </c>
      <c r="AA393" s="60">
        <f t="shared" si="197"/>
        <v>65000000000383</v>
      </c>
      <c r="AB393" s="60">
        <f t="shared" si="215"/>
        <v>65000000000000</v>
      </c>
      <c r="AD393" s="60">
        <f t="shared" si="218"/>
        <v>6</v>
      </c>
      <c r="AE393" s="60">
        <f t="shared" si="219"/>
        <v>2</v>
      </c>
      <c r="AF393" s="60">
        <f t="shared" si="220"/>
        <v>1</v>
      </c>
      <c r="AG393" s="60">
        <f t="shared" si="221"/>
        <v>106</v>
      </c>
      <c r="AH393" s="60">
        <f t="shared" si="222"/>
        <v>2</v>
      </c>
      <c r="AI393" s="60">
        <f t="shared" si="223"/>
        <v>1</v>
      </c>
      <c r="AK393" s="68" t="str">
        <f t="shared" si="198"/>
        <v>L5</v>
      </c>
      <c r="AM393" s="64" t="s">
        <v>1755</v>
      </c>
      <c r="AN393" s="64">
        <f t="shared" si="199"/>
        <v>65000000000350</v>
      </c>
      <c r="AO393" s="64">
        <f t="shared" si="200"/>
        <v>65000000000351</v>
      </c>
      <c r="AP393" s="64">
        <f t="shared" si="201"/>
        <v>65000000000351</v>
      </c>
      <c r="AQ393" s="64">
        <f t="shared" si="202"/>
        <v>65000000000382</v>
      </c>
      <c r="AS393" s="64">
        <f t="shared" si="203"/>
        <v>65000000000382</v>
      </c>
      <c r="AU393" s="59" t="str">
        <f t="shared" si="224"/>
        <v>PERFORM * FROM "SchData-OLTP-Accounting"."Func_TblChartOfAccount_SET"(varSystemLoginSession, null, null, null, varInstitutionBranchID, 62000000000001::bigint,'6-1016.01', 'Skill Development Expense (IDR)', 62000000000001::bigint, '2016-01-01 00:00:00'::timestamp, null::timestamp, 65000000000382::bigint, 66000000000001::bigint);</v>
      </c>
      <c r="AV393" s="65">
        <f t="shared" si="225"/>
        <v>65000000000383</v>
      </c>
      <c r="AW393" s="65">
        <f t="shared" si="226"/>
        <v>65000000000382</v>
      </c>
      <c r="AY393" s="65">
        <f t="shared" si="216"/>
        <v>65000000000382</v>
      </c>
      <c r="BA393" s="78">
        <f t="shared" si="196"/>
        <v>65000000000383</v>
      </c>
      <c r="BB393" s="81" t="str">
        <f t="shared" si="217"/>
        <v>PERFORM * FROM "SchData-OLTP-Accounting"."Func_TblChartOfAccount_SET"(varSystemLoginSession, null, null, null, null, null, varInstitutionBranchID, 62000000000001::bigint,'6-1016.01', 'Skill Development Expense (IDR)', 62000000000001::bigint, '2016-01-01 00:00:00'::timestamp, null::timestamp, 65000000000382::bigint, 66000000000001::bigint, FALSE::boolean);</v>
      </c>
    </row>
    <row r="394" spans="2:54" x14ac:dyDescent="0.2">
      <c r="B394" s="41"/>
      <c r="C394" s="42"/>
      <c r="D394" s="43"/>
      <c r="E394" s="42"/>
      <c r="F394" s="43"/>
      <c r="G394" s="42"/>
      <c r="H394" s="51" t="s">
        <v>1669</v>
      </c>
      <c r="I394" s="18" t="s">
        <v>541</v>
      </c>
      <c r="J394" s="51"/>
      <c r="K394" s="18"/>
      <c r="L394" s="51"/>
      <c r="M394" s="18"/>
      <c r="O394" s="58" t="str">
        <f t="shared" si="204"/>
        <v>6-0000</v>
      </c>
      <c r="P394" s="58" t="str">
        <f t="shared" si="205"/>
        <v>6-1000</v>
      </c>
      <c r="Q394" s="58" t="str">
        <f t="shared" si="206"/>
        <v>2-1200</v>
      </c>
      <c r="R394" s="58" t="str">
        <f t="shared" si="207"/>
        <v>6-1017</v>
      </c>
      <c r="S394" s="58" t="str">
        <f t="shared" si="208"/>
        <v>6-1016.01</v>
      </c>
      <c r="T394" s="58" t="str">
        <f t="shared" si="209"/>
        <v xml:space="preserve"> </v>
      </c>
      <c r="V394" s="72">
        <f t="shared" si="210"/>
        <v>65000000000384</v>
      </c>
      <c r="W394" s="60">
        <f t="shared" si="211"/>
        <v>65000000000350</v>
      </c>
      <c r="X394" s="60">
        <f t="shared" si="212"/>
        <v>65000000000351</v>
      </c>
      <c r="Y394" s="60">
        <f t="shared" si="213"/>
        <v>65000000000147</v>
      </c>
      <c r="Z394" s="60">
        <f t="shared" si="214"/>
        <v>65000000000384</v>
      </c>
      <c r="AA394" s="60">
        <f t="shared" si="197"/>
        <v>65000000000383</v>
      </c>
      <c r="AB394" s="60">
        <f t="shared" si="215"/>
        <v>65000000000000</v>
      </c>
      <c r="AD394" s="60">
        <f t="shared" si="218"/>
        <v>6</v>
      </c>
      <c r="AE394" s="60">
        <f t="shared" si="219"/>
        <v>2</v>
      </c>
      <c r="AF394" s="60">
        <f t="shared" si="220"/>
        <v>1</v>
      </c>
      <c r="AG394" s="60">
        <f t="shared" si="221"/>
        <v>107</v>
      </c>
      <c r="AH394" s="60">
        <f t="shared" si="222"/>
        <v>1</v>
      </c>
      <c r="AI394" s="60">
        <f t="shared" si="223"/>
        <v>1</v>
      </c>
      <c r="AK394" s="68" t="str">
        <f t="shared" si="198"/>
        <v>L4</v>
      </c>
      <c r="AM394" s="64" t="s">
        <v>1755</v>
      </c>
      <c r="AN394" s="64">
        <f t="shared" si="199"/>
        <v>65000000000350</v>
      </c>
      <c r="AO394" s="64">
        <f t="shared" si="200"/>
        <v>65000000000351</v>
      </c>
      <c r="AP394" s="64">
        <f t="shared" si="201"/>
        <v>65000000000351</v>
      </c>
      <c r="AQ394" s="64">
        <f t="shared" si="202"/>
        <v>65000000000382</v>
      </c>
      <c r="AS394" s="64">
        <f t="shared" si="203"/>
        <v>65000000000351</v>
      </c>
      <c r="AU394" s="59" t="str">
        <f t="shared" si="224"/>
        <v>PERFORM * FROM "SchData-OLTP-Accounting"."Func_TblChartOfAccount_SET"(varSystemLoginSession, null, null, null, varInstitutionBranchID, 62000000000001::bigint,'6-1017', 'Severance Pay - Admin', 62000000000001::bigint, '2016-01-01 00:00:00'::timestamp, null::timestamp, 65000000000351::bigint, 66000000000001::bigint);</v>
      </c>
      <c r="AV394" s="65">
        <f t="shared" si="225"/>
        <v>65000000000384</v>
      </c>
      <c r="AW394" s="65">
        <f t="shared" si="226"/>
        <v>65000000000351</v>
      </c>
      <c r="AY394" s="65">
        <f t="shared" si="216"/>
        <v>65000000000147</v>
      </c>
      <c r="BA394" s="78">
        <f t="shared" si="196"/>
        <v>65000000000384</v>
      </c>
      <c r="BB394" s="81" t="str">
        <f t="shared" si="217"/>
        <v>PERFORM * FROM "SchData-OLTP-Accounting"."Func_TblChartOfAccount_SET"(varSystemLoginSession, null, null, null, null, null, varInstitutionBranchID, 62000000000001::bigint,'6-1017', 'Severance Pay - Admin', 62000000000001::bigint, '2016-01-01 00:00:00'::timestamp, null::timestamp, 65000000000351::bigint, 66000000000001::bigint, FALSE::boolean);</v>
      </c>
    </row>
    <row r="395" spans="2:54" x14ac:dyDescent="0.2">
      <c r="B395" s="41"/>
      <c r="C395" s="42"/>
      <c r="D395" s="43"/>
      <c r="E395" s="42"/>
      <c r="F395" s="43"/>
      <c r="G395" s="42"/>
      <c r="H395" s="51"/>
      <c r="I395" s="18"/>
      <c r="J395" s="51" t="s">
        <v>1670</v>
      </c>
      <c r="K395" s="18" t="s">
        <v>1373</v>
      </c>
      <c r="L395" s="51"/>
      <c r="M395" s="18"/>
      <c r="O395" s="58" t="str">
        <f t="shared" si="204"/>
        <v>6-0000</v>
      </c>
      <c r="P395" s="58" t="str">
        <f t="shared" si="205"/>
        <v>6-1000</v>
      </c>
      <c r="Q395" s="58" t="str">
        <f t="shared" si="206"/>
        <v>2-1200</v>
      </c>
      <c r="R395" s="58" t="str">
        <f t="shared" si="207"/>
        <v>6-1017</v>
      </c>
      <c r="S395" s="58" t="str">
        <f t="shared" si="208"/>
        <v>6-1017.01</v>
      </c>
      <c r="T395" s="58" t="str">
        <f t="shared" si="209"/>
        <v xml:space="preserve"> </v>
      </c>
      <c r="V395" s="72">
        <f t="shared" si="210"/>
        <v>65000000000385</v>
      </c>
      <c r="W395" s="60">
        <f t="shared" si="211"/>
        <v>65000000000350</v>
      </c>
      <c r="X395" s="60">
        <f t="shared" si="212"/>
        <v>65000000000351</v>
      </c>
      <c r="Y395" s="60">
        <f t="shared" si="213"/>
        <v>65000000000147</v>
      </c>
      <c r="Z395" s="60">
        <f t="shared" si="214"/>
        <v>65000000000384</v>
      </c>
      <c r="AA395" s="60">
        <f t="shared" si="197"/>
        <v>65000000000385</v>
      </c>
      <c r="AB395" s="60">
        <f t="shared" si="215"/>
        <v>65000000000000</v>
      </c>
      <c r="AD395" s="60">
        <f t="shared" si="218"/>
        <v>6</v>
      </c>
      <c r="AE395" s="60">
        <f t="shared" si="219"/>
        <v>2</v>
      </c>
      <c r="AF395" s="60">
        <f t="shared" si="220"/>
        <v>1</v>
      </c>
      <c r="AG395" s="60">
        <f t="shared" si="221"/>
        <v>107</v>
      </c>
      <c r="AH395" s="60">
        <f t="shared" si="222"/>
        <v>2</v>
      </c>
      <c r="AI395" s="60">
        <f t="shared" si="223"/>
        <v>1</v>
      </c>
      <c r="AK395" s="68" t="str">
        <f t="shared" si="198"/>
        <v>L5</v>
      </c>
      <c r="AM395" s="64" t="s">
        <v>1755</v>
      </c>
      <c r="AN395" s="64">
        <f t="shared" si="199"/>
        <v>65000000000350</v>
      </c>
      <c r="AO395" s="64">
        <f t="shared" si="200"/>
        <v>65000000000351</v>
      </c>
      <c r="AP395" s="64">
        <f t="shared" si="201"/>
        <v>65000000000351</v>
      </c>
      <c r="AQ395" s="64">
        <f t="shared" si="202"/>
        <v>65000000000384</v>
      </c>
      <c r="AS395" s="64">
        <f t="shared" si="203"/>
        <v>65000000000384</v>
      </c>
      <c r="AU395" s="59" t="str">
        <f t="shared" si="224"/>
        <v>PERFORM * FROM "SchData-OLTP-Accounting"."Func_TblChartOfAccount_SET"(varSystemLoginSession, null, null, null, varInstitutionBranchID, 62000000000001::bigint,'6-1017.01', 'Severance Pay - Admin (IDR)', 62000000000001::bigint, '2016-01-01 00:00:00'::timestamp, null::timestamp, 65000000000384::bigint, 66000000000001::bigint);</v>
      </c>
      <c r="AV395" s="65">
        <f t="shared" si="225"/>
        <v>65000000000385</v>
      </c>
      <c r="AW395" s="65">
        <f t="shared" si="226"/>
        <v>65000000000384</v>
      </c>
      <c r="AY395" s="65">
        <f t="shared" si="216"/>
        <v>65000000000384</v>
      </c>
      <c r="BA395" s="78">
        <f t="shared" si="196"/>
        <v>65000000000385</v>
      </c>
      <c r="BB395" s="81" t="str">
        <f t="shared" si="217"/>
        <v>PERFORM * FROM "SchData-OLTP-Accounting"."Func_TblChartOfAccount_SET"(varSystemLoginSession, null, null, null, null, null, varInstitutionBranchID, 62000000000001::bigint,'6-1017.01', 'Severance Pay - Admin (IDR)', 62000000000001::bigint, '2016-01-01 00:00:00'::timestamp, null::timestamp, 65000000000384::bigint, 66000000000001::bigint, FALSE::boolean);</v>
      </c>
    </row>
    <row r="396" spans="2:54" x14ac:dyDescent="0.2">
      <c r="B396" s="41"/>
      <c r="C396" s="42"/>
      <c r="D396" s="43"/>
      <c r="E396" s="42"/>
      <c r="F396" s="43"/>
      <c r="G396" s="42"/>
      <c r="H396" s="51" t="s">
        <v>1671</v>
      </c>
      <c r="I396" s="18" t="s">
        <v>1180</v>
      </c>
      <c r="J396" s="51"/>
      <c r="K396" s="18"/>
      <c r="L396" s="51"/>
      <c r="M396" s="18"/>
      <c r="O396" s="58" t="str">
        <f t="shared" si="204"/>
        <v>6-0000</v>
      </c>
      <c r="P396" s="58" t="str">
        <f t="shared" si="205"/>
        <v>6-1000</v>
      </c>
      <c r="Q396" s="58" t="str">
        <f t="shared" si="206"/>
        <v>2-1200</v>
      </c>
      <c r="R396" s="58" t="str">
        <f t="shared" si="207"/>
        <v>6-1099</v>
      </c>
      <c r="S396" s="58" t="str">
        <f t="shared" si="208"/>
        <v>6-1017.01</v>
      </c>
      <c r="T396" s="58" t="str">
        <f t="shared" si="209"/>
        <v xml:space="preserve"> </v>
      </c>
      <c r="V396" s="72">
        <f t="shared" si="210"/>
        <v>65000000000386</v>
      </c>
      <c r="W396" s="60">
        <f t="shared" si="211"/>
        <v>65000000000350</v>
      </c>
      <c r="X396" s="60">
        <f t="shared" si="212"/>
        <v>65000000000351</v>
      </c>
      <c r="Y396" s="60">
        <f t="shared" si="213"/>
        <v>65000000000147</v>
      </c>
      <c r="Z396" s="60">
        <f t="shared" si="214"/>
        <v>65000000000386</v>
      </c>
      <c r="AA396" s="60">
        <f t="shared" si="197"/>
        <v>65000000000385</v>
      </c>
      <c r="AB396" s="60">
        <f t="shared" si="215"/>
        <v>65000000000000</v>
      </c>
      <c r="AD396" s="60">
        <f t="shared" si="218"/>
        <v>6</v>
      </c>
      <c r="AE396" s="60">
        <f t="shared" si="219"/>
        <v>2</v>
      </c>
      <c r="AF396" s="60">
        <f t="shared" si="220"/>
        <v>1</v>
      </c>
      <c r="AG396" s="60">
        <f t="shared" si="221"/>
        <v>108</v>
      </c>
      <c r="AH396" s="60">
        <f t="shared" si="222"/>
        <v>1</v>
      </c>
      <c r="AI396" s="60">
        <f t="shared" si="223"/>
        <v>1</v>
      </c>
      <c r="AK396" s="68" t="str">
        <f t="shared" si="198"/>
        <v>L4</v>
      </c>
      <c r="AM396" s="64" t="s">
        <v>1755</v>
      </c>
      <c r="AN396" s="64">
        <f t="shared" si="199"/>
        <v>65000000000350</v>
      </c>
      <c r="AO396" s="64">
        <f t="shared" si="200"/>
        <v>65000000000351</v>
      </c>
      <c r="AP396" s="64">
        <f t="shared" si="201"/>
        <v>65000000000351</v>
      </c>
      <c r="AQ396" s="64">
        <f t="shared" si="202"/>
        <v>65000000000384</v>
      </c>
      <c r="AS396" s="64">
        <f t="shared" si="203"/>
        <v>65000000000351</v>
      </c>
      <c r="AU396" s="59" t="str">
        <f t="shared" si="224"/>
        <v>PERFORM * FROM "SchData-OLTP-Accounting"."Func_TblChartOfAccount_SET"(varSystemLoginSession, null, null, null, varInstitutionBranchID, 62000000000001::bigint,'6-1099', 'Biaya Pegawai Lainnya', 62000000000001::bigint, '2016-01-01 00:00:00'::timestamp, null::timestamp, 65000000000351::bigint, 66000000000001::bigint);</v>
      </c>
      <c r="AV396" s="65">
        <f t="shared" si="225"/>
        <v>65000000000386</v>
      </c>
      <c r="AW396" s="65">
        <f t="shared" si="226"/>
        <v>65000000000351</v>
      </c>
      <c r="AY396" s="65">
        <f t="shared" si="216"/>
        <v>65000000000147</v>
      </c>
      <c r="BA396" s="78">
        <f t="shared" si="196"/>
        <v>65000000000386</v>
      </c>
      <c r="BB396" s="81" t="str">
        <f t="shared" si="217"/>
        <v>PERFORM * FROM "SchData-OLTP-Accounting"."Func_TblChartOfAccount_SET"(varSystemLoginSession, null, null, null, null, null, varInstitutionBranchID, 62000000000001::bigint,'6-1099', 'Biaya Pegawai Lainnya', 62000000000001::bigint, '2016-01-01 00:00:00'::timestamp, null::timestamp, 65000000000351::bigint, 66000000000001::bigint, FALSE::boolean);</v>
      </c>
    </row>
    <row r="397" spans="2:54" x14ac:dyDescent="0.2">
      <c r="B397" s="41"/>
      <c r="C397" s="42"/>
      <c r="D397" s="43"/>
      <c r="E397" s="42"/>
      <c r="F397" s="43"/>
      <c r="G397" s="42"/>
      <c r="H397" s="51"/>
      <c r="I397" s="18"/>
      <c r="J397" s="51" t="s">
        <v>1672</v>
      </c>
      <c r="K397" s="18" t="s">
        <v>1374</v>
      </c>
      <c r="L397" s="51"/>
      <c r="M397" s="18"/>
      <c r="O397" s="58" t="str">
        <f t="shared" si="204"/>
        <v>6-0000</v>
      </c>
      <c r="P397" s="58" t="str">
        <f t="shared" si="205"/>
        <v>6-1000</v>
      </c>
      <c r="Q397" s="58" t="str">
        <f t="shared" si="206"/>
        <v>2-1200</v>
      </c>
      <c r="R397" s="58" t="str">
        <f t="shared" si="207"/>
        <v>6-1099</v>
      </c>
      <c r="S397" s="58" t="str">
        <f t="shared" si="208"/>
        <v>6-1099.01</v>
      </c>
      <c r="T397" s="58" t="str">
        <f t="shared" si="209"/>
        <v xml:space="preserve"> </v>
      </c>
      <c r="V397" s="72">
        <f t="shared" si="210"/>
        <v>65000000000387</v>
      </c>
      <c r="W397" s="60">
        <f t="shared" si="211"/>
        <v>65000000000350</v>
      </c>
      <c r="X397" s="60">
        <f t="shared" si="212"/>
        <v>65000000000351</v>
      </c>
      <c r="Y397" s="60">
        <f t="shared" si="213"/>
        <v>65000000000147</v>
      </c>
      <c r="Z397" s="60">
        <f t="shared" si="214"/>
        <v>65000000000386</v>
      </c>
      <c r="AA397" s="60">
        <f t="shared" si="197"/>
        <v>65000000000387</v>
      </c>
      <c r="AB397" s="60">
        <f t="shared" si="215"/>
        <v>65000000000000</v>
      </c>
      <c r="AD397" s="60">
        <f t="shared" si="218"/>
        <v>6</v>
      </c>
      <c r="AE397" s="60">
        <f t="shared" si="219"/>
        <v>2</v>
      </c>
      <c r="AF397" s="60">
        <f t="shared" si="220"/>
        <v>1</v>
      </c>
      <c r="AG397" s="60">
        <f t="shared" si="221"/>
        <v>108</v>
      </c>
      <c r="AH397" s="60">
        <f t="shared" si="222"/>
        <v>2</v>
      </c>
      <c r="AI397" s="60">
        <f t="shared" si="223"/>
        <v>1</v>
      </c>
      <c r="AK397" s="68" t="str">
        <f t="shared" si="198"/>
        <v>L5</v>
      </c>
      <c r="AM397" s="64" t="s">
        <v>1755</v>
      </c>
      <c r="AN397" s="64">
        <f t="shared" si="199"/>
        <v>65000000000350</v>
      </c>
      <c r="AO397" s="64">
        <f t="shared" si="200"/>
        <v>65000000000351</v>
      </c>
      <c r="AP397" s="64">
        <f t="shared" si="201"/>
        <v>65000000000351</v>
      </c>
      <c r="AQ397" s="64">
        <f t="shared" si="202"/>
        <v>65000000000386</v>
      </c>
      <c r="AS397" s="64">
        <f t="shared" si="203"/>
        <v>65000000000386</v>
      </c>
      <c r="AU397" s="59" t="str">
        <f t="shared" si="224"/>
        <v>PERFORM * FROM "SchData-OLTP-Accounting"."Func_TblChartOfAccount_SET"(varSystemLoginSession, null, null, null, varInstitutionBranchID, 62000000000001::bigint,'6-1099.01', 'Biaya Pegawai Lainnya (IDR)', 62000000000001::bigint, '2016-01-01 00:00:00'::timestamp, null::timestamp, 65000000000386::bigint, 66000000000001::bigint);</v>
      </c>
      <c r="AV397" s="65">
        <f t="shared" si="225"/>
        <v>65000000000387</v>
      </c>
      <c r="AW397" s="65">
        <f t="shared" si="226"/>
        <v>65000000000386</v>
      </c>
      <c r="AY397" s="65">
        <f t="shared" si="216"/>
        <v>65000000000386</v>
      </c>
      <c r="BA397" s="78">
        <f t="shared" si="196"/>
        <v>65000000000387</v>
      </c>
      <c r="BB397" s="81" t="str">
        <f t="shared" si="217"/>
        <v>PERFORM * FROM "SchData-OLTP-Accounting"."Func_TblChartOfAccount_SET"(varSystemLoginSession, null, null, null, null, null, varInstitutionBranchID, 62000000000001::bigint,'6-1099.01', 'Biaya Pegawai Lainnya (IDR)', 62000000000001::bigint, '2016-01-01 00:00:00'::timestamp, null::timestamp, 65000000000386::bigint, 66000000000001::bigint, FALSE::boolean);</v>
      </c>
    </row>
    <row r="398" spans="2:54" x14ac:dyDescent="0.2">
      <c r="B398" s="41"/>
      <c r="C398" s="42"/>
      <c r="D398" s="43" t="s">
        <v>1526</v>
      </c>
      <c r="E398" s="42" t="s">
        <v>1174</v>
      </c>
      <c r="F398" s="43"/>
      <c r="G398" s="42"/>
      <c r="H398" s="51"/>
      <c r="I398" s="18"/>
      <c r="J398" s="51"/>
      <c r="K398" s="18"/>
      <c r="L398" s="51"/>
      <c r="M398" s="18"/>
      <c r="O398" s="58" t="str">
        <f t="shared" si="204"/>
        <v>6-0000</v>
      </c>
      <c r="P398" s="58" t="str">
        <f t="shared" si="205"/>
        <v>6-2000</v>
      </c>
      <c r="Q398" s="58" t="str">
        <f t="shared" si="206"/>
        <v>2-1200</v>
      </c>
      <c r="R398" s="58" t="str">
        <f t="shared" si="207"/>
        <v>6-1099</v>
      </c>
      <c r="S398" s="58" t="str">
        <f t="shared" si="208"/>
        <v>6-1099.01</v>
      </c>
      <c r="T398" s="58" t="str">
        <f t="shared" si="209"/>
        <v xml:space="preserve"> </v>
      </c>
      <c r="V398" s="72">
        <f t="shared" si="210"/>
        <v>65000000000388</v>
      </c>
      <c r="W398" s="60">
        <f t="shared" si="211"/>
        <v>65000000000350</v>
      </c>
      <c r="X398" s="60">
        <f t="shared" si="212"/>
        <v>65000000000388</v>
      </c>
      <c r="Y398" s="60">
        <f t="shared" si="213"/>
        <v>65000000000147</v>
      </c>
      <c r="Z398" s="60">
        <f t="shared" si="214"/>
        <v>65000000000386</v>
      </c>
      <c r="AA398" s="60">
        <f t="shared" si="197"/>
        <v>65000000000387</v>
      </c>
      <c r="AB398" s="60">
        <f t="shared" si="215"/>
        <v>65000000000000</v>
      </c>
      <c r="AD398" s="60">
        <f t="shared" si="218"/>
        <v>6</v>
      </c>
      <c r="AE398" s="60">
        <f t="shared" si="219"/>
        <v>3</v>
      </c>
      <c r="AF398" s="60">
        <f t="shared" si="220"/>
        <v>1</v>
      </c>
      <c r="AG398" s="60">
        <f t="shared" si="221"/>
        <v>108</v>
      </c>
      <c r="AH398" s="60">
        <f t="shared" si="222"/>
        <v>2</v>
      </c>
      <c r="AI398" s="60">
        <f t="shared" si="223"/>
        <v>1</v>
      </c>
      <c r="AK398" s="68" t="str">
        <f t="shared" si="198"/>
        <v>L2</v>
      </c>
      <c r="AM398" s="64" t="s">
        <v>1755</v>
      </c>
      <c r="AN398" s="64">
        <f t="shared" si="199"/>
        <v>65000000000350</v>
      </c>
      <c r="AO398" s="64">
        <f t="shared" si="200"/>
        <v>65000000000351</v>
      </c>
      <c r="AP398" s="64">
        <f t="shared" si="201"/>
        <v>65000000000351</v>
      </c>
      <c r="AQ398" s="64">
        <f t="shared" si="202"/>
        <v>65000000000386</v>
      </c>
      <c r="AS398" s="64">
        <f t="shared" si="203"/>
        <v>65000000000350</v>
      </c>
      <c r="AU398" s="59" t="str">
        <f t="shared" si="224"/>
        <v>PERFORM * FROM "SchData-OLTP-Accounting"."Func_TblChartOfAccount_SET"(varSystemLoginSession, null, null, null, varInstitutionBranchID, 62000000000001::bigint,'6-2000', 'Biaya Kantor', 62000000000001::bigint, '2016-01-01 00:00:00'::timestamp, null::timestamp, 65000000000350::bigint, 66000000000001::bigint);</v>
      </c>
      <c r="AV398" s="65">
        <f t="shared" si="225"/>
        <v>65000000000388</v>
      </c>
      <c r="AW398" s="65">
        <f t="shared" si="226"/>
        <v>65000000000350</v>
      </c>
      <c r="AY398" s="65">
        <f t="shared" si="216"/>
        <v>65000000000350</v>
      </c>
      <c r="BA398" s="78">
        <f t="shared" si="196"/>
        <v>65000000000388</v>
      </c>
      <c r="BB398" s="81" t="str">
        <f t="shared" si="217"/>
        <v>PERFORM * FROM "SchData-OLTP-Accounting"."Func_TblChartOfAccount_SET"(varSystemLoginSession, null, null, null, null, null, varInstitutionBranchID, 62000000000001::bigint,'6-2000', 'Biaya Kantor', 62000000000001::bigint, '2016-01-01 00:00:00'::timestamp, null::timestamp, 65000000000350::bigint, 66000000000001::bigint, FALSE::boolean);</v>
      </c>
    </row>
    <row r="399" spans="2:54" x14ac:dyDescent="0.2">
      <c r="B399" s="41"/>
      <c r="C399" s="42"/>
      <c r="D399" s="43"/>
      <c r="E399" s="42"/>
      <c r="F399" s="43"/>
      <c r="G399" s="42"/>
      <c r="H399" s="51" t="s">
        <v>1582</v>
      </c>
      <c r="I399" s="18" t="s">
        <v>418</v>
      </c>
      <c r="J399" s="51"/>
      <c r="K399" s="18"/>
      <c r="L399" s="51"/>
      <c r="M399" s="18"/>
      <c r="O399" s="58" t="str">
        <f t="shared" si="204"/>
        <v>6-0000</v>
      </c>
      <c r="P399" s="58" t="str">
        <f t="shared" si="205"/>
        <v>6-2000</v>
      </c>
      <c r="Q399" s="58" t="str">
        <f t="shared" si="206"/>
        <v>2-1200</v>
      </c>
      <c r="R399" s="58" t="str">
        <f t="shared" si="207"/>
        <v>6-2001</v>
      </c>
      <c r="S399" s="58" t="str">
        <f t="shared" si="208"/>
        <v>6-1099.01</v>
      </c>
      <c r="T399" s="58" t="str">
        <f t="shared" si="209"/>
        <v xml:space="preserve"> </v>
      </c>
      <c r="V399" s="72">
        <f t="shared" si="210"/>
        <v>65000000000389</v>
      </c>
      <c r="W399" s="60">
        <f t="shared" si="211"/>
        <v>65000000000350</v>
      </c>
      <c r="X399" s="60">
        <f t="shared" si="212"/>
        <v>65000000000388</v>
      </c>
      <c r="Y399" s="60">
        <f t="shared" si="213"/>
        <v>65000000000147</v>
      </c>
      <c r="Z399" s="60">
        <f t="shared" si="214"/>
        <v>65000000000389</v>
      </c>
      <c r="AA399" s="60">
        <f t="shared" si="197"/>
        <v>65000000000387</v>
      </c>
      <c r="AB399" s="60">
        <f t="shared" si="215"/>
        <v>65000000000000</v>
      </c>
      <c r="AD399" s="60">
        <f t="shared" si="218"/>
        <v>6</v>
      </c>
      <c r="AE399" s="60">
        <f t="shared" si="219"/>
        <v>3</v>
      </c>
      <c r="AF399" s="60">
        <f t="shared" si="220"/>
        <v>1</v>
      </c>
      <c r="AG399" s="60">
        <f t="shared" si="221"/>
        <v>109</v>
      </c>
      <c r="AH399" s="60">
        <f t="shared" si="222"/>
        <v>1</v>
      </c>
      <c r="AI399" s="60">
        <f t="shared" si="223"/>
        <v>1</v>
      </c>
      <c r="AK399" s="68" t="str">
        <f t="shared" si="198"/>
        <v>L4</v>
      </c>
      <c r="AM399" s="64" t="s">
        <v>1755</v>
      </c>
      <c r="AN399" s="64">
        <f t="shared" si="199"/>
        <v>65000000000350</v>
      </c>
      <c r="AO399" s="64">
        <f t="shared" si="200"/>
        <v>65000000000388</v>
      </c>
      <c r="AP399" s="64">
        <f t="shared" si="201"/>
        <v>65000000000388</v>
      </c>
      <c r="AQ399" s="64">
        <f t="shared" si="202"/>
        <v>65000000000388</v>
      </c>
      <c r="AS399" s="64">
        <f t="shared" si="203"/>
        <v>65000000000388</v>
      </c>
      <c r="AU399" s="59" t="str">
        <f t="shared" si="224"/>
        <v>PERFORM * FROM "SchData-OLTP-Accounting"."Func_TblChartOfAccount_SET"(varSystemLoginSession, null, null, null, varInstitutionBranchID, 62000000000001::bigint,'6-2001', 'Stationery &amp; Printing', 62000000000001::bigint, '2016-01-01 00:00:00'::timestamp, null::timestamp, 65000000000388::bigint, 66000000000001::bigint);</v>
      </c>
      <c r="AV399" s="65">
        <f t="shared" si="225"/>
        <v>65000000000389</v>
      </c>
      <c r="AW399" s="65">
        <f t="shared" si="226"/>
        <v>65000000000388</v>
      </c>
      <c r="AY399" s="65">
        <f t="shared" si="216"/>
        <v>65000000000388</v>
      </c>
      <c r="BA399" s="78">
        <f t="shared" ref="BA399:BA462" si="227" xml:space="preserve"> BA398 + IF(EXACT(BB399, ""), 0, 1)</f>
        <v>65000000000389</v>
      </c>
      <c r="BB399" s="81" t="str">
        <f t="shared" si="217"/>
        <v>PERFORM * FROM "SchData-OLTP-Accounting"."Func_TblChartOfAccount_SET"(varSystemLoginSession, null, null, null, null, null, varInstitutionBranchID, 62000000000001::bigint,'6-2001', 'Stationery &amp; Printing', 62000000000001::bigint, '2016-01-01 00:00:00'::timestamp, null::timestamp, 65000000000388::bigint, 66000000000001::bigint, FALSE::boolean);</v>
      </c>
    </row>
    <row r="400" spans="2:54" x14ac:dyDescent="0.2">
      <c r="B400" s="41"/>
      <c r="C400" s="42"/>
      <c r="D400" s="43"/>
      <c r="E400" s="42"/>
      <c r="F400" s="43"/>
      <c r="G400" s="42"/>
      <c r="H400" s="51"/>
      <c r="I400" s="18"/>
      <c r="J400" s="51" t="s">
        <v>1583</v>
      </c>
      <c r="K400" s="18" t="s">
        <v>1313</v>
      </c>
      <c r="L400" s="51"/>
      <c r="M400" s="18"/>
      <c r="O400" s="58" t="str">
        <f t="shared" si="204"/>
        <v>6-0000</v>
      </c>
      <c r="P400" s="58" t="str">
        <f t="shared" si="205"/>
        <v>6-2000</v>
      </c>
      <c r="Q400" s="58" t="str">
        <f t="shared" si="206"/>
        <v>2-1200</v>
      </c>
      <c r="R400" s="58" t="str">
        <f t="shared" si="207"/>
        <v>6-2001</v>
      </c>
      <c r="S400" s="58" t="str">
        <f t="shared" si="208"/>
        <v>6-2001.01</v>
      </c>
      <c r="T400" s="58" t="str">
        <f t="shared" si="209"/>
        <v xml:space="preserve"> </v>
      </c>
      <c r="V400" s="72">
        <f t="shared" si="210"/>
        <v>65000000000390</v>
      </c>
      <c r="W400" s="60">
        <f t="shared" si="211"/>
        <v>65000000000350</v>
      </c>
      <c r="X400" s="60">
        <f t="shared" si="212"/>
        <v>65000000000388</v>
      </c>
      <c r="Y400" s="60">
        <f t="shared" si="213"/>
        <v>65000000000147</v>
      </c>
      <c r="Z400" s="60">
        <f t="shared" si="214"/>
        <v>65000000000389</v>
      </c>
      <c r="AA400" s="60">
        <f t="shared" si="197"/>
        <v>65000000000390</v>
      </c>
      <c r="AB400" s="60">
        <f t="shared" si="215"/>
        <v>65000000000000</v>
      </c>
      <c r="AD400" s="60">
        <f t="shared" si="218"/>
        <v>6</v>
      </c>
      <c r="AE400" s="60">
        <f t="shared" si="219"/>
        <v>3</v>
      </c>
      <c r="AF400" s="60">
        <f t="shared" si="220"/>
        <v>1</v>
      </c>
      <c r="AG400" s="60">
        <f t="shared" si="221"/>
        <v>109</v>
      </c>
      <c r="AH400" s="60">
        <f t="shared" si="222"/>
        <v>2</v>
      </c>
      <c r="AI400" s="60">
        <f t="shared" si="223"/>
        <v>1</v>
      </c>
      <c r="AK400" s="68" t="str">
        <f t="shared" si="198"/>
        <v>L5</v>
      </c>
      <c r="AM400" s="64" t="s">
        <v>1755</v>
      </c>
      <c r="AN400" s="64">
        <f t="shared" si="199"/>
        <v>65000000000350</v>
      </c>
      <c r="AO400" s="64">
        <f t="shared" si="200"/>
        <v>65000000000388</v>
      </c>
      <c r="AP400" s="64">
        <f t="shared" si="201"/>
        <v>65000000000388</v>
      </c>
      <c r="AQ400" s="64">
        <f t="shared" si="202"/>
        <v>65000000000389</v>
      </c>
      <c r="AS400" s="64">
        <f t="shared" si="203"/>
        <v>65000000000389</v>
      </c>
      <c r="AU400" s="59" t="str">
        <f t="shared" si="224"/>
        <v>PERFORM * FROM "SchData-OLTP-Accounting"."Func_TblChartOfAccount_SET"(varSystemLoginSession, null, null, null, varInstitutionBranchID, 62000000000001::bigint,'6-2001.01', 'Stationery &amp; Printing (IDR)', 62000000000001::bigint, '2016-01-01 00:00:00'::timestamp, null::timestamp, 65000000000389::bigint, 66000000000001::bigint);</v>
      </c>
      <c r="AV400" s="65">
        <f t="shared" si="225"/>
        <v>65000000000390</v>
      </c>
      <c r="AW400" s="65">
        <f t="shared" si="226"/>
        <v>65000000000389</v>
      </c>
      <c r="AY400" s="65">
        <f t="shared" si="216"/>
        <v>65000000000389</v>
      </c>
      <c r="BA400" s="78">
        <f t="shared" si="227"/>
        <v>65000000000390</v>
      </c>
      <c r="BB400" s="81" t="str">
        <f t="shared" si="217"/>
        <v>PERFORM * FROM "SchData-OLTP-Accounting"."Func_TblChartOfAccount_SET"(varSystemLoginSession, null, null, null, null, null, varInstitutionBranchID, 62000000000001::bigint,'6-2001.01', 'Stationery &amp; Printing (IDR)', 62000000000001::bigint, '2016-01-01 00:00:00'::timestamp, null::timestamp, 65000000000389::bigint, 66000000000001::bigint, FALSE::boolean);</v>
      </c>
    </row>
    <row r="401" spans="2:54" x14ac:dyDescent="0.2">
      <c r="B401" s="41"/>
      <c r="C401" s="42"/>
      <c r="D401" s="43"/>
      <c r="E401" s="42"/>
      <c r="F401" s="43"/>
      <c r="G401" s="42"/>
      <c r="H401" s="51" t="s">
        <v>1584</v>
      </c>
      <c r="I401" s="18" t="s">
        <v>544</v>
      </c>
      <c r="J401" s="51"/>
      <c r="K401" s="18"/>
      <c r="L401" s="51"/>
      <c r="M401" s="18"/>
      <c r="O401" s="58" t="str">
        <f t="shared" si="204"/>
        <v>6-0000</v>
      </c>
      <c r="P401" s="58" t="str">
        <f t="shared" si="205"/>
        <v>6-2000</v>
      </c>
      <c r="Q401" s="58" t="str">
        <f t="shared" si="206"/>
        <v>2-1200</v>
      </c>
      <c r="R401" s="58" t="str">
        <f t="shared" si="207"/>
        <v>6-2002</v>
      </c>
      <c r="S401" s="58" t="str">
        <f t="shared" si="208"/>
        <v>6-2001.01</v>
      </c>
      <c r="T401" s="58" t="str">
        <f t="shared" si="209"/>
        <v xml:space="preserve"> </v>
      </c>
      <c r="V401" s="72">
        <f t="shared" si="210"/>
        <v>65000000000391</v>
      </c>
      <c r="W401" s="60">
        <f t="shared" si="211"/>
        <v>65000000000350</v>
      </c>
      <c r="X401" s="60">
        <f t="shared" si="212"/>
        <v>65000000000388</v>
      </c>
      <c r="Y401" s="60">
        <f t="shared" si="213"/>
        <v>65000000000147</v>
      </c>
      <c r="Z401" s="60">
        <f t="shared" si="214"/>
        <v>65000000000391</v>
      </c>
      <c r="AA401" s="60">
        <f t="shared" si="197"/>
        <v>65000000000390</v>
      </c>
      <c r="AB401" s="60">
        <f t="shared" si="215"/>
        <v>65000000000000</v>
      </c>
      <c r="AD401" s="60">
        <f t="shared" si="218"/>
        <v>6</v>
      </c>
      <c r="AE401" s="60">
        <f t="shared" si="219"/>
        <v>3</v>
      </c>
      <c r="AF401" s="60">
        <f t="shared" si="220"/>
        <v>1</v>
      </c>
      <c r="AG401" s="60">
        <f t="shared" si="221"/>
        <v>110</v>
      </c>
      <c r="AH401" s="60">
        <f t="shared" si="222"/>
        <v>1</v>
      </c>
      <c r="AI401" s="60">
        <f t="shared" si="223"/>
        <v>1</v>
      </c>
      <c r="AK401" s="68" t="str">
        <f t="shared" si="198"/>
        <v>L4</v>
      </c>
      <c r="AM401" s="64" t="s">
        <v>1755</v>
      </c>
      <c r="AN401" s="64">
        <f t="shared" si="199"/>
        <v>65000000000350</v>
      </c>
      <c r="AO401" s="64">
        <f t="shared" si="200"/>
        <v>65000000000388</v>
      </c>
      <c r="AP401" s="64">
        <f t="shared" si="201"/>
        <v>65000000000388</v>
      </c>
      <c r="AQ401" s="64">
        <f t="shared" si="202"/>
        <v>65000000000389</v>
      </c>
      <c r="AS401" s="64">
        <f t="shared" si="203"/>
        <v>65000000000388</v>
      </c>
      <c r="AU401" s="59" t="str">
        <f t="shared" si="224"/>
        <v>PERFORM * FROM "SchData-OLTP-Accounting"."Func_TblChartOfAccount_SET"(varSystemLoginSession, null, null, null, varInstitutionBranchID, 62000000000001::bigint,'6-2002', 'Stamp Duty', 62000000000001::bigint, '2016-01-01 00:00:00'::timestamp, null::timestamp, 65000000000388::bigint, 66000000000001::bigint);</v>
      </c>
      <c r="AV401" s="65">
        <f t="shared" si="225"/>
        <v>65000000000391</v>
      </c>
      <c r="AW401" s="65">
        <f t="shared" si="226"/>
        <v>65000000000388</v>
      </c>
      <c r="AY401" s="65">
        <f t="shared" si="216"/>
        <v>65000000000147</v>
      </c>
      <c r="BA401" s="78">
        <f t="shared" si="227"/>
        <v>65000000000391</v>
      </c>
      <c r="BB401" s="81" t="str">
        <f t="shared" si="217"/>
        <v>PERFORM * FROM "SchData-OLTP-Accounting"."Func_TblChartOfAccount_SET"(varSystemLoginSession, null, null, null, null, null, varInstitutionBranchID, 62000000000001::bigint,'6-2002', 'Stamp Duty', 62000000000001::bigint, '2016-01-01 00:00:00'::timestamp, null::timestamp, 65000000000388::bigint, 66000000000001::bigint, FALSE::boolean);</v>
      </c>
    </row>
    <row r="402" spans="2:54" x14ac:dyDescent="0.2">
      <c r="B402" s="41"/>
      <c r="C402" s="42"/>
      <c r="D402" s="43"/>
      <c r="E402" s="42"/>
      <c r="F402" s="43"/>
      <c r="G402" s="42"/>
      <c r="H402" s="51"/>
      <c r="I402" s="18"/>
      <c r="J402" s="51" t="s">
        <v>1585</v>
      </c>
      <c r="K402" s="18" t="s">
        <v>1375</v>
      </c>
      <c r="L402" s="51"/>
      <c r="M402" s="18"/>
      <c r="O402" s="58" t="str">
        <f t="shared" si="204"/>
        <v>6-0000</v>
      </c>
      <c r="P402" s="58" t="str">
        <f t="shared" si="205"/>
        <v>6-2000</v>
      </c>
      <c r="Q402" s="58" t="str">
        <f t="shared" si="206"/>
        <v>2-1200</v>
      </c>
      <c r="R402" s="58" t="str">
        <f t="shared" si="207"/>
        <v>6-2002</v>
      </c>
      <c r="S402" s="58" t="str">
        <f t="shared" si="208"/>
        <v>6-2002.01</v>
      </c>
      <c r="T402" s="58" t="str">
        <f t="shared" si="209"/>
        <v xml:space="preserve"> </v>
      </c>
      <c r="V402" s="72">
        <f t="shared" si="210"/>
        <v>65000000000392</v>
      </c>
      <c r="W402" s="60">
        <f t="shared" si="211"/>
        <v>65000000000350</v>
      </c>
      <c r="X402" s="60">
        <f t="shared" si="212"/>
        <v>65000000000388</v>
      </c>
      <c r="Y402" s="60">
        <f t="shared" si="213"/>
        <v>65000000000147</v>
      </c>
      <c r="Z402" s="60">
        <f t="shared" si="214"/>
        <v>65000000000391</v>
      </c>
      <c r="AA402" s="60">
        <f t="shared" si="197"/>
        <v>65000000000392</v>
      </c>
      <c r="AB402" s="60">
        <f t="shared" si="215"/>
        <v>65000000000000</v>
      </c>
      <c r="AD402" s="60">
        <f t="shared" si="218"/>
        <v>6</v>
      </c>
      <c r="AE402" s="60">
        <f t="shared" si="219"/>
        <v>3</v>
      </c>
      <c r="AF402" s="60">
        <f t="shared" si="220"/>
        <v>1</v>
      </c>
      <c r="AG402" s="60">
        <f t="shared" si="221"/>
        <v>110</v>
      </c>
      <c r="AH402" s="60">
        <f t="shared" si="222"/>
        <v>2</v>
      </c>
      <c r="AI402" s="60">
        <f t="shared" si="223"/>
        <v>1</v>
      </c>
      <c r="AK402" s="68" t="str">
        <f t="shared" si="198"/>
        <v>L5</v>
      </c>
      <c r="AM402" s="64" t="s">
        <v>1755</v>
      </c>
      <c r="AN402" s="64">
        <f t="shared" si="199"/>
        <v>65000000000350</v>
      </c>
      <c r="AO402" s="64">
        <f t="shared" si="200"/>
        <v>65000000000388</v>
      </c>
      <c r="AP402" s="64">
        <f t="shared" si="201"/>
        <v>65000000000388</v>
      </c>
      <c r="AQ402" s="64">
        <f t="shared" si="202"/>
        <v>65000000000391</v>
      </c>
      <c r="AS402" s="64">
        <f t="shared" si="203"/>
        <v>65000000000391</v>
      </c>
      <c r="AU402" s="59" t="str">
        <f t="shared" si="224"/>
        <v>PERFORM * FROM "SchData-OLTP-Accounting"."Func_TblChartOfAccount_SET"(varSystemLoginSession, null, null, null, varInstitutionBranchID, 62000000000001::bigint,'6-2002.01', 'Stamp Duty (IDR)', 62000000000001::bigint, '2016-01-01 00:00:00'::timestamp, null::timestamp, 65000000000391::bigint, 66000000000001::bigint);</v>
      </c>
      <c r="AV402" s="65">
        <f t="shared" si="225"/>
        <v>65000000000392</v>
      </c>
      <c r="AW402" s="65">
        <f t="shared" si="226"/>
        <v>65000000000391</v>
      </c>
      <c r="AY402" s="65">
        <f t="shared" si="216"/>
        <v>65000000000391</v>
      </c>
      <c r="BA402" s="78">
        <f t="shared" si="227"/>
        <v>65000000000392</v>
      </c>
      <c r="BB402" s="81" t="str">
        <f t="shared" si="217"/>
        <v>PERFORM * FROM "SchData-OLTP-Accounting"."Func_TblChartOfAccount_SET"(varSystemLoginSession, null, null, null, null, null, varInstitutionBranchID, 62000000000001::bigint,'6-2002.01', 'Stamp Duty (IDR)', 62000000000001::bigint, '2016-01-01 00:00:00'::timestamp, null::timestamp, 65000000000391::bigint, 66000000000001::bigint, FALSE::boolean);</v>
      </c>
    </row>
    <row r="403" spans="2:54" x14ac:dyDescent="0.2">
      <c r="B403" s="41"/>
      <c r="C403" s="42"/>
      <c r="D403" s="43"/>
      <c r="E403" s="42"/>
      <c r="F403" s="43"/>
      <c r="G403" s="42"/>
      <c r="H403" s="51" t="s">
        <v>1586</v>
      </c>
      <c r="I403" s="18" t="s">
        <v>546</v>
      </c>
      <c r="J403" s="51"/>
      <c r="K403" s="18"/>
      <c r="L403" s="51"/>
      <c r="M403" s="18"/>
      <c r="O403" s="58" t="str">
        <f t="shared" si="204"/>
        <v>6-0000</v>
      </c>
      <c r="P403" s="58" t="str">
        <f t="shared" si="205"/>
        <v>6-2000</v>
      </c>
      <c r="Q403" s="58" t="str">
        <f t="shared" si="206"/>
        <v>2-1200</v>
      </c>
      <c r="R403" s="58" t="str">
        <f t="shared" si="207"/>
        <v>6-2003</v>
      </c>
      <c r="S403" s="58" t="str">
        <f t="shared" si="208"/>
        <v>6-2002.01</v>
      </c>
      <c r="T403" s="58" t="str">
        <f t="shared" si="209"/>
        <v xml:space="preserve"> </v>
      </c>
      <c r="V403" s="72">
        <f t="shared" si="210"/>
        <v>65000000000393</v>
      </c>
      <c r="W403" s="60">
        <f t="shared" si="211"/>
        <v>65000000000350</v>
      </c>
      <c r="X403" s="60">
        <f t="shared" si="212"/>
        <v>65000000000388</v>
      </c>
      <c r="Y403" s="60">
        <f t="shared" si="213"/>
        <v>65000000000147</v>
      </c>
      <c r="Z403" s="60">
        <f t="shared" si="214"/>
        <v>65000000000393</v>
      </c>
      <c r="AA403" s="60">
        <f t="shared" si="197"/>
        <v>65000000000392</v>
      </c>
      <c r="AB403" s="60">
        <f t="shared" si="215"/>
        <v>65000000000000</v>
      </c>
      <c r="AD403" s="60">
        <f t="shared" si="218"/>
        <v>6</v>
      </c>
      <c r="AE403" s="60">
        <f t="shared" si="219"/>
        <v>3</v>
      </c>
      <c r="AF403" s="60">
        <f t="shared" si="220"/>
        <v>1</v>
      </c>
      <c r="AG403" s="60">
        <f t="shared" si="221"/>
        <v>111</v>
      </c>
      <c r="AH403" s="60">
        <f t="shared" si="222"/>
        <v>1</v>
      </c>
      <c r="AI403" s="60">
        <f t="shared" si="223"/>
        <v>1</v>
      </c>
      <c r="AK403" s="68" t="str">
        <f t="shared" si="198"/>
        <v>L4</v>
      </c>
      <c r="AM403" s="64" t="s">
        <v>1755</v>
      </c>
      <c r="AN403" s="64">
        <f t="shared" si="199"/>
        <v>65000000000350</v>
      </c>
      <c r="AO403" s="64">
        <f t="shared" si="200"/>
        <v>65000000000388</v>
      </c>
      <c r="AP403" s="64">
        <f t="shared" si="201"/>
        <v>65000000000388</v>
      </c>
      <c r="AQ403" s="64">
        <f t="shared" si="202"/>
        <v>65000000000391</v>
      </c>
      <c r="AS403" s="64">
        <f t="shared" si="203"/>
        <v>65000000000388</v>
      </c>
      <c r="AU403" s="59" t="str">
        <f t="shared" si="224"/>
        <v>PERFORM * FROM "SchData-OLTP-Accounting"."Func_TblChartOfAccount_SET"(varSystemLoginSession, null, null, null, varInstitutionBranchID, 62000000000001::bigint,'6-2003', 'Postage &amp; Courier', 62000000000001::bigint, '2016-01-01 00:00:00'::timestamp, null::timestamp, 65000000000388::bigint, 66000000000001::bigint);</v>
      </c>
      <c r="AV403" s="65">
        <f t="shared" si="225"/>
        <v>65000000000393</v>
      </c>
      <c r="AW403" s="65">
        <f t="shared" si="226"/>
        <v>65000000000388</v>
      </c>
      <c r="AY403" s="65">
        <f t="shared" si="216"/>
        <v>65000000000147</v>
      </c>
      <c r="BA403" s="78">
        <f t="shared" si="227"/>
        <v>65000000000393</v>
      </c>
      <c r="BB403" s="81" t="str">
        <f t="shared" si="217"/>
        <v>PERFORM * FROM "SchData-OLTP-Accounting"."Func_TblChartOfAccount_SET"(varSystemLoginSession, null, null, null, null, null, varInstitutionBranchID, 62000000000001::bigint,'6-2003', 'Postage &amp; Courier', 62000000000001::bigint, '2016-01-01 00:00:00'::timestamp, null::timestamp, 65000000000388::bigint, 66000000000001::bigint, FALSE::boolean);</v>
      </c>
    </row>
    <row r="404" spans="2:54" x14ac:dyDescent="0.2">
      <c r="B404" s="41"/>
      <c r="C404" s="42"/>
      <c r="D404" s="43"/>
      <c r="E404" s="42"/>
      <c r="F404" s="43"/>
      <c r="G404" s="42"/>
      <c r="H404" s="51"/>
      <c r="I404" s="18"/>
      <c r="J404" s="51" t="s">
        <v>1587</v>
      </c>
      <c r="K404" s="18" t="s">
        <v>1376</v>
      </c>
      <c r="L404" s="51"/>
      <c r="M404" s="18"/>
      <c r="O404" s="58" t="str">
        <f t="shared" si="204"/>
        <v>6-0000</v>
      </c>
      <c r="P404" s="58" t="str">
        <f t="shared" si="205"/>
        <v>6-2000</v>
      </c>
      <c r="Q404" s="58" t="str">
        <f t="shared" si="206"/>
        <v>2-1200</v>
      </c>
      <c r="R404" s="58" t="str">
        <f t="shared" si="207"/>
        <v>6-2003</v>
      </c>
      <c r="S404" s="58" t="str">
        <f t="shared" si="208"/>
        <v>6-2003.01</v>
      </c>
      <c r="T404" s="58" t="str">
        <f t="shared" si="209"/>
        <v xml:space="preserve"> </v>
      </c>
      <c r="V404" s="72">
        <f t="shared" si="210"/>
        <v>65000000000394</v>
      </c>
      <c r="W404" s="60">
        <f t="shared" si="211"/>
        <v>65000000000350</v>
      </c>
      <c r="X404" s="60">
        <f t="shared" si="212"/>
        <v>65000000000388</v>
      </c>
      <c r="Y404" s="60">
        <f t="shared" si="213"/>
        <v>65000000000147</v>
      </c>
      <c r="Z404" s="60">
        <f t="shared" si="214"/>
        <v>65000000000393</v>
      </c>
      <c r="AA404" s="60">
        <f t="shared" si="197"/>
        <v>65000000000394</v>
      </c>
      <c r="AB404" s="60">
        <f t="shared" si="215"/>
        <v>65000000000000</v>
      </c>
      <c r="AD404" s="60">
        <f t="shared" si="218"/>
        <v>6</v>
      </c>
      <c r="AE404" s="60">
        <f t="shared" si="219"/>
        <v>3</v>
      </c>
      <c r="AF404" s="60">
        <f t="shared" si="220"/>
        <v>1</v>
      </c>
      <c r="AG404" s="60">
        <f t="shared" si="221"/>
        <v>111</v>
      </c>
      <c r="AH404" s="60">
        <f t="shared" si="222"/>
        <v>2</v>
      </c>
      <c r="AI404" s="60">
        <f t="shared" si="223"/>
        <v>1</v>
      </c>
      <c r="AK404" s="68" t="str">
        <f t="shared" si="198"/>
        <v>L5</v>
      </c>
      <c r="AM404" s="64" t="s">
        <v>1755</v>
      </c>
      <c r="AN404" s="64">
        <f t="shared" si="199"/>
        <v>65000000000350</v>
      </c>
      <c r="AO404" s="64">
        <f t="shared" si="200"/>
        <v>65000000000388</v>
      </c>
      <c r="AP404" s="64">
        <f t="shared" si="201"/>
        <v>65000000000388</v>
      </c>
      <c r="AQ404" s="64">
        <f t="shared" si="202"/>
        <v>65000000000393</v>
      </c>
      <c r="AS404" s="64">
        <f t="shared" si="203"/>
        <v>65000000000393</v>
      </c>
      <c r="AU404" s="59" t="str">
        <f t="shared" si="224"/>
        <v>PERFORM * FROM "SchData-OLTP-Accounting"."Func_TblChartOfAccount_SET"(varSystemLoginSession, null, null, null, varInstitutionBranchID, 62000000000001::bigint,'6-2003.01', 'Postage &amp; Courier (IDR)', 62000000000001::bigint, '2016-01-01 00:00:00'::timestamp, null::timestamp, 65000000000393::bigint, 66000000000001::bigint);</v>
      </c>
      <c r="AV404" s="65">
        <f t="shared" si="225"/>
        <v>65000000000394</v>
      </c>
      <c r="AW404" s="65">
        <f t="shared" si="226"/>
        <v>65000000000393</v>
      </c>
      <c r="AY404" s="65">
        <f t="shared" si="216"/>
        <v>65000000000393</v>
      </c>
      <c r="BA404" s="78">
        <f t="shared" si="227"/>
        <v>65000000000394</v>
      </c>
      <c r="BB404" s="81" t="str">
        <f t="shared" si="217"/>
        <v>PERFORM * FROM "SchData-OLTP-Accounting"."Func_TblChartOfAccount_SET"(varSystemLoginSession, null, null, null, null, null, varInstitutionBranchID, 62000000000001::bigint,'6-2003.01', 'Postage &amp; Courier (IDR)', 62000000000001::bigint, '2016-01-01 00:00:00'::timestamp, null::timestamp, 65000000000393::bigint, 66000000000001::bigint, FALSE::boolean);</v>
      </c>
    </row>
    <row r="405" spans="2:54" x14ac:dyDescent="0.2">
      <c r="B405" s="41"/>
      <c r="C405" s="42"/>
      <c r="D405" s="43"/>
      <c r="E405" s="42"/>
      <c r="F405" s="43"/>
      <c r="G405" s="42"/>
      <c r="H405" s="51" t="s">
        <v>1588</v>
      </c>
      <c r="I405" s="18" t="s">
        <v>548</v>
      </c>
      <c r="J405" s="51"/>
      <c r="K405" s="18"/>
      <c r="L405" s="51"/>
      <c r="M405" s="18"/>
      <c r="O405" s="58" t="str">
        <f t="shared" si="204"/>
        <v>6-0000</v>
      </c>
      <c r="P405" s="58" t="str">
        <f t="shared" si="205"/>
        <v>6-2000</v>
      </c>
      <c r="Q405" s="58" t="str">
        <f t="shared" si="206"/>
        <v>2-1200</v>
      </c>
      <c r="R405" s="58" t="str">
        <f t="shared" si="207"/>
        <v>6-2004</v>
      </c>
      <c r="S405" s="58" t="str">
        <f t="shared" si="208"/>
        <v>6-2003.01</v>
      </c>
      <c r="T405" s="58" t="str">
        <f t="shared" si="209"/>
        <v xml:space="preserve"> </v>
      </c>
      <c r="V405" s="72">
        <f t="shared" si="210"/>
        <v>65000000000395</v>
      </c>
      <c r="W405" s="60">
        <f t="shared" si="211"/>
        <v>65000000000350</v>
      </c>
      <c r="X405" s="60">
        <f t="shared" si="212"/>
        <v>65000000000388</v>
      </c>
      <c r="Y405" s="60">
        <f t="shared" si="213"/>
        <v>65000000000147</v>
      </c>
      <c r="Z405" s="60">
        <f t="shared" si="214"/>
        <v>65000000000395</v>
      </c>
      <c r="AA405" s="60">
        <f t="shared" si="197"/>
        <v>65000000000394</v>
      </c>
      <c r="AB405" s="60">
        <f t="shared" si="215"/>
        <v>65000000000000</v>
      </c>
      <c r="AD405" s="60">
        <f t="shared" si="218"/>
        <v>6</v>
      </c>
      <c r="AE405" s="60">
        <f t="shared" si="219"/>
        <v>3</v>
      </c>
      <c r="AF405" s="60">
        <f t="shared" si="220"/>
        <v>1</v>
      </c>
      <c r="AG405" s="60">
        <f t="shared" si="221"/>
        <v>112</v>
      </c>
      <c r="AH405" s="60">
        <f t="shared" si="222"/>
        <v>1</v>
      </c>
      <c r="AI405" s="60">
        <f t="shared" si="223"/>
        <v>1</v>
      </c>
      <c r="AK405" s="68" t="str">
        <f t="shared" si="198"/>
        <v>L4</v>
      </c>
      <c r="AM405" s="64" t="s">
        <v>1755</v>
      </c>
      <c r="AN405" s="64">
        <f t="shared" si="199"/>
        <v>65000000000350</v>
      </c>
      <c r="AO405" s="64">
        <f t="shared" si="200"/>
        <v>65000000000388</v>
      </c>
      <c r="AP405" s="64">
        <f t="shared" si="201"/>
        <v>65000000000388</v>
      </c>
      <c r="AQ405" s="64">
        <f t="shared" si="202"/>
        <v>65000000000393</v>
      </c>
      <c r="AS405" s="64">
        <f t="shared" si="203"/>
        <v>65000000000388</v>
      </c>
      <c r="AU405" s="59" t="str">
        <f t="shared" si="224"/>
        <v>PERFORM * FROM "SchData-OLTP-Accounting"."Func_TblChartOfAccount_SET"(varSystemLoginSession, null, null, null, varInstitutionBranchID, 62000000000001::bigint,'6-2004', 'Other Admin Expenses', 62000000000001::bigint, '2016-01-01 00:00:00'::timestamp, null::timestamp, 65000000000388::bigint, 66000000000001::bigint);</v>
      </c>
      <c r="AV405" s="65">
        <f t="shared" si="225"/>
        <v>65000000000395</v>
      </c>
      <c r="AW405" s="65">
        <f t="shared" si="226"/>
        <v>65000000000388</v>
      </c>
      <c r="AY405" s="65">
        <f t="shared" si="216"/>
        <v>65000000000147</v>
      </c>
      <c r="BA405" s="78">
        <f t="shared" si="227"/>
        <v>65000000000395</v>
      </c>
      <c r="BB405" s="81" t="str">
        <f t="shared" si="217"/>
        <v>PERFORM * FROM "SchData-OLTP-Accounting"."Func_TblChartOfAccount_SET"(varSystemLoginSession, null, null, null, null, null, varInstitutionBranchID, 62000000000001::bigint,'6-2004', 'Other Admin Expenses', 62000000000001::bigint, '2016-01-01 00:00:00'::timestamp, null::timestamp, 65000000000388::bigint, 66000000000001::bigint, FALSE::boolean);</v>
      </c>
    </row>
    <row r="406" spans="2:54" x14ac:dyDescent="0.2">
      <c r="B406" s="41"/>
      <c r="C406" s="42"/>
      <c r="D406" s="43"/>
      <c r="E406" s="42"/>
      <c r="F406" s="43"/>
      <c r="G406" s="42"/>
      <c r="H406" s="51"/>
      <c r="I406" s="18"/>
      <c r="J406" s="51" t="s">
        <v>1589</v>
      </c>
      <c r="K406" s="18" t="s">
        <v>1377</v>
      </c>
      <c r="L406" s="51"/>
      <c r="M406" s="18"/>
      <c r="O406" s="58" t="str">
        <f t="shared" si="204"/>
        <v>6-0000</v>
      </c>
      <c r="P406" s="58" t="str">
        <f t="shared" si="205"/>
        <v>6-2000</v>
      </c>
      <c r="Q406" s="58" t="str">
        <f t="shared" si="206"/>
        <v>2-1200</v>
      </c>
      <c r="R406" s="58" t="str">
        <f t="shared" si="207"/>
        <v>6-2004</v>
      </c>
      <c r="S406" s="58" t="str">
        <f t="shared" si="208"/>
        <v>6-2004.01</v>
      </c>
      <c r="T406" s="58" t="str">
        <f t="shared" si="209"/>
        <v xml:space="preserve"> </v>
      </c>
      <c r="V406" s="72">
        <f t="shared" si="210"/>
        <v>65000000000396</v>
      </c>
      <c r="W406" s="60">
        <f t="shared" si="211"/>
        <v>65000000000350</v>
      </c>
      <c r="X406" s="60">
        <f t="shared" si="212"/>
        <v>65000000000388</v>
      </c>
      <c r="Y406" s="60">
        <f t="shared" si="213"/>
        <v>65000000000147</v>
      </c>
      <c r="Z406" s="60">
        <f t="shared" si="214"/>
        <v>65000000000395</v>
      </c>
      <c r="AA406" s="60">
        <f t="shared" si="197"/>
        <v>65000000000396</v>
      </c>
      <c r="AB406" s="60">
        <f t="shared" si="215"/>
        <v>65000000000000</v>
      </c>
      <c r="AD406" s="60">
        <f t="shared" si="218"/>
        <v>6</v>
      </c>
      <c r="AE406" s="60">
        <f t="shared" si="219"/>
        <v>3</v>
      </c>
      <c r="AF406" s="60">
        <f t="shared" si="220"/>
        <v>1</v>
      </c>
      <c r="AG406" s="60">
        <f t="shared" si="221"/>
        <v>112</v>
      </c>
      <c r="AH406" s="60">
        <f t="shared" si="222"/>
        <v>2</v>
      </c>
      <c r="AI406" s="60">
        <f t="shared" si="223"/>
        <v>1</v>
      </c>
      <c r="AK406" s="68" t="str">
        <f t="shared" si="198"/>
        <v>L5</v>
      </c>
      <c r="AM406" s="64" t="s">
        <v>1755</v>
      </c>
      <c r="AN406" s="64">
        <f t="shared" si="199"/>
        <v>65000000000350</v>
      </c>
      <c r="AO406" s="64">
        <f t="shared" si="200"/>
        <v>65000000000388</v>
      </c>
      <c r="AP406" s="64">
        <f t="shared" si="201"/>
        <v>65000000000388</v>
      </c>
      <c r="AQ406" s="64">
        <f t="shared" si="202"/>
        <v>65000000000395</v>
      </c>
      <c r="AS406" s="64">
        <f t="shared" si="203"/>
        <v>65000000000395</v>
      </c>
      <c r="AU406" s="59" t="str">
        <f t="shared" si="224"/>
        <v>PERFORM * FROM "SchData-OLTP-Accounting"."Func_TblChartOfAccount_SET"(varSystemLoginSession, null, null, null, varInstitutionBranchID, 62000000000001::bigint,'6-2004.01', 'Other Admin Expenses (IDR)', 62000000000001::bigint, '2016-01-01 00:00:00'::timestamp, null::timestamp, 65000000000395::bigint, 66000000000001::bigint);</v>
      </c>
      <c r="AV406" s="65">
        <f t="shared" si="225"/>
        <v>65000000000396</v>
      </c>
      <c r="AW406" s="65">
        <f t="shared" si="226"/>
        <v>65000000000395</v>
      </c>
      <c r="AY406" s="65">
        <f t="shared" si="216"/>
        <v>65000000000395</v>
      </c>
      <c r="BA406" s="78">
        <f t="shared" si="227"/>
        <v>65000000000396</v>
      </c>
      <c r="BB406" s="81" t="str">
        <f t="shared" si="217"/>
        <v>PERFORM * FROM "SchData-OLTP-Accounting"."Func_TblChartOfAccount_SET"(varSystemLoginSession, null, null, null, null, null, varInstitutionBranchID, 62000000000001::bigint,'6-2004.01', 'Other Admin Expenses (IDR)', 62000000000001::bigint, '2016-01-01 00:00:00'::timestamp, null::timestamp, 65000000000395::bigint, 66000000000001::bigint, FALSE::boolean);</v>
      </c>
    </row>
    <row r="407" spans="2:54" x14ac:dyDescent="0.2">
      <c r="B407" s="41"/>
      <c r="C407" s="42"/>
      <c r="D407" s="43"/>
      <c r="E407" s="42"/>
      <c r="F407" s="43"/>
      <c r="G407" s="42"/>
      <c r="H407" s="51" t="s">
        <v>1590</v>
      </c>
      <c r="I407" s="18" t="s">
        <v>550</v>
      </c>
      <c r="J407" s="51"/>
      <c r="K407" s="18"/>
      <c r="L407" s="51"/>
      <c r="M407" s="18"/>
      <c r="O407" s="58" t="str">
        <f t="shared" si="204"/>
        <v>6-0000</v>
      </c>
      <c r="P407" s="58" t="str">
        <f t="shared" si="205"/>
        <v>6-2000</v>
      </c>
      <c r="Q407" s="58" t="str">
        <f t="shared" si="206"/>
        <v>2-1200</v>
      </c>
      <c r="R407" s="58" t="str">
        <f t="shared" si="207"/>
        <v>6-2005</v>
      </c>
      <c r="S407" s="58" t="str">
        <f t="shared" si="208"/>
        <v>6-2004.01</v>
      </c>
      <c r="T407" s="58" t="str">
        <f t="shared" si="209"/>
        <v xml:space="preserve"> </v>
      </c>
      <c r="V407" s="72">
        <f t="shared" si="210"/>
        <v>65000000000397</v>
      </c>
      <c r="W407" s="60">
        <f t="shared" si="211"/>
        <v>65000000000350</v>
      </c>
      <c r="X407" s="60">
        <f t="shared" si="212"/>
        <v>65000000000388</v>
      </c>
      <c r="Y407" s="60">
        <f t="shared" si="213"/>
        <v>65000000000147</v>
      </c>
      <c r="Z407" s="60">
        <f t="shared" si="214"/>
        <v>65000000000397</v>
      </c>
      <c r="AA407" s="60">
        <f t="shared" si="197"/>
        <v>65000000000396</v>
      </c>
      <c r="AB407" s="60">
        <f t="shared" si="215"/>
        <v>65000000000000</v>
      </c>
      <c r="AD407" s="60">
        <f t="shared" si="218"/>
        <v>6</v>
      </c>
      <c r="AE407" s="60">
        <f t="shared" si="219"/>
        <v>3</v>
      </c>
      <c r="AF407" s="60">
        <f t="shared" si="220"/>
        <v>1</v>
      </c>
      <c r="AG407" s="60">
        <f t="shared" si="221"/>
        <v>113</v>
      </c>
      <c r="AH407" s="60">
        <f t="shared" si="222"/>
        <v>1</v>
      </c>
      <c r="AI407" s="60">
        <f t="shared" si="223"/>
        <v>1</v>
      </c>
      <c r="AK407" s="68" t="str">
        <f t="shared" si="198"/>
        <v>L4</v>
      </c>
      <c r="AM407" s="64" t="s">
        <v>1755</v>
      </c>
      <c r="AN407" s="64">
        <f t="shared" si="199"/>
        <v>65000000000350</v>
      </c>
      <c r="AO407" s="64">
        <f t="shared" si="200"/>
        <v>65000000000388</v>
      </c>
      <c r="AP407" s="64">
        <f t="shared" si="201"/>
        <v>65000000000388</v>
      </c>
      <c r="AQ407" s="64">
        <f t="shared" si="202"/>
        <v>65000000000395</v>
      </c>
      <c r="AS407" s="64">
        <f t="shared" si="203"/>
        <v>65000000000388</v>
      </c>
      <c r="AU407" s="59" t="str">
        <f t="shared" si="224"/>
        <v>PERFORM * FROM "SchData-OLTP-Accounting"."Func_TblChartOfAccount_SET"(varSystemLoginSession, null, null, null, varInstitutionBranchID, 62000000000001::bigint,'6-2005', 'Office Supplies', 62000000000001::bigint, '2016-01-01 00:00:00'::timestamp, null::timestamp, 65000000000388::bigint, 66000000000001::bigint);</v>
      </c>
      <c r="AV407" s="65">
        <f t="shared" si="225"/>
        <v>65000000000397</v>
      </c>
      <c r="AW407" s="65">
        <f t="shared" si="226"/>
        <v>65000000000388</v>
      </c>
      <c r="AY407" s="65">
        <f t="shared" si="216"/>
        <v>65000000000147</v>
      </c>
      <c r="BA407" s="78">
        <f t="shared" si="227"/>
        <v>65000000000397</v>
      </c>
      <c r="BB407" s="81" t="str">
        <f t="shared" si="217"/>
        <v>PERFORM * FROM "SchData-OLTP-Accounting"."Func_TblChartOfAccount_SET"(varSystemLoginSession, null, null, null, null, null, varInstitutionBranchID, 62000000000001::bigint,'6-2005', 'Office Supplies', 62000000000001::bigint, '2016-01-01 00:00:00'::timestamp, null::timestamp, 65000000000388::bigint, 66000000000001::bigint, FALSE::boolean);</v>
      </c>
    </row>
    <row r="408" spans="2:54" x14ac:dyDescent="0.2">
      <c r="B408" s="41"/>
      <c r="C408" s="42"/>
      <c r="D408" s="43"/>
      <c r="E408" s="42"/>
      <c r="F408" s="43"/>
      <c r="G408" s="42"/>
      <c r="H408" s="51"/>
      <c r="I408" s="18"/>
      <c r="J408" s="51" t="s">
        <v>1591</v>
      </c>
      <c r="K408" s="18" t="s">
        <v>1378</v>
      </c>
      <c r="L408" s="51"/>
      <c r="M408" s="18"/>
      <c r="O408" s="58" t="str">
        <f t="shared" si="204"/>
        <v>6-0000</v>
      </c>
      <c r="P408" s="58" t="str">
        <f t="shared" si="205"/>
        <v>6-2000</v>
      </c>
      <c r="Q408" s="58" t="str">
        <f t="shared" si="206"/>
        <v>2-1200</v>
      </c>
      <c r="R408" s="58" t="str">
        <f t="shared" si="207"/>
        <v>6-2005</v>
      </c>
      <c r="S408" s="58" t="str">
        <f t="shared" si="208"/>
        <v>6-2005.01</v>
      </c>
      <c r="T408" s="58" t="str">
        <f t="shared" si="209"/>
        <v xml:space="preserve"> </v>
      </c>
      <c r="V408" s="72">
        <f t="shared" si="210"/>
        <v>65000000000398</v>
      </c>
      <c r="W408" s="60">
        <f t="shared" si="211"/>
        <v>65000000000350</v>
      </c>
      <c r="X408" s="60">
        <f t="shared" si="212"/>
        <v>65000000000388</v>
      </c>
      <c r="Y408" s="60">
        <f t="shared" si="213"/>
        <v>65000000000147</v>
      </c>
      <c r="Z408" s="60">
        <f t="shared" si="214"/>
        <v>65000000000397</v>
      </c>
      <c r="AA408" s="60">
        <f t="shared" si="197"/>
        <v>65000000000398</v>
      </c>
      <c r="AB408" s="60">
        <f t="shared" si="215"/>
        <v>65000000000000</v>
      </c>
      <c r="AD408" s="60">
        <f t="shared" si="218"/>
        <v>6</v>
      </c>
      <c r="AE408" s="60">
        <f t="shared" si="219"/>
        <v>3</v>
      </c>
      <c r="AF408" s="60">
        <f t="shared" si="220"/>
        <v>1</v>
      </c>
      <c r="AG408" s="60">
        <f t="shared" si="221"/>
        <v>113</v>
      </c>
      <c r="AH408" s="60">
        <f t="shared" si="222"/>
        <v>2</v>
      </c>
      <c r="AI408" s="60">
        <f t="shared" si="223"/>
        <v>1</v>
      </c>
      <c r="AK408" s="68" t="str">
        <f t="shared" si="198"/>
        <v>L5</v>
      </c>
      <c r="AM408" s="64" t="s">
        <v>1755</v>
      </c>
      <c r="AN408" s="64">
        <f t="shared" si="199"/>
        <v>65000000000350</v>
      </c>
      <c r="AO408" s="64">
        <f t="shared" si="200"/>
        <v>65000000000388</v>
      </c>
      <c r="AP408" s="64">
        <f t="shared" si="201"/>
        <v>65000000000388</v>
      </c>
      <c r="AQ408" s="64">
        <f t="shared" si="202"/>
        <v>65000000000397</v>
      </c>
      <c r="AS408" s="64">
        <f t="shared" si="203"/>
        <v>65000000000397</v>
      </c>
      <c r="AU408" s="59" t="str">
        <f t="shared" si="224"/>
        <v>PERFORM * FROM "SchData-OLTP-Accounting"."Func_TblChartOfAccount_SET"(varSystemLoginSession, null, null, null, varInstitutionBranchID, 62000000000001::bigint,'6-2005.01', 'Office Supplies (IDR)', 62000000000001::bigint, '2016-01-01 00:00:00'::timestamp, null::timestamp, 65000000000397::bigint, 66000000000001::bigint);</v>
      </c>
      <c r="AV408" s="65">
        <f t="shared" si="225"/>
        <v>65000000000398</v>
      </c>
      <c r="AW408" s="65">
        <f t="shared" si="226"/>
        <v>65000000000397</v>
      </c>
      <c r="AY408" s="65">
        <f t="shared" si="216"/>
        <v>65000000000397</v>
      </c>
      <c r="BA408" s="78">
        <f t="shared" si="227"/>
        <v>65000000000398</v>
      </c>
      <c r="BB408" s="81" t="str">
        <f t="shared" si="217"/>
        <v>PERFORM * FROM "SchData-OLTP-Accounting"."Func_TblChartOfAccount_SET"(varSystemLoginSession, null, null, null, null, null, varInstitutionBranchID, 62000000000001::bigint,'6-2005.01', 'Office Supplies (IDR)', 62000000000001::bigint, '2016-01-01 00:00:00'::timestamp, null::timestamp, 65000000000397::bigint, 66000000000001::bigint, FALSE::boolean);</v>
      </c>
    </row>
    <row r="409" spans="2:54" x14ac:dyDescent="0.2">
      <c r="B409" s="41"/>
      <c r="C409" s="42"/>
      <c r="D409" s="43"/>
      <c r="E409" s="42"/>
      <c r="F409" s="43"/>
      <c r="G409" s="42"/>
      <c r="H409" s="51" t="s">
        <v>1592</v>
      </c>
      <c r="I409" s="18" t="s">
        <v>552</v>
      </c>
      <c r="J409" s="51"/>
      <c r="K409" s="18"/>
      <c r="L409" s="51"/>
      <c r="M409" s="18"/>
      <c r="O409" s="58" t="str">
        <f t="shared" si="204"/>
        <v>6-0000</v>
      </c>
      <c r="P409" s="58" t="str">
        <f t="shared" si="205"/>
        <v>6-2000</v>
      </c>
      <c r="Q409" s="58" t="str">
        <f t="shared" si="206"/>
        <v>2-1200</v>
      </c>
      <c r="R409" s="58" t="str">
        <f t="shared" si="207"/>
        <v>6-2006</v>
      </c>
      <c r="S409" s="58" t="str">
        <f t="shared" si="208"/>
        <v>6-2005.01</v>
      </c>
      <c r="T409" s="58" t="str">
        <f t="shared" si="209"/>
        <v xml:space="preserve"> </v>
      </c>
      <c r="V409" s="72">
        <f t="shared" si="210"/>
        <v>65000000000399</v>
      </c>
      <c r="W409" s="60">
        <f t="shared" si="211"/>
        <v>65000000000350</v>
      </c>
      <c r="X409" s="60">
        <f t="shared" si="212"/>
        <v>65000000000388</v>
      </c>
      <c r="Y409" s="60">
        <f t="shared" si="213"/>
        <v>65000000000147</v>
      </c>
      <c r="Z409" s="60">
        <f t="shared" si="214"/>
        <v>65000000000399</v>
      </c>
      <c r="AA409" s="60">
        <f t="shared" si="197"/>
        <v>65000000000398</v>
      </c>
      <c r="AB409" s="60">
        <f t="shared" si="215"/>
        <v>65000000000000</v>
      </c>
      <c r="AD409" s="60">
        <f t="shared" si="218"/>
        <v>6</v>
      </c>
      <c r="AE409" s="60">
        <f t="shared" si="219"/>
        <v>3</v>
      </c>
      <c r="AF409" s="60">
        <f t="shared" si="220"/>
        <v>1</v>
      </c>
      <c r="AG409" s="60">
        <f t="shared" si="221"/>
        <v>114</v>
      </c>
      <c r="AH409" s="60">
        <f t="shared" si="222"/>
        <v>1</v>
      </c>
      <c r="AI409" s="60">
        <f t="shared" si="223"/>
        <v>1</v>
      </c>
      <c r="AK409" s="68" t="str">
        <f t="shared" si="198"/>
        <v>L4</v>
      </c>
      <c r="AM409" s="64" t="s">
        <v>1755</v>
      </c>
      <c r="AN409" s="64">
        <f t="shared" si="199"/>
        <v>65000000000350</v>
      </c>
      <c r="AO409" s="64">
        <f t="shared" si="200"/>
        <v>65000000000388</v>
      </c>
      <c r="AP409" s="64">
        <f t="shared" si="201"/>
        <v>65000000000388</v>
      </c>
      <c r="AQ409" s="64">
        <f t="shared" si="202"/>
        <v>65000000000397</v>
      </c>
      <c r="AS409" s="64">
        <f t="shared" si="203"/>
        <v>65000000000388</v>
      </c>
      <c r="AU409" s="59" t="str">
        <f t="shared" si="224"/>
        <v>PERFORM * FROM "SchData-OLTP-Accounting"."Func_TblChartOfAccount_SET"(varSystemLoginSession, null, null, null, varInstitutionBranchID, 62000000000001::bigint,'6-2006', 'Office Equipment &lt; $500', 62000000000001::bigint, '2016-01-01 00:00:00'::timestamp, null::timestamp, 65000000000388::bigint, 66000000000001::bigint);</v>
      </c>
      <c r="AV409" s="65">
        <f t="shared" si="225"/>
        <v>65000000000399</v>
      </c>
      <c r="AW409" s="65">
        <f t="shared" si="226"/>
        <v>65000000000388</v>
      </c>
      <c r="AY409" s="65">
        <f t="shared" si="216"/>
        <v>65000000000147</v>
      </c>
      <c r="BA409" s="78">
        <f t="shared" si="227"/>
        <v>65000000000399</v>
      </c>
      <c r="BB409" s="81" t="str">
        <f t="shared" si="217"/>
        <v>PERFORM * FROM "SchData-OLTP-Accounting"."Func_TblChartOfAccount_SET"(varSystemLoginSession, null, null, null, null, null, varInstitutionBranchID, 62000000000001::bigint,'6-2006', 'Office Equipment &lt; $500', 62000000000001::bigint, '2016-01-01 00:00:00'::timestamp, null::timestamp, 65000000000388::bigint, 66000000000001::bigint, FALSE::boolean);</v>
      </c>
    </row>
    <row r="410" spans="2:54" x14ac:dyDescent="0.2">
      <c r="B410" s="41"/>
      <c r="C410" s="42"/>
      <c r="D410" s="43"/>
      <c r="E410" s="42"/>
      <c r="F410" s="43"/>
      <c r="G410" s="42"/>
      <c r="H410" s="51"/>
      <c r="I410" s="18"/>
      <c r="J410" s="51" t="s">
        <v>1593</v>
      </c>
      <c r="K410" s="18" t="s">
        <v>1379</v>
      </c>
      <c r="L410" s="51"/>
      <c r="M410" s="18"/>
      <c r="O410" s="58" t="str">
        <f t="shared" si="204"/>
        <v>6-0000</v>
      </c>
      <c r="P410" s="58" t="str">
        <f t="shared" si="205"/>
        <v>6-2000</v>
      </c>
      <c r="Q410" s="58" t="str">
        <f t="shared" si="206"/>
        <v>2-1200</v>
      </c>
      <c r="R410" s="58" t="str">
        <f t="shared" si="207"/>
        <v>6-2006</v>
      </c>
      <c r="S410" s="58" t="str">
        <f t="shared" si="208"/>
        <v>6-2006.01</v>
      </c>
      <c r="T410" s="58" t="str">
        <f t="shared" si="209"/>
        <v xml:space="preserve"> </v>
      </c>
      <c r="V410" s="72">
        <f t="shared" si="210"/>
        <v>65000000000400</v>
      </c>
      <c r="W410" s="60">
        <f t="shared" si="211"/>
        <v>65000000000350</v>
      </c>
      <c r="X410" s="60">
        <f t="shared" si="212"/>
        <v>65000000000388</v>
      </c>
      <c r="Y410" s="60">
        <f t="shared" si="213"/>
        <v>65000000000147</v>
      </c>
      <c r="Z410" s="60">
        <f t="shared" si="214"/>
        <v>65000000000399</v>
      </c>
      <c r="AA410" s="60">
        <f t="shared" si="197"/>
        <v>65000000000400</v>
      </c>
      <c r="AB410" s="60">
        <f t="shared" si="215"/>
        <v>65000000000000</v>
      </c>
      <c r="AD410" s="60">
        <f t="shared" si="218"/>
        <v>6</v>
      </c>
      <c r="AE410" s="60">
        <f t="shared" si="219"/>
        <v>3</v>
      </c>
      <c r="AF410" s="60">
        <f t="shared" si="220"/>
        <v>1</v>
      </c>
      <c r="AG410" s="60">
        <f t="shared" si="221"/>
        <v>114</v>
      </c>
      <c r="AH410" s="60">
        <f t="shared" si="222"/>
        <v>2</v>
      </c>
      <c r="AI410" s="60">
        <f t="shared" si="223"/>
        <v>1</v>
      </c>
      <c r="AK410" s="68" t="str">
        <f t="shared" si="198"/>
        <v>L5</v>
      </c>
      <c r="AM410" s="64" t="s">
        <v>1755</v>
      </c>
      <c r="AN410" s="64">
        <f t="shared" si="199"/>
        <v>65000000000350</v>
      </c>
      <c r="AO410" s="64">
        <f t="shared" si="200"/>
        <v>65000000000388</v>
      </c>
      <c r="AP410" s="64">
        <f t="shared" si="201"/>
        <v>65000000000388</v>
      </c>
      <c r="AQ410" s="64">
        <f t="shared" si="202"/>
        <v>65000000000399</v>
      </c>
      <c r="AS410" s="64">
        <f t="shared" si="203"/>
        <v>65000000000399</v>
      </c>
      <c r="AU410" s="59" t="str">
        <f t="shared" si="224"/>
        <v>PERFORM * FROM "SchData-OLTP-Accounting"."Func_TblChartOfAccount_SET"(varSystemLoginSession, null, null, null, varInstitutionBranchID, 62000000000001::bigint,'6-2006.01', 'Office Equipment &lt; $500 (IDR)', 62000000000001::bigint, '2016-01-01 00:00:00'::timestamp, null::timestamp, 65000000000399::bigint, 66000000000001::bigint);</v>
      </c>
      <c r="AV410" s="65">
        <f t="shared" si="225"/>
        <v>65000000000400</v>
      </c>
      <c r="AW410" s="65">
        <f t="shared" si="226"/>
        <v>65000000000399</v>
      </c>
      <c r="AY410" s="65">
        <f t="shared" si="216"/>
        <v>65000000000399</v>
      </c>
      <c r="BA410" s="78">
        <f t="shared" si="227"/>
        <v>65000000000400</v>
      </c>
      <c r="BB410" s="81" t="str">
        <f t="shared" si="217"/>
        <v>PERFORM * FROM "SchData-OLTP-Accounting"."Func_TblChartOfAccount_SET"(varSystemLoginSession, null, null, null, null, null, varInstitutionBranchID, 62000000000001::bigint,'6-2006.01', 'Office Equipment &lt; $500 (IDR)', 62000000000001::bigint, '2016-01-01 00:00:00'::timestamp, null::timestamp, 65000000000399::bigint, 66000000000001::bigint, FALSE::boolean);</v>
      </c>
    </row>
    <row r="411" spans="2:54" x14ac:dyDescent="0.2">
      <c r="B411" s="41"/>
      <c r="C411" s="42"/>
      <c r="D411" s="43"/>
      <c r="E411" s="42"/>
      <c r="F411" s="43"/>
      <c r="G411" s="42"/>
      <c r="H411" s="51" t="s">
        <v>1594</v>
      </c>
      <c r="I411" s="18" t="s">
        <v>554</v>
      </c>
      <c r="J411" s="51"/>
      <c r="K411" s="18"/>
      <c r="L411" s="51"/>
      <c r="M411" s="18"/>
      <c r="O411" s="58" t="str">
        <f t="shared" si="204"/>
        <v>6-0000</v>
      </c>
      <c r="P411" s="58" t="str">
        <f t="shared" si="205"/>
        <v>6-2000</v>
      </c>
      <c r="Q411" s="58" t="str">
        <f t="shared" si="206"/>
        <v>2-1200</v>
      </c>
      <c r="R411" s="58" t="str">
        <f t="shared" si="207"/>
        <v>6-2007</v>
      </c>
      <c r="S411" s="58" t="str">
        <f t="shared" si="208"/>
        <v>6-2006.01</v>
      </c>
      <c r="T411" s="58" t="str">
        <f t="shared" si="209"/>
        <v xml:space="preserve"> </v>
      </c>
      <c r="V411" s="72">
        <f t="shared" si="210"/>
        <v>65000000000401</v>
      </c>
      <c r="W411" s="60">
        <f t="shared" si="211"/>
        <v>65000000000350</v>
      </c>
      <c r="X411" s="60">
        <f t="shared" si="212"/>
        <v>65000000000388</v>
      </c>
      <c r="Y411" s="60">
        <f t="shared" si="213"/>
        <v>65000000000147</v>
      </c>
      <c r="Z411" s="60">
        <f t="shared" si="214"/>
        <v>65000000000401</v>
      </c>
      <c r="AA411" s="60">
        <f t="shared" si="197"/>
        <v>65000000000400</v>
      </c>
      <c r="AB411" s="60">
        <f t="shared" si="215"/>
        <v>65000000000000</v>
      </c>
      <c r="AD411" s="60">
        <f t="shared" si="218"/>
        <v>6</v>
      </c>
      <c r="AE411" s="60">
        <f t="shared" si="219"/>
        <v>3</v>
      </c>
      <c r="AF411" s="60">
        <f t="shared" si="220"/>
        <v>1</v>
      </c>
      <c r="AG411" s="60">
        <f t="shared" si="221"/>
        <v>115</v>
      </c>
      <c r="AH411" s="60">
        <f t="shared" si="222"/>
        <v>1</v>
      </c>
      <c r="AI411" s="60">
        <f t="shared" si="223"/>
        <v>1</v>
      </c>
      <c r="AK411" s="68" t="str">
        <f t="shared" si="198"/>
        <v>L4</v>
      </c>
      <c r="AM411" s="64" t="s">
        <v>1755</v>
      </c>
      <c r="AN411" s="64">
        <f t="shared" si="199"/>
        <v>65000000000350</v>
      </c>
      <c r="AO411" s="64">
        <f t="shared" si="200"/>
        <v>65000000000388</v>
      </c>
      <c r="AP411" s="64">
        <f t="shared" si="201"/>
        <v>65000000000388</v>
      </c>
      <c r="AQ411" s="64">
        <f t="shared" si="202"/>
        <v>65000000000399</v>
      </c>
      <c r="AS411" s="64">
        <f t="shared" si="203"/>
        <v>65000000000388</v>
      </c>
      <c r="AU411" s="59" t="str">
        <f t="shared" si="224"/>
        <v>PERFORM * FROM "SchData-OLTP-Accounting"."Func_TblChartOfAccount_SET"(varSystemLoginSession, null, null, null, varInstitutionBranchID, 62000000000001::bigint,'6-2007', 'Furniture &amp; Fitting &lt; $500', 62000000000001::bigint, '2016-01-01 00:00:00'::timestamp, null::timestamp, 65000000000388::bigint, 66000000000001::bigint);</v>
      </c>
      <c r="AV411" s="65">
        <f t="shared" si="225"/>
        <v>65000000000401</v>
      </c>
      <c r="AW411" s="65">
        <f t="shared" si="226"/>
        <v>65000000000388</v>
      </c>
      <c r="AY411" s="65">
        <f t="shared" si="216"/>
        <v>65000000000147</v>
      </c>
      <c r="BA411" s="78">
        <f t="shared" si="227"/>
        <v>65000000000401</v>
      </c>
      <c r="BB411" s="81" t="str">
        <f t="shared" si="217"/>
        <v>PERFORM * FROM "SchData-OLTP-Accounting"."Func_TblChartOfAccount_SET"(varSystemLoginSession, null, null, null, null, null, varInstitutionBranchID, 62000000000001::bigint,'6-2007', 'Furniture &amp; Fitting &lt; $500', 62000000000001::bigint, '2016-01-01 00:00:00'::timestamp, null::timestamp, 65000000000388::bigint, 66000000000001::bigint, FALSE::boolean);</v>
      </c>
    </row>
    <row r="412" spans="2:54" x14ac:dyDescent="0.2">
      <c r="B412" s="41"/>
      <c r="C412" s="42"/>
      <c r="D412" s="43"/>
      <c r="E412" s="42"/>
      <c r="F412" s="43"/>
      <c r="G412" s="42"/>
      <c r="H412" s="51"/>
      <c r="I412" s="18"/>
      <c r="J412" s="51" t="s">
        <v>1595</v>
      </c>
      <c r="K412" s="18" t="s">
        <v>1380</v>
      </c>
      <c r="L412" s="51"/>
      <c r="M412" s="18"/>
      <c r="O412" s="58" t="str">
        <f t="shared" si="204"/>
        <v>6-0000</v>
      </c>
      <c r="P412" s="58" t="str">
        <f t="shared" si="205"/>
        <v>6-2000</v>
      </c>
      <c r="Q412" s="58" t="str">
        <f t="shared" si="206"/>
        <v>2-1200</v>
      </c>
      <c r="R412" s="58" t="str">
        <f t="shared" si="207"/>
        <v>6-2007</v>
      </c>
      <c r="S412" s="58" t="str">
        <f t="shared" si="208"/>
        <v>6-2007.01</v>
      </c>
      <c r="T412" s="58" t="str">
        <f t="shared" si="209"/>
        <v xml:space="preserve"> </v>
      </c>
      <c r="V412" s="72">
        <f t="shared" si="210"/>
        <v>65000000000402</v>
      </c>
      <c r="W412" s="60">
        <f t="shared" si="211"/>
        <v>65000000000350</v>
      </c>
      <c r="X412" s="60">
        <f t="shared" si="212"/>
        <v>65000000000388</v>
      </c>
      <c r="Y412" s="60">
        <f t="shared" si="213"/>
        <v>65000000000147</v>
      </c>
      <c r="Z412" s="60">
        <f t="shared" si="214"/>
        <v>65000000000401</v>
      </c>
      <c r="AA412" s="60">
        <f t="shared" si="197"/>
        <v>65000000000402</v>
      </c>
      <c r="AB412" s="60">
        <f t="shared" si="215"/>
        <v>65000000000000</v>
      </c>
      <c r="AD412" s="60">
        <f t="shared" si="218"/>
        <v>6</v>
      </c>
      <c r="AE412" s="60">
        <f t="shared" si="219"/>
        <v>3</v>
      </c>
      <c r="AF412" s="60">
        <f t="shared" si="220"/>
        <v>1</v>
      </c>
      <c r="AG412" s="60">
        <f t="shared" si="221"/>
        <v>115</v>
      </c>
      <c r="AH412" s="60">
        <f t="shared" si="222"/>
        <v>2</v>
      </c>
      <c r="AI412" s="60">
        <f t="shared" si="223"/>
        <v>1</v>
      </c>
      <c r="AK412" s="68" t="str">
        <f t="shared" si="198"/>
        <v>L5</v>
      </c>
      <c r="AM412" s="64" t="s">
        <v>1755</v>
      </c>
      <c r="AN412" s="64">
        <f t="shared" si="199"/>
        <v>65000000000350</v>
      </c>
      <c r="AO412" s="64">
        <f t="shared" si="200"/>
        <v>65000000000388</v>
      </c>
      <c r="AP412" s="64">
        <f t="shared" si="201"/>
        <v>65000000000388</v>
      </c>
      <c r="AQ412" s="64">
        <f t="shared" si="202"/>
        <v>65000000000401</v>
      </c>
      <c r="AS412" s="64">
        <f t="shared" si="203"/>
        <v>65000000000401</v>
      </c>
      <c r="AU412" s="59" t="str">
        <f t="shared" si="224"/>
        <v>PERFORM * FROM "SchData-OLTP-Accounting"."Func_TblChartOfAccount_SET"(varSystemLoginSession, null, null, null, varInstitutionBranchID, 62000000000001::bigint,'6-2007.01', 'Furniture &amp; Fitting &lt; $500 (IDR)', 62000000000001::bigint, '2016-01-01 00:00:00'::timestamp, null::timestamp, 65000000000401::bigint, 66000000000001::bigint);</v>
      </c>
      <c r="AV412" s="65">
        <f t="shared" si="225"/>
        <v>65000000000402</v>
      </c>
      <c r="AW412" s="65">
        <f t="shared" si="226"/>
        <v>65000000000401</v>
      </c>
      <c r="AY412" s="65">
        <f t="shared" si="216"/>
        <v>65000000000401</v>
      </c>
      <c r="BA412" s="78">
        <f t="shared" si="227"/>
        <v>65000000000402</v>
      </c>
      <c r="BB412" s="81" t="str">
        <f t="shared" si="217"/>
        <v>PERFORM * FROM "SchData-OLTP-Accounting"."Func_TblChartOfAccount_SET"(varSystemLoginSession, null, null, null, null, null, varInstitutionBranchID, 62000000000001::bigint,'6-2007.01', 'Furniture &amp; Fitting &lt; $500 (IDR)', 62000000000001::bigint, '2016-01-01 00:00:00'::timestamp, null::timestamp, 65000000000401::bigint, 66000000000001::bigint, FALSE::boolean);</v>
      </c>
    </row>
    <row r="413" spans="2:54" x14ac:dyDescent="0.2">
      <c r="B413" s="41"/>
      <c r="C413" s="42"/>
      <c r="D413" s="43"/>
      <c r="E413" s="42"/>
      <c r="F413" s="43"/>
      <c r="G413" s="42"/>
      <c r="H413" s="51" t="s">
        <v>1596</v>
      </c>
      <c r="I413" s="18" t="s">
        <v>556</v>
      </c>
      <c r="J413" s="51"/>
      <c r="K413" s="18"/>
      <c r="L413" s="51"/>
      <c r="M413" s="18"/>
      <c r="O413" s="58" t="str">
        <f t="shared" si="204"/>
        <v>6-0000</v>
      </c>
      <c r="P413" s="58" t="str">
        <f t="shared" si="205"/>
        <v>6-2000</v>
      </c>
      <c r="Q413" s="58" t="str">
        <f t="shared" si="206"/>
        <v>2-1200</v>
      </c>
      <c r="R413" s="58" t="str">
        <f t="shared" si="207"/>
        <v>6-2008</v>
      </c>
      <c r="S413" s="58" t="str">
        <f t="shared" si="208"/>
        <v>6-2007.01</v>
      </c>
      <c r="T413" s="58" t="str">
        <f t="shared" si="209"/>
        <v xml:space="preserve"> </v>
      </c>
      <c r="V413" s="72">
        <f t="shared" si="210"/>
        <v>65000000000403</v>
      </c>
      <c r="W413" s="60">
        <f t="shared" si="211"/>
        <v>65000000000350</v>
      </c>
      <c r="X413" s="60">
        <f t="shared" si="212"/>
        <v>65000000000388</v>
      </c>
      <c r="Y413" s="60">
        <f t="shared" si="213"/>
        <v>65000000000147</v>
      </c>
      <c r="Z413" s="60">
        <f t="shared" si="214"/>
        <v>65000000000403</v>
      </c>
      <c r="AA413" s="60">
        <f t="shared" si="197"/>
        <v>65000000000402</v>
      </c>
      <c r="AB413" s="60">
        <f t="shared" si="215"/>
        <v>65000000000000</v>
      </c>
      <c r="AD413" s="60">
        <f t="shared" si="218"/>
        <v>6</v>
      </c>
      <c r="AE413" s="60">
        <f t="shared" si="219"/>
        <v>3</v>
      </c>
      <c r="AF413" s="60">
        <f t="shared" si="220"/>
        <v>1</v>
      </c>
      <c r="AG413" s="60">
        <f t="shared" si="221"/>
        <v>116</v>
      </c>
      <c r="AH413" s="60">
        <f t="shared" si="222"/>
        <v>1</v>
      </c>
      <c r="AI413" s="60">
        <f t="shared" si="223"/>
        <v>1</v>
      </c>
      <c r="AK413" s="68" t="str">
        <f t="shared" si="198"/>
        <v>L4</v>
      </c>
      <c r="AM413" s="64" t="s">
        <v>1755</v>
      </c>
      <c r="AN413" s="64">
        <f t="shared" si="199"/>
        <v>65000000000350</v>
      </c>
      <c r="AO413" s="64">
        <f t="shared" si="200"/>
        <v>65000000000388</v>
      </c>
      <c r="AP413" s="64">
        <f t="shared" si="201"/>
        <v>65000000000388</v>
      </c>
      <c r="AQ413" s="64">
        <f t="shared" si="202"/>
        <v>65000000000401</v>
      </c>
      <c r="AS413" s="64">
        <f t="shared" si="203"/>
        <v>65000000000388</v>
      </c>
      <c r="AU413" s="59" t="str">
        <f t="shared" si="224"/>
        <v>PERFORM * FROM "SchData-OLTP-Accounting"."Func_TblChartOfAccount_SET"(varSystemLoginSession, null, null, null, varInstitutionBranchID, 62000000000001::bigint,'6-2008', 'Light &amp; Power Equipment', 62000000000001::bigint, '2016-01-01 00:00:00'::timestamp, null::timestamp, 65000000000388::bigint, 66000000000001::bigint);</v>
      </c>
      <c r="AV413" s="65">
        <f t="shared" si="225"/>
        <v>65000000000403</v>
      </c>
      <c r="AW413" s="65">
        <f t="shared" si="226"/>
        <v>65000000000388</v>
      </c>
      <c r="AY413" s="65">
        <f t="shared" si="216"/>
        <v>65000000000147</v>
      </c>
      <c r="BA413" s="78">
        <f t="shared" si="227"/>
        <v>65000000000403</v>
      </c>
      <c r="BB413" s="81" t="str">
        <f t="shared" si="217"/>
        <v>PERFORM * FROM "SchData-OLTP-Accounting"."Func_TblChartOfAccount_SET"(varSystemLoginSession, null, null, null, null, null, varInstitutionBranchID, 62000000000001::bigint,'6-2008', 'Light &amp; Power Equipment', 62000000000001::bigint, '2016-01-01 00:00:00'::timestamp, null::timestamp, 65000000000388::bigint, 66000000000001::bigint, FALSE::boolean);</v>
      </c>
    </row>
    <row r="414" spans="2:54" x14ac:dyDescent="0.2">
      <c r="B414" s="41"/>
      <c r="C414" s="42"/>
      <c r="D414" s="43"/>
      <c r="E414" s="42"/>
      <c r="F414" s="43"/>
      <c r="G414" s="42"/>
      <c r="H414" s="51"/>
      <c r="I414" s="18"/>
      <c r="J414" s="51" t="s">
        <v>1597</v>
      </c>
      <c r="K414" s="18" t="s">
        <v>1381</v>
      </c>
      <c r="L414" s="51"/>
      <c r="M414" s="18"/>
      <c r="O414" s="58" t="str">
        <f t="shared" si="204"/>
        <v>6-0000</v>
      </c>
      <c r="P414" s="58" t="str">
        <f t="shared" si="205"/>
        <v>6-2000</v>
      </c>
      <c r="Q414" s="58" t="str">
        <f t="shared" si="206"/>
        <v>2-1200</v>
      </c>
      <c r="R414" s="58" t="str">
        <f t="shared" si="207"/>
        <v>6-2008</v>
      </c>
      <c r="S414" s="58" t="str">
        <f t="shared" si="208"/>
        <v>6-2008.01</v>
      </c>
      <c r="T414" s="58" t="str">
        <f t="shared" si="209"/>
        <v xml:space="preserve"> </v>
      </c>
      <c r="V414" s="72">
        <f t="shared" si="210"/>
        <v>65000000000404</v>
      </c>
      <c r="W414" s="60">
        <f t="shared" si="211"/>
        <v>65000000000350</v>
      </c>
      <c r="X414" s="60">
        <f t="shared" si="212"/>
        <v>65000000000388</v>
      </c>
      <c r="Y414" s="60">
        <f t="shared" si="213"/>
        <v>65000000000147</v>
      </c>
      <c r="Z414" s="60">
        <f t="shared" si="214"/>
        <v>65000000000403</v>
      </c>
      <c r="AA414" s="60">
        <f t="shared" si="197"/>
        <v>65000000000404</v>
      </c>
      <c r="AB414" s="60">
        <f t="shared" si="215"/>
        <v>65000000000000</v>
      </c>
      <c r="AD414" s="60">
        <f t="shared" si="218"/>
        <v>6</v>
      </c>
      <c r="AE414" s="60">
        <f t="shared" si="219"/>
        <v>3</v>
      </c>
      <c r="AF414" s="60">
        <f t="shared" si="220"/>
        <v>1</v>
      </c>
      <c r="AG414" s="60">
        <f t="shared" si="221"/>
        <v>116</v>
      </c>
      <c r="AH414" s="60">
        <f t="shared" si="222"/>
        <v>2</v>
      </c>
      <c r="AI414" s="60">
        <f t="shared" si="223"/>
        <v>1</v>
      </c>
      <c r="AK414" s="68" t="str">
        <f t="shared" si="198"/>
        <v>L5</v>
      </c>
      <c r="AM414" s="64" t="s">
        <v>1755</v>
      </c>
      <c r="AN414" s="64">
        <f t="shared" si="199"/>
        <v>65000000000350</v>
      </c>
      <c r="AO414" s="64">
        <f t="shared" si="200"/>
        <v>65000000000388</v>
      </c>
      <c r="AP414" s="64">
        <f t="shared" si="201"/>
        <v>65000000000388</v>
      </c>
      <c r="AQ414" s="64">
        <f t="shared" si="202"/>
        <v>65000000000403</v>
      </c>
      <c r="AS414" s="64">
        <f t="shared" si="203"/>
        <v>65000000000403</v>
      </c>
      <c r="AU414" s="59" t="str">
        <f t="shared" si="224"/>
        <v>PERFORM * FROM "SchData-OLTP-Accounting"."Func_TblChartOfAccount_SET"(varSystemLoginSession, null, null, null, varInstitutionBranchID, 62000000000001::bigint,'6-2008.01', 'Light &amp; Power Equipment (IDR)', 62000000000001::bigint, '2016-01-01 00:00:00'::timestamp, null::timestamp, 65000000000403::bigint, 66000000000001::bigint);</v>
      </c>
      <c r="AV414" s="65">
        <f t="shared" si="225"/>
        <v>65000000000404</v>
      </c>
      <c r="AW414" s="65">
        <f t="shared" si="226"/>
        <v>65000000000403</v>
      </c>
      <c r="AY414" s="65">
        <f t="shared" si="216"/>
        <v>65000000000403</v>
      </c>
      <c r="BA414" s="78">
        <f t="shared" si="227"/>
        <v>65000000000404</v>
      </c>
      <c r="BB414" s="81" t="str">
        <f t="shared" si="217"/>
        <v>PERFORM * FROM "SchData-OLTP-Accounting"."Func_TblChartOfAccount_SET"(varSystemLoginSession, null, null, null, null, null, varInstitutionBranchID, 62000000000001::bigint,'6-2008.01', 'Light &amp; Power Equipment (IDR)', 62000000000001::bigint, '2016-01-01 00:00:00'::timestamp, null::timestamp, 65000000000403::bigint, 66000000000001::bigint, FALSE::boolean);</v>
      </c>
    </row>
    <row r="415" spans="2:54" x14ac:dyDescent="0.2">
      <c r="B415" s="41"/>
      <c r="C415" s="42"/>
      <c r="D415" s="43"/>
      <c r="E415" s="42"/>
      <c r="F415" s="43"/>
      <c r="G415" s="42"/>
      <c r="H415" s="51" t="s">
        <v>1598</v>
      </c>
      <c r="I415" s="18" t="s">
        <v>416</v>
      </c>
      <c r="J415" s="51"/>
      <c r="K415" s="18"/>
      <c r="L415" s="51"/>
      <c r="M415" s="18"/>
      <c r="O415" s="58" t="str">
        <f t="shared" si="204"/>
        <v>6-0000</v>
      </c>
      <c r="P415" s="58" t="str">
        <f t="shared" si="205"/>
        <v>6-2000</v>
      </c>
      <c r="Q415" s="58" t="str">
        <f t="shared" si="206"/>
        <v>2-1200</v>
      </c>
      <c r="R415" s="58" t="str">
        <f t="shared" si="207"/>
        <v>6-2009</v>
      </c>
      <c r="S415" s="58" t="str">
        <f t="shared" si="208"/>
        <v>6-2008.01</v>
      </c>
      <c r="T415" s="58" t="str">
        <f t="shared" si="209"/>
        <v xml:space="preserve"> </v>
      </c>
      <c r="V415" s="72">
        <f t="shared" si="210"/>
        <v>65000000000405</v>
      </c>
      <c r="W415" s="60">
        <f t="shared" si="211"/>
        <v>65000000000350</v>
      </c>
      <c r="X415" s="60">
        <f t="shared" si="212"/>
        <v>65000000000388</v>
      </c>
      <c r="Y415" s="60">
        <f t="shared" si="213"/>
        <v>65000000000147</v>
      </c>
      <c r="Z415" s="60">
        <f t="shared" si="214"/>
        <v>65000000000405</v>
      </c>
      <c r="AA415" s="60">
        <f t="shared" si="197"/>
        <v>65000000000404</v>
      </c>
      <c r="AB415" s="60">
        <f t="shared" si="215"/>
        <v>65000000000000</v>
      </c>
      <c r="AD415" s="60">
        <f t="shared" si="218"/>
        <v>6</v>
      </c>
      <c r="AE415" s="60">
        <f t="shared" si="219"/>
        <v>3</v>
      </c>
      <c r="AF415" s="60">
        <f t="shared" si="220"/>
        <v>1</v>
      </c>
      <c r="AG415" s="60">
        <f t="shared" si="221"/>
        <v>117</v>
      </c>
      <c r="AH415" s="60">
        <f t="shared" si="222"/>
        <v>1</v>
      </c>
      <c r="AI415" s="60">
        <f t="shared" si="223"/>
        <v>1</v>
      </c>
      <c r="AK415" s="68" t="str">
        <f t="shared" si="198"/>
        <v>L4</v>
      </c>
      <c r="AM415" s="64" t="s">
        <v>1755</v>
      </c>
      <c r="AN415" s="64">
        <f t="shared" si="199"/>
        <v>65000000000350</v>
      </c>
      <c r="AO415" s="64">
        <f t="shared" si="200"/>
        <v>65000000000388</v>
      </c>
      <c r="AP415" s="64">
        <f t="shared" si="201"/>
        <v>65000000000388</v>
      </c>
      <c r="AQ415" s="64">
        <f t="shared" si="202"/>
        <v>65000000000403</v>
      </c>
      <c r="AS415" s="64">
        <f t="shared" si="203"/>
        <v>65000000000388</v>
      </c>
      <c r="AU415" s="59" t="str">
        <f t="shared" si="224"/>
        <v>PERFORM * FROM "SchData-OLTP-Accounting"."Func_TblChartOfAccount_SET"(varSystemLoginSession, null, null, null, varInstitutionBranchID, 62000000000001::bigint,'6-2009', 'Utilities', 62000000000001::bigint, '2016-01-01 00:00:00'::timestamp, null::timestamp, 65000000000388::bigint, 66000000000001::bigint);</v>
      </c>
      <c r="AV415" s="65">
        <f t="shared" si="225"/>
        <v>65000000000405</v>
      </c>
      <c r="AW415" s="65">
        <f t="shared" si="226"/>
        <v>65000000000388</v>
      </c>
      <c r="AY415" s="65">
        <f t="shared" si="216"/>
        <v>65000000000147</v>
      </c>
      <c r="BA415" s="78">
        <f t="shared" si="227"/>
        <v>65000000000405</v>
      </c>
      <c r="BB415" s="81" t="str">
        <f t="shared" si="217"/>
        <v>PERFORM * FROM "SchData-OLTP-Accounting"."Func_TblChartOfAccount_SET"(varSystemLoginSession, null, null, null, null, null, varInstitutionBranchID, 62000000000001::bigint,'6-2009', 'Utilities', 62000000000001::bigint, '2016-01-01 00:00:00'::timestamp, null::timestamp, 65000000000388::bigint, 66000000000001::bigint, FALSE::boolean);</v>
      </c>
    </row>
    <row r="416" spans="2:54" x14ac:dyDescent="0.2">
      <c r="B416" s="41"/>
      <c r="C416" s="42"/>
      <c r="D416" s="43"/>
      <c r="E416" s="42"/>
      <c r="F416" s="43"/>
      <c r="G416" s="42"/>
      <c r="H416" s="51"/>
      <c r="I416" s="18"/>
      <c r="J416" s="51" t="s">
        <v>1599</v>
      </c>
      <c r="K416" s="18" t="s">
        <v>1312</v>
      </c>
      <c r="L416" s="51"/>
      <c r="M416" s="18"/>
      <c r="O416" s="58" t="str">
        <f t="shared" si="204"/>
        <v>6-0000</v>
      </c>
      <c r="P416" s="58" t="str">
        <f t="shared" si="205"/>
        <v>6-2000</v>
      </c>
      <c r="Q416" s="58" t="str">
        <f t="shared" si="206"/>
        <v>2-1200</v>
      </c>
      <c r="R416" s="58" t="str">
        <f t="shared" si="207"/>
        <v>6-2009</v>
      </c>
      <c r="S416" s="58" t="str">
        <f t="shared" si="208"/>
        <v>6-2009.01</v>
      </c>
      <c r="T416" s="58" t="str">
        <f t="shared" si="209"/>
        <v xml:space="preserve"> </v>
      </c>
      <c r="V416" s="72">
        <f t="shared" si="210"/>
        <v>65000000000406</v>
      </c>
      <c r="W416" s="60">
        <f t="shared" si="211"/>
        <v>65000000000350</v>
      </c>
      <c r="X416" s="60">
        <f t="shared" si="212"/>
        <v>65000000000388</v>
      </c>
      <c r="Y416" s="60">
        <f t="shared" si="213"/>
        <v>65000000000147</v>
      </c>
      <c r="Z416" s="60">
        <f t="shared" si="214"/>
        <v>65000000000405</v>
      </c>
      <c r="AA416" s="60">
        <f t="shared" si="197"/>
        <v>65000000000406</v>
      </c>
      <c r="AB416" s="60">
        <f t="shared" si="215"/>
        <v>65000000000000</v>
      </c>
      <c r="AD416" s="60">
        <f t="shared" si="218"/>
        <v>6</v>
      </c>
      <c r="AE416" s="60">
        <f t="shared" si="219"/>
        <v>3</v>
      </c>
      <c r="AF416" s="60">
        <f t="shared" si="220"/>
        <v>1</v>
      </c>
      <c r="AG416" s="60">
        <f t="shared" si="221"/>
        <v>117</v>
      </c>
      <c r="AH416" s="60">
        <f t="shared" si="222"/>
        <v>2</v>
      </c>
      <c r="AI416" s="60">
        <f t="shared" si="223"/>
        <v>1</v>
      </c>
      <c r="AK416" s="68" t="str">
        <f t="shared" si="198"/>
        <v>L5</v>
      </c>
      <c r="AM416" s="64" t="s">
        <v>1755</v>
      </c>
      <c r="AN416" s="64">
        <f t="shared" si="199"/>
        <v>65000000000350</v>
      </c>
      <c r="AO416" s="64">
        <f t="shared" si="200"/>
        <v>65000000000388</v>
      </c>
      <c r="AP416" s="64">
        <f t="shared" si="201"/>
        <v>65000000000388</v>
      </c>
      <c r="AQ416" s="64">
        <f t="shared" si="202"/>
        <v>65000000000405</v>
      </c>
      <c r="AS416" s="64">
        <f t="shared" si="203"/>
        <v>65000000000405</v>
      </c>
      <c r="AU416" s="59" t="str">
        <f t="shared" si="224"/>
        <v>PERFORM * FROM "SchData-OLTP-Accounting"."Func_TblChartOfAccount_SET"(varSystemLoginSession, null, null, null, varInstitutionBranchID, 62000000000001::bigint,'6-2009.01', 'Utilities (IDR)', 62000000000001::bigint, '2016-01-01 00:00:00'::timestamp, null::timestamp, 65000000000405::bigint, 66000000000001::bigint);</v>
      </c>
      <c r="AV416" s="65">
        <f t="shared" si="225"/>
        <v>65000000000406</v>
      </c>
      <c r="AW416" s="65">
        <f t="shared" si="226"/>
        <v>65000000000405</v>
      </c>
      <c r="AY416" s="65">
        <f t="shared" si="216"/>
        <v>65000000000405</v>
      </c>
      <c r="BA416" s="78">
        <f t="shared" si="227"/>
        <v>65000000000406</v>
      </c>
      <c r="BB416" s="81" t="str">
        <f t="shared" si="217"/>
        <v>PERFORM * FROM "SchData-OLTP-Accounting"."Func_TblChartOfAccount_SET"(varSystemLoginSession, null, null, null, null, null, varInstitutionBranchID, 62000000000001::bigint,'6-2009.01', 'Utilities (IDR)', 62000000000001::bigint, '2016-01-01 00:00:00'::timestamp, null::timestamp, 65000000000405::bigint, 66000000000001::bigint, FALSE::boolean);</v>
      </c>
    </row>
    <row r="417" spans="2:54" x14ac:dyDescent="0.2">
      <c r="B417" s="41"/>
      <c r="C417" s="42"/>
      <c r="D417" s="43"/>
      <c r="E417" s="42"/>
      <c r="F417" s="43"/>
      <c r="G417" s="42"/>
      <c r="H417" s="51" t="s">
        <v>1600</v>
      </c>
      <c r="I417" s="18" t="s">
        <v>559</v>
      </c>
      <c r="J417" s="51"/>
      <c r="K417" s="18"/>
      <c r="L417" s="51"/>
      <c r="M417" s="18"/>
      <c r="O417" s="58" t="str">
        <f t="shared" si="204"/>
        <v>6-0000</v>
      </c>
      <c r="P417" s="58" t="str">
        <f t="shared" si="205"/>
        <v>6-2000</v>
      </c>
      <c r="Q417" s="58" t="str">
        <f t="shared" si="206"/>
        <v>2-1200</v>
      </c>
      <c r="R417" s="58" t="str">
        <f t="shared" si="207"/>
        <v>6-2010</v>
      </c>
      <c r="S417" s="58" t="str">
        <f t="shared" si="208"/>
        <v>6-2009.01</v>
      </c>
      <c r="T417" s="58" t="str">
        <f t="shared" si="209"/>
        <v xml:space="preserve"> </v>
      </c>
      <c r="V417" s="72">
        <f t="shared" si="210"/>
        <v>65000000000407</v>
      </c>
      <c r="W417" s="60">
        <f t="shared" si="211"/>
        <v>65000000000350</v>
      </c>
      <c r="X417" s="60">
        <f t="shared" si="212"/>
        <v>65000000000388</v>
      </c>
      <c r="Y417" s="60">
        <f t="shared" si="213"/>
        <v>65000000000147</v>
      </c>
      <c r="Z417" s="60">
        <f t="shared" si="214"/>
        <v>65000000000407</v>
      </c>
      <c r="AA417" s="60">
        <f t="shared" si="197"/>
        <v>65000000000406</v>
      </c>
      <c r="AB417" s="60">
        <f t="shared" si="215"/>
        <v>65000000000000</v>
      </c>
      <c r="AD417" s="60">
        <f t="shared" si="218"/>
        <v>6</v>
      </c>
      <c r="AE417" s="60">
        <f t="shared" si="219"/>
        <v>3</v>
      </c>
      <c r="AF417" s="60">
        <f t="shared" si="220"/>
        <v>1</v>
      </c>
      <c r="AG417" s="60">
        <f t="shared" si="221"/>
        <v>118</v>
      </c>
      <c r="AH417" s="60">
        <f t="shared" si="222"/>
        <v>1</v>
      </c>
      <c r="AI417" s="60">
        <f t="shared" si="223"/>
        <v>1</v>
      </c>
      <c r="AK417" s="68" t="str">
        <f t="shared" si="198"/>
        <v>L4</v>
      </c>
      <c r="AM417" s="64" t="s">
        <v>1755</v>
      </c>
      <c r="AN417" s="64">
        <f t="shared" si="199"/>
        <v>65000000000350</v>
      </c>
      <c r="AO417" s="64">
        <f t="shared" si="200"/>
        <v>65000000000388</v>
      </c>
      <c r="AP417" s="64">
        <f t="shared" si="201"/>
        <v>65000000000388</v>
      </c>
      <c r="AQ417" s="64">
        <f t="shared" si="202"/>
        <v>65000000000405</v>
      </c>
      <c r="AS417" s="64">
        <f t="shared" si="203"/>
        <v>65000000000388</v>
      </c>
      <c r="AU417" s="59" t="str">
        <f t="shared" si="224"/>
        <v>PERFORM * FROM "SchData-OLTP-Accounting"."Func_TblChartOfAccount_SET"(varSystemLoginSession, null, null, null, varInstitutionBranchID, 62000000000001::bigint,'6-2010', 'Telephone, Telex, Fax', 62000000000001::bigint, '2016-01-01 00:00:00'::timestamp, null::timestamp, 65000000000388::bigint, 66000000000001::bigint);</v>
      </c>
      <c r="AV417" s="65">
        <f t="shared" si="225"/>
        <v>65000000000407</v>
      </c>
      <c r="AW417" s="65">
        <f t="shared" si="226"/>
        <v>65000000000388</v>
      </c>
      <c r="AY417" s="65">
        <f t="shared" si="216"/>
        <v>65000000000147</v>
      </c>
      <c r="BA417" s="78">
        <f t="shared" si="227"/>
        <v>65000000000407</v>
      </c>
      <c r="BB417" s="81" t="str">
        <f t="shared" si="217"/>
        <v>PERFORM * FROM "SchData-OLTP-Accounting"."Func_TblChartOfAccount_SET"(varSystemLoginSession, null, null, null, null, null, varInstitutionBranchID, 62000000000001::bigint,'6-2010', 'Telephone, Telex, Fax', 62000000000001::bigint, '2016-01-01 00:00:00'::timestamp, null::timestamp, 65000000000388::bigint, 66000000000001::bigint, FALSE::boolean);</v>
      </c>
    </row>
    <row r="418" spans="2:54" x14ac:dyDescent="0.2">
      <c r="B418" s="41"/>
      <c r="C418" s="42"/>
      <c r="D418" s="43"/>
      <c r="E418" s="42"/>
      <c r="F418" s="43"/>
      <c r="G418" s="42"/>
      <c r="H418" s="51"/>
      <c r="I418" s="18"/>
      <c r="J418" s="51" t="s">
        <v>1601</v>
      </c>
      <c r="K418" s="18" t="s">
        <v>1382</v>
      </c>
      <c r="L418" s="51"/>
      <c r="M418" s="18"/>
      <c r="O418" s="58" t="str">
        <f t="shared" si="204"/>
        <v>6-0000</v>
      </c>
      <c r="P418" s="58" t="str">
        <f t="shared" si="205"/>
        <v>6-2000</v>
      </c>
      <c r="Q418" s="58" t="str">
        <f t="shared" si="206"/>
        <v>2-1200</v>
      </c>
      <c r="R418" s="58" t="str">
        <f t="shared" si="207"/>
        <v>6-2010</v>
      </c>
      <c r="S418" s="58" t="str">
        <f t="shared" si="208"/>
        <v>6-2010.01</v>
      </c>
      <c r="T418" s="58" t="str">
        <f t="shared" si="209"/>
        <v xml:space="preserve"> </v>
      </c>
      <c r="V418" s="72">
        <f t="shared" si="210"/>
        <v>65000000000408</v>
      </c>
      <c r="W418" s="60">
        <f t="shared" si="211"/>
        <v>65000000000350</v>
      </c>
      <c r="X418" s="60">
        <f t="shared" si="212"/>
        <v>65000000000388</v>
      </c>
      <c r="Y418" s="60">
        <f t="shared" si="213"/>
        <v>65000000000147</v>
      </c>
      <c r="Z418" s="60">
        <f t="shared" si="214"/>
        <v>65000000000407</v>
      </c>
      <c r="AA418" s="60">
        <f t="shared" si="197"/>
        <v>65000000000408</v>
      </c>
      <c r="AB418" s="60">
        <f t="shared" si="215"/>
        <v>65000000000000</v>
      </c>
      <c r="AD418" s="60">
        <f t="shared" si="218"/>
        <v>6</v>
      </c>
      <c r="AE418" s="60">
        <f t="shared" si="219"/>
        <v>3</v>
      </c>
      <c r="AF418" s="60">
        <f t="shared" si="220"/>
        <v>1</v>
      </c>
      <c r="AG418" s="60">
        <f t="shared" si="221"/>
        <v>118</v>
      </c>
      <c r="AH418" s="60">
        <f t="shared" si="222"/>
        <v>2</v>
      </c>
      <c r="AI418" s="60">
        <f t="shared" si="223"/>
        <v>1</v>
      </c>
      <c r="AK418" s="68" t="str">
        <f t="shared" si="198"/>
        <v>L5</v>
      </c>
      <c r="AM418" s="64" t="s">
        <v>1755</v>
      </c>
      <c r="AN418" s="64">
        <f t="shared" si="199"/>
        <v>65000000000350</v>
      </c>
      <c r="AO418" s="64">
        <f t="shared" si="200"/>
        <v>65000000000388</v>
      </c>
      <c r="AP418" s="64">
        <f t="shared" si="201"/>
        <v>65000000000388</v>
      </c>
      <c r="AQ418" s="64">
        <f t="shared" si="202"/>
        <v>65000000000407</v>
      </c>
      <c r="AS418" s="64">
        <f t="shared" si="203"/>
        <v>65000000000407</v>
      </c>
      <c r="AU418" s="59" t="str">
        <f t="shared" si="224"/>
        <v>PERFORM * FROM "SchData-OLTP-Accounting"."Func_TblChartOfAccount_SET"(varSystemLoginSession, null, null, null, varInstitutionBranchID, 62000000000001::bigint,'6-2010.01', 'Telephone, Telex, Fax (IDR)', 62000000000001::bigint, '2016-01-01 00:00:00'::timestamp, null::timestamp, 65000000000407::bigint, 66000000000001::bigint);</v>
      </c>
      <c r="AV418" s="65">
        <f t="shared" si="225"/>
        <v>65000000000408</v>
      </c>
      <c r="AW418" s="65">
        <f t="shared" si="226"/>
        <v>65000000000407</v>
      </c>
      <c r="AY418" s="65">
        <f t="shared" si="216"/>
        <v>65000000000407</v>
      </c>
      <c r="BA418" s="78">
        <f t="shared" si="227"/>
        <v>65000000000408</v>
      </c>
      <c r="BB418" s="81" t="str">
        <f t="shared" si="217"/>
        <v>PERFORM * FROM "SchData-OLTP-Accounting"."Func_TblChartOfAccount_SET"(varSystemLoginSession, null, null, null, null, null, varInstitutionBranchID, 62000000000001::bigint,'6-2010.01', 'Telephone, Telex, Fax (IDR)', 62000000000001::bigint, '2016-01-01 00:00:00'::timestamp, null::timestamp, 65000000000407::bigint, 66000000000001::bigint, FALSE::boolean);</v>
      </c>
    </row>
    <row r="419" spans="2:54" x14ac:dyDescent="0.2">
      <c r="B419" s="41"/>
      <c r="C419" s="42"/>
      <c r="D419" s="43"/>
      <c r="E419" s="42"/>
      <c r="F419" s="43"/>
      <c r="G419" s="42"/>
      <c r="H419" s="51" t="s">
        <v>1602</v>
      </c>
      <c r="I419" s="18" t="s">
        <v>561</v>
      </c>
      <c r="J419" s="51"/>
      <c r="K419" s="18"/>
      <c r="L419" s="51"/>
      <c r="M419" s="18"/>
      <c r="O419" s="58" t="str">
        <f t="shared" si="204"/>
        <v>6-0000</v>
      </c>
      <c r="P419" s="58" t="str">
        <f t="shared" si="205"/>
        <v>6-2000</v>
      </c>
      <c r="Q419" s="58" t="str">
        <f t="shared" si="206"/>
        <v>2-1200</v>
      </c>
      <c r="R419" s="58" t="str">
        <f t="shared" si="207"/>
        <v>6-2011</v>
      </c>
      <c r="S419" s="58" t="str">
        <f t="shared" si="208"/>
        <v>6-2010.01</v>
      </c>
      <c r="T419" s="58" t="str">
        <f t="shared" si="209"/>
        <v xml:space="preserve"> </v>
      </c>
      <c r="V419" s="72">
        <f t="shared" si="210"/>
        <v>65000000000409</v>
      </c>
      <c r="W419" s="60">
        <f t="shared" si="211"/>
        <v>65000000000350</v>
      </c>
      <c r="X419" s="60">
        <f t="shared" si="212"/>
        <v>65000000000388</v>
      </c>
      <c r="Y419" s="60">
        <f t="shared" si="213"/>
        <v>65000000000147</v>
      </c>
      <c r="Z419" s="60">
        <f t="shared" si="214"/>
        <v>65000000000409</v>
      </c>
      <c r="AA419" s="60">
        <f t="shared" si="197"/>
        <v>65000000000408</v>
      </c>
      <c r="AB419" s="60">
        <f t="shared" si="215"/>
        <v>65000000000000</v>
      </c>
      <c r="AD419" s="60">
        <f t="shared" si="218"/>
        <v>6</v>
      </c>
      <c r="AE419" s="60">
        <f t="shared" si="219"/>
        <v>3</v>
      </c>
      <c r="AF419" s="60">
        <f t="shared" si="220"/>
        <v>1</v>
      </c>
      <c r="AG419" s="60">
        <f t="shared" si="221"/>
        <v>119</v>
      </c>
      <c r="AH419" s="60">
        <f t="shared" si="222"/>
        <v>1</v>
      </c>
      <c r="AI419" s="60">
        <f t="shared" si="223"/>
        <v>1</v>
      </c>
      <c r="AK419" s="68" t="str">
        <f t="shared" si="198"/>
        <v>L4</v>
      </c>
      <c r="AM419" s="64" t="s">
        <v>1755</v>
      </c>
      <c r="AN419" s="64">
        <f t="shared" si="199"/>
        <v>65000000000350</v>
      </c>
      <c r="AO419" s="64">
        <f t="shared" si="200"/>
        <v>65000000000388</v>
      </c>
      <c r="AP419" s="64">
        <f t="shared" si="201"/>
        <v>65000000000388</v>
      </c>
      <c r="AQ419" s="64">
        <f t="shared" si="202"/>
        <v>65000000000407</v>
      </c>
      <c r="AS419" s="64">
        <f t="shared" si="203"/>
        <v>65000000000388</v>
      </c>
      <c r="AU419" s="59" t="str">
        <f t="shared" si="224"/>
        <v>PERFORM * FROM "SchData-OLTP-Accounting"."Func_TblChartOfAccount_SET"(varSystemLoginSession, null, null, null, varInstitutionBranchID, 62000000000001::bigint,'6-2011', 'Telephone - Sales', 62000000000001::bigint, '2016-01-01 00:00:00'::timestamp, null::timestamp, 65000000000388::bigint, 66000000000001::bigint);</v>
      </c>
      <c r="AV419" s="65">
        <f t="shared" si="225"/>
        <v>65000000000409</v>
      </c>
      <c r="AW419" s="65">
        <f t="shared" si="226"/>
        <v>65000000000388</v>
      </c>
      <c r="AY419" s="65">
        <f t="shared" si="216"/>
        <v>65000000000147</v>
      </c>
      <c r="BA419" s="78">
        <f t="shared" si="227"/>
        <v>65000000000409</v>
      </c>
      <c r="BB419" s="81" t="str">
        <f t="shared" si="217"/>
        <v>PERFORM * FROM "SchData-OLTP-Accounting"."Func_TblChartOfAccount_SET"(varSystemLoginSession, null, null, null, null, null, varInstitutionBranchID, 62000000000001::bigint,'6-2011', 'Telephone - Sales', 62000000000001::bigint, '2016-01-01 00:00:00'::timestamp, null::timestamp, 65000000000388::bigint, 66000000000001::bigint, FALSE::boolean);</v>
      </c>
    </row>
    <row r="420" spans="2:54" x14ac:dyDescent="0.2">
      <c r="B420" s="41"/>
      <c r="C420" s="42"/>
      <c r="D420" s="43"/>
      <c r="E420" s="42"/>
      <c r="F420" s="43"/>
      <c r="G420" s="42"/>
      <c r="H420" s="51"/>
      <c r="I420" s="18"/>
      <c r="J420" s="51" t="s">
        <v>1603</v>
      </c>
      <c r="K420" s="18" t="s">
        <v>1383</v>
      </c>
      <c r="L420" s="51"/>
      <c r="M420" s="18"/>
      <c r="O420" s="58" t="str">
        <f t="shared" si="204"/>
        <v>6-0000</v>
      </c>
      <c r="P420" s="58" t="str">
        <f t="shared" si="205"/>
        <v>6-2000</v>
      </c>
      <c r="Q420" s="58" t="str">
        <f t="shared" si="206"/>
        <v>2-1200</v>
      </c>
      <c r="R420" s="58" t="str">
        <f t="shared" si="207"/>
        <v>6-2011</v>
      </c>
      <c r="S420" s="58" t="str">
        <f t="shared" si="208"/>
        <v>6-2011.01</v>
      </c>
      <c r="T420" s="58" t="str">
        <f t="shared" si="209"/>
        <v xml:space="preserve"> </v>
      </c>
      <c r="V420" s="72">
        <f t="shared" si="210"/>
        <v>65000000000410</v>
      </c>
      <c r="W420" s="60">
        <f t="shared" si="211"/>
        <v>65000000000350</v>
      </c>
      <c r="X420" s="60">
        <f t="shared" si="212"/>
        <v>65000000000388</v>
      </c>
      <c r="Y420" s="60">
        <f t="shared" si="213"/>
        <v>65000000000147</v>
      </c>
      <c r="Z420" s="60">
        <f t="shared" si="214"/>
        <v>65000000000409</v>
      </c>
      <c r="AA420" s="60">
        <f t="shared" si="197"/>
        <v>65000000000410</v>
      </c>
      <c r="AB420" s="60">
        <f t="shared" si="215"/>
        <v>65000000000000</v>
      </c>
      <c r="AD420" s="60">
        <f t="shared" si="218"/>
        <v>6</v>
      </c>
      <c r="AE420" s="60">
        <f t="shared" si="219"/>
        <v>3</v>
      </c>
      <c r="AF420" s="60">
        <f t="shared" si="220"/>
        <v>1</v>
      </c>
      <c r="AG420" s="60">
        <f t="shared" si="221"/>
        <v>119</v>
      </c>
      <c r="AH420" s="60">
        <f t="shared" si="222"/>
        <v>2</v>
      </c>
      <c r="AI420" s="60">
        <f t="shared" si="223"/>
        <v>1</v>
      </c>
      <c r="AK420" s="68" t="str">
        <f t="shared" si="198"/>
        <v>L5</v>
      </c>
      <c r="AM420" s="64" t="s">
        <v>1755</v>
      </c>
      <c r="AN420" s="64">
        <f t="shared" si="199"/>
        <v>65000000000350</v>
      </c>
      <c r="AO420" s="64">
        <f t="shared" si="200"/>
        <v>65000000000388</v>
      </c>
      <c r="AP420" s="64">
        <f t="shared" si="201"/>
        <v>65000000000388</v>
      </c>
      <c r="AQ420" s="64">
        <f t="shared" si="202"/>
        <v>65000000000409</v>
      </c>
      <c r="AS420" s="64">
        <f t="shared" si="203"/>
        <v>65000000000409</v>
      </c>
      <c r="AU420" s="59" t="str">
        <f t="shared" si="224"/>
        <v>PERFORM * FROM "SchData-OLTP-Accounting"."Func_TblChartOfAccount_SET"(varSystemLoginSession, null, null, null, varInstitutionBranchID, 62000000000001::bigint,'6-2011.01', 'Telephone - Sales (IDR)', 62000000000001::bigint, '2016-01-01 00:00:00'::timestamp, null::timestamp, 65000000000409::bigint, 66000000000001::bigint);</v>
      </c>
      <c r="AV420" s="65">
        <f t="shared" si="225"/>
        <v>65000000000410</v>
      </c>
      <c r="AW420" s="65">
        <f t="shared" si="226"/>
        <v>65000000000409</v>
      </c>
      <c r="AY420" s="65">
        <f t="shared" si="216"/>
        <v>65000000000409</v>
      </c>
      <c r="BA420" s="78">
        <f t="shared" si="227"/>
        <v>65000000000410</v>
      </c>
      <c r="BB420" s="81" t="str">
        <f t="shared" si="217"/>
        <v>PERFORM * FROM "SchData-OLTP-Accounting"."Func_TblChartOfAccount_SET"(varSystemLoginSession, null, null, null, null, null, varInstitutionBranchID, 62000000000001::bigint,'6-2011.01', 'Telephone - Sales (IDR)', 62000000000001::bigint, '2016-01-01 00:00:00'::timestamp, null::timestamp, 65000000000409::bigint, 66000000000001::bigint, FALSE::boolean);</v>
      </c>
    </row>
    <row r="421" spans="2:54" x14ac:dyDescent="0.2">
      <c r="B421" s="41"/>
      <c r="C421" s="42"/>
      <c r="D421" s="43"/>
      <c r="E421" s="42"/>
      <c r="F421" s="43"/>
      <c r="G421" s="42"/>
      <c r="H421" s="51" t="s">
        <v>1604</v>
      </c>
      <c r="I421" s="18" t="s">
        <v>563</v>
      </c>
      <c r="J421" s="51"/>
      <c r="K421" s="18"/>
      <c r="L421" s="51"/>
      <c r="M421" s="18"/>
      <c r="O421" s="58" t="str">
        <f t="shared" si="204"/>
        <v>6-0000</v>
      </c>
      <c r="P421" s="58" t="str">
        <f t="shared" si="205"/>
        <v>6-2000</v>
      </c>
      <c r="Q421" s="58" t="str">
        <f t="shared" si="206"/>
        <v>2-1200</v>
      </c>
      <c r="R421" s="58" t="str">
        <f t="shared" si="207"/>
        <v>6-2012</v>
      </c>
      <c r="S421" s="58" t="str">
        <f t="shared" si="208"/>
        <v>6-2011.01</v>
      </c>
      <c r="T421" s="58" t="str">
        <f t="shared" si="209"/>
        <v xml:space="preserve"> </v>
      </c>
      <c r="V421" s="72">
        <f t="shared" si="210"/>
        <v>65000000000411</v>
      </c>
      <c r="W421" s="60">
        <f t="shared" si="211"/>
        <v>65000000000350</v>
      </c>
      <c r="X421" s="60">
        <f t="shared" si="212"/>
        <v>65000000000388</v>
      </c>
      <c r="Y421" s="60">
        <f t="shared" si="213"/>
        <v>65000000000147</v>
      </c>
      <c r="Z421" s="60">
        <f t="shared" si="214"/>
        <v>65000000000411</v>
      </c>
      <c r="AA421" s="60">
        <f t="shared" si="197"/>
        <v>65000000000410</v>
      </c>
      <c r="AB421" s="60">
        <f t="shared" si="215"/>
        <v>65000000000000</v>
      </c>
      <c r="AD421" s="60">
        <f t="shared" si="218"/>
        <v>6</v>
      </c>
      <c r="AE421" s="60">
        <f t="shared" si="219"/>
        <v>3</v>
      </c>
      <c r="AF421" s="60">
        <f t="shared" si="220"/>
        <v>1</v>
      </c>
      <c r="AG421" s="60">
        <f t="shared" si="221"/>
        <v>120</v>
      </c>
      <c r="AH421" s="60">
        <f t="shared" si="222"/>
        <v>1</v>
      </c>
      <c r="AI421" s="60">
        <f t="shared" si="223"/>
        <v>1</v>
      </c>
      <c r="AK421" s="68" t="str">
        <f t="shared" si="198"/>
        <v>L4</v>
      </c>
      <c r="AM421" s="64" t="s">
        <v>1755</v>
      </c>
      <c r="AN421" s="64">
        <f t="shared" si="199"/>
        <v>65000000000350</v>
      </c>
      <c r="AO421" s="64">
        <f t="shared" si="200"/>
        <v>65000000000388</v>
      </c>
      <c r="AP421" s="64">
        <f t="shared" si="201"/>
        <v>65000000000388</v>
      </c>
      <c r="AQ421" s="64">
        <f t="shared" si="202"/>
        <v>65000000000409</v>
      </c>
      <c r="AS421" s="64">
        <f t="shared" si="203"/>
        <v>65000000000388</v>
      </c>
      <c r="AU421" s="59" t="str">
        <f t="shared" si="224"/>
        <v>PERFORM * FROM "SchData-OLTP-Accounting"."Func_TblChartOfAccount_SET"(varSystemLoginSession, null, null, null, varInstitutionBranchID, 62000000000001::bigint,'6-2012', 'Mobile Phones &lt; $500', 62000000000001::bigint, '2016-01-01 00:00:00'::timestamp, null::timestamp, 65000000000388::bigint, 66000000000001::bigint);</v>
      </c>
      <c r="AV421" s="65">
        <f t="shared" si="225"/>
        <v>65000000000411</v>
      </c>
      <c r="AW421" s="65">
        <f t="shared" si="226"/>
        <v>65000000000388</v>
      </c>
      <c r="AY421" s="65">
        <f t="shared" si="216"/>
        <v>65000000000147</v>
      </c>
      <c r="BA421" s="78">
        <f t="shared" si="227"/>
        <v>65000000000411</v>
      </c>
      <c r="BB421" s="81" t="str">
        <f t="shared" si="217"/>
        <v>PERFORM * FROM "SchData-OLTP-Accounting"."Func_TblChartOfAccount_SET"(varSystemLoginSession, null, null, null, null, null, varInstitutionBranchID, 62000000000001::bigint,'6-2012', 'Mobile Phones &lt; $500', 62000000000001::bigint, '2016-01-01 00:00:00'::timestamp, null::timestamp, 65000000000388::bigint, 66000000000001::bigint, FALSE::boolean);</v>
      </c>
    </row>
    <row r="422" spans="2:54" x14ac:dyDescent="0.2">
      <c r="B422" s="41"/>
      <c r="C422" s="42"/>
      <c r="D422" s="43"/>
      <c r="E422" s="42"/>
      <c r="F422" s="43"/>
      <c r="G422" s="42"/>
      <c r="H422" s="51"/>
      <c r="I422" s="18"/>
      <c r="J422" s="51" t="s">
        <v>1605</v>
      </c>
      <c r="K422" s="18" t="s">
        <v>1384</v>
      </c>
      <c r="L422" s="51"/>
      <c r="M422" s="18"/>
      <c r="O422" s="58" t="str">
        <f t="shared" si="204"/>
        <v>6-0000</v>
      </c>
      <c r="P422" s="58" t="str">
        <f t="shared" si="205"/>
        <v>6-2000</v>
      </c>
      <c r="Q422" s="58" t="str">
        <f t="shared" si="206"/>
        <v>2-1200</v>
      </c>
      <c r="R422" s="58" t="str">
        <f t="shared" si="207"/>
        <v>6-2012</v>
      </c>
      <c r="S422" s="58" t="str">
        <f t="shared" si="208"/>
        <v>6-2012.01</v>
      </c>
      <c r="T422" s="58" t="str">
        <f t="shared" si="209"/>
        <v xml:space="preserve"> </v>
      </c>
      <c r="V422" s="72">
        <f t="shared" si="210"/>
        <v>65000000000412</v>
      </c>
      <c r="W422" s="60">
        <f t="shared" si="211"/>
        <v>65000000000350</v>
      </c>
      <c r="X422" s="60">
        <f t="shared" si="212"/>
        <v>65000000000388</v>
      </c>
      <c r="Y422" s="60">
        <f t="shared" si="213"/>
        <v>65000000000147</v>
      </c>
      <c r="Z422" s="60">
        <f t="shared" si="214"/>
        <v>65000000000411</v>
      </c>
      <c r="AA422" s="60">
        <f t="shared" si="197"/>
        <v>65000000000412</v>
      </c>
      <c r="AB422" s="60">
        <f t="shared" si="215"/>
        <v>65000000000000</v>
      </c>
      <c r="AD422" s="60">
        <f t="shared" si="218"/>
        <v>6</v>
      </c>
      <c r="AE422" s="60">
        <f t="shared" si="219"/>
        <v>3</v>
      </c>
      <c r="AF422" s="60">
        <f t="shared" si="220"/>
        <v>1</v>
      </c>
      <c r="AG422" s="60">
        <f t="shared" si="221"/>
        <v>120</v>
      </c>
      <c r="AH422" s="60">
        <f t="shared" si="222"/>
        <v>2</v>
      </c>
      <c r="AI422" s="60">
        <f t="shared" si="223"/>
        <v>1</v>
      </c>
      <c r="AK422" s="68" t="str">
        <f t="shared" si="198"/>
        <v>L5</v>
      </c>
      <c r="AM422" s="64" t="s">
        <v>1755</v>
      </c>
      <c r="AN422" s="64">
        <f t="shared" si="199"/>
        <v>65000000000350</v>
      </c>
      <c r="AO422" s="64">
        <f t="shared" si="200"/>
        <v>65000000000388</v>
      </c>
      <c r="AP422" s="64">
        <f t="shared" si="201"/>
        <v>65000000000388</v>
      </c>
      <c r="AQ422" s="64">
        <f t="shared" si="202"/>
        <v>65000000000411</v>
      </c>
      <c r="AS422" s="64">
        <f t="shared" si="203"/>
        <v>65000000000411</v>
      </c>
      <c r="AU422" s="59" t="str">
        <f t="shared" si="224"/>
        <v>PERFORM * FROM "SchData-OLTP-Accounting"."Func_TblChartOfAccount_SET"(varSystemLoginSession, null, null, null, varInstitutionBranchID, 62000000000001::bigint,'6-2012.01', 'Mobile Phones &lt; $500 (IDR)', 62000000000001::bigint, '2016-01-01 00:00:00'::timestamp, null::timestamp, 65000000000411::bigint, 66000000000001::bigint);</v>
      </c>
      <c r="AV422" s="65">
        <f t="shared" si="225"/>
        <v>65000000000412</v>
      </c>
      <c r="AW422" s="65">
        <f t="shared" si="226"/>
        <v>65000000000411</v>
      </c>
      <c r="AY422" s="65">
        <f t="shared" si="216"/>
        <v>65000000000411</v>
      </c>
      <c r="BA422" s="78">
        <f t="shared" si="227"/>
        <v>65000000000412</v>
      </c>
      <c r="BB422" s="81" t="str">
        <f t="shared" si="217"/>
        <v>PERFORM * FROM "SchData-OLTP-Accounting"."Func_TblChartOfAccount_SET"(varSystemLoginSession, null, null, null, null, null, varInstitutionBranchID, 62000000000001::bigint,'6-2012.01', 'Mobile Phones &lt; $500 (IDR)', 62000000000001::bigint, '2016-01-01 00:00:00'::timestamp, null::timestamp, 65000000000411::bigint, 66000000000001::bigint, FALSE::boolean);</v>
      </c>
    </row>
    <row r="423" spans="2:54" x14ac:dyDescent="0.2">
      <c r="B423" s="41"/>
      <c r="C423" s="42"/>
      <c r="D423" s="43"/>
      <c r="E423" s="42"/>
      <c r="F423" s="43"/>
      <c r="G423" s="42"/>
      <c r="H423" s="51" t="s">
        <v>1606</v>
      </c>
      <c r="I423" s="18" t="s">
        <v>433</v>
      </c>
      <c r="J423" s="51"/>
      <c r="K423" s="18"/>
      <c r="L423" s="51"/>
      <c r="M423" s="18"/>
      <c r="O423" s="58" t="str">
        <f t="shared" si="204"/>
        <v>6-0000</v>
      </c>
      <c r="P423" s="58" t="str">
        <f t="shared" si="205"/>
        <v>6-2000</v>
      </c>
      <c r="Q423" s="58" t="str">
        <f t="shared" si="206"/>
        <v>2-1200</v>
      </c>
      <c r="R423" s="58" t="str">
        <f t="shared" si="207"/>
        <v>6-2013</v>
      </c>
      <c r="S423" s="58" t="str">
        <f t="shared" si="208"/>
        <v>6-2012.01</v>
      </c>
      <c r="T423" s="58" t="str">
        <f t="shared" si="209"/>
        <v xml:space="preserve"> </v>
      </c>
      <c r="V423" s="72">
        <f t="shared" si="210"/>
        <v>65000000000413</v>
      </c>
      <c r="W423" s="60">
        <f t="shared" si="211"/>
        <v>65000000000350</v>
      </c>
      <c r="X423" s="60">
        <f t="shared" si="212"/>
        <v>65000000000388</v>
      </c>
      <c r="Y423" s="60">
        <f t="shared" si="213"/>
        <v>65000000000147</v>
      </c>
      <c r="Z423" s="60">
        <f t="shared" si="214"/>
        <v>65000000000413</v>
      </c>
      <c r="AA423" s="60">
        <f t="shared" si="197"/>
        <v>65000000000412</v>
      </c>
      <c r="AB423" s="60">
        <f t="shared" si="215"/>
        <v>65000000000000</v>
      </c>
      <c r="AD423" s="60">
        <f t="shared" si="218"/>
        <v>6</v>
      </c>
      <c r="AE423" s="60">
        <f t="shared" si="219"/>
        <v>3</v>
      </c>
      <c r="AF423" s="60">
        <f t="shared" si="220"/>
        <v>1</v>
      </c>
      <c r="AG423" s="60">
        <f t="shared" si="221"/>
        <v>121</v>
      </c>
      <c r="AH423" s="60">
        <f t="shared" si="222"/>
        <v>1</v>
      </c>
      <c r="AI423" s="60">
        <f t="shared" si="223"/>
        <v>1</v>
      </c>
      <c r="AK423" s="68" t="str">
        <f t="shared" si="198"/>
        <v>L4</v>
      </c>
      <c r="AM423" s="64" t="s">
        <v>1755</v>
      </c>
      <c r="AN423" s="64">
        <f t="shared" si="199"/>
        <v>65000000000350</v>
      </c>
      <c r="AO423" s="64">
        <f t="shared" si="200"/>
        <v>65000000000388</v>
      </c>
      <c r="AP423" s="64">
        <f t="shared" si="201"/>
        <v>65000000000388</v>
      </c>
      <c r="AQ423" s="64">
        <f t="shared" si="202"/>
        <v>65000000000411</v>
      </c>
      <c r="AS423" s="64">
        <f t="shared" si="203"/>
        <v>65000000000388</v>
      </c>
      <c r="AU423" s="59" t="str">
        <f t="shared" si="224"/>
        <v>PERFORM * FROM "SchData-OLTP-Accounting"."Func_TblChartOfAccount_SET"(varSystemLoginSession, null, null, null, varInstitutionBranchID, 62000000000001::bigint,'6-2013', 'IT Expenses', 62000000000001::bigint, '2016-01-01 00:00:00'::timestamp, null::timestamp, 65000000000388::bigint, 66000000000001::bigint);</v>
      </c>
      <c r="AV423" s="65">
        <f t="shared" si="225"/>
        <v>65000000000413</v>
      </c>
      <c r="AW423" s="65">
        <f t="shared" si="226"/>
        <v>65000000000388</v>
      </c>
      <c r="AY423" s="65">
        <f t="shared" si="216"/>
        <v>65000000000147</v>
      </c>
      <c r="BA423" s="78">
        <f t="shared" si="227"/>
        <v>65000000000413</v>
      </c>
      <c r="BB423" s="81" t="str">
        <f t="shared" si="217"/>
        <v>PERFORM * FROM "SchData-OLTP-Accounting"."Func_TblChartOfAccount_SET"(varSystemLoginSession, null, null, null, null, null, varInstitutionBranchID, 62000000000001::bigint,'6-2013', 'IT Expenses', 62000000000001::bigint, '2016-01-01 00:00:00'::timestamp, null::timestamp, 65000000000388::bigint, 66000000000001::bigint, FALSE::boolean);</v>
      </c>
    </row>
    <row r="424" spans="2:54" x14ac:dyDescent="0.2">
      <c r="B424" s="41"/>
      <c r="C424" s="42"/>
      <c r="D424" s="43"/>
      <c r="E424" s="42"/>
      <c r="F424" s="43"/>
      <c r="G424" s="42"/>
      <c r="H424" s="51"/>
      <c r="I424" s="18"/>
      <c r="J424" s="51" t="s">
        <v>1607</v>
      </c>
      <c r="K424" s="18" t="s">
        <v>1320</v>
      </c>
      <c r="L424" s="51"/>
      <c r="M424" s="18"/>
      <c r="O424" s="58" t="str">
        <f t="shared" si="204"/>
        <v>6-0000</v>
      </c>
      <c r="P424" s="58" t="str">
        <f t="shared" si="205"/>
        <v>6-2000</v>
      </c>
      <c r="Q424" s="58" t="str">
        <f t="shared" si="206"/>
        <v>2-1200</v>
      </c>
      <c r="R424" s="58" t="str">
        <f t="shared" si="207"/>
        <v>6-2013</v>
      </c>
      <c r="S424" s="58" t="str">
        <f t="shared" si="208"/>
        <v>6-2013.01</v>
      </c>
      <c r="T424" s="58" t="str">
        <f t="shared" si="209"/>
        <v xml:space="preserve"> </v>
      </c>
      <c r="V424" s="72">
        <f t="shared" si="210"/>
        <v>65000000000414</v>
      </c>
      <c r="W424" s="60">
        <f t="shared" si="211"/>
        <v>65000000000350</v>
      </c>
      <c r="X424" s="60">
        <f t="shared" si="212"/>
        <v>65000000000388</v>
      </c>
      <c r="Y424" s="60">
        <f t="shared" si="213"/>
        <v>65000000000147</v>
      </c>
      <c r="Z424" s="60">
        <f t="shared" si="214"/>
        <v>65000000000413</v>
      </c>
      <c r="AA424" s="60">
        <f t="shared" si="197"/>
        <v>65000000000414</v>
      </c>
      <c r="AB424" s="60">
        <f t="shared" si="215"/>
        <v>65000000000000</v>
      </c>
      <c r="AD424" s="60">
        <f t="shared" si="218"/>
        <v>6</v>
      </c>
      <c r="AE424" s="60">
        <f t="shared" si="219"/>
        <v>3</v>
      </c>
      <c r="AF424" s="60">
        <f t="shared" si="220"/>
        <v>1</v>
      </c>
      <c r="AG424" s="60">
        <f t="shared" si="221"/>
        <v>121</v>
      </c>
      <c r="AH424" s="60">
        <f t="shared" si="222"/>
        <v>2</v>
      </c>
      <c r="AI424" s="60">
        <f t="shared" si="223"/>
        <v>1</v>
      </c>
      <c r="AK424" s="68" t="str">
        <f t="shared" si="198"/>
        <v>L5</v>
      </c>
      <c r="AM424" s="64" t="s">
        <v>1755</v>
      </c>
      <c r="AN424" s="64">
        <f t="shared" si="199"/>
        <v>65000000000350</v>
      </c>
      <c r="AO424" s="64">
        <f t="shared" si="200"/>
        <v>65000000000388</v>
      </c>
      <c r="AP424" s="64">
        <f t="shared" si="201"/>
        <v>65000000000388</v>
      </c>
      <c r="AQ424" s="64">
        <f t="shared" si="202"/>
        <v>65000000000413</v>
      </c>
      <c r="AS424" s="64">
        <f t="shared" si="203"/>
        <v>65000000000413</v>
      </c>
      <c r="AU424" s="59" t="str">
        <f t="shared" si="224"/>
        <v>PERFORM * FROM "SchData-OLTP-Accounting"."Func_TblChartOfAccount_SET"(varSystemLoginSession, null, null, null, varInstitutionBranchID, 62000000000001::bigint,'6-2013.01', 'IT Expenses (IDR)', 62000000000001::bigint, '2016-01-01 00:00:00'::timestamp, null::timestamp, 65000000000413::bigint, 66000000000001::bigint);</v>
      </c>
      <c r="AV424" s="65">
        <f t="shared" si="225"/>
        <v>65000000000414</v>
      </c>
      <c r="AW424" s="65">
        <f t="shared" si="226"/>
        <v>65000000000413</v>
      </c>
      <c r="AY424" s="65">
        <f t="shared" si="216"/>
        <v>65000000000413</v>
      </c>
      <c r="BA424" s="78">
        <f t="shared" si="227"/>
        <v>65000000000414</v>
      </c>
      <c r="BB424" s="81" t="str">
        <f t="shared" si="217"/>
        <v>PERFORM * FROM "SchData-OLTP-Accounting"."Func_TblChartOfAccount_SET"(varSystemLoginSession, null, null, null, null, null, varInstitutionBranchID, 62000000000001::bigint,'6-2013.01', 'IT Expenses (IDR)', 62000000000001::bigint, '2016-01-01 00:00:00'::timestamp, null::timestamp, 65000000000413::bigint, 66000000000001::bigint, FALSE::boolean);</v>
      </c>
    </row>
    <row r="425" spans="2:54" x14ac:dyDescent="0.2">
      <c r="B425" s="41"/>
      <c r="C425" s="42"/>
      <c r="D425" s="43"/>
      <c r="E425" s="42"/>
      <c r="F425" s="43"/>
      <c r="G425" s="42"/>
      <c r="H425" s="51" t="s">
        <v>1608</v>
      </c>
      <c r="I425" s="18" t="s">
        <v>566</v>
      </c>
      <c r="J425" s="51"/>
      <c r="K425" s="18"/>
      <c r="L425" s="51"/>
      <c r="M425" s="18"/>
      <c r="O425" s="58" t="str">
        <f t="shared" si="204"/>
        <v>6-0000</v>
      </c>
      <c r="P425" s="58" t="str">
        <f t="shared" si="205"/>
        <v>6-2000</v>
      </c>
      <c r="Q425" s="58" t="str">
        <f t="shared" si="206"/>
        <v>2-1200</v>
      </c>
      <c r="R425" s="58" t="str">
        <f t="shared" si="207"/>
        <v>6-2014</v>
      </c>
      <c r="S425" s="58" t="str">
        <f t="shared" si="208"/>
        <v>6-2013.01</v>
      </c>
      <c r="T425" s="58" t="str">
        <f t="shared" si="209"/>
        <v xml:space="preserve"> </v>
      </c>
      <c r="V425" s="72">
        <f t="shared" si="210"/>
        <v>65000000000415</v>
      </c>
      <c r="W425" s="60">
        <f t="shared" si="211"/>
        <v>65000000000350</v>
      </c>
      <c r="X425" s="60">
        <f t="shared" si="212"/>
        <v>65000000000388</v>
      </c>
      <c r="Y425" s="60">
        <f t="shared" si="213"/>
        <v>65000000000147</v>
      </c>
      <c r="Z425" s="60">
        <f t="shared" si="214"/>
        <v>65000000000415</v>
      </c>
      <c r="AA425" s="60">
        <f t="shared" si="197"/>
        <v>65000000000414</v>
      </c>
      <c r="AB425" s="60">
        <f t="shared" si="215"/>
        <v>65000000000000</v>
      </c>
      <c r="AD425" s="60">
        <f t="shared" si="218"/>
        <v>6</v>
      </c>
      <c r="AE425" s="60">
        <f t="shared" si="219"/>
        <v>3</v>
      </c>
      <c r="AF425" s="60">
        <f t="shared" si="220"/>
        <v>1</v>
      </c>
      <c r="AG425" s="60">
        <f t="shared" si="221"/>
        <v>122</v>
      </c>
      <c r="AH425" s="60">
        <f t="shared" si="222"/>
        <v>1</v>
      </c>
      <c r="AI425" s="60">
        <f t="shared" si="223"/>
        <v>1</v>
      </c>
      <c r="AK425" s="68" t="str">
        <f t="shared" si="198"/>
        <v>L4</v>
      </c>
      <c r="AM425" s="64" t="s">
        <v>1755</v>
      </c>
      <c r="AN425" s="64">
        <f t="shared" si="199"/>
        <v>65000000000350</v>
      </c>
      <c r="AO425" s="64">
        <f t="shared" si="200"/>
        <v>65000000000388</v>
      </c>
      <c r="AP425" s="64">
        <f t="shared" si="201"/>
        <v>65000000000388</v>
      </c>
      <c r="AQ425" s="64">
        <f t="shared" si="202"/>
        <v>65000000000413</v>
      </c>
      <c r="AS425" s="64">
        <f t="shared" si="203"/>
        <v>65000000000388</v>
      </c>
      <c r="AU425" s="59" t="str">
        <f t="shared" si="224"/>
        <v>PERFORM * FROM "SchData-OLTP-Accounting"."Func_TblChartOfAccount_SET"(varSystemLoginSession, null, null, null, varInstitutionBranchID, 62000000000001::bigint,'6-2014', 'Local Transportation', 62000000000001::bigint, '2016-01-01 00:00:00'::timestamp, null::timestamp, 65000000000388::bigint, 66000000000001::bigint);</v>
      </c>
      <c r="AV425" s="65">
        <f t="shared" si="225"/>
        <v>65000000000415</v>
      </c>
      <c r="AW425" s="65">
        <f t="shared" si="226"/>
        <v>65000000000388</v>
      </c>
      <c r="AY425" s="65">
        <f t="shared" si="216"/>
        <v>65000000000147</v>
      </c>
      <c r="BA425" s="78">
        <f t="shared" si="227"/>
        <v>65000000000415</v>
      </c>
      <c r="BB425" s="81" t="str">
        <f t="shared" si="217"/>
        <v>PERFORM * FROM "SchData-OLTP-Accounting"."Func_TblChartOfAccount_SET"(varSystemLoginSession, null, null, null, null, null, varInstitutionBranchID, 62000000000001::bigint,'6-2014', 'Local Transportation', 62000000000001::bigint, '2016-01-01 00:00:00'::timestamp, null::timestamp, 65000000000388::bigint, 66000000000001::bigint, FALSE::boolean);</v>
      </c>
    </row>
    <row r="426" spans="2:54" x14ac:dyDescent="0.2">
      <c r="B426" s="41"/>
      <c r="C426" s="42"/>
      <c r="D426" s="43"/>
      <c r="E426" s="42"/>
      <c r="F426" s="43"/>
      <c r="G426" s="42"/>
      <c r="H426" s="51"/>
      <c r="I426" s="18"/>
      <c r="J426" s="51" t="s">
        <v>1609</v>
      </c>
      <c r="K426" s="18" t="s">
        <v>1385</v>
      </c>
      <c r="L426" s="51"/>
      <c r="M426" s="18"/>
      <c r="O426" s="58" t="str">
        <f t="shared" si="204"/>
        <v>6-0000</v>
      </c>
      <c r="P426" s="58" t="str">
        <f t="shared" si="205"/>
        <v>6-2000</v>
      </c>
      <c r="Q426" s="58" t="str">
        <f t="shared" si="206"/>
        <v>2-1200</v>
      </c>
      <c r="R426" s="58" t="str">
        <f t="shared" si="207"/>
        <v>6-2014</v>
      </c>
      <c r="S426" s="58" t="str">
        <f t="shared" si="208"/>
        <v>6-2014.01</v>
      </c>
      <c r="T426" s="58" t="str">
        <f t="shared" si="209"/>
        <v xml:space="preserve"> </v>
      </c>
      <c r="V426" s="72">
        <f t="shared" si="210"/>
        <v>65000000000416</v>
      </c>
      <c r="W426" s="60">
        <f t="shared" si="211"/>
        <v>65000000000350</v>
      </c>
      <c r="X426" s="60">
        <f t="shared" si="212"/>
        <v>65000000000388</v>
      </c>
      <c r="Y426" s="60">
        <f t="shared" si="213"/>
        <v>65000000000147</v>
      </c>
      <c r="Z426" s="60">
        <f t="shared" si="214"/>
        <v>65000000000415</v>
      </c>
      <c r="AA426" s="60">
        <f t="shared" si="197"/>
        <v>65000000000416</v>
      </c>
      <c r="AB426" s="60">
        <f t="shared" si="215"/>
        <v>65000000000000</v>
      </c>
      <c r="AD426" s="60">
        <f t="shared" si="218"/>
        <v>6</v>
      </c>
      <c r="AE426" s="60">
        <f t="shared" si="219"/>
        <v>3</v>
      </c>
      <c r="AF426" s="60">
        <f t="shared" si="220"/>
        <v>1</v>
      </c>
      <c r="AG426" s="60">
        <f t="shared" si="221"/>
        <v>122</v>
      </c>
      <c r="AH426" s="60">
        <f t="shared" si="222"/>
        <v>2</v>
      </c>
      <c r="AI426" s="60">
        <f t="shared" si="223"/>
        <v>1</v>
      </c>
      <c r="AK426" s="68" t="str">
        <f t="shared" si="198"/>
        <v>L5</v>
      </c>
      <c r="AM426" s="64" t="s">
        <v>1755</v>
      </c>
      <c r="AN426" s="64">
        <f t="shared" si="199"/>
        <v>65000000000350</v>
      </c>
      <c r="AO426" s="64">
        <f t="shared" si="200"/>
        <v>65000000000388</v>
      </c>
      <c r="AP426" s="64">
        <f t="shared" si="201"/>
        <v>65000000000388</v>
      </c>
      <c r="AQ426" s="64">
        <f t="shared" si="202"/>
        <v>65000000000415</v>
      </c>
      <c r="AS426" s="64">
        <f t="shared" si="203"/>
        <v>65000000000415</v>
      </c>
      <c r="AU426" s="59" t="str">
        <f t="shared" si="224"/>
        <v>PERFORM * FROM "SchData-OLTP-Accounting"."Func_TblChartOfAccount_SET"(varSystemLoginSession, null, null, null, varInstitutionBranchID, 62000000000001::bigint,'6-2014.01', 'Local Transportation (IDR)', 62000000000001::bigint, '2016-01-01 00:00:00'::timestamp, null::timestamp, 65000000000415::bigint, 66000000000001::bigint);</v>
      </c>
      <c r="AV426" s="65">
        <f t="shared" si="225"/>
        <v>65000000000416</v>
      </c>
      <c r="AW426" s="65">
        <f t="shared" si="226"/>
        <v>65000000000415</v>
      </c>
      <c r="AY426" s="65">
        <f t="shared" si="216"/>
        <v>65000000000415</v>
      </c>
      <c r="BA426" s="78">
        <f t="shared" si="227"/>
        <v>65000000000416</v>
      </c>
      <c r="BB426" s="81" t="str">
        <f t="shared" si="217"/>
        <v>PERFORM * FROM "SchData-OLTP-Accounting"."Func_TblChartOfAccount_SET"(varSystemLoginSession, null, null, null, null, null, varInstitutionBranchID, 62000000000001::bigint,'6-2014.01', 'Local Transportation (IDR)', 62000000000001::bigint, '2016-01-01 00:00:00'::timestamp, null::timestamp, 65000000000415::bigint, 66000000000001::bigint, FALSE::boolean);</v>
      </c>
    </row>
    <row r="427" spans="2:54" x14ac:dyDescent="0.2">
      <c r="B427" s="41"/>
      <c r="C427" s="42"/>
      <c r="D427" s="43"/>
      <c r="E427" s="42"/>
      <c r="F427" s="43"/>
      <c r="G427" s="42"/>
      <c r="H427" s="51" t="s">
        <v>1610</v>
      </c>
      <c r="I427" s="18" t="s">
        <v>435</v>
      </c>
      <c r="J427" s="51"/>
      <c r="K427" s="18"/>
      <c r="L427" s="51"/>
      <c r="M427" s="18"/>
      <c r="O427" s="58" t="str">
        <f t="shared" si="204"/>
        <v>6-0000</v>
      </c>
      <c r="P427" s="58" t="str">
        <f t="shared" si="205"/>
        <v>6-2000</v>
      </c>
      <c r="Q427" s="58" t="str">
        <f t="shared" si="206"/>
        <v>2-1200</v>
      </c>
      <c r="R427" s="58" t="str">
        <f t="shared" si="207"/>
        <v>6-2015</v>
      </c>
      <c r="S427" s="58" t="str">
        <f t="shared" si="208"/>
        <v>6-2014.01</v>
      </c>
      <c r="T427" s="58" t="str">
        <f t="shared" si="209"/>
        <v xml:space="preserve"> </v>
      </c>
      <c r="V427" s="72">
        <f t="shared" si="210"/>
        <v>65000000000417</v>
      </c>
      <c r="W427" s="60">
        <f t="shared" si="211"/>
        <v>65000000000350</v>
      </c>
      <c r="X427" s="60">
        <f t="shared" si="212"/>
        <v>65000000000388</v>
      </c>
      <c r="Y427" s="60">
        <f t="shared" si="213"/>
        <v>65000000000147</v>
      </c>
      <c r="Z427" s="60">
        <f t="shared" si="214"/>
        <v>65000000000417</v>
      </c>
      <c r="AA427" s="60">
        <f t="shared" si="197"/>
        <v>65000000000416</v>
      </c>
      <c r="AB427" s="60">
        <f t="shared" si="215"/>
        <v>65000000000000</v>
      </c>
      <c r="AD427" s="60">
        <f t="shared" si="218"/>
        <v>6</v>
      </c>
      <c r="AE427" s="60">
        <f t="shared" si="219"/>
        <v>3</v>
      </c>
      <c r="AF427" s="60">
        <f t="shared" si="220"/>
        <v>1</v>
      </c>
      <c r="AG427" s="60">
        <f t="shared" si="221"/>
        <v>123</v>
      </c>
      <c r="AH427" s="60">
        <f t="shared" si="222"/>
        <v>1</v>
      </c>
      <c r="AI427" s="60">
        <f t="shared" si="223"/>
        <v>1</v>
      </c>
      <c r="AK427" s="68" t="str">
        <f t="shared" si="198"/>
        <v>L4</v>
      </c>
      <c r="AM427" s="64" t="s">
        <v>1755</v>
      </c>
      <c r="AN427" s="64">
        <f t="shared" si="199"/>
        <v>65000000000350</v>
      </c>
      <c r="AO427" s="64">
        <f t="shared" si="200"/>
        <v>65000000000388</v>
      </c>
      <c r="AP427" s="64">
        <f t="shared" si="201"/>
        <v>65000000000388</v>
      </c>
      <c r="AQ427" s="64">
        <f t="shared" si="202"/>
        <v>65000000000415</v>
      </c>
      <c r="AS427" s="64">
        <f t="shared" si="203"/>
        <v>65000000000388</v>
      </c>
      <c r="AU427" s="59" t="str">
        <f t="shared" si="224"/>
        <v>PERFORM * FROM "SchData-OLTP-Accounting"."Func_TblChartOfAccount_SET"(varSystemLoginSession, null, null, null, varInstitutionBranchID, 62000000000001::bigint,'6-2015', 'Hire of Motor Vehicle', 62000000000001::bigint, '2016-01-01 00:00:00'::timestamp, null::timestamp, 65000000000388::bigint, 66000000000001::bigint);</v>
      </c>
      <c r="AV427" s="65">
        <f t="shared" si="225"/>
        <v>65000000000417</v>
      </c>
      <c r="AW427" s="65">
        <f t="shared" si="226"/>
        <v>65000000000388</v>
      </c>
      <c r="AY427" s="65">
        <f t="shared" si="216"/>
        <v>65000000000147</v>
      </c>
      <c r="BA427" s="78">
        <f t="shared" si="227"/>
        <v>65000000000417</v>
      </c>
      <c r="BB427" s="81" t="str">
        <f t="shared" si="217"/>
        <v>PERFORM * FROM "SchData-OLTP-Accounting"."Func_TblChartOfAccount_SET"(varSystemLoginSession, null, null, null, null, null, varInstitutionBranchID, 62000000000001::bigint,'6-2015', 'Hire of Motor Vehicle', 62000000000001::bigint, '2016-01-01 00:00:00'::timestamp, null::timestamp, 65000000000388::bigint, 66000000000001::bigint, FALSE::boolean);</v>
      </c>
    </row>
    <row r="428" spans="2:54" x14ac:dyDescent="0.2">
      <c r="B428" s="41"/>
      <c r="C428" s="42"/>
      <c r="D428" s="43"/>
      <c r="E428" s="42"/>
      <c r="F428" s="43"/>
      <c r="G428" s="42"/>
      <c r="H428" s="51"/>
      <c r="I428" s="18"/>
      <c r="J428" s="51" t="s">
        <v>1611</v>
      </c>
      <c r="K428" s="18" t="s">
        <v>1321</v>
      </c>
      <c r="L428" s="51"/>
      <c r="M428" s="18"/>
      <c r="O428" s="58" t="str">
        <f t="shared" si="204"/>
        <v>6-0000</v>
      </c>
      <c r="P428" s="58" t="str">
        <f t="shared" si="205"/>
        <v>6-2000</v>
      </c>
      <c r="Q428" s="58" t="str">
        <f t="shared" si="206"/>
        <v>2-1200</v>
      </c>
      <c r="R428" s="58" t="str">
        <f t="shared" si="207"/>
        <v>6-2015</v>
      </c>
      <c r="S428" s="58" t="str">
        <f t="shared" si="208"/>
        <v>6-2015.01</v>
      </c>
      <c r="T428" s="58" t="str">
        <f t="shared" si="209"/>
        <v xml:space="preserve"> </v>
      </c>
      <c r="V428" s="72">
        <f t="shared" si="210"/>
        <v>65000000000418</v>
      </c>
      <c r="W428" s="60">
        <f t="shared" si="211"/>
        <v>65000000000350</v>
      </c>
      <c r="X428" s="60">
        <f t="shared" si="212"/>
        <v>65000000000388</v>
      </c>
      <c r="Y428" s="60">
        <f t="shared" si="213"/>
        <v>65000000000147</v>
      </c>
      <c r="Z428" s="60">
        <f t="shared" si="214"/>
        <v>65000000000417</v>
      </c>
      <c r="AA428" s="60">
        <f t="shared" si="197"/>
        <v>65000000000418</v>
      </c>
      <c r="AB428" s="60">
        <f t="shared" si="215"/>
        <v>65000000000000</v>
      </c>
      <c r="AD428" s="60">
        <f t="shared" si="218"/>
        <v>6</v>
      </c>
      <c r="AE428" s="60">
        <f t="shared" si="219"/>
        <v>3</v>
      </c>
      <c r="AF428" s="60">
        <f t="shared" si="220"/>
        <v>1</v>
      </c>
      <c r="AG428" s="60">
        <f t="shared" si="221"/>
        <v>123</v>
      </c>
      <c r="AH428" s="60">
        <f t="shared" si="222"/>
        <v>2</v>
      </c>
      <c r="AI428" s="60">
        <f t="shared" si="223"/>
        <v>1</v>
      </c>
      <c r="AK428" s="68" t="str">
        <f t="shared" si="198"/>
        <v>L5</v>
      </c>
      <c r="AM428" s="64" t="s">
        <v>1755</v>
      </c>
      <c r="AN428" s="64">
        <f t="shared" si="199"/>
        <v>65000000000350</v>
      </c>
      <c r="AO428" s="64">
        <f t="shared" si="200"/>
        <v>65000000000388</v>
      </c>
      <c r="AP428" s="64">
        <f t="shared" si="201"/>
        <v>65000000000388</v>
      </c>
      <c r="AQ428" s="64">
        <f t="shared" si="202"/>
        <v>65000000000417</v>
      </c>
      <c r="AS428" s="64">
        <f t="shared" si="203"/>
        <v>65000000000417</v>
      </c>
      <c r="AU428" s="59" t="str">
        <f t="shared" si="224"/>
        <v>PERFORM * FROM "SchData-OLTP-Accounting"."Func_TblChartOfAccount_SET"(varSystemLoginSession, null, null, null, varInstitutionBranchID, 62000000000001::bigint,'6-2015.01', 'Hire of Motor Vehicle (IDR)', 62000000000001::bigint, '2016-01-01 00:00:00'::timestamp, null::timestamp, 65000000000417::bigint, 66000000000001::bigint);</v>
      </c>
      <c r="AV428" s="65">
        <f t="shared" si="225"/>
        <v>65000000000418</v>
      </c>
      <c r="AW428" s="65">
        <f t="shared" si="226"/>
        <v>65000000000417</v>
      </c>
      <c r="AY428" s="65">
        <f t="shared" si="216"/>
        <v>65000000000417</v>
      </c>
      <c r="BA428" s="78">
        <f t="shared" si="227"/>
        <v>65000000000418</v>
      </c>
      <c r="BB428" s="81" t="str">
        <f t="shared" si="217"/>
        <v>PERFORM * FROM "SchData-OLTP-Accounting"."Func_TblChartOfAccount_SET"(varSystemLoginSession, null, null, null, null, null, varInstitutionBranchID, 62000000000001::bigint,'6-2015.01', 'Hire of Motor Vehicle (IDR)', 62000000000001::bigint, '2016-01-01 00:00:00'::timestamp, null::timestamp, 65000000000417::bigint, 66000000000001::bigint, FALSE::boolean);</v>
      </c>
    </row>
    <row r="429" spans="2:54" x14ac:dyDescent="0.2">
      <c r="B429" s="41"/>
      <c r="C429" s="42"/>
      <c r="D429" s="43"/>
      <c r="E429" s="42"/>
      <c r="F429" s="43"/>
      <c r="G429" s="42"/>
      <c r="H429" s="51" t="s">
        <v>1612</v>
      </c>
      <c r="I429" s="18" t="s">
        <v>451</v>
      </c>
      <c r="J429" s="51"/>
      <c r="K429" s="18"/>
      <c r="L429" s="51"/>
      <c r="M429" s="18"/>
      <c r="O429" s="58" t="str">
        <f t="shared" si="204"/>
        <v>6-0000</v>
      </c>
      <c r="P429" s="58" t="str">
        <f t="shared" si="205"/>
        <v>6-2000</v>
      </c>
      <c r="Q429" s="58" t="str">
        <f t="shared" si="206"/>
        <v>2-1200</v>
      </c>
      <c r="R429" s="58" t="str">
        <f t="shared" si="207"/>
        <v>6-2016</v>
      </c>
      <c r="S429" s="58" t="str">
        <f t="shared" si="208"/>
        <v>6-2015.01</v>
      </c>
      <c r="T429" s="58" t="str">
        <f t="shared" si="209"/>
        <v xml:space="preserve"> </v>
      </c>
      <c r="V429" s="72">
        <f t="shared" si="210"/>
        <v>65000000000419</v>
      </c>
      <c r="W429" s="60">
        <f t="shared" si="211"/>
        <v>65000000000350</v>
      </c>
      <c r="X429" s="60">
        <f t="shared" si="212"/>
        <v>65000000000388</v>
      </c>
      <c r="Y429" s="60">
        <f t="shared" si="213"/>
        <v>65000000000147</v>
      </c>
      <c r="Z429" s="60">
        <f t="shared" si="214"/>
        <v>65000000000419</v>
      </c>
      <c r="AA429" s="60">
        <f t="shared" si="197"/>
        <v>65000000000418</v>
      </c>
      <c r="AB429" s="60">
        <f t="shared" si="215"/>
        <v>65000000000000</v>
      </c>
      <c r="AD429" s="60">
        <f t="shared" si="218"/>
        <v>6</v>
      </c>
      <c r="AE429" s="60">
        <f t="shared" si="219"/>
        <v>3</v>
      </c>
      <c r="AF429" s="60">
        <f t="shared" si="220"/>
        <v>1</v>
      </c>
      <c r="AG429" s="60">
        <f t="shared" si="221"/>
        <v>124</v>
      </c>
      <c r="AH429" s="60">
        <f t="shared" si="222"/>
        <v>1</v>
      </c>
      <c r="AI429" s="60">
        <f t="shared" si="223"/>
        <v>1</v>
      </c>
      <c r="AK429" s="68" t="str">
        <f t="shared" si="198"/>
        <v>L4</v>
      </c>
      <c r="AM429" s="64" t="s">
        <v>1755</v>
      </c>
      <c r="AN429" s="64">
        <f t="shared" si="199"/>
        <v>65000000000350</v>
      </c>
      <c r="AO429" s="64">
        <f t="shared" si="200"/>
        <v>65000000000388</v>
      </c>
      <c r="AP429" s="64">
        <f t="shared" si="201"/>
        <v>65000000000388</v>
      </c>
      <c r="AQ429" s="64">
        <f t="shared" si="202"/>
        <v>65000000000417</v>
      </c>
      <c r="AS429" s="64">
        <f t="shared" si="203"/>
        <v>65000000000388</v>
      </c>
      <c r="AU429" s="59" t="str">
        <f t="shared" si="224"/>
        <v>PERFORM * FROM "SchData-OLTP-Accounting"."Func_TblChartOfAccount_SET"(varSystemLoginSession, null, null, null, varInstitutionBranchID, 62000000000001::bigint,'6-2016', 'Business Travelling', 62000000000001::bigint, '2016-01-01 00:00:00'::timestamp, null::timestamp, 65000000000388::bigint, 66000000000001::bigint);</v>
      </c>
      <c r="AV429" s="65">
        <f t="shared" si="225"/>
        <v>65000000000419</v>
      </c>
      <c r="AW429" s="65">
        <f t="shared" si="226"/>
        <v>65000000000388</v>
      </c>
      <c r="AY429" s="65">
        <f t="shared" si="216"/>
        <v>65000000000147</v>
      </c>
      <c r="BA429" s="78">
        <f t="shared" si="227"/>
        <v>65000000000419</v>
      </c>
      <c r="BB429" s="81" t="str">
        <f t="shared" si="217"/>
        <v>PERFORM * FROM "SchData-OLTP-Accounting"."Func_TblChartOfAccount_SET"(varSystemLoginSession, null, null, null, null, null, varInstitutionBranchID, 62000000000001::bigint,'6-2016', 'Business Travelling', 62000000000001::bigint, '2016-01-01 00:00:00'::timestamp, null::timestamp, 65000000000388::bigint, 66000000000001::bigint, FALSE::boolean);</v>
      </c>
    </row>
    <row r="430" spans="2:54" x14ac:dyDescent="0.2">
      <c r="B430" s="41"/>
      <c r="C430" s="42"/>
      <c r="D430" s="43"/>
      <c r="E430" s="42"/>
      <c r="F430" s="43"/>
      <c r="G430" s="42"/>
      <c r="H430" s="51"/>
      <c r="I430" s="18"/>
      <c r="J430" s="51" t="s">
        <v>1613</v>
      </c>
      <c r="K430" s="18" t="s">
        <v>1329</v>
      </c>
      <c r="L430" s="51"/>
      <c r="M430" s="18"/>
      <c r="O430" s="58" t="str">
        <f t="shared" si="204"/>
        <v>6-0000</v>
      </c>
      <c r="P430" s="58" t="str">
        <f t="shared" si="205"/>
        <v>6-2000</v>
      </c>
      <c r="Q430" s="58" t="str">
        <f t="shared" si="206"/>
        <v>2-1200</v>
      </c>
      <c r="R430" s="58" t="str">
        <f t="shared" si="207"/>
        <v>6-2016</v>
      </c>
      <c r="S430" s="58" t="str">
        <f t="shared" si="208"/>
        <v>6-2016.01</v>
      </c>
      <c r="T430" s="58" t="str">
        <f t="shared" si="209"/>
        <v xml:space="preserve"> </v>
      </c>
      <c r="V430" s="72">
        <f t="shared" si="210"/>
        <v>65000000000420</v>
      </c>
      <c r="W430" s="60">
        <f t="shared" si="211"/>
        <v>65000000000350</v>
      </c>
      <c r="X430" s="60">
        <f t="shared" si="212"/>
        <v>65000000000388</v>
      </c>
      <c r="Y430" s="60">
        <f t="shared" si="213"/>
        <v>65000000000147</v>
      </c>
      <c r="Z430" s="60">
        <f t="shared" si="214"/>
        <v>65000000000419</v>
      </c>
      <c r="AA430" s="60">
        <f t="shared" si="197"/>
        <v>65000000000420</v>
      </c>
      <c r="AB430" s="60">
        <f t="shared" si="215"/>
        <v>65000000000000</v>
      </c>
      <c r="AD430" s="60">
        <f t="shared" si="218"/>
        <v>6</v>
      </c>
      <c r="AE430" s="60">
        <f t="shared" si="219"/>
        <v>3</v>
      </c>
      <c r="AF430" s="60">
        <f t="shared" si="220"/>
        <v>1</v>
      </c>
      <c r="AG430" s="60">
        <f t="shared" si="221"/>
        <v>124</v>
      </c>
      <c r="AH430" s="60">
        <f t="shared" si="222"/>
        <v>2</v>
      </c>
      <c r="AI430" s="60">
        <f t="shared" si="223"/>
        <v>1</v>
      </c>
      <c r="AK430" s="68" t="str">
        <f t="shared" si="198"/>
        <v>L5</v>
      </c>
      <c r="AM430" s="64" t="s">
        <v>1755</v>
      </c>
      <c r="AN430" s="64">
        <f t="shared" si="199"/>
        <v>65000000000350</v>
      </c>
      <c r="AO430" s="64">
        <f t="shared" si="200"/>
        <v>65000000000388</v>
      </c>
      <c r="AP430" s="64">
        <f t="shared" si="201"/>
        <v>65000000000388</v>
      </c>
      <c r="AQ430" s="64">
        <f t="shared" si="202"/>
        <v>65000000000419</v>
      </c>
      <c r="AS430" s="64">
        <f t="shared" si="203"/>
        <v>65000000000419</v>
      </c>
      <c r="AU430" s="59" t="str">
        <f t="shared" si="224"/>
        <v>PERFORM * FROM "SchData-OLTP-Accounting"."Func_TblChartOfAccount_SET"(varSystemLoginSession, null, null, null, varInstitutionBranchID, 62000000000001::bigint,'6-2016.01', 'Business Travelling (IDR)', 62000000000001::bigint, '2016-01-01 00:00:00'::timestamp, null::timestamp, 65000000000419::bigint, 66000000000001::bigint);</v>
      </c>
      <c r="AV430" s="65">
        <f t="shared" si="225"/>
        <v>65000000000420</v>
      </c>
      <c r="AW430" s="65">
        <f t="shared" si="226"/>
        <v>65000000000419</v>
      </c>
      <c r="AY430" s="65">
        <f t="shared" si="216"/>
        <v>65000000000419</v>
      </c>
      <c r="BA430" s="78">
        <f t="shared" si="227"/>
        <v>65000000000420</v>
      </c>
      <c r="BB430" s="81" t="str">
        <f t="shared" si="217"/>
        <v>PERFORM * FROM "SchData-OLTP-Accounting"."Func_TblChartOfAccount_SET"(varSystemLoginSession, null, null, null, null, null, varInstitutionBranchID, 62000000000001::bigint,'6-2016.01', 'Business Travelling (IDR)', 62000000000001::bigint, '2016-01-01 00:00:00'::timestamp, null::timestamp, 65000000000419::bigint, 66000000000001::bigint, FALSE::boolean);</v>
      </c>
    </row>
    <row r="431" spans="2:54" x14ac:dyDescent="0.2">
      <c r="B431" s="41"/>
      <c r="C431" s="42"/>
      <c r="D431" s="43"/>
      <c r="E431" s="42"/>
      <c r="F431" s="43"/>
      <c r="G431" s="42"/>
      <c r="H431" s="51" t="s">
        <v>1614</v>
      </c>
      <c r="I431" s="18" t="s">
        <v>570</v>
      </c>
      <c r="J431" s="51"/>
      <c r="K431" s="18"/>
      <c r="L431" s="51"/>
      <c r="M431" s="18"/>
      <c r="O431" s="58" t="str">
        <f t="shared" si="204"/>
        <v>6-0000</v>
      </c>
      <c r="P431" s="58" t="str">
        <f t="shared" si="205"/>
        <v>6-2000</v>
      </c>
      <c r="Q431" s="58" t="str">
        <f t="shared" si="206"/>
        <v>2-1200</v>
      </c>
      <c r="R431" s="58" t="str">
        <f t="shared" si="207"/>
        <v>6-2017</v>
      </c>
      <c r="S431" s="58" t="str">
        <f t="shared" si="208"/>
        <v>6-2016.01</v>
      </c>
      <c r="T431" s="58" t="str">
        <f t="shared" si="209"/>
        <v xml:space="preserve"> </v>
      </c>
      <c r="V431" s="72">
        <f t="shared" si="210"/>
        <v>65000000000421</v>
      </c>
      <c r="W431" s="60">
        <f t="shared" si="211"/>
        <v>65000000000350</v>
      </c>
      <c r="X431" s="60">
        <f t="shared" si="212"/>
        <v>65000000000388</v>
      </c>
      <c r="Y431" s="60">
        <f t="shared" si="213"/>
        <v>65000000000147</v>
      </c>
      <c r="Z431" s="60">
        <f t="shared" si="214"/>
        <v>65000000000421</v>
      </c>
      <c r="AA431" s="60">
        <f t="shared" si="197"/>
        <v>65000000000420</v>
      </c>
      <c r="AB431" s="60">
        <f t="shared" si="215"/>
        <v>65000000000000</v>
      </c>
      <c r="AD431" s="60">
        <f t="shared" si="218"/>
        <v>6</v>
      </c>
      <c r="AE431" s="60">
        <f t="shared" si="219"/>
        <v>3</v>
      </c>
      <c r="AF431" s="60">
        <f t="shared" si="220"/>
        <v>1</v>
      </c>
      <c r="AG431" s="60">
        <f t="shared" si="221"/>
        <v>125</v>
      </c>
      <c r="AH431" s="60">
        <f t="shared" si="222"/>
        <v>1</v>
      </c>
      <c r="AI431" s="60">
        <f t="shared" si="223"/>
        <v>1</v>
      </c>
      <c r="AK431" s="68" t="str">
        <f t="shared" si="198"/>
        <v>L4</v>
      </c>
      <c r="AM431" s="64" t="s">
        <v>1755</v>
      </c>
      <c r="AN431" s="64">
        <f t="shared" si="199"/>
        <v>65000000000350</v>
      </c>
      <c r="AO431" s="64">
        <f t="shared" si="200"/>
        <v>65000000000388</v>
      </c>
      <c r="AP431" s="64">
        <f t="shared" si="201"/>
        <v>65000000000388</v>
      </c>
      <c r="AQ431" s="64">
        <f t="shared" si="202"/>
        <v>65000000000419</v>
      </c>
      <c r="AS431" s="64">
        <f t="shared" si="203"/>
        <v>65000000000388</v>
      </c>
      <c r="AU431" s="59" t="str">
        <f t="shared" si="224"/>
        <v>PERFORM * FROM "SchData-OLTP-Accounting"."Func_TblChartOfAccount_SET"(varSystemLoginSession, null, null, null, varInstitutionBranchID, 62000000000001::bigint,'6-2017', 'MV - Fuel &amp; Oil', 62000000000001::bigint, '2016-01-01 00:00:00'::timestamp, null::timestamp, 65000000000388::bigint, 66000000000001::bigint);</v>
      </c>
      <c r="AV431" s="65">
        <f t="shared" si="225"/>
        <v>65000000000421</v>
      </c>
      <c r="AW431" s="65">
        <f t="shared" si="226"/>
        <v>65000000000388</v>
      </c>
      <c r="AY431" s="65">
        <f t="shared" si="216"/>
        <v>65000000000147</v>
      </c>
      <c r="BA431" s="78">
        <f t="shared" si="227"/>
        <v>65000000000421</v>
      </c>
      <c r="BB431" s="81" t="str">
        <f t="shared" si="217"/>
        <v>PERFORM * FROM "SchData-OLTP-Accounting"."Func_TblChartOfAccount_SET"(varSystemLoginSession, null, null, null, null, null, varInstitutionBranchID, 62000000000001::bigint,'6-2017', 'MV - Fuel &amp; Oil', 62000000000001::bigint, '2016-01-01 00:00:00'::timestamp, null::timestamp, 65000000000388::bigint, 66000000000001::bigint, FALSE::boolean);</v>
      </c>
    </row>
    <row r="432" spans="2:54" x14ac:dyDescent="0.2">
      <c r="B432" s="41"/>
      <c r="C432" s="42"/>
      <c r="D432" s="43"/>
      <c r="E432" s="42"/>
      <c r="F432" s="43"/>
      <c r="G432" s="42"/>
      <c r="H432" s="51"/>
      <c r="I432" s="18"/>
      <c r="J432" s="51" t="s">
        <v>1615</v>
      </c>
      <c r="K432" s="18" t="s">
        <v>1386</v>
      </c>
      <c r="L432" s="51"/>
      <c r="M432" s="18"/>
      <c r="O432" s="58" t="str">
        <f t="shared" si="204"/>
        <v>6-0000</v>
      </c>
      <c r="P432" s="58" t="str">
        <f t="shared" si="205"/>
        <v>6-2000</v>
      </c>
      <c r="Q432" s="58" t="str">
        <f t="shared" si="206"/>
        <v>2-1200</v>
      </c>
      <c r="R432" s="58" t="str">
        <f t="shared" si="207"/>
        <v>6-2017</v>
      </c>
      <c r="S432" s="58" t="str">
        <f t="shared" si="208"/>
        <v>6-2017.01</v>
      </c>
      <c r="T432" s="58" t="str">
        <f t="shared" si="209"/>
        <v xml:space="preserve"> </v>
      </c>
      <c r="V432" s="72">
        <f t="shared" si="210"/>
        <v>65000000000422</v>
      </c>
      <c r="W432" s="60">
        <f t="shared" si="211"/>
        <v>65000000000350</v>
      </c>
      <c r="X432" s="60">
        <f t="shared" si="212"/>
        <v>65000000000388</v>
      </c>
      <c r="Y432" s="60">
        <f t="shared" si="213"/>
        <v>65000000000147</v>
      </c>
      <c r="Z432" s="60">
        <f t="shared" si="214"/>
        <v>65000000000421</v>
      </c>
      <c r="AA432" s="60">
        <f t="shared" si="197"/>
        <v>65000000000422</v>
      </c>
      <c r="AB432" s="60">
        <f t="shared" si="215"/>
        <v>65000000000000</v>
      </c>
      <c r="AD432" s="60">
        <f t="shared" si="218"/>
        <v>6</v>
      </c>
      <c r="AE432" s="60">
        <f t="shared" si="219"/>
        <v>3</v>
      </c>
      <c r="AF432" s="60">
        <f t="shared" si="220"/>
        <v>1</v>
      </c>
      <c r="AG432" s="60">
        <f t="shared" si="221"/>
        <v>125</v>
      </c>
      <c r="AH432" s="60">
        <f t="shared" si="222"/>
        <v>2</v>
      </c>
      <c r="AI432" s="60">
        <f t="shared" si="223"/>
        <v>1</v>
      </c>
      <c r="AK432" s="68" t="str">
        <f t="shared" si="198"/>
        <v>L5</v>
      </c>
      <c r="AM432" s="64" t="s">
        <v>1755</v>
      </c>
      <c r="AN432" s="64">
        <f t="shared" si="199"/>
        <v>65000000000350</v>
      </c>
      <c r="AO432" s="64">
        <f t="shared" si="200"/>
        <v>65000000000388</v>
      </c>
      <c r="AP432" s="64">
        <f t="shared" si="201"/>
        <v>65000000000388</v>
      </c>
      <c r="AQ432" s="64">
        <f t="shared" si="202"/>
        <v>65000000000421</v>
      </c>
      <c r="AS432" s="64">
        <f t="shared" si="203"/>
        <v>65000000000421</v>
      </c>
      <c r="AU432" s="59" t="str">
        <f t="shared" si="224"/>
        <v>PERFORM * FROM "SchData-OLTP-Accounting"."Func_TblChartOfAccount_SET"(varSystemLoginSession, null, null, null, varInstitutionBranchID, 62000000000001::bigint,'6-2017.01', 'MV - Fuel &amp; Oil (IDR)', 62000000000001::bigint, '2016-01-01 00:00:00'::timestamp, null::timestamp, 65000000000421::bigint, 66000000000001::bigint);</v>
      </c>
      <c r="AV432" s="65">
        <f t="shared" si="225"/>
        <v>65000000000422</v>
      </c>
      <c r="AW432" s="65">
        <f t="shared" si="226"/>
        <v>65000000000421</v>
      </c>
      <c r="AY432" s="65">
        <f t="shared" si="216"/>
        <v>65000000000421</v>
      </c>
      <c r="BA432" s="78">
        <f t="shared" si="227"/>
        <v>65000000000422</v>
      </c>
      <c r="BB432" s="81" t="str">
        <f t="shared" si="217"/>
        <v>PERFORM * FROM "SchData-OLTP-Accounting"."Func_TblChartOfAccount_SET"(varSystemLoginSession, null, null, null, null, null, varInstitutionBranchID, 62000000000001::bigint,'6-2017.01', 'MV - Fuel &amp; Oil (IDR)', 62000000000001::bigint, '2016-01-01 00:00:00'::timestamp, null::timestamp, 65000000000421::bigint, 66000000000001::bigint, FALSE::boolean);</v>
      </c>
    </row>
    <row r="433" spans="2:54" x14ac:dyDescent="0.2">
      <c r="B433" s="41"/>
      <c r="C433" s="42"/>
      <c r="D433" s="43"/>
      <c r="E433" s="42"/>
      <c r="F433" s="43"/>
      <c r="G433" s="42"/>
      <c r="H433" s="51" t="s">
        <v>1616</v>
      </c>
      <c r="I433" s="18" t="s">
        <v>572</v>
      </c>
      <c r="J433" s="51"/>
      <c r="K433" s="18"/>
      <c r="L433" s="51"/>
      <c r="M433" s="18"/>
      <c r="O433" s="58" t="str">
        <f t="shared" si="204"/>
        <v>6-0000</v>
      </c>
      <c r="P433" s="58" t="str">
        <f t="shared" si="205"/>
        <v>6-2000</v>
      </c>
      <c r="Q433" s="58" t="str">
        <f t="shared" si="206"/>
        <v>2-1200</v>
      </c>
      <c r="R433" s="58" t="str">
        <f t="shared" si="207"/>
        <v>6-2018</v>
      </c>
      <c r="S433" s="58" t="str">
        <f t="shared" si="208"/>
        <v>6-2017.01</v>
      </c>
      <c r="T433" s="58" t="str">
        <f t="shared" si="209"/>
        <v xml:space="preserve"> </v>
      </c>
      <c r="V433" s="72">
        <f t="shared" si="210"/>
        <v>65000000000423</v>
      </c>
      <c r="W433" s="60">
        <f t="shared" si="211"/>
        <v>65000000000350</v>
      </c>
      <c r="X433" s="60">
        <f t="shared" si="212"/>
        <v>65000000000388</v>
      </c>
      <c r="Y433" s="60">
        <f t="shared" si="213"/>
        <v>65000000000147</v>
      </c>
      <c r="Z433" s="60">
        <f t="shared" si="214"/>
        <v>65000000000423</v>
      </c>
      <c r="AA433" s="60">
        <f t="shared" si="197"/>
        <v>65000000000422</v>
      </c>
      <c r="AB433" s="60">
        <f t="shared" si="215"/>
        <v>65000000000000</v>
      </c>
      <c r="AD433" s="60">
        <f t="shared" si="218"/>
        <v>6</v>
      </c>
      <c r="AE433" s="60">
        <f t="shared" si="219"/>
        <v>3</v>
      </c>
      <c r="AF433" s="60">
        <f t="shared" si="220"/>
        <v>1</v>
      </c>
      <c r="AG433" s="60">
        <f t="shared" si="221"/>
        <v>126</v>
      </c>
      <c r="AH433" s="60">
        <f t="shared" si="222"/>
        <v>1</v>
      </c>
      <c r="AI433" s="60">
        <f t="shared" si="223"/>
        <v>1</v>
      </c>
      <c r="AK433" s="68" t="str">
        <f t="shared" si="198"/>
        <v>L4</v>
      </c>
      <c r="AM433" s="64" t="s">
        <v>1755</v>
      </c>
      <c r="AN433" s="64">
        <f t="shared" si="199"/>
        <v>65000000000350</v>
      </c>
      <c r="AO433" s="64">
        <f t="shared" si="200"/>
        <v>65000000000388</v>
      </c>
      <c r="AP433" s="64">
        <f t="shared" si="201"/>
        <v>65000000000388</v>
      </c>
      <c r="AQ433" s="64">
        <f t="shared" si="202"/>
        <v>65000000000421</v>
      </c>
      <c r="AS433" s="64">
        <f t="shared" si="203"/>
        <v>65000000000388</v>
      </c>
      <c r="AU433" s="59" t="str">
        <f t="shared" si="224"/>
        <v>PERFORM * FROM "SchData-OLTP-Accounting"."Func_TblChartOfAccount_SET"(varSystemLoginSession, null, null, null, varInstitutionBranchID, 62000000000001::bigint,'6-2018', 'MV - Repair &amp; Maintenance', 62000000000001::bigint, '2016-01-01 00:00:00'::timestamp, null::timestamp, 65000000000388::bigint, 66000000000001::bigint);</v>
      </c>
      <c r="AV433" s="65">
        <f t="shared" si="225"/>
        <v>65000000000423</v>
      </c>
      <c r="AW433" s="65">
        <f t="shared" si="226"/>
        <v>65000000000388</v>
      </c>
      <c r="AY433" s="65">
        <f t="shared" si="216"/>
        <v>65000000000147</v>
      </c>
      <c r="BA433" s="78">
        <f t="shared" si="227"/>
        <v>65000000000423</v>
      </c>
      <c r="BB433" s="81" t="str">
        <f t="shared" si="217"/>
        <v>PERFORM * FROM "SchData-OLTP-Accounting"."Func_TblChartOfAccount_SET"(varSystemLoginSession, null, null, null, null, null, varInstitutionBranchID, 62000000000001::bigint,'6-2018', 'MV - Repair &amp; Maintenance', 62000000000001::bigint, '2016-01-01 00:00:00'::timestamp, null::timestamp, 65000000000388::bigint, 66000000000001::bigint, FALSE::boolean);</v>
      </c>
    </row>
    <row r="434" spans="2:54" x14ac:dyDescent="0.2">
      <c r="B434" s="41"/>
      <c r="C434" s="42"/>
      <c r="D434" s="43"/>
      <c r="E434" s="42"/>
      <c r="F434" s="43"/>
      <c r="G434" s="42"/>
      <c r="H434" s="51"/>
      <c r="I434" s="18"/>
      <c r="J434" s="51" t="s">
        <v>1617</v>
      </c>
      <c r="K434" s="18" t="s">
        <v>1387</v>
      </c>
      <c r="L434" s="51"/>
      <c r="M434" s="18"/>
      <c r="O434" s="58" t="str">
        <f t="shared" si="204"/>
        <v>6-0000</v>
      </c>
      <c r="P434" s="58" t="str">
        <f t="shared" si="205"/>
        <v>6-2000</v>
      </c>
      <c r="Q434" s="58" t="str">
        <f t="shared" si="206"/>
        <v>2-1200</v>
      </c>
      <c r="R434" s="58" t="str">
        <f t="shared" si="207"/>
        <v>6-2018</v>
      </c>
      <c r="S434" s="58" t="str">
        <f t="shared" si="208"/>
        <v>6-2018.01</v>
      </c>
      <c r="T434" s="58" t="str">
        <f t="shared" si="209"/>
        <v xml:space="preserve"> </v>
      </c>
      <c r="V434" s="72">
        <f t="shared" si="210"/>
        <v>65000000000424</v>
      </c>
      <c r="W434" s="60">
        <f t="shared" si="211"/>
        <v>65000000000350</v>
      </c>
      <c r="X434" s="60">
        <f t="shared" si="212"/>
        <v>65000000000388</v>
      </c>
      <c r="Y434" s="60">
        <f t="shared" si="213"/>
        <v>65000000000147</v>
      </c>
      <c r="Z434" s="60">
        <f t="shared" si="214"/>
        <v>65000000000423</v>
      </c>
      <c r="AA434" s="60">
        <f t="shared" si="197"/>
        <v>65000000000424</v>
      </c>
      <c r="AB434" s="60">
        <f t="shared" si="215"/>
        <v>65000000000000</v>
      </c>
      <c r="AD434" s="60">
        <f t="shared" si="218"/>
        <v>6</v>
      </c>
      <c r="AE434" s="60">
        <f t="shared" si="219"/>
        <v>3</v>
      </c>
      <c r="AF434" s="60">
        <f t="shared" si="220"/>
        <v>1</v>
      </c>
      <c r="AG434" s="60">
        <f t="shared" si="221"/>
        <v>126</v>
      </c>
      <c r="AH434" s="60">
        <f t="shared" si="222"/>
        <v>2</v>
      </c>
      <c r="AI434" s="60">
        <f t="shared" si="223"/>
        <v>1</v>
      </c>
      <c r="AK434" s="68" t="str">
        <f t="shared" si="198"/>
        <v>L5</v>
      </c>
      <c r="AM434" s="64" t="s">
        <v>1755</v>
      </c>
      <c r="AN434" s="64">
        <f t="shared" si="199"/>
        <v>65000000000350</v>
      </c>
      <c r="AO434" s="64">
        <f t="shared" si="200"/>
        <v>65000000000388</v>
      </c>
      <c r="AP434" s="64">
        <f t="shared" si="201"/>
        <v>65000000000388</v>
      </c>
      <c r="AQ434" s="64">
        <f t="shared" si="202"/>
        <v>65000000000423</v>
      </c>
      <c r="AS434" s="64">
        <f t="shared" si="203"/>
        <v>65000000000423</v>
      </c>
      <c r="AU434" s="59" t="str">
        <f t="shared" si="224"/>
        <v>PERFORM * FROM "SchData-OLTP-Accounting"."Func_TblChartOfAccount_SET"(varSystemLoginSession, null, null, null, varInstitutionBranchID, 62000000000001::bigint,'6-2018.01', 'MV - Repair &amp; Maintenance (IDR)', 62000000000001::bigint, '2016-01-01 00:00:00'::timestamp, null::timestamp, 65000000000423::bigint, 66000000000001::bigint);</v>
      </c>
      <c r="AV434" s="65">
        <f t="shared" si="225"/>
        <v>65000000000424</v>
      </c>
      <c r="AW434" s="65">
        <f t="shared" si="226"/>
        <v>65000000000423</v>
      </c>
      <c r="AY434" s="65">
        <f t="shared" si="216"/>
        <v>65000000000423</v>
      </c>
      <c r="BA434" s="78">
        <f t="shared" si="227"/>
        <v>65000000000424</v>
      </c>
      <c r="BB434" s="81" t="str">
        <f t="shared" si="217"/>
        <v>PERFORM * FROM "SchData-OLTP-Accounting"."Func_TblChartOfAccount_SET"(varSystemLoginSession, null, null, null, null, null, varInstitutionBranchID, 62000000000001::bigint,'6-2018.01', 'MV - Repair &amp; Maintenance (IDR)', 62000000000001::bigint, '2016-01-01 00:00:00'::timestamp, null::timestamp, 65000000000423::bigint, 66000000000001::bigint, FALSE::boolean);</v>
      </c>
    </row>
    <row r="435" spans="2:54" x14ac:dyDescent="0.2">
      <c r="B435" s="41"/>
      <c r="C435" s="42"/>
      <c r="D435" s="43"/>
      <c r="E435" s="42"/>
      <c r="F435" s="43"/>
      <c r="G435" s="42"/>
      <c r="H435" s="51" t="s">
        <v>1618</v>
      </c>
      <c r="I435" s="18" t="s">
        <v>574</v>
      </c>
      <c r="J435" s="51"/>
      <c r="K435" s="18"/>
      <c r="L435" s="51"/>
      <c r="M435" s="18"/>
      <c r="O435" s="58" t="str">
        <f t="shared" si="204"/>
        <v>6-0000</v>
      </c>
      <c r="P435" s="58" t="str">
        <f t="shared" si="205"/>
        <v>6-2000</v>
      </c>
      <c r="Q435" s="58" t="str">
        <f t="shared" si="206"/>
        <v>2-1200</v>
      </c>
      <c r="R435" s="58" t="str">
        <f t="shared" si="207"/>
        <v>6-2019</v>
      </c>
      <c r="S435" s="58" t="str">
        <f t="shared" si="208"/>
        <v>6-2018.01</v>
      </c>
      <c r="T435" s="58" t="str">
        <f t="shared" si="209"/>
        <v xml:space="preserve"> </v>
      </c>
      <c r="V435" s="72">
        <f t="shared" si="210"/>
        <v>65000000000425</v>
      </c>
      <c r="W435" s="60">
        <f t="shared" si="211"/>
        <v>65000000000350</v>
      </c>
      <c r="X435" s="60">
        <f t="shared" si="212"/>
        <v>65000000000388</v>
      </c>
      <c r="Y435" s="60">
        <f t="shared" si="213"/>
        <v>65000000000147</v>
      </c>
      <c r="Z435" s="60">
        <f t="shared" si="214"/>
        <v>65000000000425</v>
      </c>
      <c r="AA435" s="60">
        <f t="shared" si="197"/>
        <v>65000000000424</v>
      </c>
      <c r="AB435" s="60">
        <f t="shared" si="215"/>
        <v>65000000000000</v>
      </c>
      <c r="AD435" s="60">
        <f t="shared" si="218"/>
        <v>6</v>
      </c>
      <c r="AE435" s="60">
        <f t="shared" si="219"/>
        <v>3</v>
      </c>
      <c r="AF435" s="60">
        <f t="shared" si="220"/>
        <v>1</v>
      </c>
      <c r="AG435" s="60">
        <f t="shared" si="221"/>
        <v>127</v>
      </c>
      <c r="AH435" s="60">
        <f t="shared" si="222"/>
        <v>1</v>
      </c>
      <c r="AI435" s="60">
        <f t="shared" si="223"/>
        <v>1</v>
      </c>
      <c r="AK435" s="68" t="str">
        <f t="shared" si="198"/>
        <v>L4</v>
      </c>
      <c r="AM435" s="64" t="s">
        <v>1755</v>
      </c>
      <c r="AN435" s="64">
        <f t="shared" si="199"/>
        <v>65000000000350</v>
      </c>
      <c r="AO435" s="64">
        <f t="shared" si="200"/>
        <v>65000000000388</v>
      </c>
      <c r="AP435" s="64">
        <f t="shared" si="201"/>
        <v>65000000000388</v>
      </c>
      <c r="AQ435" s="64">
        <f t="shared" si="202"/>
        <v>65000000000423</v>
      </c>
      <c r="AS435" s="64">
        <f t="shared" si="203"/>
        <v>65000000000388</v>
      </c>
      <c r="AU435" s="59" t="str">
        <f t="shared" si="224"/>
        <v>PERFORM * FROM "SchData-OLTP-Accounting"."Func_TblChartOfAccount_SET"(varSystemLoginSession, null, null, null, varInstitutionBranchID, 62000000000001::bigint,'6-2019', 'MV - Tyres, Tubes', 62000000000001::bigint, '2016-01-01 00:00:00'::timestamp, null::timestamp, 65000000000388::bigint, 66000000000001::bigint);</v>
      </c>
      <c r="AV435" s="65">
        <f t="shared" si="225"/>
        <v>65000000000425</v>
      </c>
      <c r="AW435" s="65">
        <f t="shared" si="226"/>
        <v>65000000000388</v>
      </c>
      <c r="AY435" s="65">
        <f t="shared" si="216"/>
        <v>65000000000147</v>
      </c>
      <c r="BA435" s="78">
        <f t="shared" si="227"/>
        <v>65000000000425</v>
      </c>
      <c r="BB435" s="81" t="str">
        <f t="shared" si="217"/>
        <v>PERFORM * FROM "SchData-OLTP-Accounting"."Func_TblChartOfAccount_SET"(varSystemLoginSession, null, null, null, null, null, varInstitutionBranchID, 62000000000001::bigint,'6-2019', 'MV - Tyres, Tubes', 62000000000001::bigint, '2016-01-01 00:00:00'::timestamp, null::timestamp, 65000000000388::bigint, 66000000000001::bigint, FALSE::boolean);</v>
      </c>
    </row>
    <row r="436" spans="2:54" x14ac:dyDescent="0.2">
      <c r="B436" s="41"/>
      <c r="C436" s="42"/>
      <c r="D436" s="43"/>
      <c r="E436" s="42"/>
      <c r="F436" s="43"/>
      <c r="G436" s="42"/>
      <c r="H436" s="51"/>
      <c r="I436" s="18"/>
      <c r="J436" s="51" t="s">
        <v>1619</v>
      </c>
      <c r="K436" s="18" t="s">
        <v>1388</v>
      </c>
      <c r="L436" s="51"/>
      <c r="M436" s="18"/>
      <c r="O436" s="58" t="str">
        <f t="shared" si="204"/>
        <v>6-0000</v>
      </c>
      <c r="P436" s="58" t="str">
        <f t="shared" si="205"/>
        <v>6-2000</v>
      </c>
      <c r="Q436" s="58" t="str">
        <f t="shared" si="206"/>
        <v>2-1200</v>
      </c>
      <c r="R436" s="58" t="str">
        <f t="shared" si="207"/>
        <v>6-2019</v>
      </c>
      <c r="S436" s="58" t="str">
        <f t="shared" si="208"/>
        <v>6-2019.01</v>
      </c>
      <c r="T436" s="58" t="str">
        <f t="shared" si="209"/>
        <v xml:space="preserve"> </v>
      </c>
      <c r="V436" s="72">
        <f t="shared" si="210"/>
        <v>65000000000426</v>
      </c>
      <c r="W436" s="60">
        <f t="shared" si="211"/>
        <v>65000000000350</v>
      </c>
      <c r="X436" s="60">
        <f t="shared" si="212"/>
        <v>65000000000388</v>
      </c>
      <c r="Y436" s="60">
        <f t="shared" si="213"/>
        <v>65000000000147</v>
      </c>
      <c r="Z436" s="60">
        <f t="shared" si="214"/>
        <v>65000000000425</v>
      </c>
      <c r="AA436" s="60">
        <f t="shared" si="197"/>
        <v>65000000000426</v>
      </c>
      <c r="AB436" s="60">
        <f t="shared" si="215"/>
        <v>65000000000000</v>
      </c>
      <c r="AD436" s="60">
        <f t="shared" si="218"/>
        <v>6</v>
      </c>
      <c r="AE436" s="60">
        <f t="shared" si="219"/>
        <v>3</v>
      </c>
      <c r="AF436" s="60">
        <f t="shared" si="220"/>
        <v>1</v>
      </c>
      <c r="AG436" s="60">
        <f t="shared" si="221"/>
        <v>127</v>
      </c>
      <c r="AH436" s="60">
        <f t="shared" si="222"/>
        <v>2</v>
      </c>
      <c r="AI436" s="60">
        <f t="shared" si="223"/>
        <v>1</v>
      </c>
      <c r="AK436" s="68" t="str">
        <f t="shared" si="198"/>
        <v>L5</v>
      </c>
      <c r="AM436" s="64" t="s">
        <v>1755</v>
      </c>
      <c r="AN436" s="64">
        <f t="shared" si="199"/>
        <v>65000000000350</v>
      </c>
      <c r="AO436" s="64">
        <f t="shared" si="200"/>
        <v>65000000000388</v>
      </c>
      <c r="AP436" s="64">
        <f t="shared" si="201"/>
        <v>65000000000388</v>
      </c>
      <c r="AQ436" s="64">
        <f t="shared" si="202"/>
        <v>65000000000425</v>
      </c>
      <c r="AS436" s="64">
        <f t="shared" si="203"/>
        <v>65000000000425</v>
      </c>
      <c r="AU436" s="59" t="str">
        <f t="shared" si="224"/>
        <v>PERFORM * FROM "SchData-OLTP-Accounting"."Func_TblChartOfAccount_SET"(varSystemLoginSession, null, null, null, varInstitutionBranchID, 62000000000001::bigint,'6-2019.01', 'MV - Tyres, Tubes (IDR)', 62000000000001::bigint, '2016-01-01 00:00:00'::timestamp, null::timestamp, 65000000000425::bigint, 66000000000001::bigint);</v>
      </c>
      <c r="AV436" s="65">
        <f t="shared" si="225"/>
        <v>65000000000426</v>
      </c>
      <c r="AW436" s="65">
        <f t="shared" si="226"/>
        <v>65000000000425</v>
      </c>
      <c r="AY436" s="65">
        <f t="shared" si="216"/>
        <v>65000000000425</v>
      </c>
      <c r="BA436" s="78">
        <f t="shared" si="227"/>
        <v>65000000000426</v>
      </c>
      <c r="BB436" s="81" t="str">
        <f t="shared" si="217"/>
        <v>PERFORM * FROM "SchData-OLTP-Accounting"."Func_TblChartOfAccount_SET"(varSystemLoginSession, null, null, null, null, null, varInstitutionBranchID, 62000000000001::bigint,'6-2019.01', 'MV - Tyres, Tubes (IDR)', 62000000000001::bigint, '2016-01-01 00:00:00'::timestamp, null::timestamp, 65000000000425::bigint, 66000000000001::bigint, FALSE::boolean);</v>
      </c>
    </row>
    <row r="437" spans="2:54" x14ac:dyDescent="0.2">
      <c r="B437" s="41"/>
      <c r="C437" s="42"/>
      <c r="D437" s="43"/>
      <c r="E437" s="42"/>
      <c r="F437" s="43"/>
      <c r="G437" s="42"/>
      <c r="H437" s="51" t="s">
        <v>1620</v>
      </c>
      <c r="I437" s="18" t="s">
        <v>576</v>
      </c>
      <c r="J437" s="51"/>
      <c r="K437" s="18"/>
      <c r="L437" s="51"/>
      <c r="M437" s="18"/>
      <c r="O437" s="58" t="str">
        <f t="shared" si="204"/>
        <v>6-0000</v>
      </c>
      <c r="P437" s="58" t="str">
        <f t="shared" si="205"/>
        <v>6-2000</v>
      </c>
      <c r="Q437" s="58" t="str">
        <f t="shared" si="206"/>
        <v>2-1200</v>
      </c>
      <c r="R437" s="58" t="str">
        <f t="shared" si="207"/>
        <v>6-2020</v>
      </c>
      <c r="S437" s="58" t="str">
        <f t="shared" si="208"/>
        <v>6-2019.01</v>
      </c>
      <c r="T437" s="58" t="str">
        <f t="shared" si="209"/>
        <v xml:space="preserve"> </v>
      </c>
      <c r="V437" s="72">
        <f t="shared" si="210"/>
        <v>65000000000427</v>
      </c>
      <c r="W437" s="60">
        <f t="shared" si="211"/>
        <v>65000000000350</v>
      </c>
      <c r="X437" s="60">
        <f t="shared" si="212"/>
        <v>65000000000388</v>
      </c>
      <c r="Y437" s="60">
        <f t="shared" si="213"/>
        <v>65000000000147</v>
      </c>
      <c r="Z437" s="60">
        <f t="shared" si="214"/>
        <v>65000000000427</v>
      </c>
      <c r="AA437" s="60">
        <f t="shared" si="197"/>
        <v>65000000000426</v>
      </c>
      <c r="AB437" s="60">
        <f t="shared" si="215"/>
        <v>65000000000000</v>
      </c>
      <c r="AD437" s="60">
        <f t="shared" si="218"/>
        <v>6</v>
      </c>
      <c r="AE437" s="60">
        <f t="shared" si="219"/>
        <v>3</v>
      </c>
      <c r="AF437" s="60">
        <f t="shared" si="220"/>
        <v>1</v>
      </c>
      <c r="AG437" s="60">
        <f t="shared" si="221"/>
        <v>128</v>
      </c>
      <c r="AH437" s="60">
        <f t="shared" si="222"/>
        <v>1</v>
      </c>
      <c r="AI437" s="60">
        <f t="shared" si="223"/>
        <v>1</v>
      </c>
      <c r="AK437" s="68" t="str">
        <f t="shared" si="198"/>
        <v>L4</v>
      </c>
      <c r="AM437" s="64" t="s">
        <v>1755</v>
      </c>
      <c r="AN437" s="64">
        <f t="shared" si="199"/>
        <v>65000000000350</v>
      </c>
      <c r="AO437" s="64">
        <f t="shared" si="200"/>
        <v>65000000000388</v>
      </c>
      <c r="AP437" s="64">
        <f t="shared" si="201"/>
        <v>65000000000388</v>
      </c>
      <c r="AQ437" s="64">
        <f t="shared" si="202"/>
        <v>65000000000425</v>
      </c>
      <c r="AS437" s="64">
        <f t="shared" si="203"/>
        <v>65000000000388</v>
      </c>
      <c r="AU437" s="59" t="str">
        <f t="shared" si="224"/>
        <v>PERFORM * FROM "SchData-OLTP-Accounting"."Func_TblChartOfAccount_SET"(varSystemLoginSession, null, null, null, varInstitutionBranchID, 62000000000001::bigint,'6-2020', 'MV - Spare Parts', 62000000000001::bigint, '2016-01-01 00:00:00'::timestamp, null::timestamp, 65000000000388::bigint, 66000000000001::bigint);</v>
      </c>
      <c r="AV437" s="65">
        <f t="shared" si="225"/>
        <v>65000000000427</v>
      </c>
      <c r="AW437" s="65">
        <f t="shared" si="226"/>
        <v>65000000000388</v>
      </c>
      <c r="AY437" s="65">
        <f t="shared" si="216"/>
        <v>65000000000147</v>
      </c>
      <c r="BA437" s="78">
        <f t="shared" si="227"/>
        <v>65000000000427</v>
      </c>
      <c r="BB437" s="81" t="str">
        <f t="shared" si="217"/>
        <v>PERFORM * FROM "SchData-OLTP-Accounting"."Func_TblChartOfAccount_SET"(varSystemLoginSession, null, null, null, null, null, varInstitutionBranchID, 62000000000001::bigint,'6-2020', 'MV - Spare Parts', 62000000000001::bigint, '2016-01-01 00:00:00'::timestamp, null::timestamp, 65000000000388::bigint, 66000000000001::bigint, FALSE::boolean);</v>
      </c>
    </row>
    <row r="438" spans="2:54" x14ac:dyDescent="0.2">
      <c r="B438" s="41"/>
      <c r="C438" s="42"/>
      <c r="D438" s="43"/>
      <c r="E438" s="42"/>
      <c r="F438" s="43"/>
      <c r="G438" s="42"/>
      <c r="H438" s="51"/>
      <c r="I438" s="18"/>
      <c r="J438" s="51" t="s">
        <v>1621</v>
      </c>
      <c r="K438" s="18" t="s">
        <v>1389</v>
      </c>
      <c r="L438" s="51"/>
      <c r="M438" s="18"/>
      <c r="O438" s="58" t="str">
        <f t="shared" si="204"/>
        <v>6-0000</v>
      </c>
      <c r="P438" s="58" t="str">
        <f t="shared" si="205"/>
        <v>6-2000</v>
      </c>
      <c r="Q438" s="58" t="str">
        <f t="shared" si="206"/>
        <v>2-1200</v>
      </c>
      <c r="R438" s="58" t="str">
        <f t="shared" si="207"/>
        <v>6-2020</v>
      </c>
      <c r="S438" s="58" t="str">
        <f t="shared" si="208"/>
        <v>6-2020.01</v>
      </c>
      <c r="T438" s="58" t="str">
        <f t="shared" si="209"/>
        <v xml:space="preserve"> </v>
      </c>
      <c r="V438" s="72">
        <f t="shared" si="210"/>
        <v>65000000000428</v>
      </c>
      <c r="W438" s="60">
        <f t="shared" si="211"/>
        <v>65000000000350</v>
      </c>
      <c r="X438" s="60">
        <f t="shared" si="212"/>
        <v>65000000000388</v>
      </c>
      <c r="Y438" s="60">
        <f t="shared" si="213"/>
        <v>65000000000147</v>
      </c>
      <c r="Z438" s="60">
        <f t="shared" si="214"/>
        <v>65000000000427</v>
      </c>
      <c r="AA438" s="60">
        <f t="shared" si="197"/>
        <v>65000000000428</v>
      </c>
      <c r="AB438" s="60">
        <f t="shared" si="215"/>
        <v>65000000000000</v>
      </c>
      <c r="AD438" s="60">
        <f t="shared" si="218"/>
        <v>6</v>
      </c>
      <c r="AE438" s="60">
        <f t="shared" si="219"/>
        <v>3</v>
      </c>
      <c r="AF438" s="60">
        <f t="shared" si="220"/>
        <v>1</v>
      </c>
      <c r="AG438" s="60">
        <f t="shared" si="221"/>
        <v>128</v>
      </c>
      <c r="AH438" s="60">
        <f t="shared" si="222"/>
        <v>2</v>
      </c>
      <c r="AI438" s="60">
        <f t="shared" si="223"/>
        <v>1</v>
      </c>
      <c r="AK438" s="68" t="str">
        <f t="shared" si="198"/>
        <v>L5</v>
      </c>
      <c r="AM438" s="64" t="s">
        <v>1755</v>
      </c>
      <c r="AN438" s="64">
        <f t="shared" si="199"/>
        <v>65000000000350</v>
      </c>
      <c r="AO438" s="64">
        <f t="shared" si="200"/>
        <v>65000000000388</v>
      </c>
      <c r="AP438" s="64">
        <f t="shared" si="201"/>
        <v>65000000000388</v>
      </c>
      <c r="AQ438" s="64">
        <f t="shared" si="202"/>
        <v>65000000000427</v>
      </c>
      <c r="AS438" s="64">
        <f t="shared" si="203"/>
        <v>65000000000427</v>
      </c>
      <c r="AU438" s="59" t="str">
        <f t="shared" si="224"/>
        <v>PERFORM * FROM "SchData-OLTP-Accounting"."Func_TblChartOfAccount_SET"(varSystemLoginSession, null, null, null, varInstitutionBranchID, 62000000000001::bigint,'6-2020.01', 'MV - Spare Parts (IDR)', 62000000000001::bigint, '2016-01-01 00:00:00'::timestamp, null::timestamp, 65000000000427::bigint, 66000000000001::bigint);</v>
      </c>
      <c r="AV438" s="65">
        <f t="shared" si="225"/>
        <v>65000000000428</v>
      </c>
      <c r="AW438" s="65">
        <f t="shared" si="226"/>
        <v>65000000000427</v>
      </c>
      <c r="AY438" s="65">
        <f t="shared" si="216"/>
        <v>65000000000427</v>
      </c>
      <c r="BA438" s="78">
        <f t="shared" si="227"/>
        <v>65000000000428</v>
      </c>
      <c r="BB438" s="81" t="str">
        <f t="shared" si="217"/>
        <v>PERFORM * FROM "SchData-OLTP-Accounting"."Func_TblChartOfAccount_SET"(varSystemLoginSession, null, null, null, null, null, varInstitutionBranchID, 62000000000001::bigint,'6-2020.01', 'MV - Spare Parts (IDR)', 62000000000001::bigint, '2016-01-01 00:00:00'::timestamp, null::timestamp, 65000000000427::bigint, 66000000000001::bigint, FALSE::boolean);</v>
      </c>
    </row>
    <row r="439" spans="2:54" x14ac:dyDescent="0.2">
      <c r="B439" s="41"/>
      <c r="C439" s="42"/>
      <c r="D439" s="43"/>
      <c r="E439" s="42"/>
      <c r="F439" s="43"/>
      <c r="G439" s="42"/>
      <c r="H439" s="51" t="s">
        <v>1622</v>
      </c>
      <c r="I439" s="18" t="s">
        <v>578</v>
      </c>
      <c r="J439" s="51"/>
      <c r="K439" s="18"/>
      <c r="L439" s="51"/>
      <c r="M439" s="18"/>
      <c r="O439" s="58" t="str">
        <f t="shared" si="204"/>
        <v>6-0000</v>
      </c>
      <c r="P439" s="58" t="str">
        <f t="shared" si="205"/>
        <v>6-2000</v>
      </c>
      <c r="Q439" s="58" t="str">
        <f t="shared" si="206"/>
        <v>2-1200</v>
      </c>
      <c r="R439" s="58" t="str">
        <f t="shared" si="207"/>
        <v>6-2021</v>
      </c>
      <c r="S439" s="58" t="str">
        <f t="shared" si="208"/>
        <v>6-2020.01</v>
      </c>
      <c r="T439" s="58" t="str">
        <f t="shared" si="209"/>
        <v xml:space="preserve"> </v>
      </c>
      <c r="V439" s="72">
        <f t="shared" si="210"/>
        <v>65000000000429</v>
      </c>
      <c r="W439" s="60">
        <f t="shared" si="211"/>
        <v>65000000000350</v>
      </c>
      <c r="X439" s="60">
        <f t="shared" si="212"/>
        <v>65000000000388</v>
      </c>
      <c r="Y439" s="60">
        <f t="shared" si="213"/>
        <v>65000000000147</v>
      </c>
      <c r="Z439" s="60">
        <f t="shared" si="214"/>
        <v>65000000000429</v>
      </c>
      <c r="AA439" s="60">
        <f t="shared" si="197"/>
        <v>65000000000428</v>
      </c>
      <c r="AB439" s="60">
        <f t="shared" si="215"/>
        <v>65000000000000</v>
      </c>
      <c r="AD439" s="60">
        <f t="shared" si="218"/>
        <v>6</v>
      </c>
      <c r="AE439" s="60">
        <f t="shared" si="219"/>
        <v>3</v>
      </c>
      <c r="AF439" s="60">
        <f t="shared" si="220"/>
        <v>1</v>
      </c>
      <c r="AG439" s="60">
        <f t="shared" si="221"/>
        <v>129</v>
      </c>
      <c r="AH439" s="60">
        <f t="shared" si="222"/>
        <v>1</v>
      </c>
      <c r="AI439" s="60">
        <f t="shared" si="223"/>
        <v>1</v>
      </c>
      <c r="AK439" s="68" t="str">
        <f t="shared" si="198"/>
        <v>L4</v>
      </c>
      <c r="AM439" s="64" t="s">
        <v>1755</v>
      </c>
      <c r="AN439" s="64">
        <f t="shared" si="199"/>
        <v>65000000000350</v>
      </c>
      <c r="AO439" s="64">
        <f t="shared" si="200"/>
        <v>65000000000388</v>
      </c>
      <c r="AP439" s="64">
        <f t="shared" si="201"/>
        <v>65000000000388</v>
      </c>
      <c r="AQ439" s="64">
        <f t="shared" si="202"/>
        <v>65000000000427</v>
      </c>
      <c r="AS439" s="64">
        <f t="shared" si="203"/>
        <v>65000000000388</v>
      </c>
      <c r="AU439" s="59" t="str">
        <f t="shared" si="224"/>
        <v>PERFORM * FROM "SchData-OLTP-Accounting"."Func_TblChartOfAccount_SET"(varSystemLoginSession, null, null, null, varInstitutionBranchID, 62000000000001::bigint,'6-2021', 'MV - Accessories', 62000000000001::bigint, '2016-01-01 00:00:00'::timestamp, null::timestamp, 65000000000388::bigint, 66000000000001::bigint);</v>
      </c>
      <c r="AV439" s="65">
        <f t="shared" si="225"/>
        <v>65000000000429</v>
      </c>
      <c r="AW439" s="65">
        <f t="shared" si="226"/>
        <v>65000000000388</v>
      </c>
      <c r="AY439" s="65">
        <f t="shared" si="216"/>
        <v>65000000000147</v>
      </c>
      <c r="BA439" s="78">
        <f t="shared" si="227"/>
        <v>65000000000429</v>
      </c>
      <c r="BB439" s="81" t="str">
        <f t="shared" si="217"/>
        <v>PERFORM * FROM "SchData-OLTP-Accounting"."Func_TblChartOfAccount_SET"(varSystemLoginSession, null, null, null, null, null, varInstitutionBranchID, 62000000000001::bigint,'6-2021', 'MV - Accessories', 62000000000001::bigint, '2016-01-01 00:00:00'::timestamp, null::timestamp, 65000000000388::bigint, 66000000000001::bigint, FALSE::boolean);</v>
      </c>
    </row>
    <row r="440" spans="2:54" x14ac:dyDescent="0.2">
      <c r="B440" s="41"/>
      <c r="C440" s="42"/>
      <c r="D440" s="43"/>
      <c r="E440" s="42"/>
      <c r="F440" s="43"/>
      <c r="G440" s="42"/>
      <c r="H440" s="51"/>
      <c r="I440" s="18"/>
      <c r="J440" s="51" t="s">
        <v>1623</v>
      </c>
      <c r="K440" s="18" t="s">
        <v>1390</v>
      </c>
      <c r="L440" s="51"/>
      <c r="M440" s="18"/>
      <c r="O440" s="58" t="str">
        <f t="shared" si="204"/>
        <v>6-0000</v>
      </c>
      <c r="P440" s="58" t="str">
        <f t="shared" si="205"/>
        <v>6-2000</v>
      </c>
      <c r="Q440" s="58" t="str">
        <f t="shared" si="206"/>
        <v>2-1200</v>
      </c>
      <c r="R440" s="58" t="str">
        <f t="shared" si="207"/>
        <v>6-2021</v>
      </c>
      <c r="S440" s="58" t="str">
        <f t="shared" si="208"/>
        <v>6-2021.01</v>
      </c>
      <c r="T440" s="58" t="str">
        <f t="shared" si="209"/>
        <v xml:space="preserve"> </v>
      </c>
      <c r="V440" s="72">
        <f t="shared" si="210"/>
        <v>65000000000430</v>
      </c>
      <c r="W440" s="60">
        <f t="shared" si="211"/>
        <v>65000000000350</v>
      </c>
      <c r="X440" s="60">
        <f t="shared" si="212"/>
        <v>65000000000388</v>
      </c>
      <c r="Y440" s="60">
        <f t="shared" si="213"/>
        <v>65000000000147</v>
      </c>
      <c r="Z440" s="60">
        <f t="shared" si="214"/>
        <v>65000000000429</v>
      </c>
      <c r="AA440" s="60">
        <f t="shared" si="197"/>
        <v>65000000000430</v>
      </c>
      <c r="AB440" s="60">
        <f t="shared" si="215"/>
        <v>65000000000000</v>
      </c>
      <c r="AD440" s="60">
        <f t="shared" si="218"/>
        <v>6</v>
      </c>
      <c r="AE440" s="60">
        <f t="shared" si="219"/>
        <v>3</v>
      </c>
      <c r="AF440" s="60">
        <f t="shared" si="220"/>
        <v>1</v>
      </c>
      <c r="AG440" s="60">
        <f t="shared" si="221"/>
        <v>129</v>
      </c>
      <c r="AH440" s="60">
        <f t="shared" si="222"/>
        <v>2</v>
      </c>
      <c r="AI440" s="60">
        <f t="shared" si="223"/>
        <v>1</v>
      </c>
      <c r="AK440" s="68" t="str">
        <f t="shared" si="198"/>
        <v>L5</v>
      </c>
      <c r="AM440" s="64" t="s">
        <v>1755</v>
      </c>
      <c r="AN440" s="64">
        <f t="shared" si="199"/>
        <v>65000000000350</v>
      </c>
      <c r="AO440" s="64">
        <f t="shared" si="200"/>
        <v>65000000000388</v>
      </c>
      <c r="AP440" s="64">
        <f t="shared" si="201"/>
        <v>65000000000388</v>
      </c>
      <c r="AQ440" s="64">
        <f t="shared" si="202"/>
        <v>65000000000429</v>
      </c>
      <c r="AS440" s="64">
        <f t="shared" si="203"/>
        <v>65000000000429</v>
      </c>
      <c r="AU440" s="59" t="str">
        <f t="shared" si="224"/>
        <v>PERFORM * FROM "SchData-OLTP-Accounting"."Func_TblChartOfAccount_SET"(varSystemLoginSession, null, null, null, varInstitutionBranchID, 62000000000001::bigint,'6-2021.01', 'MV - Accessories (IDR)', 62000000000001::bigint, '2016-01-01 00:00:00'::timestamp, null::timestamp, 65000000000429::bigint, 66000000000001::bigint);</v>
      </c>
      <c r="AV440" s="65">
        <f t="shared" si="225"/>
        <v>65000000000430</v>
      </c>
      <c r="AW440" s="65">
        <f t="shared" si="226"/>
        <v>65000000000429</v>
      </c>
      <c r="AY440" s="65">
        <f t="shared" si="216"/>
        <v>65000000000429</v>
      </c>
      <c r="BA440" s="78">
        <f t="shared" si="227"/>
        <v>65000000000430</v>
      </c>
      <c r="BB440" s="81" t="str">
        <f t="shared" si="217"/>
        <v>PERFORM * FROM "SchData-OLTP-Accounting"."Func_TblChartOfAccount_SET"(varSystemLoginSession, null, null, null, null, null, varInstitutionBranchID, 62000000000001::bigint,'6-2021.01', 'MV - Accessories (IDR)', 62000000000001::bigint, '2016-01-01 00:00:00'::timestamp, null::timestamp, 65000000000429::bigint, 66000000000001::bigint, FALSE::boolean);</v>
      </c>
    </row>
    <row r="441" spans="2:54" x14ac:dyDescent="0.2">
      <c r="B441" s="41"/>
      <c r="C441" s="42"/>
      <c r="D441" s="43"/>
      <c r="E441" s="42"/>
      <c r="F441" s="43"/>
      <c r="G441" s="42"/>
      <c r="H441" s="51" t="s">
        <v>1624</v>
      </c>
      <c r="I441" s="18" t="s">
        <v>580</v>
      </c>
      <c r="J441" s="51"/>
      <c r="K441" s="18"/>
      <c r="L441" s="51"/>
      <c r="M441" s="18"/>
      <c r="O441" s="58" t="str">
        <f t="shared" si="204"/>
        <v>6-0000</v>
      </c>
      <c r="P441" s="58" t="str">
        <f t="shared" si="205"/>
        <v>6-2000</v>
      </c>
      <c r="Q441" s="58" t="str">
        <f t="shared" si="206"/>
        <v>2-1200</v>
      </c>
      <c r="R441" s="58" t="str">
        <f t="shared" si="207"/>
        <v>6-2022</v>
      </c>
      <c r="S441" s="58" t="str">
        <f t="shared" si="208"/>
        <v>6-2021.01</v>
      </c>
      <c r="T441" s="58" t="str">
        <f t="shared" si="209"/>
        <v xml:space="preserve"> </v>
      </c>
      <c r="V441" s="72">
        <f t="shared" si="210"/>
        <v>65000000000431</v>
      </c>
      <c r="W441" s="60">
        <f t="shared" si="211"/>
        <v>65000000000350</v>
      </c>
      <c r="X441" s="60">
        <f t="shared" si="212"/>
        <v>65000000000388</v>
      </c>
      <c r="Y441" s="60">
        <f t="shared" si="213"/>
        <v>65000000000147</v>
      </c>
      <c r="Z441" s="60">
        <f t="shared" si="214"/>
        <v>65000000000431</v>
      </c>
      <c r="AA441" s="60">
        <f t="shared" si="197"/>
        <v>65000000000430</v>
      </c>
      <c r="AB441" s="60">
        <f t="shared" si="215"/>
        <v>65000000000000</v>
      </c>
      <c r="AD441" s="60">
        <f t="shared" si="218"/>
        <v>6</v>
      </c>
      <c r="AE441" s="60">
        <f t="shared" si="219"/>
        <v>3</v>
      </c>
      <c r="AF441" s="60">
        <f t="shared" si="220"/>
        <v>1</v>
      </c>
      <c r="AG441" s="60">
        <f t="shared" si="221"/>
        <v>130</v>
      </c>
      <c r="AH441" s="60">
        <f t="shared" si="222"/>
        <v>1</v>
      </c>
      <c r="AI441" s="60">
        <f t="shared" si="223"/>
        <v>1</v>
      </c>
      <c r="AK441" s="68" t="str">
        <f t="shared" si="198"/>
        <v>L4</v>
      </c>
      <c r="AM441" s="64" t="s">
        <v>1755</v>
      </c>
      <c r="AN441" s="64">
        <f t="shared" si="199"/>
        <v>65000000000350</v>
      </c>
      <c r="AO441" s="64">
        <f t="shared" si="200"/>
        <v>65000000000388</v>
      </c>
      <c r="AP441" s="64">
        <f t="shared" si="201"/>
        <v>65000000000388</v>
      </c>
      <c r="AQ441" s="64">
        <f t="shared" si="202"/>
        <v>65000000000429</v>
      </c>
      <c r="AS441" s="64">
        <f t="shared" si="203"/>
        <v>65000000000388</v>
      </c>
      <c r="AU441" s="59" t="str">
        <f t="shared" si="224"/>
        <v>PERFORM * FROM "SchData-OLTP-Accounting"."Func_TblChartOfAccount_SET"(varSystemLoginSession, null, null, null, varInstitutionBranchID, 62000000000001::bigint,'6-2022', 'MV - Other', 62000000000001::bigint, '2016-01-01 00:00:00'::timestamp, null::timestamp, 65000000000388::bigint, 66000000000001::bigint);</v>
      </c>
      <c r="AV441" s="65">
        <f t="shared" si="225"/>
        <v>65000000000431</v>
      </c>
      <c r="AW441" s="65">
        <f t="shared" si="226"/>
        <v>65000000000388</v>
      </c>
      <c r="AY441" s="65">
        <f t="shared" si="216"/>
        <v>65000000000147</v>
      </c>
      <c r="BA441" s="78">
        <f t="shared" si="227"/>
        <v>65000000000431</v>
      </c>
      <c r="BB441" s="81" t="str">
        <f t="shared" si="217"/>
        <v>PERFORM * FROM "SchData-OLTP-Accounting"."Func_TblChartOfAccount_SET"(varSystemLoginSession, null, null, null, null, null, varInstitutionBranchID, 62000000000001::bigint,'6-2022', 'MV - Other', 62000000000001::bigint, '2016-01-01 00:00:00'::timestamp, null::timestamp, 65000000000388::bigint, 66000000000001::bigint, FALSE::boolean);</v>
      </c>
    </row>
    <row r="442" spans="2:54" x14ac:dyDescent="0.2">
      <c r="B442" s="41"/>
      <c r="C442" s="42"/>
      <c r="D442" s="43"/>
      <c r="E442" s="42"/>
      <c r="F442" s="43"/>
      <c r="G442" s="42"/>
      <c r="H442" s="51"/>
      <c r="I442" s="18"/>
      <c r="J442" s="51" t="s">
        <v>1625</v>
      </c>
      <c r="K442" s="18" t="s">
        <v>1391</v>
      </c>
      <c r="L442" s="51"/>
      <c r="M442" s="18"/>
      <c r="O442" s="58" t="str">
        <f t="shared" si="204"/>
        <v>6-0000</v>
      </c>
      <c r="P442" s="58" t="str">
        <f t="shared" si="205"/>
        <v>6-2000</v>
      </c>
      <c r="Q442" s="58" t="str">
        <f t="shared" si="206"/>
        <v>2-1200</v>
      </c>
      <c r="R442" s="58" t="str">
        <f t="shared" si="207"/>
        <v>6-2022</v>
      </c>
      <c r="S442" s="58" t="str">
        <f t="shared" si="208"/>
        <v>6-2022.01</v>
      </c>
      <c r="T442" s="58" t="str">
        <f t="shared" si="209"/>
        <v xml:space="preserve"> </v>
      </c>
      <c r="V442" s="72">
        <f t="shared" si="210"/>
        <v>65000000000432</v>
      </c>
      <c r="W442" s="60">
        <f t="shared" si="211"/>
        <v>65000000000350</v>
      </c>
      <c r="X442" s="60">
        <f t="shared" si="212"/>
        <v>65000000000388</v>
      </c>
      <c r="Y442" s="60">
        <f t="shared" si="213"/>
        <v>65000000000147</v>
      </c>
      <c r="Z442" s="60">
        <f t="shared" si="214"/>
        <v>65000000000431</v>
      </c>
      <c r="AA442" s="60">
        <f t="shared" si="197"/>
        <v>65000000000432</v>
      </c>
      <c r="AB442" s="60">
        <f t="shared" si="215"/>
        <v>65000000000000</v>
      </c>
      <c r="AD442" s="60">
        <f t="shared" si="218"/>
        <v>6</v>
      </c>
      <c r="AE442" s="60">
        <f t="shared" si="219"/>
        <v>3</v>
      </c>
      <c r="AF442" s="60">
        <f t="shared" si="220"/>
        <v>1</v>
      </c>
      <c r="AG442" s="60">
        <f t="shared" si="221"/>
        <v>130</v>
      </c>
      <c r="AH442" s="60">
        <f t="shared" si="222"/>
        <v>2</v>
      </c>
      <c r="AI442" s="60">
        <f t="shared" si="223"/>
        <v>1</v>
      </c>
      <c r="AK442" s="68" t="str">
        <f t="shared" si="198"/>
        <v>L5</v>
      </c>
      <c r="AM442" s="64" t="s">
        <v>1755</v>
      </c>
      <c r="AN442" s="64">
        <f t="shared" si="199"/>
        <v>65000000000350</v>
      </c>
      <c r="AO442" s="64">
        <f t="shared" si="200"/>
        <v>65000000000388</v>
      </c>
      <c r="AP442" s="64">
        <f t="shared" si="201"/>
        <v>65000000000388</v>
      </c>
      <c r="AQ442" s="64">
        <f t="shared" si="202"/>
        <v>65000000000431</v>
      </c>
      <c r="AS442" s="64">
        <f t="shared" si="203"/>
        <v>65000000000431</v>
      </c>
      <c r="AU442" s="59" t="str">
        <f t="shared" si="224"/>
        <v>PERFORM * FROM "SchData-OLTP-Accounting"."Func_TblChartOfAccount_SET"(varSystemLoginSession, null, null, null, varInstitutionBranchID, 62000000000001::bigint,'6-2022.01', 'MV - Other (IDR)', 62000000000001::bigint, '2016-01-01 00:00:00'::timestamp, null::timestamp, 65000000000431::bigint, 66000000000001::bigint);</v>
      </c>
      <c r="AV442" s="65">
        <f t="shared" si="225"/>
        <v>65000000000432</v>
      </c>
      <c r="AW442" s="65">
        <f t="shared" si="226"/>
        <v>65000000000431</v>
      </c>
      <c r="AY442" s="65">
        <f t="shared" si="216"/>
        <v>65000000000431</v>
      </c>
      <c r="BA442" s="78">
        <f t="shared" si="227"/>
        <v>65000000000432</v>
      </c>
      <c r="BB442" s="81" t="str">
        <f t="shared" si="217"/>
        <v>PERFORM * FROM "SchData-OLTP-Accounting"."Func_TblChartOfAccount_SET"(varSystemLoginSession, null, null, null, null, null, varInstitutionBranchID, 62000000000001::bigint,'6-2022.01', 'MV - Other (IDR)', 62000000000001::bigint, '2016-01-01 00:00:00'::timestamp, null::timestamp, 65000000000431::bigint, 66000000000001::bigint, FALSE::boolean);</v>
      </c>
    </row>
    <row r="443" spans="2:54" x14ac:dyDescent="0.2">
      <c r="B443" s="41"/>
      <c r="C443" s="42"/>
      <c r="D443" s="43"/>
      <c r="E443" s="42"/>
      <c r="F443" s="43"/>
      <c r="G443" s="42"/>
      <c r="H443" s="51" t="s">
        <v>1626</v>
      </c>
      <c r="I443" s="18" t="s">
        <v>453</v>
      </c>
      <c r="J443" s="51"/>
      <c r="K443" s="18"/>
      <c r="L443" s="51"/>
      <c r="M443" s="18"/>
      <c r="O443" s="58" t="str">
        <f t="shared" si="204"/>
        <v>6-0000</v>
      </c>
      <c r="P443" s="58" t="str">
        <f t="shared" si="205"/>
        <v>6-2000</v>
      </c>
      <c r="Q443" s="58" t="str">
        <f t="shared" si="206"/>
        <v>2-1200</v>
      </c>
      <c r="R443" s="58" t="str">
        <f t="shared" si="207"/>
        <v>6-2023</v>
      </c>
      <c r="S443" s="58" t="str">
        <f t="shared" si="208"/>
        <v>6-2022.01</v>
      </c>
      <c r="T443" s="58" t="str">
        <f t="shared" si="209"/>
        <v xml:space="preserve"> </v>
      </c>
      <c r="V443" s="72">
        <f t="shared" si="210"/>
        <v>65000000000433</v>
      </c>
      <c r="W443" s="60">
        <f t="shared" si="211"/>
        <v>65000000000350</v>
      </c>
      <c r="X443" s="60">
        <f t="shared" si="212"/>
        <v>65000000000388</v>
      </c>
      <c r="Y443" s="60">
        <f t="shared" si="213"/>
        <v>65000000000147</v>
      </c>
      <c r="Z443" s="60">
        <f t="shared" si="214"/>
        <v>65000000000433</v>
      </c>
      <c r="AA443" s="60">
        <f t="shared" si="197"/>
        <v>65000000000432</v>
      </c>
      <c r="AB443" s="60">
        <f t="shared" si="215"/>
        <v>65000000000000</v>
      </c>
      <c r="AD443" s="60">
        <f t="shared" si="218"/>
        <v>6</v>
      </c>
      <c r="AE443" s="60">
        <f t="shared" si="219"/>
        <v>3</v>
      </c>
      <c r="AF443" s="60">
        <f t="shared" si="220"/>
        <v>1</v>
      </c>
      <c r="AG443" s="60">
        <f t="shared" si="221"/>
        <v>131</v>
      </c>
      <c r="AH443" s="60">
        <f t="shared" si="222"/>
        <v>1</v>
      </c>
      <c r="AI443" s="60">
        <f t="shared" si="223"/>
        <v>1</v>
      </c>
      <c r="AK443" s="68" t="str">
        <f t="shared" si="198"/>
        <v>L4</v>
      </c>
      <c r="AM443" s="64" t="s">
        <v>1755</v>
      </c>
      <c r="AN443" s="64">
        <f t="shared" si="199"/>
        <v>65000000000350</v>
      </c>
      <c r="AO443" s="64">
        <f t="shared" si="200"/>
        <v>65000000000388</v>
      </c>
      <c r="AP443" s="64">
        <f t="shared" si="201"/>
        <v>65000000000388</v>
      </c>
      <c r="AQ443" s="64">
        <f t="shared" si="202"/>
        <v>65000000000431</v>
      </c>
      <c r="AS443" s="64">
        <f t="shared" si="203"/>
        <v>65000000000388</v>
      </c>
      <c r="AU443" s="59" t="str">
        <f t="shared" si="224"/>
        <v>PERFORM * FROM "SchData-OLTP-Accounting"."Func_TblChartOfAccount_SET"(varSystemLoginSession, null, null, null, varInstitutionBranchID, 62000000000001::bigint,'6-2023', 'Travel &amp; Fares', 62000000000001::bigint, '2016-01-01 00:00:00'::timestamp, null::timestamp, 65000000000388::bigint, 66000000000001::bigint);</v>
      </c>
      <c r="AV443" s="65">
        <f t="shared" si="225"/>
        <v>65000000000433</v>
      </c>
      <c r="AW443" s="65">
        <f t="shared" si="226"/>
        <v>65000000000388</v>
      </c>
      <c r="AY443" s="65">
        <f t="shared" si="216"/>
        <v>65000000000147</v>
      </c>
      <c r="BA443" s="78">
        <f t="shared" si="227"/>
        <v>65000000000433</v>
      </c>
      <c r="BB443" s="81" t="str">
        <f t="shared" si="217"/>
        <v>PERFORM * FROM "SchData-OLTP-Accounting"."Func_TblChartOfAccount_SET"(varSystemLoginSession, null, null, null, null, null, varInstitutionBranchID, 62000000000001::bigint,'6-2023', 'Travel &amp; Fares', 62000000000001::bigint, '2016-01-01 00:00:00'::timestamp, null::timestamp, 65000000000388::bigint, 66000000000001::bigint, FALSE::boolean);</v>
      </c>
    </row>
    <row r="444" spans="2:54" x14ac:dyDescent="0.2">
      <c r="B444" s="41"/>
      <c r="C444" s="42"/>
      <c r="D444" s="43"/>
      <c r="E444" s="42"/>
      <c r="F444" s="43"/>
      <c r="G444" s="42"/>
      <c r="H444" s="51"/>
      <c r="I444" s="18"/>
      <c r="J444" s="51" t="s">
        <v>1627</v>
      </c>
      <c r="K444" s="18" t="s">
        <v>1330</v>
      </c>
      <c r="L444" s="51"/>
      <c r="M444" s="18"/>
      <c r="O444" s="58" t="str">
        <f t="shared" si="204"/>
        <v>6-0000</v>
      </c>
      <c r="P444" s="58" t="str">
        <f t="shared" si="205"/>
        <v>6-2000</v>
      </c>
      <c r="Q444" s="58" t="str">
        <f t="shared" si="206"/>
        <v>2-1200</v>
      </c>
      <c r="R444" s="58" t="str">
        <f t="shared" si="207"/>
        <v>6-2023</v>
      </c>
      <c r="S444" s="58" t="str">
        <f t="shared" si="208"/>
        <v>6-2023.01</v>
      </c>
      <c r="T444" s="58" t="str">
        <f t="shared" si="209"/>
        <v xml:space="preserve"> </v>
      </c>
      <c r="V444" s="72">
        <f t="shared" si="210"/>
        <v>65000000000434</v>
      </c>
      <c r="W444" s="60">
        <f t="shared" si="211"/>
        <v>65000000000350</v>
      </c>
      <c r="X444" s="60">
        <f t="shared" si="212"/>
        <v>65000000000388</v>
      </c>
      <c r="Y444" s="60">
        <f t="shared" si="213"/>
        <v>65000000000147</v>
      </c>
      <c r="Z444" s="60">
        <f t="shared" si="214"/>
        <v>65000000000433</v>
      </c>
      <c r="AA444" s="60">
        <f t="shared" si="197"/>
        <v>65000000000434</v>
      </c>
      <c r="AB444" s="60">
        <f t="shared" si="215"/>
        <v>65000000000000</v>
      </c>
      <c r="AD444" s="60">
        <f t="shared" si="218"/>
        <v>6</v>
      </c>
      <c r="AE444" s="60">
        <f t="shared" si="219"/>
        <v>3</v>
      </c>
      <c r="AF444" s="60">
        <f t="shared" si="220"/>
        <v>1</v>
      </c>
      <c r="AG444" s="60">
        <f t="shared" si="221"/>
        <v>131</v>
      </c>
      <c r="AH444" s="60">
        <f t="shared" si="222"/>
        <v>2</v>
      </c>
      <c r="AI444" s="60">
        <f t="shared" si="223"/>
        <v>1</v>
      </c>
      <c r="AK444" s="68" t="str">
        <f t="shared" si="198"/>
        <v>L5</v>
      </c>
      <c r="AM444" s="64" t="s">
        <v>1755</v>
      </c>
      <c r="AN444" s="64">
        <f t="shared" si="199"/>
        <v>65000000000350</v>
      </c>
      <c r="AO444" s="64">
        <f t="shared" si="200"/>
        <v>65000000000388</v>
      </c>
      <c r="AP444" s="64">
        <f t="shared" si="201"/>
        <v>65000000000388</v>
      </c>
      <c r="AQ444" s="64">
        <f t="shared" si="202"/>
        <v>65000000000433</v>
      </c>
      <c r="AS444" s="64">
        <f t="shared" si="203"/>
        <v>65000000000433</v>
      </c>
      <c r="AU444" s="59" t="str">
        <f t="shared" si="224"/>
        <v>PERFORM * FROM "SchData-OLTP-Accounting"."Func_TblChartOfAccount_SET"(varSystemLoginSession, null, null, null, varInstitutionBranchID, 62000000000001::bigint,'6-2023.01', 'Travel &amp; Fares (IDR)', 62000000000001::bigint, '2016-01-01 00:00:00'::timestamp, null::timestamp, 65000000000433::bigint, 66000000000001::bigint);</v>
      </c>
      <c r="AV444" s="65">
        <f t="shared" si="225"/>
        <v>65000000000434</v>
      </c>
      <c r="AW444" s="65">
        <f t="shared" si="226"/>
        <v>65000000000433</v>
      </c>
      <c r="AY444" s="65">
        <f t="shared" si="216"/>
        <v>65000000000433</v>
      </c>
      <c r="BA444" s="78">
        <f t="shared" si="227"/>
        <v>65000000000434</v>
      </c>
      <c r="BB444" s="81" t="str">
        <f t="shared" si="217"/>
        <v>PERFORM * FROM "SchData-OLTP-Accounting"."Func_TblChartOfAccount_SET"(varSystemLoginSession, null, null, null, null, null, varInstitutionBranchID, 62000000000001::bigint,'6-2023.01', 'Travel &amp; Fares (IDR)', 62000000000001::bigint, '2016-01-01 00:00:00'::timestamp, null::timestamp, 65000000000433::bigint, 66000000000001::bigint, FALSE::boolean);</v>
      </c>
    </row>
    <row r="445" spans="2:54" x14ac:dyDescent="0.2">
      <c r="B445" s="41"/>
      <c r="C445" s="42"/>
      <c r="D445" s="43"/>
      <c r="E445" s="42"/>
      <c r="F445" s="43"/>
      <c r="G445" s="42"/>
      <c r="H445" s="51" t="s">
        <v>1628</v>
      </c>
      <c r="I445" s="18" t="s">
        <v>1172</v>
      </c>
      <c r="J445" s="51"/>
      <c r="K445" s="18"/>
      <c r="L445" s="51"/>
      <c r="M445" s="18"/>
      <c r="O445" s="58" t="str">
        <f t="shared" si="204"/>
        <v>6-0000</v>
      </c>
      <c r="P445" s="58" t="str">
        <f t="shared" si="205"/>
        <v>6-2000</v>
      </c>
      <c r="Q445" s="58" t="str">
        <f t="shared" si="206"/>
        <v>2-1200</v>
      </c>
      <c r="R445" s="58" t="str">
        <f t="shared" si="207"/>
        <v>6-2024</v>
      </c>
      <c r="S445" s="58" t="str">
        <f t="shared" si="208"/>
        <v>6-2023.01</v>
      </c>
      <c r="T445" s="58" t="str">
        <f t="shared" si="209"/>
        <v xml:space="preserve"> </v>
      </c>
      <c r="V445" s="72">
        <f t="shared" si="210"/>
        <v>65000000000435</v>
      </c>
      <c r="W445" s="60">
        <f t="shared" si="211"/>
        <v>65000000000350</v>
      </c>
      <c r="X445" s="60">
        <f t="shared" si="212"/>
        <v>65000000000388</v>
      </c>
      <c r="Y445" s="60">
        <f t="shared" si="213"/>
        <v>65000000000147</v>
      </c>
      <c r="Z445" s="60">
        <f t="shared" si="214"/>
        <v>65000000000435</v>
      </c>
      <c r="AA445" s="60">
        <f t="shared" si="197"/>
        <v>65000000000434</v>
      </c>
      <c r="AB445" s="60">
        <f t="shared" si="215"/>
        <v>65000000000000</v>
      </c>
      <c r="AD445" s="60">
        <f t="shared" si="218"/>
        <v>6</v>
      </c>
      <c r="AE445" s="60">
        <f t="shared" si="219"/>
        <v>3</v>
      </c>
      <c r="AF445" s="60">
        <f t="shared" si="220"/>
        <v>1</v>
      </c>
      <c r="AG445" s="60">
        <f t="shared" si="221"/>
        <v>132</v>
      </c>
      <c r="AH445" s="60">
        <f t="shared" si="222"/>
        <v>1</v>
      </c>
      <c r="AI445" s="60">
        <f t="shared" si="223"/>
        <v>1</v>
      </c>
      <c r="AK445" s="68" t="str">
        <f t="shared" si="198"/>
        <v>L4</v>
      </c>
      <c r="AM445" s="64" t="s">
        <v>1755</v>
      </c>
      <c r="AN445" s="64">
        <f t="shared" si="199"/>
        <v>65000000000350</v>
      </c>
      <c r="AO445" s="64">
        <f t="shared" si="200"/>
        <v>65000000000388</v>
      </c>
      <c r="AP445" s="64">
        <f t="shared" si="201"/>
        <v>65000000000388</v>
      </c>
      <c r="AQ445" s="64">
        <f t="shared" si="202"/>
        <v>65000000000433</v>
      </c>
      <c r="AS445" s="64">
        <f t="shared" si="203"/>
        <v>65000000000388</v>
      </c>
      <c r="AU445" s="59" t="str">
        <f t="shared" si="224"/>
        <v>PERFORM * FROM "SchData-OLTP-Accounting"."Func_TblChartOfAccount_SET"(varSystemLoginSession, null, null, null, varInstitutionBranchID, 62000000000001::bigint,'6-2024', 'Travel &amp;Fares - Sales', 62000000000001::bigint, '2016-01-01 00:00:00'::timestamp, null::timestamp, 65000000000388::bigint, 66000000000001::bigint);</v>
      </c>
      <c r="AV445" s="65">
        <f t="shared" si="225"/>
        <v>65000000000435</v>
      </c>
      <c r="AW445" s="65">
        <f t="shared" si="226"/>
        <v>65000000000388</v>
      </c>
      <c r="AY445" s="65">
        <f t="shared" si="216"/>
        <v>65000000000147</v>
      </c>
      <c r="BA445" s="78">
        <f t="shared" si="227"/>
        <v>65000000000435</v>
      </c>
      <c r="BB445" s="81" t="str">
        <f t="shared" si="217"/>
        <v>PERFORM * FROM "SchData-OLTP-Accounting"."Func_TblChartOfAccount_SET"(varSystemLoginSession, null, null, null, null, null, varInstitutionBranchID, 62000000000001::bigint,'6-2024', 'Travel &amp;Fares - Sales', 62000000000001::bigint, '2016-01-01 00:00:00'::timestamp, null::timestamp, 65000000000388::bigint, 66000000000001::bigint, FALSE::boolean);</v>
      </c>
    </row>
    <row r="446" spans="2:54" x14ac:dyDescent="0.2">
      <c r="B446" s="41"/>
      <c r="C446" s="42"/>
      <c r="D446" s="43"/>
      <c r="E446" s="42"/>
      <c r="F446" s="43"/>
      <c r="G446" s="42"/>
      <c r="H446" s="51"/>
      <c r="I446" s="18"/>
      <c r="J446" s="51" t="s">
        <v>1629</v>
      </c>
      <c r="K446" s="18" t="s">
        <v>1392</v>
      </c>
      <c r="L446" s="51"/>
      <c r="M446" s="18"/>
      <c r="O446" s="58" t="str">
        <f t="shared" si="204"/>
        <v>6-0000</v>
      </c>
      <c r="P446" s="58" t="str">
        <f t="shared" si="205"/>
        <v>6-2000</v>
      </c>
      <c r="Q446" s="58" t="str">
        <f t="shared" si="206"/>
        <v>2-1200</v>
      </c>
      <c r="R446" s="58" t="str">
        <f t="shared" si="207"/>
        <v>6-2024</v>
      </c>
      <c r="S446" s="58" t="str">
        <f t="shared" si="208"/>
        <v>6-2024.01</v>
      </c>
      <c r="T446" s="58" t="str">
        <f t="shared" si="209"/>
        <v xml:space="preserve"> </v>
      </c>
      <c r="V446" s="72">
        <f t="shared" si="210"/>
        <v>65000000000436</v>
      </c>
      <c r="W446" s="60">
        <f t="shared" si="211"/>
        <v>65000000000350</v>
      </c>
      <c r="X446" s="60">
        <f t="shared" si="212"/>
        <v>65000000000388</v>
      </c>
      <c r="Y446" s="60">
        <f t="shared" si="213"/>
        <v>65000000000147</v>
      </c>
      <c r="Z446" s="60">
        <f t="shared" si="214"/>
        <v>65000000000435</v>
      </c>
      <c r="AA446" s="60">
        <f t="shared" si="197"/>
        <v>65000000000436</v>
      </c>
      <c r="AB446" s="60">
        <f t="shared" si="215"/>
        <v>65000000000000</v>
      </c>
      <c r="AD446" s="60">
        <f t="shared" si="218"/>
        <v>6</v>
      </c>
      <c r="AE446" s="60">
        <f t="shared" si="219"/>
        <v>3</v>
      </c>
      <c r="AF446" s="60">
        <f t="shared" si="220"/>
        <v>1</v>
      </c>
      <c r="AG446" s="60">
        <f t="shared" si="221"/>
        <v>132</v>
      </c>
      <c r="AH446" s="60">
        <f t="shared" si="222"/>
        <v>2</v>
      </c>
      <c r="AI446" s="60">
        <f t="shared" si="223"/>
        <v>1</v>
      </c>
      <c r="AK446" s="68" t="str">
        <f t="shared" si="198"/>
        <v>L5</v>
      </c>
      <c r="AM446" s="64" t="s">
        <v>1755</v>
      </c>
      <c r="AN446" s="64">
        <f t="shared" si="199"/>
        <v>65000000000350</v>
      </c>
      <c r="AO446" s="64">
        <f t="shared" si="200"/>
        <v>65000000000388</v>
      </c>
      <c r="AP446" s="64">
        <f t="shared" si="201"/>
        <v>65000000000388</v>
      </c>
      <c r="AQ446" s="64">
        <f t="shared" si="202"/>
        <v>65000000000435</v>
      </c>
      <c r="AS446" s="64">
        <f t="shared" si="203"/>
        <v>65000000000435</v>
      </c>
      <c r="AU446" s="59" t="str">
        <f t="shared" si="224"/>
        <v>PERFORM * FROM "SchData-OLTP-Accounting"."Func_TblChartOfAccount_SET"(varSystemLoginSession, null, null, null, varInstitutionBranchID, 62000000000001::bigint,'6-2024.01', 'Travel &amp;Fares - Sales (IDR)', 62000000000001::bigint, '2016-01-01 00:00:00'::timestamp, null::timestamp, 65000000000435::bigint, 66000000000001::bigint);</v>
      </c>
      <c r="AV446" s="65">
        <f t="shared" si="225"/>
        <v>65000000000436</v>
      </c>
      <c r="AW446" s="65">
        <f t="shared" si="226"/>
        <v>65000000000435</v>
      </c>
      <c r="AY446" s="65">
        <f t="shared" si="216"/>
        <v>65000000000435</v>
      </c>
      <c r="BA446" s="78">
        <f t="shared" si="227"/>
        <v>65000000000436</v>
      </c>
      <c r="BB446" s="81" t="str">
        <f t="shared" si="217"/>
        <v>PERFORM * FROM "SchData-OLTP-Accounting"."Func_TblChartOfAccount_SET"(varSystemLoginSession, null, null, null, null, null, varInstitutionBranchID, 62000000000001::bigint,'6-2024.01', 'Travel &amp;Fares - Sales (IDR)', 62000000000001::bigint, '2016-01-01 00:00:00'::timestamp, null::timestamp, 65000000000435::bigint, 66000000000001::bigint, FALSE::boolean);</v>
      </c>
    </row>
    <row r="447" spans="2:54" x14ac:dyDescent="0.2">
      <c r="B447" s="41"/>
      <c r="C447" s="42"/>
      <c r="D447" s="43"/>
      <c r="E447" s="42"/>
      <c r="F447" s="43"/>
      <c r="G447" s="42"/>
      <c r="H447" s="51" t="s">
        <v>1630</v>
      </c>
      <c r="I447" s="18" t="s">
        <v>427</v>
      </c>
      <c r="J447" s="51"/>
      <c r="K447" s="18"/>
      <c r="L447" s="51"/>
      <c r="M447" s="18"/>
      <c r="O447" s="58" t="str">
        <f t="shared" si="204"/>
        <v>6-0000</v>
      </c>
      <c r="P447" s="58" t="str">
        <f t="shared" si="205"/>
        <v>6-2000</v>
      </c>
      <c r="Q447" s="58" t="str">
        <f t="shared" si="206"/>
        <v>2-1200</v>
      </c>
      <c r="R447" s="58" t="str">
        <f t="shared" si="207"/>
        <v>6-2025</v>
      </c>
      <c r="S447" s="58" t="str">
        <f t="shared" si="208"/>
        <v>6-2024.01</v>
      </c>
      <c r="T447" s="58" t="str">
        <f t="shared" si="209"/>
        <v xml:space="preserve"> </v>
      </c>
      <c r="V447" s="72">
        <f t="shared" si="210"/>
        <v>65000000000437</v>
      </c>
      <c r="W447" s="60">
        <f t="shared" si="211"/>
        <v>65000000000350</v>
      </c>
      <c r="X447" s="60">
        <f t="shared" si="212"/>
        <v>65000000000388</v>
      </c>
      <c r="Y447" s="60">
        <f t="shared" si="213"/>
        <v>65000000000147</v>
      </c>
      <c r="Z447" s="60">
        <f t="shared" si="214"/>
        <v>65000000000437</v>
      </c>
      <c r="AA447" s="60">
        <f t="shared" si="197"/>
        <v>65000000000436</v>
      </c>
      <c r="AB447" s="60">
        <f t="shared" si="215"/>
        <v>65000000000000</v>
      </c>
      <c r="AD447" s="60">
        <f t="shared" si="218"/>
        <v>6</v>
      </c>
      <c r="AE447" s="60">
        <f t="shared" si="219"/>
        <v>3</v>
      </c>
      <c r="AF447" s="60">
        <f t="shared" si="220"/>
        <v>1</v>
      </c>
      <c r="AG447" s="60">
        <f t="shared" si="221"/>
        <v>133</v>
      </c>
      <c r="AH447" s="60">
        <f t="shared" si="222"/>
        <v>1</v>
      </c>
      <c r="AI447" s="60">
        <f t="shared" si="223"/>
        <v>1</v>
      </c>
      <c r="AK447" s="68" t="str">
        <f t="shared" si="198"/>
        <v>L4</v>
      </c>
      <c r="AM447" s="64" t="s">
        <v>1755</v>
      </c>
      <c r="AN447" s="64">
        <f t="shared" si="199"/>
        <v>65000000000350</v>
      </c>
      <c r="AO447" s="64">
        <f t="shared" si="200"/>
        <v>65000000000388</v>
      </c>
      <c r="AP447" s="64">
        <f t="shared" si="201"/>
        <v>65000000000388</v>
      </c>
      <c r="AQ447" s="64">
        <f t="shared" si="202"/>
        <v>65000000000435</v>
      </c>
      <c r="AS447" s="64">
        <f t="shared" si="203"/>
        <v>65000000000388</v>
      </c>
      <c r="AU447" s="59" t="str">
        <f t="shared" si="224"/>
        <v>PERFORM * FROM "SchData-OLTP-Accounting"."Func_TblChartOfAccount_SET"(varSystemLoginSession, null, null, null, varInstitutionBranchID, 62000000000001::bigint,'6-2025', 'Property Rental/Lease', 62000000000001::bigint, '2016-01-01 00:00:00'::timestamp, null::timestamp, 65000000000388::bigint, 66000000000001::bigint);</v>
      </c>
      <c r="AV447" s="65">
        <f t="shared" si="225"/>
        <v>65000000000437</v>
      </c>
      <c r="AW447" s="65">
        <f t="shared" si="226"/>
        <v>65000000000388</v>
      </c>
      <c r="AY447" s="65">
        <f t="shared" si="216"/>
        <v>65000000000147</v>
      </c>
      <c r="BA447" s="78">
        <f t="shared" si="227"/>
        <v>65000000000437</v>
      </c>
      <c r="BB447" s="81" t="str">
        <f t="shared" si="217"/>
        <v>PERFORM * FROM "SchData-OLTP-Accounting"."Func_TblChartOfAccount_SET"(varSystemLoginSession, null, null, null, null, null, varInstitutionBranchID, 62000000000001::bigint,'6-2025', 'Property Rental/Lease', 62000000000001::bigint, '2016-01-01 00:00:00'::timestamp, null::timestamp, 65000000000388::bigint, 66000000000001::bigint, FALSE::boolean);</v>
      </c>
    </row>
    <row r="448" spans="2:54" x14ac:dyDescent="0.2">
      <c r="B448" s="41"/>
      <c r="C448" s="42"/>
      <c r="D448" s="43"/>
      <c r="E448" s="42"/>
      <c r="F448" s="43"/>
      <c r="G448" s="42"/>
      <c r="H448" s="51"/>
      <c r="I448" s="18"/>
      <c r="J448" s="51" t="s">
        <v>1631</v>
      </c>
      <c r="K448" s="18" t="s">
        <v>1317</v>
      </c>
      <c r="L448" s="51"/>
      <c r="M448" s="18"/>
      <c r="O448" s="58" t="str">
        <f t="shared" si="204"/>
        <v>6-0000</v>
      </c>
      <c r="P448" s="58" t="str">
        <f t="shared" si="205"/>
        <v>6-2000</v>
      </c>
      <c r="Q448" s="58" t="str">
        <f t="shared" si="206"/>
        <v>2-1200</v>
      </c>
      <c r="R448" s="58" t="str">
        <f t="shared" si="207"/>
        <v>6-2025</v>
      </c>
      <c r="S448" s="58" t="str">
        <f t="shared" si="208"/>
        <v>6-2025.01</v>
      </c>
      <c r="T448" s="58" t="str">
        <f t="shared" si="209"/>
        <v xml:space="preserve"> </v>
      </c>
      <c r="V448" s="72">
        <f t="shared" si="210"/>
        <v>65000000000438</v>
      </c>
      <c r="W448" s="60">
        <f t="shared" si="211"/>
        <v>65000000000350</v>
      </c>
      <c r="X448" s="60">
        <f t="shared" si="212"/>
        <v>65000000000388</v>
      </c>
      <c r="Y448" s="60">
        <f t="shared" si="213"/>
        <v>65000000000147</v>
      </c>
      <c r="Z448" s="60">
        <f t="shared" si="214"/>
        <v>65000000000437</v>
      </c>
      <c r="AA448" s="60">
        <f t="shared" si="197"/>
        <v>65000000000438</v>
      </c>
      <c r="AB448" s="60">
        <f t="shared" si="215"/>
        <v>65000000000000</v>
      </c>
      <c r="AD448" s="60">
        <f t="shared" si="218"/>
        <v>6</v>
      </c>
      <c r="AE448" s="60">
        <f t="shared" si="219"/>
        <v>3</v>
      </c>
      <c r="AF448" s="60">
        <f t="shared" si="220"/>
        <v>1</v>
      </c>
      <c r="AG448" s="60">
        <f t="shared" si="221"/>
        <v>133</v>
      </c>
      <c r="AH448" s="60">
        <f t="shared" si="222"/>
        <v>2</v>
      </c>
      <c r="AI448" s="60">
        <f t="shared" si="223"/>
        <v>1</v>
      </c>
      <c r="AK448" s="68" t="str">
        <f t="shared" si="198"/>
        <v>L5</v>
      </c>
      <c r="AM448" s="64" t="s">
        <v>1755</v>
      </c>
      <c r="AN448" s="64">
        <f t="shared" si="199"/>
        <v>65000000000350</v>
      </c>
      <c r="AO448" s="64">
        <f t="shared" si="200"/>
        <v>65000000000388</v>
      </c>
      <c r="AP448" s="64">
        <f t="shared" si="201"/>
        <v>65000000000388</v>
      </c>
      <c r="AQ448" s="64">
        <f t="shared" si="202"/>
        <v>65000000000437</v>
      </c>
      <c r="AS448" s="64">
        <f t="shared" si="203"/>
        <v>65000000000437</v>
      </c>
      <c r="AU448" s="59" t="str">
        <f t="shared" si="224"/>
        <v>PERFORM * FROM "SchData-OLTP-Accounting"."Func_TblChartOfAccount_SET"(varSystemLoginSession, null, null, null, varInstitutionBranchID, 62000000000001::bigint,'6-2025.01', 'Property Rental/Lease (IDR)', 62000000000001::bigint, '2016-01-01 00:00:00'::timestamp, null::timestamp, 65000000000437::bigint, 66000000000001::bigint);</v>
      </c>
      <c r="AV448" s="65">
        <f t="shared" si="225"/>
        <v>65000000000438</v>
      </c>
      <c r="AW448" s="65">
        <f t="shared" si="226"/>
        <v>65000000000437</v>
      </c>
      <c r="AY448" s="65">
        <f t="shared" si="216"/>
        <v>65000000000437</v>
      </c>
      <c r="BA448" s="78">
        <f t="shared" si="227"/>
        <v>65000000000438</v>
      </c>
      <c r="BB448" s="81" t="str">
        <f t="shared" si="217"/>
        <v>PERFORM * FROM "SchData-OLTP-Accounting"."Func_TblChartOfAccount_SET"(varSystemLoginSession, null, null, null, null, null, varInstitutionBranchID, 62000000000001::bigint,'6-2025.01', 'Property Rental/Lease (IDR)', 62000000000001::bigint, '2016-01-01 00:00:00'::timestamp, null::timestamp, 65000000000437::bigint, 66000000000001::bigint, FALSE::boolean);</v>
      </c>
    </row>
    <row r="449" spans="2:54" x14ac:dyDescent="0.2">
      <c r="B449" s="41"/>
      <c r="C449" s="42"/>
      <c r="D449" s="43"/>
      <c r="E449" s="42"/>
      <c r="F449" s="43"/>
      <c r="G449" s="42"/>
      <c r="H449" s="51" t="s">
        <v>1632</v>
      </c>
      <c r="I449" s="18" t="s">
        <v>429</v>
      </c>
      <c r="J449" s="51"/>
      <c r="K449" s="18"/>
      <c r="L449" s="51"/>
      <c r="M449" s="18"/>
      <c r="O449" s="58" t="str">
        <f t="shared" si="204"/>
        <v>6-0000</v>
      </c>
      <c r="P449" s="58" t="str">
        <f t="shared" si="205"/>
        <v>6-2000</v>
      </c>
      <c r="Q449" s="58" t="str">
        <f t="shared" si="206"/>
        <v>2-1200</v>
      </c>
      <c r="R449" s="58" t="str">
        <f t="shared" si="207"/>
        <v>6-2026</v>
      </c>
      <c r="S449" s="58" t="str">
        <f t="shared" si="208"/>
        <v>6-2025.01</v>
      </c>
      <c r="T449" s="58" t="str">
        <f t="shared" si="209"/>
        <v xml:space="preserve"> </v>
      </c>
      <c r="V449" s="72">
        <f t="shared" si="210"/>
        <v>65000000000439</v>
      </c>
      <c r="W449" s="60">
        <f t="shared" si="211"/>
        <v>65000000000350</v>
      </c>
      <c r="X449" s="60">
        <f t="shared" si="212"/>
        <v>65000000000388</v>
      </c>
      <c r="Y449" s="60">
        <f t="shared" si="213"/>
        <v>65000000000147</v>
      </c>
      <c r="Z449" s="60">
        <f t="shared" si="214"/>
        <v>65000000000439</v>
      </c>
      <c r="AA449" s="60">
        <f t="shared" si="197"/>
        <v>65000000000438</v>
      </c>
      <c r="AB449" s="60">
        <f t="shared" si="215"/>
        <v>65000000000000</v>
      </c>
      <c r="AD449" s="60">
        <f t="shared" si="218"/>
        <v>6</v>
      </c>
      <c r="AE449" s="60">
        <f t="shared" si="219"/>
        <v>3</v>
      </c>
      <c r="AF449" s="60">
        <f t="shared" si="220"/>
        <v>1</v>
      </c>
      <c r="AG449" s="60">
        <f t="shared" si="221"/>
        <v>134</v>
      </c>
      <c r="AH449" s="60">
        <f t="shared" si="222"/>
        <v>1</v>
      </c>
      <c r="AI449" s="60">
        <f t="shared" si="223"/>
        <v>1</v>
      </c>
      <c r="AK449" s="68" t="str">
        <f t="shared" si="198"/>
        <v>L4</v>
      </c>
      <c r="AM449" s="64" t="s">
        <v>1755</v>
      </c>
      <c r="AN449" s="64">
        <f t="shared" si="199"/>
        <v>65000000000350</v>
      </c>
      <c r="AO449" s="64">
        <f t="shared" si="200"/>
        <v>65000000000388</v>
      </c>
      <c r="AP449" s="64">
        <f t="shared" si="201"/>
        <v>65000000000388</v>
      </c>
      <c r="AQ449" s="64">
        <f t="shared" si="202"/>
        <v>65000000000437</v>
      </c>
      <c r="AS449" s="64">
        <f t="shared" si="203"/>
        <v>65000000000388</v>
      </c>
      <c r="AU449" s="59" t="str">
        <f t="shared" si="224"/>
        <v>PERFORM * FROM "SchData-OLTP-Accounting"."Func_TblChartOfAccount_SET"(varSystemLoginSession, null, null, null, varInstitutionBranchID, 62000000000001::bigint,'6-2026', 'Hire of Other Plant &amp; Equipt', 62000000000001::bigint, '2016-01-01 00:00:00'::timestamp, null::timestamp, 65000000000388::bigint, 66000000000001::bigint);</v>
      </c>
      <c r="AV449" s="65">
        <f t="shared" si="225"/>
        <v>65000000000439</v>
      </c>
      <c r="AW449" s="65">
        <f t="shared" si="226"/>
        <v>65000000000388</v>
      </c>
      <c r="AY449" s="65">
        <f t="shared" si="216"/>
        <v>65000000000147</v>
      </c>
      <c r="BA449" s="78">
        <f t="shared" si="227"/>
        <v>65000000000439</v>
      </c>
      <c r="BB449" s="81" t="str">
        <f t="shared" si="217"/>
        <v>PERFORM * FROM "SchData-OLTP-Accounting"."Func_TblChartOfAccount_SET"(varSystemLoginSession, null, null, null, null, null, varInstitutionBranchID, 62000000000001::bigint,'6-2026', 'Hire of Other Plant &amp; Equipt', 62000000000001::bigint, '2016-01-01 00:00:00'::timestamp, null::timestamp, 65000000000388::bigint, 66000000000001::bigint, FALSE::boolean);</v>
      </c>
    </row>
    <row r="450" spans="2:54" x14ac:dyDescent="0.2">
      <c r="B450" s="41"/>
      <c r="C450" s="42"/>
      <c r="D450" s="43"/>
      <c r="E450" s="42"/>
      <c r="F450" s="43"/>
      <c r="G450" s="42"/>
      <c r="H450" s="51"/>
      <c r="I450" s="18"/>
      <c r="J450" s="51" t="s">
        <v>1633</v>
      </c>
      <c r="K450" s="18" t="s">
        <v>1318</v>
      </c>
      <c r="L450" s="51"/>
      <c r="M450" s="18"/>
      <c r="O450" s="58" t="str">
        <f t="shared" si="204"/>
        <v>6-0000</v>
      </c>
      <c r="P450" s="58" t="str">
        <f t="shared" si="205"/>
        <v>6-2000</v>
      </c>
      <c r="Q450" s="58" t="str">
        <f t="shared" si="206"/>
        <v>2-1200</v>
      </c>
      <c r="R450" s="58" t="str">
        <f t="shared" si="207"/>
        <v>6-2026</v>
      </c>
      <c r="S450" s="58" t="str">
        <f t="shared" si="208"/>
        <v>6-2026.01</v>
      </c>
      <c r="T450" s="58" t="str">
        <f t="shared" si="209"/>
        <v xml:space="preserve"> </v>
      </c>
      <c r="V450" s="72">
        <f t="shared" si="210"/>
        <v>65000000000440</v>
      </c>
      <c r="W450" s="60">
        <f t="shared" si="211"/>
        <v>65000000000350</v>
      </c>
      <c r="X450" s="60">
        <f t="shared" si="212"/>
        <v>65000000000388</v>
      </c>
      <c r="Y450" s="60">
        <f t="shared" si="213"/>
        <v>65000000000147</v>
      </c>
      <c r="Z450" s="60">
        <f t="shared" si="214"/>
        <v>65000000000439</v>
      </c>
      <c r="AA450" s="60">
        <f t="shared" si="197"/>
        <v>65000000000440</v>
      </c>
      <c r="AB450" s="60">
        <f t="shared" si="215"/>
        <v>65000000000000</v>
      </c>
      <c r="AD450" s="60">
        <f t="shared" si="218"/>
        <v>6</v>
      </c>
      <c r="AE450" s="60">
        <f t="shared" si="219"/>
        <v>3</v>
      </c>
      <c r="AF450" s="60">
        <f t="shared" si="220"/>
        <v>1</v>
      </c>
      <c r="AG450" s="60">
        <f t="shared" si="221"/>
        <v>134</v>
      </c>
      <c r="AH450" s="60">
        <f t="shared" si="222"/>
        <v>2</v>
      </c>
      <c r="AI450" s="60">
        <f t="shared" si="223"/>
        <v>1</v>
      </c>
      <c r="AK450" s="68" t="str">
        <f t="shared" si="198"/>
        <v>L5</v>
      </c>
      <c r="AM450" s="64" t="s">
        <v>1755</v>
      </c>
      <c r="AN450" s="64">
        <f t="shared" si="199"/>
        <v>65000000000350</v>
      </c>
      <c r="AO450" s="64">
        <f t="shared" si="200"/>
        <v>65000000000388</v>
      </c>
      <c r="AP450" s="64">
        <f t="shared" si="201"/>
        <v>65000000000388</v>
      </c>
      <c r="AQ450" s="64">
        <f t="shared" si="202"/>
        <v>65000000000439</v>
      </c>
      <c r="AS450" s="64">
        <f t="shared" si="203"/>
        <v>65000000000439</v>
      </c>
      <c r="AU450" s="59" t="str">
        <f t="shared" si="224"/>
        <v>PERFORM * FROM "SchData-OLTP-Accounting"."Func_TblChartOfAccount_SET"(varSystemLoginSession, null, null, null, varInstitutionBranchID, 62000000000001::bigint,'6-2026.01', 'Hire of Other Plant &amp; Equipt (IDR)', 62000000000001::bigint, '2016-01-01 00:00:00'::timestamp, null::timestamp, 65000000000439::bigint, 66000000000001::bigint);</v>
      </c>
      <c r="AV450" s="65">
        <f t="shared" si="225"/>
        <v>65000000000440</v>
      </c>
      <c r="AW450" s="65">
        <f t="shared" si="226"/>
        <v>65000000000439</v>
      </c>
      <c r="AY450" s="65">
        <f t="shared" si="216"/>
        <v>65000000000439</v>
      </c>
      <c r="BA450" s="78">
        <f t="shared" si="227"/>
        <v>65000000000440</v>
      </c>
      <c r="BB450" s="81" t="str">
        <f t="shared" si="217"/>
        <v>PERFORM * FROM "SchData-OLTP-Accounting"."Func_TblChartOfAccount_SET"(varSystemLoginSession, null, null, null, null, null, varInstitutionBranchID, 62000000000001::bigint,'6-2026.01', 'Hire of Other Plant &amp; Equipt (IDR)', 62000000000001::bigint, '2016-01-01 00:00:00'::timestamp, null::timestamp, 65000000000439::bigint, 66000000000001::bigint, FALSE::boolean);</v>
      </c>
    </row>
    <row r="451" spans="2:54" ht="25.5" x14ac:dyDescent="0.2">
      <c r="B451" s="41"/>
      <c r="C451" s="42"/>
      <c r="D451" s="43"/>
      <c r="E451" s="42"/>
      <c r="F451" s="43"/>
      <c r="G451" s="42"/>
      <c r="H451" s="51" t="s">
        <v>1634</v>
      </c>
      <c r="I451" s="18" t="s">
        <v>431</v>
      </c>
      <c r="J451" s="51"/>
      <c r="K451" s="18"/>
      <c r="L451" s="51"/>
      <c r="M451" s="18"/>
      <c r="O451" s="58" t="str">
        <f t="shared" si="204"/>
        <v>6-0000</v>
      </c>
      <c r="P451" s="58" t="str">
        <f t="shared" si="205"/>
        <v>6-2000</v>
      </c>
      <c r="Q451" s="58" t="str">
        <f t="shared" si="206"/>
        <v>2-1200</v>
      </c>
      <c r="R451" s="58" t="str">
        <f t="shared" si="207"/>
        <v>6-2027</v>
      </c>
      <c r="S451" s="58" t="str">
        <f t="shared" si="208"/>
        <v>6-2026.01</v>
      </c>
      <c r="T451" s="58" t="str">
        <f t="shared" si="209"/>
        <v xml:space="preserve"> </v>
      </c>
      <c r="V451" s="72">
        <f t="shared" si="210"/>
        <v>65000000000441</v>
      </c>
      <c r="W451" s="60">
        <f t="shared" si="211"/>
        <v>65000000000350</v>
      </c>
      <c r="X451" s="60">
        <f t="shared" si="212"/>
        <v>65000000000388</v>
      </c>
      <c r="Y451" s="60">
        <f t="shared" si="213"/>
        <v>65000000000147</v>
      </c>
      <c r="Z451" s="60">
        <f t="shared" si="214"/>
        <v>65000000000441</v>
      </c>
      <c r="AA451" s="60">
        <f t="shared" si="197"/>
        <v>65000000000440</v>
      </c>
      <c r="AB451" s="60">
        <f t="shared" si="215"/>
        <v>65000000000000</v>
      </c>
      <c r="AD451" s="60">
        <f t="shared" si="218"/>
        <v>6</v>
      </c>
      <c r="AE451" s="60">
        <f t="shared" si="219"/>
        <v>3</v>
      </c>
      <c r="AF451" s="60">
        <f t="shared" si="220"/>
        <v>1</v>
      </c>
      <c r="AG451" s="60">
        <f t="shared" si="221"/>
        <v>135</v>
      </c>
      <c r="AH451" s="60">
        <f t="shared" si="222"/>
        <v>1</v>
      </c>
      <c r="AI451" s="60">
        <f t="shared" si="223"/>
        <v>1</v>
      </c>
      <c r="AK451" s="68" t="str">
        <f t="shared" si="198"/>
        <v>L4</v>
      </c>
      <c r="AM451" s="64" t="s">
        <v>1755</v>
      </c>
      <c r="AN451" s="64">
        <f t="shared" si="199"/>
        <v>65000000000350</v>
      </c>
      <c r="AO451" s="64">
        <f t="shared" si="200"/>
        <v>65000000000388</v>
      </c>
      <c r="AP451" s="64">
        <f t="shared" si="201"/>
        <v>65000000000388</v>
      </c>
      <c r="AQ451" s="64">
        <f t="shared" si="202"/>
        <v>65000000000439</v>
      </c>
      <c r="AS451" s="64">
        <f t="shared" si="203"/>
        <v>65000000000388</v>
      </c>
      <c r="AU451" s="59" t="str">
        <f t="shared" si="224"/>
        <v>PERFORM * FROM "SchData-OLTP-Accounting"."Func_TblChartOfAccount_SET"(varSystemLoginSession, null, null, null, varInstitutionBranchID, 62000000000001::bigint,'6-2027', 'Property Repair &amp; Maintenance', 62000000000001::bigint, '2016-01-01 00:00:00'::timestamp, null::timestamp, 65000000000388::bigint, 66000000000001::bigint);</v>
      </c>
      <c r="AV451" s="65">
        <f t="shared" si="225"/>
        <v>65000000000441</v>
      </c>
      <c r="AW451" s="65">
        <f t="shared" si="226"/>
        <v>65000000000388</v>
      </c>
      <c r="AY451" s="65">
        <f t="shared" si="216"/>
        <v>65000000000147</v>
      </c>
      <c r="BA451" s="78">
        <f t="shared" si="227"/>
        <v>65000000000441</v>
      </c>
      <c r="BB451" s="81" t="str">
        <f t="shared" si="217"/>
        <v>PERFORM * FROM "SchData-OLTP-Accounting"."Func_TblChartOfAccount_SET"(varSystemLoginSession, null, null, null, null, null, varInstitutionBranchID, 62000000000001::bigint,'6-2027', 'Property Repair &amp; Maintenance', 62000000000001::bigint, '2016-01-01 00:00:00'::timestamp, null::timestamp, 65000000000388::bigint, 66000000000001::bigint, FALSE::boolean);</v>
      </c>
    </row>
    <row r="452" spans="2:54" ht="25.5" x14ac:dyDescent="0.2">
      <c r="B452" s="41"/>
      <c r="C452" s="42"/>
      <c r="D452" s="43"/>
      <c r="E452" s="42"/>
      <c r="F452" s="43"/>
      <c r="G452" s="42"/>
      <c r="H452" s="51"/>
      <c r="I452" s="18"/>
      <c r="J452" s="51" t="s">
        <v>1635</v>
      </c>
      <c r="K452" s="18" t="s">
        <v>1319</v>
      </c>
      <c r="L452" s="51"/>
      <c r="M452" s="18"/>
      <c r="O452" s="58" t="str">
        <f t="shared" si="204"/>
        <v>6-0000</v>
      </c>
      <c r="P452" s="58" t="str">
        <f t="shared" si="205"/>
        <v>6-2000</v>
      </c>
      <c r="Q452" s="58" t="str">
        <f t="shared" si="206"/>
        <v>2-1200</v>
      </c>
      <c r="R452" s="58" t="str">
        <f t="shared" si="207"/>
        <v>6-2027</v>
      </c>
      <c r="S452" s="58" t="str">
        <f t="shared" si="208"/>
        <v>6-2027.01</v>
      </c>
      <c r="T452" s="58" t="str">
        <f t="shared" si="209"/>
        <v xml:space="preserve"> </v>
      </c>
      <c r="V452" s="72">
        <f t="shared" si="210"/>
        <v>65000000000442</v>
      </c>
      <c r="W452" s="60">
        <f t="shared" si="211"/>
        <v>65000000000350</v>
      </c>
      <c r="X452" s="60">
        <f t="shared" si="212"/>
        <v>65000000000388</v>
      </c>
      <c r="Y452" s="60">
        <f t="shared" si="213"/>
        <v>65000000000147</v>
      </c>
      <c r="Z452" s="60">
        <f t="shared" si="214"/>
        <v>65000000000441</v>
      </c>
      <c r="AA452" s="60">
        <f t="shared" si="197"/>
        <v>65000000000442</v>
      </c>
      <c r="AB452" s="60">
        <f t="shared" si="215"/>
        <v>65000000000000</v>
      </c>
      <c r="AD452" s="60">
        <f t="shared" si="218"/>
        <v>6</v>
      </c>
      <c r="AE452" s="60">
        <f t="shared" si="219"/>
        <v>3</v>
      </c>
      <c r="AF452" s="60">
        <f t="shared" si="220"/>
        <v>1</v>
      </c>
      <c r="AG452" s="60">
        <f t="shared" si="221"/>
        <v>135</v>
      </c>
      <c r="AH452" s="60">
        <f t="shared" si="222"/>
        <v>2</v>
      </c>
      <c r="AI452" s="60">
        <f t="shared" si="223"/>
        <v>1</v>
      </c>
      <c r="AK452" s="68" t="str">
        <f t="shared" si="198"/>
        <v>L5</v>
      </c>
      <c r="AM452" s="64" t="s">
        <v>1755</v>
      </c>
      <c r="AN452" s="64">
        <f t="shared" si="199"/>
        <v>65000000000350</v>
      </c>
      <c r="AO452" s="64">
        <f t="shared" si="200"/>
        <v>65000000000388</v>
      </c>
      <c r="AP452" s="64">
        <f t="shared" si="201"/>
        <v>65000000000388</v>
      </c>
      <c r="AQ452" s="64">
        <f t="shared" si="202"/>
        <v>65000000000441</v>
      </c>
      <c r="AS452" s="64">
        <f t="shared" si="203"/>
        <v>65000000000441</v>
      </c>
      <c r="AU452" s="59" t="str">
        <f t="shared" si="224"/>
        <v>PERFORM * FROM "SchData-OLTP-Accounting"."Func_TblChartOfAccount_SET"(varSystemLoginSession, null, null, null, varInstitutionBranchID, 62000000000001::bigint,'6-2027.01', 'Property Repair &amp; Maintenance (IDR)', 62000000000001::bigint, '2016-01-01 00:00:00'::timestamp, null::timestamp, 65000000000441::bigint, 66000000000001::bigint);</v>
      </c>
      <c r="AV452" s="65">
        <f t="shared" si="225"/>
        <v>65000000000442</v>
      </c>
      <c r="AW452" s="65">
        <f t="shared" si="226"/>
        <v>65000000000441</v>
      </c>
      <c r="AY452" s="65">
        <f t="shared" si="216"/>
        <v>65000000000441</v>
      </c>
      <c r="BA452" s="78">
        <f t="shared" si="227"/>
        <v>65000000000442</v>
      </c>
      <c r="BB452" s="81" t="str">
        <f t="shared" si="217"/>
        <v>PERFORM * FROM "SchData-OLTP-Accounting"."Func_TblChartOfAccount_SET"(varSystemLoginSession, null, null, null, null, null, varInstitutionBranchID, 62000000000001::bigint,'6-2027.01', 'Property Repair &amp; Maintenance (IDR)', 62000000000001::bigint, '2016-01-01 00:00:00'::timestamp, null::timestamp, 65000000000441::bigint, 66000000000001::bigint, FALSE::boolean);</v>
      </c>
    </row>
    <row r="453" spans="2:54" x14ac:dyDescent="0.2">
      <c r="B453" s="41"/>
      <c r="C453" s="42"/>
      <c r="D453" s="43"/>
      <c r="E453" s="42"/>
      <c r="F453" s="43"/>
      <c r="G453" s="42"/>
      <c r="H453" s="51" t="s">
        <v>1636</v>
      </c>
      <c r="I453" s="18" t="s">
        <v>1179</v>
      </c>
      <c r="J453" s="51"/>
      <c r="K453" s="18"/>
      <c r="L453" s="51"/>
      <c r="M453" s="18"/>
      <c r="O453" s="58" t="str">
        <f t="shared" si="204"/>
        <v>6-0000</v>
      </c>
      <c r="P453" s="58" t="str">
        <f t="shared" si="205"/>
        <v>6-2000</v>
      </c>
      <c r="Q453" s="58" t="str">
        <f t="shared" si="206"/>
        <v>2-1200</v>
      </c>
      <c r="R453" s="58" t="str">
        <f t="shared" si="207"/>
        <v>6-2099</v>
      </c>
      <c r="S453" s="58" t="str">
        <f t="shared" si="208"/>
        <v>6-2027.01</v>
      </c>
      <c r="T453" s="58" t="str">
        <f t="shared" si="209"/>
        <v xml:space="preserve"> </v>
      </c>
      <c r="V453" s="72">
        <f t="shared" si="210"/>
        <v>65000000000443</v>
      </c>
      <c r="W453" s="60">
        <f t="shared" si="211"/>
        <v>65000000000350</v>
      </c>
      <c r="X453" s="60">
        <f t="shared" si="212"/>
        <v>65000000000388</v>
      </c>
      <c r="Y453" s="60">
        <f t="shared" si="213"/>
        <v>65000000000147</v>
      </c>
      <c r="Z453" s="60">
        <f t="shared" si="214"/>
        <v>65000000000443</v>
      </c>
      <c r="AA453" s="60">
        <f t="shared" ref="AA453:AA516" si="228">IF(EXACT($J453, ""), $AA452, $V453)</f>
        <v>65000000000442</v>
      </c>
      <c r="AB453" s="60">
        <f t="shared" si="215"/>
        <v>65000000000000</v>
      </c>
      <c r="AD453" s="60">
        <f t="shared" si="218"/>
        <v>6</v>
      </c>
      <c r="AE453" s="60">
        <f t="shared" si="219"/>
        <v>3</v>
      </c>
      <c r="AF453" s="60">
        <f t="shared" si="220"/>
        <v>1</v>
      </c>
      <c r="AG453" s="60">
        <f t="shared" si="221"/>
        <v>136</v>
      </c>
      <c r="AH453" s="60">
        <f t="shared" si="222"/>
        <v>1</v>
      </c>
      <c r="AI453" s="60">
        <f t="shared" si="223"/>
        <v>1</v>
      </c>
      <c r="AK453" s="68" t="str">
        <f t="shared" ref="AK453:AK516" si="229" xml:space="preserve">
IF(AA453&lt;&gt;AA452,
     "L5",
     IF(Z453&lt;&gt;Z452,
          "L4",
          IF(Y453&lt;&gt;Y452,
               "L3",
               IF(X453&lt;&gt;X452,
                    "L2",
                     IF(W453&lt;&gt;W452,
                         "L1",
                         "L1"
                         )
                    )
               )
          )
     )</f>
        <v>L4</v>
      </c>
      <c r="AM453" s="64" t="s">
        <v>1755</v>
      </c>
      <c r="AN453" s="64">
        <f t="shared" ref="AN453:AN516" si="230">IF(EXACT($AK452, "L1"), $W452, AN452)</f>
        <v>65000000000350</v>
      </c>
      <c r="AO453" s="64">
        <f t="shared" ref="AO453:AO516" si="231">IF(EXACT($AK452, "L1"), $W452, IF(EXACT($AK452, "L2"), $X452, AO452))</f>
        <v>65000000000388</v>
      </c>
      <c r="AP453" s="64">
        <f t="shared" ref="AP453:AP516" si="232">IF(EXACT($AK452, "L1"), $W452, IF(EXACT($AK452, "L2"), $X452, IF(EXACT($AK452, "L3"), $Y452, AP452)))</f>
        <v>65000000000388</v>
      </c>
      <c r="AQ453" s="64">
        <f t="shared" ref="AQ453:AQ516" si="233">IF(EXACT($AK452, "L1"), $W452, IF(EXACT($AK452, "L2"), $X452, IF(EXACT($AK452, "L3"), $Y452, IF(EXACT($AK452, "L4"), $Z452, AQ452))))</f>
        <v>65000000000441</v>
      </c>
      <c r="AS453" s="64">
        <f t="shared" ref="AS453:AS516" si="234">IF(EXACT($AK453, "L1"), AM453, IF(EXACT($AK453, "L2"), AN453, IF(EXACT($AK453, "L3"), AO453, IF(EXACT($AK453, "L4"), AP453, IF(EXACT($AK453, "L5"), AQ453, "")))))</f>
        <v>65000000000388</v>
      </c>
      <c r="AU453" s="59" t="str">
        <f t="shared" si="224"/>
        <v>PERFORM * FROM "SchData-OLTP-Accounting"."Func_TblChartOfAccount_SET"(varSystemLoginSession, null, null, null, varInstitutionBranchID, 62000000000001::bigint,'6-2099', 'Biaya Kantor Lainnya', 62000000000001::bigint, '2016-01-01 00:00:00'::timestamp, null::timestamp, 65000000000388::bigint, 66000000000001::bigint);</v>
      </c>
      <c r="AV453" s="65">
        <f t="shared" si="225"/>
        <v>65000000000443</v>
      </c>
      <c r="AW453" s="65">
        <f t="shared" si="226"/>
        <v>65000000000388</v>
      </c>
      <c r="AY453" s="65">
        <f t="shared" si="216"/>
        <v>65000000000147</v>
      </c>
      <c r="BA453" s="78">
        <f t="shared" si="227"/>
        <v>65000000000443</v>
      </c>
      <c r="BB453" s="81" t="str">
        <f t="shared" si="217"/>
        <v>PERFORM * FROM "SchData-OLTP-Accounting"."Func_TblChartOfAccount_SET"(varSystemLoginSession, null, null, null, null, null, varInstitutionBranchID, 62000000000001::bigint,'6-2099', 'Biaya Kantor Lainnya', 62000000000001::bigint, '2016-01-01 00:00:00'::timestamp, null::timestamp, 65000000000388::bigint, 66000000000001::bigint, FALSE::boolean);</v>
      </c>
    </row>
    <row r="454" spans="2:54" x14ac:dyDescent="0.2">
      <c r="B454" s="41"/>
      <c r="C454" s="42"/>
      <c r="D454" s="43"/>
      <c r="E454" s="42"/>
      <c r="F454" s="43"/>
      <c r="G454" s="42"/>
      <c r="H454" s="51"/>
      <c r="I454" s="18"/>
      <c r="J454" s="51" t="s">
        <v>1637</v>
      </c>
      <c r="K454" s="18" t="s">
        <v>1393</v>
      </c>
      <c r="L454" s="51"/>
      <c r="M454" s="18"/>
      <c r="O454" s="58" t="str">
        <f t="shared" ref="O454:O517" si="235">IF(EXACT($B454, ""), $O453, $B454)</f>
        <v>6-0000</v>
      </c>
      <c r="P454" s="58" t="str">
        <f t="shared" ref="P454:P517" si="236">IF(EXACT($D454, ""), $P453, $D454)</f>
        <v>6-2000</v>
      </c>
      <c r="Q454" s="58" t="str">
        <f t="shared" ref="Q454:Q517" si="237">IF(EXACT($F454, ""), $Q453, $F454)</f>
        <v>2-1200</v>
      </c>
      <c r="R454" s="58" t="str">
        <f t="shared" ref="R454:R517" si="238">IF(EXACT($H454, ""), $R453, $H454)</f>
        <v>6-2099</v>
      </c>
      <c r="S454" s="58" t="str">
        <f t="shared" ref="S454:S517" si="239">IF(EXACT($J454, ""), $S453, $J454)</f>
        <v>6-2099.01</v>
      </c>
      <c r="T454" s="58" t="str">
        <f t="shared" ref="T454:T517" si="240">IF(EXACT($L454, ""), $T453, $L454)</f>
        <v xml:space="preserve"> </v>
      </c>
      <c r="V454" s="72">
        <f t="shared" ref="V454:V517" si="241">V453+IF(AND(EXACT(B454, ""), EXACT(D454, ""), EXACT(F454, ""), EXACT(H454, ""), EXACT(J454, ""), EXACT(L454, "")), 0, 1)</f>
        <v>65000000000444</v>
      </c>
      <c r="W454" s="60">
        <f t="shared" ref="W454:W517" si="242">IF(EXACT($B454, ""), $W453, $V454)</f>
        <v>65000000000350</v>
      </c>
      <c r="X454" s="60">
        <f t="shared" ref="X454:X517" si="243">IF(EXACT($D454, ""), $X453, $V454)</f>
        <v>65000000000388</v>
      </c>
      <c r="Y454" s="60">
        <f t="shared" ref="Y454:Y517" si="244">IF(EXACT($F454, ""), $Y453, $V454)</f>
        <v>65000000000147</v>
      </c>
      <c r="Z454" s="60">
        <f t="shared" ref="Z454:Z517" si="245">IF(EXACT($H454, ""), $Z453, $V454)</f>
        <v>65000000000443</v>
      </c>
      <c r="AA454" s="60">
        <f t="shared" si="228"/>
        <v>65000000000444</v>
      </c>
      <c r="AB454" s="60">
        <f t="shared" ref="AB454:AB517" si="246">IF(EXACT($L454, ""), $AB453, $V454)</f>
        <v>65000000000000</v>
      </c>
      <c r="AD454" s="60">
        <f t="shared" si="218"/>
        <v>6</v>
      </c>
      <c r="AE454" s="60">
        <f t="shared" si="219"/>
        <v>3</v>
      </c>
      <c r="AF454" s="60">
        <f t="shared" si="220"/>
        <v>1</v>
      </c>
      <c r="AG454" s="60">
        <f t="shared" si="221"/>
        <v>136</v>
      </c>
      <c r="AH454" s="60">
        <f t="shared" si="222"/>
        <v>2</v>
      </c>
      <c r="AI454" s="60">
        <f t="shared" si="223"/>
        <v>1</v>
      </c>
      <c r="AK454" s="68" t="str">
        <f t="shared" si="229"/>
        <v>L5</v>
      </c>
      <c r="AM454" s="64" t="s">
        <v>1755</v>
      </c>
      <c r="AN454" s="64">
        <f t="shared" si="230"/>
        <v>65000000000350</v>
      </c>
      <c r="AO454" s="64">
        <f t="shared" si="231"/>
        <v>65000000000388</v>
      </c>
      <c r="AP454" s="64">
        <f t="shared" si="232"/>
        <v>65000000000388</v>
      </c>
      <c r="AQ454" s="64">
        <f t="shared" si="233"/>
        <v>65000000000443</v>
      </c>
      <c r="AS454" s="64">
        <f t="shared" si="234"/>
        <v>65000000000443</v>
      </c>
      <c r="AU454" s="59" t="str">
        <f t="shared" si="224"/>
        <v>PERFORM * FROM "SchData-OLTP-Accounting"."Func_TblChartOfAccount_SET"(varSystemLoginSession, null, null, null, varInstitutionBranchID, 62000000000001::bigint,'6-2099.01', 'Biaya Kantor Lainnya (IDR)', 62000000000001::bigint, '2016-01-01 00:00:00'::timestamp, null::timestamp, 65000000000443::bigint, 66000000000001::bigint);</v>
      </c>
      <c r="AV454" s="65">
        <f t="shared" si="225"/>
        <v>65000000000444</v>
      </c>
      <c r="AW454" s="65">
        <f t="shared" si="226"/>
        <v>65000000000443</v>
      </c>
      <c r="AY454" s="65">
        <f t="shared" ref="AY454:AY517" si="247">IF(AND(EXACT($B454, ""), EXACT($D454, ""), EXACT($F454, ""), EXACT($H454, ""), EXACT($J454, ""), EXACT($L454, "")), "",
IF(NOT(EXACT($B454, "")), "null",
IF(NOT(EXACT($D454, "")), IF($W453&lt;&gt;$W452, $W453, $W454),
IF(NOT(EXACT($F454, "")), IF($X453&lt;&gt;$X452, $X453, IF($W453&lt;&gt;$W452, $W453, $X454)),
IF(NOT(EXACT($H454, "")), IF($Y453&lt;&gt;$Y452, $Y453, IF($X453&lt;&gt;$X452, $X453, IF($W453&lt;&gt;$W452, $W453, $Y454))),
IF(NOT(EXACT($J454, "")), IF($Z453&lt;&gt;$Z452, $Z453, IF($Y453&lt;&gt;$Y452, $Y453, IF($X453&lt;&gt;$X452, $X453, IF($W453&lt;&gt;$W452, $W453, $Z454)))),
IF(NOT(EXACT($L454, "")), IF($AA453&lt;&gt;$AA452, $AA453, IF($Z453&lt;&gt;$Z452, $Z453, IF($Y453&lt;&gt;$Y452, $Y453, IF($X453&lt;&gt;$X452, $X453, IF($W453&lt;&gt;$W452, $W453, $AA454))))),
"others")))))))</f>
        <v>65000000000443</v>
      </c>
      <c r="BA454" s="78">
        <f t="shared" si="227"/>
        <v>65000000000444</v>
      </c>
      <c r="BB454" s="81" t="str">
        <f t="shared" ref="BB454:BB517" si="248">IF(AND(EXACT($B454, ""), EXACT($D454, ""), EXACT($F454, ""), EXACT($H454, ""), EXACT($J454, ""), EXACT($L454, "")), "", CONCATENATE(
"PERFORM * FROM ""SchData-OLTP-Accounting"".""Func_TblChartOfAccount_SET""(varSystemLoginSession, null, null, null, null, null, varInstitutionBranchID, 62000000000001::bigint,'",
IF(EXACT($B454, ""), IF(EXACT($D454, ""), IF(EXACT($F454, ""), IF(EXACT($H454, ""), IF(EXACT($J454, ""), IF(EXACT($L454, ""), "", $L454), $J454), $H454), $F454), $D454), $B454),
"', '",
IF(EXACT($B454, ""), IF(EXACT($D454, ""), IF(EXACT($F454, ""), IF(EXACT($H454, ""), IF(EXACT($J454, ""), IF(EXACT($L454, ""), "", $M454), $K454), $I454), $G454), $E454), $C454),
"', ",
IF(EXACT($J454, ""), "62000000000001::bigint", IF((RIGHT($J454, 2)*1 = 1), "62000000000001::bigint", IF((RIGHT($J454, 2)*1 = 2), "62000000000002::bigint", "null"))),
", '2016-01-01 00:00:00'::timestamp, null::timestamp, ", $AW454, "::bigint, 66000000000001::bigint, ", IF(EXACT(LEFT(IF(EXACT($B454, ""), IF(EXACT($D454, ""), IF(EXACT($F454, ""), IF(EXACT($H454, ""), IF(EXACT($J454, ""), IF(EXACT($L454, ""), "", $L454), $J454), $H454), $F454), $D454), $B454), 1), "1"), "TRUE", "FALSE"), "::boolean);"))</f>
        <v>PERFORM * FROM "SchData-OLTP-Accounting"."Func_TblChartOfAccount_SET"(varSystemLoginSession, null, null, null, null, null, varInstitutionBranchID, 62000000000001::bigint,'6-2099.01', 'Biaya Kantor Lainnya (IDR)', 62000000000001::bigint, '2016-01-01 00:00:00'::timestamp, null::timestamp, 65000000000443::bigint, 66000000000001::bigint, FALSE::boolean);</v>
      </c>
    </row>
    <row r="455" spans="2:54" x14ac:dyDescent="0.2">
      <c r="B455" s="41"/>
      <c r="C455" s="42"/>
      <c r="D455" s="43" t="s">
        <v>1527</v>
      </c>
      <c r="E455" s="42" t="s">
        <v>1176</v>
      </c>
      <c r="F455" s="43"/>
      <c r="G455" s="42"/>
      <c r="H455" s="51"/>
      <c r="I455" s="18"/>
      <c r="J455" s="51"/>
      <c r="K455" s="18"/>
      <c r="L455" s="51"/>
      <c r="M455" s="18"/>
      <c r="O455" s="58" t="str">
        <f t="shared" si="235"/>
        <v>6-0000</v>
      </c>
      <c r="P455" s="58" t="str">
        <f t="shared" si="236"/>
        <v>6-3000</v>
      </c>
      <c r="Q455" s="58" t="str">
        <f t="shared" si="237"/>
        <v>2-1200</v>
      </c>
      <c r="R455" s="58" t="str">
        <f t="shared" si="238"/>
        <v>6-2099</v>
      </c>
      <c r="S455" s="58" t="str">
        <f t="shared" si="239"/>
        <v>6-2099.01</v>
      </c>
      <c r="T455" s="58" t="str">
        <f t="shared" si="240"/>
        <v xml:space="preserve"> </v>
      </c>
      <c r="V455" s="72">
        <f t="shared" si="241"/>
        <v>65000000000445</v>
      </c>
      <c r="W455" s="60">
        <f t="shared" si="242"/>
        <v>65000000000350</v>
      </c>
      <c r="X455" s="60">
        <f t="shared" si="243"/>
        <v>65000000000445</v>
      </c>
      <c r="Y455" s="60">
        <f t="shared" si="244"/>
        <v>65000000000147</v>
      </c>
      <c r="Z455" s="60">
        <f t="shared" si="245"/>
        <v>65000000000443</v>
      </c>
      <c r="AA455" s="60">
        <f t="shared" si="228"/>
        <v>65000000000444</v>
      </c>
      <c r="AB455" s="60">
        <f t="shared" si="246"/>
        <v>65000000000000</v>
      </c>
      <c r="AD455" s="60">
        <f t="shared" ref="AD455:AD518" si="249">AD454 + IF(W455&lt;&gt;W454, 1, 0)</f>
        <v>6</v>
      </c>
      <c r="AE455" s="60">
        <f t="shared" ref="AE455:AE518" si="250">IF(AD454&lt;&gt;AD455, 1, AE454) + IF(X455&lt;&gt;X454, 1, 0)</f>
        <v>4</v>
      </c>
      <c r="AF455" s="60">
        <f t="shared" ref="AF455:AF518" si="251">IF(AE454&lt;&gt;AE455, 1, AF454) + IF(Y455&lt;&gt;Y454, 1, 0)</f>
        <v>1</v>
      </c>
      <c r="AG455" s="60">
        <f t="shared" ref="AG455:AG518" si="252">IF(AF454&lt;&gt;AF455, 1, AG454) + IF(Z455&lt;&gt;Z454, 1, 0)</f>
        <v>136</v>
      </c>
      <c r="AH455" s="60">
        <f t="shared" ref="AH455:AH518" si="253">IF(AG454&lt;&gt;AG455, 1, AH454) + IF(AA455&lt;&gt;AA454, 1, 0)</f>
        <v>2</v>
      </c>
      <c r="AI455" s="60">
        <f t="shared" ref="AI455:AI518" si="254">IF(AH454&lt;&gt;AH455, 1, AI454) + IF(AB455&lt;&gt;AB454, 1, 0)</f>
        <v>1</v>
      </c>
      <c r="AK455" s="68" t="str">
        <f t="shared" si="229"/>
        <v>L2</v>
      </c>
      <c r="AM455" s="64" t="s">
        <v>1755</v>
      </c>
      <c r="AN455" s="64">
        <f t="shared" si="230"/>
        <v>65000000000350</v>
      </c>
      <c r="AO455" s="64">
        <f t="shared" si="231"/>
        <v>65000000000388</v>
      </c>
      <c r="AP455" s="64">
        <f t="shared" si="232"/>
        <v>65000000000388</v>
      </c>
      <c r="AQ455" s="64">
        <f t="shared" si="233"/>
        <v>65000000000443</v>
      </c>
      <c r="AS455" s="64">
        <f t="shared" si="234"/>
        <v>65000000000350</v>
      </c>
      <c r="AU455" s="59" t="str">
        <f t="shared" ref="AU455:AU518" si="255">IF(AND(EXACT(B455, ""), EXACT(D455, ""), EXACT(F455, ""), EXACT(H455, ""), EXACT(J455, ""), EXACT(L455, "")), "", CONCATENATE(
"PERFORM * FROM ""SchData-OLTP-Accounting"".""Func_TblChartOfAccount_SET""(varSystemLoginSession, null, null, null, varInstitutionBranchID, 62000000000001::bigint,'",
IF(EXACT(B455, ""), IF(EXACT(D455, ""), IF(EXACT(F455, ""), IF(EXACT(H455, ""), IF(EXACT(J455, ""), IF(EXACT(L455, ""), "", L455), J455), H455), F455), D455), B455),
"', '",
IF(EXACT(B455, ""), IF(EXACT(D455, ""), IF(EXACT(F455, ""), IF(EXACT(H455, ""), IF(EXACT(J455, ""), IF(EXACT(L455, ""), "", M455), K455), I455), G455), E455), C455),
"', ",
IF(EXACT(J455, ""), "62000000000001::bigint", IF((RIGHT(J455, 2)*1 = 1), "62000000000001::bigint", IF((RIGHT(J455, 2)*1 = 2), "62000000000002::bigint", "null"))),
", '2016-01-01 00:00:00'::timestamp, null::timestamp, ", AW455, "::bigint, 66000000000001::bigint);"))</f>
        <v>PERFORM * FROM "SchData-OLTP-Accounting"."Func_TblChartOfAccount_SET"(varSystemLoginSession, null, null, null, varInstitutionBranchID, 62000000000001::bigint,'6-3000', 'Biaya Marketing', 62000000000001::bigint, '2016-01-01 00:00:00'::timestamp, null::timestamp, 65000000000350::bigint, 66000000000001::bigint);</v>
      </c>
      <c r="AV455" s="65">
        <f t="shared" ref="AV455:AV518" si="256">IF(AND(EXACT($B455, ""), EXACT($D455, ""), EXACT($F455, ""), EXACT($H455, ""), EXACT($J455, ""), EXACT($L455, "")), "", V455)</f>
        <v>65000000000445</v>
      </c>
      <c r="AW455" s="65">
        <f t="shared" ref="AW455:AW518" si="257">AS455</f>
        <v>65000000000350</v>
      </c>
      <c r="AY455" s="65">
        <f t="shared" si="247"/>
        <v>65000000000350</v>
      </c>
      <c r="BA455" s="78">
        <f t="shared" si="227"/>
        <v>65000000000445</v>
      </c>
      <c r="BB455" s="81" t="str">
        <f t="shared" si="248"/>
        <v>PERFORM * FROM "SchData-OLTP-Accounting"."Func_TblChartOfAccount_SET"(varSystemLoginSession, null, null, null, null, null, varInstitutionBranchID, 62000000000001::bigint,'6-3000', 'Biaya Marketing', 62000000000001::bigint, '2016-01-01 00:00:00'::timestamp, null::timestamp, 65000000000350::bigint, 66000000000001::bigint, FALSE::boolean);</v>
      </c>
    </row>
    <row r="456" spans="2:54" x14ac:dyDescent="0.2">
      <c r="B456" s="41"/>
      <c r="C456" s="42"/>
      <c r="D456" s="43"/>
      <c r="E456" s="42"/>
      <c r="F456" s="43"/>
      <c r="G456" s="42"/>
      <c r="H456" s="51" t="s">
        <v>1568</v>
      </c>
      <c r="I456" s="18" t="s">
        <v>475</v>
      </c>
      <c r="J456" s="51"/>
      <c r="K456" s="18"/>
      <c r="L456" s="51"/>
      <c r="M456" s="18"/>
      <c r="O456" s="58" t="str">
        <f t="shared" si="235"/>
        <v>6-0000</v>
      </c>
      <c r="P456" s="58" t="str">
        <f t="shared" si="236"/>
        <v>6-3000</v>
      </c>
      <c r="Q456" s="58" t="str">
        <f t="shared" si="237"/>
        <v>2-1200</v>
      </c>
      <c r="R456" s="58" t="str">
        <f t="shared" si="238"/>
        <v>6-3001</v>
      </c>
      <c r="S456" s="58" t="str">
        <f t="shared" si="239"/>
        <v>6-2099.01</v>
      </c>
      <c r="T456" s="58" t="str">
        <f t="shared" si="240"/>
        <v xml:space="preserve"> </v>
      </c>
      <c r="V456" s="72">
        <f t="shared" si="241"/>
        <v>65000000000446</v>
      </c>
      <c r="W456" s="60">
        <f t="shared" si="242"/>
        <v>65000000000350</v>
      </c>
      <c r="X456" s="60">
        <f t="shared" si="243"/>
        <v>65000000000445</v>
      </c>
      <c r="Y456" s="60">
        <f t="shared" si="244"/>
        <v>65000000000147</v>
      </c>
      <c r="Z456" s="60">
        <f t="shared" si="245"/>
        <v>65000000000446</v>
      </c>
      <c r="AA456" s="60">
        <f t="shared" si="228"/>
        <v>65000000000444</v>
      </c>
      <c r="AB456" s="60">
        <f t="shared" si="246"/>
        <v>65000000000000</v>
      </c>
      <c r="AD456" s="60">
        <f t="shared" si="249"/>
        <v>6</v>
      </c>
      <c r="AE456" s="60">
        <f t="shared" si="250"/>
        <v>4</v>
      </c>
      <c r="AF456" s="60">
        <f t="shared" si="251"/>
        <v>1</v>
      </c>
      <c r="AG456" s="60">
        <f t="shared" si="252"/>
        <v>137</v>
      </c>
      <c r="AH456" s="60">
        <f t="shared" si="253"/>
        <v>1</v>
      </c>
      <c r="AI456" s="60">
        <f t="shared" si="254"/>
        <v>1</v>
      </c>
      <c r="AK456" s="68" t="str">
        <f t="shared" si="229"/>
        <v>L4</v>
      </c>
      <c r="AM456" s="64" t="s">
        <v>1755</v>
      </c>
      <c r="AN456" s="64">
        <f t="shared" si="230"/>
        <v>65000000000350</v>
      </c>
      <c r="AO456" s="64">
        <f t="shared" si="231"/>
        <v>65000000000445</v>
      </c>
      <c r="AP456" s="64">
        <f t="shared" si="232"/>
        <v>65000000000445</v>
      </c>
      <c r="AQ456" s="64">
        <f t="shared" si="233"/>
        <v>65000000000445</v>
      </c>
      <c r="AS456" s="64">
        <f t="shared" si="234"/>
        <v>65000000000445</v>
      </c>
      <c r="AU456" s="59" t="str">
        <f t="shared" si="255"/>
        <v>PERFORM * FROM "SchData-OLTP-Accounting"."Func_TblChartOfAccount_SET"(varSystemLoginSession, null, null, null, varInstitutionBranchID, 62000000000001::bigint,'6-3001', 'Entertainment-Deductable', 62000000000001::bigint, '2016-01-01 00:00:00'::timestamp, null::timestamp, 65000000000445::bigint, 66000000000001::bigint);</v>
      </c>
      <c r="AV456" s="65">
        <f t="shared" si="256"/>
        <v>65000000000446</v>
      </c>
      <c r="AW456" s="65">
        <f t="shared" si="257"/>
        <v>65000000000445</v>
      </c>
      <c r="AY456" s="65">
        <f t="shared" si="247"/>
        <v>65000000000445</v>
      </c>
      <c r="BA456" s="78">
        <f t="shared" si="227"/>
        <v>65000000000446</v>
      </c>
      <c r="BB456" s="81" t="str">
        <f t="shared" si="248"/>
        <v>PERFORM * FROM "SchData-OLTP-Accounting"."Func_TblChartOfAccount_SET"(varSystemLoginSession, null, null, null, null, null, varInstitutionBranchID, 62000000000001::bigint,'6-3001', 'Entertainment-Deductable', 62000000000001::bigint, '2016-01-01 00:00:00'::timestamp, null::timestamp, 65000000000445::bigint, 66000000000001::bigint, FALSE::boolean);</v>
      </c>
    </row>
    <row r="457" spans="2:54" x14ac:dyDescent="0.2">
      <c r="B457" s="41"/>
      <c r="C457" s="42"/>
      <c r="D457" s="43"/>
      <c r="E457" s="42"/>
      <c r="F457" s="43"/>
      <c r="G457" s="42"/>
      <c r="H457" s="51"/>
      <c r="I457" s="18"/>
      <c r="J457" s="51" t="s">
        <v>1569</v>
      </c>
      <c r="K457" s="18" t="s">
        <v>1341</v>
      </c>
      <c r="L457" s="51"/>
      <c r="M457" s="18"/>
      <c r="O457" s="58" t="str">
        <f t="shared" si="235"/>
        <v>6-0000</v>
      </c>
      <c r="P457" s="58" t="str">
        <f t="shared" si="236"/>
        <v>6-3000</v>
      </c>
      <c r="Q457" s="58" t="str">
        <f t="shared" si="237"/>
        <v>2-1200</v>
      </c>
      <c r="R457" s="58" t="str">
        <f t="shared" si="238"/>
        <v>6-3001</v>
      </c>
      <c r="S457" s="58" t="str">
        <f t="shared" si="239"/>
        <v>6-3001.01</v>
      </c>
      <c r="T457" s="58" t="str">
        <f t="shared" si="240"/>
        <v xml:space="preserve"> </v>
      </c>
      <c r="V457" s="72">
        <f t="shared" si="241"/>
        <v>65000000000447</v>
      </c>
      <c r="W457" s="60">
        <f t="shared" si="242"/>
        <v>65000000000350</v>
      </c>
      <c r="X457" s="60">
        <f t="shared" si="243"/>
        <v>65000000000445</v>
      </c>
      <c r="Y457" s="60">
        <f t="shared" si="244"/>
        <v>65000000000147</v>
      </c>
      <c r="Z457" s="60">
        <f t="shared" si="245"/>
        <v>65000000000446</v>
      </c>
      <c r="AA457" s="60">
        <f t="shared" si="228"/>
        <v>65000000000447</v>
      </c>
      <c r="AB457" s="60">
        <f t="shared" si="246"/>
        <v>65000000000000</v>
      </c>
      <c r="AD457" s="60">
        <f t="shared" si="249"/>
        <v>6</v>
      </c>
      <c r="AE457" s="60">
        <f t="shared" si="250"/>
        <v>4</v>
      </c>
      <c r="AF457" s="60">
        <f t="shared" si="251"/>
        <v>1</v>
      </c>
      <c r="AG457" s="60">
        <f t="shared" si="252"/>
        <v>137</v>
      </c>
      <c r="AH457" s="60">
        <f t="shared" si="253"/>
        <v>2</v>
      </c>
      <c r="AI457" s="60">
        <f t="shared" si="254"/>
        <v>1</v>
      </c>
      <c r="AK457" s="68" t="str">
        <f t="shared" si="229"/>
        <v>L5</v>
      </c>
      <c r="AM457" s="64" t="s">
        <v>1755</v>
      </c>
      <c r="AN457" s="64">
        <f t="shared" si="230"/>
        <v>65000000000350</v>
      </c>
      <c r="AO457" s="64">
        <f t="shared" si="231"/>
        <v>65000000000445</v>
      </c>
      <c r="AP457" s="64">
        <f t="shared" si="232"/>
        <v>65000000000445</v>
      </c>
      <c r="AQ457" s="64">
        <f t="shared" si="233"/>
        <v>65000000000446</v>
      </c>
      <c r="AS457" s="64">
        <f t="shared" si="234"/>
        <v>65000000000446</v>
      </c>
      <c r="AU457" s="59" t="str">
        <f t="shared" si="255"/>
        <v>PERFORM * FROM "SchData-OLTP-Accounting"."Func_TblChartOfAccount_SET"(varSystemLoginSession, null, null, null, varInstitutionBranchID, 62000000000001::bigint,'6-3001.01', 'Entertainment-Deductable (IDR)', 62000000000001::bigint, '2016-01-01 00:00:00'::timestamp, null::timestamp, 65000000000446::bigint, 66000000000001::bigint);</v>
      </c>
      <c r="AV457" s="65">
        <f t="shared" si="256"/>
        <v>65000000000447</v>
      </c>
      <c r="AW457" s="65">
        <f t="shared" si="257"/>
        <v>65000000000446</v>
      </c>
      <c r="AY457" s="65">
        <f t="shared" si="247"/>
        <v>65000000000446</v>
      </c>
      <c r="BA457" s="78">
        <f t="shared" si="227"/>
        <v>65000000000447</v>
      </c>
      <c r="BB457" s="81" t="str">
        <f t="shared" si="248"/>
        <v>PERFORM * FROM "SchData-OLTP-Accounting"."Func_TblChartOfAccount_SET"(varSystemLoginSession, null, null, null, null, null, varInstitutionBranchID, 62000000000001::bigint,'6-3001.01', 'Entertainment-Deductable (IDR)', 62000000000001::bigint, '2016-01-01 00:00:00'::timestamp, null::timestamp, 65000000000446::bigint, 66000000000001::bigint, FALSE::boolean);</v>
      </c>
    </row>
    <row r="458" spans="2:54" x14ac:dyDescent="0.2">
      <c r="B458" s="41"/>
      <c r="C458" s="42"/>
      <c r="D458" s="43"/>
      <c r="E458" s="42"/>
      <c r="F458" s="43"/>
      <c r="G458" s="42"/>
      <c r="H458" s="51" t="s">
        <v>1570</v>
      </c>
      <c r="I458" s="18" t="s">
        <v>477</v>
      </c>
      <c r="J458" s="51"/>
      <c r="K458" s="18"/>
      <c r="L458" s="51"/>
      <c r="M458" s="18"/>
      <c r="O458" s="58" t="str">
        <f t="shared" si="235"/>
        <v>6-0000</v>
      </c>
      <c r="P458" s="58" t="str">
        <f t="shared" si="236"/>
        <v>6-3000</v>
      </c>
      <c r="Q458" s="58" t="str">
        <f t="shared" si="237"/>
        <v>2-1200</v>
      </c>
      <c r="R458" s="58" t="str">
        <f t="shared" si="238"/>
        <v>6-3002</v>
      </c>
      <c r="S458" s="58" t="str">
        <f t="shared" si="239"/>
        <v>6-3001.01</v>
      </c>
      <c r="T458" s="58" t="str">
        <f t="shared" si="240"/>
        <v xml:space="preserve"> </v>
      </c>
      <c r="V458" s="72">
        <f t="shared" si="241"/>
        <v>65000000000448</v>
      </c>
      <c r="W458" s="60">
        <f t="shared" si="242"/>
        <v>65000000000350</v>
      </c>
      <c r="X458" s="60">
        <f t="shared" si="243"/>
        <v>65000000000445</v>
      </c>
      <c r="Y458" s="60">
        <f t="shared" si="244"/>
        <v>65000000000147</v>
      </c>
      <c r="Z458" s="60">
        <f t="shared" si="245"/>
        <v>65000000000448</v>
      </c>
      <c r="AA458" s="60">
        <f t="shared" si="228"/>
        <v>65000000000447</v>
      </c>
      <c r="AB458" s="60">
        <f t="shared" si="246"/>
        <v>65000000000000</v>
      </c>
      <c r="AD458" s="60">
        <f t="shared" si="249"/>
        <v>6</v>
      </c>
      <c r="AE458" s="60">
        <f t="shared" si="250"/>
        <v>4</v>
      </c>
      <c r="AF458" s="60">
        <f t="shared" si="251"/>
        <v>1</v>
      </c>
      <c r="AG458" s="60">
        <f t="shared" si="252"/>
        <v>138</v>
      </c>
      <c r="AH458" s="60">
        <f t="shared" si="253"/>
        <v>1</v>
      </c>
      <c r="AI458" s="60">
        <f t="shared" si="254"/>
        <v>1</v>
      </c>
      <c r="AK458" s="68" t="str">
        <f t="shared" si="229"/>
        <v>L4</v>
      </c>
      <c r="AM458" s="64" t="s">
        <v>1755</v>
      </c>
      <c r="AN458" s="64">
        <f t="shared" si="230"/>
        <v>65000000000350</v>
      </c>
      <c r="AO458" s="64">
        <f t="shared" si="231"/>
        <v>65000000000445</v>
      </c>
      <c r="AP458" s="64">
        <f t="shared" si="232"/>
        <v>65000000000445</v>
      </c>
      <c r="AQ458" s="64">
        <f t="shared" si="233"/>
        <v>65000000000446</v>
      </c>
      <c r="AS458" s="64">
        <f t="shared" si="234"/>
        <v>65000000000445</v>
      </c>
      <c r="AU458" s="59" t="str">
        <f t="shared" si="255"/>
        <v>PERFORM * FROM "SchData-OLTP-Accounting"."Func_TblChartOfAccount_SET"(varSystemLoginSession, null, null, null, varInstitutionBranchID, 62000000000001::bigint,'6-3002', 'Entertainment-Undeductable', 62000000000001::bigint, '2016-01-01 00:00:00'::timestamp, null::timestamp, 65000000000445::bigint, 66000000000001::bigint);</v>
      </c>
      <c r="AV458" s="65">
        <f t="shared" si="256"/>
        <v>65000000000448</v>
      </c>
      <c r="AW458" s="65">
        <f t="shared" si="257"/>
        <v>65000000000445</v>
      </c>
      <c r="AY458" s="65">
        <f t="shared" si="247"/>
        <v>65000000000147</v>
      </c>
      <c r="BA458" s="78">
        <f t="shared" si="227"/>
        <v>65000000000448</v>
      </c>
      <c r="BB458" s="81" t="str">
        <f t="shared" si="248"/>
        <v>PERFORM * FROM "SchData-OLTP-Accounting"."Func_TblChartOfAccount_SET"(varSystemLoginSession, null, null, null, null, null, varInstitutionBranchID, 62000000000001::bigint,'6-3002', 'Entertainment-Undeductable', 62000000000001::bigint, '2016-01-01 00:00:00'::timestamp, null::timestamp, 65000000000445::bigint, 66000000000001::bigint, FALSE::boolean);</v>
      </c>
    </row>
    <row r="459" spans="2:54" x14ac:dyDescent="0.2">
      <c r="B459" s="41"/>
      <c r="C459" s="42"/>
      <c r="D459" s="43"/>
      <c r="E459" s="42"/>
      <c r="F459" s="43"/>
      <c r="G459" s="42"/>
      <c r="H459" s="51"/>
      <c r="I459" s="18"/>
      <c r="J459" s="51" t="s">
        <v>1571</v>
      </c>
      <c r="K459" s="18" t="s">
        <v>1342</v>
      </c>
      <c r="L459" s="51"/>
      <c r="M459" s="18"/>
      <c r="O459" s="58" t="str">
        <f t="shared" si="235"/>
        <v>6-0000</v>
      </c>
      <c r="P459" s="58" t="str">
        <f t="shared" si="236"/>
        <v>6-3000</v>
      </c>
      <c r="Q459" s="58" t="str">
        <f t="shared" si="237"/>
        <v>2-1200</v>
      </c>
      <c r="R459" s="58" t="str">
        <f t="shared" si="238"/>
        <v>6-3002</v>
      </c>
      <c r="S459" s="58" t="str">
        <f t="shared" si="239"/>
        <v>6-3002.01</v>
      </c>
      <c r="T459" s="58" t="str">
        <f t="shared" si="240"/>
        <v xml:space="preserve"> </v>
      </c>
      <c r="V459" s="72">
        <f t="shared" si="241"/>
        <v>65000000000449</v>
      </c>
      <c r="W459" s="60">
        <f t="shared" si="242"/>
        <v>65000000000350</v>
      </c>
      <c r="X459" s="60">
        <f t="shared" si="243"/>
        <v>65000000000445</v>
      </c>
      <c r="Y459" s="60">
        <f t="shared" si="244"/>
        <v>65000000000147</v>
      </c>
      <c r="Z459" s="60">
        <f t="shared" si="245"/>
        <v>65000000000448</v>
      </c>
      <c r="AA459" s="60">
        <f t="shared" si="228"/>
        <v>65000000000449</v>
      </c>
      <c r="AB459" s="60">
        <f t="shared" si="246"/>
        <v>65000000000000</v>
      </c>
      <c r="AD459" s="60">
        <f t="shared" si="249"/>
        <v>6</v>
      </c>
      <c r="AE459" s="60">
        <f t="shared" si="250"/>
        <v>4</v>
      </c>
      <c r="AF459" s="60">
        <f t="shared" si="251"/>
        <v>1</v>
      </c>
      <c r="AG459" s="60">
        <f t="shared" si="252"/>
        <v>138</v>
      </c>
      <c r="AH459" s="60">
        <f t="shared" si="253"/>
        <v>2</v>
      </c>
      <c r="AI459" s="60">
        <f t="shared" si="254"/>
        <v>1</v>
      </c>
      <c r="AK459" s="68" t="str">
        <f t="shared" si="229"/>
        <v>L5</v>
      </c>
      <c r="AM459" s="64" t="s">
        <v>1755</v>
      </c>
      <c r="AN459" s="64">
        <f t="shared" si="230"/>
        <v>65000000000350</v>
      </c>
      <c r="AO459" s="64">
        <f t="shared" si="231"/>
        <v>65000000000445</v>
      </c>
      <c r="AP459" s="64">
        <f t="shared" si="232"/>
        <v>65000000000445</v>
      </c>
      <c r="AQ459" s="64">
        <f t="shared" si="233"/>
        <v>65000000000448</v>
      </c>
      <c r="AS459" s="64">
        <f t="shared" si="234"/>
        <v>65000000000448</v>
      </c>
      <c r="AU459" s="59" t="str">
        <f t="shared" si="255"/>
        <v>PERFORM * FROM "SchData-OLTP-Accounting"."Func_TblChartOfAccount_SET"(varSystemLoginSession, null, null, null, varInstitutionBranchID, 62000000000001::bigint,'6-3002.01', 'Entertainment-Undeductable (IDR)', 62000000000001::bigint, '2016-01-01 00:00:00'::timestamp, null::timestamp, 65000000000448::bigint, 66000000000001::bigint);</v>
      </c>
      <c r="AV459" s="65">
        <f t="shared" si="256"/>
        <v>65000000000449</v>
      </c>
      <c r="AW459" s="65">
        <f t="shared" si="257"/>
        <v>65000000000448</v>
      </c>
      <c r="AY459" s="65">
        <f t="shared" si="247"/>
        <v>65000000000448</v>
      </c>
      <c r="BA459" s="78">
        <f t="shared" si="227"/>
        <v>65000000000449</v>
      </c>
      <c r="BB459" s="81" t="str">
        <f t="shared" si="248"/>
        <v>PERFORM * FROM "SchData-OLTP-Accounting"."Func_TblChartOfAccount_SET"(varSystemLoginSession, null, null, null, null, null, varInstitutionBranchID, 62000000000001::bigint,'6-3002.01', 'Entertainment-Undeductable (IDR)', 62000000000001::bigint, '2016-01-01 00:00:00'::timestamp, null::timestamp, 65000000000448::bigint, 66000000000001::bigint, FALSE::boolean);</v>
      </c>
    </row>
    <row r="460" spans="2:54" ht="25.5" x14ac:dyDescent="0.2">
      <c r="B460" s="41"/>
      <c r="C460" s="42"/>
      <c r="D460" s="43"/>
      <c r="E460" s="42"/>
      <c r="F460" s="43"/>
      <c r="G460" s="42"/>
      <c r="H460" s="51" t="s">
        <v>1572</v>
      </c>
      <c r="I460" s="18" t="s">
        <v>590</v>
      </c>
      <c r="J460" s="51"/>
      <c r="K460" s="18"/>
      <c r="L460" s="51"/>
      <c r="M460" s="18"/>
      <c r="O460" s="58" t="str">
        <f t="shared" si="235"/>
        <v>6-0000</v>
      </c>
      <c r="P460" s="58" t="str">
        <f t="shared" si="236"/>
        <v>6-3000</v>
      </c>
      <c r="Q460" s="58" t="str">
        <f t="shared" si="237"/>
        <v>2-1200</v>
      </c>
      <c r="R460" s="58" t="str">
        <f t="shared" si="238"/>
        <v>6-3003</v>
      </c>
      <c r="S460" s="58" t="str">
        <f t="shared" si="239"/>
        <v>6-3002.01</v>
      </c>
      <c r="T460" s="58" t="str">
        <f t="shared" si="240"/>
        <v xml:space="preserve"> </v>
      </c>
      <c r="V460" s="72">
        <f t="shared" si="241"/>
        <v>65000000000450</v>
      </c>
      <c r="W460" s="60">
        <f t="shared" si="242"/>
        <v>65000000000350</v>
      </c>
      <c r="X460" s="60">
        <f t="shared" si="243"/>
        <v>65000000000445</v>
      </c>
      <c r="Y460" s="60">
        <f t="shared" si="244"/>
        <v>65000000000147</v>
      </c>
      <c r="Z460" s="60">
        <f t="shared" si="245"/>
        <v>65000000000450</v>
      </c>
      <c r="AA460" s="60">
        <f t="shared" si="228"/>
        <v>65000000000449</v>
      </c>
      <c r="AB460" s="60">
        <f t="shared" si="246"/>
        <v>65000000000000</v>
      </c>
      <c r="AD460" s="60">
        <f t="shared" si="249"/>
        <v>6</v>
      </c>
      <c r="AE460" s="60">
        <f t="shared" si="250"/>
        <v>4</v>
      </c>
      <c r="AF460" s="60">
        <f t="shared" si="251"/>
        <v>1</v>
      </c>
      <c r="AG460" s="60">
        <f t="shared" si="252"/>
        <v>139</v>
      </c>
      <c r="AH460" s="60">
        <f t="shared" si="253"/>
        <v>1</v>
      </c>
      <c r="AI460" s="60">
        <f t="shared" si="254"/>
        <v>1</v>
      </c>
      <c r="AK460" s="68" t="str">
        <f t="shared" si="229"/>
        <v>L4</v>
      </c>
      <c r="AM460" s="64" t="s">
        <v>1755</v>
      </c>
      <c r="AN460" s="64">
        <f t="shared" si="230"/>
        <v>65000000000350</v>
      </c>
      <c r="AO460" s="64">
        <f t="shared" si="231"/>
        <v>65000000000445</v>
      </c>
      <c r="AP460" s="64">
        <f t="shared" si="232"/>
        <v>65000000000445</v>
      </c>
      <c r="AQ460" s="64">
        <f t="shared" si="233"/>
        <v>65000000000448</v>
      </c>
      <c r="AS460" s="64">
        <f t="shared" si="234"/>
        <v>65000000000445</v>
      </c>
      <c r="AU460" s="59" t="str">
        <f t="shared" si="255"/>
        <v>PERFORM * FROM "SchData-OLTP-Accounting"."Func_TblChartOfAccount_SET"(varSystemLoginSession, null, null, null, varInstitutionBranchID, 62000000000001::bigint,'6-3003', 'Non Meal Entertainment-Ded.', 62000000000001::bigint, '2016-01-01 00:00:00'::timestamp, null::timestamp, 65000000000445::bigint, 66000000000001::bigint);</v>
      </c>
      <c r="AV460" s="65">
        <f t="shared" si="256"/>
        <v>65000000000450</v>
      </c>
      <c r="AW460" s="65">
        <f t="shared" si="257"/>
        <v>65000000000445</v>
      </c>
      <c r="AY460" s="65">
        <f t="shared" si="247"/>
        <v>65000000000147</v>
      </c>
      <c r="BA460" s="78">
        <f t="shared" si="227"/>
        <v>65000000000450</v>
      </c>
      <c r="BB460" s="81" t="str">
        <f t="shared" si="248"/>
        <v>PERFORM * FROM "SchData-OLTP-Accounting"."Func_TblChartOfAccount_SET"(varSystemLoginSession, null, null, null, null, null, varInstitutionBranchID, 62000000000001::bigint,'6-3003', 'Non Meal Entertainment-Ded.', 62000000000001::bigint, '2016-01-01 00:00:00'::timestamp, null::timestamp, 65000000000445::bigint, 66000000000001::bigint, FALSE::boolean);</v>
      </c>
    </row>
    <row r="461" spans="2:54" ht="25.5" x14ac:dyDescent="0.2">
      <c r="B461" s="41"/>
      <c r="C461" s="42"/>
      <c r="D461" s="43"/>
      <c r="E461" s="42"/>
      <c r="F461" s="43"/>
      <c r="G461" s="42"/>
      <c r="H461" s="51"/>
      <c r="I461" s="18"/>
      <c r="J461" s="51" t="s">
        <v>1573</v>
      </c>
      <c r="K461" s="18" t="s">
        <v>1394</v>
      </c>
      <c r="L461" s="51"/>
      <c r="M461" s="18"/>
      <c r="O461" s="58" t="str">
        <f t="shared" si="235"/>
        <v>6-0000</v>
      </c>
      <c r="P461" s="58" t="str">
        <f t="shared" si="236"/>
        <v>6-3000</v>
      </c>
      <c r="Q461" s="58" t="str">
        <f t="shared" si="237"/>
        <v>2-1200</v>
      </c>
      <c r="R461" s="58" t="str">
        <f t="shared" si="238"/>
        <v>6-3003</v>
      </c>
      <c r="S461" s="58" t="str">
        <f t="shared" si="239"/>
        <v>6-3003.01</v>
      </c>
      <c r="T461" s="58" t="str">
        <f t="shared" si="240"/>
        <v xml:space="preserve"> </v>
      </c>
      <c r="V461" s="72">
        <f t="shared" si="241"/>
        <v>65000000000451</v>
      </c>
      <c r="W461" s="60">
        <f t="shared" si="242"/>
        <v>65000000000350</v>
      </c>
      <c r="X461" s="60">
        <f t="shared" si="243"/>
        <v>65000000000445</v>
      </c>
      <c r="Y461" s="60">
        <f t="shared" si="244"/>
        <v>65000000000147</v>
      </c>
      <c r="Z461" s="60">
        <f t="shared" si="245"/>
        <v>65000000000450</v>
      </c>
      <c r="AA461" s="60">
        <f t="shared" si="228"/>
        <v>65000000000451</v>
      </c>
      <c r="AB461" s="60">
        <f t="shared" si="246"/>
        <v>65000000000000</v>
      </c>
      <c r="AD461" s="60">
        <f t="shared" si="249"/>
        <v>6</v>
      </c>
      <c r="AE461" s="60">
        <f t="shared" si="250"/>
        <v>4</v>
      </c>
      <c r="AF461" s="60">
        <f t="shared" si="251"/>
        <v>1</v>
      </c>
      <c r="AG461" s="60">
        <f t="shared" si="252"/>
        <v>139</v>
      </c>
      <c r="AH461" s="60">
        <f t="shared" si="253"/>
        <v>2</v>
      </c>
      <c r="AI461" s="60">
        <f t="shared" si="254"/>
        <v>1</v>
      </c>
      <c r="AK461" s="68" t="str">
        <f t="shared" si="229"/>
        <v>L5</v>
      </c>
      <c r="AM461" s="64" t="s">
        <v>1755</v>
      </c>
      <c r="AN461" s="64">
        <f t="shared" si="230"/>
        <v>65000000000350</v>
      </c>
      <c r="AO461" s="64">
        <f t="shared" si="231"/>
        <v>65000000000445</v>
      </c>
      <c r="AP461" s="64">
        <f t="shared" si="232"/>
        <v>65000000000445</v>
      </c>
      <c r="AQ461" s="64">
        <f t="shared" si="233"/>
        <v>65000000000450</v>
      </c>
      <c r="AS461" s="64">
        <f t="shared" si="234"/>
        <v>65000000000450</v>
      </c>
      <c r="AU461" s="59" t="str">
        <f t="shared" si="255"/>
        <v>PERFORM * FROM "SchData-OLTP-Accounting"."Func_TblChartOfAccount_SET"(varSystemLoginSession, null, null, null, varInstitutionBranchID, 62000000000001::bigint,'6-3003.01', 'Non Meal Entertainment-Ded. (IDR)', 62000000000001::bigint, '2016-01-01 00:00:00'::timestamp, null::timestamp, 65000000000450::bigint, 66000000000001::bigint);</v>
      </c>
      <c r="AV461" s="65">
        <f t="shared" si="256"/>
        <v>65000000000451</v>
      </c>
      <c r="AW461" s="65">
        <f t="shared" si="257"/>
        <v>65000000000450</v>
      </c>
      <c r="AY461" s="65">
        <f t="shared" si="247"/>
        <v>65000000000450</v>
      </c>
      <c r="BA461" s="78">
        <f t="shared" si="227"/>
        <v>65000000000451</v>
      </c>
      <c r="BB461" s="81" t="str">
        <f t="shared" si="248"/>
        <v>PERFORM * FROM "SchData-OLTP-Accounting"."Func_TblChartOfAccount_SET"(varSystemLoginSession, null, null, null, null, null, varInstitutionBranchID, 62000000000001::bigint,'6-3003.01', 'Non Meal Entertainment-Ded. (IDR)', 62000000000001::bigint, '2016-01-01 00:00:00'::timestamp, null::timestamp, 65000000000450::bigint, 66000000000001::bigint, FALSE::boolean);</v>
      </c>
    </row>
    <row r="462" spans="2:54" x14ac:dyDescent="0.2">
      <c r="B462" s="41"/>
      <c r="C462" s="42"/>
      <c r="D462" s="43"/>
      <c r="E462" s="42"/>
      <c r="F462" s="43"/>
      <c r="G462" s="42"/>
      <c r="H462" s="51" t="s">
        <v>1574</v>
      </c>
      <c r="I462" s="18" t="s">
        <v>481</v>
      </c>
      <c r="J462" s="51"/>
      <c r="K462" s="18"/>
      <c r="L462" s="51"/>
      <c r="M462" s="18"/>
      <c r="O462" s="58" t="str">
        <f t="shared" si="235"/>
        <v>6-0000</v>
      </c>
      <c r="P462" s="58" t="str">
        <f t="shared" si="236"/>
        <v>6-3000</v>
      </c>
      <c r="Q462" s="58" t="str">
        <f t="shared" si="237"/>
        <v>2-1200</v>
      </c>
      <c r="R462" s="58" t="str">
        <f t="shared" si="238"/>
        <v>6-3004</v>
      </c>
      <c r="S462" s="58" t="str">
        <f t="shared" si="239"/>
        <v>6-3003.01</v>
      </c>
      <c r="T462" s="58" t="str">
        <f t="shared" si="240"/>
        <v xml:space="preserve"> </v>
      </c>
      <c r="V462" s="72">
        <f t="shared" si="241"/>
        <v>65000000000452</v>
      </c>
      <c r="W462" s="60">
        <f t="shared" si="242"/>
        <v>65000000000350</v>
      </c>
      <c r="X462" s="60">
        <f t="shared" si="243"/>
        <v>65000000000445</v>
      </c>
      <c r="Y462" s="60">
        <f t="shared" si="244"/>
        <v>65000000000147</v>
      </c>
      <c r="Z462" s="60">
        <f t="shared" si="245"/>
        <v>65000000000452</v>
      </c>
      <c r="AA462" s="60">
        <f t="shared" si="228"/>
        <v>65000000000451</v>
      </c>
      <c r="AB462" s="60">
        <f t="shared" si="246"/>
        <v>65000000000000</v>
      </c>
      <c r="AD462" s="60">
        <f t="shared" si="249"/>
        <v>6</v>
      </c>
      <c r="AE462" s="60">
        <f t="shared" si="250"/>
        <v>4</v>
      </c>
      <c r="AF462" s="60">
        <f t="shared" si="251"/>
        <v>1</v>
      </c>
      <c r="AG462" s="60">
        <f t="shared" si="252"/>
        <v>140</v>
      </c>
      <c r="AH462" s="60">
        <f t="shared" si="253"/>
        <v>1</v>
      </c>
      <c r="AI462" s="60">
        <f t="shared" si="254"/>
        <v>1</v>
      </c>
      <c r="AK462" s="68" t="str">
        <f t="shared" si="229"/>
        <v>L4</v>
      </c>
      <c r="AM462" s="64" t="s">
        <v>1755</v>
      </c>
      <c r="AN462" s="64">
        <f t="shared" si="230"/>
        <v>65000000000350</v>
      </c>
      <c r="AO462" s="64">
        <f t="shared" si="231"/>
        <v>65000000000445</v>
      </c>
      <c r="AP462" s="64">
        <f t="shared" si="232"/>
        <v>65000000000445</v>
      </c>
      <c r="AQ462" s="64">
        <f t="shared" si="233"/>
        <v>65000000000450</v>
      </c>
      <c r="AS462" s="64">
        <f t="shared" si="234"/>
        <v>65000000000445</v>
      </c>
      <c r="AU462" s="59" t="str">
        <f t="shared" si="255"/>
        <v>PERFORM * FROM "SchData-OLTP-Accounting"."Func_TblChartOfAccount_SET"(varSystemLoginSession, null, null, null, varInstitutionBranchID, 62000000000001::bigint,'6-3004', 'Non Meal Entertaint-Unded.', 62000000000001::bigint, '2016-01-01 00:00:00'::timestamp, null::timestamp, 65000000000445::bigint, 66000000000001::bigint);</v>
      </c>
      <c r="AV462" s="65">
        <f t="shared" si="256"/>
        <v>65000000000452</v>
      </c>
      <c r="AW462" s="65">
        <f t="shared" si="257"/>
        <v>65000000000445</v>
      </c>
      <c r="AY462" s="65">
        <f t="shared" si="247"/>
        <v>65000000000147</v>
      </c>
      <c r="BA462" s="78">
        <f t="shared" si="227"/>
        <v>65000000000452</v>
      </c>
      <c r="BB462" s="81" t="str">
        <f t="shared" si="248"/>
        <v>PERFORM * FROM "SchData-OLTP-Accounting"."Func_TblChartOfAccount_SET"(varSystemLoginSession, null, null, null, null, null, varInstitutionBranchID, 62000000000001::bigint,'6-3004', 'Non Meal Entertaint-Unded.', 62000000000001::bigint, '2016-01-01 00:00:00'::timestamp, null::timestamp, 65000000000445::bigint, 66000000000001::bigint, FALSE::boolean);</v>
      </c>
    </row>
    <row r="463" spans="2:54" x14ac:dyDescent="0.2">
      <c r="B463" s="41"/>
      <c r="C463" s="42"/>
      <c r="D463" s="43"/>
      <c r="E463" s="42"/>
      <c r="F463" s="43"/>
      <c r="G463" s="42"/>
      <c r="H463" s="51"/>
      <c r="I463" s="18"/>
      <c r="J463" s="51" t="s">
        <v>1575</v>
      </c>
      <c r="K463" s="18" t="s">
        <v>1344</v>
      </c>
      <c r="L463" s="51"/>
      <c r="M463" s="18"/>
      <c r="O463" s="58" t="str">
        <f t="shared" si="235"/>
        <v>6-0000</v>
      </c>
      <c r="P463" s="58" t="str">
        <f t="shared" si="236"/>
        <v>6-3000</v>
      </c>
      <c r="Q463" s="58" t="str">
        <f t="shared" si="237"/>
        <v>2-1200</v>
      </c>
      <c r="R463" s="58" t="str">
        <f t="shared" si="238"/>
        <v>6-3004</v>
      </c>
      <c r="S463" s="58" t="str">
        <f t="shared" si="239"/>
        <v>6-3004.01</v>
      </c>
      <c r="T463" s="58" t="str">
        <f t="shared" si="240"/>
        <v xml:space="preserve"> </v>
      </c>
      <c r="V463" s="72">
        <f t="shared" si="241"/>
        <v>65000000000453</v>
      </c>
      <c r="W463" s="60">
        <f t="shared" si="242"/>
        <v>65000000000350</v>
      </c>
      <c r="X463" s="60">
        <f t="shared" si="243"/>
        <v>65000000000445</v>
      </c>
      <c r="Y463" s="60">
        <f t="shared" si="244"/>
        <v>65000000000147</v>
      </c>
      <c r="Z463" s="60">
        <f t="shared" si="245"/>
        <v>65000000000452</v>
      </c>
      <c r="AA463" s="60">
        <f t="shared" si="228"/>
        <v>65000000000453</v>
      </c>
      <c r="AB463" s="60">
        <f t="shared" si="246"/>
        <v>65000000000000</v>
      </c>
      <c r="AD463" s="60">
        <f t="shared" si="249"/>
        <v>6</v>
      </c>
      <c r="AE463" s="60">
        <f t="shared" si="250"/>
        <v>4</v>
      </c>
      <c r="AF463" s="60">
        <f t="shared" si="251"/>
        <v>1</v>
      </c>
      <c r="AG463" s="60">
        <f t="shared" si="252"/>
        <v>140</v>
      </c>
      <c r="AH463" s="60">
        <f t="shared" si="253"/>
        <v>2</v>
      </c>
      <c r="AI463" s="60">
        <f t="shared" si="254"/>
        <v>1</v>
      </c>
      <c r="AK463" s="68" t="str">
        <f t="shared" si="229"/>
        <v>L5</v>
      </c>
      <c r="AM463" s="64" t="s">
        <v>1755</v>
      </c>
      <c r="AN463" s="64">
        <f t="shared" si="230"/>
        <v>65000000000350</v>
      </c>
      <c r="AO463" s="64">
        <f t="shared" si="231"/>
        <v>65000000000445</v>
      </c>
      <c r="AP463" s="64">
        <f t="shared" si="232"/>
        <v>65000000000445</v>
      </c>
      <c r="AQ463" s="64">
        <f t="shared" si="233"/>
        <v>65000000000452</v>
      </c>
      <c r="AS463" s="64">
        <f t="shared" si="234"/>
        <v>65000000000452</v>
      </c>
      <c r="AU463" s="59" t="str">
        <f t="shared" si="255"/>
        <v>PERFORM * FROM "SchData-OLTP-Accounting"."Func_TblChartOfAccount_SET"(varSystemLoginSession, null, null, null, varInstitutionBranchID, 62000000000001::bigint,'6-3004.01', 'Non Meal Entertaint-Unded. (IDR)', 62000000000001::bigint, '2016-01-01 00:00:00'::timestamp, null::timestamp, 65000000000452::bigint, 66000000000001::bigint);</v>
      </c>
      <c r="AV463" s="65">
        <f t="shared" si="256"/>
        <v>65000000000453</v>
      </c>
      <c r="AW463" s="65">
        <f t="shared" si="257"/>
        <v>65000000000452</v>
      </c>
      <c r="AY463" s="65">
        <f t="shared" si="247"/>
        <v>65000000000452</v>
      </c>
      <c r="BA463" s="78">
        <f t="shared" ref="BA463:BA526" si="258" xml:space="preserve"> BA462 + IF(EXACT(BB463, ""), 0, 1)</f>
        <v>65000000000453</v>
      </c>
      <c r="BB463" s="81" t="str">
        <f t="shared" si="248"/>
        <v>PERFORM * FROM "SchData-OLTP-Accounting"."Func_TblChartOfAccount_SET"(varSystemLoginSession, null, null, null, null, null, varInstitutionBranchID, 62000000000001::bigint,'6-3004.01', 'Non Meal Entertaint-Unded. (IDR)', 62000000000001::bigint, '2016-01-01 00:00:00'::timestamp, null::timestamp, 65000000000452::bigint, 66000000000001::bigint, FALSE::boolean);</v>
      </c>
    </row>
    <row r="464" spans="2:54" x14ac:dyDescent="0.2">
      <c r="B464" s="41"/>
      <c r="C464" s="42"/>
      <c r="D464" s="43"/>
      <c r="E464" s="42"/>
      <c r="F464" s="43"/>
      <c r="G464" s="42"/>
      <c r="H464" s="51" t="s">
        <v>1576</v>
      </c>
      <c r="I464" s="18" t="s">
        <v>593</v>
      </c>
      <c r="J464" s="51"/>
      <c r="K464" s="18"/>
      <c r="L464" s="51"/>
      <c r="M464" s="18"/>
      <c r="O464" s="58" t="str">
        <f t="shared" si="235"/>
        <v>6-0000</v>
      </c>
      <c r="P464" s="58" t="str">
        <f t="shared" si="236"/>
        <v>6-3000</v>
      </c>
      <c r="Q464" s="58" t="str">
        <f t="shared" si="237"/>
        <v>2-1200</v>
      </c>
      <c r="R464" s="58" t="str">
        <f t="shared" si="238"/>
        <v>6-3005</v>
      </c>
      <c r="S464" s="58" t="str">
        <f t="shared" si="239"/>
        <v>6-3004.01</v>
      </c>
      <c r="T464" s="58" t="str">
        <f t="shared" si="240"/>
        <v xml:space="preserve"> </v>
      </c>
      <c r="V464" s="72">
        <f t="shared" si="241"/>
        <v>65000000000454</v>
      </c>
      <c r="W464" s="60">
        <f t="shared" si="242"/>
        <v>65000000000350</v>
      </c>
      <c r="X464" s="60">
        <f t="shared" si="243"/>
        <v>65000000000445</v>
      </c>
      <c r="Y464" s="60">
        <f t="shared" si="244"/>
        <v>65000000000147</v>
      </c>
      <c r="Z464" s="60">
        <f t="shared" si="245"/>
        <v>65000000000454</v>
      </c>
      <c r="AA464" s="60">
        <f t="shared" si="228"/>
        <v>65000000000453</v>
      </c>
      <c r="AB464" s="60">
        <f t="shared" si="246"/>
        <v>65000000000000</v>
      </c>
      <c r="AD464" s="60">
        <f t="shared" si="249"/>
        <v>6</v>
      </c>
      <c r="AE464" s="60">
        <f t="shared" si="250"/>
        <v>4</v>
      </c>
      <c r="AF464" s="60">
        <f t="shared" si="251"/>
        <v>1</v>
      </c>
      <c r="AG464" s="60">
        <f t="shared" si="252"/>
        <v>141</v>
      </c>
      <c r="AH464" s="60">
        <f t="shared" si="253"/>
        <v>1</v>
      </c>
      <c r="AI464" s="60">
        <f t="shared" si="254"/>
        <v>1</v>
      </c>
      <c r="AK464" s="68" t="str">
        <f t="shared" si="229"/>
        <v>L4</v>
      </c>
      <c r="AM464" s="64" t="s">
        <v>1755</v>
      </c>
      <c r="AN464" s="64">
        <f t="shared" si="230"/>
        <v>65000000000350</v>
      </c>
      <c r="AO464" s="64">
        <f t="shared" si="231"/>
        <v>65000000000445</v>
      </c>
      <c r="AP464" s="64">
        <f t="shared" si="232"/>
        <v>65000000000445</v>
      </c>
      <c r="AQ464" s="64">
        <f t="shared" si="233"/>
        <v>65000000000452</v>
      </c>
      <c r="AS464" s="64">
        <f t="shared" si="234"/>
        <v>65000000000445</v>
      </c>
      <c r="AU464" s="59" t="str">
        <f t="shared" si="255"/>
        <v>PERFORM * FROM "SchData-OLTP-Accounting"."Func_TblChartOfAccount_SET"(varSystemLoginSession, null, null, null, varInstitutionBranchID, 62000000000001::bigint,'6-3005', 'Marketing Expense', 62000000000001::bigint, '2016-01-01 00:00:00'::timestamp, null::timestamp, 65000000000445::bigint, 66000000000001::bigint);</v>
      </c>
      <c r="AV464" s="65">
        <f t="shared" si="256"/>
        <v>65000000000454</v>
      </c>
      <c r="AW464" s="65">
        <f t="shared" si="257"/>
        <v>65000000000445</v>
      </c>
      <c r="AY464" s="65">
        <f t="shared" si="247"/>
        <v>65000000000147</v>
      </c>
      <c r="BA464" s="78">
        <f t="shared" si="258"/>
        <v>65000000000454</v>
      </c>
      <c r="BB464" s="81" t="str">
        <f t="shared" si="248"/>
        <v>PERFORM * FROM "SchData-OLTP-Accounting"."Func_TblChartOfAccount_SET"(varSystemLoginSession, null, null, null, null, null, varInstitutionBranchID, 62000000000001::bigint,'6-3005', 'Marketing Expense', 62000000000001::bigint, '2016-01-01 00:00:00'::timestamp, null::timestamp, 65000000000445::bigint, 66000000000001::bigint, FALSE::boolean);</v>
      </c>
    </row>
    <row r="465" spans="2:54" x14ac:dyDescent="0.2">
      <c r="B465" s="41"/>
      <c r="C465" s="42"/>
      <c r="D465" s="43"/>
      <c r="E465" s="42"/>
      <c r="F465" s="43"/>
      <c r="G465" s="42"/>
      <c r="H465" s="51"/>
      <c r="I465" s="18"/>
      <c r="J465" s="51" t="s">
        <v>1577</v>
      </c>
      <c r="K465" s="18" t="s">
        <v>1395</v>
      </c>
      <c r="L465" s="51"/>
      <c r="M465" s="18"/>
      <c r="O465" s="58" t="str">
        <f t="shared" si="235"/>
        <v>6-0000</v>
      </c>
      <c r="P465" s="58" t="str">
        <f t="shared" si="236"/>
        <v>6-3000</v>
      </c>
      <c r="Q465" s="58" t="str">
        <f t="shared" si="237"/>
        <v>2-1200</v>
      </c>
      <c r="R465" s="58" t="str">
        <f t="shared" si="238"/>
        <v>6-3005</v>
      </c>
      <c r="S465" s="58" t="str">
        <f t="shared" si="239"/>
        <v>6-3005.01</v>
      </c>
      <c r="T465" s="58" t="str">
        <f t="shared" si="240"/>
        <v xml:space="preserve"> </v>
      </c>
      <c r="V465" s="72">
        <f t="shared" si="241"/>
        <v>65000000000455</v>
      </c>
      <c r="W465" s="60">
        <f t="shared" si="242"/>
        <v>65000000000350</v>
      </c>
      <c r="X465" s="60">
        <f t="shared" si="243"/>
        <v>65000000000445</v>
      </c>
      <c r="Y465" s="60">
        <f t="shared" si="244"/>
        <v>65000000000147</v>
      </c>
      <c r="Z465" s="60">
        <f t="shared" si="245"/>
        <v>65000000000454</v>
      </c>
      <c r="AA465" s="60">
        <f t="shared" si="228"/>
        <v>65000000000455</v>
      </c>
      <c r="AB465" s="60">
        <f t="shared" si="246"/>
        <v>65000000000000</v>
      </c>
      <c r="AD465" s="60">
        <f t="shared" si="249"/>
        <v>6</v>
      </c>
      <c r="AE465" s="60">
        <f t="shared" si="250"/>
        <v>4</v>
      </c>
      <c r="AF465" s="60">
        <f t="shared" si="251"/>
        <v>1</v>
      </c>
      <c r="AG465" s="60">
        <f t="shared" si="252"/>
        <v>141</v>
      </c>
      <c r="AH465" s="60">
        <f t="shared" si="253"/>
        <v>2</v>
      </c>
      <c r="AI465" s="60">
        <f t="shared" si="254"/>
        <v>1</v>
      </c>
      <c r="AK465" s="68" t="str">
        <f t="shared" si="229"/>
        <v>L5</v>
      </c>
      <c r="AM465" s="64" t="s">
        <v>1755</v>
      </c>
      <c r="AN465" s="64">
        <f t="shared" si="230"/>
        <v>65000000000350</v>
      </c>
      <c r="AO465" s="64">
        <f t="shared" si="231"/>
        <v>65000000000445</v>
      </c>
      <c r="AP465" s="64">
        <f t="shared" si="232"/>
        <v>65000000000445</v>
      </c>
      <c r="AQ465" s="64">
        <f t="shared" si="233"/>
        <v>65000000000454</v>
      </c>
      <c r="AS465" s="64">
        <f t="shared" si="234"/>
        <v>65000000000454</v>
      </c>
      <c r="AU465" s="59" t="str">
        <f t="shared" si="255"/>
        <v>PERFORM * FROM "SchData-OLTP-Accounting"."Func_TblChartOfAccount_SET"(varSystemLoginSession, null, null, null, varInstitutionBranchID, 62000000000001::bigint,'6-3005.01', 'Marketing Expense (IDR)', 62000000000001::bigint, '2016-01-01 00:00:00'::timestamp, null::timestamp, 65000000000454::bigint, 66000000000001::bigint);</v>
      </c>
      <c r="AV465" s="65">
        <f t="shared" si="256"/>
        <v>65000000000455</v>
      </c>
      <c r="AW465" s="65">
        <f t="shared" si="257"/>
        <v>65000000000454</v>
      </c>
      <c r="AY465" s="65">
        <f t="shared" si="247"/>
        <v>65000000000454</v>
      </c>
      <c r="BA465" s="78">
        <f t="shared" si="258"/>
        <v>65000000000455</v>
      </c>
      <c r="BB465" s="81" t="str">
        <f t="shared" si="248"/>
        <v>PERFORM * FROM "SchData-OLTP-Accounting"."Func_TblChartOfAccount_SET"(varSystemLoginSession, null, null, null, null, null, varInstitutionBranchID, 62000000000001::bigint,'6-3005.01', 'Marketing Expense (IDR)', 62000000000001::bigint, '2016-01-01 00:00:00'::timestamp, null::timestamp, 65000000000454::bigint, 66000000000001::bigint, FALSE::boolean);</v>
      </c>
    </row>
    <row r="466" spans="2:54" x14ac:dyDescent="0.2">
      <c r="B466" s="41"/>
      <c r="C466" s="42"/>
      <c r="D466" s="43"/>
      <c r="E466" s="42"/>
      <c r="F466" s="43"/>
      <c r="G466" s="42"/>
      <c r="H466" s="51" t="s">
        <v>1578</v>
      </c>
      <c r="I466" s="18" t="s">
        <v>595</v>
      </c>
      <c r="J466" s="51"/>
      <c r="K466" s="18"/>
      <c r="L466" s="51"/>
      <c r="M466" s="18"/>
      <c r="O466" s="58" t="str">
        <f t="shared" si="235"/>
        <v>6-0000</v>
      </c>
      <c r="P466" s="58" t="str">
        <f t="shared" si="236"/>
        <v>6-3000</v>
      </c>
      <c r="Q466" s="58" t="str">
        <f t="shared" si="237"/>
        <v>2-1200</v>
      </c>
      <c r="R466" s="58" t="str">
        <f t="shared" si="238"/>
        <v>6-3006</v>
      </c>
      <c r="S466" s="58" t="str">
        <f t="shared" si="239"/>
        <v>6-3005.01</v>
      </c>
      <c r="T466" s="58" t="str">
        <f t="shared" si="240"/>
        <v xml:space="preserve"> </v>
      </c>
      <c r="V466" s="72">
        <f t="shared" si="241"/>
        <v>65000000000456</v>
      </c>
      <c r="W466" s="60">
        <f t="shared" si="242"/>
        <v>65000000000350</v>
      </c>
      <c r="X466" s="60">
        <f t="shared" si="243"/>
        <v>65000000000445</v>
      </c>
      <c r="Y466" s="60">
        <f t="shared" si="244"/>
        <v>65000000000147</v>
      </c>
      <c r="Z466" s="60">
        <f t="shared" si="245"/>
        <v>65000000000456</v>
      </c>
      <c r="AA466" s="60">
        <f t="shared" si="228"/>
        <v>65000000000455</v>
      </c>
      <c r="AB466" s="60">
        <f t="shared" si="246"/>
        <v>65000000000000</v>
      </c>
      <c r="AD466" s="60">
        <f t="shared" si="249"/>
        <v>6</v>
      </c>
      <c r="AE466" s="60">
        <f t="shared" si="250"/>
        <v>4</v>
      </c>
      <c r="AF466" s="60">
        <f t="shared" si="251"/>
        <v>1</v>
      </c>
      <c r="AG466" s="60">
        <f t="shared" si="252"/>
        <v>142</v>
      </c>
      <c r="AH466" s="60">
        <f t="shared" si="253"/>
        <v>1</v>
      </c>
      <c r="AI466" s="60">
        <f t="shared" si="254"/>
        <v>1</v>
      </c>
      <c r="AK466" s="68" t="str">
        <f t="shared" si="229"/>
        <v>L4</v>
      </c>
      <c r="AM466" s="64" t="s">
        <v>1755</v>
      </c>
      <c r="AN466" s="64">
        <f t="shared" si="230"/>
        <v>65000000000350</v>
      </c>
      <c r="AO466" s="64">
        <f t="shared" si="231"/>
        <v>65000000000445</v>
      </c>
      <c r="AP466" s="64">
        <f t="shared" si="232"/>
        <v>65000000000445</v>
      </c>
      <c r="AQ466" s="64">
        <f t="shared" si="233"/>
        <v>65000000000454</v>
      </c>
      <c r="AS466" s="64">
        <f t="shared" si="234"/>
        <v>65000000000445</v>
      </c>
      <c r="AU466" s="59" t="str">
        <f t="shared" si="255"/>
        <v>PERFORM * FROM "SchData-OLTP-Accounting"."Func_TblChartOfAccount_SET"(varSystemLoginSession, null, null, null, varInstitutionBranchID, 62000000000001::bigint,'6-3006', 'Sales Call Expense', 62000000000001::bigint, '2016-01-01 00:00:00'::timestamp, null::timestamp, 65000000000445::bigint, 66000000000001::bigint);</v>
      </c>
      <c r="AV466" s="65">
        <f t="shared" si="256"/>
        <v>65000000000456</v>
      </c>
      <c r="AW466" s="65">
        <f t="shared" si="257"/>
        <v>65000000000445</v>
      </c>
      <c r="AY466" s="65">
        <f t="shared" si="247"/>
        <v>65000000000147</v>
      </c>
      <c r="BA466" s="78">
        <f t="shared" si="258"/>
        <v>65000000000456</v>
      </c>
      <c r="BB466" s="81" t="str">
        <f t="shared" si="248"/>
        <v>PERFORM * FROM "SchData-OLTP-Accounting"."Func_TblChartOfAccount_SET"(varSystemLoginSession, null, null, null, null, null, varInstitutionBranchID, 62000000000001::bigint,'6-3006', 'Sales Call Expense', 62000000000001::bigint, '2016-01-01 00:00:00'::timestamp, null::timestamp, 65000000000445::bigint, 66000000000001::bigint, FALSE::boolean);</v>
      </c>
    </row>
    <row r="467" spans="2:54" x14ac:dyDescent="0.2">
      <c r="B467" s="41"/>
      <c r="C467" s="42"/>
      <c r="D467" s="43"/>
      <c r="E467" s="42"/>
      <c r="F467" s="43"/>
      <c r="G467" s="42"/>
      <c r="H467" s="51"/>
      <c r="I467" s="18"/>
      <c r="J467" s="51" t="s">
        <v>1579</v>
      </c>
      <c r="K467" s="18" t="s">
        <v>1396</v>
      </c>
      <c r="L467" s="51"/>
      <c r="M467" s="18"/>
      <c r="O467" s="58" t="str">
        <f t="shared" si="235"/>
        <v>6-0000</v>
      </c>
      <c r="P467" s="58" t="str">
        <f t="shared" si="236"/>
        <v>6-3000</v>
      </c>
      <c r="Q467" s="58" t="str">
        <f t="shared" si="237"/>
        <v>2-1200</v>
      </c>
      <c r="R467" s="58" t="str">
        <f t="shared" si="238"/>
        <v>6-3006</v>
      </c>
      <c r="S467" s="58" t="str">
        <f t="shared" si="239"/>
        <v>6-3006.01</v>
      </c>
      <c r="T467" s="58" t="str">
        <f t="shared" si="240"/>
        <v xml:space="preserve"> </v>
      </c>
      <c r="V467" s="72">
        <f t="shared" si="241"/>
        <v>65000000000457</v>
      </c>
      <c r="W467" s="60">
        <f t="shared" si="242"/>
        <v>65000000000350</v>
      </c>
      <c r="X467" s="60">
        <f t="shared" si="243"/>
        <v>65000000000445</v>
      </c>
      <c r="Y467" s="60">
        <f t="shared" si="244"/>
        <v>65000000000147</v>
      </c>
      <c r="Z467" s="60">
        <f t="shared" si="245"/>
        <v>65000000000456</v>
      </c>
      <c r="AA467" s="60">
        <f t="shared" si="228"/>
        <v>65000000000457</v>
      </c>
      <c r="AB467" s="60">
        <f t="shared" si="246"/>
        <v>65000000000000</v>
      </c>
      <c r="AD467" s="60">
        <f t="shared" si="249"/>
        <v>6</v>
      </c>
      <c r="AE467" s="60">
        <f t="shared" si="250"/>
        <v>4</v>
      </c>
      <c r="AF467" s="60">
        <f t="shared" si="251"/>
        <v>1</v>
      </c>
      <c r="AG467" s="60">
        <f t="shared" si="252"/>
        <v>142</v>
      </c>
      <c r="AH467" s="60">
        <f t="shared" si="253"/>
        <v>2</v>
      </c>
      <c r="AI467" s="60">
        <f t="shared" si="254"/>
        <v>1</v>
      </c>
      <c r="AK467" s="68" t="str">
        <f t="shared" si="229"/>
        <v>L5</v>
      </c>
      <c r="AM467" s="64" t="s">
        <v>1755</v>
      </c>
      <c r="AN467" s="64">
        <f t="shared" si="230"/>
        <v>65000000000350</v>
      </c>
      <c r="AO467" s="64">
        <f t="shared" si="231"/>
        <v>65000000000445</v>
      </c>
      <c r="AP467" s="64">
        <f t="shared" si="232"/>
        <v>65000000000445</v>
      </c>
      <c r="AQ467" s="64">
        <f t="shared" si="233"/>
        <v>65000000000456</v>
      </c>
      <c r="AS467" s="64">
        <f t="shared" si="234"/>
        <v>65000000000456</v>
      </c>
      <c r="AU467" s="59" t="str">
        <f t="shared" si="255"/>
        <v>PERFORM * FROM "SchData-OLTP-Accounting"."Func_TblChartOfAccount_SET"(varSystemLoginSession, null, null, null, varInstitutionBranchID, 62000000000001::bigint,'6-3006.01', 'Sales Call Expense (IDR)', 62000000000001::bigint, '2016-01-01 00:00:00'::timestamp, null::timestamp, 65000000000456::bigint, 66000000000001::bigint);</v>
      </c>
      <c r="AV467" s="65">
        <f t="shared" si="256"/>
        <v>65000000000457</v>
      </c>
      <c r="AW467" s="65">
        <f t="shared" si="257"/>
        <v>65000000000456</v>
      </c>
      <c r="AY467" s="65">
        <f t="shared" si="247"/>
        <v>65000000000456</v>
      </c>
      <c r="BA467" s="78">
        <f t="shared" si="258"/>
        <v>65000000000457</v>
      </c>
      <c r="BB467" s="81" t="str">
        <f t="shared" si="248"/>
        <v>PERFORM * FROM "SchData-OLTP-Accounting"."Func_TblChartOfAccount_SET"(varSystemLoginSession, null, null, null, null, null, varInstitutionBranchID, 62000000000001::bigint,'6-3006.01', 'Sales Call Expense (IDR)', 62000000000001::bigint, '2016-01-01 00:00:00'::timestamp, null::timestamp, 65000000000456::bigint, 66000000000001::bigint, FALSE::boolean);</v>
      </c>
    </row>
    <row r="468" spans="2:54" x14ac:dyDescent="0.2">
      <c r="B468" s="41"/>
      <c r="C468" s="42"/>
      <c r="D468" s="43"/>
      <c r="E468" s="42"/>
      <c r="F468" s="43"/>
      <c r="G468" s="42"/>
      <c r="H468" s="51" t="s">
        <v>1580</v>
      </c>
      <c r="I468" s="18" t="s">
        <v>1178</v>
      </c>
      <c r="J468" s="51"/>
      <c r="K468" s="18"/>
      <c r="L468" s="51"/>
      <c r="M468" s="18"/>
      <c r="O468" s="58" t="str">
        <f t="shared" si="235"/>
        <v>6-0000</v>
      </c>
      <c r="P468" s="58" t="str">
        <f t="shared" si="236"/>
        <v>6-3000</v>
      </c>
      <c r="Q468" s="58" t="str">
        <f t="shared" si="237"/>
        <v>2-1200</v>
      </c>
      <c r="R468" s="58" t="str">
        <f t="shared" si="238"/>
        <v>6-3099</v>
      </c>
      <c r="S468" s="58" t="str">
        <f t="shared" si="239"/>
        <v>6-3006.01</v>
      </c>
      <c r="T468" s="58" t="str">
        <f t="shared" si="240"/>
        <v xml:space="preserve"> </v>
      </c>
      <c r="V468" s="72">
        <f t="shared" si="241"/>
        <v>65000000000458</v>
      </c>
      <c r="W468" s="60">
        <f t="shared" si="242"/>
        <v>65000000000350</v>
      </c>
      <c r="X468" s="60">
        <f t="shared" si="243"/>
        <v>65000000000445</v>
      </c>
      <c r="Y468" s="60">
        <f t="shared" si="244"/>
        <v>65000000000147</v>
      </c>
      <c r="Z468" s="60">
        <f t="shared" si="245"/>
        <v>65000000000458</v>
      </c>
      <c r="AA468" s="60">
        <f t="shared" si="228"/>
        <v>65000000000457</v>
      </c>
      <c r="AB468" s="60">
        <f t="shared" si="246"/>
        <v>65000000000000</v>
      </c>
      <c r="AD468" s="60">
        <f t="shared" si="249"/>
        <v>6</v>
      </c>
      <c r="AE468" s="60">
        <f t="shared" si="250"/>
        <v>4</v>
      </c>
      <c r="AF468" s="60">
        <f t="shared" si="251"/>
        <v>1</v>
      </c>
      <c r="AG468" s="60">
        <f t="shared" si="252"/>
        <v>143</v>
      </c>
      <c r="AH468" s="60">
        <f t="shared" si="253"/>
        <v>1</v>
      </c>
      <c r="AI468" s="60">
        <f t="shared" si="254"/>
        <v>1</v>
      </c>
      <c r="AK468" s="68" t="str">
        <f t="shared" si="229"/>
        <v>L4</v>
      </c>
      <c r="AM468" s="64" t="s">
        <v>1755</v>
      </c>
      <c r="AN468" s="64">
        <f t="shared" si="230"/>
        <v>65000000000350</v>
      </c>
      <c r="AO468" s="64">
        <f t="shared" si="231"/>
        <v>65000000000445</v>
      </c>
      <c r="AP468" s="64">
        <f t="shared" si="232"/>
        <v>65000000000445</v>
      </c>
      <c r="AQ468" s="64">
        <f t="shared" si="233"/>
        <v>65000000000456</v>
      </c>
      <c r="AS468" s="64">
        <f t="shared" si="234"/>
        <v>65000000000445</v>
      </c>
      <c r="AU468" s="59" t="str">
        <f t="shared" si="255"/>
        <v>PERFORM * FROM "SchData-OLTP-Accounting"."Func_TblChartOfAccount_SET"(varSystemLoginSession, null, null, null, varInstitutionBranchID, 62000000000001::bigint,'6-3099', 'Biaya Marketing Lainnya', 62000000000001::bigint, '2016-01-01 00:00:00'::timestamp, null::timestamp, 65000000000445::bigint, 66000000000001::bigint);</v>
      </c>
      <c r="AV468" s="65">
        <f t="shared" si="256"/>
        <v>65000000000458</v>
      </c>
      <c r="AW468" s="65">
        <f t="shared" si="257"/>
        <v>65000000000445</v>
      </c>
      <c r="AY468" s="65">
        <f t="shared" si="247"/>
        <v>65000000000147</v>
      </c>
      <c r="BA468" s="78">
        <f t="shared" si="258"/>
        <v>65000000000458</v>
      </c>
      <c r="BB468" s="81" t="str">
        <f t="shared" si="248"/>
        <v>PERFORM * FROM "SchData-OLTP-Accounting"."Func_TblChartOfAccount_SET"(varSystemLoginSession, null, null, null, null, null, varInstitutionBranchID, 62000000000001::bigint,'6-3099', 'Biaya Marketing Lainnya', 62000000000001::bigint, '2016-01-01 00:00:00'::timestamp, null::timestamp, 65000000000445::bigint, 66000000000001::bigint, FALSE::boolean);</v>
      </c>
    </row>
    <row r="469" spans="2:54" x14ac:dyDescent="0.2">
      <c r="B469" s="41"/>
      <c r="C469" s="42"/>
      <c r="D469" s="43"/>
      <c r="E469" s="42"/>
      <c r="F469" s="43"/>
      <c r="G469" s="42"/>
      <c r="H469" s="51"/>
      <c r="I469" s="18"/>
      <c r="J469" s="51" t="s">
        <v>1581</v>
      </c>
      <c r="K469" s="18" t="s">
        <v>1397</v>
      </c>
      <c r="L469" s="51"/>
      <c r="M469" s="18"/>
      <c r="O469" s="58" t="str">
        <f t="shared" si="235"/>
        <v>6-0000</v>
      </c>
      <c r="P469" s="58" t="str">
        <f t="shared" si="236"/>
        <v>6-3000</v>
      </c>
      <c r="Q469" s="58" t="str">
        <f t="shared" si="237"/>
        <v>2-1200</v>
      </c>
      <c r="R469" s="58" t="str">
        <f t="shared" si="238"/>
        <v>6-3099</v>
      </c>
      <c r="S469" s="58" t="str">
        <f t="shared" si="239"/>
        <v>6-3099.01</v>
      </c>
      <c r="T469" s="58" t="str">
        <f t="shared" si="240"/>
        <v xml:space="preserve"> </v>
      </c>
      <c r="V469" s="72">
        <f t="shared" si="241"/>
        <v>65000000000459</v>
      </c>
      <c r="W469" s="60">
        <f t="shared" si="242"/>
        <v>65000000000350</v>
      </c>
      <c r="X469" s="60">
        <f t="shared" si="243"/>
        <v>65000000000445</v>
      </c>
      <c r="Y469" s="60">
        <f t="shared" si="244"/>
        <v>65000000000147</v>
      </c>
      <c r="Z469" s="60">
        <f t="shared" si="245"/>
        <v>65000000000458</v>
      </c>
      <c r="AA469" s="60">
        <f t="shared" si="228"/>
        <v>65000000000459</v>
      </c>
      <c r="AB469" s="60">
        <f t="shared" si="246"/>
        <v>65000000000000</v>
      </c>
      <c r="AD469" s="60">
        <f t="shared" si="249"/>
        <v>6</v>
      </c>
      <c r="AE469" s="60">
        <f t="shared" si="250"/>
        <v>4</v>
      </c>
      <c r="AF469" s="60">
        <f t="shared" si="251"/>
        <v>1</v>
      </c>
      <c r="AG469" s="60">
        <f t="shared" si="252"/>
        <v>143</v>
      </c>
      <c r="AH469" s="60">
        <f t="shared" si="253"/>
        <v>2</v>
      </c>
      <c r="AI469" s="60">
        <f t="shared" si="254"/>
        <v>1</v>
      </c>
      <c r="AK469" s="68" t="str">
        <f t="shared" si="229"/>
        <v>L5</v>
      </c>
      <c r="AM469" s="64" t="s">
        <v>1755</v>
      </c>
      <c r="AN469" s="64">
        <f t="shared" si="230"/>
        <v>65000000000350</v>
      </c>
      <c r="AO469" s="64">
        <f t="shared" si="231"/>
        <v>65000000000445</v>
      </c>
      <c r="AP469" s="64">
        <f t="shared" si="232"/>
        <v>65000000000445</v>
      </c>
      <c r="AQ469" s="64">
        <f t="shared" si="233"/>
        <v>65000000000458</v>
      </c>
      <c r="AS469" s="64">
        <f t="shared" si="234"/>
        <v>65000000000458</v>
      </c>
      <c r="AU469" s="59" t="str">
        <f t="shared" si="255"/>
        <v>PERFORM * FROM "SchData-OLTP-Accounting"."Func_TblChartOfAccount_SET"(varSystemLoginSession, null, null, null, varInstitutionBranchID, 62000000000001::bigint,'6-3099.01', 'Biaya Marketing Lainnya (IDR)', 62000000000001::bigint, '2016-01-01 00:00:00'::timestamp, null::timestamp, 65000000000458::bigint, 66000000000001::bigint);</v>
      </c>
      <c r="AV469" s="65">
        <f t="shared" si="256"/>
        <v>65000000000459</v>
      </c>
      <c r="AW469" s="65">
        <f t="shared" si="257"/>
        <v>65000000000458</v>
      </c>
      <c r="AY469" s="65">
        <f t="shared" si="247"/>
        <v>65000000000458</v>
      </c>
      <c r="BA469" s="78">
        <f t="shared" si="258"/>
        <v>65000000000459</v>
      </c>
      <c r="BB469" s="81" t="str">
        <f t="shared" si="248"/>
        <v>PERFORM * FROM "SchData-OLTP-Accounting"."Func_TblChartOfAccount_SET"(varSystemLoginSession, null, null, null, null, null, varInstitutionBranchID, 62000000000001::bigint,'6-3099.01', 'Biaya Marketing Lainnya (IDR)', 62000000000001::bigint, '2016-01-01 00:00:00'::timestamp, null::timestamp, 65000000000458::bigint, 66000000000001::bigint, FALSE::boolean);</v>
      </c>
    </row>
    <row r="470" spans="2:54" x14ac:dyDescent="0.2">
      <c r="B470" s="41"/>
      <c r="C470" s="42"/>
      <c r="D470" s="43" t="s">
        <v>1528</v>
      </c>
      <c r="E470" s="42" t="s">
        <v>1177</v>
      </c>
      <c r="F470" s="51"/>
      <c r="G470" s="18"/>
      <c r="H470" s="51"/>
      <c r="I470" s="18"/>
      <c r="J470" s="51"/>
      <c r="K470" s="18"/>
      <c r="L470" s="51"/>
      <c r="M470" s="18"/>
      <c r="O470" s="58" t="str">
        <f t="shared" si="235"/>
        <v>6-0000</v>
      </c>
      <c r="P470" s="58" t="str">
        <f t="shared" si="236"/>
        <v>6-4000</v>
      </c>
      <c r="Q470" s="58" t="str">
        <f t="shared" si="237"/>
        <v>2-1200</v>
      </c>
      <c r="R470" s="58" t="str">
        <f t="shared" si="238"/>
        <v>6-3099</v>
      </c>
      <c r="S470" s="58" t="str">
        <f t="shared" si="239"/>
        <v>6-3099.01</v>
      </c>
      <c r="T470" s="58" t="str">
        <f t="shared" si="240"/>
        <v xml:space="preserve"> </v>
      </c>
      <c r="V470" s="72">
        <f t="shared" si="241"/>
        <v>65000000000460</v>
      </c>
      <c r="W470" s="60">
        <f t="shared" si="242"/>
        <v>65000000000350</v>
      </c>
      <c r="X470" s="60">
        <f t="shared" si="243"/>
        <v>65000000000460</v>
      </c>
      <c r="Y470" s="60">
        <f t="shared" si="244"/>
        <v>65000000000147</v>
      </c>
      <c r="Z470" s="60">
        <f t="shared" si="245"/>
        <v>65000000000458</v>
      </c>
      <c r="AA470" s="60">
        <f t="shared" si="228"/>
        <v>65000000000459</v>
      </c>
      <c r="AB470" s="60">
        <f t="shared" si="246"/>
        <v>65000000000000</v>
      </c>
      <c r="AD470" s="60">
        <f t="shared" si="249"/>
        <v>6</v>
      </c>
      <c r="AE470" s="60">
        <f t="shared" si="250"/>
        <v>5</v>
      </c>
      <c r="AF470" s="60">
        <f t="shared" si="251"/>
        <v>1</v>
      </c>
      <c r="AG470" s="60">
        <f t="shared" si="252"/>
        <v>143</v>
      </c>
      <c r="AH470" s="60">
        <f t="shared" si="253"/>
        <v>2</v>
      </c>
      <c r="AI470" s="60">
        <f t="shared" si="254"/>
        <v>1</v>
      </c>
      <c r="AK470" s="68" t="str">
        <f t="shared" si="229"/>
        <v>L2</v>
      </c>
      <c r="AM470" s="64" t="s">
        <v>1755</v>
      </c>
      <c r="AN470" s="64">
        <f t="shared" si="230"/>
        <v>65000000000350</v>
      </c>
      <c r="AO470" s="64">
        <f t="shared" si="231"/>
        <v>65000000000445</v>
      </c>
      <c r="AP470" s="64">
        <f t="shared" si="232"/>
        <v>65000000000445</v>
      </c>
      <c r="AQ470" s="64">
        <f t="shared" si="233"/>
        <v>65000000000458</v>
      </c>
      <c r="AS470" s="64">
        <f t="shared" si="234"/>
        <v>65000000000350</v>
      </c>
      <c r="AU470" s="59" t="str">
        <f t="shared" si="255"/>
        <v>PERFORM * FROM "SchData-OLTP-Accounting"."Func_TblChartOfAccount_SET"(varSystemLoginSession, null, null, null, varInstitutionBranchID, 62000000000001::bigint,'6-4000', 'Biaya Administrasi Umum', 62000000000001::bigint, '2016-01-01 00:00:00'::timestamp, null::timestamp, 65000000000350::bigint, 66000000000001::bigint);</v>
      </c>
      <c r="AV470" s="65">
        <f t="shared" si="256"/>
        <v>65000000000460</v>
      </c>
      <c r="AW470" s="65">
        <f t="shared" si="257"/>
        <v>65000000000350</v>
      </c>
      <c r="AY470" s="65">
        <f t="shared" si="247"/>
        <v>65000000000350</v>
      </c>
      <c r="BA470" s="78">
        <f t="shared" si="258"/>
        <v>65000000000460</v>
      </c>
      <c r="BB470" s="81" t="str">
        <f t="shared" si="248"/>
        <v>PERFORM * FROM "SchData-OLTP-Accounting"."Func_TblChartOfAccount_SET"(varSystemLoginSession, null, null, null, null, null, varInstitutionBranchID, 62000000000001::bigint,'6-4000', 'Biaya Administrasi Umum', 62000000000001::bigint, '2016-01-01 00:00:00'::timestamp, null::timestamp, 65000000000350::bigint, 66000000000001::bigint, FALSE::boolean);</v>
      </c>
    </row>
    <row r="471" spans="2:54" x14ac:dyDescent="0.2">
      <c r="B471" s="41"/>
      <c r="C471" s="42"/>
      <c r="D471" s="43"/>
      <c r="E471" s="42"/>
      <c r="F471" s="43"/>
      <c r="G471" s="42"/>
      <c r="H471" s="51" t="s">
        <v>1550</v>
      </c>
      <c r="I471" s="18" t="s">
        <v>597</v>
      </c>
      <c r="J471" s="51"/>
      <c r="K471" s="18"/>
      <c r="L471" s="51"/>
      <c r="M471" s="18"/>
      <c r="O471" s="58" t="str">
        <f t="shared" si="235"/>
        <v>6-0000</v>
      </c>
      <c r="P471" s="58" t="str">
        <f t="shared" si="236"/>
        <v>6-4000</v>
      </c>
      <c r="Q471" s="58" t="str">
        <f t="shared" si="237"/>
        <v>2-1200</v>
      </c>
      <c r="R471" s="58" t="str">
        <f t="shared" si="238"/>
        <v>6-4001</v>
      </c>
      <c r="S471" s="58" t="str">
        <f t="shared" si="239"/>
        <v>6-3099.01</v>
      </c>
      <c r="T471" s="58" t="str">
        <f t="shared" si="240"/>
        <v xml:space="preserve"> </v>
      </c>
      <c r="V471" s="72">
        <f t="shared" si="241"/>
        <v>65000000000461</v>
      </c>
      <c r="W471" s="60">
        <f t="shared" si="242"/>
        <v>65000000000350</v>
      </c>
      <c r="X471" s="60">
        <f t="shared" si="243"/>
        <v>65000000000460</v>
      </c>
      <c r="Y471" s="60">
        <f t="shared" si="244"/>
        <v>65000000000147</v>
      </c>
      <c r="Z471" s="60">
        <f t="shared" si="245"/>
        <v>65000000000461</v>
      </c>
      <c r="AA471" s="60">
        <f t="shared" si="228"/>
        <v>65000000000459</v>
      </c>
      <c r="AB471" s="60">
        <f t="shared" si="246"/>
        <v>65000000000000</v>
      </c>
      <c r="AD471" s="60">
        <f t="shared" si="249"/>
        <v>6</v>
      </c>
      <c r="AE471" s="60">
        <f t="shared" si="250"/>
        <v>5</v>
      </c>
      <c r="AF471" s="60">
        <f t="shared" si="251"/>
        <v>1</v>
      </c>
      <c r="AG471" s="60">
        <f t="shared" si="252"/>
        <v>144</v>
      </c>
      <c r="AH471" s="60">
        <f t="shared" si="253"/>
        <v>1</v>
      </c>
      <c r="AI471" s="60">
        <f t="shared" si="254"/>
        <v>1</v>
      </c>
      <c r="AK471" s="68" t="str">
        <f t="shared" si="229"/>
        <v>L4</v>
      </c>
      <c r="AM471" s="64" t="s">
        <v>1755</v>
      </c>
      <c r="AN471" s="64">
        <f t="shared" si="230"/>
        <v>65000000000350</v>
      </c>
      <c r="AO471" s="64">
        <f t="shared" si="231"/>
        <v>65000000000460</v>
      </c>
      <c r="AP471" s="64">
        <f t="shared" si="232"/>
        <v>65000000000460</v>
      </c>
      <c r="AQ471" s="64">
        <f t="shared" si="233"/>
        <v>65000000000460</v>
      </c>
      <c r="AS471" s="64">
        <f t="shared" si="234"/>
        <v>65000000000460</v>
      </c>
      <c r="AU471" s="59" t="str">
        <f t="shared" si="255"/>
        <v>PERFORM * FROM "SchData-OLTP-Accounting"."Func_TblChartOfAccount_SET"(varSystemLoginSession, null, null, null, varInstitutionBranchID, 62000000000001::bigint,'6-4001', 'Profesional Fee', 62000000000001::bigint, '2016-01-01 00:00:00'::timestamp, null::timestamp, 65000000000460::bigint, 66000000000001::bigint);</v>
      </c>
      <c r="AV471" s="65">
        <f t="shared" si="256"/>
        <v>65000000000461</v>
      </c>
      <c r="AW471" s="65">
        <f t="shared" si="257"/>
        <v>65000000000460</v>
      </c>
      <c r="AY471" s="65">
        <f t="shared" si="247"/>
        <v>65000000000460</v>
      </c>
      <c r="BA471" s="78">
        <f t="shared" si="258"/>
        <v>65000000000461</v>
      </c>
      <c r="BB471" s="81" t="str">
        <f t="shared" si="248"/>
        <v>PERFORM * FROM "SchData-OLTP-Accounting"."Func_TblChartOfAccount_SET"(varSystemLoginSession, null, null, null, null, null, varInstitutionBranchID, 62000000000001::bigint,'6-4001', 'Profesional Fee', 62000000000001::bigint, '2016-01-01 00:00:00'::timestamp, null::timestamp, 65000000000460::bigint, 66000000000001::bigint, FALSE::boolean);</v>
      </c>
    </row>
    <row r="472" spans="2:54" x14ac:dyDescent="0.2">
      <c r="B472" s="41"/>
      <c r="C472" s="42"/>
      <c r="D472" s="43"/>
      <c r="E472" s="42"/>
      <c r="F472" s="43"/>
      <c r="G472" s="42"/>
      <c r="H472" s="51"/>
      <c r="I472" s="18"/>
      <c r="J472" s="51" t="s">
        <v>1551</v>
      </c>
      <c r="K472" s="18" t="s">
        <v>1398</v>
      </c>
      <c r="L472" s="51"/>
      <c r="M472" s="18"/>
      <c r="O472" s="58" t="str">
        <f t="shared" si="235"/>
        <v>6-0000</v>
      </c>
      <c r="P472" s="58" t="str">
        <f t="shared" si="236"/>
        <v>6-4000</v>
      </c>
      <c r="Q472" s="58" t="str">
        <f t="shared" si="237"/>
        <v>2-1200</v>
      </c>
      <c r="R472" s="58" t="str">
        <f t="shared" si="238"/>
        <v>6-4001</v>
      </c>
      <c r="S472" s="58" t="str">
        <f t="shared" si="239"/>
        <v>6-4001.01</v>
      </c>
      <c r="T472" s="58" t="str">
        <f t="shared" si="240"/>
        <v xml:space="preserve"> </v>
      </c>
      <c r="V472" s="72">
        <f t="shared" si="241"/>
        <v>65000000000462</v>
      </c>
      <c r="W472" s="60">
        <f t="shared" si="242"/>
        <v>65000000000350</v>
      </c>
      <c r="X472" s="60">
        <f t="shared" si="243"/>
        <v>65000000000460</v>
      </c>
      <c r="Y472" s="60">
        <f t="shared" si="244"/>
        <v>65000000000147</v>
      </c>
      <c r="Z472" s="60">
        <f t="shared" si="245"/>
        <v>65000000000461</v>
      </c>
      <c r="AA472" s="60">
        <f t="shared" si="228"/>
        <v>65000000000462</v>
      </c>
      <c r="AB472" s="60">
        <f t="shared" si="246"/>
        <v>65000000000000</v>
      </c>
      <c r="AD472" s="60">
        <f t="shared" si="249"/>
        <v>6</v>
      </c>
      <c r="AE472" s="60">
        <f t="shared" si="250"/>
        <v>5</v>
      </c>
      <c r="AF472" s="60">
        <f t="shared" si="251"/>
        <v>1</v>
      </c>
      <c r="AG472" s="60">
        <f t="shared" si="252"/>
        <v>144</v>
      </c>
      <c r="AH472" s="60">
        <f t="shared" si="253"/>
        <v>2</v>
      </c>
      <c r="AI472" s="60">
        <f t="shared" si="254"/>
        <v>1</v>
      </c>
      <c r="AK472" s="68" t="str">
        <f t="shared" si="229"/>
        <v>L5</v>
      </c>
      <c r="AM472" s="64" t="s">
        <v>1755</v>
      </c>
      <c r="AN472" s="64">
        <f t="shared" si="230"/>
        <v>65000000000350</v>
      </c>
      <c r="AO472" s="64">
        <f t="shared" si="231"/>
        <v>65000000000460</v>
      </c>
      <c r="AP472" s="64">
        <f t="shared" si="232"/>
        <v>65000000000460</v>
      </c>
      <c r="AQ472" s="64">
        <f t="shared" si="233"/>
        <v>65000000000461</v>
      </c>
      <c r="AS472" s="64">
        <f t="shared" si="234"/>
        <v>65000000000461</v>
      </c>
      <c r="AU472" s="59" t="str">
        <f t="shared" si="255"/>
        <v>PERFORM * FROM "SchData-OLTP-Accounting"."Func_TblChartOfAccount_SET"(varSystemLoginSession, null, null, null, varInstitutionBranchID, 62000000000001::bigint,'6-4001.01', 'Profesional Fee (IDR)', 62000000000001::bigint, '2016-01-01 00:00:00'::timestamp, null::timestamp, 65000000000461::bigint, 66000000000001::bigint);</v>
      </c>
      <c r="AV472" s="65">
        <f t="shared" si="256"/>
        <v>65000000000462</v>
      </c>
      <c r="AW472" s="65">
        <f t="shared" si="257"/>
        <v>65000000000461</v>
      </c>
      <c r="AY472" s="65">
        <f t="shared" si="247"/>
        <v>65000000000461</v>
      </c>
      <c r="BA472" s="78">
        <f t="shared" si="258"/>
        <v>65000000000462</v>
      </c>
      <c r="BB472" s="81" t="str">
        <f t="shared" si="248"/>
        <v>PERFORM * FROM "SchData-OLTP-Accounting"."Func_TblChartOfAccount_SET"(varSystemLoginSession, null, null, null, null, null, varInstitutionBranchID, 62000000000001::bigint,'6-4001.01', 'Profesional Fee (IDR)', 62000000000001::bigint, '2016-01-01 00:00:00'::timestamp, null::timestamp, 65000000000461::bigint, 66000000000001::bigint, FALSE::boolean);</v>
      </c>
    </row>
    <row r="473" spans="2:54" x14ac:dyDescent="0.2">
      <c r="B473" s="41"/>
      <c r="C473" s="42"/>
      <c r="D473" s="43"/>
      <c r="E473" s="42"/>
      <c r="F473" s="43"/>
      <c r="G473" s="42"/>
      <c r="H473" s="51" t="s">
        <v>1552</v>
      </c>
      <c r="I473" s="18" t="s">
        <v>599</v>
      </c>
      <c r="J473" s="51"/>
      <c r="K473" s="18"/>
      <c r="L473" s="51"/>
      <c r="M473" s="18"/>
      <c r="O473" s="58" t="str">
        <f t="shared" si="235"/>
        <v>6-0000</v>
      </c>
      <c r="P473" s="58" t="str">
        <f t="shared" si="236"/>
        <v>6-4000</v>
      </c>
      <c r="Q473" s="58" t="str">
        <f t="shared" si="237"/>
        <v>2-1200</v>
      </c>
      <c r="R473" s="58" t="str">
        <f t="shared" si="238"/>
        <v>6-4002</v>
      </c>
      <c r="S473" s="58" t="str">
        <f t="shared" si="239"/>
        <v>6-4001.01</v>
      </c>
      <c r="T473" s="58" t="str">
        <f t="shared" si="240"/>
        <v xml:space="preserve"> </v>
      </c>
      <c r="V473" s="72">
        <f t="shared" si="241"/>
        <v>65000000000463</v>
      </c>
      <c r="W473" s="60">
        <f t="shared" si="242"/>
        <v>65000000000350</v>
      </c>
      <c r="X473" s="60">
        <f t="shared" si="243"/>
        <v>65000000000460</v>
      </c>
      <c r="Y473" s="60">
        <f t="shared" si="244"/>
        <v>65000000000147</v>
      </c>
      <c r="Z473" s="60">
        <f t="shared" si="245"/>
        <v>65000000000463</v>
      </c>
      <c r="AA473" s="60">
        <f t="shared" si="228"/>
        <v>65000000000462</v>
      </c>
      <c r="AB473" s="60">
        <f t="shared" si="246"/>
        <v>65000000000000</v>
      </c>
      <c r="AD473" s="60">
        <f t="shared" si="249"/>
        <v>6</v>
      </c>
      <c r="AE473" s="60">
        <f t="shared" si="250"/>
        <v>5</v>
      </c>
      <c r="AF473" s="60">
        <f t="shared" si="251"/>
        <v>1</v>
      </c>
      <c r="AG473" s="60">
        <f t="shared" si="252"/>
        <v>145</v>
      </c>
      <c r="AH473" s="60">
        <f t="shared" si="253"/>
        <v>1</v>
      </c>
      <c r="AI473" s="60">
        <f t="shared" si="254"/>
        <v>1</v>
      </c>
      <c r="AK473" s="68" t="str">
        <f t="shared" si="229"/>
        <v>L4</v>
      </c>
      <c r="AM473" s="64" t="s">
        <v>1755</v>
      </c>
      <c r="AN473" s="64">
        <f t="shared" si="230"/>
        <v>65000000000350</v>
      </c>
      <c r="AO473" s="64">
        <f t="shared" si="231"/>
        <v>65000000000460</v>
      </c>
      <c r="AP473" s="64">
        <f t="shared" si="232"/>
        <v>65000000000460</v>
      </c>
      <c r="AQ473" s="64">
        <f t="shared" si="233"/>
        <v>65000000000461</v>
      </c>
      <c r="AS473" s="64">
        <f t="shared" si="234"/>
        <v>65000000000460</v>
      </c>
      <c r="AU473" s="59" t="str">
        <f t="shared" si="255"/>
        <v>PERFORM * FROM "SchData-OLTP-Accounting"."Func_TblChartOfAccount_SET"(varSystemLoginSession, null, null, null, varInstitutionBranchID, 62000000000001::bigint,'6-4002', 'Legal Fee', 62000000000001::bigint, '2016-01-01 00:00:00'::timestamp, null::timestamp, 65000000000460::bigint, 66000000000001::bigint);</v>
      </c>
      <c r="AV473" s="65">
        <f t="shared" si="256"/>
        <v>65000000000463</v>
      </c>
      <c r="AW473" s="65">
        <f t="shared" si="257"/>
        <v>65000000000460</v>
      </c>
      <c r="AY473" s="65">
        <f t="shared" si="247"/>
        <v>65000000000147</v>
      </c>
      <c r="BA473" s="78">
        <f t="shared" si="258"/>
        <v>65000000000463</v>
      </c>
      <c r="BB473" s="81" t="str">
        <f t="shared" si="248"/>
        <v>PERFORM * FROM "SchData-OLTP-Accounting"."Func_TblChartOfAccount_SET"(varSystemLoginSession, null, null, null, null, null, varInstitutionBranchID, 62000000000001::bigint,'6-4002', 'Legal Fee', 62000000000001::bigint, '2016-01-01 00:00:00'::timestamp, null::timestamp, 65000000000460::bigint, 66000000000001::bigint, FALSE::boolean);</v>
      </c>
    </row>
    <row r="474" spans="2:54" x14ac:dyDescent="0.2">
      <c r="B474" s="41"/>
      <c r="C474" s="42"/>
      <c r="D474" s="43"/>
      <c r="E474" s="42"/>
      <c r="F474" s="43"/>
      <c r="G474" s="42"/>
      <c r="H474" s="51"/>
      <c r="I474" s="18"/>
      <c r="J474" s="51" t="s">
        <v>1553</v>
      </c>
      <c r="K474" s="18" t="s">
        <v>1399</v>
      </c>
      <c r="L474" s="51"/>
      <c r="M474" s="18"/>
      <c r="O474" s="58" t="str">
        <f t="shared" si="235"/>
        <v>6-0000</v>
      </c>
      <c r="P474" s="58" t="str">
        <f t="shared" si="236"/>
        <v>6-4000</v>
      </c>
      <c r="Q474" s="58" t="str">
        <f t="shared" si="237"/>
        <v>2-1200</v>
      </c>
      <c r="R474" s="58" t="str">
        <f t="shared" si="238"/>
        <v>6-4002</v>
      </c>
      <c r="S474" s="58" t="str">
        <f t="shared" si="239"/>
        <v>6-4002.01</v>
      </c>
      <c r="T474" s="58" t="str">
        <f t="shared" si="240"/>
        <v xml:space="preserve"> </v>
      </c>
      <c r="V474" s="72">
        <f t="shared" si="241"/>
        <v>65000000000464</v>
      </c>
      <c r="W474" s="60">
        <f t="shared" si="242"/>
        <v>65000000000350</v>
      </c>
      <c r="X474" s="60">
        <f t="shared" si="243"/>
        <v>65000000000460</v>
      </c>
      <c r="Y474" s="60">
        <f t="shared" si="244"/>
        <v>65000000000147</v>
      </c>
      <c r="Z474" s="60">
        <f t="shared" si="245"/>
        <v>65000000000463</v>
      </c>
      <c r="AA474" s="60">
        <f t="shared" si="228"/>
        <v>65000000000464</v>
      </c>
      <c r="AB474" s="60">
        <f t="shared" si="246"/>
        <v>65000000000000</v>
      </c>
      <c r="AD474" s="60">
        <f t="shared" si="249"/>
        <v>6</v>
      </c>
      <c r="AE474" s="60">
        <f t="shared" si="250"/>
        <v>5</v>
      </c>
      <c r="AF474" s="60">
        <f t="shared" si="251"/>
        <v>1</v>
      </c>
      <c r="AG474" s="60">
        <f t="shared" si="252"/>
        <v>145</v>
      </c>
      <c r="AH474" s="60">
        <f t="shared" si="253"/>
        <v>2</v>
      </c>
      <c r="AI474" s="60">
        <f t="shared" si="254"/>
        <v>1</v>
      </c>
      <c r="AK474" s="68" t="str">
        <f t="shared" si="229"/>
        <v>L5</v>
      </c>
      <c r="AM474" s="64" t="s">
        <v>1755</v>
      </c>
      <c r="AN474" s="64">
        <f t="shared" si="230"/>
        <v>65000000000350</v>
      </c>
      <c r="AO474" s="64">
        <f t="shared" si="231"/>
        <v>65000000000460</v>
      </c>
      <c r="AP474" s="64">
        <f t="shared" si="232"/>
        <v>65000000000460</v>
      </c>
      <c r="AQ474" s="64">
        <f t="shared" si="233"/>
        <v>65000000000463</v>
      </c>
      <c r="AS474" s="64">
        <f t="shared" si="234"/>
        <v>65000000000463</v>
      </c>
      <c r="AU474" s="59" t="str">
        <f t="shared" si="255"/>
        <v>PERFORM * FROM "SchData-OLTP-Accounting"."Func_TblChartOfAccount_SET"(varSystemLoginSession, null, null, null, varInstitutionBranchID, 62000000000001::bigint,'6-4002.01', 'Legal Fee (IDR)', 62000000000001::bigint, '2016-01-01 00:00:00'::timestamp, null::timestamp, 65000000000463::bigint, 66000000000001::bigint);</v>
      </c>
      <c r="AV474" s="65">
        <f t="shared" si="256"/>
        <v>65000000000464</v>
      </c>
      <c r="AW474" s="65">
        <f t="shared" si="257"/>
        <v>65000000000463</v>
      </c>
      <c r="AY474" s="65">
        <f t="shared" si="247"/>
        <v>65000000000463</v>
      </c>
      <c r="BA474" s="78">
        <f t="shared" si="258"/>
        <v>65000000000464</v>
      </c>
      <c r="BB474" s="81" t="str">
        <f t="shared" si="248"/>
        <v>PERFORM * FROM "SchData-OLTP-Accounting"."Func_TblChartOfAccount_SET"(varSystemLoginSession, null, null, null, null, null, varInstitutionBranchID, 62000000000001::bigint,'6-4002.01', 'Legal Fee (IDR)', 62000000000001::bigint, '2016-01-01 00:00:00'::timestamp, null::timestamp, 65000000000463::bigint, 66000000000001::bigint, FALSE::boolean);</v>
      </c>
    </row>
    <row r="475" spans="2:54" x14ac:dyDescent="0.2">
      <c r="B475" s="41"/>
      <c r="C475" s="42"/>
      <c r="D475" s="43"/>
      <c r="E475" s="42"/>
      <c r="F475" s="43"/>
      <c r="G475" s="42"/>
      <c r="H475" s="51" t="s">
        <v>1554</v>
      </c>
      <c r="I475" s="18" t="s">
        <v>601</v>
      </c>
      <c r="J475" s="51"/>
      <c r="K475" s="18"/>
      <c r="L475" s="51"/>
      <c r="M475" s="18"/>
      <c r="O475" s="58" t="str">
        <f t="shared" si="235"/>
        <v>6-0000</v>
      </c>
      <c r="P475" s="58" t="str">
        <f t="shared" si="236"/>
        <v>6-4000</v>
      </c>
      <c r="Q475" s="58" t="str">
        <f t="shared" si="237"/>
        <v>2-1200</v>
      </c>
      <c r="R475" s="58" t="str">
        <f t="shared" si="238"/>
        <v>6-4003</v>
      </c>
      <c r="S475" s="58" t="str">
        <f t="shared" si="239"/>
        <v>6-4002.01</v>
      </c>
      <c r="T475" s="58" t="str">
        <f t="shared" si="240"/>
        <v xml:space="preserve"> </v>
      </c>
      <c r="V475" s="72">
        <f t="shared" si="241"/>
        <v>65000000000465</v>
      </c>
      <c r="W475" s="60">
        <f t="shared" si="242"/>
        <v>65000000000350</v>
      </c>
      <c r="X475" s="60">
        <f t="shared" si="243"/>
        <v>65000000000460</v>
      </c>
      <c r="Y475" s="60">
        <f t="shared" si="244"/>
        <v>65000000000147</v>
      </c>
      <c r="Z475" s="60">
        <f t="shared" si="245"/>
        <v>65000000000465</v>
      </c>
      <c r="AA475" s="60">
        <f t="shared" si="228"/>
        <v>65000000000464</v>
      </c>
      <c r="AB475" s="60">
        <f t="shared" si="246"/>
        <v>65000000000000</v>
      </c>
      <c r="AD475" s="60">
        <f t="shared" si="249"/>
        <v>6</v>
      </c>
      <c r="AE475" s="60">
        <f t="shared" si="250"/>
        <v>5</v>
      </c>
      <c r="AF475" s="60">
        <f t="shared" si="251"/>
        <v>1</v>
      </c>
      <c r="AG475" s="60">
        <f t="shared" si="252"/>
        <v>146</v>
      </c>
      <c r="AH475" s="60">
        <f t="shared" si="253"/>
        <v>1</v>
      </c>
      <c r="AI475" s="60">
        <f t="shared" si="254"/>
        <v>1</v>
      </c>
      <c r="AK475" s="68" t="str">
        <f t="shared" si="229"/>
        <v>L4</v>
      </c>
      <c r="AM475" s="64" t="s">
        <v>1755</v>
      </c>
      <c r="AN475" s="64">
        <f t="shared" si="230"/>
        <v>65000000000350</v>
      </c>
      <c r="AO475" s="64">
        <f t="shared" si="231"/>
        <v>65000000000460</v>
      </c>
      <c r="AP475" s="64">
        <f t="shared" si="232"/>
        <v>65000000000460</v>
      </c>
      <c r="AQ475" s="64">
        <f t="shared" si="233"/>
        <v>65000000000463</v>
      </c>
      <c r="AS475" s="64">
        <f t="shared" si="234"/>
        <v>65000000000460</v>
      </c>
      <c r="AU475" s="59" t="str">
        <f t="shared" si="255"/>
        <v>PERFORM * FROM "SchData-OLTP-Accounting"."Func_TblChartOfAccount_SET"(varSystemLoginSession, null, null, null, varInstitutionBranchID, 62000000000001::bigint,'6-4003', 'Audit Fee', 62000000000001::bigint, '2016-01-01 00:00:00'::timestamp, null::timestamp, 65000000000460::bigint, 66000000000001::bigint);</v>
      </c>
      <c r="AV475" s="65">
        <f t="shared" si="256"/>
        <v>65000000000465</v>
      </c>
      <c r="AW475" s="65">
        <f t="shared" si="257"/>
        <v>65000000000460</v>
      </c>
      <c r="AY475" s="65">
        <f t="shared" si="247"/>
        <v>65000000000147</v>
      </c>
      <c r="BA475" s="78">
        <f t="shared" si="258"/>
        <v>65000000000465</v>
      </c>
      <c r="BB475" s="81" t="str">
        <f t="shared" si="248"/>
        <v>PERFORM * FROM "SchData-OLTP-Accounting"."Func_TblChartOfAccount_SET"(varSystemLoginSession, null, null, null, null, null, varInstitutionBranchID, 62000000000001::bigint,'6-4003', 'Audit Fee', 62000000000001::bigint, '2016-01-01 00:00:00'::timestamp, null::timestamp, 65000000000460::bigint, 66000000000001::bigint, FALSE::boolean);</v>
      </c>
    </row>
    <row r="476" spans="2:54" x14ac:dyDescent="0.2">
      <c r="B476" s="41"/>
      <c r="C476" s="42"/>
      <c r="D476" s="43"/>
      <c r="E476" s="42"/>
      <c r="F476" s="43"/>
      <c r="G476" s="42"/>
      <c r="H476" s="51"/>
      <c r="I476" s="18"/>
      <c r="J476" s="51" t="s">
        <v>1555</v>
      </c>
      <c r="K476" s="18" t="s">
        <v>1400</v>
      </c>
      <c r="L476" s="51"/>
      <c r="M476" s="18"/>
      <c r="O476" s="58" t="str">
        <f t="shared" si="235"/>
        <v>6-0000</v>
      </c>
      <c r="P476" s="58" t="str">
        <f t="shared" si="236"/>
        <v>6-4000</v>
      </c>
      <c r="Q476" s="58" t="str">
        <f t="shared" si="237"/>
        <v>2-1200</v>
      </c>
      <c r="R476" s="58" t="str">
        <f t="shared" si="238"/>
        <v>6-4003</v>
      </c>
      <c r="S476" s="58" t="str">
        <f t="shared" si="239"/>
        <v>6-4003.01</v>
      </c>
      <c r="T476" s="58" t="str">
        <f t="shared" si="240"/>
        <v xml:space="preserve"> </v>
      </c>
      <c r="V476" s="72">
        <f t="shared" si="241"/>
        <v>65000000000466</v>
      </c>
      <c r="W476" s="60">
        <f t="shared" si="242"/>
        <v>65000000000350</v>
      </c>
      <c r="X476" s="60">
        <f t="shared" si="243"/>
        <v>65000000000460</v>
      </c>
      <c r="Y476" s="60">
        <f t="shared" si="244"/>
        <v>65000000000147</v>
      </c>
      <c r="Z476" s="60">
        <f t="shared" si="245"/>
        <v>65000000000465</v>
      </c>
      <c r="AA476" s="60">
        <f t="shared" si="228"/>
        <v>65000000000466</v>
      </c>
      <c r="AB476" s="60">
        <f t="shared" si="246"/>
        <v>65000000000000</v>
      </c>
      <c r="AD476" s="60">
        <f t="shared" si="249"/>
        <v>6</v>
      </c>
      <c r="AE476" s="60">
        <f t="shared" si="250"/>
        <v>5</v>
      </c>
      <c r="AF476" s="60">
        <f t="shared" si="251"/>
        <v>1</v>
      </c>
      <c r="AG476" s="60">
        <f t="shared" si="252"/>
        <v>146</v>
      </c>
      <c r="AH476" s="60">
        <f t="shared" si="253"/>
        <v>2</v>
      </c>
      <c r="AI476" s="60">
        <f t="shared" si="254"/>
        <v>1</v>
      </c>
      <c r="AK476" s="68" t="str">
        <f t="shared" si="229"/>
        <v>L5</v>
      </c>
      <c r="AM476" s="64" t="s">
        <v>1755</v>
      </c>
      <c r="AN476" s="64">
        <f t="shared" si="230"/>
        <v>65000000000350</v>
      </c>
      <c r="AO476" s="64">
        <f t="shared" si="231"/>
        <v>65000000000460</v>
      </c>
      <c r="AP476" s="64">
        <f t="shared" si="232"/>
        <v>65000000000460</v>
      </c>
      <c r="AQ476" s="64">
        <f t="shared" si="233"/>
        <v>65000000000465</v>
      </c>
      <c r="AS476" s="64">
        <f t="shared" si="234"/>
        <v>65000000000465</v>
      </c>
      <c r="AU476" s="59" t="str">
        <f t="shared" si="255"/>
        <v>PERFORM * FROM "SchData-OLTP-Accounting"."Func_TblChartOfAccount_SET"(varSystemLoginSession, null, null, null, varInstitutionBranchID, 62000000000001::bigint,'6-4003.01', 'Audit Fee (IDR)', 62000000000001::bigint, '2016-01-01 00:00:00'::timestamp, null::timestamp, 65000000000465::bigint, 66000000000001::bigint);</v>
      </c>
      <c r="AV476" s="65">
        <f t="shared" si="256"/>
        <v>65000000000466</v>
      </c>
      <c r="AW476" s="65">
        <f t="shared" si="257"/>
        <v>65000000000465</v>
      </c>
      <c r="AY476" s="65">
        <f t="shared" si="247"/>
        <v>65000000000465</v>
      </c>
      <c r="BA476" s="78">
        <f t="shared" si="258"/>
        <v>65000000000466</v>
      </c>
      <c r="BB476" s="81" t="str">
        <f t="shared" si="248"/>
        <v>PERFORM * FROM "SchData-OLTP-Accounting"."Func_TblChartOfAccount_SET"(varSystemLoginSession, null, null, null, null, null, varInstitutionBranchID, 62000000000001::bigint,'6-4003.01', 'Audit Fee (IDR)', 62000000000001::bigint, '2016-01-01 00:00:00'::timestamp, null::timestamp, 65000000000465::bigint, 66000000000001::bigint, FALSE::boolean);</v>
      </c>
    </row>
    <row r="477" spans="2:54" x14ac:dyDescent="0.2">
      <c r="B477" s="41"/>
      <c r="C477" s="42"/>
      <c r="D477" s="43"/>
      <c r="E477" s="42"/>
      <c r="F477" s="43"/>
      <c r="G477" s="42"/>
      <c r="H477" s="51" t="s">
        <v>1556</v>
      </c>
      <c r="I477" s="18" t="s">
        <v>603</v>
      </c>
      <c r="J477" s="51"/>
      <c r="K477" s="18"/>
      <c r="L477" s="51"/>
      <c r="M477" s="18"/>
      <c r="O477" s="58" t="str">
        <f t="shared" si="235"/>
        <v>6-0000</v>
      </c>
      <c r="P477" s="58" t="str">
        <f t="shared" si="236"/>
        <v>6-4000</v>
      </c>
      <c r="Q477" s="58" t="str">
        <f t="shared" si="237"/>
        <v>2-1200</v>
      </c>
      <c r="R477" s="58" t="str">
        <f t="shared" si="238"/>
        <v>6-4004</v>
      </c>
      <c r="S477" s="58" t="str">
        <f t="shared" si="239"/>
        <v>6-4003.01</v>
      </c>
      <c r="T477" s="58" t="str">
        <f t="shared" si="240"/>
        <v xml:space="preserve"> </v>
      </c>
      <c r="V477" s="72">
        <f t="shared" si="241"/>
        <v>65000000000467</v>
      </c>
      <c r="W477" s="60">
        <f t="shared" si="242"/>
        <v>65000000000350</v>
      </c>
      <c r="X477" s="60">
        <f t="shared" si="243"/>
        <v>65000000000460</v>
      </c>
      <c r="Y477" s="60">
        <f t="shared" si="244"/>
        <v>65000000000147</v>
      </c>
      <c r="Z477" s="60">
        <f t="shared" si="245"/>
        <v>65000000000467</v>
      </c>
      <c r="AA477" s="60">
        <f t="shared" si="228"/>
        <v>65000000000466</v>
      </c>
      <c r="AB477" s="60">
        <f t="shared" si="246"/>
        <v>65000000000000</v>
      </c>
      <c r="AD477" s="60">
        <f t="shared" si="249"/>
        <v>6</v>
      </c>
      <c r="AE477" s="60">
        <f t="shared" si="250"/>
        <v>5</v>
      </c>
      <c r="AF477" s="60">
        <f t="shared" si="251"/>
        <v>1</v>
      </c>
      <c r="AG477" s="60">
        <f t="shared" si="252"/>
        <v>147</v>
      </c>
      <c r="AH477" s="60">
        <f t="shared" si="253"/>
        <v>1</v>
      </c>
      <c r="AI477" s="60">
        <f t="shared" si="254"/>
        <v>1</v>
      </c>
      <c r="AK477" s="68" t="str">
        <f t="shared" si="229"/>
        <v>L4</v>
      </c>
      <c r="AM477" s="64" t="s">
        <v>1755</v>
      </c>
      <c r="AN477" s="64">
        <f t="shared" si="230"/>
        <v>65000000000350</v>
      </c>
      <c r="AO477" s="64">
        <f t="shared" si="231"/>
        <v>65000000000460</v>
      </c>
      <c r="AP477" s="64">
        <f t="shared" si="232"/>
        <v>65000000000460</v>
      </c>
      <c r="AQ477" s="64">
        <f t="shared" si="233"/>
        <v>65000000000465</v>
      </c>
      <c r="AS477" s="64">
        <f t="shared" si="234"/>
        <v>65000000000460</v>
      </c>
      <c r="AU477" s="59" t="str">
        <f t="shared" si="255"/>
        <v>PERFORM * FROM "SchData-OLTP-Accounting"."Func_TblChartOfAccount_SET"(varSystemLoginSession, null, null, null, varInstitutionBranchID, 62000000000001::bigint,'6-4004', 'Advertising &amp; Promotion', 62000000000001::bigint, '2016-01-01 00:00:00'::timestamp, null::timestamp, 65000000000460::bigint, 66000000000001::bigint);</v>
      </c>
      <c r="AV477" s="65">
        <f t="shared" si="256"/>
        <v>65000000000467</v>
      </c>
      <c r="AW477" s="65">
        <f t="shared" si="257"/>
        <v>65000000000460</v>
      </c>
      <c r="AY477" s="65">
        <f t="shared" si="247"/>
        <v>65000000000147</v>
      </c>
      <c r="BA477" s="78">
        <f t="shared" si="258"/>
        <v>65000000000467</v>
      </c>
      <c r="BB477" s="81" t="str">
        <f t="shared" si="248"/>
        <v>PERFORM * FROM "SchData-OLTP-Accounting"."Func_TblChartOfAccount_SET"(varSystemLoginSession, null, null, null, null, null, varInstitutionBranchID, 62000000000001::bigint,'6-4004', 'Advertising &amp; Promotion', 62000000000001::bigint, '2016-01-01 00:00:00'::timestamp, null::timestamp, 65000000000460::bigint, 66000000000001::bigint, FALSE::boolean);</v>
      </c>
    </row>
    <row r="478" spans="2:54" x14ac:dyDescent="0.2">
      <c r="B478" s="41"/>
      <c r="C478" s="42"/>
      <c r="D478" s="43"/>
      <c r="E478" s="42"/>
      <c r="F478" s="43"/>
      <c r="G478" s="42"/>
      <c r="H478" s="51"/>
      <c r="I478" s="18"/>
      <c r="J478" s="51" t="s">
        <v>1557</v>
      </c>
      <c r="K478" s="18" t="s">
        <v>1401</v>
      </c>
      <c r="L478" s="51"/>
      <c r="M478" s="18"/>
      <c r="O478" s="58" t="str">
        <f t="shared" si="235"/>
        <v>6-0000</v>
      </c>
      <c r="P478" s="58" t="str">
        <f t="shared" si="236"/>
        <v>6-4000</v>
      </c>
      <c r="Q478" s="58" t="str">
        <f t="shared" si="237"/>
        <v>2-1200</v>
      </c>
      <c r="R478" s="58" t="str">
        <f t="shared" si="238"/>
        <v>6-4004</v>
      </c>
      <c r="S478" s="58" t="str">
        <f t="shared" si="239"/>
        <v>6-4004.01</v>
      </c>
      <c r="T478" s="58" t="str">
        <f t="shared" si="240"/>
        <v xml:space="preserve"> </v>
      </c>
      <c r="V478" s="72">
        <f t="shared" si="241"/>
        <v>65000000000468</v>
      </c>
      <c r="W478" s="60">
        <f t="shared" si="242"/>
        <v>65000000000350</v>
      </c>
      <c r="X478" s="60">
        <f t="shared" si="243"/>
        <v>65000000000460</v>
      </c>
      <c r="Y478" s="60">
        <f t="shared" si="244"/>
        <v>65000000000147</v>
      </c>
      <c r="Z478" s="60">
        <f t="shared" si="245"/>
        <v>65000000000467</v>
      </c>
      <c r="AA478" s="60">
        <f t="shared" si="228"/>
        <v>65000000000468</v>
      </c>
      <c r="AB478" s="60">
        <f t="shared" si="246"/>
        <v>65000000000000</v>
      </c>
      <c r="AD478" s="60">
        <f t="shared" si="249"/>
        <v>6</v>
      </c>
      <c r="AE478" s="60">
        <f t="shared" si="250"/>
        <v>5</v>
      </c>
      <c r="AF478" s="60">
        <f t="shared" si="251"/>
        <v>1</v>
      </c>
      <c r="AG478" s="60">
        <f t="shared" si="252"/>
        <v>147</v>
      </c>
      <c r="AH478" s="60">
        <f t="shared" si="253"/>
        <v>2</v>
      </c>
      <c r="AI478" s="60">
        <f t="shared" si="254"/>
        <v>1</v>
      </c>
      <c r="AK478" s="68" t="str">
        <f t="shared" si="229"/>
        <v>L5</v>
      </c>
      <c r="AM478" s="64" t="s">
        <v>1755</v>
      </c>
      <c r="AN478" s="64">
        <f t="shared" si="230"/>
        <v>65000000000350</v>
      </c>
      <c r="AO478" s="64">
        <f t="shared" si="231"/>
        <v>65000000000460</v>
      </c>
      <c r="AP478" s="64">
        <f t="shared" si="232"/>
        <v>65000000000460</v>
      </c>
      <c r="AQ478" s="64">
        <f t="shared" si="233"/>
        <v>65000000000467</v>
      </c>
      <c r="AS478" s="64">
        <f t="shared" si="234"/>
        <v>65000000000467</v>
      </c>
      <c r="AU478" s="59" t="str">
        <f t="shared" si="255"/>
        <v>PERFORM * FROM "SchData-OLTP-Accounting"."Func_TblChartOfAccount_SET"(varSystemLoginSession, null, null, null, varInstitutionBranchID, 62000000000001::bigint,'6-4004.01', 'Advertising &amp; Promotion (IDR)', 62000000000001::bigint, '2016-01-01 00:00:00'::timestamp, null::timestamp, 65000000000467::bigint, 66000000000001::bigint);</v>
      </c>
      <c r="AV478" s="65">
        <f t="shared" si="256"/>
        <v>65000000000468</v>
      </c>
      <c r="AW478" s="65">
        <f t="shared" si="257"/>
        <v>65000000000467</v>
      </c>
      <c r="AY478" s="65">
        <f t="shared" si="247"/>
        <v>65000000000467</v>
      </c>
      <c r="BA478" s="78">
        <f t="shared" si="258"/>
        <v>65000000000468</v>
      </c>
      <c r="BB478" s="81" t="str">
        <f t="shared" si="248"/>
        <v>PERFORM * FROM "SchData-OLTP-Accounting"."Func_TblChartOfAccount_SET"(varSystemLoginSession, null, null, null, null, null, varInstitutionBranchID, 62000000000001::bigint,'6-4004.01', 'Advertising &amp; Promotion (IDR)', 62000000000001::bigint, '2016-01-01 00:00:00'::timestamp, null::timestamp, 65000000000467::bigint, 66000000000001::bigint, FALSE::boolean);</v>
      </c>
    </row>
    <row r="479" spans="2:54" x14ac:dyDescent="0.2">
      <c r="B479" s="41"/>
      <c r="C479" s="42"/>
      <c r="D479" s="43"/>
      <c r="E479" s="42"/>
      <c r="F479" s="43"/>
      <c r="G479" s="42"/>
      <c r="H479" s="51" t="s">
        <v>1558</v>
      </c>
      <c r="I479" s="18" t="s">
        <v>605</v>
      </c>
      <c r="J479" s="51"/>
      <c r="K479" s="18"/>
      <c r="L479" s="51"/>
      <c r="M479" s="18"/>
      <c r="O479" s="58" t="str">
        <f t="shared" si="235"/>
        <v>6-0000</v>
      </c>
      <c r="P479" s="58" t="str">
        <f t="shared" si="236"/>
        <v>6-4000</v>
      </c>
      <c r="Q479" s="58" t="str">
        <f t="shared" si="237"/>
        <v>2-1200</v>
      </c>
      <c r="R479" s="58" t="str">
        <f t="shared" si="238"/>
        <v>6-4005</v>
      </c>
      <c r="S479" s="58" t="str">
        <f t="shared" si="239"/>
        <v>6-4004.01</v>
      </c>
      <c r="T479" s="58" t="str">
        <f t="shared" si="240"/>
        <v xml:space="preserve"> </v>
      </c>
      <c r="V479" s="72">
        <f t="shared" si="241"/>
        <v>65000000000469</v>
      </c>
      <c r="W479" s="60">
        <f t="shared" si="242"/>
        <v>65000000000350</v>
      </c>
      <c r="X479" s="60">
        <f t="shared" si="243"/>
        <v>65000000000460</v>
      </c>
      <c r="Y479" s="60">
        <f t="shared" si="244"/>
        <v>65000000000147</v>
      </c>
      <c r="Z479" s="60">
        <f t="shared" si="245"/>
        <v>65000000000469</v>
      </c>
      <c r="AA479" s="60">
        <f t="shared" si="228"/>
        <v>65000000000468</v>
      </c>
      <c r="AB479" s="60">
        <f t="shared" si="246"/>
        <v>65000000000000</v>
      </c>
      <c r="AD479" s="60">
        <f t="shared" si="249"/>
        <v>6</v>
      </c>
      <c r="AE479" s="60">
        <f t="shared" si="250"/>
        <v>5</v>
      </c>
      <c r="AF479" s="60">
        <f t="shared" si="251"/>
        <v>1</v>
      </c>
      <c r="AG479" s="60">
        <f t="shared" si="252"/>
        <v>148</v>
      </c>
      <c r="AH479" s="60">
        <f t="shared" si="253"/>
        <v>1</v>
      </c>
      <c r="AI479" s="60">
        <f t="shared" si="254"/>
        <v>1</v>
      </c>
      <c r="AK479" s="68" t="str">
        <f t="shared" si="229"/>
        <v>L4</v>
      </c>
      <c r="AM479" s="64" t="s">
        <v>1755</v>
      </c>
      <c r="AN479" s="64">
        <f t="shared" si="230"/>
        <v>65000000000350</v>
      </c>
      <c r="AO479" s="64">
        <f t="shared" si="231"/>
        <v>65000000000460</v>
      </c>
      <c r="AP479" s="64">
        <f t="shared" si="232"/>
        <v>65000000000460</v>
      </c>
      <c r="AQ479" s="64">
        <f t="shared" si="233"/>
        <v>65000000000467</v>
      </c>
      <c r="AS479" s="64">
        <f t="shared" si="234"/>
        <v>65000000000460</v>
      </c>
      <c r="AU479" s="59" t="str">
        <f t="shared" si="255"/>
        <v>PERFORM * FROM "SchData-OLTP-Accounting"."Func_TblChartOfAccount_SET"(varSystemLoginSession, null, null, null, varInstitutionBranchID, 62000000000001::bigint,'6-4005', 'Bad debt expense', 62000000000001::bigint, '2016-01-01 00:00:00'::timestamp, null::timestamp, 65000000000460::bigint, 66000000000001::bigint);</v>
      </c>
      <c r="AV479" s="65">
        <f t="shared" si="256"/>
        <v>65000000000469</v>
      </c>
      <c r="AW479" s="65">
        <f t="shared" si="257"/>
        <v>65000000000460</v>
      </c>
      <c r="AY479" s="65">
        <f t="shared" si="247"/>
        <v>65000000000147</v>
      </c>
      <c r="BA479" s="78">
        <f t="shared" si="258"/>
        <v>65000000000469</v>
      </c>
      <c r="BB479" s="81" t="str">
        <f t="shared" si="248"/>
        <v>PERFORM * FROM "SchData-OLTP-Accounting"."Func_TblChartOfAccount_SET"(varSystemLoginSession, null, null, null, null, null, varInstitutionBranchID, 62000000000001::bigint,'6-4005', 'Bad debt expense', 62000000000001::bigint, '2016-01-01 00:00:00'::timestamp, null::timestamp, 65000000000460::bigint, 66000000000001::bigint, FALSE::boolean);</v>
      </c>
    </row>
    <row r="480" spans="2:54" x14ac:dyDescent="0.2">
      <c r="B480" s="41"/>
      <c r="C480" s="42"/>
      <c r="D480" s="43"/>
      <c r="E480" s="42"/>
      <c r="F480" s="43"/>
      <c r="G480" s="42"/>
      <c r="H480" s="51"/>
      <c r="I480" s="18"/>
      <c r="J480" s="51" t="s">
        <v>1559</v>
      </c>
      <c r="K480" s="18" t="s">
        <v>1402</v>
      </c>
      <c r="L480" s="51"/>
      <c r="M480" s="18"/>
      <c r="O480" s="58" t="str">
        <f t="shared" si="235"/>
        <v>6-0000</v>
      </c>
      <c r="P480" s="58" t="str">
        <f t="shared" si="236"/>
        <v>6-4000</v>
      </c>
      <c r="Q480" s="58" t="str">
        <f t="shared" si="237"/>
        <v>2-1200</v>
      </c>
      <c r="R480" s="58" t="str">
        <f t="shared" si="238"/>
        <v>6-4005</v>
      </c>
      <c r="S480" s="58" t="str">
        <f t="shared" si="239"/>
        <v>6-4005.01</v>
      </c>
      <c r="T480" s="58" t="str">
        <f t="shared" si="240"/>
        <v xml:space="preserve"> </v>
      </c>
      <c r="V480" s="72">
        <f t="shared" si="241"/>
        <v>65000000000470</v>
      </c>
      <c r="W480" s="60">
        <f t="shared" si="242"/>
        <v>65000000000350</v>
      </c>
      <c r="X480" s="60">
        <f t="shared" si="243"/>
        <v>65000000000460</v>
      </c>
      <c r="Y480" s="60">
        <f t="shared" si="244"/>
        <v>65000000000147</v>
      </c>
      <c r="Z480" s="60">
        <f t="shared" si="245"/>
        <v>65000000000469</v>
      </c>
      <c r="AA480" s="60">
        <f t="shared" si="228"/>
        <v>65000000000470</v>
      </c>
      <c r="AB480" s="60">
        <f t="shared" si="246"/>
        <v>65000000000000</v>
      </c>
      <c r="AD480" s="60">
        <f t="shared" si="249"/>
        <v>6</v>
      </c>
      <c r="AE480" s="60">
        <f t="shared" si="250"/>
        <v>5</v>
      </c>
      <c r="AF480" s="60">
        <f t="shared" si="251"/>
        <v>1</v>
      </c>
      <c r="AG480" s="60">
        <f t="shared" si="252"/>
        <v>148</v>
      </c>
      <c r="AH480" s="60">
        <f t="shared" si="253"/>
        <v>2</v>
      </c>
      <c r="AI480" s="60">
        <f t="shared" si="254"/>
        <v>1</v>
      </c>
      <c r="AK480" s="68" t="str">
        <f t="shared" si="229"/>
        <v>L5</v>
      </c>
      <c r="AM480" s="64" t="s">
        <v>1755</v>
      </c>
      <c r="AN480" s="64">
        <f t="shared" si="230"/>
        <v>65000000000350</v>
      </c>
      <c r="AO480" s="64">
        <f t="shared" si="231"/>
        <v>65000000000460</v>
      </c>
      <c r="AP480" s="64">
        <f t="shared" si="232"/>
        <v>65000000000460</v>
      </c>
      <c r="AQ480" s="64">
        <f t="shared" si="233"/>
        <v>65000000000469</v>
      </c>
      <c r="AS480" s="64">
        <f t="shared" si="234"/>
        <v>65000000000469</v>
      </c>
      <c r="AU480" s="59" t="str">
        <f t="shared" si="255"/>
        <v>PERFORM * FROM "SchData-OLTP-Accounting"."Func_TblChartOfAccount_SET"(varSystemLoginSession, null, null, null, varInstitutionBranchID, 62000000000001::bigint,'6-4005.01', 'Bad debt expense (IDR)', 62000000000001::bigint, '2016-01-01 00:00:00'::timestamp, null::timestamp, 65000000000469::bigint, 66000000000001::bigint);</v>
      </c>
      <c r="AV480" s="65">
        <f t="shared" si="256"/>
        <v>65000000000470</v>
      </c>
      <c r="AW480" s="65">
        <f t="shared" si="257"/>
        <v>65000000000469</v>
      </c>
      <c r="AY480" s="65">
        <f t="shared" si="247"/>
        <v>65000000000469</v>
      </c>
      <c r="BA480" s="78">
        <f t="shared" si="258"/>
        <v>65000000000470</v>
      </c>
      <c r="BB480" s="81" t="str">
        <f t="shared" si="248"/>
        <v>PERFORM * FROM "SchData-OLTP-Accounting"."Func_TblChartOfAccount_SET"(varSystemLoginSession, null, null, null, null, null, varInstitutionBranchID, 62000000000001::bigint,'6-4005.01', 'Bad debt expense (IDR)', 62000000000001::bigint, '2016-01-01 00:00:00'::timestamp, null::timestamp, 65000000000469::bigint, 66000000000001::bigint, FALSE::boolean);</v>
      </c>
    </row>
    <row r="481" spans="2:54" x14ac:dyDescent="0.2">
      <c r="B481" s="41"/>
      <c r="C481" s="42"/>
      <c r="D481" s="43"/>
      <c r="E481" s="42"/>
      <c r="F481" s="43"/>
      <c r="G481" s="42"/>
      <c r="H481" s="51" t="s">
        <v>1560</v>
      </c>
      <c r="I481" s="18" t="s">
        <v>607</v>
      </c>
      <c r="J481" s="51"/>
      <c r="K481" s="18"/>
      <c r="L481" s="51"/>
      <c r="M481" s="18"/>
      <c r="O481" s="58" t="str">
        <f t="shared" si="235"/>
        <v>6-0000</v>
      </c>
      <c r="P481" s="58" t="str">
        <f t="shared" si="236"/>
        <v>6-4000</v>
      </c>
      <c r="Q481" s="58" t="str">
        <f t="shared" si="237"/>
        <v>2-1200</v>
      </c>
      <c r="R481" s="58" t="str">
        <f t="shared" si="238"/>
        <v>6-4006</v>
      </c>
      <c r="S481" s="58" t="str">
        <f t="shared" si="239"/>
        <v>6-4005.01</v>
      </c>
      <c r="T481" s="58" t="str">
        <f t="shared" si="240"/>
        <v xml:space="preserve"> </v>
      </c>
      <c r="V481" s="72">
        <f t="shared" si="241"/>
        <v>65000000000471</v>
      </c>
      <c r="W481" s="60">
        <f t="shared" si="242"/>
        <v>65000000000350</v>
      </c>
      <c r="X481" s="60">
        <f t="shared" si="243"/>
        <v>65000000000460</v>
      </c>
      <c r="Y481" s="60">
        <f t="shared" si="244"/>
        <v>65000000000147</v>
      </c>
      <c r="Z481" s="60">
        <f t="shared" si="245"/>
        <v>65000000000471</v>
      </c>
      <c r="AA481" s="60">
        <f t="shared" si="228"/>
        <v>65000000000470</v>
      </c>
      <c r="AB481" s="60">
        <f t="shared" si="246"/>
        <v>65000000000000</v>
      </c>
      <c r="AD481" s="60">
        <f t="shared" si="249"/>
        <v>6</v>
      </c>
      <c r="AE481" s="60">
        <f t="shared" si="250"/>
        <v>5</v>
      </c>
      <c r="AF481" s="60">
        <f t="shared" si="251"/>
        <v>1</v>
      </c>
      <c r="AG481" s="60">
        <f t="shared" si="252"/>
        <v>149</v>
      </c>
      <c r="AH481" s="60">
        <f t="shared" si="253"/>
        <v>1</v>
      </c>
      <c r="AI481" s="60">
        <f t="shared" si="254"/>
        <v>1</v>
      </c>
      <c r="AK481" s="68" t="str">
        <f t="shared" si="229"/>
        <v>L4</v>
      </c>
      <c r="AM481" s="64" t="s">
        <v>1755</v>
      </c>
      <c r="AN481" s="64">
        <f t="shared" si="230"/>
        <v>65000000000350</v>
      </c>
      <c r="AO481" s="64">
        <f t="shared" si="231"/>
        <v>65000000000460</v>
      </c>
      <c r="AP481" s="64">
        <f t="shared" si="232"/>
        <v>65000000000460</v>
      </c>
      <c r="AQ481" s="64">
        <f t="shared" si="233"/>
        <v>65000000000469</v>
      </c>
      <c r="AS481" s="64">
        <f t="shared" si="234"/>
        <v>65000000000460</v>
      </c>
      <c r="AU481" s="59" t="str">
        <f t="shared" si="255"/>
        <v>PERFORM * FROM "SchData-OLTP-Accounting"."Func_TblChartOfAccount_SET"(varSystemLoginSession, null, null, null, varInstitutionBranchID, 62000000000001::bigint,'6-4006', 'Project Costs (closed CFS)', 62000000000001::bigint, '2016-01-01 00:00:00'::timestamp, null::timestamp, 65000000000460::bigint, 66000000000001::bigint);</v>
      </c>
      <c r="AV481" s="65">
        <f t="shared" si="256"/>
        <v>65000000000471</v>
      </c>
      <c r="AW481" s="65">
        <f t="shared" si="257"/>
        <v>65000000000460</v>
      </c>
      <c r="AY481" s="65">
        <f t="shared" si="247"/>
        <v>65000000000147</v>
      </c>
      <c r="BA481" s="78">
        <f t="shared" si="258"/>
        <v>65000000000471</v>
      </c>
      <c r="BB481" s="81" t="str">
        <f t="shared" si="248"/>
        <v>PERFORM * FROM "SchData-OLTP-Accounting"."Func_TblChartOfAccount_SET"(varSystemLoginSession, null, null, null, null, null, varInstitutionBranchID, 62000000000001::bigint,'6-4006', 'Project Costs (closed CFS)', 62000000000001::bigint, '2016-01-01 00:00:00'::timestamp, null::timestamp, 65000000000460::bigint, 66000000000001::bigint, FALSE::boolean);</v>
      </c>
    </row>
    <row r="482" spans="2:54" x14ac:dyDescent="0.2">
      <c r="B482" s="41"/>
      <c r="C482" s="42"/>
      <c r="D482" s="43"/>
      <c r="E482" s="42"/>
      <c r="F482" s="43"/>
      <c r="G482" s="42"/>
      <c r="H482" s="51"/>
      <c r="I482" s="18"/>
      <c r="J482" s="51" t="s">
        <v>1561</v>
      </c>
      <c r="K482" s="18" t="s">
        <v>1403</v>
      </c>
      <c r="L482" s="51"/>
      <c r="M482" s="18"/>
      <c r="O482" s="58" t="str">
        <f t="shared" si="235"/>
        <v>6-0000</v>
      </c>
      <c r="P482" s="58" t="str">
        <f t="shared" si="236"/>
        <v>6-4000</v>
      </c>
      <c r="Q482" s="58" t="str">
        <f t="shared" si="237"/>
        <v>2-1200</v>
      </c>
      <c r="R482" s="58" t="str">
        <f t="shared" si="238"/>
        <v>6-4006</v>
      </c>
      <c r="S482" s="58" t="str">
        <f t="shared" si="239"/>
        <v>6-4006.01</v>
      </c>
      <c r="T482" s="58" t="str">
        <f t="shared" si="240"/>
        <v xml:space="preserve"> </v>
      </c>
      <c r="V482" s="72">
        <f t="shared" si="241"/>
        <v>65000000000472</v>
      </c>
      <c r="W482" s="60">
        <f t="shared" si="242"/>
        <v>65000000000350</v>
      </c>
      <c r="X482" s="60">
        <f t="shared" si="243"/>
        <v>65000000000460</v>
      </c>
      <c r="Y482" s="60">
        <f t="shared" si="244"/>
        <v>65000000000147</v>
      </c>
      <c r="Z482" s="60">
        <f t="shared" si="245"/>
        <v>65000000000471</v>
      </c>
      <c r="AA482" s="60">
        <f t="shared" si="228"/>
        <v>65000000000472</v>
      </c>
      <c r="AB482" s="60">
        <f t="shared" si="246"/>
        <v>65000000000000</v>
      </c>
      <c r="AD482" s="60">
        <f t="shared" si="249"/>
        <v>6</v>
      </c>
      <c r="AE482" s="60">
        <f t="shared" si="250"/>
        <v>5</v>
      </c>
      <c r="AF482" s="60">
        <f t="shared" si="251"/>
        <v>1</v>
      </c>
      <c r="AG482" s="60">
        <f t="shared" si="252"/>
        <v>149</v>
      </c>
      <c r="AH482" s="60">
        <f t="shared" si="253"/>
        <v>2</v>
      </c>
      <c r="AI482" s="60">
        <f t="shared" si="254"/>
        <v>1</v>
      </c>
      <c r="AK482" s="68" t="str">
        <f t="shared" si="229"/>
        <v>L5</v>
      </c>
      <c r="AM482" s="64" t="s">
        <v>1755</v>
      </c>
      <c r="AN482" s="64">
        <f t="shared" si="230"/>
        <v>65000000000350</v>
      </c>
      <c r="AO482" s="64">
        <f t="shared" si="231"/>
        <v>65000000000460</v>
      </c>
      <c r="AP482" s="64">
        <f t="shared" si="232"/>
        <v>65000000000460</v>
      </c>
      <c r="AQ482" s="64">
        <f t="shared" si="233"/>
        <v>65000000000471</v>
      </c>
      <c r="AS482" s="64">
        <f t="shared" si="234"/>
        <v>65000000000471</v>
      </c>
      <c r="AU482" s="59" t="str">
        <f t="shared" si="255"/>
        <v>PERFORM * FROM "SchData-OLTP-Accounting"."Func_TblChartOfAccount_SET"(varSystemLoginSession, null, null, null, varInstitutionBranchID, 62000000000001::bigint,'6-4006.01', 'Project Costs (closed CFS) (IDR)', 62000000000001::bigint, '2016-01-01 00:00:00'::timestamp, null::timestamp, 65000000000471::bigint, 66000000000001::bigint);</v>
      </c>
      <c r="AV482" s="65">
        <f t="shared" si="256"/>
        <v>65000000000472</v>
      </c>
      <c r="AW482" s="65">
        <f t="shared" si="257"/>
        <v>65000000000471</v>
      </c>
      <c r="AY482" s="65">
        <f t="shared" si="247"/>
        <v>65000000000471</v>
      </c>
      <c r="BA482" s="78">
        <f t="shared" si="258"/>
        <v>65000000000472</v>
      </c>
      <c r="BB482" s="81" t="str">
        <f t="shared" si="248"/>
        <v>PERFORM * FROM "SchData-OLTP-Accounting"."Func_TblChartOfAccount_SET"(varSystemLoginSession, null, null, null, null, null, varInstitutionBranchID, 62000000000001::bigint,'6-4006.01', 'Project Costs (closed CFS) (IDR)', 62000000000001::bigint, '2016-01-01 00:00:00'::timestamp, null::timestamp, 65000000000471::bigint, 66000000000001::bigint, FALSE::boolean);</v>
      </c>
    </row>
    <row r="483" spans="2:54" x14ac:dyDescent="0.2">
      <c r="B483" s="41"/>
      <c r="C483" s="42"/>
      <c r="D483" s="43"/>
      <c r="E483" s="42"/>
      <c r="F483" s="43"/>
      <c r="G483" s="42"/>
      <c r="H483" s="51" t="s">
        <v>1562</v>
      </c>
      <c r="I483" s="18" t="s">
        <v>425</v>
      </c>
      <c r="J483" s="51"/>
      <c r="K483" s="18"/>
      <c r="L483" s="51"/>
      <c r="M483" s="18"/>
      <c r="O483" s="58" t="str">
        <f t="shared" si="235"/>
        <v>6-0000</v>
      </c>
      <c r="P483" s="58" t="str">
        <f t="shared" si="236"/>
        <v>6-4000</v>
      </c>
      <c r="Q483" s="58" t="str">
        <f t="shared" si="237"/>
        <v>2-1200</v>
      </c>
      <c r="R483" s="58" t="str">
        <f t="shared" si="238"/>
        <v>6-4007</v>
      </c>
      <c r="S483" s="58" t="str">
        <f t="shared" si="239"/>
        <v>6-4006.01</v>
      </c>
      <c r="T483" s="58" t="str">
        <f t="shared" si="240"/>
        <v xml:space="preserve"> </v>
      </c>
      <c r="V483" s="72">
        <f t="shared" si="241"/>
        <v>65000000000473</v>
      </c>
      <c r="W483" s="60">
        <f t="shared" si="242"/>
        <v>65000000000350</v>
      </c>
      <c r="X483" s="60">
        <f t="shared" si="243"/>
        <v>65000000000460</v>
      </c>
      <c r="Y483" s="60">
        <f t="shared" si="244"/>
        <v>65000000000147</v>
      </c>
      <c r="Z483" s="60">
        <f t="shared" si="245"/>
        <v>65000000000473</v>
      </c>
      <c r="AA483" s="60">
        <f t="shared" si="228"/>
        <v>65000000000472</v>
      </c>
      <c r="AB483" s="60">
        <f t="shared" si="246"/>
        <v>65000000000000</v>
      </c>
      <c r="AD483" s="60">
        <f t="shared" si="249"/>
        <v>6</v>
      </c>
      <c r="AE483" s="60">
        <f t="shared" si="250"/>
        <v>5</v>
      </c>
      <c r="AF483" s="60">
        <f t="shared" si="251"/>
        <v>1</v>
      </c>
      <c r="AG483" s="60">
        <f t="shared" si="252"/>
        <v>150</v>
      </c>
      <c r="AH483" s="60">
        <f t="shared" si="253"/>
        <v>1</v>
      </c>
      <c r="AI483" s="60">
        <f t="shared" si="254"/>
        <v>1</v>
      </c>
      <c r="AK483" s="68" t="str">
        <f t="shared" si="229"/>
        <v>L4</v>
      </c>
      <c r="AM483" s="64" t="s">
        <v>1755</v>
      </c>
      <c r="AN483" s="64">
        <f t="shared" si="230"/>
        <v>65000000000350</v>
      </c>
      <c r="AO483" s="64">
        <f t="shared" si="231"/>
        <v>65000000000460</v>
      </c>
      <c r="AP483" s="64">
        <f t="shared" si="232"/>
        <v>65000000000460</v>
      </c>
      <c r="AQ483" s="64">
        <f t="shared" si="233"/>
        <v>65000000000471</v>
      </c>
      <c r="AS483" s="64">
        <f t="shared" si="234"/>
        <v>65000000000460</v>
      </c>
      <c r="AU483" s="59" t="str">
        <f t="shared" si="255"/>
        <v>PERFORM * FROM "SchData-OLTP-Accounting"."Func_TblChartOfAccount_SET"(varSystemLoginSession, null, null, null, varInstitutionBranchID, 62000000000001::bigint,'6-4007', 'Insurance Expenses', 62000000000001::bigint, '2016-01-01 00:00:00'::timestamp, null::timestamp, 65000000000460::bigint, 66000000000001::bigint);</v>
      </c>
      <c r="AV483" s="65">
        <f t="shared" si="256"/>
        <v>65000000000473</v>
      </c>
      <c r="AW483" s="65">
        <f t="shared" si="257"/>
        <v>65000000000460</v>
      </c>
      <c r="AY483" s="65">
        <f t="shared" si="247"/>
        <v>65000000000147</v>
      </c>
      <c r="BA483" s="78">
        <f t="shared" si="258"/>
        <v>65000000000473</v>
      </c>
      <c r="BB483" s="81" t="str">
        <f t="shared" si="248"/>
        <v>PERFORM * FROM "SchData-OLTP-Accounting"."Func_TblChartOfAccount_SET"(varSystemLoginSession, null, null, null, null, null, varInstitutionBranchID, 62000000000001::bigint,'6-4007', 'Insurance Expenses', 62000000000001::bigint, '2016-01-01 00:00:00'::timestamp, null::timestamp, 65000000000460::bigint, 66000000000001::bigint, FALSE::boolean);</v>
      </c>
    </row>
    <row r="484" spans="2:54" x14ac:dyDescent="0.2">
      <c r="B484" s="41"/>
      <c r="C484" s="42"/>
      <c r="D484" s="43"/>
      <c r="E484" s="42"/>
      <c r="F484" s="43"/>
      <c r="G484" s="42"/>
      <c r="H484" s="51"/>
      <c r="I484" s="18"/>
      <c r="J484" s="51" t="s">
        <v>1563</v>
      </c>
      <c r="K484" s="18" t="s">
        <v>1316</v>
      </c>
      <c r="L484" s="51"/>
      <c r="M484" s="18"/>
      <c r="O484" s="58" t="str">
        <f t="shared" si="235"/>
        <v>6-0000</v>
      </c>
      <c r="P484" s="58" t="str">
        <f t="shared" si="236"/>
        <v>6-4000</v>
      </c>
      <c r="Q484" s="58" t="str">
        <f t="shared" si="237"/>
        <v>2-1200</v>
      </c>
      <c r="R484" s="58" t="str">
        <f t="shared" si="238"/>
        <v>6-4007</v>
      </c>
      <c r="S484" s="58" t="str">
        <f t="shared" si="239"/>
        <v>6-4007.01</v>
      </c>
      <c r="T484" s="58" t="str">
        <f t="shared" si="240"/>
        <v xml:space="preserve"> </v>
      </c>
      <c r="V484" s="72">
        <f t="shared" si="241"/>
        <v>65000000000474</v>
      </c>
      <c r="W484" s="60">
        <f t="shared" si="242"/>
        <v>65000000000350</v>
      </c>
      <c r="X484" s="60">
        <f t="shared" si="243"/>
        <v>65000000000460</v>
      </c>
      <c r="Y484" s="60">
        <f t="shared" si="244"/>
        <v>65000000000147</v>
      </c>
      <c r="Z484" s="60">
        <f t="shared" si="245"/>
        <v>65000000000473</v>
      </c>
      <c r="AA484" s="60">
        <f t="shared" si="228"/>
        <v>65000000000474</v>
      </c>
      <c r="AB484" s="60">
        <f t="shared" si="246"/>
        <v>65000000000000</v>
      </c>
      <c r="AD484" s="60">
        <f t="shared" si="249"/>
        <v>6</v>
      </c>
      <c r="AE484" s="60">
        <f t="shared" si="250"/>
        <v>5</v>
      </c>
      <c r="AF484" s="60">
        <f t="shared" si="251"/>
        <v>1</v>
      </c>
      <c r="AG484" s="60">
        <f t="shared" si="252"/>
        <v>150</v>
      </c>
      <c r="AH484" s="60">
        <f t="shared" si="253"/>
        <v>2</v>
      </c>
      <c r="AI484" s="60">
        <f t="shared" si="254"/>
        <v>1</v>
      </c>
      <c r="AK484" s="68" t="str">
        <f t="shared" si="229"/>
        <v>L5</v>
      </c>
      <c r="AM484" s="64" t="s">
        <v>1755</v>
      </c>
      <c r="AN484" s="64">
        <f t="shared" si="230"/>
        <v>65000000000350</v>
      </c>
      <c r="AO484" s="64">
        <f t="shared" si="231"/>
        <v>65000000000460</v>
      </c>
      <c r="AP484" s="64">
        <f t="shared" si="232"/>
        <v>65000000000460</v>
      </c>
      <c r="AQ484" s="64">
        <f t="shared" si="233"/>
        <v>65000000000473</v>
      </c>
      <c r="AS484" s="64">
        <f t="shared" si="234"/>
        <v>65000000000473</v>
      </c>
      <c r="AU484" s="59" t="str">
        <f t="shared" si="255"/>
        <v>PERFORM * FROM "SchData-OLTP-Accounting"."Func_TblChartOfAccount_SET"(varSystemLoginSession, null, null, null, varInstitutionBranchID, 62000000000001::bigint,'6-4007.01', 'Insurance Expenses (IDR)', 62000000000001::bigint, '2016-01-01 00:00:00'::timestamp, null::timestamp, 65000000000473::bigint, 66000000000001::bigint);</v>
      </c>
      <c r="AV484" s="65">
        <f t="shared" si="256"/>
        <v>65000000000474</v>
      </c>
      <c r="AW484" s="65">
        <f t="shared" si="257"/>
        <v>65000000000473</v>
      </c>
      <c r="AY484" s="65">
        <f t="shared" si="247"/>
        <v>65000000000473</v>
      </c>
      <c r="BA484" s="78">
        <f t="shared" si="258"/>
        <v>65000000000474</v>
      </c>
      <c r="BB484" s="81" t="str">
        <f t="shared" si="248"/>
        <v>PERFORM * FROM "SchData-OLTP-Accounting"."Func_TblChartOfAccount_SET"(varSystemLoginSession, null, null, null, null, null, varInstitutionBranchID, 62000000000001::bigint,'6-4007.01', 'Insurance Expenses (IDR)', 62000000000001::bigint, '2016-01-01 00:00:00'::timestamp, null::timestamp, 65000000000473::bigint, 66000000000001::bigint, FALSE::boolean);</v>
      </c>
    </row>
    <row r="485" spans="2:54" x14ac:dyDescent="0.2">
      <c r="B485" s="41"/>
      <c r="C485" s="42"/>
      <c r="D485" s="43"/>
      <c r="E485" s="42"/>
      <c r="F485" s="43"/>
      <c r="G485" s="42"/>
      <c r="H485" s="51" t="s">
        <v>1564</v>
      </c>
      <c r="I485" s="18" t="s">
        <v>623</v>
      </c>
      <c r="J485" s="51"/>
      <c r="K485" s="18"/>
      <c r="L485" s="51"/>
      <c r="M485" s="18"/>
      <c r="O485" s="58" t="str">
        <f t="shared" si="235"/>
        <v>6-0000</v>
      </c>
      <c r="P485" s="58" t="str">
        <f t="shared" si="236"/>
        <v>6-4000</v>
      </c>
      <c r="Q485" s="58" t="str">
        <f t="shared" si="237"/>
        <v>2-1200</v>
      </c>
      <c r="R485" s="58" t="str">
        <f t="shared" si="238"/>
        <v>6-4008</v>
      </c>
      <c r="S485" s="58" t="str">
        <f t="shared" si="239"/>
        <v>6-4007.01</v>
      </c>
      <c r="T485" s="58" t="str">
        <f t="shared" si="240"/>
        <v xml:space="preserve"> </v>
      </c>
      <c r="V485" s="72">
        <f t="shared" si="241"/>
        <v>65000000000475</v>
      </c>
      <c r="W485" s="60">
        <f t="shared" si="242"/>
        <v>65000000000350</v>
      </c>
      <c r="X485" s="60">
        <f t="shared" si="243"/>
        <v>65000000000460</v>
      </c>
      <c r="Y485" s="60">
        <f t="shared" si="244"/>
        <v>65000000000147</v>
      </c>
      <c r="Z485" s="60">
        <f t="shared" si="245"/>
        <v>65000000000475</v>
      </c>
      <c r="AA485" s="60">
        <f t="shared" si="228"/>
        <v>65000000000474</v>
      </c>
      <c r="AB485" s="60">
        <f t="shared" si="246"/>
        <v>65000000000000</v>
      </c>
      <c r="AD485" s="60">
        <f t="shared" si="249"/>
        <v>6</v>
      </c>
      <c r="AE485" s="60">
        <f t="shared" si="250"/>
        <v>5</v>
      </c>
      <c r="AF485" s="60">
        <f t="shared" si="251"/>
        <v>1</v>
      </c>
      <c r="AG485" s="60">
        <f t="shared" si="252"/>
        <v>151</v>
      </c>
      <c r="AH485" s="60">
        <f t="shared" si="253"/>
        <v>1</v>
      </c>
      <c r="AI485" s="60">
        <f t="shared" si="254"/>
        <v>1</v>
      </c>
      <c r="AK485" s="68" t="str">
        <f t="shared" si="229"/>
        <v>L4</v>
      </c>
      <c r="AM485" s="64" t="s">
        <v>1755</v>
      </c>
      <c r="AN485" s="64">
        <f t="shared" si="230"/>
        <v>65000000000350</v>
      </c>
      <c r="AO485" s="64">
        <f t="shared" si="231"/>
        <v>65000000000460</v>
      </c>
      <c r="AP485" s="64">
        <f t="shared" si="232"/>
        <v>65000000000460</v>
      </c>
      <c r="AQ485" s="64">
        <f t="shared" si="233"/>
        <v>65000000000473</v>
      </c>
      <c r="AS485" s="64">
        <f t="shared" si="234"/>
        <v>65000000000460</v>
      </c>
      <c r="AU485" s="59" t="str">
        <f t="shared" si="255"/>
        <v>PERFORM * FROM "SchData-OLTP-Accounting"."Func_TblChartOfAccount_SET"(varSystemLoginSession, null, null, null, varInstitutionBranchID, 62000000000001::bigint,'6-4008', 'Bank Charge (Excl. Interest)', 62000000000001::bigint, '2016-01-01 00:00:00'::timestamp, null::timestamp, 65000000000460::bigint, 66000000000001::bigint);</v>
      </c>
      <c r="AV485" s="65">
        <f t="shared" si="256"/>
        <v>65000000000475</v>
      </c>
      <c r="AW485" s="65">
        <f t="shared" si="257"/>
        <v>65000000000460</v>
      </c>
      <c r="AY485" s="65">
        <f t="shared" si="247"/>
        <v>65000000000147</v>
      </c>
      <c r="BA485" s="78">
        <f t="shared" si="258"/>
        <v>65000000000475</v>
      </c>
      <c r="BB485" s="81" t="str">
        <f t="shared" si="248"/>
        <v>PERFORM * FROM "SchData-OLTP-Accounting"."Func_TblChartOfAccount_SET"(varSystemLoginSession, null, null, null, null, null, varInstitutionBranchID, 62000000000001::bigint,'6-4008', 'Bank Charge (Excl. Interest)', 62000000000001::bigint, '2016-01-01 00:00:00'::timestamp, null::timestamp, 65000000000460::bigint, 66000000000001::bigint, FALSE::boolean);</v>
      </c>
    </row>
    <row r="486" spans="2:54" x14ac:dyDescent="0.2">
      <c r="B486" s="41"/>
      <c r="C486" s="42"/>
      <c r="D486" s="43"/>
      <c r="E486" s="42"/>
      <c r="F486" s="43"/>
      <c r="G486" s="42"/>
      <c r="H486" s="51"/>
      <c r="I486" s="18"/>
      <c r="J486" s="51" t="s">
        <v>1565</v>
      </c>
      <c r="K486" s="18" t="s">
        <v>1404</v>
      </c>
      <c r="L486" s="51"/>
      <c r="M486" s="18"/>
      <c r="O486" s="58" t="str">
        <f t="shared" si="235"/>
        <v>6-0000</v>
      </c>
      <c r="P486" s="58" t="str">
        <f t="shared" si="236"/>
        <v>6-4000</v>
      </c>
      <c r="Q486" s="58" t="str">
        <f t="shared" si="237"/>
        <v>2-1200</v>
      </c>
      <c r="R486" s="58" t="str">
        <f t="shared" si="238"/>
        <v>6-4008</v>
      </c>
      <c r="S486" s="58" t="str">
        <f t="shared" si="239"/>
        <v>6-4008.01</v>
      </c>
      <c r="T486" s="58" t="str">
        <f t="shared" si="240"/>
        <v xml:space="preserve"> </v>
      </c>
      <c r="V486" s="72">
        <f t="shared" si="241"/>
        <v>65000000000476</v>
      </c>
      <c r="W486" s="60">
        <f t="shared" si="242"/>
        <v>65000000000350</v>
      </c>
      <c r="X486" s="60">
        <f t="shared" si="243"/>
        <v>65000000000460</v>
      </c>
      <c r="Y486" s="60">
        <f t="shared" si="244"/>
        <v>65000000000147</v>
      </c>
      <c r="Z486" s="60">
        <f t="shared" si="245"/>
        <v>65000000000475</v>
      </c>
      <c r="AA486" s="60">
        <f t="shared" si="228"/>
        <v>65000000000476</v>
      </c>
      <c r="AB486" s="60">
        <f t="shared" si="246"/>
        <v>65000000000000</v>
      </c>
      <c r="AD486" s="60">
        <f t="shared" si="249"/>
        <v>6</v>
      </c>
      <c r="AE486" s="60">
        <f t="shared" si="250"/>
        <v>5</v>
      </c>
      <c r="AF486" s="60">
        <f t="shared" si="251"/>
        <v>1</v>
      </c>
      <c r="AG486" s="60">
        <f t="shared" si="252"/>
        <v>151</v>
      </c>
      <c r="AH486" s="60">
        <f t="shared" si="253"/>
        <v>2</v>
      </c>
      <c r="AI486" s="60">
        <f t="shared" si="254"/>
        <v>1</v>
      </c>
      <c r="AK486" s="68" t="str">
        <f t="shared" si="229"/>
        <v>L5</v>
      </c>
      <c r="AM486" s="64" t="s">
        <v>1755</v>
      </c>
      <c r="AN486" s="64">
        <f t="shared" si="230"/>
        <v>65000000000350</v>
      </c>
      <c r="AO486" s="64">
        <f t="shared" si="231"/>
        <v>65000000000460</v>
      </c>
      <c r="AP486" s="64">
        <f t="shared" si="232"/>
        <v>65000000000460</v>
      </c>
      <c r="AQ486" s="64">
        <f t="shared" si="233"/>
        <v>65000000000475</v>
      </c>
      <c r="AS486" s="64">
        <f t="shared" si="234"/>
        <v>65000000000475</v>
      </c>
      <c r="AU486" s="59" t="str">
        <f t="shared" si="255"/>
        <v>PERFORM * FROM "SchData-OLTP-Accounting"."Func_TblChartOfAccount_SET"(varSystemLoginSession, null, null, null, varInstitutionBranchID, 62000000000001::bigint,'6-4008.01', 'Bank Charge (Excl. Interest) (IDR)', 62000000000001::bigint, '2016-01-01 00:00:00'::timestamp, null::timestamp, 65000000000475::bigint, 66000000000001::bigint);</v>
      </c>
      <c r="AV486" s="65">
        <f t="shared" si="256"/>
        <v>65000000000476</v>
      </c>
      <c r="AW486" s="65">
        <f t="shared" si="257"/>
        <v>65000000000475</v>
      </c>
      <c r="AY486" s="65">
        <f t="shared" si="247"/>
        <v>65000000000475</v>
      </c>
      <c r="BA486" s="78">
        <f t="shared" si="258"/>
        <v>65000000000476</v>
      </c>
      <c r="BB486" s="81" t="str">
        <f t="shared" si="248"/>
        <v>PERFORM * FROM "SchData-OLTP-Accounting"."Func_TblChartOfAccount_SET"(varSystemLoginSession, null, null, null, null, null, varInstitutionBranchID, 62000000000001::bigint,'6-4008.01', 'Bank Charge (Excl. Interest) (IDR)', 62000000000001::bigint, '2016-01-01 00:00:00'::timestamp, null::timestamp, 65000000000475::bigint, 66000000000001::bigint, FALSE::boolean);</v>
      </c>
    </row>
    <row r="487" spans="2:54" ht="25.5" x14ac:dyDescent="0.2">
      <c r="B487" s="41"/>
      <c r="C487" s="42"/>
      <c r="D487" s="43"/>
      <c r="E487" s="42"/>
      <c r="F487" s="43"/>
      <c r="G487" s="42"/>
      <c r="H487" s="51" t="s">
        <v>1566</v>
      </c>
      <c r="I487" s="42" t="s">
        <v>1171</v>
      </c>
      <c r="J487" s="51"/>
      <c r="K487" s="18"/>
      <c r="L487" s="51"/>
      <c r="M487" s="18"/>
      <c r="O487" s="58" t="str">
        <f t="shared" si="235"/>
        <v>6-0000</v>
      </c>
      <c r="P487" s="58" t="str">
        <f t="shared" si="236"/>
        <v>6-4000</v>
      </c>
      <c r="Q487" s="58" t="str">
        <f t="shared" si="237"/>
        <v>2-1200</v>
      </c>
      <c r="R487" s="58" t="str">
        <f t="shared" si="238"/>
        <v>6-4099</v>
      </c>
      <c r="S487" s="58" t="str">
        <f t="shared" si="239"/>
        <v>6-4008.01</v>
      </c>
      <c r="T487" s="58" t="str">
        <f t="shared" si="240"/>
        <v xml:space="preserve"> </v>
      </c>
      <c r="V487" s="72">
        <f t="shared" si="241"/>
        <v>65000000000477</v>
      </c>
      <c r="W487" s="60">
        <f t="shared" si="242"/>
        <v>65000000000350</v>
      </c>
      <c r="X487" s="60">
        <f t="shared" si="243"/>
        <v>65000000000460</v>
      </c>
      <c r="Y487" s="60">
        <f t="shared" si="244"/>
        <v>65000000000147</v>
      </c>
      <c r="Z487" s="60">
        <f t="shared" si="245"/>
        <v>65000000000477</v>
      </c>
      <c r="AA487" s="60">
        <f t="shared" si="228"/>
        <v>65000000000476</v>
      </c>
      <c r="AB487" s="60">
        <f t="shared" si="246"/>
        <v>65000000000000</v>
      </c>
      <c r="AD487" s="60">
        <f t="shared" si="249"/>
        <v>6</v>
      </c>
      <c r="AE487" s="60">
        <f t="shared" si="250"/>
        <v>5</v>
      </c>
      <c r="AF487" s="60">
        <f t="shared" si="251"/>
        <v>1</v>
      </c>
      <c r="AG487" s="60">
        <f t="shared" si="252"/>
        <v>152</v>
      </c>
      <c r="AH487" s="60">
        <f t="shared" si="253"/>
        <v>1</v>
      </c>
      <c r="AI487" s="60">
        <f t="shared" si="254"/>
        <v>1</v>
      </c>
      <c r="AK487" s="68" t="str">
        <f t="shared" si="229"/>
        <v>L4</v>
      </c>
      <c r="AM487" s="64" t="s">
        <v>1755</v>
      </c>
      <c r="AN487" s="64">
        <f t="shared" si="230"/>
        <v>65000000000350</v>
      </c>
      <c r="AO487" s="64">
        <f t="shared" si="231"/>
        <v>65000000000460</v>
      </c>
      <c r="AP487" s="64">
        <f t="shared" si="232"/>
        <v>65000000000460</v>
      </c>
      <c r="AQ487" s="64">
        <f t="shared" si="233"/>
        <v>65000000000475</v>
      </c>
      <c r="AS487" s="64">
        <f t="shared" si="234"/>
        <v>65000000000460</v>
      </c>
      <c r="AU487" s="59" t="str">
        <f t="shared" si="255"/>
        <v>PERFORM * FROM "SchData-OLTP-Accounting"."Func_TblChartOfAccount_SET"(varSystemLoginSession, null, null, null, varInstitutionBranchID, 62000000000001::bigint,'6-4099', 'Biaya Adm &amp; Umum Lainnya', 62000000000001::bigint, '2016-01-01 00:00:00'::timestamp, null::timestamp, 65000000000460::bigint, 66000000000001::bigint);</v>
      </c>
      <c r="AV487" s="65">
        <f t="shared" si="256"/>
        <v>65000000000477</v>
      </c>
      <c r="AW487" s="65">
        <f t="shared" si="257"/>
        <v>65000000000460</v>
      </c>
      <c r="AY487" s="65">
        <f t="shared" si="247"/>
        <v>65000000000147</v>
      </c>
      <c r="BA487" s="78">
        <f t="shared" si="258"/>
        <v>65000000000477</v>
      </c>
      <c r="BB487" s="81" t="str">
        <f t="shared" si="248"/>
        <v>PERFORM * FROM "SchData-OLTP-Accounting"."Func_TblChartOfAccount_SET"(varSystemLoginSession, null, null, null, null, null, varInstitutionBranchID, 62000000000001::bigint,'6-4099', 'Biaya Adm &amp; Umum Lainnya', 62000000000001::bigint, '2016-01-01 00:00:00'::timestamp, null::timestamp, 65000000000460::bigint, 66000000000001::bigint, FALSE::boolean);</v>
      </c>
    </row>
    <row r="488" spans="2:54" x14ac:dyDescent="0.2">
      <c r="B488" s="41"/>
      <c r="C488" s="42"/>
      <c r="D488" s="43"/>
      <c r="E488" s="42"/>
      <c r="F488" s="43"/>
      <c r="G488" s="42"/>
      <c r="H488" s="51"/>
      <c r="I488" s="42"/>
      <c r="J488" s="51" t="s">
        <v>1567</v>
      </c>
      <c r="K488" s="42" t="s">
        <v>1405</v>
      </c>
      <c r="L488" s="51"/>
      <c r="M488" s="18"/>
      <c r="O488" s="58" t="str">
        <f t="shared" si="235"/>
        <v>6-0000</v>
      </c>
      <c r="P488" s="58" t="str">
        <f t="shared" si="236"/>
        <v>6-4000</v>
      </c>
      <c r="Q488" s="58" t="str">
        <f t="shared" si="237"/>
        <v>2-1200</v>
      </c>
      <c r="R488" s="58" t="str">
        <f t="shared" si="238"/>
        <v>6-4099</v>
      </c>
      <c r="S488" s="58" t="str">
        <f t="shared" si="239"/>
        <v>6-4099.01</v>
      </c>
      <c r="T488" s="58" t="str">
        <f t="shared" si="240"/>
        <v xml:space="preserve"> </v>
      </c>
      <c r="V488" s="72">
        <f t="shared" si="241"/>
        <v>65000000000478</v>
      </c>
      <c r="W488" s="60">
        <f t="shared" si="242"/>
        <v>65000000000350</v>
      </c>
      <c r="X488" s="60">
        <f t="shared" si="243"/>
        <v>65000000000460</v>
      </c>
      <c r="Y488" s="60">
        <f t="shared" si="244"/>
        <v>65000000000147</v>
      </c>
      <c r="Z488" s="60">
        <f t="shared" si="245"/>
        <v>65000000000477</v>
      </c>
      <c r="AA488" s="60">
        <f t="shared" si="228"/>
        <v>65000000000478</v>
      </c>
      <c r="AB488" s="60">
        <f t="shared" si="246"/>
        <v>65000000000000</v>
      </c>
      <c r="AD488" s="60">
        <f t="shared" si="249"/>
        <v>6</v>
      </c>
      <c r="AE488" s="60">
        <f t="shared" si="250"/>
        <v>5</v>
      </c>
      <c r="AF488" s="60">
        <f t="shared" si="251"/>
        <v>1</v>
      </c>
      <c r="AG488" s="60">
        <f t="shared" si="252"/>
        <v>152</v>
      </c>
      <c r="AH488" s="60">
        <f t="shared" si="253"/>
        <v>2</v>
      </c>
      <c r="AI488" s="60">
        <f t="shared" si="254"/>
        <v>1</v>
      </c>
      <c r="AK488" s="68" t="str">
        <f t="shared" si="229"/>
        <v>L5</v>
      </c>
      <c r="AM488" s="64" t="s">
        <v>1755</v>
      </c>
      <c r="AN488" s="64">
        <f t="shared" si="230"/>
        <v>65000000000350</v>
      </c>
      <c r="AO488" s="64">
        <f t="shared" si="231"/>
        <v>65000000000460</v>
      </c>
      <c r="AP488" s="64">
        <f t="shared" si="232"/>
        <v>65000000000460</v>
      </c>
      <c r="AQ488" s="64">
        <f t="shared" si="233"/>
        <v>65000000000477</v>
      </c>
      <c r="AS488" s="64">
        <f t="shared" si="234"/>
        <v>65000000000477</v>
      </c>
      <c r="AU488" s="59" t="str">
        <f t="shared" si="255"/>
        <v>PERFORM * FROM "SchData-OLTP-Accounting"."Func_TblChartOfAccount_SET"(varSystemLoginSession, null, null, null, varInstitutionBranchID, 62000000000001::bigint,'6-4099.01', 'Biaya Adm &amp; Umum Lainnya (IDR)', 62000000000001::bigint, '2016-01-01 00:00:00'::timestamp, null::timestamp, 65000000000477::bigint, 66000000000001::bigint);</v>
      </c>
      <c r="AV488" s="65">
        <f t="shared" si="256"/>
        <v>65000000000478</v>
      </c>
      <c r="AW488" s="65">
        <f t="shared" si="257"/>
        <v>65000000000477</v>
      </c>
      <c r="AY488" s="65">
        <f t="shared" si="247"/>
        <v>65000000000477</v>
      </c>
      <c r="BA488" s="78">
        <f t="shared" si="258"/>
        <v>65000000000478</v>
      </c>
      <c r="BB488" s="81" t="str">
        <f t="shared" si="248"/>
        <v>PERFORM * FROM "SchData-OLTP-Accounting"."Func_TblChartOfAccount_SET"(varSystemLoginSession, null, null, null, null, null, varInstitutionBranchID, 62000000000001::bigint,'6-4099.01', 'Biaya Adm &amp; Umum Lainnya (IDR)', 62000000000001::bigint, '2016-01-01 00:00:00'::timestamp, null::timestamp, 65000000000477::bigint, 66000000000001::bigint, FALSE::boolean);</v>
      </c>
    </row>
    <row r="489" spans="2:54" x14ac:dyDescent="0.2">
      <c r="B489" s="41"/>
      <c r="C489" s="42"/>
      <c r="D489" s="43" t="s">
        <v>1529</v>
      </c>
      <c r="E489" s="42" t="s">
        <v>1175</v>
      </c>
      <c r="F489" s="51"/>
      <c r="G489" s="18"/>
      <c r="H489" s="51"/>
      <c r="I489" s="18"/>
      <c r="J489" s="51"/>
      <c r="K489" s="18"/>
      <c r="L489" s="51"/>
      <c r="M489" s="18"/>
      <c r="O489" s="58" t="str">
        <f t="shared" si="235"/>
        <v>6-0000</v>
      </c>
      <c r="P489" s="58" t="str">
        <f t="shared" si="236"/>
        <v>6-5000</v>
      </c>
      <c r="Q489" s="58" t="str">
        <f t="shared" si="237"/>
        <v>2-1200</v>
      </c>
      <c r="R489" s="58" t="str">
        <f t="shared" si="238"/>
        <v>6-4099</v>
      </c>
      <c r="S489" s="58" t="str">
        <f t="shared" si="239"/>
        <v>6-4099.01</v>
      </c>
      <c r="T489" s="58" t="str">
        <f t="shared" si="240"/>
        <v xml:space="preserve"> </v>
      </c>
      <c r="V489" s="72">
        <f t="shared" si="241"/>
        <v>65000000000479</v>
      </c>
      <c r="W489" s="60">
        <f t="shared" si="242"/>
        <v>65000000000350</v>
      </c>
      <c r="X489" s="60">
        <f t="shared" si="243"/>
        <v>65000000000479</v>
      </c>
      <c r="Y489" s="60">
        <f t="shared" si="244"/>
        <v>65000000000147</v>
      </c>
      <c r="Z489" s="60">
        <f t="shared" si="245"/>
        <v>65000000000477</v>
      </c>
      <c r="AA489" s="60">
        <f t="shared" si="228"/>
        <v>65000000000478</v>
      </c>
      <c r="AB489" s="60">
        <f t="shared" si="246"/>
        <v>65000000000000</v>
      </c>
      <c r="AD489" s="60">
        <f t="shared" si="249"/>
        <v>6</v>
      </c>
      <c r="AE489" s="60">
        <f t="shared" si="250"/>
        <v>6</v>
      </c>
      <c r="AF489" s="60">
        <f t="shared" si="251"/>
        <v>1</v>
      </c>
      <c r="AG489" s="60">
        <f t="shared" si="252"/>
        <v>152</v>
      </c>
      <c r="AH489" s="60">
        <f t="shared" si="253"/>
        <v>2</v>
      </c>
      <c r="AI489" s="60">
        <f t="shared" si="254"/>
        <v>1</v>
      </c>
      <c r="AK489" s="68" t="str">
        <f t="shared" si="229"/>
        <v>L2</v>
      </c>
      <c r="AM489" s="64" t="s">
        <v>1755</v>
      </c>
      <c r="AN489" s="64">
        <f t="shared" si="230"/>
        <v>65000000000350</v>
      </c>
      <c r="AO489" s="64">
        <f t="shared" si="231"/>
        <v>65000000000460</v>
      </c>
      <c r="AP489" s="64">
        <f t="shared" si="232"/>
        <v>65000000000460</v>
      </c>
      <c r="AQ489" s="64">
        <f t="shared" si="233"/>
        <v>65000000000477</v>
      </c>
      <c r="AS489" s="64">
        <f t="shared" si="234"/>
        <v>65000000000350</v>
      </c>
      <c r="AU489" s="59" t="str">
        <f t="shared" si="255"/>
        <v>PERFORM * FROM "SchData-OLTP-Accounting"."Func_TblChartOfAccount_SET"(varSystemLoginSession, null, null, null, varInstitutionBranchID, 62000000000001::bigint,'6-5000', 'Biaya Depresiasi', 62000000000001::bigint, '2016-01-01 00:00:00'::timestamp, null::timestamp, 65000000000350::bigint, 66000000000001::bigint);</v>
      </c>
      <c r="AV489" s="65">
        <f t="shared" si="256"/>
        <v>65000000000479</v>
      </c>
      <c r="AW489" s="65">
        <f t="shared" si="257"/>
        <v>65000000000350</v>
      </c>
      <c r="AY489" s="65">
        <f t="shared" si="247"/>
        <v>65000000000350</v>
      </c>
      <c r="BA489" s="78">
        <f t="shared" si="258"/>
        <v>65000000000479</v>
      </c>
      <c r="BB489" s="81" t="str">
        <f t="shared" si="248"/>
        <v>PERFORM * FROM "SchData-OLTP-Accounting"."Func_TblChartOfAccount_SET"(varSystemLoginSession, null, null, null, null, null, varInstitutionBranchID, 62000000000001::bigint,'6-5000', 'Biaya Depresiasi', 62000000000001::bigint, '2016-01-01 00:00:00'::timestamp, null::timestamp, 65000000000350::bigint, 66000000000001::bigint, FALSE::boolean);</v>
      </c>
    </row>
    <row r="490" spans="2:54" ht="25.5" x14ac:dyDescent="0.2">
      <c r="B490" s="41"/>
      <c r="C490" s="42"/>
      <c r="D490" s="43"/>
      <c r="E490" s="42"/>
      <c r="F490" s="43"/>
      <c r="G490" s="42"/>
      <c r="H490" s="51" t="s">
        <v>1530</v>
      </c>
      <c r="I490" s="18" t="s">
        <v>485</v>
      </c>
      <c r="J490" s="51"/>
      <c r="K490" s="18"/>
      <c r="L490" s="51"/>
      <c r="M490" s="18"/>
      <c r="O490" s="58" t="str">
        <f t="shared" si="235"/>
        <v>6-0000</v>
      </c>
      <c r="P490" s="58" t="str">
        <f t="shared" si="236"/>
        <v>6-5000</v>
      </c>
      <c r="Q490" s="58" t="str">
        <f t="shared" si="237"/>
        <v>2-1200</v>
      </c>
      <c r="R490" s="58" t="str">
        <f t="shared" si="238"/>
        <v>6-5001</v>
      </c>
      <c r="S490" s="58" t="str">
        <f t="shared" si="239"/>
        <v>6-4099.01</v>
      </c>
      <c r="T490" s="58" t="str">
        <f t="shared" si="240"/>
        <v xml:space="preserve"> </v>
      </c>
      <c r="V490" s="72">
        <f t="shared" si="241"/>
        <v>65000000000480</v>
      </c>
      <c r="W490" s="60">
        <f t="shared" si="242"/>
        <v>65000000000350</v>
      </c>
      <c r="X490" s="60">
        <f t="shared" si="243"/>
        <v>65000000000479</v>
      </c>
      <c r="Y490" s="60">
        <f t="shared" si="244"/>
        <v>65000000000147</v>
      </c>
      <c r="Z490" s="60">
        <f t="shared" si="245"/>
        <v>65000000000480</v>
      </c>
      <c r="AA490" s="60">
        <f t="shared" si="228"/>
        <v>65000000000478</v>
      </c>
      <c r="AB490" s="60">
        <f t="shared" si="246"/>
        <v>65000000000000</v>
      </c>
      <c r="AD490" s="60">
        <f t="shared" si="249"/>
        <v>6</v>
      </c>
      <c r="AE490" s="60">
        <f t="shared" si="250"/>
        <v>6</v>
      </c>
      <c r="AF490" s="60">
        <f t="shared" si="251"/>
        <v>1</v>
      </c>
      <c r="AG490" s="60">
        <f t="shared" si="252"/>
        <v>153</v>
      </c>
      <c r="AH490" s="60">
        <f t="shared" si="253"/>
        <v>1</v>
      </c>
      <c r="AI490" s="60">
        <f t="shared" si="254"/>
        <v>1</v>
      </c>
      <c r="AK490" s="68" t="str">
        <f t="shared" si="229"/>
        <v>L4</v>
      </c>
      <c r="AM490" s="64" t="s">
        <v>1755</v>
      </c>
      <c r="AN490" s="64">
        <f t="shared" si="230"/>
        <v>65000000000350</v>
      </c>
      <c r="AO490" s="64">
        <f t="shared" si="231"/>
        <v>65000000000479</v>
      </c>
      <c r="AP490" s="64">
        <f t="shared" si="232"/>
        <v>65000000000479</v>
      </c>
      <c r="AQ490" s="64">
        <f t="shared" si="233"/>
        <v>65000000000479</v>
      </c>
      <c r="AS490" s="64">
        <f t="shared" si="234"/>
        <v>65000000000479</v>
      </c>
      <c r="AU490" s="59" t="str">
        <f t="shared" si="255"/>
        <v>PERFORM * FROM "SchData-OLTP-Accounting"."Func_TblChartOfAccount_SET"(varSystemLoginSession, null, null, null, varInstitutionBranchID, 62000000000001::bigint,'6-5001', 'Depre - Building Improvement', 62000000000001::bigint, '2016-01-01 00:00:00'::timestamp, null::timestamp, 65000000000479::bigint, 66000000000001::bigint);</v>
      </c>
      <c r="AV490" s="65">
        <f t="shared" si="256"/>
        <v>65000000000480</v>
      </c>
      <c r="AW490" s="65">
        <f t="shared" si="257"/>
        <v>65000000000479</v>
      </c>
      <c r="AY490" s="65">
        <f t="shared" si="247"/>
        <v>65000000000479</v>
      </c>
      <c r="BA490" s="78">
        <f t="shared" si="258"/>
        <v>65000000000480</v>
      </c>
      <c r="BB490" s="81" t="str">
        <f t="shared" si="248"/>
        <v>PERFORM * FROM "SchData-OLTP-Accounting"."Func_TblChartOfAccount_SET"(varSystemLoginSession, null, null, null, null, null, varInstitutionBranchID, 62000000000001::bigint,'6-5001', 'Depre - Building Improvement', 62000000000001::bigint, '2016-01-01 00:00:00'::timestamp, null::timestamp, 65000000000479::bigint, 66000000000001::bigint, FALSE::boolean);</v>
      </c>
    </row>
    <row r="491" spans="2:54" ht="25.5" x14ac:dyDescent="0.2">
      <c r="B491" s="41"/>
      <c r="C491" s="42"/>
      <c r="D491" s="43"/>
      <c r="E491" s="42"/>
      <c r="F491" s="43"/>
      <c r="G491" s="42"/>
      <c r="H491" s="51"/>
      <c r="I491" s="18"/>
      <c r="J491" s="51" t="s">
        <v>1531</v>
      </c>
      <c r="K491" s="18" t="s">
        <v>1346</v>
      </c>
      <c r="L491" s="51"/>
      <c r="M491" s="18"/>
      <c r="O491" s="58" t="str">
        <f t="shared" si="235"/>
        <v>6-0000</v>
      </c>
      <c r="P491" s="58" t="str">
        <f t="shared" si="236"/>
        <v>6-5000</v>
      </c>
      <c r="Q491" s="58" t="str">
        <f t="shared" si="237"/>
        <v>2-1200</v>
      </c>
      <c r="R491" s="58" t="str">
        <f t="shared" si="238"/>
        <v>6-5001</v>
      </c>
      <c r="S491" s="58" t="str">
        <f t="shared" si="239"/>
        <v>6-5001.01</v>
      </c>
      <c r="T491" s="58" t="str">
        <f t="shared" si="240"/>
        <v xml:space="preserve"> </v>
      </c>
      <c r="V491" s="72">
        <f t="shared" si="241"/>
        <v>65000000000481</v>
      </c>
      <c r="W491" s="60">
        <f t="shared" si="242"/>
        <v>65000000000350</v>
      </c>
      <c r="X491" s="60">
        <f t="shared" si="243"/>
        <v>65000000000479</v>
      </c>
      <c r="Y491" s="60">
        <f t="shared" si="244"/>
        <v>65000000000147</v>
      </c>
      <c r="Z491" s="60">
        <f t="shared" si="245"/>
        <v>65000000000480</v>
      </c>
      <c r="AA491" s="60">
        <f t="shared" si="228"/>
        <v>65000000000481</v>
      </c>
      <c r="AB491" s="60">
        <f t="shared" si="246"/>
        <v>65000000000000</v>
      </c>
      <c r="AD491" s="60">
        <f t="shared" si="249"/>
        <v>6</v>
      </c>
      <c r="AE491" s="60">
        <f t="shared" si="250"/>
        <v>6</v>
      </c>
      <c r="AF491" s="60">
        <f t="shared" si="251"/>
        <v>1</v>
      </c>
      <c r="AG491" s="60">
        <f t="shared" si="252"/>
        <v>153</v>
      </c>
      <c r="AH491" s="60">
        <f t="shared" si="253"/>
        <v>2</v>
      </c>
      <c r="AI491" s="60">
        <f t="shared" si="254"/>
        <v>1</v>
      </c>
      <c r="AK491" s="68" t="str">
        <f t="shared" si="229"/>
        <v>L5</v>
      </c>
      <c r="AM491" s="64" t="s">
        <v>1755</v>
      </c>
      <c r="AN491" s="64">
        <f t="shared" si="230"/>
        <v>65000000000350</v>
      </c>
      <c r="AO491" s="64">
        <f t="shared" si="231"/>
        <v>65000000000479</v>
      </c>
      <c r="AP491" s="64">
        <f t="shared" si="232"/>
        <v>65000000000479</v>
      </c>
      <c r="AQ491" s="64">
        <f t="shared" si="233"/>
        <v>65000000000480</v>
      </c>
      <c r="AS491" s="64">
        <f t="shared" si="234"/>
        <v>65000000000480</v>
      </c>
      <c r="AU491" s="59" t="str">
        <f t="shared" si="255"/>
        <v>PERFORM * FROM "SchData-OLTP-Accounting"."Func_TblChartOfAccount_SET"(varSystemLoginSession, null, null, null, varInstitutionBranchID, 62000000000001::bigint,'6-5001.01', 'Depre - Building Improvement (IDR)', 62000000000001::bigint, '2016-01-01 00:00:00'::timestamp, null::timestamp, 65000000000480::bigint, 66000000000001::bigint);</v>
      </c>
      <c r="AV491" s="65">
        <f t="shared" si="256"/>
        <v>65000000000481</v>
      </c>
      <c r="AW491" s="65">
        <f t="shared" si="257"/>
        <v>65000000000480</v>
      </c>
      <c r="AY491" s="65">
        <f t="shared" si="247"/>
        <v>65000000000480</v>
      </c>
      <c r="BA491" s="78">
        <f t="shared" si="258"/>
        <v>65000000000481</v>
      </c>
      <c r="BB491" s="81" t="str">
        <f t="shared" si="248"/>
        <v>PERFORM * FROM "SchData-OLTP-Accounting"."Func_TblChartOfAccount_SET"(varSystemLoginSession, null, null, null, null, null, varInstitutionBranchID, 62000000000001::bigint,'6-5001.01', 'Depre - Building Improvement (IDR)', 62000000000001::bigint, '2016-01-01 00:00:00'::timestamp, null::timestamp, 65000000000480::bigint, 66000000000001::bigint, FALSE::boolean);</v>
      </c>
    </row>
    <row r="492" spans="2:54" x14ac:dyDescent="0.2">
      <c r="B492" s="41"/>
      <c r="C492" s="42"/>
      <c r="D492" s="43"/>
      <c r="E492" s="42"/>
      <c r="F492" s="43"/>
      <c r="G492" s="42"/>
      <c r="H492" s="51" t="s">
        <v>1532</v>
      </c>
      <c r="I492" s="18" t="s">
        <v>610</v>
      </c>
      <c r="J492" s="51"/>
      <c r="K492" s="18"/>
      <c r="L492" s="51"/>
      <c r="M492" s="18"/>
      <c r="O492" s="58" t="str">
        <f t="shared" si="235"/>
        <v>6-0000</v>
      </c>
      <c r="P492" s="58" t="str">
        <f t="shared" si="236"/>
        <v>6-5000</v>
      </c>
      <c r="Q492" s="58" t="str">
        <f t="shared" si="237"/>
        <v>2-1200</v>
      </c>
      <c r="R492" s="58" t="str">
        <f t="shared" si="238"/>
        <v>6-5002</v>
      </c>
      <c r="S492" s="58" t="str">
        <f t="shared" si="239"/>
        <v>6-5001.01</v>
      </c>
      <c r="T492" s="58" t="str">
        <f t="shared" si="240"/>
        <v xml:space="preserve"> </v>
      </c>
      <c r="V492" s="72">
        <f t="shared" si="241"/>
        <v>65000000000482</v>
      </c>
      <c r="W492" s="60">
        <f t="shared" si="242"/>
        <v>65000000000350</v>
      </c>
      <c r="X492" s="60">
        <f t="shared" si="243"/>
        <v>65000000000479</v>
      </c>
      <c r="Y492" s="60">
        <f t="shared" si="244"/>
        <v>65000000000147</v>
      </c>
      <c r="Z492" s="60">
        <f t="shared" si="245"/>
        <v>65000000000482</v>
      </c>
      <c r="AA492" s="60">
        <f t="shared" si="228"/>
        <v>65000000000481</v>
      </c>
      <c r="AB492" s="60">
        <f t="shared" si="246"/>
        <v>65000000000000</v>
      </c>
      <c r="AD492" s="60">
        <f t="shared" si="249"/>
        <v>6</v>
      </c>
      <c r="AE492" s="60">
        <f t="shared" si="250"/>
        <v>6</v>
      </c>
      <c r="AF492" s="60">
        <f t="shared" si="251"/>
        <v>1</v>
      </c>
      <c r="AG492" s="60">
        <f t="shared" si="252"/>
        <v>154</v>
      </c>
      <c r="AH492" s="60">
        <f t="shared" si="253"/>
        <v>1</v>
      </c>
      <c r="AI492" s="60">
        <f t="shared" si="254"/>
        <v>1</v>
      </c>
      <c r="AK492" s="68" t="str">
        <f t="shared" si="229"/>
        <v>L4</v>
      </c>
      <c r="AM492" s="64" t="s">
        <v>1755</v>
      </c>
      <c r="AN492" s="64">
        <f t="shared" si="230"/>
        <v>65000000000350</v>
      </c>
      <c r="AO492" s="64">
        <f t="shared" si="231"/>
        <v>65000000000479</v>
      </c>
      <c r="AP492" s="64">
        <f t="shared" si="232"/>
        <v>65000000000479</v>
      </c>
      <c r="AQ492" s="64">
        <f t="shared" si="233"/>
        <v>65000000000480</v>
      </c>
      <c r="AS492" s="64">
        <f t="shared" si="234"/>
        <v>65000000000479</v>
      </c>
      <c r="AU492" s="59" t="str">
        <f t="shared" si="255"/>
        <v>PERFORM * FROM "SchData-OLTP-Accounting"."Func_TblChartOfAccount_SET"(varSystemLoginSession, null, null, null, varInstitutionBranchID, 62000000000001::bigint,'6-5002', 'Depre - Building Office', 62000000000001::bigint, '2016-01-01 00:00:00'::timestamp, null::timestamp, 65000000000479::bigint, 66000000000001::bigint);</v>
      </c>
      <c r="AV492" s="65">
        <f t="shared" si="256"/>
        <v>65000000000482</v>
      </c>
      <c r="AW492" s="65">
        <f t="shared" si="257"/>
        <v>65000000000479</v>
      </c>
      <c r="AY492" s="65">
        <f t="shared" si="247"/>
        <v>65000000000147</v>
      </c>
      <c r="BA492" s="78">
        <f t="shared" si="258"/>
        <v>65000000000482</v>
      </c>
      <c r="BB492" s="81" t="str">
        <f t="shared" si="248"/>
        <v>PERFORM * FROM "SchData-OLTP-Accounting"."Func_TblChartOfAccount_SET"(varSystemLoginSession, null, null, null, null, null, varInstitutionBranchID, 62000000000001::bigint,'6-5002', 'Depre - Building Office', 62000000000001::bigint, '2016-01-01 00:00:00'::timestamp, null::timestamp, 65000000000479::bigint, 66000000000001::bigint, FALSE::boolean);</v>
      </c>
    </row>
    <row r="493" spans="2:54" x14ac:dyDescent="0.2">
      <c r="B493" s="41"/>
      <c r="C493" s="42"/>
      <c r="D493" s="43"/>
      <c r="E493" s="42"/>
      <c r="F493" s="43"/>
      <c r="G493" s="42"/>
      <c r="H493" s="51"/>
      <c r="I493" s="18"/>
      <c r="J493" s="51" t="s">
        <v>1533</v>
      </c>
      <c r="K493" s="18" t="s">
        <v>1406</v>
      </c>
      <c r="L493" s="51"/>
      <c r="M493" s="18"/>
      <c r="O493" s="58" t="str">
        <f t="shared" si="235"/>
        <v>6-0000</v>
      </c>
      <c r="P493" s="58" t="str">
        <f t="shared" si="236"/>
        <v>6-5000</v>
      </c>
      <c r="Q493" s="58" t="str">
        <f t="shared" si="237"/>
        <v>2-1200</v>
      </c>
      <c r="R493" s="58" t="str">
        <f t="shared" si="238"/>
        <v>6-5002</v>
      </c>
      <c r="S493" s="58" t="str">
        <f t="shared" si="239"/>
        <v>6-5002.01</v>
      </c>
      <c r="T493" s="58" t="str">
        <f t="shared" si="240"/>
        <v xml:space="preserve"> </v>
      </c>
      <c r="V493" s="72">
        <f t="shared" si="241"/>
        <v>65000000000483</v>
      </c>
      <c r="W493" s="60">
        <f t="shared" si="242"/>
        <v>65000000000350</v>
      </c>
      <c r="X493" s="60">
        <f t="shared" si="243"/>
        <v>65000000000479</v>
      </c>
      <c r="Y493" s="60">
        <f t="shared" si="244"/>
        <v>65000000000147</v>
      </c>
      <c r="Z493" s="60">
        <f t="shared" si="245"/>
        <v>65000000000482</v>
      </c>
      <c r="AA493" s="60">
        <f t="shared" si="228"/>
        <v>65000000000483</v>
      </c>
      <c r="AB493" s="60">
        <f t="shared" si="246"/>
        <v>65000000000000</v>
      </c>
      <c r="AD493" s="60">
        <f t="shared" si="249"/>
        <v>6</v>
      </c>
      <c r="AE493" s="60">
        <f t="shared" si="250"/>
        <v>6</v>
      </c>
      <c r="AF493" s="60">
        <f t="shared" si="251"/>
        <v>1</v>
      </c>
      <c r="AG493" s="60">
        <f t="shared" si="252"/>
        <v>154</v>
      </c>
      <c r="AH493" s="60">
        <f t="shared" si="253"/>
        <v>2</v>
      </c>
      <c r="AI493" s="60">
        <f t="shared" si="254"/>
        <v>1</v>
      </c>
      <c r="AK493" s="68" t="str">
        <f t="shared" si="229"/>
        <v>L5</v>
      </c>
      <c r="AM493" s="64" t="s">
        <v>1755</v>
      </c>
      <c r="AN493" s="64">
        <f t="shared" si="230"/>
        <v>65000000000350</v>
      </c>
      <c r="AO493" s="64">
        <f t="shared" si="231"/>
        <v>65000000000479</v>
      </c>
      <c r="AP493" s="64">
        <f t="shared" si="232"/>
        <v>65000000000479</v>
      </c>
      <c r="AQ493" s="64">
        <f t="shared" si="233"/>
        <v>65000000000482</v>
      </c>
      <c r="AS493" s="64">
        <f t="shared" si="234"/>
        <v>65000000000482</v>
      </c>
      <c r="AU493" s="59" t="str">
        <f t="shared" si="255"/>
        <v>PERFORM * FROM "SchData-OLTP-Accounting"."Func_TblChartOfAccount_SET"(varSystemLoginSession, null, null, null, varInstitutionBranchID, 62000000000001::bigint,'6-5002.01', 'Depre - Building Office (IDR)', 62000000000001::bigint, '2016-01-01 00:00:00'::timestamp, null::timestamp, 65000000000482::bigint, 66000000000001::bigint);</v>
      </c>
      <c r="AV493" s="65">
        <f t="shared" si="256"/>
        <v>65000000000483</v>
      </c>
      <c r="AW493" s="65">
        <f t="shared" si="257"/>
        <v>65000000000482</v>
      </c>
      <c r="AY493" s="65">
        <f t="shared" si="247"/>
        <v>65000000000482</v>
      </c>
      <c r="BA493" s="78">
        <f t="shared" si="258"/>
        <v>65000000000483</v>
      </c>
      <c r="BB493" s="81" t="str">
        <f t="shared" si="248"/>
        <v>PERFORM * FROM "SchData-OLTP-Accounting"."Func_TblChartOfAccount_SET"(varSystemLoginSession, null, null, null, null, null, varInstitutionBranchID, 62000000000001::bigint,'6-5002.01', 'Depre - Building Office (IDR)', 62000000000001::bigint, '2016-01-01 00:00:00'::timestamp, null::timestamp, 65000000000482::bigint, 66000000000001::bigint, FALSE::boolean);</v>
      </c>
    </row>
    <row r="494" spans="2:54" x14ac:dyDescent="0.2">
      <c r="B494" s="41"/>
      <c r="C494" s="42"/>
      <c r="D494" s="43"/>
      <c r="E494" s="42"/>
      <c r="F494" s="43"/>
      <c r="G494" s="42"/>
      <c r="H494" s="51" t="s">
        <v>1534</v>
      </c>
      <c r="I494" s="18" t="s">
        <v>612</v>
      </c>
      <c r="J494" s="51"/>
      <c r="K494" s="18"/>
      <c r="L494" s="51"/>
      <c r="M494" s="18"/>
      <c r="O494" s="58" t="str">
        <f t="shared" si="235"/>
        <v>6-0000</v>
      </c>
      <c r="P494" s="58" t="str">
        <f t="shared" si="236"/>
        <v>6-5000</v>
      </c>
      <c r="Q494" s="58" t="str">
        <f t="shared" si="237"/>
        <v>2-1200</v>
      </c>
      <c r="R494" s="58" t="str">
        <f t="shared" si="238"/>
        <v>6-5003</v>
      </c>
      <c r="S494" s="58" t="str">
        <f t="shared" si="239"/>
        <v>6-5002.01</v>
      </c>
      <c r="T494" s="58" t="str">
        <f t="shared" si="240"/>
        <v xml:space="preserve"> </v>
      </c>
      <c r="V494" s="72">
        <f t="shared" si="241"/>
        <v>65000000000484</v>
      </c>
      <c r="W494" s="60">
        <f t="shared" si="242"/>
        <v>65000000000350</v>
      </c>
      <c r="X494" s="60">
        <f t="shared" si="243"/>
        <v>65000000000479</v>
      </c>
      <c r="Y494" s="60">
        <f t="shared" si="244"/>
        <v>65000000000147</v>
      </c>
      <c r="Z494" s="60">
        <f t="shared" si="245"/>
        <v>65000000000484</v>
      </c>
      <c r="AA494" s="60">
        <f t="shared" si="228"/>
        <v>65000000000483</v>
      </c>
      <c r="AB494" s="60">
        <f t="shared" si="246"/>
        <v>65000000000000</v>
      </c>
      <c r="AD494" s="60">
        <f t="shared" si="249"/>
        <v>6</v>
      </c>
      <c r="AE494" s="60">
        <f t="shared" si="250"/>
        <v>6</v>
      </c>
      <c r="AF494" s="60">
        <f t="shared" si="251"/>
        <v>1</v>
      </c>
      <c r="AG494" s="60">
        <f t="shared" si="252"/>
        <v>155</v>
      </c>
      <c r="AH494" s="60">
        <f t="shared" si="253"/>
        <v>1</v>
      </c>
      <c r="AI494" s="60">
        <f t="shared" si="254"/>
        <v>1</v>
      </c>
      <c r="AK494" s="68" t="str">
        <f t="shared" si="229"/>
        <v>L4</v>
      </c>
      <c r="AM494" s="64" t="s">
        <v>1755</v>
      </c>
      <c r="AN494" s="64">
        <f t="shared" si="230"/>
        <v>65000000000350</v>
      </c>
      <c r="AO494" s="64">
        <f t="shared" si="231"/>
        <v>65000000000479</v>
      </c>
      <c r="AP494" s="64">
        <f t="shared" si="232"/>
        <v>65000000000479</v>
      </c>
      <c r="AQ494" s="64">
        <f t="shared" si="233"/>
        <v>65000000000482</v>
      </c>
      <c r="AS494" s="64">
        <f t="shared" si="234"/>
        <v>65000000000479</v>
      </c>
      <c r="AU494" s="59" t="str">
        <f t="shared" si="255"/>
        <v>PERFORM * FROM "SchData-OLTP-Accounting"."Func_TblChartOfAccount_SET"(varSystemLoginSession, null, null, null, varInstitutionBranchID, 62000000000001::bigint,'6-5003', 'Depre -  IT-Equipment', 62000000000001::bigint, '2016-01-01 00:00:00'::timestamp, null::timestamp, 65000000000479::bigint, 66000000000001::bigint);</v>
      </c>
      <c r="AV494" s="65">
        <f t="shared" si="256"/>
        <v>65000000000484</v>
      </c>
      <c r="AW494" s="65">
        <f t="shared" si="257"/>
        <v>65000000000479</v>
      </c>
      <c r="AY494" s="65">
        <f t="shared" si="247"/>
        <v>65000000000147</v>
      </c>
      <c r="BA494" s="78">
        <f t="shared" si="258"/>
        <v>65000000000484</v>
      </c>
      <c r="BB494" s="81" t="str">
        <f t="shared" si="248"/>
        <v>PERFORM * FROM "SchData-OLTP-Accounting"."Func_TblChartOfAccount_SET"(varSystemLoginSession, null, null, null, null, null, varInstitutionBranchID, 62000000000001::bigint,'6-5003', 'Depre -  IT-Equipment', 62000000000001::bigint, '2016-01-01 00:00:00'::timestamp, null::timestamp, 65000000000479::bigint, 66000000000001::bigint, FALSE::boolean);</v>
      </c>
    </row>
    <row r="495" spans="2:54" x14ac:dyDescent="0.2">
      <c r="B495" s="41"/>
      <c r="C495" s="42"/>
      <c r="D495" s="43"/>
      <c r="E495" s="42"/>
      <c r="F495" s="43"/>
      <c r="G495" s="42"/>
      <c r="H495" s="51"/>
      <c r="I495" s="18"/>
      <c r="J495" s="51" t="s">
        <v>1535</v>
      </c>
      <c r="K495" s="18" t="s">
        <v>1407</v>
      </c>
      <c r="L495" s="51"/>
      <c r="M495" s="18"/>
      <c r="O495" s="58" t="str">
        <f t="shared" si="235"/>
        <v>6-0000</v>
      </c>
      <c r="P495" s="58" t="str">
        <f t="shared" si="236"/>
        <v>6-5000</v>
      </c>
      <c r="Q495" s="58" t="str">
        <f t="shared" si="237"/>
        <v>2-1200</v>
      </c>
      <c r="R495" s="58" t="str">
        <f t="shared" si="238"/>
        <v>6-5003</v>
      </c>
      <c r="S495" s="58" t="str">
        <f t="shared" si="239"/>
        <v>6-5003.01</v>
      </c>
      <c r="T495" s="58" t="str">
        <f t="shared" si="240"/>
        <v xml:space="preserve"> </v>
      </c>
      <c r="V495" s="72">
        <f t="shared" si="241"/>
        <v>65000000000485</v>
      </c>
      <c r="W495" s="60">
        <f t="shared" si="242"/>
        <v>65000000000350</v>
      </c>
      <c r="X495" s="60">
        <f t="shared" si="243"/>
        <v>65000000000479</v>
      </c>
      <c r="Y495" s="60">
        <f t="shared" si="244"/>
        <v>65000000000147</v>
      </c>
      <c r="Z495" s="60">
        <f t="shared" si="245"/>
        <v>65000000000484</v>
      </c>
      <c r="AA495" s="60">
        <f t="shared" si="228"/>
        <v>65000000000485</v>
      </c>
      <c r="AB495" s="60">
        <f t="shared" si="246"/>
        <v>65000000000000</v>
      </c>
      <c r="AD495" s="60">
        <f t="shared" si="249"/>
        <v>6</v>
      </c>
      <c r="AE495" s="60">
        <f t="shared" si="250"/>
        <v>6</v>
      </c>
      <c r="AF495" s="60">
        <f t="shared" si="251"/>
        <v>1</v>
      </c>
      <c r="AG495" s="60">
        <f t="shared" si="252"/>
        <v>155</v>
      </c>
      <c r="AH495" s="60">
        <f t="shared" si="253"/>
        <v>2</v>
      </c>
      <c r="AI495" s="60">
        <f t="shared" si="254"/>
        <v>1</v>
      </c>
      <c r="AK495" s="68" t="str">
        <f t="shared" si="229"/>
        <v>L5</v>
      </c>
      <c r="AM495" s="64" t="s">
        <v>1755</v>
      </c>
      <c r="AN495" s="64">
        <f t="shared" si="230"/>
        <v>65000000000350</v>
      </c>
      <c r="AO495" s="64">
        <f t="shared" si="231"/>
        <v>65000000000479</v>
      </c>
      <c r="AP495" s="64">
        <f t="shared" si="232"/>
        <v>65000000000479</v>
      </c>
      <c r="AQ495" s="64">
        <f t="shared" si="233"/>
        <v>65000000000484</v>
      </c>
      <c r="AS495" s="64">
        <f t="shared" si="234"/>
        <v>65000000000484</v>
      </c>
      <c r="AU495" s="59" t="str">
        <f t="shared" si="255"/>
        <v>PERFORM * FROM "SchData-OLTP-Accounting"."Func_TblChartOfAccount_SET"(varSystemLoginSession, null, null, null, varInstitutionBranchID, 62000000000001::bigint,'6-5003.01', 'Depre -  IT-Equipment (IDR)', 62000000000001::bigint, '2016-01-01 00:00:00'::timestamp, null::timestamp, 65000000000484::bigint, 66000000000001::bigint);</v>
      </c>
      <c r="AV495" s="65">
        <f t="shared" si="256"/>
        <v>65000000000485</v>
      </c>
      <c r="AW495" s="65">
        <f t="shared" si="257"/>
        <v>65000000000484</v>
      </c>
      <c r="AY495" s="65">
        <f t="shared" si="247"/>
        <v>65000000000484</v>
      </c>
      <c r="BA495" s="78">
        <f t="shared" si="258"/>
        <v>65000000000485</v>
      </c>
      <c r="BB495" s="81" t="str">
        <f t="shared" si="248"/>
        <v>PERFORM * FROM "SchData-OLTP-Accounting"."Func_TblChartOfAccount_SET"(varSystemLoginSession, null, null, null, null, null, varInstitutionBranchID, 62000000000001::bigint,'6-5003.01', 'Depre -  IT-Equipment (IDR)', 62000000000001::bigint, '2016-01-01 00:00:00'::timestamp, null::timestamp, 65000000000484::bigint, 66000000000001::bigint, FALSE::boolean);</v>
      </c>
    </row>
    <row r="496" spans="2:54" ht="25.5" x14ac:dyDescent="0.2">
      <c r="B496" s="41"/>
      <c r="C496" s="42"/>
      <c r="D496" s="43"/>
      <c r="E496" s="42"/>
      <c r="F496" s="43"/>
      <c r="G496" s="42"/>
      <c r="H496" s="51" t="s">
        <v>1536</v>
      </c>
      <c r="I496" s="18" t="s">
        <v>489</v>
      </c>
      <c r="J496" s="51"/>
      <c r="K496" s="18"/>
      <c r="L496" s="51"/>
      <c r="M496" s="18"/>
      <c r="O496" s="58" t="str">
        <f t="shared" si="235"/>
        <v>6-0000</v>
      </c>
      <c r="P496" s="58" t="str">
        <f t="shared" si="236"/>
        <v>6-5000</v>
      </c>
      <c r="Q496" s="58" t="str">
        <f t="shared" si="237"/>
        <v>2-1200</v>
      </c>
      <c r="R496" s="58" t="str">
        <f t="shared" si="238"/>
        <v>6-5004</v>
      </c>
      <c r="S496" s="58" t="str">
        <f t="shared" si="239"/>
        <v>6-5003.01</v>
      </c>
      <c r="T496" s="58" t="str">
        <f t="shared" si="240"/>
        <v xml:space="preserve"> </v>
      </c>
      <c r="V496" s="72">
        <f t="shared" si="241"/>
        <v>65000000000486</v>
      </c>
      <c r="W496" s="60">
        <f t="shared" si="242"/>
        <v>65000000000350</v>
      </c>
      <c r="X496" s="60">
        <f t="shared" si="243"/>
        <v>65000000000479</v>
      </c>
      <c r="Y496" s="60">
        <f t="shared" si="244"/>
        <v>65000000000147</v>
      </c>
      <c r="Z496" s="60">
        <f t="shared" si="245"/>
        <v>65000000000486</v>
      </c>
      <c r="AA496" s="60">
        <f t="shared" si="228"/>
        <v>65000000000485</v>
      </c>
      <c r="AB496" s="60">
        <f t="shared" si="246"/>
        <v>65000000000000</v>
      </c>
      <c r="AD496" s="60">
        <f t="shared" si="249"/>
        <v>6</v>
      </c>
      <c r="AE496" s="60">
        <f t="shared" si="250"/>
        <v>6</v>
      </c>
      <c r="AF496" s="60">
        <f t="shared" si="251"/>
        <v>1</v>
      </c>
      <c r="AG496" s="60">
        <f t="shared" si="252"/>
        <v>156</v>
      </c>
      <c r="AH496" s="60">
        <f t="shared" si="253"/>
        <v>1</v>
      </c>
      <c r="AI496" s="60">
        <f t="shared" si="254"/>
        <v>1</v>
      </c>
      <c r="AK496" s="68" t="str">
        <f t="shared" si="229"/>
        <v>L4</v>
      </c>
      <c r="AM496" s="64" t="s">
        <v>1755</v>
      </c>
      <c r="AN496" s="64">
        <f t="shared" si="230"/>
        <v>65000000000350</v>
      </c>
      <c r="AO496" s="64">
        <f t="shared" si="231"/>
        <v>65000000000479</v>
      </c>
      <c r="AP496" s="64">
        <f t="shared" si="232"/>
        <v>65000000000479</v>
      </c>
      <c r="AQ496" s="64">
        <f t="shared" si="233"/>
        <v>65000000000484</v>
      </c>
      <c r="AS496" s="64">
        <f t="shared" si="234"/>
        <v>65000000000479</v>
      </c>
      <c r="AU496" s="59" t="str">
        <f t="shared" si="255"/>
        <v>PERFORM * FROM "SchData-OLTP-Accounting"."Func_TblChartOfAccount_SET"(varSystemLoginSession, null, null, null, varInstitutionBranchID, 62000000000001::bigint,'6-5004', 'Depre - Office Machine &amp; Equip', 62000000000001::bigint, '2016-01-01 00:00:00'::timestamp, null::timestamp, 65000000000479::bigint, 66000000000001::bigint);</v>
      </c>
      <c r="AV496" s="65">
        <f t="shared" si="256"/>
        <v>65000000000486</v>
      </c>
      <c r="AW496" s="65">
        <f t="shared" si="257"/>
        <v>65000000000479</v>
      </c>
      <c r="AY496" s="65">
        <f t="shared" si="247"/>
        <v>65000000000147</v>
      </c>
      <c r="BA496" s="78">
        <f t="shared" si="258"/>
        <v>65000000000486</v>
      </c>
      <c r="BB496" s="81" t="str">
        <f t="shared" si="248"/>
        <v>PERFORM * FROM "SchData-OLTP-Accounting"."Func_TblChartOfAccount_SET"(varSystemLoginSession, null, null, null, null, null, varInstitutionBranchID, 62000000000001::bigint,'6-5004', 'Depre - Office Machine &amp; Equip', 62000000000001::bigint, '2016-01-01 00:00:00'::timestamp, null::timestamp, 65000000000479::bigint, 66000000000001::bigint, FALSE::boolean);</v>
      </c>
    </row>
    <row r="497" spans="2:54" ht="25.5" x14ac:dyDescent="0.2">
      <c r="B497" s="41"/>
      <c r="C497" s="42"/>
      <c r="D497" s="43"/>
      <c r="E497" s="42"/>
      <c r="F497" s="43"/>
      <c r="G497" s="42"/>
      <c r="H497" s="51"/>
      <c r="I497" s="18"/>
      <c r="J497" s="51" t="s">
        <v>1537</v>
      </c>
      <c r="K497" s="18" t="s">
        <v>1348</v>
      </c>
      <c r="L497" s="51"/>
      <c r="M497" s="18"/>
      <c r="O497" s="58" t="str">
        <f t="shared" si="235"/>
        <v>6-0000</v>
      </c>
      <c r="P497" s="58" t="str">
        <f t="shared" si="236"/>
        <v>6-5000</v>
      </c>
      <c r="Q497" s="58" t="str">
        <f t="shared" si="237"/>
        <v>2-1200</v>
      </c>
      <c r="R497" s="58" t="str">
        <f t="shared" si="238"/>
        <v>6-5004</v>
      </c>
      <c r="S497" s="58" t="str">
        <f t="shared" si="239"/>
        <v>6-5004.01</v>
      </c>
      <c r="T497" s="58" t="str">
        <f t="shared" si="240"/>
        <v xml:space="preserve"> </v>
      </c>
      <c r="V497" s="72">
        <f t="shared" si="241"/>
        <v>65000000000487</v>
      </c>
      <c r="W497" s="60">
        <f t="shared" si="242"/>
        <v>65000000000350</v>
      </c>
      <c r="X497" s="60">
        <f t="shared" si="243"/>
        <v>65000000000479</v>
      </c>
      <c r="Y497" s="60">
        <f t="shared" si="244"/>
        <v>65000000000147</v>
      </c>
      <c r="Z497" s="60">
        <f t="shared" si="245"/>
        <v>65000000000486</v>
      </c>
      <c r="AA497" s="60">
        <f t="shared" si="228"/>
        <v>65000000000487</v>
      </c>
      <c r="AB497" s="60">
        <f t="shared" si="246"/>
        <v>65000000000000</v>
      </c>
      <c r="AD497" s="60">
        <f t="shared" si="249"/>
        <v>6</v>
      </c>
      <c r="AE497" s="60">
        <f t="shared" si="250"/>
        <v>6</v>
      </c>
      <c r="AF497" s="60">
        <f t="shared" si="251"/>
        <v>1</v>
      </c>
      <c r="AG497" s="60">
        <f t="shared" si="252"/>
        <v>156</v>
      </c>
      <c r="AH497" s="60">
        <f t="shared" si="253"/>
        <v>2</v>
      </c>
      <c r="AI497" s="60">
        <f t="shared" si="254"/>
        <v>1</v>
      </c>
      <c r="AK497" s="68" t="str">
        <f t="shared" si="229"/>
        <v>L5</v>
      </c>
      <c r="AM497" s="64" t="s">
        <v>1755</v>
      </c>
      <c r="AN497" s="64">
        <f t="shared" si="230"/>
        <v>65000000000350</v>
      </c>
      <c r="AO497" s="64">
        <f t="shared" si="231"/>
        <v>65000000000479</v>
      </c>
      <c r="AP497" s="64">
        <f t="shared" si="232"/>
        <v>65000000000479</v>
      </c>
      <c r="AQ497" s="64">
        <f t="shared" si="233"/>
        <v>65000000000486</v>
      </c>
      <c r="AS497" s="64">
        <f t="shared" si="234"/>
        <v>65000000000486</v>
      </c>
      <c r="AU497" s="59" t="str">
        <f t="shared" si="255"/>
        <v>PERFORM * FROM "SchData-OLTP-Accounting"."Func_TblChartOfAccount_SET"(varSystemLoginSession, null, null, null, varInstitutionBranchID, 62000000000001::bigint,'6-5004.01', 'Depre - Office Machine &amp; Equip (IDR)', 62000000000001::bigint, '2016-01-01 00:00:00'::timestamp, null::timestamp, 65000000000486::bigint, 66000000000001::bigint);</v>
      </c>
      <c r="AV497" s="65">
        <f t="shared" si="256"/>
        <v>65000000000487</v>
      </c>
      <c r="AW497" s="65">
        <f t="shared" si="257"/>
        <v>65000000000486</v>
      </c>
      <c r="AY497" s="65">
        <f t="shared" si="247"/>
        <v>65000000000486</v>
      </c>
      <c r="BA497" s="78">
        <f t="shared" si="258"/>
        <v>65000000000487</v>
      </c>
      <c r="BB497" s="81" t="str">
        <f t="shared" si="248"/>
        <v>PERFORM * FROM "SchData-OLTP-Accounting"."Func_TblChartOfAccount_SET"(varSystemLoginSession, null, null, null, null, null, varInstitutionBranchID, 62000000000001::bigint,'6-5004.01', 'Depre - Office Machine &amp; Equip (IDR)', 62000000000001::bigint, '2016-01-01 00:00:00'::timestamp, null::timestamp, 65000000000486::bigint, 66000000000001::bigint, FALSE::boolean);</v>
      </c>
    </row>
    <row r="498" spans="2:54" ht="25.5" x14ac:dyDescent="0.2">
      <c r="B498" s="41"/>
      <c r="C498" s="42"/>
      <c r="D498" s="43"/>
      <c r="E498" s="42"/>
      <c r="F498" s="43"/>
      <c r="G498" s="42"/>
      <c r="H498" s="51" t="s">
        <v>1538</v>
      </c>
      <c r="I498" s="18" t="s">
        <v>615</v>
      </c>
      <c r="J498" s="51"/>
      <c r="K498" s="18"/>
      <c r="L498" s="51"/>
      <c r="M498" s="18"/>
      <c r="O498" s="58" t="str">
        <f t="shared" si="235"/>
        <v>6-0000</v>
      </c>
      <c r="P498" s="58" t="str">
        <f t="shared" si="236"/>
        <v>6-5000</v>
      </c>
      <c r="Q498" s="58" t="str">
        <f t="shared" si="237"/>
        <v>2-1200</v>
      </c>
      <c r="R498" s="58" t="str">
        <f t="shared" si="238"/>
        <v>6-5005</v>
      </c>
      <c r="S498" s="58" t="str">
        <f t="shared" si="239"/>
        <v>6-5004.01</v>
      </c>
      <c r="T498" s="58" t="str">
        <f t="shared" si="240"/>
        <v xml:space="preserve"> </v>
      </c>
      <c r="V498" s="72">
        <f t="shared" si="241"/>
        <v>65000000000488</v>
      </c>
      <c r="W498" s="60">
        <f t="shared" si="242"/>
        <v>65000000000350</v>
      </c>
      <c r="X498" s="60">
        <f t="shared" si="243"/>
        <v>65000000000479</v>
      </c>
      <c r="Y498" s="60">
        <f t="shared" si="244"/>
        <v>65000000000147</v>
      </c>
      <c r="Z498" s="60">
        <f t="shared" si="245"/>
        <v>65000000000488</v>
      </c>
      <c r="AA498" s="60">
        <f t="shared" si="228"/>
        <v>65000000000487</v>
      </c>
      <c r="AB498" s="60">
        <f t="shared" si="246"/>
        <v>65000000000000</v>
      </c>
      <c r="AD498" s="60">
        <f t="shared" si="249"/>
        <v>6</v>
      </c>
      <c r="AE498" s="60">
        <f t="shared" si="250"/>
        <v>6</v>
      </c>
      <c r="AF498" s="60">
        <f t="shared" si="251"/>
        <v>1</v>
      </c>
      <c r="AG498" s="60">
        <f t="shared" si="252"/>
        <v>157</v>
      </c>
      <c r="AH498" s="60">
        <f t="shared" si="253"/>
        <v>1</v>
      </c>
      <c r="AI498" s="60">
        <f t="shared" si="254"/>
        <v>1</v>
      </c>
      <c r="AK498" s="68" t="str">
        <f t="shared" si="229"/>
        <v>L4</v>
      </c>
      <c r="AM498" s="64" t="s">
        <v>1755</v>
      </c>
      <c r="AN498" s="64">
        <f t="shared" si="230"/>
        <v>65000000000350</v>
      </c>
      <c r="AO498" s="64">
        <f t="shared" si="231"/>
        <v>65000000000479</v>
      </c>
      <c r="AP498" s="64">
        <f t="shared" si="232"/>
        <v>65000000000479</v>
      </c>
      <c r="AQ498" s="64">
        <f t="shared" si="233"/>
        <v>65000000000486</v>
      </c>
      <c r="AS498" s="64">
        <f t="shared" si="234"/>
        <v>65000000000479</v>
      </c>
      <c r="AU498" s="59" t="str">
        <f t="shared" si="255"/>
        <v>PERFORM * FROM "SchData-OLTP-Accounting"."Func_TblChartOfAccount_SET"(varSystemLoginSession, null, null, null, varInstitutionBranchID, 62000000000001::bigint,'6-5005', 'Depre - Sundry Plant &amp; Equip', 62000000000001::bigint, '2016-01-01 00:00:00'::timestamp, null::timestamp, 65000000000479::bigint, 66000000000001::bigint);</v>
      </c>
      <c r="AV498" s="65">
        <f t="shared" si="256"/>
        <v>65000000000488</v>
      </c>
      <c r="AW498" s="65">
        <f t="shared" si="257"/>
        <v>65000000000479</v>
      </c>
      <c r="AY498" s="65">
        <f t="shared" si="247"/>
        <v>65000000000147</v>
      </c>
      <c r="BA498" s="78">
        <f t="shared" si="258"/>
        <v>65000000000488</v>
      </c>
      <c r="BB498" s="81" t="str">
        <f t="shared" si="248"/>
        <v>PERFORM * FROM "SchData-OLTP-Accounting"."Func_TblChartOfAccount_SET"(varSystemLoginSession, null, null, null, null, null, varInstitutionBranchID, 62000000000001::bigint,'6-5005', 'Depre - Sundry Plant &amp; Equip', 62000000000001::bigint, '2016-01-01 00:00:00'::timestamp, null::timestamp, 65000000000479::bigint, 66000000000001::bigint, FALSE::boolean);</v>
      </c>
    </row>
    <row r="499" spans="2:54" ht="25.5" x14ac:dyDescent="0.2">
      <c r="B499" s="41"/>
      <c r="C499" s="42"/>
      <c r="D499" s="43"/>
      <c r="E499" s="42"/>
      <c r="F499" s="43"/>
      <c r="G499" s="42"/>
      <c r="H499" s="51"/>
      <c r="I499" s="18"/>
      <c r="J499" s="51" t="s">
        <v>1539</v>
      </c>
      <c r="K499" s="18" t="s">
        <v>1408</v>
      </c>
      <c r="L499" s="51"/>
      <c r="M499" s="18"/>
      <c r="O499" s="58" t="str">
        <f t="shared" si="235"/>
        <v>6-0000</v>
      </c>
      <c r="P499" s="58" t="str">
        <f t="shared" si="236"/>
        <v>6-5000</v>
      </c>
      <c r="Q499" s="58" t="str">
        <f t="shared" si="237"/>
        <v>2-1200</v>
      </c>
      <c r="R499" s="58" t="str">
        <f t="shared" si="238"/>
        <v>6-5005</v>
      </c>
      <c r="S499" s="58" t="str">
        <f t="shared" si="239"/>
        <v>6-5005.01</v>
      </c>
      <c r="T499" s="58" t="str">
        <f t="shared" si="240"/>
        <v xml:space="preserve"> </v>
      </c>
      <c r="V499" s="72">
        <f t="shared" si="241"/>
        <v>65000000000489</v>
      </c>
      <c r="W499" s="60">
        <f t="shared" si="242"/>
        <v>65000000000350</v>
      </c>
      <c r="X499" s="60">
        <f t="shared" si="243"/>
        <v>65000000000479</v>
      </c>
      <c r="Y499" s="60">
        <f t="shared" si="244"/>
        <v>65000000000147</v>
      </c>
      <c r="Z499" s="60">
        <f t="shared" si="245"/>
        <v>65000000000488</v>
      </c>
      <c r="AA499" s="60">
        <f t="shared" si="228"/>
        <v>65000000000489</v>
      </c>
      <c r="AB499" s="60">
        <f t="shared" si="246"/>
        <v>65000000000000</v>
      </c>
      <c r="AD499" s="60">
        <f t="shared" si="249"/>
        <v>6</v>
      </c>
      <c r="AE499" s="60">
        <f t="shared" si="250"/>
        <v>6</v>
      </c>
      <c r="AF499" s="60">
        <f t="shared" si="251"/>
        <v>1</v>
      </c>
      <c r="AG499" s="60">
        <f t="shared" si="252"/>
        <v>157</v>
      </c>
      <c r="AH499" s="60">
        <f t="shared" si="253"/>
        <v>2</v>
      </c>
      <c r="AI499" s="60">
        <f t="shared" si="254"/>
        <v>1</v>
      </c>
      <c r="AK499" s="68" t="str">
        <f t="shared" si="229"/>
        <v>L5</v>
      </c>
      <c r="AM499" s="64" t="s">
        <v>1755</v>
      </c>
      <c r="AN499" s="64">
        <f t="shared" si="230"/>
        <v>65000000000350</v>
      </c>
      <c r="AO499" s="64">
        <f t="shared" si="231"/>
        <v>65000000000479</v>
      </c>
      <c r="AP499" s="64">
        <f t="shared" si="232"/>
        <v>65000000000479</v>
      </c>
      <c r="AQ499" s="64">
        <f t="shared" si="233"/>
        <v>65000000000488</v>
      </c>
      <c r="AS499" s="64">
        <f t="shared" si="234"/>
        <v>65000000000488</v>
      </c>
      <c r="AU499" s="59" t="str">
        <f t="shared" si="255"/>
        <v>PERFORM * FROM "SchData-OLTP-Accounting"."Func_TblChartOfAccount_SET"(varSystemLoginSession, null, null, null, varInstitutionBranchID, 62000000000001::bigint,'6-5005.01', 'Depre - Sundry Plant &amp; Equip (IDR)', 62000000000001::bigint, '2016-01-01 00:00:00'::timestamp, null::timestamp, 65000000000488::bigint, 66000000000001::bigint);</v>
      </c>
      <c r="AV499" s="65">
        <f t="shared" si="256"/>
        <v>65000000000489</v>
      </c>
      <c r="AW499" s="65">
        <f t="shared" si="257"/>
        <v>65000000000488</v>
      </c>
      <c r="AY499" s="65">
        <f t="shared" si="247"/>
        <v>65000000000488</v>
      </c>
      <c r="BA499" s="78">
        <f t="shared" si="258"/>
        <v>65000000000489</v>
      </c>
      <c r="BB499" s="81" t="str">
        <f t="shared" si="248"/>
        <v>PERFORM * FROM "SchData-OLTP-Accounting"."Func_TblChartOfAccount_SET"(varSystemLoginSession, null, null, null, null, null, varInstitutionBranchID, 62000000000001::bigint,'6-5005.01', 'Depre - Sundry Plant &amp; Equip (IDR)', 62000000000001::bigint, '2016-01-01 00:00:00'::timestamp, null::timestamp, 65000000000488::bigint, 66000000000001::bigint, FALSE::boolean);</v>
      </c>
    </row>
    <row r="500" spans="2:54" x14ac:dyDescent="0.2">
      <c r="B500" s="41"/>
      <c r="C500" s="42"/>
      <c r="D500" s="43"/>
      <c r="E500" s="42"/>
      <c r="F500" s="43"/>
      <c r="G500" s="42"/>
      <c r="H500" s="51" t="s">
        <v>1540</v>
      </c>
      <c r="I500" s="18" t="s">
        <v>493</v>
      </c>
      <c r="J500" s="51"/>
      <c r="K500" s="18"/>
      <c r="L500" s="51"/>
      <c r="M500" s="18"/>
      <c r="O500" s="58" t="str">
        <f t="shared" si="235"/>
        <v>6-0000</v>
      </c>
      <c r="P500" s="58" t="str">
        <f t="shared" si="236"/>
        <v>6-5000</v>
      </c>
      <c r="Q500" s="58" t="str">
        <f t="shared" si="237"/>
        <v>2-1200</v>
      </c>
      <c r="R500" s="58" t="str">
        <f t="shared" si="238"/>
        <v>6-5006</v>
      </c>
      <c r="S500" s="58" t="str">
        <f t="shared" si="239"/>
        <v>6-5005.01</v>
      </c>
      <c r="T500" s="58" t="str">
        <f t="shared" si="240"/>
        <v xml:space="preserve"> </v>
      </c>
      <c r="V500" s="72">
        <f t="shared" si="241"/>
        <v>65000000000490</v>
      </c>
      <c r="W500" s="60">
        <f t="shared" si="242"/>
        <v>65000000000350</v>
      </c>
      <c r="X500" s="60">
        <f t="shared" si="243"/>
        <v>65000000000479</v>
      </c>
      <c r="Y500" s="60">
        <f t="shared" si="244"/>
        <v>65000000000147</v>
      </c>
      <c r="Z500" s="60">
        <f t="shared" si="245"/>
        <v>65000000000490</v>
      </c>
      <c r="AA500" s="60">
        <f t="shared" si="228"/>
        <v>65000000000489</v>
      </c>
      <c r="AB500" s="60">
        <f t="shared" si="246"/>
        <v>65000000000000</v>
      </c>
      <c r="AD500" s="60">
        <f t="shared" si="249"/>
        <v>6</v>
      </c>
      <c r="AE500" s="60">
        <f t="shared" si="250"/>
        <v>6</v>
      </c>
      <c r="AF500" s="60">
        <f t="shared" si="251"/>
        <v>1</v>
      </c>
      <c r="AG500" s="60">
        <f t="shared" si="252"/>
        <v>158</v>
      </c>
      <c r="AH500" s="60">
        <f t="shared" si="253"/>
        <v>1</v>
      </c>
      <c r="AI500" s="60">
        <f t="shared" si="254"/>
        <v>1</v>
      </c>
      <c r="AK500" s="68" t="str">
        <f t="shared" si="229"/>
        <v>L4</v>
      </c>
      <c r="AM500" s="64" t="s">
        <v>1755</v>
      </c>
      <c r="AN500" s="64">
        <f t="shared" si="230"/>
        <v>65000000000350</v>
      </c>
      <c r="AO500" s="64">
        <f t="shared" si="231"/>
        <v>65000000000479</v>
      </c>
      <c r="AP500" s="64">
        <f t="shared" si="232"/>
        <v>65000000000479</v>
      </c>
      <c r="AQ500" s="64">
        <f t="shared" si="233"/>
        <v>65000000000488</v>
      </c>
      <c r="AS500" s="64">
        <f t="shared" si="234"/>
        <v>65000000000479</v>
      </c>
      <c r="AU500" s="59" t="str">
        <f t="shared" si="255"/>
        <v>PERFORM * FROM "SchData-OLTP-Accounting"."Func_TblChartOfAccount_SET"(varSystemLoginSession, null, null, null, varInstitutionBranchID, 62000000000001::bigint,'6-5006', 'Depre - Test Equipment', 62000000000001::bigint, '2016-01-01 00:00:00'::timestamp, null::timestamp, 65000000000479::bigint, 66000000000001::bigint);</v>
      </c>
      <c r="AV500" s="65">
        <f t="shared" si="256"/>
        <v>65000000000490</v>
      </c>
      <c r="AW500" s="65">
        <f t="shared" si="257"/>
        <v>65000000000479</v>
      </c>
      <c r="AY500" s="65">
        <f t="shared" si="247"/>
        <v>65000000000147</v>
      </c>
      <c r="BA500" s="78">
        <f t="shared" si="258"/>
        <v>65000000000490</v>
      </c>
      <c r="BB500" s="81" t="str">
        <f t="shared" si="248"/>
        <v>PERFORM * FROM "SchData-OLTP-Accounting"."Func_TblChartOfAccount_SET"(varSystemLoginSession, null, null, null, null, null, varInstitutionBranchID, 62000000000001::bigint,'6-5006', 'Depre - Test Equipment', 62000000000001::bigint, '2016-01-01 00:00:00'::timestamp, null::timestamp, 65000000000479::bigint, 66000000000001::bigint, FALSE::boolean);</v>
      </c>
    </row>
    <row r="501" spans="2:54" x14ac:dyDescent="0.2">
      <c r="B501" s="41"/>
      <c r="C501" s="42"/>
      <c r="D501" s="43"/>
      <c r="E501" s="42"/>
      <c r="F501" s="43"/>
      <c r="G501" s="42"/>
      <c r="H501" s="51"/>
      <c r="I501" s="18"/>
      <c r="J501" s="51" t="s">
        <v>1541</v>
      </c>
      <c r="K501" s="18" t="s">
        <v>1350</v>
      </c>
      <c r="L501" s="51"/>
      <c r="M501" s="18"/>
      <c r="O501" s="58" t="str">
        <f t="shared" si="235"/>
        <v>6-0000</v>
      </c>
      <c r="P501" s="58" t="str">
        <f t="shared" si="236"/>
        <v>6-5000</v>
      </c>
      <c r="Q501" s="58" t="str">
        <f t="shared" si="237"/>
        <v>2-1200</v>
      </c>
      <c r="R501" s="58" t="str">
        <f t="shared" si="238"/>
        <v>6-5006</v>
      </c>
      <c r="S501" s="58" t="str">
        <f t="shared" si="239"/>
        <v>6-5006.01</v>
      </c>
      <c r="T501" s="58" t="str">
        <f t="shared" si="240"/>
        <v xml:space="preserve"> </v>
      </c>
      <c r="V501" s="72">
        <f t="shared" si="241"/>
        <v>65000000000491</v>
      </c>
      <c r="W501" s="60">
        <f t="shared" si="242"/>
        <v>65000000000350</v>
      </c>
      <c r="X501" s="60">
        <f t="shared" si="243"/>
        <v>65000000000479</v>
      </c>
      <c r="Y501" s="60">
        <f t="shared" si="244"/>
        <v>65000000000147</v>
      </c>
      <c r="Z501" s="60">
        <f t="shared" si="245"/>
        <v>65000000000490</v>
      </c>
      <c r="AA501" s="60">
        <f t="shared" si="228"/>
        <v>65000000000491</v>
      </c>
      <c r="AB501" s="60">
        <f t="shared" si="246"/>
        <v>65000000000000</v>
      </c>
      <c r="AD501" s="60">
        <f t="shared" si="249"/>
        <v>6</v>
      </c>
      <c r="AE501" s="60">
        <f t="shared" si="250"/>
        <v>6</v>
      </c>
      <c r="AF501" s="60">
        <f t="shared" si="251"/>
        <v>1</v>
      </c>
      <c r="AG501" s="60">
        <f t="shared" si="252"/>
        <v>158</v>
      </c>
      <c r="AH501" s="60">
        <f t="shared" si="253"/>
        <v>2</v>
      </c>
      <c r="AI501" s="60">
        <f t="shared" si="254"/>
        <v>1</v>
      </c>
      <c r="AK501" s="68" t="str">
        <f t="shared" si="229"/>
        <v>L5</v>
      </c>
      <c r="AM501" s="64" t="s">
        <v>1755</v>
      </c>
      <c r="AN501" s="64">
        <f t="shared" si="230"/>
        <v>65000000000350</v>
      </c>
      <c r="AO501" s="64">
        <f t="shared" si="231"/>
        <v>65000000000479</v>
      </c>
      <c r="AP501" s="64">
        <f t="shared" si="232"/>
        <v>65000000000479</v>
      </c>
      <c r="AQ501" s="64">
        <f t="shared" si="233"/>
        <v>65000000000490</v>
      </c>
      <c r="AS501" s="64">
        <f t="shared" si="234"/>
        <v>65000000000490</v>
      </c>
      <c r="AU501" s="59" t="str">
        <f t="shared" si="255"/>
        <v>PERFORM * FROM "SchData-OLTP-Accounting"."Func_TblChartOfAccount_SET"(varSystemLoginSession, null, null, null, varInstitutionBranchID, 62000000000001::bigint,'6-5006.01', 'Depre - Test Equipment (IDR)', 62000000000001::bigint, '2016-01-01 00:00:00'::timestamp, null::timestamp, 65000000000490::bigint, 66000000000001::bigint);</v>
      </c>
      <c r="AV501" s="65">
        <f t="shared" si="256"/>
        <v>65000000000491</v>
      </c>
      <c r="AW501" s="65">
        <f t="shared" si="257"/>
        <v>65000000000490</v>
      </c>
      <c r="AY501" s="65">
        <f t="shared" si="247"/>
        <v>65000000000490</v>
      </c>
      <c r="BA501" s="78">
        <f t="shared" si="258"/>
        <v>65000000000491</v>
      </c>
      <c r="BB501" s="81" t="str">
        <f t="shared" si="248"/>
        <v>PERFORM * FROM "SchData-OLTP-Accounting"."Func_TblChartOfAccount_SET"(varSystemLoginSession, null, null, null, null, null, varInstitutionBranchID, 62000000000001::bigint,'6-5006.01', 'Depre - Test Equipment (IDR)', 62000000000001::bigint, '2016-01-01 00:00:00'::timestamp, null::timestamp, 65000000000490::bigint, 66000000000001::bigint, FALSE::boolean);</v>
      </c>
    </row>
    <row r="502" spans="2:54" x14ac:dyDescent="0.2">
      <c r="B502" s="41"/>
      <c r="C502" s="42"/>
      <c r="D502" s="43"/>
      <c r="E502" s="42"/>
      <c r="F502" s="43"/>
      <c r="G502" s="42"/>
      <c r="H502" s="51" t="s">
        <v>1542</v>
      </c>
      <c r="I502" s="18" t="s">
        <v>495</v>
      </c>
      <c r="J502" s="51"/>
      <c r="K502" s="18"/>
      <c r="L502" s="51"/>
      <c r="M502" s="18"/>
      <c r="O502" s="58" t="str">
        <f t="shared" si="235"/>
        <v>6-0000</v>
      </c>
      <c r="P502" s="58" t="str">
        <f t="shared" si="236"/>
        <v>6-5000</v>
      </c>
      <c r="Q502" s="58" t="str">
        <f t="shared" si="237"/>
        <v>2-1200</v>
      </c>
      <c r="R502" s="58" t="str">
        <f t="shared" si="238"/>
        <v>6-5007</v>
      </c>
      <c r="S502" s="58" t="str">
        <f t="shared" si="239"/>
        <v>6-5006.01</v>
      </c>
      <c r="T502" s="58" t="str">
        <f t="shared" si="240"/>
        <v xml:space="preserve"> </v>
      </c>
      <c r="V502" s="72">
        <f t="shared" si="241"/>
        <v>65000000000492</v>
      </c>
      <c r="W502" s="60">
        <f t="shared" si="242"/>
        <v>65000000000350</v>
      </c>
      <c r="X502" s="60">
        <f t="shared" si="243"/>
        <v>65000000000479</v>
      </c>
      <c r="Y502" s="60">
        <f t="shared" si="244"/>
        <v>65000000000147</v>
      </c>
      <c r="Z502" s="60">
        <f t="shared" si="245"/>
        <v>65000000000492</v>
      </c>
      <c r="AA502" s="60">
        <f t="shared" si="228"/>
        <v>65000000000491</v>
      </c>
      <c r="AB502" s="60">
        <f t="shared" si="246"/>
        <v>65000000000000</v>
      </c>
      <c r="AD502" s="60">
        <f t="shared" si="249"/>
        <v>6</v>
      </c>
      <c r="AE502" s="60">
        <f t="shared" si="250"/>
        <v>6</v>
      </c>
      <c r="AF502" s="60">
        <f t="shared" si="251"/>
        <v>1</v>
      </c>
      <c r="AG502" s="60">
        <f t="shared" si="252"/>
        <v>159</v>
      </c>
      <c r="AH502" s="60">
        <f t="shared" si="253"/>
        <v>1</v>
      </c>
      <c r="AI502" s="60">
        <f t="shared" si="254"/>
        <v>1</v>
      </c>
      <c r="AK502" s="68" t="str">
        <f t="shared" si="229"/>
        <v>L4</v>
      </c>
      <c r="AM502" s="64" t="s">
        <v>1755</v>
      </c>
      <c r="AN502" s="64">
        <f t="shared" si="230"/>
        <v>65000000000350</v>
      </c>
      <c r="AO502" s="64">
        <f t="shared" si="231"/>
        <v>65000000000479</v>
      </c>
      <c r="AP502" s="64">
        <f t="shared" si="232"/>
        <v>65000000000479</v>
      </c>
      <c r="AQ502" s="64">
        <f t="shared" si="233"/>
        <v>65000000000490</v>
      </c>
      <c r="AS502" s="64">
        <f t="shared" si="234"/>
        <v>65000000000479</v>
      </c>
      <c r="AU502" s="59" t="str">
        <f t="shared" si="255"/>
        <v>PERFORM * FROM "SchData-OLTP-Accounting"."Func_TblChartOfAccount_SET"(varSystemLoginSession, null, null, null, varInstitutionBranchID, 62000000000001::bigint,'6-5007', 'Depre - Motor Vehicle', 62000000000001::bigint, '2016-01-01 00:00:00'::timestamp, null::timestamp, 65000000000479::bigint, 66000000000001::bigint);</v>
      </c>
      <c r="AV502" s="65">
        <f t="shared" si="256"/>
        <v>65000000000492</v>
      </c>
      <c r="AW502" s="65">
        <f t="shared" si="257"/>
        <v>65000000000479</v>
      </c>
      <c r="AY502" s="65">
        <f t="shared" si="247"/>
        <v>65000000000147</v>
      </c>
      <c r="BA502" s="78">
        <f t="shared" si="258"/>
        <v>65000000000492</v>
      </c>
      <c r="BB502" s="81" t="str">
        <f t="shared" si="248"/>
        <v>PERFORM * FROM "SchData-OLTP-Accounting"."Func_TblChartOfAccount_SET"(varSystemLoginSession, null, null, null, null, null, varInstitutionBranchID, 62000000000001::bigint,'6-5007', 'Depre - Motor Vehicle', 62000000000001::bigint, '2016-01-01 00:00:00'::timestamp, null::timestamp, 65000000000479::bigint, 66000000000001::bigint, FALSE::boolean);</v>
      </c>
    </row>
    <row r="503" spans="2:54" x14ac:dyDescent="0.2">
      <c r="B503" s="41"/>
      <c r="C503" s="42"/>
      <c r="D503" s="43"/>
      <c r="E503" s="42"/>
      <c r="F503" s="43"/>
      <c r="G503" s="42"/>
      <c r="H503" s="51"/>
      <c r="I503" s="18"/>
      <c r="J503" s="51" t="s">
        <v>1543</v>
      </c>
      <c r="K503" s="18" t="s">
        <v>1351</v>
      </c>
      <c r="L503" s="51"/>
      <c r="M503" s="18"/>
      <c r="O503" s="58" t="str">
        <f t="shared" si="235"/>
        <v>6-0000</v>
      </c>
      <c r="P503" s="58" t="str">
        <f t="shared" si="236"/>
        <v>6-5000</v>
      </c>
      <c r="Q503" s="58" t="str">
        <f t="shared" si="237"/>
        <v>2-1200</v>
      </c>
      <c r="R503" s="58" t="str">
        <f t="shared" si="238"/>
        <v>6-5007</v>
      </c>
      <c r="S503" s="58" t="str">
        <f t="shared" si="239"/>
        <v>6-5007.01</v>
      </c>
      <c r="T503" s="58" t="str">
        <f t="shared" si="240"/>
        <v xml:space="preserve"> </v>
      </c>
      <c r="V503" s="72">
        <f t="shared" si="241"/>
        <v>65000000000493</v>
      </c>
      <c r="W503" s="60">
        <f t="shared" si="242"/>
        <v>65000000000350</v>
      </c>
      <c r="X503" s="60">
        <f t="shared" si="243"/>
        <v>65000000000479</v>
      </c>
      <c r="Y503" s="60">
        <f t="shared" si="244"/>
        <v>65000000000147</v>
      </c>
      <c r="Z503" s="60">
        <f t="shared" si="245"/>
        <v>65000000000492</v>
      </c>
      <c r="AA503" s="60">
        <f t="shared" si="228"/>
        <v>65000000000493</v>
      </c>
      <c r="AB503" s="60">
        <f t="shared" si="246"/>
        <v>65000000000000</v>
      </c>
      <c r="AD503" s="60">
        <f t="shared" si="249"/>
        <v>6</v>
      </c>
      <c r="AE503" s="60">
        <f t="shared" si="250"/>
        <v>6</v>
      </c>
      <c r="AF503" s="60">
        <f t="shared" si="251"/>
        <v>1</v>
      </c>
      <c r="AG503" s="60">
        <f t="shared" si="252"/>
        <v>159</v>
      </c>
      <c r="AH503" s="60">
        <f t="shared" si="253"/>
        <v>2</v>
      </c>
      <c r="AI503" s="60">
        <f t="shared" si="254"/>
        <v>1</v>
      </c>
      <c r="AK503" s="68" t="str">
        <f t="shared" si="229"/>
        <v>L5</v>
      </c>
      <c r="AM503" s="64" t="s">
        <v>1755</v>
      </c>
      <c r="AN503" s="64">
        <f t="shared" si="230"/>
        <v>65000000000350</v>
      </c>
      <c r="AO503" s="64">
        <f t="shared" si="231"/>
        <v>65000000000479</v>
      </c>
      <c r="AP503" s="64">
        <f t="shared" si="232"/>
        <v>65000000000479</v>
      </c>
      <c r="AQ503" s="64">
        <f t="shared" si="233"/>
        <v>65000000000492</v>
      </c>
      <c r="AS503" s="64">
        <f t="shared" si="234"/>
        <v>65000000000492</v>
      </c>
      <c r="AU503" s="59" t="str">
        <f t="shared" si="255"/>
        <v>PERFORM * FROM "SchData-OLTP-Accounting"."Func_TblChartOfAccount_SET"(varSystemLoginSession, null, null, null, varInstitutionBranchID, 62000000000001::bigint,'6-5007.01', 'Depre - Motor Vehicle (IDR)', 62000000000001::bigint, '2016-01-01 00:00:00'::timestamp, null::timestamp, 65000000000492::bigint, 66000000000001::bigint);</v>
      </c>
      <c r="AV503" s="65">
        <f t="shared" si="256"/>
        <v>65000000000493</v>
      </c>
      <c r="AW503" s="65">
        <f t="shared" si="257"/>
        <v>65000000000492</v>
      </c>
      <c r="AY503" s="65">
        <f t="shared" si="247"/>
        <v>65000000000492</v>
      </c>
      <c r="BA503" s="78">
        <f t="shared" si="258"/>
        <v>65000000000493</v>
      </c>
      <c r="BB503" s="81" t="str">
        <f t="shared" si="248"/>
        <v>PERFORM * FROM "SchData-OLTP-Accounting"."Func_TblChartOfAccount_SET"(varSystemLoginSession, null, null, null, null, null, varInstitutionBranchID, 62000000000001::bigint,'6-5007.01', 'Depre - Motor Vehicle (IDR)', 62000000000001::bigint, '2016-01-01 00:00:00'::timestamp, null::timestamp, 65000000000492::bigint, 66000000000001::bigint, FALSE::boolean);</v>
      </c>
    </row>
    <row r="504" spans="2:54" x14ac:dyDescent="0.2">
      <c r="B504" s="41"/>
      <c r="C504" s="42"/>
      <c r="D504" s="43"/>
      <c r="E504" s="42"/>
      <c r="F504" s="43"/>
      <c r="G504" s="42"/>
      <c r="H504" s="51" t="s">
        <v>1544</v>
      </c>
      <c r="I504" s="18" t="s">
        <v>497</v>
      </c>
      <c r="J504" s="51"/>
      <c r="K504" s="18"/>
      <c r="L504" s="51"/>
      <c r="M504" s="18"/>
      <c r="O504" s="58" t="str">
        <f t="shared" si="235"/>
        <v>6-0000</v>
      </c>
      <c r="P504" s="58" t="str">
        <f t="shared" si="236"/>
        <v>6-5000</v>
      </c>
      <c r="Q504" s="58" t="str">
        <f t="shared" si="237"/>
        <v>2-1200</v>
      </c>
      <c r="R504" s="58" t="str">
        <f t="shared" si="238"/>
        <v>6-5008</v>
      </c>
      <c r="S504" s="58" t="str">
        <f t="shared" si="239"/>
        <v>6-5007.01</v>
      </c>
      <c r="T504" s="58" t="str">
        <f t="shared" si="240"/>
        <v xml:space="preserve"> </v>
      </c>
      <c r="V504" s="72">
        <f t="shared" si="241"/>
        <v>65000000000494</v>
      </c>
      <c r="W504" s="60">
        <f t="shared" si="242"/>
        <v>65000000000350</v>
      </c>
      <c r="X504" s="60">
        <f t="shared" si="243"/>
        <v>65000000000479</v>
      </c>
      <c r="Y504" s="60">
        <f t="shared" si="244"/>
        <v>65000000000147</v>
      </c>
      <c r="Z504" s="60">
        <f t="shared" si="245"/>
        <v>65000000000494</v>
      </c>
      <c r="AA504" s="60">
        <f t="shared" si="228"/>
        <v>65000000000493</v>
      </c>
      <c r="AB504" s="60">
        <f t="shared" si="246"/>
        <v>65000000000000</v>
      </c>
      <c r="AD504" s="60">
        <f t="shared" si="249"/>
        <v>6</v>
      </c>
      <c r="AE504" s="60">
        <f t="shared" si="250"/>
        <v>6</v>
      </c>
      <c r="AF504" s="60">
        <f t="shared" si="251"/>
        <v>1</v>
      </c>
      <c r="AG504" s="60">
        <f t="shared" si="252"/>
        <v>160</v>
      </c>
      <c r="AH504" s="60">
        <f t="shared" si="253"/>
        <v>1</v>
      </c>
      <c r="AI504" s="60">
        <f t="shared" si="254"/>
        <v>1</v>
      </c>
      <c r="AK504" s="68" t="str">
        <f t="shared" si="229"/>
        <v>L4</v>
      </c>
      <c r="AM504" s="64" t="s">
        <v>1755</v>
      </c>
      <c r="AN504" s="64">
        <f t="shared" si="230"/>
        <v>65000000000350</v>
      </c>
      <c r="AO504" s="64">
        <f t="shared" si="231"/>
        <v>65000000000479</v>
      </c>
      <c r="AP504" s="64">
        <f t="shared" si="232"/>
        <v>65000000000479</v>
      </c>
      <c r="AQ504" s="64">
        <f t="shared" si="233"/>
        <v>65000000000492</v>
      </c>
      <c r="AS504" s="64">
        <f t="shared" si="234"/>
        <v>65000000000479</v>
      </c>
      <c r="AU504" s="59" t="str">
        <f t="shared" si="255"/>
        <v>PERFORM * FROM "SchData-OLTP-Accounting"."Func_TblChartOfAccount_SET"(varSystemLoginSession, null, null, null, varInstitutionBranchID, 62000000000001::bigint,'6-5008', 'Depre - Tools', 62000000000001::bigint, '2016-01-01 00:00:00'::timestamp, null::timestamp, 65000000000479::bigint, 66000000000001::bigint);</v>
      </c>
      <c r="AV504" s="65">
        <f t="shared" si="256"/>
        <v>65000000000494</v>
      </c>
      <c r="AW504" s="65">
        <f t="shared" si="257"/>
        <v>65000000000479</v>
      </c>
      <c r="AY504" s="65">
        <f t="shared" si="247"/>
        <v>65000000000147</v>
      </c>
      <c r="BA504" s="78">
        <f t="shared" si="258"/>
        <v>65000000000494</v>
      </c>
      <c r="BB504" s="81" t="str">
        <f t="shared" si="248"/>
        <v>PERFORM * FROM "SchData-OLTP-Accounting"."Func_TblChartOfAccount_SET"(varSystemLoginSession, null, null, null, null, null, varInstitutionBranchID, 62000000000001::bigint,'6-5008', 'Depre - Tools', 62000000000001::bigint, '2016-01-01 00:00:00'::timestamp, null::timestamp, 65000000000479::bigint, 66000000000001::bigint, FALSE::boolean);</v>
      </c>
    </row>
    <row r="505" spans="2:54" x14ac:dyDescent="0.2">
      <c r="B505" s="41"/>
      <c r="C505" s="42"/>
      <c r="D505" s="43"/>
      <c r="E505" s="42"/>
      <c r="F505" s="43"/>
      <c r="G505" s="42"/>
      <c r="H505" s="51"/>
      <c r="I505" s="18"/>
      <c r="J505" s="51" t="s">
        <v>1545</v>
      </c>
      <c r="K505" s="18" t="s">
        <v>1352</v>
      </c>
      <c r="L505" s="51"/>
      <c r="M505" s="18"/>
      <c r="O505" s="58" t="str">
        <f t="shared" si="235"/>
        <v>6-0000</v>
      </c>
      <c r="P505" s="58" t="str">
        <f t="shared" si="236"/>
        <v>6-5000</v>
      </c>
      <c r="Q505" s="58" t="str">
        <f t="shared" si="237"/>
        <v>2-1200</v>
      </c>
      <c r="R505" s="58" t="str">
        <f t="shared" si="238"/>
        <v>6-5008</v>
      </c>
      <c r="S505" s="58" t="str">
        <f t="shared" si="239"/>
        <v>6-5008.01</v>
      </c>
      <c r="T505" s="58" t="str">
        <f t="shared" si="240"/>
        <v xml:space="preserve"> </v>
      </c>
      <c r="V505" s="72">
        <f t="shared" si="241"/>
        <v>65000000000495</v>
      </c>
      <c r="W505" s="60">
        <f t="shared" si="242"/>
        <v>65000000000350</v>
      </c>
      <c r="X505" s="60">
        <f t="shared" si="243"/>
        <v>65000000000479</v>
      </c>
      <c r="Y505" s="60">
        <f t="shared" si="244"/>
        <v>65000000000147</v>
      </c>
      <c r="Z505" s="60">
        <f t="shared" si="245"/>
        <v>65000000000494</v>
      </c>
      <c r="AA505" s="60">
        <f t="shared" si="228"/>
        <v>65000000000495</v>
      </c>
      <c r="AB505" s="60">
        <f t="shared" si="246"/>
        <v>65000000000000</v>
      </c>
      <c r="AD505" s="60">
        <f t="shared" si="249"/>
        <v>6</v>
      </c>
      <c r="AE505" s="60">
        <f t="shared" si="250"/>
        <v>6</v>
      </c>
      <c r="AF505" s="60">
        <f t="shared" si="251"/>
        <v>1</v>
      </c>
      <c r="AG505" s="60">
        <f t="shared" si="252"/>
        <v>160</v>
      </c>
      <c r="AH505" s="60">
        <f t="shared" si="253"/>
        <v>2</v>
      </c>
      <c r="AI505" s="60">
        <f t="shared" si="254"/>
        <v>1</v>
      </c>
      <c r="AK505" s="68" t="str">
        <f t="shared" si="229"/>
        <v>L5</v>
      </c>
      <c r="AM505" s="64" t="s">
        <v>1755</v>
      </c>
      <c r="AN505" s="64">
        <f t="shared" si="230"/>
        <v>65000000000350</v>
      </c>
      <c r="AO505" s="64">
        <f t="shared" si="231"/>
        <v>65000000000479</v>
      </c>
      <c r="AP505" s="64">
        <f t="shared" si="232"/>
        <v>65000000000479</v>
      </c>
      <c r="AQ505" s="64">
        <f t="shared" si="233"/>
        <v>65000000000494</v>
      </c>
      <c r="AS505" s="64">
        <f t="shared" si="234"/>
        <v>65000000000494</v>
      </c>
      <c r="AU505" s="59" t="str">
        <f t="shared" si="255"/>
        <v>PERFORM * FROM "SchData-OLTP-Accounting"."Func_TblChartOfAccount_SET"(varSystemLoginSession, null, null, null, varInstitutionBranchID, 62000000000001::bigint,'6-5008.01', 'Depre - Tools (IDR)', 62000000000001::bigint, '2016-01-01 00:00:00'::timestamp, null::timestamp, 65000000000494::bigint, 66000000000001::bigint);</v>
      </c>
      <c r="AV505" s="65">
        <f t="shared" si="256"/>
        <v>65000000000495</v>
      </c>
      <c r="AW505" s="65">
        <f t="shared" si="257"/>
        <v>65000000000494</v>
      </c>
      <c r="AY505" s="65">
        <f t="shared" si="247"/>
        <v>65000000000494</v>
      </c>
      <c r="BA505" s="78">
        <f t="shared" si="258"/>
        <v>65000000000495</v>
      </c>
      <c r="BB505" s="81" t="str">
        <f t="shared" si="248"/>
        <v>PERFORM * FROM "SchData-OLTP-Accounting"."Func_TblChartOfAccount_SET"(varSystemLoginSession, null, null, null, null, null, varInstitutionBranchID, 62000000000001::bigint,'6-5008.01', 'Depre - Tools (IDR)', 62000000000001::bigint, '2016-01-01 00:00:00'::timestamp, null::timestamp, 65000000000494::bigint, 66000000000001::bigint, FALSE::boolean);</v>
      </c>
    </row>
    <row r="506" spans="2:54" x14ac:dyDescent="0.2">
      <c r="B506" s="41"/>
      <c r="C506" s="42"/>
      <c r="D506" s="43"/>
      <c r="E506" s="42"/>
      <c r="F506" s="43"/>
      <c r="G506" s="42"/>
      <c r="H506" s="51" t="s">
        <v>1546</v>
      </c>
      <c r="I506" s="18" t="s">
        <v>499</v>
      </c>
      <c r="J506" s="51"/>
      <c r="K506" s="18"/>
      <c r="L506" s="51"/>
      <c r="M506" s="18"/>
      <c r="O506" s="58" t="str">
        <f t="shared" si="235"/>
        <v>6-0000</v>
      </c>
      <c r="P506" s="58" t="str">
        <f t="shared" si="236"/>
        <v>6-5000</v>
      </c>
      <c r="Q506" s="58" t="str">
        <f t="shared" si="237"/>
        <v>2-1200</v>
      </c>
      <c r="R506" s="58" t="str">
        <f t="shared" si="238"/>
        <v>6-5009</v>
      </c>
      <c r="S506" s="58" t="str">
        <f t="shared" si="239"/>
        <v>6-5008.01</v>
      </c>
      <c r="T506" s="58" t="str">
        <f t="shared" si="240"/>
        <v xml:space="preserve"> </v>
      </c>
      <c r="V506" s="72">
        <f t="shared" si="241"/>
        <v>65000000000496</v>
      </c>
      <c r="W506" s="60">
        <f t="shared" si="242"/>
        <v>65000000000350</v>
      </c>
      <c r="X506" s="60">
        <f t="shared" si="243"/>
        <v>65000000000479</v>
      </c>
      <c r="Y506" s="60">
        <f t="shared" si="244"/>
        <v>65000000000147</v>
      </c>
      <c r="Z506" s="60">
        <f t="shared" si="245"/>
        <v>65000000000496</v>
      </c>
      <c r="AA506" s="60">
        <f t="shared" si="228"/>
        <v>65000000000495</v>
      </c>
      <c r="AB506" s="60">
        <f t="shared" si="246"/>
        <v>65000000000000</v>
      </c>
      <c r="AD506" s="60">
        <f t="shared" si="249"/>
        <v>6</v>
      </c>
      <c r="AE506" s="60">
        <f t="shared" si="250"/>
        <v>6</v>
      </c>
      <c r="AF506" s="60">
        <f t="shared" si="251"/>
        <v>1</v>
      </c>
      <c r="AG506" s="60">
        <f t="shared" si="252"/>
        <v>161</v>
      </c>
      <c r="AH506" s="60">
        <f t="shared" si="253"/>
        <v>1</v>
      </c>
      <c r="AI506" s="60">
        <f t="shared" si="254"/>
        <v>1</v>
      </c>
      <c r="AK506" s="68" t="str">
        <f t="shared" si="229"/>
        <v>L4</v>
      </c>
      <c r="AM506" s="64" t="s">
        <v>1755</v>
      </c>
      <c r="AN506" s="64">
        <f t="shared" si="230"/>
        <v>65000000000350</v>
      </c>
      <c r="AO506" s="64">
        <f t="shared" si="231"/>
        <v>65000000000479</v>
      </c>
      <c r="AP506" s="64">
        <f t="shared" si="232"/>
        <v>65000000000479</v>
      </c>
      <c r="AQ506" s="64">
        <f t="shared" si="233"/>
        <v>65000000000494</v>
      </c>
      <c r="AS506" s="64">
        <f t="shared" si="234"/>
        <v>65000000000479</v>
      </c>
      <c r="AU506" s="59" t="str">
        <f t="shared" si="255"/>
        <v>PERFORM * FROM "SchData-OLTP-Accounting"."Func_TblChartOfAccount_SET"(varSystemLoginSession, null, null, null, varInstitutionBranchID, 62000000000001::bigint,'6-5009', 'Depre - Furniture Fitting', 62000000000001::bigint, '2016-01-01 00:00:00'::timestamp, null::timestamp, 65000000000479::bigint, 66000000000001::bigint);</v>
      </c>
      <c r="AV506" s="65">
        <f t="shared" si="256"/>
        <v>65000000000496</v>
      </c>
      <c r="AW506" s="65">
        <f t="shared" si="257"/>
        <v>65000000000479</v>
      </c>
      <c r="AY506" s="65">
        <f t="shared" si="247"/>
        <v>65000000000147</v>
      </c>
      <c r="BA506" s="78">
        <f t="shared" si="258"/>
        <v>65000000000496</v>
      </c>
      <c r="BB506" s="81" t="str">
        <f t="shared" si="248"/>
        <v>PERFORM * FROM "SchData-OLTP-Accounting"."Func_TblChartOfAccount_SET"(varSystemLoginSession, null, null, null, null, null, varInstitutionBranchID, 62000000000001::bigint,'6-5009', 'Depre - Furniture Fitting', 62000000000001::bigint, '2016-01-01 00:00:00'::timestamp, null::timestamp, 65000000000479::bigint, 66000000000001::bigint, FALSE::boolean);</v>
      </c>
    </row>
    <row r="507" spans="2:54" x14ac:dyDescent="0.2">
      <c r="B507" s="41"/>
      <c r="C507" s="42"/>
      <c r="D507" s="43"/>
      <c r="E507" s="42"/>
      <c r="F507" s="43"/>
      <c r="G507" s="42"/>
      <c r="H507" s="51"/>
      <c r="I507" s="18"/>
      <c r="J507" s="51" t="s">
        <v>1547</v>
      </c>
      <c r="K507" s="18" t="s">
        <v>1353</v>
      </c>
      <c r="L507" s="51"/>
      <c r="M507" s="18"/>
      <c r="O507" s="58" t="str">
        <f t="shared" si="235"/>
        <v>6-0000</v>
      </c>
      <c r="P507" s="58" t="str">
        <f t="shared" si="236"/>
        <v>6-5000</v>
      </c>
      <c r="Q507" s="58" t="str">
        <f t="shared" si="237"/>
        <v>2-1200</v>
      </c>
      <c r="R507" s="58" t="str">
        <f t="shared" si="238"/>
        <v>6-5009</v>
      </c>
      <c r="S507" s="58" t="str">
        <f t="shared" si="239"/>
        <v>6-5009.01</v>
      </c>
      <c r="T507" s="58" t="str">
        <f t="shared" si="240"/>
        <v xml:space="preserve"> </v>
      </c>
      <c r="V507" s="72">
        <f t="shared" si="241"/>
        <v>65000000000497</v>
      </c>
      <c r="W507" s="60">
        <f t="shared" si="242"/>
        <v>65000000000350</v>
      </c>
      <c r="X507" s="60">
        <f t="shared" si="243"/>
        <v>65000000000479</v>
      </c>
      <c r="Y507" s="60">
        <f t="shared" si="244"/>
        <v>65000000000147</v>
      </c>
      <c r="Z507" s="60">
        <f t="shared" si="245"/>
        <v>65000000000496</v>
      </c>
      <c r="AA507" s="60">
        <f t="shared" si="228"/>
        <v>65000000000497</v>
      </c>
      <c r="AB507" s="60">
        <f t="shared" si="246"/>
        <v>65000000000000</v>
      </c>
      <c r="AD507" s="60">
        <f t="shared" si="249"/>
        <v>6</v>
      </c>
      <c r="AE507" s="60">
        <f t="shared" si="250"/>
        <v>6</v>
      </c>
      <c r="AF507" s="60">
        <f t="shared" si="251"/>
        <v>1</v>
      </c>
      <c r="AG507" s="60">
        <f t="shared" si="252"/>
        <v>161</v>
      </c>
      <c r="AH507" s="60">
        <f t="shared" si="253"/>
        <v>2</v>
      </c>
      <c r="AI507" s="60">
        <f t="shared" si="254"/>
        <v>1</v>
      </c>
      <c r="AK507" s="68" t="str">
        <f t="shared" si="229"/>
        <v>L5</v>
      </c>
      <c r="AM507" s="64" t="s">
        <v>1755</v>
      </c>
      <c r="AN507" s="64">
        <f t="shared" si="230"/>
        <v>65000000000350</v>
      </c>
      <c r="AO507" s="64">
        <f t="shared" si="231"/>
        <v>65000000000479</v>
      </c>
      <c r="AP507" s="64">
        <f t="shared" si="232"/>
        <v>65000000000479</v>
      </c>
      <c r="AQ507" s="64">
        <f t="shared" si="233"/>
        <v>65000000000496</v>
      </c>
      <c r="AS507" s="64">
        <f t="shared" si="234"/>
        <v>65000000000496</v>
      </c>
      <c r="AU507" s="59" t="str">
        <f t="shared" si="255"/>
        <v>PERFORM * FROM "SchData-OLTP-Accounting"."Func_TblChartOfAccount_SET"(varSystemLoginSession, null, null, null, varInstitutionBranchID, 62000000000001::bigint,'6-5009.01', 'Depre - Furniture Fitting (IDR)', 62000000000001::bigint, '2016-01-01 00:00:00'::timestamp, null::timestamp, 65000000000496::bigint, 66000000000001::bigint);</v>
      </c>
      <c r="AV507" s="65">
        <f t="shared" si="256"/>
        <v>65000000000497</v>
      </c>
      <c r="AW507" s="65">
        <f t="shared" si="257"/>
        <v>65000000000496</v>
      </c>
      <c r="AY507" s="65">
        <f t="shared" si="247"/>
        <v>65000000000496</v>
      </c>
      <c r="BA507" s="78">
        <f t="shared" si="258"/>
        <v>65000000000497</v>
      </c>
      <c r="BB507" s="81" t="str">
        <f t="shared" si="248"/>
        <v>PERFORM * FROM "SchData-OLTP-Accounting"."Func_TblChartOfAccount_SET"(varSystemLoginSession, null, null, null, null, null, varInstitutionBranchID, 62000000000001::bigint,'6-5009.01', 'Depre - Furniture Fitting (IDR)', 62000000000001::bigint, '2016-01-01 00:00:00'::timestamp, null::timestamp, 65000000000496::bigint, 66000000000001::bigint, FALSE::boolean);</v>
      </c>
    </row>
    <row r="508" spans="2:54" x14ac:dyDescent="0.2">
      <c r="B508" s="41"/>
      <c r="C508" s="42"/>
      <c r="D508" s="43"/>
      <c r="E508" s="42"/>
      <c r="F508" s="43"/>
      <c r="G508" s="42"/>
      <c r="H508" s="51" t="s">
        <v>1548</v>
      </c>
      <c r="I508" s="18" t="s">
        <v>501</v>
      </c>
      <c r="J508" s="51"/>
      <c r="K508" s="18"/>
      <c r="L508" s="51"/>
      <c r="M508" s="18"/>
      <c r="O508" s="58" t="str">
        <f t="shared" si="235"/>
        <v>6-0000</v>
      </c>
      <c r="P508" s="58" t="str">
        <f t="shared" si="236"/>
        <v>6-5000</v>
      </c>
      <c r="Q508" s="58" t="str">
        <f t="shared" si="237"/>
        <v>2-1200</v>
      </c>
      <c r="R508" s="58" t="str">
        <f t="shared" si="238"/>
        <v>6-5010</v>
      </c>
      <c r="S508" s="58" t="str">
        <f t="shared" si="239"/>
        <v>6-5009.01</v>
      </c>
      <c r="T508" s="58" t="str">
        <f t="shared" si="240"/>
        <v xml:space="preserve"> </v>
      </c>
      <c r="V508" s="72">
        <f t="shared" si="241"/>
        <v>65000000000498</v>
      </c>
      <c r="W508" s="60">
        <f t="shared" si="242"/>
        <v>65000000000350</v>
      </c>
      <c r="X508" s="60">
        <f t="shared" si="243"/>
        <v>65000000000479</v>
      </c>
      <c r="Y508" s="60">
        <f t="shared" si="244"/>
        <v>65000000000147</v>
      </c>
      <c r="Z508" s="60">
        <f t="shared" si="245"/>
        <v>65000000000498</v>
      </c>
      <c r="AA508" s="60">
        <f t="shared" si="228"/>
        <v>65000000000497</v>
      </c>
      <c r="AB508" s="60">
        <f t="shared" si="246"/>
        <v>65000000000000</v>
      </c>
      <c r="AD508" s="60">
        <f t="shared" si="249"/>
        <v>6</v>
      </c>
      <c r="AE508" s="60">
        <f t="shared" si="250"/>
        <v>6</v>
      </c>
      <c r="AF508" s="60">
        <f t="shared" si="251"/>
        <v>1</v>
      </c>
      <c r="AG508" s="60">
        <f t="shared" si="252"/>
        <v>162</v>
      </c>
      <c r="AH508" s="60">
        <f t="shared" si="253"/>
        <v>1</v>
      </c>
      <c r="AI508" s="60">
        <f t="shared" si="254"/>
        <v>1</v>
      </c>
      <c r="AK508" s="68" t="str">
        <f t="shared" si="229"/>
        <v>L4</v>
      </c>
      <c r="AM508" s="64" t="s">
        <v>1755</v>
      </c>
      <c r="AN508" s="64">
        <f t="shared" si="230"/>
        <v>65000000000350</v>
      </c>
      <c r="AO508" s="64">
        <f t="shared" si="231"/>
        <v>65000000000479</v>
      </c>
      <c r="AP508" s="64">
        <f t="shared" si="232"/>
        <v>65000000000479</v>
      </c>
      <c r="AQ508" s="64">
        <f t="shared" si="233"/>
        <v>65000000000496</v>
      </c>
      <c r="AS508" s="64">
        <f t="shared" si="234"/>
        <v>65000000000479</v>
      </c>
      <c r="AU508" s="59" t="str">
        <f t="shared" si="255"/>
        <v>PERFORM * FROM "SchData-OLTP-Accounting"."Func_TblChartOfAccount_SET"(varSystemLoginSession, null, null, null, varInstitutionBranchID, 62000000000001::bigint,'6-5010', 'Depre - Mobile Phone', 62000000000001::bigint, '2016-01-01 00:00:00'::timestamp, null::timestamp, 65000000000479::bigint, 66000000000001::bigint);</v>
      </c>
      <c r="AV508" s="65">
        <f t="shared" si="256"/>
        <v>65000000000498</v>
      </c>
      <c r="AW508" s="65">
        <f t="shared" si="257"/>
        <v>65000000000479</v>
      </c>
      <c r="AY508" s="65">
        <f t="shared" si="247"/>
        <v>65000000000147</v>
      </c>
      <c r="BA508" s="78">
        <f t="shared" si="258"/>
        <v>65000000000498</v>
      </c>
      <c r="BB508" s="81" t="str">
        <f t="shared" si="248"/>
        <v>PERFORM * FROM "SchData-OLTP-Accounting"."Func_TblChartOfAccount_SET"(varSystemLoginSession, null, null, null, null, null, varInstitutionBranchID, 62000000000001::bigint,'6-5010', 'Depre - Mobile Phone', 62000000000001::bigint, '2016-01-01 00:00:00'::timestamp, null::timestamp, 65000000000479::bigint, 66000000000001::bigint, FALSE::boolean);</v>
      </c>
    </row>
    <row r="509" spans="2:54" x14ac:dyDescent="0.2">
      <c r="B509" s="41"/>
      <c r="C509" s="42"/>
      <c r="D509" s="43"/>
      <c r="E509" s="42"/>
      <c r="F509" s="43"/>
      <c r="G509" s="42"/>
      <c r="H509" s="51"/>
      <c r="I509" s="18"/>
      <c r="J509" s="51" t="s">
        <v>1549</v>
      </c>
      <c r="K509" s="18" t="s">
        <v>1354</v>
      </c>
      <c r="L509" s="51"/>
      <c r="M509" s="18"/>
      <c r="O509" s="58" t="str">
        <f t="shared" si="235"/>
        <v>6-0000</v>
      </c>
      <c r="P509" s="58" t="str">
        <f t="shared" si="236"/>
        <v>6-5000</v>
      </c>
      <c r="Q509" s="58" t="str">
        <f t="shared" si="237"/>
        <v>2-1200</v>
      </c>
      <c r="R509" s="58" t="str">
        <f t="shared" si="238"/>
        <v>6-5010</v>
      </c>
      <c r="S509" s="58" t="str">
        <f t="shared" si="239"/>
        <v>6-5010.01</v>
      </c>
      <c r="T509" s="58" t="str">
        <f t="shared" si="240"/>
        <v xml:space="preserve"> </v>
      </c>
      <c r="V509" s="72">
        <f t="shared" si="241"/>
        <v>65000000000499</v>
      </c>
      <c r="W509" s="60">
        <f t="shared" si="242"/>
        <v>65000000000350</v>
      </c>
      <c r="X509" s="60">
        <f t="shared" si="243"/>
        <v>65000000000479</v>
      </c>
      <c r="Y509" s="60">
        <f t="shared" si="244"/>
        <v>65000000000147</v>
      </c>
      <c r="Z509" s="60">
        <f t="shared" si="245"/>
        <v>65000000000498</v>
      </c>
      <c r="AA509" s="60">
        <f t="shared" si="228"/>
        <v>65000000000499</v>
      </c>
      <c r="AB509" s="60">
        <f t="shared" si="246"/>
        <v>65000000000000</v>
      </c>
      <c r="AD509" s="60">
        <f t="shared" si="249"/>
        <v>6</v>
      </c>
      <c r="AE509" s="60">
        <f t="shared" si="250"/>
        <v>6</v>
      </c>
      <c r="AF509" s="60">
        <f t="shared" si="251"/>
        <v>1</v>
      </c>
      <c r="AG509" s="60">
        <f t="shared" si="252"/>
        <v>162</v>
      </c>
      <c r="AH509" s="60">
        <f t="shared" si="253"/>
        <v>2</v>
      </c>
      <c r="AI509" s="60">
        <f t="shared" si="254"/>
        <v>1</v>
      </c>
      <c r="AK509" s="68" t="str">
        <f t="shared" si="229"/>
        <v>L5</v>
      </c>
      <c r="AM509" s="64" t="s">
        <v>1755</v>
      </c>
      <c r="AN509" s="64">
        <f t="shared" si="230"/>
        <v>65000000000350</v>
      </c>
      <c r="AO509" s="64">
        <f t="shared" si="231"/>
        <v>65000000000479</v>
      </c>
      <c r="AP509" s="64">
        <f t="shared" si="232"/>
        <v>65000000000479</v>
      </c>
      <c r="AQ509" s="64">
        <f t="shared" si="233"/>
        <v>65000000000498</v>
      </c>
      <c r="AS509" s="64">
        <f t="shared" si="234"/>
        <v>65000000000498</v>
      </c>
      <c r="AU509" s="59" t="str">
        <f t="shared" si="255"/>
        <v>PERFORM * FROM "SchData-OLTP-Accounting"."Func_TblChartOfAccount_SET"(varSystemLoginSession, null, null, null, varInstitutionBranchID, 62000000000001::bigint,'6-5010.01', 'Depre - Mobile Phone (IDR)', 62000000000001::bigint, '2016-01-01 00:00:00'::timestamp, null::timestamp, 65000000000498::bigint, 66000000000001::bigint);</v>
      </c>
      <c r="AV509" s="65">
        <f t="shared" si="256"/>
        <v>65000000000499</v>
      </c>
      <c r="AW509" s="65">
        <f t="shared" si="257"/>
        <v>65000000000498</v>
      </c>
      <c r="AY509" s="65">
        <f t="shared" si="247"/>
        <v>65000000000498</v>
      </c>
      <c r="BA509" s="78">
        <f t="shared" si="258"/>
        <v>65000000000499</v>
      </c>
      <c r="BB509" s="81" t="str">
        <f t="shared" si="248"/>
        <v>PERFORM * FROM "SchData-OLTP-Accounting"."Func_TblChartOfAccount_SET"(varSystemLoginSession, null, null, null, null, null, varInstitutionBranchID, 62000000000001::bigint,'6-5010.01', 'Depre - Mobile Phone (IDR)', 62000000000001::bigint, '2016-01-01 00:00:00'::timestamp, null::timestamp, 65000000000498::bigint, 66000000000001::bigint, FALSE::boolean);</v>
      </c>
    </row>
    <row r="510" spans="2:54" ht="25.5" x14ac:dyDescent="0.2">
      <c r="B510" s="43" t="s">
        <v>1080</v>
      </c>
      <c r="C510" s="42" t="s">
        <v>1181</v>
      </c>
      <c r="D510" s="43"/>
      <c r="E510" s="42"/>
      <c r="F510" s="43"/>
      <c r="G510" s="42"/>
      <c r="H510" s="51"/>
      <c r="I510" s="18"/>
      <c r="J510" s="51"/>
      <c r="K510" s="18"/>
      <c r="L510" s="51"/>
      <c r="M510" s="18"/>
      <c r="O510" s="58" t="str">
        <f t="shared" si="235"/>
        <v>7-0000</v>
      </c>
      <c r="P510" s="58" t="str">
        <f t="shared" si="236"/>
        <v>6-5000</v>
      </c>
      <c r="Q510" s="58" t="str">
        <f t="shared" si="237"/>
        <v>2-1200</v>
      </c>
      <c r="R510" s="58" t="str">
        <f t="shared" si="238"/>
        <v>6-5010</v>
      </c>
      <c r="S510" s="58" t="str">
        <f t="shared" si="239"/>
        <v>6-5010.01</v>
      </c>
      <c r="T510" s="58" t="str">
        <f t="shared" si="240"/>
        <v xml:space="preserve"> </v>
      </c>
      <c r="V510" s="72">
        <f t="shared" si="241"/>
        <v>65000000000500</v>
      </c>
      <c r="W510" s="60">
        <f t="shared" si="242"/>
        <v>65000000000500</v>
      </c>
      <c r="X510" s="60">
        <f t="shared" si="243"/>
        <v>65000000000479</v>
      </c>
      <c r="Y510" s="60">
        <f t="shared" si="244"/>
        <v>65000000000147</v>
      </c>
      <c r="Z510" s="60">
        <f t="shared" si="245"/>
        <v>65000000000498</v>
      </c>
      <c r="AA510" s="60">
        <f t="shared" si="228"/>
        <v>65000000000499</v>
      </c>
      <c r="AB510" s="60">
        <f t="shared" si="246"/>
        <v>65000000000000</v>
      </c>
      <c r="AD510" s="60">
        <f t="shared" si="249"/>
        <v>7</v>
      </c>
      <c r="AE510" s="60">
        <f t="shared" si="250"/>
        <v>1</v>
      </c>
      <c r="AF510" s="60">
        <f t="shared" si="251"/>
        <v>1</v>
      </c>
      <c r="AG510" s="60">
        <f t="shared" si="252"/>
        <v>162</v>
      </c>
      <c r="AH510" s="60">
        <f t="shared" si="253"/>
        <v>2</v>
      </c>
      <c r="AI510" s="60">
        <f t="shared" si="254"/>
        <v>1</v>
      </c>
      <c r="AK510" s="68" t="str">
        <f t="shared" si="229"/>
        <v>L1</v>
      </c>
      <c r="AM510" s="64" t="s">
        <v>1755</v>
      </c>
      <c r="AN510" s="64">
        <f t="shared" si="230"/>
        <v>65000000000350</v>
      </c>
      <c r="AO510" s="64">
        <f t="shared" si="231"/>
        <v>65000000000479</v>
      </c>
      <c r="AP510" s="64">
        <f t="shared" si="232"/>
        <v>65000000000479</v>
      </c>
      <c r="AQ510" s="64">
        <f t="shared" si="233"/>
        <v>65000000000498</v>
      </c>
      <c r="AS510" s="64" t="str">
        <f t="shared" si="234"/>
        <v>null</v>
      </c>
      <c r="AU510" s="59" t="str">
        <f t="shared" si="255"/>
        <v>PERFORM * FROM "SchData-OLTP-Accounting"."Func_TblChartOfAccount_SET"(varSystemLoginSession, null, null, null, varInstitutionBranchID, 62000000000001::bigint,'7-0000', 'Pendapatan Lain - Lain', 62000000000001::bigint, '2016-01-01 00:00:00'::timestamp, null::timestamp, null::bigint, 66000000000001::bigint);</v>
      </c>
      <c r="AV510" s="65">
        <f t="shared" si="256"/>
        <v>65000000000500</v>
      </c>
      <c r="AW510" s="65" t="str">
        <f t="shared" si="257"/>
        <v>null</v>
      </c>
      <c r="AY510" s="65" t="str">
        <f t="shared" si="247"/>
        <v>null</v>
      </c>
      <c r="BA510" s="78">
        <f t="shared" si="258"/>
        <v>65000000000500</v>
      </c>
      <c r="BB510" s="81" t="str">
        <f t="shared" si="248"/>
        <v>PERFORM * FROM "SchData-OLTP-Accounting"."Func_TblChartOfAccount_SET"(varSystemLoginSession, null, null, null, null, null, varInstitutionBranchID, 62000000000001::bigint,'7-0000', 'Pendapatan Lain - Lain', 62000000000001::bigint, '2016-01-01 00:00:00'::timestamp, null::timestamp, null::bigint, 66000000000001::bigint, FALSE::boolean);</v>
      </c>
    </row>
    <row r="511" spans="2:54" x14ac:dyDescent="0.2">
      <c r="B511" s="41"/>
      <c r="C511" s="42"/>
      <c r="D511" s="43" t="s">
        <v>1182</v>
      </c>
      <c r="E511" s="42" t="s">
        <v>1213</v>
      </c>
      <c r="F511" s="43"/>
      <c r="G511" s="42"/>
      <c r="H511" s="51"/>
      <c r="I511" s="18"/>
      <c r="J511" s="51"/>
      <c r="K511" s="18"/>
      <c r="L511" s="51"/>
      <c r="M511" s="18"/>
      <c r="O511" s="58" t="str">
        <f t="shared" si="235"/>
        <v>7-0000</v>
      </c>
      <c r="P511" s="58" t="str">
        <f t="shared" si="236"/>
        <v>7-1000</v>
      </c>
      <c r="Q511" s="58" t="str">
        <f t="shared" si="237"/>
        <v>2-1200</v>
      </c>
      <c r="R511" s="58" t="str">
        <f t="shared" si="238"/>
        <v>6-5010</v>
      </c>
      <c r="S511" s="58" t="str">
        <f t="shared" si="239"/>
        <v>6-5010.01</v>
      </c>
      <c r="T511" s="58" t="str">
        <f t="shared" si="240"/>
        <v xml:space="preserve"> </v>
      </c>
      <c r="V511" s="72">
        <f t="shared" si="241"/>
        <v>65000000000501</v>
      </c>
      <c r="W511" s="60">
        <f t="shared" si="242"/>
        <v>65000000000500</v>
      </c>
      <c r="X511" s="60">
        <f t="shared" si="243"/>
        <v>65000000000501</v>
      </c>
      <c r="Y511" s="60">
        <f t="shared" si="244"/>
        <v>65000000000147</v>
      </c>
      <c r="Z511" s="60">
        <f t="shared" si="245"/>
        <v>65000000000498</v>
      </c>
      <c r="AA511" s="60">
        <f t="shared" si="228"/>
        <v>65000000000499</v>
      </c>
      <c r="AB511" s="60">
        <f t="shared" si="246"/>
        <v>65000000000000</v>
      </c>
      <c r="AD511" s="60">
        <f t="shared" si="249"/>
        <v>7</v>
      </c>
      <c r="AE511" s="60">
        <f t="shared" si="250"/>
        <v>2</v>
      </c>
      <c r="AF511" s="60">
        <f t="shared" si="251"/>
        <v>1</v>
      </c>
      <c r="AG511" s="60">
        <f t="shared" si="252"/>
        <v>162</v>
      </c>
      <c r="AH511" s="60">
        <f t="shared" si="253"/>
        <v>2</v>
      </c>
      <c r="AI511" s="60">
        <f t="shared" si="254"/>
        <v>1</v>
      </c>
      <c r="AK511" s="68" t="str">
        <f t="shared" si="229"/>
        <v>L2</v>
      </c>
      <c r="AM511" s="64" t="s">
        <v>1755</v>
      </c>
      <c r="AN511" s="64">
        <f t="shared" si="230"/>
        <v>65000000000500</v>
      </c>
      <c r="AO511" s="64">
        <f t="shared" si="231"/>
        <v>65000000000500</v>
      </c>
      <c r="AP511" s="64">
        <f t="shared" si="232"/>
        <v>65000000000500</v>
      </c>
      <c r="AQ511" s="64">
        <f t="shared" si="233"/>
        <v>65000000000500</v>
      </c>
      <c r="AS511" s="64">
        <f t="shared" si="234"/>
        <v>65000000000500</v>
      </c>
      <c r="AU511" s="59" t="str">
        <f t="shared" si="255"/>
        <v>PERFORM * FROM "SchData-OLTP-Accounting"."Func_TblChartOfAccount_SET"(varSystemLoginSession, null, null, null, varInstitutionBranchID, 62000000000001::bigint,'7-1000', 'Interest Received', 62000000000001::bigint, '2016-01-01 00:00:00'::timestamp, null::timestamp, 65000000000500::bigint, 66000000000001::bigint);</v>
      </c>
      <c r="AV511" s="65">
        <f t="shared" si="256"/>
        <v>65000000000501</v>
      </c>
      <c r="AW511" s="65">
        <f t="shared" si="257"/>
        <v>65000000000500</v>
      </c>
      <c r="AY511" s="65">
        <f t="shared" si="247"/>
        <v>65000000000500</v>
      </c>
      <c r="BA511" s="78">
        <f t="shared" si="258"/>
        <v>65000000000501</v>
      </c>
      <c r="BB511" s="81" t="str">
        <f t="shared" si="248"/>
        <v>PERFORM * FROM "SchData-OLTP-Accounting"."Func_TblChartOfAccount_SET"(varSystemLoginSession, null, null, null, null, null, varInstitutionBranchID, 62000000000001::bigint,'7-1000', 'Interest Received', 62000000000001::bigint, '2016-01-01 00:00:00'::timestamp, null::timestamp, 65000000000500::bigint, 66000000000001::bigint, FALSE::boolean);</v>
      </c>
    </row>
    <row r="512" spans="2:54" x14ac:dyDescent="0.2">
      <c r="B512" s="41"/>
      <c r="C512" s="42"/>
      <c r="D512" s="43"/>
      <c r="E512" s="42"/>
      <c r="F512" s="43"/>
      <c r="G512" s="42"/>
      <c r="H512" s="43" t="s">
        <v>1740</v>
      </c>
      <c r="I512" s="42" t="s">
        <v>629</v>
      </c>
      <c r="J512" s="51"/>
      <c r="K512" s="18"/>
      <c r="L512" s="51"/>
      <c r="M512" s="18"/>
      <c r="O512" s="58" t="str">
        <f t="shared" si="235"/>
        <v>7-0000</v>
      </c>
      <c r="P512" s="58" t="str">
        <f t="shared" si="236"/>
        <v>7-1000</v>
      </c>
      <c r="Q512" s="58" t="str">
        <f t="shared" si="237"/>
        <v>2-1200</v>
      </c>
      <c r="R512" s="58" t="str">
        <f t="shared" si="238"/>
        <v>7-1001</v>
      </c>
      <c r="S512" s="58" t="str">
        <f t="shared" si="239"/>
        <v>6-5010.01</v>
      </c>
      <c r="T512" s="58" t="str">
        <f t="shared" si="240"/>
        <v xml:space="preserve"> </v>
      </c>
      <c r="V512" s="72">
        <f t="shared" si="241"/>
        <v>65000000000502</v>
      </c>
      <c r="W512" s="60">
        <f t="shared" si="242"/>
        <v>65000000000500</v>
      </c>
      <c r="X512" s="60">
        <f t="shared" si="243"/>
        <v>65000000000501</v>
      </c>
      <c r="Y512" s="60">
        <f t="shared" si="244"/>
        <v>65000000000147</v>
      </c>
      <c r="Z512" s="60">
        <f t="shared" si="245"/>
        <v>65000000000502</v>
      </c>
      <c r="AA512" s="60">
        <f t="shared" si="228"/>
        <v>65000000000499</v>
      </c>
      <c r="AB512" s="60">
        <f t="shared" si="246"/>
        <v>65000000000000</v>
      </c>
      <c r="AD512" s="60">
        <f t="shared" si="249"/>
        <v>7</v>
      </c>
      <c r="AE512" s="60">
        <f t="shared" si="250"/>
        <v>2</v>
      </c>
      <c r="AF512" s="60">
        <f t="shared" si="251"/>
        <v>1</v>
      </c>
      <c r="AG512" s="60">
        <f t="shared" si="252"/>
        <v>163</v>
      </c>
      <c r="AH512" s="60">
        <f t="shared" si="253"/>
        <v>1</v>
      </c>
      <c r="AI512" s="60">
        <f t="shared" si="254"/>
        <v>1</v>
      </c>
      <c r="AK512" s="68" t="str">
        <f t="shared" si="229"/>
        <v>L4</v>
      </c>
      <c r="AM512" s="64" t="s">
        <v>1755</v>
      </c>
      <c r="AN512" s="64">
        <f t="shared" si="230"/>
        <v>65000000000500</v>
      </c>
      <c r="AO512" s="64">
        <f t="shared" si="231"/>
        <v>65000000000501</v>
      </c>
      <c r="AP512" s="64">
        <f t="shared" si="232"/>
        <v>65000000000501</v>
      </c>
      <c r="AQ512" s="64">
        <f t="shared" si="233"/>
        <v>65000000000501</v>
      </c>
      <c r="AS512" s="64">
        <f t="shared" si="234"/>
        <v>65000000000501</v>
      </c>
      <c r="AU512" s="59" t="str">
        <f t="shared" si="255"/>
        <v>PERFORM * FROM "SchData-OLTP-Accounting"."Func_TblChartOfAccount_SET"(varSystemLoginSession, null, null, null, varInstitutionBranchID, 62000000000001::bigint,'7-1001', 'Interest Received - Bank', 62000000000001::bigint, '2016-01-01 00:00:00'::timestamp, null::timestamp, 65000000000501::bigint, 66000000000001::bigint);</v>
      </c>
      <c r="AV512" s="65">
        <f t="shared" si="256"/>
        <v>65000000000502</v>
      </c>
      <c r="AW512" s="65">
        <f t="shared" si="257"/>
        <v>65000000000501</v>
      </c>
      <c r="AY512" s="65">
        <f t="shared" si="247"/>
        <v>65000000000501</v>
      </c>
      <c r="BA512" s="78">
        <f t="shared" si="258"/>
        <v>65000000000502</v>
      </c>
      <c r="BB512" s="81" t="str">
        <f t="shared" si="248"/>
        <v>PERFORM * FROM "SchData-OLTP-Accounting"."Func_TblChartOfAccount_SET"(varSystemLoginSession, null, null, null, null, null, varInstitutionBranchID, 62000000000001::bigint,'7-1001', 'Interest Received - Bank', 62000000000001::bigint, '2016-01-01 00:00:00'::timestamp, null::timestamp, 65000000000501::bigint, 66000000000001::bigint, FALSE::boolean);</v>
      </c>
    </row>
    <row r="513" spans="2:54" x14ac:dyDescent="0.2">
      <c r="B513" s="41"/>
      <c r="C513" s="42"/>
      <c r="D513" s="43"/>
      <c r="E513" s="42"/>
      <c r="F513" s="43"/>
      <c r="G513" s="42"/>
      <c r="H513" s="43"/>
      <c r="I513" s="42"/>
      <c r="J513" s="43" t="s">
        <v>1743</v>
      </c>
      <c r="K513" s="42" t="s">
        <v>1185</v>
      </c>
      <c r="L513" s="51"/>
      <c r="M513" s="18"/>
      <c r="O513" s="58" t="str">
        <f t="shared" si="235"/>
        <v>7-0000</v>
      </c>
      <c r="P513" s="58" t="str">
        <f t="shared" si="236"/>
        <v>7-1000</v>
      </c>
      <c r="Q513" s="58" t="str">
        <f t="shared" si="237"/>
        <v>2-1200</v>
      </c>
      <c r="R513" s="58" t="str">
        <f t="shared" si="238"/>
        <v>7-1001</v>
      </c>
      <c r="S513" s="58" t="str">
        <f t="shared" si="239"/>
        <v>7-1001.01</v>
      </c>
      <c r="T513" s="58" t="str">
        <f t="shared" si="240"/>
        <v xml:space="preserve"> </v>
      </c>
      <c r="V513" s="72">
        <f t="shared" si="241"/>
        <v>65000000000503</v>
      </c>
      <c r="W513" s="60">
        <f t="shared" si="242"/>
        <v>65000000000500</v>
      </c>
      <c r="X513" s="60">
        <f t="shared" si="243"/>
        <v>65000000000501</v>
      </c>
      <c r="Y513" s="60">
        <f t="shared" si="244"/>
        <v>65000000000147</v>
      </c>
      <c r="Z513" s="60">
        <f t="shared" si="245"/>
        <v>65000000000502</v>
      </c>
      <c r="AA513" s="60">
        <f t="shared" si="228"/>
        <v>65000000000503</v>
      </c>
      <c r="AB513" s="60">
        <f t="shared" si="246"/>
        <v>65000000000000</v>
      </c>
      <c r="AD513" s="60">
        <f t="shared" si="249"/>
        <v>7</v>
      </c>
      <c r="AE513" s="60">
        <f t="shared" si="250"/>
        <v>2</v>
      </c>
      <c r="AF513" s="60">
        <f t="shared" si="251"/>
        <v>1</v>
      </c>
      <c r="AG513" s="60">
        <f t="shared" si="252"/>
        <v>163</v>
      </c>
      <c r="AH513" s="60">
        <f t="shared" si="253"/>
        <v>2</v>
      </c>
      <c r="AI513" s="60">
        <f t="shared" si="254"/>
        <v>1</v>
      </c>
      <c r="AK513" s="68" t="str">
        <f t="shared" si="229"/>
        <v>L5</v>
      </c>
      <c r="AM513" s="64" t="s">
        <v>1755</v>
      </c>
      <c r="AN513" s="64">
        <f t="shared" si="230"/>
        <v>65000000000500</v>
      </c>
      <c r="AO513" s="64">
        <f t="shared" si="231"/>
        <v>65000000000501</v>
      </c>
      <c r="AP513" s="64">
        <f t="shared" si="232"/>
        <v>65000000000501</v>
      </c>
      <c r="AQ513" s="64">
        <f t="shared" si="233"/>
        <v>65000000000502</v>
      </c>
      <c r="AS513" s="64">
        <f t="shared" si="234"/>
        <v>65000000000502</v>
      </c>
      <c r="AU513" s="59" t="str">
        <f t="shared" si="255"/>
        <v>PERFORM * FROM "SchData-OLTP-Accounting"."Func_TblChartOfAccount_SET"(varSystemLoginSession, null, null, null, varInstitutionBranchID, 62000000000001::bigint,'7-1001.01', 'Interest Received - Bank (IDR)', 62000000000001::bigint, '2016-01-01 00:00:00'::timestamp, null::timestamp, 65000000000502::bigint, 66000000000001::bigint);</v>
      </c>
      <c r="AV513" s="65">
        <f t="shared" si="256"/>
        <v>65000000000503</v>
      </c>
      <c r="AW513" s="65">
        <f t="shared" si="257"/>
        <v>65000000000502</v>
      </c>
      <c r="AY513" s="65">
        <f t="shared" si="247"/>
        <v>65000000000502</v>
      </c>
      <c r="BA513" s="78">
        <f t="shared" si="258"/>
        <v>65000000000503</v>
      </c>
      <c r="BB513" s="81" t="str">
        <f t="shared" si="248"/>
        <v>PERFORM * FROM "SchData-OLTP-Accounting"."Func_TblChartOfAccount_SET"(varSystemLoginSession, null, null, null, null, null, varInstitutionBranchID, 62000000000001::bigint,'7-1001.01', 'Interest Received - Bank (IDR)', 62000000000001::bigint, '2016-01-01 00:00:00'::timestamp, null::timestamp, 65000000000502::bigint, 66000000000001::bigint, FALSE::boolean);</v>
      </c>
    </row>
    <row r="514" spans="2:54" x14ac:dyDescent="0.2">
      <c r="B514" s="41"/>
      <c r="C514" s="42"/>
      <c r="D514" s="43"/>
      <c r="E514" s="42"/>
      <c r="F514" s="43"/>
      <c r="G514" s="42"/>
      <c r="H514" s="43" t="s">
        <v>1741</v>
      </c>
      <c r="I514" s="42" t="s">
        <v>631</v>
      </c>
      <c r="J514" s="43"/>
      <c r="K514" s="42"/>
      <c r="L514" s="51"/>
      <c r="M514" s="18"/>
      <c r="O514" s="58" t="str">
        <f t="shared" si="235"/>
        <v>7-0000</v>
      </c>
      <c r="P514" s="58" t="str">
        <f t="shared" si="236"/>
        <v>7-1000</v>
      </c>
      <c r="Q514" s="58" t="str">
        <f t="shared" si="237"/>
        <v>2-1200</v>
      </c>
      <c r="R514" s="58" t="str">
        <f t="shared" si="238"/>
        <v>7-1002</v>
      </c>
      <c r="S514" s="58" t="str">
        <f t="shared" si="239"/>
        <v>7-1001.01</v>
      </c>
      <c r="T514" s="58" t="str">
        <f t="shared" si="240"/>
        <v xml:space="preserve"> </v>
      </c>
      <c r="V514" s="72">
        <f t="shared" si="241"/>
        <v>65000000000504</v>
      </c>
      <c r="W514" s="60">
        <f t="shared" si="242"/>
        <v>65000000000500</v>
      </c>
      <c r="X514" s="60">
        <f t="shared" si="243"/>
        <v>65000000000501</v>
      </c>
      <c r="Y514" s="60">
        <f t="shared" si="244"/>
        <v>65000000000147</v>
      </c>
      <c r="Z514" s="60">
        <f t="shared" si="245"/>
        <v>65000000000504</v>
      </c>
      <c r="AA514" s="60">
        <f t="shared" si="228"/>
        <v>65000000000503</v>
      </c>
      <c r="AB514" s="60">
        <f t="shared" si="246"/>
        <v>65000000000000</v>
      </c>
      <c r="AD514" s="60">
        <f t="shared" si="249"/>
        <v>7</v>
      </c>
      <c r="AE514" s="60">
        <f t="shared" si="250"/>
        <v>2</v>
      </c>
      <c r="AF514" s="60">
        <f t="shared" si="251"/>
        <v>1</v>
      </c>
      <c r="AG514" s="60">
        <f t="shared" si="252"/>
        <v>164</v>
      </c>
      <c r="AH514" s="60">
        <f t="shared" si="253"/>
        <v>1</v>
      </c>
      <c r="AI514" s="60">
        <f t="shared" si="254"/>
        <v>1</v>
      </c>
      <c r="AK514" s="68" t="str">
        <f t="shared" si="229"/>
        <v>L4</v>
      </c>
      <c r="AM514" s="64" t="s">
        <v>1755</v>
      </c>
      <c r="AN514" s="64">
        <f t="shared" si="230"/>
        <v>65000000000500</v>
      </c>
      <c r="AO514" s="64">
        <f t="shared" si="231"/>
        <v>65000000000501</v>
      </c>
      <c r="AP514" s="64">
        <f t="shared" si="232"/>
        <v>65000000000501</v>
      </c>
      <c r="AQ514" s="64">
        <f t="shared" si="233"/>
        <v>65000000000502</v>
      </c>
      <c r="AS514" s="64">
        <f t="shared" si="234"/>
        <v>65000000000501</v>
      </c>
      <c r="AU514" s="59" t="str">
        <f t="shared" si="255"/>
        <v>PERFORM * FROM "SchData-OLTP-Accounting"."Func_TblChartOfAccount_SET"(varSystemLoginSession, null, null, null, varInstitutionBranchID, 62000000000001::bigint,'7-1002', 'Interest Received - Other', 62000000000001::bigint, '2016-01-01 00:00:00'::timestamp, null::timestamp, 65000000000501::bigint, 66000000000001::bigint);</v>
      </c>
      <c r="AV514" s="65">
        <f t="shared" si="256"/>
        <v>65000000000504</v>
      </c>
      <c r="AW514" s="65">
        <f t="shared" si="257"/>
        <v>65000000000501</v>
      </c>
      <c r="AY514" s="65">
        <f t="shared" si="247"/>
        <v>65000000000147</v>
      </c>
      <c r="BA514" s="78">
        <f t="shared" si="258"/>
        <v>65000000000504</v>
      </c>
      <c r="BB514" s="81" t="str">
        <f t="shared" si="248"/>
        <v>PERFORM * FROM "SchData-OLTP-Accounting"."Func_TblChartOfAccount_SET"(varSystemLoginSession, null, null, null, null, null, varInstitutionBranchID, 62000000000001::bigint,'7-1002', 'Interest Received - Other', 62000000000001::bigint, '2016-01-01 00:00:00'::timestamp, null::timestamp, 65000000000501::bigint, 66000000000001::bigint, FALSE::boolean);</v>
      </c>
    </row>
    <row r="515" spans="2:54" x14ac:dyDescent="0.2">
      <c r="B515" s="41"/>
      <c r="C515" s="42"/>
      <c r="D515" s="43"/>
      <c r="E515" s="42"/>
      <c r="F515" s="43"/>
      <c r="G515" s="42"/>
      <c r="H515" s="43"/>
      <c r="I515" s="42"/>
      <c r="J515" s="43" t="s">
        <v>1744</v>
      </c>
      <c r="K515" s="42" t="s">
        <v>1184</v>
      </c>
      <c r="L515" s="51"/>
      <c r="M515" s="18"/>
      <c r="O515" s="58" t="str">
        <f t="shared" si="235"/>
        <v>7-0000</v>
      </c>
      <c r="P515" s="58" t="str">
        <f t="shared" si="236"/>
        <v>7-1000</v>
      </c>
      <c r="Q515" s="58" t="str">
        <f t="shared" si="237"/>
        <v>2-1200</v>
      </c>
      <c r="R515" s="58" t="str">
        <f t="shared" si="238"/>
        <v>7-1002</v>
      </c>
      <c r="S515" s="58" t="str">
        <f t="shared" si="239"/>
        <v>7-1002.01</v>
      </c>
      <c r="T515" s="58" t="str">
        <f t="shared" si="240"/>
        <v xml:space="preserve"> </v>
      </c>
      <c r="V515" s="72">
        <f t="shared" si="241"/>
        <v>65000000000505</v>
      </c>
      <c r="W515" s="60">
        <f t="shared" si="242"/>
        <v>65000000000500</v>
      </c>
      <c r="X515" s="60">
        <f t="shared" si="243"/>
        <v>65000000000501</v>
      </c>
      <c r="Y515" s="60">
        <f t="shared" si="244"/>
        <v>65000000000147</v>
      </c>
      <c r="Z515" s="60">
        <f t="shared" si="245"/>
        <v>65000000000504</v>
      </c>
      <c r="AA515" s="60">
        <f t="shared" si="228"/>
        <v>65000000000505</v>
      </c>
      <c r="AB515" s="60">
        <f t="shared" si="246"/>
        <v>65000000000000</v>
      </c>
      <c r="AD515" s="60">
        <f t="shared" si="249"/>
        <v>7</v>
      </c>
      <c r="AE515" s="60">
        <f t="shared" si="250"/>
        <v>2</v>
      </c>
      <c r="AF515" s="60">
        <f t="shared" si="251"/>
        <v>1</v>
      </c>
      <c r="AG515" s="60">
        <f t="shared" si="252"/>
        <v>164</v>
      </c>
      <c r="AH515" s="60">
        <f t="shared" si="253"/>
        <v>2</v>
      </c>
      <c r="AI515" s="60">
        <f t="shared" si="254"/>
        <v>1</v>
      </c>
      <c r="AK515" s="68" t="str">
        <f t="shared" si="229"/>
        <v>L5</v>
      </c>
      <c r="AM515" s="64" t="s">
        <v>1755</v>
      </c>
      <c r="AN515" s="64">
        <f t="shared" si="230"/>
        <v>65000000000500</v>
      </c>
      <c r="AO515" s="64">
        <f t="shared" si="231"/>
        <v>65000000000501</v>
      </c>
      <c r="AP515" s="64">
        <f t="shared" si="232"/>
        <v>65000000000501</v>
      </c>
      <c r="AQ515" s="64">
        <f t="shared" si="233"/>
        <v>65000000000504</v>
      </c>
      <c r="AS515" s="64">
        <f t="shared" si="234"/>
        <v>65000000000504</v>
      </c>
      <c r="AU515" s="59" t="str">
        <f t="shared" si="255"/>
        <v>PERFORM * FROM "SchData-OLTP-Accounting"."Func_TblChartOfAccount_SET"(varSystemLoginSession, null, null, null, varInstitutionBranchID, 62000000000001::bigint,'7-1002.01', 'Interest Received - Other (IDR)', 62000000000001::bigint, '2016-01-01 00:00:00'::timestamp, null::timestamp, 65000000000504::bigint, 66000000000001::bigint);</v>
      </c>
      <c r="AV515" s="65">
        <f t="shared" si="256"/>
        <v>65000000000505</v>
      </c>
      <c r="AW515" s="65">
        <f t="shared" si="257"/>
        <v>65000000000504</v>
      </c>
      <c r="AY515" s="65">
        <f t="shared" si="247"/>
        <v>65000000000504</v>
      </c>
      <c r="BA515" s="78">
        <f t="shared" si="258"/>
        <v>65000000000505</v>
      </c>
      <c r="BB515" s="81" t="str">
        <f t="shared" si="248"/>
        <v>PERFORM * FROM "SchData-OLTP-Accounting"."Func_TblChartOfAccount_SET"(varSystemLoginSession, null, null, null, null, null, varInstitutionBranchID, 62000000000001::bigint,'7-1002.01', 'Interest Received - Other (IDR)', 62000000000001::bigint, '2016-01-01 00:00:00'::timestamp, null::timestamp, 65000000000504::bigint, 66000000000001::bigint, FALSE::boolean);</v>
      </c>
    </row>
    <row r="516" spans="2:54" ht="25.5" x14ac:dyDescent="0.2">
      <c r="B516" s="41"/>
      <c r="C516" s="42"/>
      <c r="D516" s="43"/>
      <c r="E516" s="42"/>
      <c r="F516" s="43"/>
      <c r="G516" s="42"/>
      <c r="H516" s="43" t="s">
        <v>1742</v>
      </c>
      <c r="I516" s="42" t="s">
        <v>1202</v>
      </c>
      <c r="J516" s="43"/>
      <c r="K516" s="42"/>
      <c r="L516" s="51"/>
      <c r="M516" s="18"/>
      <c r="O516" s="58" t="str">
        <f t="shared" si="235"/>
        <v>7-0000</v>
      </c>
      <c r="P516" s="58" t="str">
        <f t="shared" si="236"/>
        <v>7-1000</v>
      </c>
      <c r="Q516" s="58" t="str">
        <f t="shared" si="237"/>
        <v>2-1200</v>
      </c>
      <c r="R516" s="58" t="str">
        <f t="shared" si="238"/>
        <v>7-1003</v>
      </c>
      <c r="S516" s="58" t="str">
        <f t="shared" si="239"/>
        <v>7-1002.01</v>
      </c>
      <c r="T516" s="58" t="str">
        <f t="shared" si="240"/>
        <v xml:space="preserve"> </v>
      </c>
      <c r="V516" s="72">
        <f t="shared" si="241"/>
        <v>65000000000506</v>
      </c>
      <c r="W516" s="60">
        <f t="shared" si="242"/>
        <v>65000000000500</v>
      </c>
      <c r="X516" s="60">
        <f t="shared" si="243"/>
        <v>65000000000501</v>
      </c>
      <c r="Y516" s="60">
        <f t="shared" si="244"/>
        <v>65000000000147</v>
      </c>
      <c r="Z516" s="60">
        <f t="shared" si="245"/>
        <v>65000000000506</v>
      </c>
      <c r="AA516" s="60">
        <f t="shared" si="228"/>
        <v>65000000000505</v>
      </c>
      <c r="AB516" s="60">
        <f t="shared" si="246"/>
        <v>65000000000000</v>
      </c>
      <c r="AD516" s="60">
        <f t="shared" si="249"/>
        <v>7</v>
      </c>
      <c r="AE516" s="60">
        <f t="shared" si="250"/>
        <v>2</v>
      </c>
      <c r="AF516" s="60">
        <f t="shared" si="251"/>
        <v>1</v>
      </c>
      <c r="AG516" s="60">
        <f t="shared" si="252"/>
        <v>165</v>
      </c>
      <c r="AH516" s="60">
        <f t="shared" si="253"/>
        <v>1</v>
      </c>
      <c r="AI516" s="60">
        <f t="shared" si="254"/>
        <v>1</v>
      </c>
      <c r="AK516" s="68" t="str">
        <f t="shared" si="229"/>
        <v>L4</v>
      </c>
      <c r="AM516" s="64" t="s">
        <v>1755</v>
      </c>
      <c r="AN516" s="64">
        <f t="shared" si="230"/>
        <v>65000000000500</v>
      </c>
      <c r="AO516" s="64">
        <f t="shared" si="231"/>
        <v>65000000000501</v>
      </c>
      <c r="AP516" s="64">
        <f t="shared" si="232"/>
        <v>65000000000501</v>
      </c>
      <c r="AQ516" s="64">
        <f t="shared" si="233"/>
        <v>65000000000504</v>
      </c>
      <c r="AS516" s="64">
        <f t="shared" si="234"/>
        <v>65000000000501</v>
      </c>
      <c r="AU516" s="59" t="str">
        <f t="shared" si="255"/>
        <v>PERFORM * FROM "SchData-OLTP-Accounting"."Func_TblChartOfAccount_SET"(varSystemLoginSession, null, null, null, varInstitutionBranchID, 62000000000001::bigint,'7-1003', 'Interest Income Promesory Note', 62000000000001::bigint, '2016-01-01 00:00:00'::timestamp, null::timestamp, 65000000000501::bigint, 66000000000001::bigint);</v>
      </c>
      <c r="AV516" s="65">
        <f t="shared" si="256"/>
        <v>65000000000506</v>
      </c>
      <c r="AW516" s="65">
        <f t="shared" si="257"/>
        <v>65000000000501</v>
      </c>
      <c r="AY516" s="65">
        <f t="shared" si="247"/>
        <v>65000000000147</v>
      </c>
      <c r="BA516" s="78">
        <f t="shared" si="258"/>
        <v>65000000000506</v>
      </c>
      <c r="BB516" s="81" t="str">
        <f t="shared" si="248"/>
        <v>PERFORM * FROM "SchData-OLTP-Accounting"."Func_TblChartOfAccount_SET"(varSystemLoginSession, null, null, null, null, null, varInstitutionBranchID, 62000000000001::bigint,'7-1003', 'Interest Income Promesory Note', 62000000000001::bigint, '2016-01-01 00:00:00'::timestamp, null::timestamp, 65000000000501::bigint, 66000000000001::bigint, FALSE::boolean);</v>
      </c>
    </row>
    <row r="517" spans="2:54" ht="25.5" x14ac:dyDescent="0.2">
      <c r="B517" s="41"/>
      <c r="C517" s="42"/>
      <c r="D517" s="43"/>
      <c r="E517" s="42"/>
      <c r="F517" s="43"/>
      <c r="G517" s="42"/>
      <c r="H517" s="43"/>
      <c r="I517" s="42"/>
      <c r="J517" s="43" t="s">
        <v>1745</v>
      </c>
      <c r="K517" s="42" t="s">
        <v>1203</v>
      </c>
      <c r="L517" s="51"/>
      <c r="M517" s="18"/>
      <c r="O517" s="58" t="str">
        <f t="shared" si="235"/>
        <v>7-0000</v>
      </c>
      <c r="P517" s="58" t="str">
        <f t="shared" si="236"/>
        <v>7-1000</v>
      </c>
      <c r="Q517" s="58" t="str">
        <f t="shared" si="237"/>
        <v>2-1200</v>
      </c>
      <c r="R517" s="58" t="str">
        <f t="shared" si="238"/>
        <v>7-1003</v>
      </c>
      <c r="S517" s="58" t="str">
        <f t="shared" si="239"/>
        <v>7-1003.01</v>
      </c>
      <c r="T517" s="58" t="str">
        <f t="shared" si="240"/>
        <v xml:space="preserve"> </v>
      </c>
      <c r="V517" s="72">
        <f t="shared" si="241"/>
        <v>65000000000507</v>
      </c>
      <c r="W517" s="60">
        <f t="shared" si="242"/>
        <v>65000000000500</v>
      </c>
      <c r="X517" s="60">
        <f t="shared" si="243"/>
        <v>65000000000501</v>
      </c>
      <c r="Y517" s="60">
        <f t="shared" si="244"/>
        <v>65000000000147</v>
      </c>
      <c r="Z517" s="60">
        <f t="shared" si="245"/>
        <v>65000000000506</v>
      </c>
      <c r="AA517" s="60">
        <f t="shared" ref="AA517:AA544" si="259">IF(EXACT($J517, ""), $AA516, $V517)</f>
        <v>65000000000507</v>
      </c>
      <c r="AB517" s="60">
        <f t="shared" si="246"/>
        <v>65000000000000</v>
      </c>
      <c r="AD517" s="60">
        <f t="shared" si="249"/>
        <v>7</v>
      </c>
      <c r="AE517" s="60">
        <f t="shared" si="250"/>
        <v>2</v>
      </c>
      <c r="AF517" s="60">
        <f t="shared" si="251"/>
        <v>1</v>
      </c>
      <c r="AG517" s="60">
        <f t="shared" si="252"/>
        <v>165</v>
      </c>
      <c r="AH517" s="60">
        <f t="shared" si="253"/>
        <v>2</v>
      </c>
      <c r="AI517" s="60">
        <f t="shared" si="254"/>
        <v>1</v>
      </c>
      <c r="AK517" s="68" t="str">
        <f t="shared" ref="AK517:AK545" si="260" xml:space="preserve">
IF(AA517&lt;&gt;AA516,
     "L5",
     IF(Z517&lt;&gt;Z516,
          "L4",
          IF(Y517&lt;&gt;Y516,
               "L3",
               IF(X517&lt;&gt;X516,
                    "L2",
                     IF(W517&lt;&gt;W516,
                         "L1",
                         "L1"
                         )
                    )
               )
          )
     )</f>
        <v>L5</v>
      </c>
      <c r="AM517" s="64" t="s">
        <v>1755</v>
      </c>
      <c r="AN517" s="64">
        <f t="shared" ref="AN517:AN545" si="261">IF(EXACT($AK516, "L1"), $W516, AN516)</f>
        <v>65000000000500</v>
      </c>
      <c r="AO517" s="64">
        <f t="shared" ref="AO517:AO545" si="262">IF(EXACT($AK516, "L1"), $W516, IF(EXACT($AK516, "L2"), $X516, AO516))</f>
        <v>65000000000501</v>
      </c>
      <c r="AP517" s="64">
        <f t="shared" ref="AP517:AP545" si="263">IF(EXACT($AK516, "L1"), $W516, IF(EXACT($AK516, "L2"), $X516, IF(EXACT($AK516, "L3"), $Y516, AP516)))</f>
        <v>65000000000501</v>
      </c>
      <c r="AQ517" s="64">
        <f t="shared" ref="AQ517:AQ545" si="264">IF(EXACT($AK516, "L1"), $W516, IF(EXACT($AK516, "L2"), $X516, IF(EXACT($AK516, "L3"), $Y516, IF(EXACT($AK516, "L4"), $Z516, AQ516))))</f>
        <v>65000000000506</v>
      </c>
      <c r="AS517" s="64">
        <f t="shared" ref="AS517:AS545" si="265">IF(EXACT($AK517, "L1"), AM517, IF(EXACT($AK517, "L2"), AN517, IF(EXACT($AK517, "L3"), AO517, IF(EXACT($AK517, "L4"), AP517, IF(EXACT($AK517, "L5"), AQ517, "")))))</f>
        <v>65000000000506</v>
      </c>
      <c r="AU517" s="59" t="str">
        <f t="shared" si="255"/>
        <v>PERFORM * FROM "SchData-OLTP-Accounting"."Func_TblChartOfAccount_SET"(varSystemLoginSession, null, null, null, varInstitutionBranchID, 62000000000001::bigint,'7-1003.01', 'Interest Income Promesory Note (IDR)', 62000000000001::bigint, '2016-01-01 00:00:00'::timestamp, null::timestamp, 65000000000506::bigint, 66000000000001::bigint);</v>
      </c>
      <c r="AV517" s="65">
        <f t="shared" si="256"/>
        <v>65000000000507</v>
      </c>
      <c r="AW517" s="65">
        <f t="shared" si="257"/>
        <v>65000000000506</v>
      </c>
      <c r="AY517" s="65">
        <f t="shared" si="247"/>
        <v>65000000000506</v>
      </c>
      <c r="BA517" s="78">
        <f t="shared" si="258"/>
        <v>65000000000507</v>
      </c>
      <c r="BB517" s="81" t="str">
        <f t="shared" si="248"/>
        <v>PERFORM * FROM "SchData-OLTP-Accounting"."Func_TblChartOfAccount_SET"(varSystemLoginSession, null, null, null, null, null, varInstitutionBranchID, 62000000000001::bigint,'7-1003.01', 'Interest Income Promesory Note (IDR)', 62000000000001::bigint, '2016-01-01 00:00:00'::timestamp, null::timestamp, 65000000000506::bigint, 66000000000001::bigint, FALSE::boolean);</v>
      </c>
    </row>
    <row r="518" spans="2:54" x14ac:dyDescent="0.2">
      <c r="B518" s="41"/>
      <c r="C518" s="42"/>
      <c r="D518" s="43" t="s">
        <v>1190</v>
      </c>
      <c r="E518" s="42" t="s">
        <v>635</v>
      </c>
      <c r="F518" s="43"/>
      <c r="G518" s="42"/>
      <c r="H518" s="43"/>
      <c r="I518" s="42"/>
      <c r="J518" s="43"/>
      <c r="K518" s="42"/>
      <c r="L518" s="51"/>
      <c r="M518" s="18"/>
      <c r="O518" s="58" t="str">
        <f t="shared" ref="O518:O544" si="266">IF(EXACT($B518, ""), $O517, $B518)</f>
        <v>7-0000</v>
      </c>
      <c r="P518" s="58" t="str">
        <f t="shared" ref="P518:P544" si="267">IF(EXACT($D518, ""), $P517, $D518)</f>
        <v>7-2000</v>
      </c>
      <c r="Q518" s="58" t="str">
        <f t="shared" ref="Q518:Q544" si="268">IF(EXACT($F518, ""), $Q517, $F518)</f>
        <v>2-1200</v>
      </c>
      <c r="R518" s="58" t="str">
        <f t="shared" ref="R518:R544" si="269">IF(EXACT($H518, ""), $R517, $H518)</f>
        <v>7-1003</v>
      </c>
      <c r="S518" s="58" t="str">
        <f t="shared" ref="S518:S544" si="270">IF(EXACT($J518, ""), $S517, $J518)</f>
        <v>7-1003.01</v>
      </c>
      <c r="T518" s="58" t="str">
        <f t="shared" ref="T518:T544" si="271">IF(EXACT($L518, ""), $T517, $L518)</f>
        <v xml:space="preserve"> </v>
      </c>
      <c r="V518" s="72">
        <f t="shared" ref="V518:V545" si="272">V517+IF(AND(EXACT(B518, ""), EXACT(D518, ""), EXACT(F518, ""), EXACT(H518, ""), EXACT(J518, ""), EXACT(L518, "")), 0, 1)</f>
        <v>65000000000508</v>
      </c>
      <c r="W518" s="60">
        <f t="shared" ref="W518:W544" si="273">IF(EXACT($B518, ""), $W517, $V518)</f>
        <v>65000000000500</v>
      </c>
      <c r="X518" s="60">
        <f t="shared" ref="X518:X544" si="274">IF(EXACT($D518, ""), $X517, $V518)</f>
        <v>65000000000508</v>
      </c>
      <c r="Y518" s="60">
        <f t="shared" ref="Y518:Y544" si="275">IF(EXACT($F518, ""), $Y517, $V518)</f>
        <v>65000000000147</v>
      </c>
      <c r="Z518" s="60">
        <f t="shared" ref="Z518:Z544" si="276">IF(EXACT($H518, ""), $Z517, $V518)</f>
        <v>65000000000506</v>
      </c>
      <c r="AA518" s="60">
        <f t="shared" si="259"/>
        <v>65000000000507</v>
      </c>
      <c r="AB518" s="60">
        <f t="shared" ref="AB518:AB544" si="277">IF(EXACT($L518, ""), $AB517, $V518)</f>
        <v>65000000000000</v>
      </c>
      <c r="AD518" s="60">
        <f t="shared" si="249"/>
        <v>7</v>
      </c>
      <c r="AE518" s="60">
        <f t="shared" si="250"/>
        <v>3</v>
      </c>
      <c r="AF518" s="60">
        <f t="shared" si="251"/>
        <v>1</v>
      </c>
      <c r="AG518" s="60">
        <f t="shared" si="252"/>
        <v>165</v>
      </c>
      <c r="AH518" s="60">
        <f t="shared" si="253"/>
        <v>2</v>
      </c>
      <c r="AI518" s="60">
        <f t="shared" si="254"/>
        <v>1</v>
      </c>
      <c r="AK518" s="68" t="str">
        <f t="shared" si="260"/>
        <v>L2</v>
      </c>
      <c r="AM518" s="64" t="s">
        <v>1755</v>
      </c>
      <c r="AN518" s="64">
        <f t="shared" si="261"/>
        <v>65000000000500</v>
      </c>
      <c r="AO518" s="64">
        <f t="shared" si="262"/>
        <v>65000000000501</v>
      </c>
      <c r="AP518" s="64">
        <f t="shared" si="263"/>
        <v>65000000000501</v>
      </c>
      <c r="AQ518" s="64">
        <f t="shared" si="264"/>
        <v>65000000000506</v>
      </c>
      <c r="AS518" s="64">
        <f t="shared" si="265"/>
        <v>65000000000500</v>
      </c>
      <c r="AU518" s="59" t="str">
        <f t="shared" si="255"/>
        <v>PERFORM * FROM "SchData-OLTP-Accounting"."Func_TblChartOfAccount_SET"(varSystemLoginSession, null, null, null, varInstitutionBranchID, 62000000000001::bigint,'7-2000', 'Gain (Loss) Disposal of FA', 62000000000001::bigint, '2016-01-01 00:00:00'::timestamp, null::timestamp, 65000000000500::bigint, 66000000000001::bigint);</v>
      </c>
      <c r="AV518" s="65">
        <f t="shared" si="256"/>
        <v>65000000000508</v>
      </c>
      <c r="AW518" s="65">
        <f t="shared" si="257"/>
        <v>65000000000500</v>
      </c>
      <c r="AY518" s="65">
        <f t="shared" ref="AY518:AY544" si="278">IF(AND(EXACT($B518, ""), EXACT($D518, ""), EXACT($F518, ""), EXACT($H518, ""), EXACT($J518, ""), EXACT($L518, "")), "",
IF(NOT(EXACT($B518, "")), "null",
IF(NOT(EXACT($D518, "")), IF($W517&lt;&gt;$W516, $W517, $W518),
IF(NOT(EXACT($F518, "")), IF($X517&lt;&gt;$X516, $X517, IF($W517&lt;&gt;$W516, $W517, $X518)),
IF(NOT(EXACT($H518, "")), IF($Y517&lt;&gt;$Y516, $Y517, IF($X517&lt;&gt;$X516, $X517, IF($W517&lt;&gt;$W516, $W517, $Y518))),
IF(NOT(EXACT($J518, "")), IF($Z517&lt;&gt;$Z516, $Z517, IF($Y517&lt;&gt;$Y516, $Y517, IF($X517&lt;&gt;$X516, $X517, IF($W517&lt;&gt;$W516, $W517, $Z518)))),
IF(NOT(EXACT($L518, "")), IF($AA517&lt;&gt;$AA516, $AA517, IF($Z517&lt;&gt;$Z516, $Z517, IF($Y517&lt;&gt;$Y516, $Y517, IF($X517&lt;&gt;$X516, $X517, IF($W517&lt;&gt;$W516, $W517, $AA518))))),
"others")))))))</f>
        <v>65000000000500</v>
      </c>
      <c r="BA518" s="78">
        <f t="shared" si="258"/>
        <v>65000000000508</v>
      </c>
      <c r="BB518" s="81" t="str">
        <f t="shared" ref="BB518:BB544" si="279">IF(AND(EXACT($B518, ""), EXACT($D518, ""), EXACT($F518, ""), EXACT($H518, ""), EXACT($J518, ""), EXACT($L518, "")), "", CONCATENATE(
"PERFORM * FROM ""SchData-OLTP-Accounting"".""Func_TblChartOfAccount_SET""(varSystemLoginSession, null, null, null, null, null, varInstitutionBranchID, 62000000000001::bigint,'",
IF(EXACT($B518, ""), IF(EXACT($D518, ""), IF(EXACT($F518, ""), IF(EXACT($H518, ""), IF(EXACT($J518, ""), IF(EXACT($L518, ""), "", $L518), $J518), $H518), $F518), $D518), $B518),
"', '",
IF(EXACT($B518, ""), IF(EXACT($D518, ""), IF(EXACT($F518, ""), IF(EXACT($H518, ""), IF(EXACT($J518, ""), IF(EXACT($L518, ""), "", $M518), $K518), $I518), $G518), $E518), $C518),
"', ",
IF(EXACT($J518, ""), "62000000000001::bigint", IF((RIGHT($J518, 2)*1 = 1), "62000000000001::bigint", IF((RIGHT($J518, 2)*1 = 2), "62000000000002::bigint", "null"))),
", '2016-01-01 00:00:00'::timestamp, null::timestamp, ", $AW518, "::bigint, 66000000000001::bigint, ", IF(EXACT(LEFT(IF(EXACT($B518, ""), IF(EXACT($D518, ""), IF(EXACT($F518, ""), IF(EXACT($H518, ""), IF(EXACT($J518, ""), IF(EXACT($L518, ""), "", $L518), $J518), $H518), $F518), $D518), $B518), 1), "1"), "TRUE", "FALSE"), "::boolean);"))</f>
        <v>PERFORM * FROM "SchData-OLTP-Accounting"."Func_TblChartOfAccount_SET"(varSystemLoginSession, null, null, null, null, null, varInstitutionBranchID, 62000000000001::bigint,'7-2000', 'Gain (Loss) Disposal of FA', 62000000000001::bigint, '2016-01-01 00:00:00'::timestamp, null::timestamp, 65000000000500::bigint, 66000000000001::bigint, FALSE::boolean);</v>
      </c>
    </row>
    <row r="519" spans="2:54" x14ac:dyDescent="0.2">
      <c r="B519" s="41"/>
      <c r="C519" s="42"/>
      <c r="D519" s="43"/>
      <c r="E519" s="42"/>
      <c r="F519" s="43"/>
      <c r="G519" s="42"/>
      <c r="H519" s="43"/>
      <c r="I519" s="42"/>
      <c r="J519" s="43" t="s">
        <v>1746</v>
      </c>
      <c r="K519" s="42" t="s">
        <v>1183</v>
      </c>
      <c r="L519" s="51"/>
      <c r="M519" s="18"/>
      <c r="O519" s="58" t="str">
        <f t="shared" si="266"/>
        <v>7-0000</v>
      </c>
      <c r="P519" s="58" t="str">
        <f t="shared" si="267"/>
        <v>7-2000</v>
      </c>
      <c r="Q519" s="58" t="str">
        <f t="shared" si="268"/>
        <v>2-1200</v>
      </c>
      <c r="R519" s="58" t="str">
        <f t="shared" si="269"/>
        <v>7-1003</v>
      </c>
      <c r="S519" s="58" t="str">
        <f t="shared" si="270"/>
        <v>7-2000.01</v>
      </c>
      <c r="T519" s="58" t="str">
        <f t="shared" si="271"/>
        <v xml:space="preserve"> </v>
      </c>
      <c r="V519" s="72">
        <f t="shared" si="272"/>
        <v>65000000000509</v>
      </c>
      <c r="W519" s="60">
        <f t="shared" si="273"/>
        <v>65000000000500</v>
      </c>
      <c r="X519" s="60">
        <f t="shared" si="274"/>
        <v>65000000000508</v>
      </c>
      <c r="Y519" s="60">
        <f t="shared" si="275"/>
        <v>65000000000147</v>
      </c>
      <c r="Z519" s="60">
        <f t="shared" si="276"/>
        <v>65000000000506</v>
      </c>
      <c r="AA519" s="60">
        <f t="shared" si="259"/>
        <v>65000000000509</v>
      </c>
      <c r="AB519" s="60">
        <f t="shared" si="277"/>
        <v>65000000000000</v>
      </c>
      <c r="AD519" s="60">
        <f t="shared" ref="AD519:AD544" si="280">AD518 + IF(W519&lt;&gt;W518, 1, 0)</f>
        <v>7</v>
      </c>
      <c r="AE519" s="60">
        <f t="shared" ref="AE519:AE544" si="281">IF(AD518&lt;&gt;AD519, 1, AE518) + IF(X519&lt;&gt;X518, 1, 0)</f>
        <v>3</v>
      </c>
      <c r="AF519" s="60">
        <f t="shared" ref="AF519:AF544" si="282">IF(AE518&lt;&gt;AE519, 1, AF518) + IF(Y519&lt;&gt;Y518, 1, 0)</f>
        <v>1</v>
      </c>
      <c r="AG519" s="60">
        <f t="shared" ref="AG519:AG544" si="283">IF(AF518&lt;&gt;AF519, 1, AG518) + IF(Z519&lt;&gt;Z518, 1, 0)</f>
        <v>165</v>
      </c>
      <c r="AH519" s="60">
        <f t="shared" ref="AH519:AH544" si="284">IF(AG518&lt;&gt;AG519, 1, AH518) + IF(AA519&lt;&gt;AA518, 1, 0)</f>
        <v>3</v>
      </c>
      <c r="AI519" s="60">
        <f t="shared" ref="AI519:AI544" si="285">IF(AH518&lt;&gt;AH519, 1, AI518) + IF(AB519&lt;&gt;AB518, 1, 0)</f>
        <v>1</v>
      </c>
      <c r="AK519" s="68" t="str">
        <f t="shared" si="260"/>
        <v>L5</v>
      </c>
      <c r="AM519" s="64" t="s">
        <v>1755</v>
      </c>
      <c r="AN519" s="64">
        <f t="shared" si="261"/>
        <v>65000000000500</v>
      </c>
      <c r="AO519" s="64">
        <f t="shared" si="262"/>
        <v>65000000000508</v>
      </c>
      <c r="AP519" s="64">
        <f t="shared" si="263"/>
        <v>65000000000508</v>
      </c>
      <c r="AQ519" s="64">
        <f t="shared" si="264"/>
        <v>65000000000508</v>
      </c>
      <c r="AS519" s="64">
        <f t="shared" si="265"/>
        <v>65000000000508</v>
      </c>
      <c r="AU519" s="59" t="str">
        <f t="shared" ref="AU519:AU545" si="286">IF(AND(EXACT(B519, ""), EXACT(D519, ""), EXACT(F519, ""), EXACT(H519, ""), EXACT(J519, ""), EXACT(L519, "")), "", CONCATENATE(
"PERFORM * FROM ""SchData-OLTP-Accounting"".""Func_TblChartOfAccount_SET""(varSystemLoginSession, null, null, null, varInstitutionBranchID, 62000000000001::bigint,'",
IF(EXACT(B519, ""), IF(EXACT(D519, ""), IF(EXACT(F519, ""), IF(EXACT(H519, ""), IF(EXACT(J519, ""), IF(EXACT(L519, ""), "", L519), J519), H519), F519), D519), B519),
"', '",
IF(EXACT(B519, ""), IF(EXACT(D519, ""), IF(EXACT(F519, ""), IF(EXACT(H519, ""), IF(EXACT(J519, ""), IF(EXACT(L519, ""), "", M519), K519), I519), G519), E519), C519),
"', ",
IF(EXACT(J519, ""), "62000000000001::bigint", IF((RIGHT(J519, 2)*1 = 1), "62000000000001::bigint", IF((RIGHT(J519, 2)*1 = 2), "62000000000002::bigint", "null"))),
", '2016-01-01 00:00:00'::timestamp, null::timestamp, ", AW519, "::bigint, 66000000000001::bigint);"))</f>
        <v>PERFORM * FROM "SchData-OLTP-Accounting"."Func_TblChartOfAccount_SET"(varSystemLoginSession, null, null, null, varInstitutionBranchID, 62000000000001::bigint,'7-2000.01', 'Gain (Loss) Disposal of FA (IDR)', 62000000000001::bigint, '2016-01-01 00:00:00'::timestamp, null::timestamp, 65000000000508::bigint, 66000000000001::bigint);</v>
      </c>
      <c r="AV519" s="65">
        <f t="shared" ref="AV519:AV544" si="287">IF(AND(EXACT($B519, ""), EXACT($D519, ""), EXACT($F519, ""), EXACT($H519, ""), EXACT($J519, ""), EXACT($L519, "")), "", V519)</f>
        <v>65000000000509</v>
      </c>
      <c r="AW519" s="65">
        <f t="shared" ref="AW519:AW545" si="288">AS519</f>
        <v>65000000000508</v>
      </c>
      <c r="AY519" s="65">
        <f t="shared" si="278"/>
        <v>65000000000508</v>
      </c>
      <c r="BA519" s="78">
        <f t="shared" si="258"/>
        <v>65000000000509</v>
      </c>
      <c r="BB519" s="81" t="str">
        <f t="shared" si="279"/>
        <v>PERFORM * FROM "SchData-OLTP-Accounting"."Func_TblChartOfAccount_SET"(varSystemLoginSession, null, null, null, null, null, varInstitutionBranchID, 62000000000001::bigint,'7-2000.01', 'Gain (Loss) Disposal of FA (IDR)', 62000000000001::bigint, '2016-01-01 00:00:00'::timestamp, null::timestamp, 65000000000508::bigint, 66000000000001::bigint, FALSE::boolean);</v>
      </c>
    </row>
    <row r="520" spans="2:54" ht="25.5" x14ac:dyDescent="0.2">
      <c r="B520" s="43"/>
      <c r="C520" s="42"/>
      <c r="D520" s="43" t="s">
        <v>1191</v>
      </c>
      <c r="E520" s="42" t="s">
        <v>1193</v>
      </c>
      <c r="F520" s="43"/>
      <c r="G520" s="42"/>
      <c r="H520" s="43"/>
      <c r="I520" s="42"/>
      <c r="J520" s="43"/>
      <c r="K520" s="42"/>
      <c r="L520" s="51"/>
      <c r="M520" s="18"/>
      <c r="O520" s="58" t="str">
        <f t="shared" si="266"/>
        <v>7-0000</v>
      </c>
      <c r="P520" s="58" t="str">
        <f t="shared" si="267"/>
        <v>7-3000</v>
      </c>
      <c r="Q520" s="58" t="str">
        <f t="shared" si="268"/>
        <v>2-1200</v>
      </c>
      <c r="R520" s="58" t="str">
        <f t="shared" si="269"/>
        <v>7-1003</v>
      </c>
      <c r="S520" s="58" t="str">
        <f t="shared" si="270"/>
        <v>7-2000.01</v>
      </c>
      <c r="T520" s="58" t="str">
        <f t="shared" si="271"/>
        <v xml:space="preserve"> </v>
      </c>
      <c r="V520" s="72">
        <f t="shared" si="272"/>
        <v>65000000000510</v>
      </c>
      <c r="W520" s="60">
        <f t="shared" si="273"/>
        <v>65000000000500</v>
      </c>
      <c r="X520" s="60">
        <f t="shared" si="274"/>
        <v>65000000000510</v>
      </c>
      <c r="Y520" s="60">
        <f t="shared" si="275"/>
        <v>65000000000147</v>
      </c>
      <c r="Z520" s="60">
        <f t="shared" si="276"/>
        <v>65000000000506</v>
      </c>
      <c r="AA520" s="60">
        <f t="shared" si="259"/>
        <v>65000000000509</v>
      </c>
      <c r="AB520" s="60">
        <f t="shared" si="277"/>
        <v>65000000000000</v>
      </c>
      <c r="AD520" s="60">
        <f t="shared" si="280"/>
        <v>7</v>
      </c>
      <c r="AE520" s="60">
        <f t="shared" si="281"/>
        <v>4</v>
      </c>
      <c r="AF520" s="60">
        <f t="shared" si="282"/>
        <v>1</v>
      </c>
      <c r="AG520" s="60">
        <f t="shared" si="283"/>
        <v>165</v>
      </c>
      <c r="AH520" s="60">
        <f t="shared" si="284"/>
        <v>3</v>
      </c>
      <c r="AI520" s="60">
        <f t="shared" si="285"/>
        <v>1</v>
      </c>
      <c r="AK520" s="68" t="str">
        <f t="shared" si="260"/>
        <v>L2</v>
      </c>
      <c r="AM520" s="64" t="s">
        <v>1755</v>
      </c>
      <c r="AN520" s="64">
        <f t="shared" si="261"/>
        <v>65000000000500</v>
      </c>
      <c r="AO520" s="64">
        <f t="shared" si="262"/>
        <v>65000000000508</v>
      </c>
      <c r="AP520" s="64">
        <f t="shared" si="263"/>
        <v>65000000000508</v>
      </c>
      <c r="AQ520" s="64">
        <f t="shared" si="264"/>
        <v>65000000000508</v>
      </c>
      <c r="AS520" s="64">
        <f t="shared" si="265"/>
        <v>65000000000500</v>
      </c>
      <c r="AU520" s="59" t="str">
        <f t="shared" si="286"/>
        <v>PERFORM * FROM "SchData-OLTP-Accounting"."Func_TblChartOfAccount_SET"(varSystemLoginSession, null, null, null, varInstitutionBranchID, 62000000000001::bigint,'7-3000', 'Gain (Loss) Exchange Rate Difference', 62000000000001::bigint, '2016-01-01 00:00:00'::timestamp, null::timestamp, 65000000000500::bigint, 66000000000001::bigint);</v>
      </c>
      <c r="AV520" s="65">
        <f t="shared" si="287"/>
        <v>65000000000510</v>
      </c>
      <c r="AW520" s="65">
        <f t="shared" si="288"/>
        <v>65000000000500</v>
      </c>
      <c r="AY520" s="65">
        <f t="shared" si="278"/>
        <v>65000000000500</v>
      </c>
      <c r="BA520" s="78">
        <f t="shared" si="258"/>
        <v>65000000000510</v>
      </c>
      <c r="BB520" s="81" t="str">
        <f t="shared" si="279"/>
        <v>PERFORM * FROM "SchData-OLTP-Accounting"."Func_TblChartOfAccount_SET"(varSystemLoginSession, null, null, null, null, null, varInstitutionBranchID, 62000000000001::bigint,'7-3000', 'Gain (Loss) Exchange Rate Difference', 62000000000001::bigint, '2016-01-01 00:00:00'::timestamp, null::timestamp, 65000000000500::bigint, 66000000000001::bigint, FALSE::boolean);</v>
      </c>
    </row>
    <row r="521" spans="2:54" ht="25.5" x14ac:dyDescent="0.2">
      <c r="B521" s="43"/>
      <c r="C521" s="42"/>
      <c r="D521" s="43"/>
      <c r="E521" s="42"/>
      <c r="F521" s="43"/>
      <c r="G521" s="42"/>
      <c r="H521" s="43" t="s">
        <v>1673</v>
      </c>
      <c r="I521" s="42" t="s">
        <v>1193</v>
      </c>
      <c r="J521" s="43"/>
      <c r="K521" s="42"/>
      <c r="L521" s="51"/>
      <c r="M521" s="18"/>
      <c r="O521" s="58" t="str">
        <f t="shared" si="266"/>
        <v>7-0000</v>
      </c>
      <c r="P521" s="58" t="str">
        <f t="shared" si="267"/>
        <v>7-3000</v>
      </c>
      <c r="Q521" s="58" t="str">
        <f t="shared" si="268"/>
        <v>2-1200</v>
      </c>
      <c r="R521" s="58" t="str">
        <f t="shared" si="269"/>
        <v>7-3001</v>
      </c>
      <c r="S521" s="58" t="str">
        <f t="shared" si="270"/>
        <v>7-2000.01</v>
      </c>
      <c r="T521" s="58" t="str">
        <f t="shared" si="271"/>
        <v xml:space="preserve"> </v>
      </c>
      <c r="V521" s="72">
        <f t="shared" si="272"/>
        <v>65000000000511</v>
      </c>
      <c r="W521" s="60">
        <f t="shared" si="273"/>
        <v>65000000000500</v>
      </c>
      <c r="X521" s="60">
        <f t="shared" si="274"/>
        <v>65000000000510</v>
      </c>
      <c r="Y521" s="60">
        <f t="shared" si="275"/>
        <v>65000000000147</v>
      </c>
      <c r="Z521" s="60">
        <f t="shared" si="276"/>
        <v>65000000000511</v>
      </c>
      <c r="AA521" s="60">
        <f t="shared" si="259"/>
        <v>65000000000509</v>
      </c>
      <c r="AB521" s="60">
        <f t="shared" si="277"/>
        <v>65000000000000</v>
      </c>
      <c r="AD521" s="60">
        <f t="shared" si="280"/>
        <v>7</v>
      </c>
      <c r="AE521" s="60">
        <f t="shared" si="281"/>
        <v>4</v>
      </c>
      <c r="AF521" s="60">
        <f t="shared" si="282"/>
        <v>1</v>
      </c>
      <c r="AG521" s="60">
        <f t="shared" si="283"/>
        <v>166</v>
      </c>
      <c r="AH521" s="60">
        <f t="shared" si="284"/>
        <v>1</v>
      </c>
      <c r="AI521" s="60">
        <f t="shared" si="285"/>
        <v>1</v>
      </c>
      <c r="AK521" s="68" t="str">
        <f t="shared" si="260"/>
        <v>L4</v>
      </c>
      <c r="AM521" s="64" t="s">
        <v>1755</v>
      </c>
      <c r="AN521" s="64">
        <f t="shared" si="261"/>
        <v>65000000000500</v>
      </c>
      <c r="AO521" s="64">
        <f t="shared" si="262"/>
        <v>65000000000510</v>
      </c>
      <c r="AP521" s="64">
        <f t="shared" si="263"/>
        <v>65000000000510</v>
      </c>
      <c r="AQ521" s="64">
        <f t="shared" si="264"/>
        <v>65000000000510</v>
      </c>
      <c r="AS521" s="64">
        <f t="shared" si="265"/>
        <v>65000000000510</v>
      </c>
      <c r="AU521" s="59" t="str">
        <f t="shared" si="286"/>
        <v>PERFORM * FROM "SchData-OLTP-Accounting"."Func_TblChartOfAccount_SET"(varSystemLoginSession, null, null, null, varInstitutionBranchID, 62000000000001::bigint,'7-3001', 'Gain (Loss) Exchange Rate Difference', 62000000000001::bigint, '2016-01-01 00:00:00'::timestamp, null::timestamp, 65000000000510::bigint, 66000000000001::bigint);</v>
      </c>
      <c r="AV521" s="65">
        <f t="shared" si="287"/>
        <v>65000000000511</v>
      </c>
      <c r="AW521" s="65">
        <f t="shared" si="288"/>
        <v>65000000000510</v>
      </c>
      <c r="AY521" s="65">
        <f t="shared" si="278"/>
        <v>65000000000510</v>
      </c>
      <c r="BA521" s="78">
        <f t="shared" si="258"/>
        <v>65000000000511</v>
      </c>
      <c r="BB521" s="81" t="str">
        <f t="shared" si="279"/>
        <v>PERFORM * FROM "SchData-OLTP-Accounting"."Func_TblChartOfAccount_SET"(varSystemLoginSession, null, null, null, null, null, varInstitutionBranchID, 62000000000001::bigint,'7-3001', 'Gain (Loss) Exchange Rate Difference', 62000000000001::bigint, '2016-01-01 00:00:00'::timestamp, null::timestamp, 65000000000510::bigint, 66000000000001::bigint, FALSE::boolean);</v>
      </c>
    </row>
    <row r="522" spans="2:54" ht="25.5" x14ac:dyDescent="0.2">
      <c r="B522" s="43"/>
      <c r="C522" s="42"/>
      <c r="D522" s="43"/>
      <c r="E522" s="42"/>
      <c r="F522" s="43"/>
      <c r="G522" s="42"/>
      <c r="H522" s="43"/>
      <c r="I522" s="42"/>
      <c r="J522" s="43" t="s">
        <v>1674</v>
      </c>
      <c r="K522" s="42" t="s">
        <v>1194</v>
      </c>
      <c r="L522" s="51"/>
      <c r="M522" s="18"/>
      <c r="O522" s="58" t="str">
        <f t="shared" si="266"/>
        <v>7-0000</v>
      </c>
      <c r="P522" s="58" t="str">
        <f t="shared" si="267"/>
        <v>7-3000</v>
      </c>
      <c r="Q522" s="58" t="str">
        <f t="shared" si="268"/>
        <v>2-1200</v>
      </c>
      <c r="R522" s="58" t="str">
        <f t="shared" si="269"/>
        <v>7-3001</v>
      </c>
      <c r="S522" s="58" t="str">
        <f t="shared" si="270"/>
        <v>7-3001.01</v>
      </c>
      <c r="T522" s="58" t="str">
        <f t="shared" si="271"/>
        <v xml:space="preserve"> </v>
      </c>
      <c r="V522" s="72">
        <f t="shared" si="272"/>
        <v>65000000000512</v>
      </c>
      <c r="W522" s="60">
        <f t="shared" si="273"/>
        <v>65000000000500</v>
      </c>
      <c r="X522" s="60">
        <f t="shared" si="274"/>
        <v>65000000000510</v>
      </c>
      <c r="Y522" s="60">
        <f t="shared" si="275"/>
        <v>65000000000147</v>
      </c>
      <c r="Z522" s="60">
        <f t="shared" si="276"/>
        <v>65000000000511</v>
      </c>
      <c r="AA522" s="60">
        <f t="shared" si="259"/>
        <v>65000000000512</v>
      </c>
      <c r="AB522" s="60">
        <f t="shared" si="277"/>
        <v>65000000000000</v>
      </c>
      <c r="AD522" s="60">
        <f t="shared" si="280"/>
        <v>7</v>
      </c>
      <c r="AE522" s="60">
        <f t="shared" si="281"/>
        <v>4</v>
      </c>
      <c r="AF522" s="60">
        <f t="shared" si="282"/>
        <v>1</v>
      </c>
      <c r="AG522" s="60">
        <f t="shared" si="283"/>
        <v>166</v>
      </c>
      <c r="AH522" s="60">
        <f t="shared" si="284"/>
        <v>2</v>
      </c>
      <c r="AI522" s="60">
        <f t="shared" si="285"/>
        <v>1</v>
      </c>
      <c r="AK522" s="68" t="str">
        <f t="shared" si="260"/>
        <v>L5</v>
      </c>
      <c r="AM522" s="64" t="s">
        <v>1755</v>
      </c>
      <c r="AN522" s="64">
        <f t="shared" si="261"/>
        <v>65000000000500</v>
      </c>
      <c r="AO522" s="64">
        <f t="shared" si="262"/>
        <v>65000000000510</v>
      </c>
      <c r="AP522" s="64">
        <f t="shared" si="263"/>
        <v>65000000000510</v>
      </c>
      <c r="AQ522" s="64">
        <f t="shared" si="264"/>
        <v>65000000000511</v>
      </c>
      <c r="AS522" s="64">
        <f t="shared" si="265"/>
        <v>65000000000511</v>
      </c>
      <c r="AU522" s="59" t="str">
        <f t="shared" si="286"/>
        <v>PERFORM * FROM "SchData-OLTP-Accounting"."Func_TblChartOfAccount_SET"(varSystemLoginSession, null, null, null, varInstitutionBranchID, 62000000000001::bigint,'7-3001.01', 'Gain (Loss) Exchange Rate Difference (IDR)', 62000000000001::bigint, '2016-01-01 00:00:00'::timestamp, null::timestamp, 65000000000511::bigint, 66000000000001::bigint);</v>
      </c>
      <c r="AV522" s="65">
        <f t="shared" si="287"/>
        <v>65000000000512</v>
      </c>
      <c r="AW522" s="65">
        <f t="shared" si="288"/>
        <v>65000000000511</v>
      </c>
      <c r="AY522" s="65">
        <f t="shared" si="278"/>
        <v>65000000000511</v>
      </c>
      <c r="BA522" s="78">
        <f t="shared" si="258"/>
        <v>65000000000512</v>
      </c>
      <c r="BB522" s="81" t="str">
        <f t="shared" si="279"/>
        <v>PERFORM * FROM "SchData-OLTP-Accounting"."Func_TblChartOfAccount_SET"(varSystemLoginSession, null, null, null, null, null, varInstitutionBranchID, 62000000000001::bigint,'7-3001.01', 'Gain (Loss) Exchange Rate Difference (IDR)', 62000000000001::bigint, '2016-01-01 00:00:00'::timestamp, null::timestamp, 65000000000511::bigint, 66000000000001::bigint, FALSE::boolean);</v>
      </c>
    </row>
    <row r="523" spans="2:54" ht="25.5" x14ac:dyDescent="0.2">
      <c r="B523" s="43"/>
      <c r="C523" s="42"/>
      <c r="D523" s="43"/>
      <c r="E523" s="42"/>
      <c r="F523" s="43"/>
      <c r="G523" s="42"/>
      <c r="H523" s="43" t="s">
        <v>1675</v>
      </c>
      <c r="I523" s="42" t="s">
        <v>1195</v>
      </c>
      <c r="J523" s="43"/>
      <c r="K523" s="42"/>
      <c r="L523" s="51"/>
      <c r="M523" s="18"/>
      <c r="O523" s="58" t="str">
        <f t="shared" si="266"/>
        <v>7-0000</v>
      </c>
      <c r="P523" s="58" t="str">
        <f t="shared" si="267"/>
        <v>7-3000</v>
      </c>
      <c r="Q523" s="58" t="str">
        <f t="shared" si="268"/>
        <v>2-1200</v>
      </c>
      <c r="R523" s="58" t="str">
        <f t="shared" si="269"/>
        <v>7-3002</v>
      </c>
      <c r="S523" s="58" t="str">
        <f t="shared" si="270"/>
        <v>7-3001.01</v>
      </c>
      <c r="T523" s="58" t="str">
        <f t="shared" si="271"/>
        <v xml:space="preserve"> </v>
      </c>
      <c r="V523" s="72">
        <f t="shared" si="272"/>
        <v>65000000000513</v>
      </c>
      <c r="W523" s="60">
        <f t="shared" si="273"/>
        <v>65000000000500</v>
      </c>
      <c r="X523" s="60">
        <f t="shared" si="274"/>
        <v>65000000000510</v>
      </c>
      <c r="Y523" s="60">
        <f t="shared" si="275"/>
        <v>65000000000147</v>
      </c>
      <c r="Z523" s="60">
        <f t="shared" si="276"/>
        <v>65000000000513</v>
      </c>
      <c r="AA523" s="60">
        <f t="shared" si="259"/>
        <v>65000000000512</v>
      </c>
      <c r="AB523" s="60">
        <f t="shared" si="277"/>
        <v>65000000000000</v>
      </c>
      <c r="AD523" s="60">
        <f t="shared" si="280"/>
        <v>7</v>
      </c>
      <c r="AE523" s="60">
        <f t="shared" si="281"/>
        <v>4</v>
      </c>
      <c r="AF523" s="60">
        <f t="shared" si="282"/>
        <v>1</v>
      </c>
      <c r="AG523" s="60">
        <f t="shared" si="283"/>
        <v>167</v>
      </c>
      <c r="AH523" s="60">
        <f t="shared" si="284"/>
        <v>1</v>
      </c>
      <c r="AI523" s="60">
        <f t="shared" si="285"/>
        <v>1</v>
      </c>
      <c r="AK523" s="68" t="str">
        <f t="shared" si="260"/>
        <v>L4</v>
      </c>
      <c r="AM523" s="64" t="s">
        <v>1755</v>
      </c>
      <c r="AN523" s="64">
        <f t="shared" si="261"/>
        <v>65000000000500</v>
      </c>
      <c r="AO523" s="64">
        <f t="shared" si="262"/>
        <v>65000000000510</v>
      </c>
      <c r="AP523" s="64">
        <f t="shared" si="263"/>
        <v>65000000000510</v>
      </c>
      <c r="AQ523" s="64">
        <f t="shared" si="264"/>
        <v>65000000000511</v>
      </c>
      <c r="AS523" s="64">
        <f t="shared" si="265"/>
        <v>65000000000510</v>
      </c>
      <c r="AU523" s="59" t="str">
        <f t="shared" si="286"/>
        <v>PERFORM * FROM "SchData-OLTP-Accounting"."Func_TblChartOfAccount_SET"(varSystemLoginSession, null, null, null, varInstitutionBranchID, 62000000000001::bigint,'7-3002', 'Gain (Loss) Exchange Rate Difference Downer', 62000000000001::bigint, '2016-01-01 00:00:00'::timestamp, null::timestamp, 65000000000510::bigint, 66000000000001::bigint);</v>
      </c>
      <c r="AV523" s="65">
        <f t="shared" si="287"/>
        <v>65000000000513</v>
      </c>
      <c r="AW523" s="65">
        <f t="shared" si="288"/>
        <v>65000000000510</v>
      </c>
      <c r="AY523" s="65">
        <f t="shared" si="278"/>
        <v>65000000000147</v>
      </c>
      <c r="BA523" s="78">
        <f t="shared" si="258"/>
        <v>65000000000513</v>
      </c>
      <c r="BB523" s="81" t="str">
        <f t="shared" si="279"/>
        <v>PERFORM * FROM "SchData-OLTP-Accounting"."Func_TblChartOfAccount_SET"(varSystemLoginSession, null, null, null, null, null, varInstitutionBranchID, 62000000000001::bigint,'7-3002', 'Gain (Loss) Exchange Rate Difference Downer', 62000000000001::bigint, '2016-01-01 00:00:00'::timestamp, null::timestamp, 65000000000510::bigint, 66000000000001::bigint, FALSE::boolean);</v>
      </c>
    </row>
    <row r="524" spans="2:54" ht="25.5" x14ac:dyDescent="0.2">
      <c r="B524" s="43"/>
      <c r="C524" s="42"/>
      <c r="D524" s="43"/>
      <c r="E524" s="42"/>
      <c r="F524" s="43"/>
      <c r="G524" s="42"/>
      <c r="H524" s="43"/>
      <c r="I524" s="42"/>
      <c r="J524" s="43" t="s">
        <v>1676</v>
      </c>
      <c r="K524" s="42" t="s">
        <v>1196</v>
      </c>
      <c r="L524" s="51"/>
      <c r="M524" s="18"/>
      <c r="O524" s="58" t="str">
        <f t="shared" si="266"/>
        <v>7-0000</v>
      </c>
      <c r="P524" s="58" t="str">
        <f t="shared" si="267"/>
        <v>7-3000</v>
      </c>
      <c r="Q524" s="58" t="str">
        <f t="shared" si="268"/>
        <v>2-1200</v>
      </c>
      <c r="R524" s="58" t="str">
        <f t="shared" si="269"/>
        <v>7-3002</v>
      </c>
      <c r="S524" s="58" t="str">
        <f t="shared" si="270"/>
        <v>7-3002.01</v>
      </c>
      <c r="T524" s="58" t="str">
        <f t="shared" si="271"/>
        <v xml:space="preserve"> </v>
      </c>
      <c r="V524" s="72">
        <f t="shared" si="272"/>
        <v>65000000000514</v>
      </c>
      <c r="W524" s="60">
        <f t="shared" si="273"/>
        <v>65000000000500</v>
      </c>
      <c r="X524" s="60">
        <f t="shared" si="274"/>
        <v>65000000000510</v>
      </c>
      <c r="Y524" s="60">
        <f t="shared" si="275"/>
        <v>65000000000147</v>
      </c>
      <c r="Z524" s="60">
        <f t="shared" si="276"/>
        <v>65000000000513</v>
      </c>
      <c r="AA524" s="60">
        <f t="shared" si="259"/>
        <v>65000000000514</v>
      </c>
      <c r="AB524" s="60">
        <f t="shared" si="277"/>
        <v>65000000000000</v>
      </c>
      <c r="AD524" s="60">
        <f t="shared" si="280"/>
        <v>7</v>
      </c>
      <c r="AE524" s="60">
        <f t="shared" si="281"/>
        <v>4</v>
      </c>
      <c r="AF524" s="60">
        <f t="shared" si="282"/>
        <v>1</v>
      </c>
      <c r="AG524" s="60">
        <f t="shared" si="283"/>
        <v>167</v>
      </c>
      <c r="AH524" s="60">
        <f t="shared" si="284"/>
        <v>2</v>
      </c>
      <c r="AI524" s="60">
        <f t="shared" si="285"/>
        <v>1</v>
      </c>
      <c r="AK524" s="68" t="str">
        <f t="shared" si="260"/>
        <v>L5</v>
      </c>
      <c r="AM524" s="64" t="s">
        <v>1755</v>
      </c>
      <c r="AN524" s="64">
        <f t="shared" si="261"/>
        <v>65000000000500</v>
      </c>
      <c r="AO524" s="64">
        <f t="shared" si="262"/>
        <v>65000000000510</v>
      </c>
      <c r="AP524" s="64">
        <f t="shared" si="263"/>
        <v>65000000000510</v>
      </c>
      <c r="AQ524" s="64">
        <f t="shared" si="264"/>
        <v>65000000000513</v>
      </c>
      <c r="AS524" s="64">
        <f t="shared" si="265"/>
        <v>65000000000513</v>
      </c>
      <c r="AU524" s="59" t="str">
        <f t="shared" si="286"/>
        <v>PERFORM * FROM "SchData-OLTP-Accounting"."Func_TblChartOfAccount_SET"(varSystemLoginSession, null, null, null, varInstitutionBranchID, 62000000000001::bigint,'7-3002.01', 'Gain (Loss) Exchange Rate Difference Downer (IDR)', 62000000000001::bigint, '2016-01-01 00:00:00'::timestamp, null::timestamp, 65000000000513::bigint, 66000000000001::bigint);</v>
      </c>
      <c r="AV524" s="65">
        <f t="shared" si="287"/>
        <v>65000000000514</v>
      </c>
      <c r="AW524" s="65">
        <f t="shared" si="288"/>
        <v>65000000000513</v>
      </c>
      <c r="AY524" s="65">
        <f t="shared" si="278"/>
        <v>65000000000513</v>
      </c>
      <c r="BA524" s="78">
        <f t="shared" si="258"/>
        <v>65000000000514</v>
      </c>
      <c r="BB524" s="81" t="str">
        <f t="shared" si="279"/>
        <v>PERFORM * FROM "SchData-OLTP-Accounting"."Func_TblChartOfAccount_SET"(varSystemLoginSession, null, null, null, null, null, varInstitutionBranchID, 62000000000001::bigint,'7-3002.01', 'Gain (Loss) Exchange Rate Difference Downer (IDR)', 62000000000001::bigint, '2016-01-01 00:00:00'::timestamp, null::timestamp, 65000000000513::bigint, 66000000000001::bigint, FALSE::boolean);</v>
      </c>
    </row>
    <row r="525" spans="2:54" x14ac:dyDescent="0.2">
      <c r="B525" s="43"/>
      <c r="C525" s="42"/>
      <c r="D525" s="43" t="s">
        <v>1192</v>
      </c>
      <c r="E525" s="42" t="s">
        <v>1212</v>
      </c>
      <c r="F525" s="43"/>
      <c r="G525" s="42"/>
      <c r="H525" s="43"/>
      <c r="I525" s="42"/>
      <c r="J525" s="43"/>
      <c r="K525" s="42"/>
      <c r="L525" s="51"/>
      <c r="M525" s="18"/>
      <c r="O525" s="58" t="str">
        <f t="shared" si="266"/>
        <v>7-0000</v>
      </c>
      <c r="P525" s="58" t="str">
        <f t="shared" si="267"/>
        <v>7-4000</v>
      </c>
      <c r="Q525" s="58" t="str">
        <f t="shared" si="268"/>
        <v>2-1200</v>
      </c>
      <c r="R525" s="58" t="str">
        <f t="shared" si="269"/>
        <v>7-3002</v>
      </c>
      <c r="S525" s="58" t="str">
        <f t="shared" si="270"/>
        <v>7-3002.01</v>
      </c>
      <c r="T525" s="58" t="str">
        <f t="shared" si="271"/>
        <v xml:space="preserve"> </v>
      </c>
      <c r="V525" s="72">
        <f t="shared" si="272"/>
        <v>65000000000515</v>
      </c>
      <c r="W525" s="60">
        <f t="shared" si="273"/>
        <v>65000000000500</v>
      </c>
      <c r="X525" s="60">
        <f t="shared" si="274"/>
        <v>65000000000515</v>
      </c>
      <c r="Y525" s="60">
        <f t="shared" si="275"/>
        <v>65000000000147</v>
      </c>
      <c r="Z525" s="60">
        <f t="shared" si="276"/>
        <v>65000000000513</v>
      </c>
      <c r="AA525" s="60">
        <f t="shared" si="259"/>
        <v>65000000000514</v>
      </c>
      <c r="AB525" s="60">
        <f t="shared" si="277"/>
        <v>65000000000000</v>
      </c>
      <c r="AD525" s="60">
        <f t="shared" si="280"/>
        <v>7</v>
      </c>
      <c r="AE525" s="60">
        <f t="shared" si="281"/>
        <v>5</v>
      </c>
      <c r="AF525" s="60">
        <f t="shared" si="282"/>
        <v>1</v>
      </c>
      <c r="AG525" s="60">
        <f t="shared" si="283"/>
        <v>167</v>
      </c>
      <c r="AH525" s="60">
        <f t="shared" si="284"/>
        <v>2</v>
      </c>
      <c r="AI525" s="60">
        <f t="shared" si="285"/>
        <v>1</v>
      </c>
      <c r="AK525" s="68" t="str">
        <f t="shared" si="260"/>
        <v>L2</v>
      </c>
      <c r="AM525" s="64" t="s">
        <v>1755</v>
      </c>
      <c r="AN525" s="64">
        <f t="shared" si="261"/>
        <v>65000000000500</v>
      </c>
      <c r="AO525" s="64">
        <f t="shared" si="262"/>
        <v>65000000000510</v>
      </c>
      <c r="AP525" s="64">
        <f t="shared" si="263"/>
        <v>65000000000510</v>
      </c>
      <c r="AQ525" s="64">
        <f t="shared" si="264"/>
        <v>65000000000513</v>
      </c>
      <c r="AS525" s="64">
        <f t="shared" si="265"/>
        <v>65000000000500</v>
      </c>
      <c r="AU525" s="59" t="str">
        <f t="shared" si="286"/>
        <v>PERFORM * FROM "SchData-OLTP-Accounting"."Func_TblChartOfAccount_SET"(varSystemLoginSession, null, null, null, varInstitutionBranchID, 62000000000001::bigint,'7-4000', 'Other Revenue - Other', 62000000000001::bigint, '2016-01-01 00:00:00'::timestamp, null::timestamp, 65000000000500::bigint, 66000000000001::bigint);</v>
      </c>
      <c r="AV525" s="65">
        <f t="shared" si="287"/>
        <v>65000000000515</v>
      </c>
      <c r="AW525" s="65">
        <f t="shared" si="288"/>
        <v>65000000000500</v>
      </c>
      <c r="AY525" s="65">
        <f t="shared" si="278"/>
        <v>65000000000500</v>
      </c>
      <c r="BA525" s="78">
        <f t="shared" si="258"/>
        <v>65000000000515</v>
      </c>
      <c r="BB525" s="81" t="str">
        <f t="shared" si="279"/>
        <v>PERFORM * FROM "SchData-OLTP-Accounting"."Func_TblChartOfAccount_SET"(varSystemLoginSession, null, null, null, null, null, varInstitutionBranchID, 62000000000001::bigint,'7-4000', 'Other Revenue - Other', 62000000000001::bigint, '2016-01-01 00:00:00'::timestamp, null::timestamp, 65000000000500::bigint, 66000000000001::bigint, FALSE::boolean);</v>
      </c>
    </row>
    <row r="526" spans="2:54" ht="25.5" x14ac:dyDescent="0.2">
      <c r="B526" s="43"/>
      <c r="C526" s="42"/>
      <c r="D526" s="43"/>
      <c r="E526" s="42"/>
      <c r="F526" s="43" t="s">
        <v>1198</v>
      </c>
      <c r="G526" s="42" t="s">
        <v>1197</v>
      </c>
      <c r="H526" s="43"/>
      <c r="I526" s="42"/>
      <c r="J526" s="43"/>
      <c r="K526" s="42"/>
      <c r="L526" s="51"/>
      <c r="M526" s="33"/>
      <c r="O526" s="58" t="str">
        <f t="shared" si="266"/>
        <v>7-0000</v>
      </c>
      <c r="P526" s="58" t="str">
        <f t="shared" si="267"/>
        <v>7-4000</v>
      </c>
      <c r="Q526" s="58" t="str">
        <f t="shared" si="268"/>
        <v>7-4100</v>
      </c>
      <c r="R526" s="58" t="str">
        <f t="shared" si="269"/>
        <v>7-3002</v>
      </c>
      <c r="S526" s="58" t="str">
        <f t="shared" si="270"/>
        <v>7-3002.01</v>
      </c>
      <c r="T526" s="58" t="str">
        <f t="shared" si="271"/>
        <v xml:space="preserve"> </v>
      </c>
      <c r="V526" s="72">
        <f t="shared" si="272"/>
        <v>65000000000516</v>
      </c>
      <c r="W526" s="60">
        <f t="shared" si="273"/>
        <v>65000000000500</v>
      </c>
      <c r="X526" s="60">
        <f t="shared" si="274"/>
        <v>65000000000515</v>
      </c>
      <c r="Y526" s="60">
        <f t="shared" si="275"/>
        <v>65000000000516</v>
      </c>
      <c r="Z526" s="60">
        <f t="shared" si="276"/>
        <v>65000000000513</v>
      </c>
      <c r="AA526" s="60">
        <f t="shared" si="259"/>
        <v>65000000000514</v>
      </c>
      <c r="AB526" s="60">
        <f t="shared" si="277"/>
        <v>65000000000000</v>
      </c>
      <c r="AD526" s="60">
        <f t="shared" si="280"/>
        <v>7</v>
      </c>
      <c r="AE526" s="60">
        <f t="shared" si="281"/>
        <v>5</v>
      </c>
      <c r="AF526" s="60">
        <f t="shared" si="282"/>
        <v>2</v>
      </c>
      <c r="AG526" s="60">
        <f t="shared" si="283"/>
        <v>1</v>
      </c>
      <c r="AH526" s="60">
        <f t="shared" si="284"/>
        <v>1</v>
      </c>
      <c r="AI526" s="60">
        <f t="shared" si="285"/>
        <v>1</v>
      </c>
      <c r="AK526" s="68" t="str">
        <f t="shared" si="260"/>
        <v>L3</v>
      </c>
      <c r="AM526" s="64" t="s">
        <v>1755</v>
      </c>
      <c r="AN526" s="64">
        <f t="shared" si="261"/>
        <v>65000000000500</v>
      </c>
      <c r="AO526" s="64">
        <f t="shared" si="262"/>
        <v>65000000000515</v>
      </c>
      <c r="AP526" s="64">
        <f t="shared" si="263"/>
        <v>65000000000515</v>
      </c>
      <c r="AQ526" s="64">
        <f t="shared" si="264"/>
        <v>65000000000515</v>
      </c>
      <c r="AS526" s="64">
        <f t="shared" si="265"/>
        <v>65000000000515</v>
      </c>
      <c r="AU526" s="59" t="str">
        <f t="shared" si="286"/>
        <v>PERFORM * FROM "SchData-OLTP-Accounting"."Func_TblChartOfAccount_SET"(varSystemLoginSession, null, null, null, varInstitutionBranchID, 62000000000001::bigint,'7-4100', 'Income (loss) Subsidiary', 62000000000001::bigint, '2016-01-01 00:00:00'::timestamp, null::timestamp, 65000000000515::bigint, 66000000000001::bigint);</v>
      </c>
      <c r="AV526" s="65">
        <f t="shared" si="287"/>
        <v>65000000000516</v>
      </c>
      <c r="AW526" s="65">
        <f t="shared" si="288"/>
        <v>65000000000515</v>
      </c>
      <c r="AY526" s="65">
        <f t="shared" si="278"/>
        <v>65000000000515</v>
      </c>
      <c r="BA526" s="78">
        <f t="shared" si="258"/>
        <v>65000000000516</v>
      </c>
      <c r="BB526" s="81" t="str">
        <f t="shared" si="279"/>
        <v>PERFORM * FROM "SchData-OLTP-Accounting"."Func_TblChartOfAccount_SET"(varSystemLoginSession, null, null, null, null, null, varInstitutionBranchID, 62000000000001::bigint,'7-4100', 'Income (loss) Subsidiary', 62000000000001::bigint, '2016-01-01 00:00:00'::timestamp, null::timestamp, 65000000000515::bigint, 66000000000001::bigint, FALSE::boolean);</v>
      </c>
    </row>
    <row r="527" spans="2:54" ht="25.5" x14ac:dyDescent="0.2">
      <c r="B527" s="43"/>
      <c r="C527" s="42"/>
      <c r="D527" s="43"/>
      <c r="E527" s="42"/>
      <c r="F527" s="43"/>
      <c r="G527" s="42"/>
      <c r="H527" s="51"/>
      <c r="I527" s="42"/>
      <c r="J527" s="51" t="s">
        <v>1739</v>
      </c>
      <c r="K527" s="42" t="s">
        <v>1188</v>
      </c>
      <c r="L527" s="51"/>
      <c r="M527" s="33" t="s">
        <v>1736</v>
      </c>
      <c r="O527" s="58" t="str">
        <f t="shared" si="266"/>
        <v>7-0000</v>
      </c>
      <c r="P527" s="58" t="str">
        <f t="shared" si="267"/>
        <v>7-4000</v>
      </c>
      <c r="Q527" s="58" t="str">
        <f t="shared" si="268"/>
        <v>7-4100</v>
      </c>
      <c r="R527" s="58" t="str">
        <f t="shared" si="269"/>
        <v>7-3002</v>
      </c>
      <c r="S527" s="58" t="str">
        <f t="shared" si="270"/>
        <v>7-4100.01</v>
      </c>
      <c r="T527" s="58" t="str">
        <f t="shared" si="271"/>
        <v xml:space="preserve"> </v>
      </c>
      <c r="V527" s="72">
        <f t="shared" si="272"/>
        <v>65000000000517</v>
      </c>
      <c r="W527" s="60">
        <f t="shared" si="273"/>
        <v>65000000000500</v>
      </c>
      <c r="X527" s="60">
        <f t="shared" si="274"/>
        <v>65000000000515</v>
      </c>
      <c r="Y527" s="60">
        <f t="shared" si="275"/>
        <v>65000000000516</v>
      </c>
      <c r="Z527" s="60">
        <f t="shared" si="276"/>
        <v>65000000000513</v>
      </c>
      <c r="AA527" s="60">
        <f t="shared" si="259"/>
        <v>65000000000517</v>
      </c>
      <c r="AB527" s="60">
        <f t="shared" si="277"/>
        <v>65000000000000</v>
      </c>
      <c r="AD527" s="60">
        <f t="shared" si="280"/>
        <v>7</v>
      </c>
      <c r="AE527" s="60">
        <f t="shared" si="281"/>
        <v>5</v>
      </c>
      <c r="AF527" s="60">
        <f t="shared" si="282"/>
        <v>2</v>
      </c>
      <c r="AG527" s="60">
        <f t="shared" si="283"/>
        <v>1</v>
      </c>
      <c r="AH527" s="60">
        <f t="shared" si="284"/>
        <v>2</v>
      </c>
      <c r="AI527" s="60">
        <f t="shared" si="285"/>
        <v>1</v>
      </c>
      <c r="AK527" s="68" t="str">
        <f t="shared" si="260"/>
        <v>L5</v>
      </c>
      <c r="AM527" s="64" t="s">
        <v>1755</v>
      </c>
      <c r="AN527" s="64">
        <f t="shared" si="261"/>
        <v>65000000000500</v>
      </c>
      <c r="AO527" s="64">
        <f t="shared" si="262"/>
        <v>65000000000515</v>
      </c>
      <c r="AP527" s="64">
        <f t="shared" si="263"/>
        <v>65000000000516</v>
      </c>
      <c r="AQ527" s="64">
        <f t="shared" si="264"/>
        <v>65000000000516</v>
      </c>
      <c r="AS527" s="64">
        <f t="shared" si="265"/>
        <v>65000000000516</v>
      </c>
      <c r="AU527" s="59" t="str">
        <f t="shared" si="286"/>
        <v>PERFORM * FROM "SchData-OLTP-Accounting"."Func_TblChartOfAccount_SET"(varSystemLoginSession, null, null, null, varInstitutionBranchID, 62000000000001::bigint,'7-4100.01', 'Income (loss) Subsidiary IMD (IDR)', 62000000000001::bigint, '2016-01-01 00:00:00'::timestamp, null::timestamp, 65000000000516::bigint, 66000000000001::bigint);</v>
      </c>
      <c r="AV527" s="65">
        <f t="shared" si="287"/>
        <v>65000000000517</v>
      </c>
      <c r="AW527" s="65">
        <f t="shared" si="288"/>
        <v>65000000000516</v>
      </c>
      <c r="AY527" s="65">
        <f t="shared" si="278"/>
        <v>65000000000516</v>
      </c>
      <c r="BA527" s="78">
        <f t="shared" ref="BA527:BA545" si="289" xml:space="preserve"> BA526 + IF(EXACT(BB527, ""), 0, 1)</f>
        <v>65000000000517</v>
      </c>
      <c r="BB527" s="81" t="str">
        <f t="shared" si="279"/>
        <v>PERFORM * FROM "SchData-OLTP-Accounting"."Func_TblChartOfAccount_SET"(varSystemLoginSession, null, null, null, null, null, varInstitutionBranchID, 62000000000001::bigint,'7-4100.01', 'Income (loss) Subsidiary IMD (IDR)', 62000000000001::bigint, '2016-01-01 00:00:00'::timestamp, null::timestamp, 65000000000516::bigint, 66000000000001::bigint, FALSE::boolean);</v>
      </c>
    </row>
    <row r="528" spans="2:54" x14ac:dyDescent="0.2">
      <c r="B528" s="43"/>
      <c r="C528" s="42"/>
      <c r="D528" s="43"/>
      <c r="E528" s="42"/>
      <c r="F528" s="43" t="s">
        <v>1199</v>
      </c>
      <c r="G528" s="18" t="s">
        <v>1055</v>
      </c>
      <c r="H528" s="51"/>
      <c r="I528" s="18"/>
      <c r="J528" s="51"/>
      <c r="K528" s="18"/>
      <c r="L528" s="51"/>
      <c r="M528" s="18"/>
      <c r="O528" s="58" t="str">
        <f t="shared" si="266"/>
        <v>7-0000</v>
      </c>
      <c r="P528" s="58" t="str">
        <f t="shared" si="267"/>
        <v>7-4000</v>
      </c>
      <c r="Q528" s="58" t="str">
        <f t="shared" si="268"/>
        <v>7-4200</v>
      </c>
      <c r="R528" s="58" t="str">
        <f t="shared" si="269"/>
        <v>7-3002</v>
      </c>
      <c r="S528" s="58" t="str">
        <f t="shared" si="270"/>
        <v>7-4100.01</v>
      </c>
      <c r="T528" s="58" t="str">
        <f t="shared" si="271"/>
        <v xml:space="preserve"> </v>
      </c>
      <c r="V528" s="72">
        <f t="shared" si="272"/>
        <v>65000000000518</v>
      </c>
      <c r="W528" s="60">
        <f t="shared" si="273"/>
        <v>65000000000500</v>
      </c>
      <c r="X528" s="60">
        <f t="shared" si="274"/>
        <v>65000000000515</v>
      </c>
      <c r="Y528" s="60">
        <f t="shared" si="275"/>
        <v>65000000000518</v>
      </c>
      <c r="Z528" s="60">
        <f t="shared" si="276"/>
        <v>65000000000513</v>
      </c>
      <c r="AA528" s="60">
        <f t="shared" si="259"/>
        <v>65000000000517</v>
      </c>
      <c r="AB528" s="60">
        <f t="shared" si="277"/>
        <v>65000000000000</v>
      </c>
      <c r="AD528" s="60">
        <f t="shared" si="280"/>
        <v>7</v>
      </c>
      <c r="AE528" s="60">
        <f t="shared" si="281"/>
        <v>5</v>
      </c>
      <c r="AF528" s="60">
        <f t="shared" si="282"/>
        <v>3</v>
      </c>
      <c r="AG528" s="60">
        <f t="shared" si="283"/>
        <v>1</v>
      </c>
      <c r="AH528" s="60">
        <f t="shared" si="284"/>
        <v>2</v>
      </c>
      <c r="AI528" s="60">
        <f t="shared" si="285"/>
        <v>1</v>
      </c>
      <c r="AK528" s="68" t="str">
        <f t="shared" si="260"/>
        <v>L3</v>
      </c>
      <c r="AM528" s="64" t="s">
        <v>1755</v>
      </c>
      <c r="AN528" s="64">
        <f t="shared" si="261"/>
        <v>65000000000500</v>
      </c>
      <c r="AO528" s="64">
        <f t="shared" si="262"/>
        <v>65000000000515</v>
      </c>
      <c r="AP528" s="64">
        <f t="shared" si="263"/>
        <v>65000000000516</v>
      </c>
      <c r="AQ528" s="64">
        <f t="shared" si="264"/>
        <v>65000000000516</v>
      </c>
      <c r="AS528" s="64">
        <f t="shared" si="265"/>
        <v>65000000000515</v>
      </c>
      <c r="AU528" s="59" t="str">
        <f t="shared" si="286"/>
        <v>PERFORM * FROM "SchData-OLTP-Accounting"."Func_TblChartOfAccount_SET"(varSystemLoginSession, null, null, null, varInstitutionBranchID, 62000000000001::bigint,'7-4200', 'Income Tax', 62000000000001::bigint, '2016-01-01 00:00:00'::timestamp, null::timestamp, 65000000000515::bigint, 66000000000001::bigint);</v>
      </c>
      <c r="AV528" s="65">
        <f t="shared" si="287"/>
        <v>65000000000518</v>
      </c>
      <c r="AW528" s="65">
        <f t="shared" si="288"/>
        <v>65000000000515</v>
      </c>
      <c r="AY528" s="65">
        <f t="shared" si="278"/>
        <v>65000000000515</v>
      </c>
      <c r="BA528" s="78">
        <f t="shared" si="289"/>
        <v>65000000000518</v>
      </c>
      <c r="BB528" s="81" t="str">
        <f t="shared" si="279"/>
        <v>PERFORM * FROM "SchData-OLTP-Accounting"."Func_TblChartOfAccount_SET"(varSystemLoginSession, null, null, null, null, null, varInstitutionBranchID, 62000000000001::bigint,'7-4200', 'Income Tax', 62000000000001::bigint, '2016-01-01 00:00:00'::timestamp, null::timestamp, 65000000000515::bigint, 66000000000001::bigint, FALSE::boolean);</v>
      </c>
    </row>
    <row r="529" spans="2:54" x14ac:dyDescent="0.2">
      <c r="B529" s="43"/>
      <c r="C529" s="42"/>
      <c r="D529" s="43"/>
      <c r="E529" s="42"/>
      <c r="F529" s="43"/>
      <c r="G529" s="42"/>
      <c r="H529" s="51" t="s">
        <v>1200</v>
      </c>
      <c r="I529" s="18" t="s">
        <v>1055</v>
      </c>
      <c r="J529" s="51"/>
      <c r="K529" s="18"/>
      <c r="L529" s="51"/>
      <c r="M529" s="18"/>
      <c r="O529" s="58" t="str">
        <f t="shared" si="266"/>
        <v>7-0000</v>
      </c>
      <c r="P529" s="58" t="str">
        <f t="shared" si="267"/>
        <v>7-4000</v>
      </c>
      <c r="Q529" s="58" t="str">
        <f t="shared" si="268"/>
        <v>7-4200</v>
      </c>
      <c r="R529" s="58" t="str">
        <f t="shared" si="269"/>
        <v>7-4201</v>
      </c>
      <c r="S529" s="58" t="str">
        <f t="shared" si="270"/>
        <v>7-4100.01</v>
      </c>
      <c r="T529" s="58" t="str">
        <f t="shared" si="271"/>
        <v xml:space="preserve"> </v>
      </c>
      <c r="V529" s="72">
        <f t="shared" si="272"/>
        <v>65000000000519</v>
      </c>
      <c r="W529" s="60">
        <f t="shared" si="273"/>
        <v>65000000000500</v>
      </c>
      <c r="X529" s="60">
        <f t="shared" si="274"/>
        <v>65000000000515</v>
      </c>
      <c r="Y529" s="60">
        <f t="shared" si="275"/>
        <v>65000000000518</v>
      </c>
      <c r="Z529" s="60">
        <f t="shared" si="276"/>
        <v>65000000000519</v>
      </c>
      <c r="AA529" s="60">
        <f t="shared" si="259"/>
        <v>65000000000517</v>
      </c>
      <c r="AB529" s="60">
        <f t="shared" si="277"/>
        <v>65000000000000</v>
      </c>
      <c r="AD529" s="60">
        <f t="shared" si="280"/>
        <v>7</v>
      </c>
      <c r="AE529" s="60">
        <f t="shared" si="281"/>
        <v>5</v>
      </c>
      <c r="AF529" s="60">
        <f t="shared" si="282"/>
        <v>3</v>
      </c>
      <c r="AG529" s="60">
        <f t="shared" si="283"/>
        <v>2</v>
      </c>
      <c r="AH529" s="60">
        <f t="shared" si="284"/>
        <v>1</v>
      </c>
      <c r="AI529" s="60">
        <f t="shared" si="285"/>
        <v>1</v>
      </c>
      <c r="AK529" s="68" t="str">
        <f t="shared" si="260"/>
        <v>L4</v>
      </c>
      <c r="AM529" s="64" t="s">
        <v>1755</v>
      </c>
      <c r="AN529" s="64">
        <f t="shared" si="261"/>
        <v>65000000000500</v>
      </c>
      <c r="AO529" s="64">
        <f t="shared" si="262"/>
        <v>65000000000515</v>
      </c>
      <c r="AP529" s="64">
        <f t="shared" si="263"/>
        <v>65000000000518</v>
      </c>
      <c r="AQ529" s="64">
        <f t="shared" si="264"/>
        <v>65000000000518</v>
      </c>
      <c r="AS529" s="64">
        <f t="shared" si="265"/>
        <v>65000000000518</v>
      </c>
      <c r="AU529" s="59" t="str">
        <f t="shared" si="286"/>
        <v>PERFORM * FROM "SchData-OLTP-Accounting"."Func_TblChartOfAccount_SET"(varSystemLoginSession, null, null, null, varInstitutionBranchID, 62000000000001::bigint,'7-4201', 'Income Tax', 62000000000001::bigint, '2016-01-01 00:00:00'::timestamp, null::timestamp, 65000000000518::bigint, 66000000000001::bigint);</v>
      </c>
      <c r="AV529" s="65">
        <f t="shared" si="287"/>
        <v>65000000000519</v>
      </c>
      <c r="AW529" s="65">
        <f t="shared" si="288"/>
        <v>65000000000518</v>
      </c>
      <c r="AY529" s="65">
        <f t="shared" si="278"/>
        <v>65000000000518</v>
      </c>
      <c r="BA529" s="78">
        <f t="shared" si="289"/>
        <v>65000000000519</v>
      </c>
      <c r="BB529" s="81" t="str">
        <f t="shared" si="279"/>
        <v>PERFORM * FROM "SchData-OLTP-Accounting"."Func_TblChartOfAccount_SET"(varSystemLoginSession, null, null, null, null, null, varInstitutionBranchID, 62000000000001::bigint,'7-4201', 'Income Tax', 62000000000001::bigint, '2016-01-01 00:00:00'::timestamp, null::timestamp, 65000000000518::bigint, 66000000000001::bigint, FALSE::boolean);</v>
      </c>
    </row>
    <row r="530" spans="2:54" x14ac:dyDescent="0.2">
      <c r="B530" s="43"/>
      <c r="C530" s="42"/>
      <c r="D530" s="43"/>
      <c r="E530" s="42"/>
      <c r="F530" s="43"/>
      <c r="G530" s="42"/>
      <c r="H530" s="51"/>
      <c r="I530" s="18"/>
      <c r="J530" s="51" t="s">
        <v>1201</v>
      </c>
      <c r="K530" s="18" t="s">
        <v>1189</v>
      </c>
      <c r="L530" s="51"/>
      <c r="M530" s="18"/>
      <c r="O530" s="58" t="str">
        <f t="shared" si="266"/>
        <v>7-0000</v>
      </c>
      <c r="P530" s="58" t="str">
        <f t="shared" si="267"/>
        <v>7-4000</v>
      </c>
      <c r="Q530" s="58" t="str">
        <f t="shared" si="268"/>
        <v>7-4200</v>
      </c>
      <c r="R530" s="58" t="str">
        <f t="shared" si="269"/>
        <v>7-4201</v>
      </c>
      <c r="S530" s="58" t="str">
        <f t="shared" si="270"/>
        <v>7-4201.01</v>
      </c>
      <c r="T530" s="58" t="str">
        <f t="shared" si="271"/>
        <v xml:space="preserve"> </v>
      </c>
      <c r="V530" s="72">
        <f t="shared" si="272"/>
        <v>65000000000520</v>
      </c>
      <c r="W530" s="60">
        <f t="shared" si="273"/>
        <v>65000000000500</v>
      </c>
      <c r="X530" s="60">
        <f t="shared" si="274"/>
        <v>65000000000515</v>
      </c>
      <c r="Y530" s="60">
        <f t="shared" si="275"/>
        <v>65000000000518</v>
      </c>
      <c r="Z530" s="60">
        <f t="shared" si="276"/>
        <v>65000000000519</v>
      </c>
      <c r="AA530" s="60">
        <f t="shared" si="259"/>
        <v>65000000000520</v>
      </c>
      <c r="AB530" s="60">
        <f t="shared" si="277"/>
        <v>65000000000000</v>
      </c>
      <c r="AD530" s="60">
        <f t="shared" si="280"/>
        <v>7</v>
      </c>
      <c r="AE530" s="60">
        <f t="shared" si="281"/>
        <v>5</v>
      </c>
      <c r="AF530" s="60">
        <f t="shared" si="282"/>
        <v>3</v>
      </c>
      <c r="AG530" s="60">
        <f t="shared" si="283"/>
        <v>2</v>
      </c>
      <c r="AH530" s="60">
        <f t="shared" si="284"/>
        <v>2</v>
      </c>
      <c r="AI530" s="60">
        <f t="shared" si="285"/>
        <v>1</v>
      </c>
      <c r="AK530" s="68" t="str">
        <f t="shared" si="260"/>
        <v>L5</v>
      </c>
      <c r="AM530" s="64" t="s">
        <v>1755</v>
      </c>
      <c r="AN530" s="64">
        <f t="shared" si="261"/>
        <v>65000000000500</v>
      </c>
      <c r="AO530" s="64">
        <f t="shared" si="262"/>
        <v>65000000000515</v>
      </c>
      <c r="AP530" s="64">
        <f t="shared" si="263"/>
        <v>65000000000518</v>
      </c>
      <c r="AQ530" s="64">
        <f t="shared" si="264"/>
        <v>65000000000519</v>
      </c>
      <c r="AS530" s="64">
        <f t="shared" si="265"/>
        <v>65000000000519</v>
      </c>
      <c r="AU530" s="59" t="str">
        <f t="shared" si="286"/>
        <v>PERFORM * FROM "SchData-OLTP-Accounting"."Func_TblChartOfAccount_SET"(varSystemLoginSession, null, null, null, varInstitutionBranchID, 62000000000001::bigint,'7-4201.01', 'Income Tax (IDR)', 62000000000001::bigint, '2016-01-01 00:00:00'::timestamp, null::timestamp, 65000000000519::bigint, 66000000000001::bigint);</v>
      </c>
      <c r="AV530" s="65">
        <f t="shared" si="287"/>
        <v>65000000000520</v>
      </c>
      <c r="AW530" s="65">
        <f t="shared" si="288"/>
        <v>65000000000519</v>
      </c>
      <c r="AY530" s="65">
        <f t="shared" si="278"/>
        <v>65000000000519</v>
      </c>
      <c r="BA530" s="78">
        <f t="shared" si="289"/>
        <v>65000000000520</v>
      </c>
      <c r="BB530" s="81" t="str">
        <f t="shared" si="279"/>
        <v>PERFORM * FROM "SchData-OLTP-Accounting"."Func_TblChartOfAccount_SET"(varSystemLoginSession, null, null, null, null, null, varInstitutionBranchID, 62000000000001::bigint,'7-4201.01', 'Income Tax (IDR)', 62000000000001::bigint, '2016-01-01 00:00:00'::timestamp, null::timestamp, 65000000000519::bigint, 66000000000001::bigint, FALSE::boolean);</v>
      </c>
    </row>
    <row r="531" spans="2:54" x14ac:dyDescent="0.2">
      <c r="B531" s="41" t="s">
        <v>1186</v>
      </c>
      <c r="C531" s="42" t="s">
        <v>1187</v>
      </c>
      <c r="D531" s="43"/>
      <c r="E531" s="42"/>
      <c r="F531" s="43"/>
      <c r="G531" s="42"/>
      <c r="H531" s="51"/>
      <c r="I531" s="18"/>
      <c r="J531" s="51"/>
      <c r="K531" s="18"/>
      <c r="L531" s="51"/>
      <c r="M531" s="18"/>
      <c r="O531" s="58" t="str">
        <f t="shared" si="266"/>
        <v>8-0000</v>
      </c>
      <c r="P531" s="58" t="str">
        <f t="shared" si="267"/>
        <v>7-4000</v>
      </c>
      <c r="Q531" s="58" t="str">
        <f t="shared" si="268"/>
        <v>7-4200</v>
      </c>
      <c r="R531" s="58" t="str">
        <f t="shared" si="269"/>
        <v>7-4201</v>
      </c>
      <c r="S531" s="58" t="str">
        <f t="shared" si="270"/>
        <v>7-4201.01</v>
      </c>
      <c r="T531" s="58" t="str">
        <f t="shared" si="271"/>
        <v xml:space="preserve"> </v>
      </c>
      <c r="V531" s="72">
        <f t="shared" si="272"/>
        <v>65000000000521</v>
      </c>
      <c r="W531" s="70">
        <f t="shared" si="273"/>
        <v>65000000000521</v>
      </c>
      <c r="X531" s="60">
        <f t="shared" si="274"/>
        <v>65000000000515</v>
      </c>
      <c r="Y531" s="60">
        <f t="shared" si="275"/>
        <v>65000000000518</v>
      </c>
      <c r="Z531" s="60">
        <f t="shared" si="276"/>
        <v>65000000000519</v>
      </c>
      <c r="AA531" s="60">
        <f t="shared" si="259"/>
        <v>65000000000520</v>
      </c>
      <c r="AB531" s="60">
        <f t="shared" si="277"/>
        <v>65000000000000</v>
      </c>
      <c r="AD531" s="60">
        <f t="shared" si="280"/>
        <v>8</v>
      </c>
      <c r="AE531" s="60">
        <f t="shared" si="281"/>
        <v>1</v>
      </c>
      <c r="AF531" s="60">
        <f t="shared" si="282"/>
        <v>1</v>
      </c>
      <c r="AG531" s="60">
        <f t="shared" si="283"/>
        <v>1</v>
      </c>
      <c r="AH531" s="60">
        <f t="shared" si="284"/>
        <v>1</v>
      </c>
      <c r="AI531" s="60">
        <f t="shared" si="285"/>
        <v>1</v>
      </c>
      <c r="AK531" s="68" t="str">
        <f t="shared" si="260"/>
        <v>L1</v>
      </c>
      <c r="AM531" s="64" t="s">
        <v>1755</v>
      </c>
      <c r="AN531" s="64">
        <f t="shared" si="261"/>
        <v>65000000000500</v>
      </c>
      <c r="AO531" s="64">
        <f t="shared" si="262"/>
        <v>65000000000515</v>
      </c>
      <c r="AP531" s="64">
        <f t="shared" si="263"/>
        <v>65000000000518</v>
      </c>
      <c r="AQ531" s="64">
        <f t="shared" si="264"/>
        <v>65000000000519</v>
      </c>
      <c r="AS531" s="64" t="str">
        <f t="shared" si="265"/>
        <v>null</v>
      </c>
      <c r="AU531" s="59" t="str">
        <f t="shared" si="286"/>
        <v>PERFORM * FROM "SchData-OLTP-Accounting"."Func_TblChartOfAccount_SET"(varSystemLoginSession, null, null, null, varInstitutionBranchID, 62000000000001::bigint,'8-0000', 'Biaya Lain - Lain', 62000000000001::bigint, '2016-01-01 00:00:00'::timestamp, null::timestamp, null::bigint, 66000000000001::bigint);</v>
      </c>
      <c r="AV531" s="65">
        <f t="shared" si="287"/>
        <v>65000000000521</v>
      </c>
      <c r="AW531" s="65" t="str">
        <f t="shared" si="288"/>
        <v>null</v>
      </c>
      <c r="AY531" s="65" t="str">
        <f t="shared" si="278"/>
        <v>null</v>
      </c>
      <c r="BA531" s="78">
        <f t="shared" si="289"/>
        <v>65000000000521</v>
      </c>
      <c r="BB531" s="81" t="str">
        <f t="shared" si="279"/>
        <v>PERFORM * FROM "SchData-OLTP-Accounting"."Func_TblChartOfAccount_SET"(varSystemLoginSession, null, null, null, null, null, varInstitutionBranchID, 62000000000001::bigint,'8-0000', 'Biaya Lain - Lain', 62000000000001::bigint, '2016-01-01 00:00:00'::timestamp, null::timestamp, null::bigint, 66000000000001::bigint, FALSE::boolean);</v>
      </c>
    </row>
    <row r="532" spans="2:54" x14ac:dyDescent="0.2">
      <c r="B532" s="43"/>
      <c r="C532" s="42"/>
      <c r="D532" s="43" t="s">
        <v>1204</v>
      </c>
      <c r="E532" s="42" t="s">
        <v>649</v>
      </c>
      <c r="F532" s="43"/>
      <c r="G532" s="42"/>
      <c r="H532" s="51"/>
      <c r="I532" s="18"/>
      <c r="J532" s="51"/>
      <c r="K532" s="18"/>
      <c r="L532" s="51"/>
      <c r="M532" s="18"/>
      <c r="O532" s="58" t="str">
        <f t="shared" si="266"/>
        <v>8-0000</v>
      </c>
      <c r="P532" s="58" t="str">
        <f t="shared" si="267"/>
        <v>8-1000</v>
      </c>
      <c r="Q532" s="58" t="str">
        <f t="shared" si="268"/>
        <v>7-4200</v>
      </c>
      <c r="R532" s="58" t="str">
        <f t="shared" si="269"/>
        <v>7-4201</v>
      </c>
      <c r="S532" s="58" t="str">
        <f t="shared" si="270"/>
        <v>7-4201.01</v>
      </c>
      <c r="T532" s="58" t="str">
        <f t="shared" si="271"/>
        <v xml:space="preserve"> </v>
      </c>
      <c r="V532" s="72">
        <f t="shared" si="272"/>
        <v>65000000000522</v>
      </c>
      <c r="W532" s="60">
        <f t="shared" si="273"/>
        <v>65000000000521</v>
      </c>
      <c r="X532" s="70">
        <f t="shared" si="274"/>
        <v>65000000000522</v>
      </c>
      <c r="Y532" s="60">
        <f t="shared" si="275"/>
        <v>65000000000518</v>
      </c>
      <c r="Z532" s="60">
        <f t="shared" si="276"/>
        <v>65000000000519</v>
      </c>
      <c r="AA532" s="60">
        <f t="shared" si="259"/>
        <v>65000000000520</v>
      </c>
      <c r="AB532" s="60">
        <f t="shared" si="277"/>
        <v>65000000000000</v>
      </c>
      <c r="AD532" s="60">
        <f t="shared" si="280"/>
        <v>8</v>
      </c>
      <c r="AE532" s="60">
        <f t="shared" si="281"/>
        <v>2</v>
      </c>
      <c r="AF532" s="60">
        <f t="shared" si="282"/>
        <v>1</v>
      </c>
      <c r="AG532" s="60">
        <f t="shared" si="283"/>
        <v>1</v>
      </c>
      <c r="AH532" s="60">
        <f t="shared" si="284"/>
        <v>1</v>
      </c>
      <c r="AI532" s="60">
        <f t="shared" si="285"/>
        <v>1</v>
      </c>
      <c r="AK532" s="68" t="str">
        <f t="shared" si="260"/>
        <v>L2</v>
      </c>
      <c r="AM532" s="64" t="s">
        <v>1755</v>
      </c>
      <c r="AN532" s="64">
        <f t="shared" si="261"/>
        <v>65000000000521</v>
      </c>
      <c r="AO532" s="64">
        <f t="shared" si="262"/>
        <v>65000000000521</v>
      </c>
      <c r="AP532" s="64">
        <f t="shared" si="263"/>
        <v>65000000000521</v>
      </c>
      <c r="AQ532" s="64">
        <f t="shared" si="264"/>
        <v>65000000000521</v>
      </c>
      <c r="AS532" s="64">
        <f t="shared" si="265"/>
        <v>65000000000521</v>
      </c>
      <c r="AU532" s="59" t="str">
        <f t="shared" si="286"/>
        <v>PERFORM * FROM "SchData-OLTP-Accounting"."Func_TblChartOfAccount_SET"(varSystemLoginSession, null, null, null, varInstitutionBranchID, 62000000000001::bigint,'8-1000', 'Interest Expenses', 62000000000001::bigint, '2016-01-01 00:00:00'::timestamp, null::timestamp, 65000000000521::bigint, 66000000000001::bigint);</v>
      </c>
      <c r="AV532" s="65">
        <f t="shared" si="287"/>
        <v>65000000000522</v>
      </c>
      <c r="AW532" s="65">
        <f t="shared" si="288"/>
        <v>65000000000521</v>
      </c>
      <c r="AY532" s="65">
        <f t="shared" si="278"/>
        <v>65000000000521</v>
      </c>
      <c r="BA532" s="78">
        <f t="shared" si="289"/>
        <v>65000000000522</v>
      </c>
      <c r="BB532" s="81" t="str">
        <f t="shared" si="279"/>
        <v>PERFORM * FROM "SchData-OLTP-Accounting"."Func_TblChartOfAccount_SET"(varSystemLoginSession, null, null, null, null, null, varInstitutionBranchID, 62000000000001::bigint,'8-1000', 'Interest Expenses', 62000000000001::bigint, '2016-01-01 00:00:00'::timestamp, null::timestamp, 65000000000521::bigint, 66000000000001::bigint, FALSE::boolean);</v>
      </c>
    </row>
    <row r="533" spans="2:54" x14ac:dyDescent="0.2">
      <c r="B533" s="43"/>
      <c r="C533" s="42"/>
      <c r="D533" s="43"/>
      <c r="E533" s="42"/>
      <c r="F533" s="43"/>
      <c r="G533" s="42"/>
      <c r="H533" s="51" t="s">
        <v>1677</v>
      </c>
      <c r="I533" s="18" t="s">
        <v>651</v>
      </c>
      <c r="J533" s="51"/>
      <c r="K533" s="18"/>
      <c r="L533" s="51"/>
      <c r="M533" s="18"/>
      <c r="O533" s="58" t="str">
        <f t="shared" si="266"/>
        <v>8-0000</v>
      </c>
      <c r="P533" s="58" t="str">
        <f t="shared" si="267"/>
        <v>8-1000</v>
      </c>
      <c r="Q533" s="58" t="str">
        <f t="shared" si="268"/>
        <v>7-4200</v>
      </c>
      <c r="R533" s="58" t="str">
        <f t="shared" si="269"/>
        <v>8-1001</v>
      </c>
      <c r="S533" s="58" t="str">
        <f t="shared" si="270"/>
        <v>7-4201.01</v>
      </c>
      <c r="T533" s="58" t="str">
        <f t="shared" si="271"/>
        <v xml:space="preserve"> </v>
      </c>
      <c r="V533" s="72">
        <f t="shared" si="272"/>
        <v>65000000000523</v>
      </c>
      <c r="W533" s="60">
        <f t="shared" si="273"/>
        <v>65000000000521</v>
      </c>
      <c r="X533" s="60">
        <f t="shared" si="274"/>
        <v>65000000000522</v>
      </c>
      <c r="Y533" s="60">
        <f t="shared" si="275"/>
        <v>65000000000518</v>
      </c>
      <c r="Z533" s="70">
        <f t="shared" si="276"/>
        <v>65000000000523</v>
      </c>
      <c r="AA533" s="60">
        <f t="shared" si="259"/>
        <v>65000000000520</v>
      </c>
      <c r="AB533" s="60">
        <f t="shared" si="277"/>
        <v>65000000000000</v>
      </c>
      <c r="AD533" s="60">
        <f t="shared" si="280"/>
        <v>8</v>
      </c>
      <c r="AE533" s="60">
        <f t="shared" si="281"/>
        <v>2</v>
      </c>
      <c r="AF533" s="60">
        <f t="shared" si="282"/>
        <v>1</v>
      </c>
      <c r="AG533" s="60">
        <f t="shared" si="283"/>
        <v>2</v>
      </c>
      <c r="AH533" s="60">
        <f t="shared" si="284"/>
        <v>1</v>
      </c>
      <c r="AI533" s="60">
        <f t="shared" si="285"/>
        <v>1</v>
      </c>
      <c r="AK533" s="68" t="str">
        <f t="shared" si="260"/>
        <v>L4</v>
      </c>
      <c r="AM533" s="64" t="s">
        <v>1755</v>
      </c>
      <c r="AN533" s="64">
        <f t="shared" si="261"/>
        <v>65000000000521</v>
      </c>
      <c r="AO533" s="64">
        <f t="shared" si="262"/>
        <v>65000000000522</v>
      </c>
      <c r="AP533" s="64">
        <f t="shared" si="263"/>
        <v>65000000000522</v>
      </c>
      <c r="AQ533" s="64">
        <f t="shared" si="264"/>
        <v>65000000000522</v>
      </c>
      <c r="AS533" s="64">
        <f t="shared" si="265"/>
        <v>65000000000522</v>
      </c>
      <c r="AU533" s="59" t="str">
        <f t="shared" si="286"/>
        <v>PERFORM * FROM "SchData-OLTP-Accounting"."Func_TblChartOfAccount_SET"(varSystemLoginSession, null, null, null, varInstitutionBranchID, 62000000000001::bigint,'8-1001', 'Interest Expense Downer', 62000000000001::bigint, '2016-01-01 00:00:00'::timestamp, null::timestamp, 65000000000522::bigint, 66000000000001::bigint);</v>
      </c>
      <c r="AV533" s="65">
        <f t="shared" si="287"/>
        <v>65000000000523</v>
      </c>
      <c r="AW533" s="65">
        <f t="shared" si="288"/>
        <v>65000000000522</v>
      </c>
      <c r="AY533" s="65">
        <f t="shared" si="278"/>
        <v>65000000000522</v>
      </c>
      <c r="BA533" s="78">
        <f t="shared" si="289"/>
        <v>65000000000523</v>
      </c>
      <c r="BB533" s="81" t="str">
        <f t="shared" si="279"/>
        <v>PERFORM * FROM "SchData-OLTP-Accounting"."Func_TblChartOfAccount_SET"(varSystemLoginSession, null, null, null, null, null, varInstitutionBranchID, 62000000000001::bigint,'8-1001', 'Interest Expense Downer', 62000000000001::bigint, '2016-01-01 00:00:00'::timestamp, null::timestamp, 65000000000522::bigint, 66000000000001::bigint, FALSE::boolean);</v>
      </c>
    </row>
    <row r="534" spans="2:54" x14ac:dyDescent="0.2">
      <c r="B534" s="43"/>
      <c r="C534" s="42"/>
      <c r="D534" s="43"/>
      <c r="E534" s="42"/>
      <c r="F534" s="43"/>
      <c r="G534" s="42"/>
      <c r="H534" s="51"/>
      <c r="I534" s="18"/>
      <c r="J534" s="51" t="s">
        <v>1679</v>
      </c>
      <c r="K534" s="18" t="s">
        <v>1205</v>
      </c>
      <c r="L534" s="51"/>
      <c r="M534" s="18"/>
      <c r="O534" s="58" t="str">
        <f t="shared" si="266"/>
        <v>8-0000</v>
      </c>
      <c r="P534" s="58" t="str">
        <f t="shared" si="267"/>
        <v>8-1000</v>
      </c>
      <c r="Q534" s="58" t="str">
        <f t="shared" si="268"/>
        <v>7-4200</v>
      </c>
      <c r="R534" s="58" t="str">
        <f t="shared" si="269"/>
        <v>8-1001</v>
      </c>
      <c r="S534" s="58" t="str">
        <f t="shared" si="270"/>
        <v>8-1001.01</v>
      </c>
      <c r="T534" s="58" t="str">
        <f t="shared" si="271"/>
        <v xml:space="preserve"> </v>
      </c>
      <c r="V534" s="72">
        <f t="shared" si="272"/>
        <v>65000000000524</v>
      </c>
      <c r="W534" s="60">
        <f t="shared" si="273"/>
        <v>65000000000521</v>
      </c>
      <c r="X534" s="60">
        <f t="shared" si="274"/>
        <v>65000000000522</v>
      </c>
      <c r="Y534" s="60">
        <f t="shared" si="275"/>
        <v>65000000000518</v>
      </c>
      <c r="Z534" s="60">
        <f t="shared" si="276"/>
        <v>65000000000523</v>
      </c>
      <c r="AA534" s="70">
        <f t="shared" si="259"/>
        <v>65000000000524</v>
      </c>
      <c r="AB534" s="60">
        <f t="shared" si="277"/>
        <v>65000000000000</v>
      </c>
      <c r="AD534" s="60">
        <f t="shared" si="280"/>
        <v>8</v>
      </c>
      <c r="AE534" s="60">
        <f t="shared" si="281"/>
        <v>2</v>
      </c>
      <c r="AF534" s="60">
        <f t="shared" si="282"/>
        <v>1</v>
      </c>
      <c r="AG534" s="60">
        <f t="shared" si="283"/>
        <v>2</v>
      </c>
      <c r="AH534" s="60">
        <f t="shared" si="284"/>
        <v>2</v>
      </c>
      <c r="AI534" s="60">
        <f t="shared" si="285"/>
        <v>1</v>
      </c>
      <c r="AK534" s="68" t="str">
        <f t="shared" si="260"/>
        <v>L5</v>
      </c>
      <c r="AL534" s="64"/>
      <c r="AM534" s="64" t="s">
        <v>1755</v>
      </c>
      <c r="AN534" s="64">
        <f t="shared" si="261"/>
        <v>65000000000521</v>
      </c>
      <c r="AO534" s="64">
        <f t="shared" si="262"/>
        <v>65000000000522</v>
      </c>
      <c r="AP534" s="64">
        <f t="shared" si="263"/>
        <v>65000000000522</v>
      </c>
      <c r="AQ534" s="64">
        <f t="shared" si="264"/>
        <v>65000000000523</v>
      </c>
      <c r="AS534" s="64">
        <f t="shared" si="265"/>
        <v>65000000000523</v>
      </c>
      <c r="AU534" s="59" t="str">
        <f t="shared" si="286"/>
        <v>PERFORM * FROM "SchData-OLTP-Accounting"."Func_TblChartOfAccount_SET"(varSystemLoginSession, null, null, null, varInstitutionBranchID, 62000000000001::bigint,'8-1001.01', 'Interest Expense Downer (IDR)', 62000000000001::bigint, '2016-01-01 00:00:00'::timestamp, null::timestamp, 65000000000523::bigint, 66000000000001::bigint);</v>
      </c>
      <c r="AV534" s="65">
        <f t="shared" si="287"/>
        <v>65000000000524</v>
      </c>
      <c r="AW534" s="65">
        <f t="shared" si="288"/>
        <v>65000000000523</v>
      </c>
      <c r="AY534" s="65">
        <f t="shared" si="278"/>
        <v>65000000000523</v>
      </c>
      <c r="BA534" s="78">
        <f t="shared" si="289"/>
        <v>65000000000524</v>
      </c>
      <c r="BB534" s="81" t="str">
        <f t="shared" si="279"/>
        <v>PERFORM * FROM "SchData-OLTP-Accounting"."Func_TblChartOfAccount_SET"(varSystemLoginSession, null, null, null, null, null, varInstitutionBranchID, 62000000000001::bigint,'8-1001.01', 'Interest Expense Downer (IDR)', 62000000000001::bigint, '2016-01-01 00:00:00'::timestamp, null::timestamp, 65000000000523::bigint, 66000000000001::bigint, FALSE::boolean);</v>
      </c>
    </row>
    <row r="535" spans="2:54" x14ac:dyDescent="0.2">
      <c r="B535" s="43"/>
      <c r="C535" s="42"/>
      <c r="D535" s="43"/>
      <c r="E535" s="42"/>
      <c r="F535" s="43"/>
      <c r="G535" s="42"/>
      <c r="H535" s="51" t="s">
        <v>1678</v>
      </c>
      <c r="I535" s="18" t="s">
        <v>653</v>
      </c>
      <c r="J535" s="51"/>
      <c r="K535" s="18"/>
      <c r="L535" s="51"/>
      <c r="M535" s="18"/>
      <c r="O535" s="58" t="str">
        <f t="shared" si="266"/>
        <v>8-0000</v>
      </c>
      <c r="P535" s="58" t="str">
        <f t="shared" si="267"/>
        <v>8-1000</v>
      </c>
      <c r="Q535" s="58" t="str">
        <f t="shared" si="268"/>
        <v>7-4200</v>
      </c>
      <c r="R535" s="58" t="str">
        <f t="shared" si="269"/>
        <v>8-1002</v>
      </c>
      <c r="S535" s="58" t="str">
        <f t="shared" si="270"/>
        <v>8-1001.01</v>
      </c>
      <c r="T535" s="58" t="str">
        <f t="shared" si="271"/>
        <v xml:space="preserve"> </v>
      </c>
      <c r="V535" s="72">
        <f t="shared" si="272"/>
        <v>65000000000525</v>
      </c>
      <c r="W535" s="60">
        <f t="shared" si="273"/>
        <v>65000000000521</v>
      </c>
      <c r="X535" s="60">
        <f t="shared" si="274"/>
        <v>65000000000522</v>
      </c>
      <c r="Y535" s="60">
        <f t="shared" si="275"/>
        <v>65000000000518</v>
      </c>
      <c r="Z535" s="70">
        <f t="shared" si="276"/>
        <v>65000000000525</v>
      </c>
      <c r="AA535" s="60">
        <f t="shared" si="259"/>
        <v>65000000000524</v>
      </c>
      <c r="AB535" s="60">
        <f t="shared" si="277"/>
        <v>65000000000000</v>
      </c>
      <c r="AD535" s="60">
        <f t="shared" si="280"/>
        <v>8</v>
      </c>
      <c r="AE535" s="60">
        <f t="shared" si="281"/>
        <v>2</v>
      </c>
      <c r="AF535" s="60">
        <f t="shared" si="282"/>
        <v>1</v>
      </c>
      <c r="AG535" s="60">
        <f t="shared" si="283"/>
        <v>3</v>
      </c>
      <c r="AH535" s="60">
        <f t="shared" si="284"/>
        <v>1</v>
      </c>
      <c r="AI535" s="60">
        <f t="shared" si="285"/>
        <v>1</v>
      </c>
      <c r="AK535" s="68" t="str">
        <f t="shared" si="260"/>
        <v>L4</v>
      </c>
      <c r="AL535" s="64"/>
      <c r="AM535" s="64" t="s">
        <v>1755</v>
      </c>
      <c r="AN535" s="64">
        <f t="shared" si="261"/>
        <v>65000000000521</v>
      </c>
      <c r="AO535" s="64">
        <f t="shared" si="262"/>
        <v>65000000000522</v>
      </c>
      <c r="AP535" s="64">
        <f t="shared" si="263"/>
        <v>65000000000522</v>
      </c>
      <c r="AQ535" s="64">
        <f t="shared" si="264"/>
        <v>65000000000523</v>
      </c>
      <c r="AS535" s="64">
        <f t="shared" si="265"/>
        <v>65000000000522</v>
      </c>
      <c r="AU535" s="59" t="str">
        <f t="shared" si="286"/>
        <v>PERFORM * FROM "SchData-OLTP-Accounting"."Func_TblChartOfAccount_SET"(varSystemLoginSession, null, null, null, varInstitutionBranchID, 62000000000001::bigint,'8-1002', 'Interest Expense Redi', 62000000000001::bigint, '2016-01-01 00:00:00'::timestamp, null::timestamp, 65000000000522::bigint, 66000000000001::bigint);</v>
      </c>
      <c r="AV535" s="65">
        <f t="shared" si="287"/>
        <v>65000000000525</v>
      </c>
      <c r="AW535" s="65">
        <f t="shared" si="288"/>
        <v>65000000000522</v>
      </c>
      <c r="AY535" s="67">
        <f t="shared" si="278"/>
        <v>65000000000518</v>
      </c>
      <c r="BA535" s="78">
        <f t="shared" si="289"/>
        <v>65000000000525</v>
      </c>
      <c r="BB535" s="81" t="str">
        <f t="shared" si="279"/>
        <v>PERFORM * FROM "SchData-OLTP-Accounting"."Func_TblChartOfAccount_SET"(varSystemLoginSession, null, null, null, null, null, varInstitutionBranchID, 62000000000001::bigint,'8-1002', 'Interest Expense Redi', 62000000000001::bigint, '2016-01-01 00:00:00'::timestamp, null::timestamp, 65000000000522::bigint, 66000000000001::bigint, FALSE::boolean);</v>
      </c>
    </row>
    <row r="536" spans="2:54" x14ac:dyDescent="0.2">
      <c r="B536" s="43"/>
      <c r="C536" s="42"/>
      <c r="D536" s="43"/>
      <c r="E536" s="42"/>
      <c r="F536" s="43"/>
      <c r="G536" s="42"/>
      <c r="H536" s="51"/>
      <c r="I536" s="18"/>
      <c r="J536" s="51" t="s">
        <v>1680</v>
      </c>
      <c r="K536" s="18" t="s">
        <v>1206</v>
      </c>
      <c r="L536" s="51"/>
      <c r="M536" s="18"/>
      <c r="O536" s="58" t="str">
        <f t="shared" si="266"/>
        <v>8-0000</v>
      </c>
      <c r="P536" s="58" t="str">
        <f t="shared" si="267"/>
        <v>8-1000</v>
      </c>
      <c r="Q536" s="58" t="str">
        <f t="shared" si="268"/>
        <v>7-4200</v>
      </c>
      <c r="R536" s="58" t="str">
        <f t="shared" si="269"/>
        <v>8-1002</v>
      </c>
      <c r="S536" s="58" t="str">
        <f t="shared" si="270"/>
        <v>8-1002.01</v>
      </c>
      <c r="T536" s="58" t="str">
        <f t="shared" si="271"/>
        <v xml:space="preserve"> </v>
      </c>
      <c r="V536" s="72">
        <f t="shared" si="272"/>
        <v>65000000000526</v>
      </c>
      <c r="W536" s="60">
        <f t="shared" si="273"/>
        <v>65000000000521</v>
      </c>
      <c r="X536" s="60">
        <f t="shared" si="274"/>
        <v>65000000000522</v>
      </c>
      <c r="Y536" s="60">
        <f t="shared" si="275"/>
        <v>65000000000518</v>
      </c>
      <c r="Z536" s="60">
        <f t="shared" si="276"/>
        <v>65000000000525</v>
      </c>
      <c r="AA536" s="70">
        <f t="shared" si="259"/>
        <v>65000000000526</v>
      </c>
      <c r="AB536" s="60">
        <f t="shared" si="277"/>
        <v>65000000000000</v>
      </c>
      <c r="AD536" s="60">
        <f t="shared" si="280"/>
        <v>8</v>
      </c>
      <c r="AE536" s="60">
        <f t="shared" si="281"/>
        <v>2</v>
      </c>
      <c r="AF536" s="60">
        <f t="shared" si="282"/>
        <v>1</v>
      </c>
      <c r="AG536" s="60">
        <f t="shared" si="283"/>
        <v>3</v>
      </c>
      <c r="AH536" s="60">
        <f t="shared" si="284"/>
        <v>2</v>
      </c>
      <c r="AI536" s="60">
        <f t="shared" si="285"/>
        <v>1</v>
      </c>
      <c r="AK536" s="68" t="str">
        <f t="shared" si="260"/>
        <v>L5</v>
      </c>
      <c r="AL536" s="64"/>
      <c r="AM536" s="64" t="s">
        <v>1755</v>
      </c>
      <c r="AN536" s="64">
        <f t="shared" si="261"/>
        <v>65000000000521</v>
      </c>
      <c r="AO536" s="64">
        <f t="shared" si="262"/>
        <v>65000000000522</v>
      </c>
      <c r="AP536" s="64">
        <f t="shared" si="263"/>
        <v>65000000000522</v>
      </c>
      <c r="AQ536" s="64">
        <f t="shared" si="264"/>
        <v>65000000000525</v>
      </c>
      <c r="AS536" s="64">
        <f t="shared" si="265"/>
        <v>65000000000525</v>
      </c>
      <c r="AU536" s="59" t="str">
        <f t="shared" si="286"/>
        <v>PERFORM * FROM "SchData-OLTP-Accounting"."Func_TblChartOfAccount_SET"(varSystemLoginSession, null, null, null, varInstitutionBranchID, 62000000000001::bigint,'8-1002.01', 'Interest Expense Redi (IDR)', 62000000000001::bigint, '2016-01-01 00:00:00'::timestamp, null::timestamp, 65000000000525::bigint, 66000000000001::bigint);</v>
      </c>
      <c r="AV536" s="65">
        <f t="shared" si="287"/>
        <v>65000000000526</v>
      </c>
      <c r="AW536" s="65">
        <f t="shared" si="288"/>
        <v>65000000000525</v>
      </c>
      <c r="AY536" s="65">
        <f t="shared" si="278"/>
        <v>65000000000525</v>
      </c>
      <c r="BA536" s="78">
        <f t="shared" si="289"/>
        <v>65000000000526</v>
      </c>
      <c r="BB536" s="81" t="str">
        <f t="shared" si="279"/>
        <v>PERFORM * FROM "SchData-OLTP-Accounting"."Func_TblChartOfAccount_SET"(varSystemLoginSession, null, null, null, null, null, varInstitutionBranchID, 62000000000001::bigint,'8-1002.01', 'Interest Expense Redi (IDR)', 62000000000001::bigint, '2016-01-01 00:00:00'::timestamp, null::timestamp, 65000000000525::bigint, 66000000000001::bigint, FALSE::boolean);</v>
      </c>
    </row>
    <row r="537" spans="2:54" x14ac:dyDescent="0.2">
      <c r="B537" s="43"/>
      <c r="C537" s="42"/>
      <c r="D537" s="43" t="s">
        <v>1207</v>
      </c>
      <c r="E537" s="42" t="s">
        <v>1058</v>
      </c>
      <c r="F537" s="43"/>
      <c r="G537" s="42"/>
      <c r="H537" s="51"/>
      <c r="I537" s="18"/>
      <c r="J537" s="51"/>
      <c r="K537" s="18"/>
      <c r="L537" s="51"/>
      <c r="M537" s="18"/>
      <c r="O537" s="58" t="str">
        <f t="shared" si="266"/>
        <v>8-0000</v>
      </c>
      <c r="P537" s="58" t="str">
        <f t="shared" si="267"/>
        <v>8-2000</v>
      </c>
      <c r="Q537" s="58" t="str">
        <f t="shared" si="268"/>
        <v>7-4200</v>
      </c>
      <c r="R537" s="58" t="str">
        <f t="shared" si="269"/>
        <v>8-1002</v>
      </c>
      <c r="S537" s="58" t="str">
        <f t="shared" si="270"/>
        <v>8-1002.01</v>
      </c>
      <c r="T537" s="58" t="str">
        <f t="shared" si="271"/>
        <v xml:space="preserve"> </v>
      </c>
      <c r="V537" s="72">
        <f>V536+IF(AND(EXACT(B537, ""), EXACT(D537, ""), EXACT(F537, ""), EXACT(H537, ""), EXACT(J537, ""), EXACT(L537, "")), 0, 1)</f>
        <v>65000000000527</v>
      </c>
      <c r="W537" s="60">
        <f t="shared" si="273"/>
        <v>65000000000521</v>
      </c>
      <c r="X537" s="70">
        <f t="shared" si="274"/>
        <v>65000000000527</v>
      </c>
      <c r="Y537" s="60">
        <f t="shared" si="275"/>
        <v>65000000000518</v>
      </c>
      <c r="Z537" s="60">
        <f t="shared" si="276"/>
        <v>65000000000525</v>
      </c>
      <c r="AA537" s="60">
        <f t="shared" si="259"/>
        <v>65000000000526</v>
      </c>
      <c r="AB537" s="60">
        <f t="shared" si="277"/>
        <v>65000000000000</v>
      </c>
      <c r="AD537" s="60">
        <f t="shared" si="280"/>
        <v>8</v>
      </c>
      <c r="AE537" s="60">
        <f t="shared" si="281"/>
        <v>3</v>
      </c>
      <c r="AF537" s="60">
        <f t="shared" si="282"/>
        <v>1</v>
      </c>
      <c r="AG537" s="60">
        <f t="shared" si="283"/>
        <v>3</v>
      </c>
      <c r="AH537" s="60">
        <f t="shared" si="284"/>
        <v>2</v>
      </c>
      <c r="AI537" s="60">
        <f t="shared" si="285"/>
        <v>1</v>
      </c>
      <c r="AK537" s="68" t="str">
        <f t="shared" si="260"/>
        <v>L2</v>
      </c>
      <c r="AM537" s="64" t="s">
        <v>1755</v>
      </c>
      <c r="AN537" s="64">
        <f t="shared" si="261"/>
        <v>65000000000521</v>
      </c>
      <c r="AO537" s="64">
        <f t="shared" si="262"/>
        <v>65000000000522</v>
      </c>
      <c r="AP537" s="64">
        <f t="shared" si="263"/>
        <v>65000000000522</v>
      </c>
      <c r="AQ537" s="64">
        <f t="shared" si="264"/>
        <v>65000000000525</v>
      </c>
      <c r="AS537" s="64">
        <f t="shared" si="265"/>
        <v>65000000000521</v>
      </c>
      <c r="AU537" s="59" t="str">
        <f t="shared" si="286"/>
        <v>PERFORM * FROM "SchData-OLTP-Accounting"."Func_TblChartOfAccount_SET"(varSystemLoginSession, null, null, null, varInstitutionBranchID, 62000000000001::bigint,'8-2000', 'Late Charges', 62000000000001::bigint, '2016-01-01 00:00:00'::timestamp, null::timestamp, 65000000000521::bigint, 66000000000001::bigint);</v>
      </c>
      <c r="AV537" s="65">
        <f t="shared" si="287"/>
        <v>65000000000527</v>
      </c>
      <c r="AW537" s="65">
        <f t="shared" si="288"/>
        <v>65000000000521</v>
      </c>
      <c r="AY537" s="65">
        <f t="shared" si="278"/>
        <v>65000000000521</v>
      </c>
      <c r="BA537" s="78">
        <f t="shared" si="289"/>
        <v>65000000000527</v>
      </c>
      <c r="BB537" s="81" t="str">
        <f t="shared" si="279"/>
        <v>PERFORM * FROM "SchData-OLTP-Accounting"."Func_TblChartOfAccount_SET"(varSystemLoginSession, null, null, null, null, null, varInstitutionBranchID, 62000000000001::bigint,'8-2000', 'Late Charges', 62000000000001::bigint, '2016-01-01 00:00:00'::timestamp, null::timestamp, 65000000000521::bigint, 66000000000001::bigint, FALSE::boolean);</v>
      </c>
    </row>
    <row r="538" spans="2:54" x14ac:dyDescent="0.2">
      <c r="B538" s="41"/>
      <c r="C538" s="42"/>
      <c r="D538" s="43"/>
      <c r="E538" s="42"/>
      <c r="F538" s="43"/>
      <c r="G538" s="42"/>
      <c r="H538" s="51" t="s">
        <v>1681</v>
      </c>
      <c r="I538" s="18" t="s">
        <v>655</v>
      </c>
      <c r="J538" s="51"/>
      <c r="K538" s="18"/>
      <c r="L538" s="51"/>
      <c r="M538" s="18"/>
      <c r="O538" s="58" t="str">
        <f t="shared" si="266"/>
        <v>8-0000</v>
      </c>
      <c r="P538" s="58" t="str">
        <f t="shared" si="267"/>
        <v>8-2000</v>
      </c>
      <c r="Q538" s="58" t="str">
        <f t="shared" si="268"/>
        <v>7-4200</v>
      </c>
      <c r="R538" s="58" t="str">
        <f t="shared" si="269"/>
        <v>8-2001</v>
      </c>
      <c r="S538" s="58" t="str">
        <f t="shared" si="270"/>
        <v>8-1002.01</v>
      </c>
      <c r="T538" s="58" t="str">
        <f t="shared" si="271"/>
        <v xml:space="preserve"> </v>
      </c>
      <c r="V538" s="72">
        <f t="shared" si="272"/>
        <v>65000000000528</v>
      </c>
      <c r="W538" s="60">
        <f t="shared" si="273"/>
        <v>65000000000521</v>
      </c>
      <c r="X538" s="60">
        <f t="shared" si="274"/>
        <v>65000000000527</v>
      </c>
      <c r="Y538" s="60">
        <f t="shared" si="275"/>
        <v>65000000000518</v>
      </c>
      <c r="Z538" s="60">
        <f t="shared" si="276"/>
        <v>65000000000528</v>
      </c>
      <c r="AA538" s="60">
        <f t="shared" si="259"/>
        <v>65000000000526</v>
      </c>
      <c r="AB538" s="60">
        <f t="shared" si="277"/>
        <v>65000000000000</v>
      </c>
      <c r="AD538" s="60">
        <f t="shared" si="280"/>
        <v>8</v>
      </c>
      <c r="AE538" s="60">
        <f t="shared" si="281"/>
        <v>3</v>
      </c>
      <c r="AF538" s="60">
        <f t="shared" si="282"/>
        <v>1</v>
      </c>
      <c r="AG538" s="60">
        <f t="shared" si="283"/>
        <v>4</v>
      </c>
      <c r="AH538" s="60">
        <f t="shared" si="284"/>
        <v>1</v>
      </c>
      <c r="AI538" s="60">
        <f t="shared" si="285"/>
        <v>1</v>
      </c>
      <c r="AK538" s="68" t="str">
        <f t="shared" si="260"/>
        <v>L4</v>
      </c>
      <c r="AM538" s="64" t="s">
        <v>1755</v>
      </c>
      <c r="AN538" s="64">
        <f t="shared" si="261"/>
        <v>65000000000521</v>
      </c>
      <c r="AO538" s="64">
        <f t="shared" si="262"/>
        <v>65000000000527</v>
      </c>
      <c r="AP538" s="64">
        <f t="shared" si="263"/>
        <v>65000000000527</v>
      </c>
      <c r="AQ538" s="64">
        <f t="shared" si="264"/>
        <v>65000000000527</v>
      </c>
      <c r="AS538" s="64">
        <f t="shared" si="265"/>
        <v>65000000000527</v>
      </c>
      <c r="AU538" s="59" t="str">
        <f t="shared" si="286"/>
        <v>PERFORM * FROM "SchData-OLTP-Accounting"."Func_TblChartOfAccount_SET"(varSystemLoginSession, null, null, null, varInstitutionBranchID, 62000000000001::bigint,'8-2001', 'Late Charges for Downer', 62000000000001::bigint, '2016-01-01 00:00:00'::timestamp, null::timestamp, 65000000000527::bigint, 66000000000001::bigint);</v>
      </c>
      <c r="AV538" s="65">
        <f t="shared" si="287"/>
        <v>65000000000528</v>
      </c>
      <c r="AW538" s="65">
        <f t="shared" si="288"/>
        <v>65000000000527</v>
      </c>
      <c r="AY538" s="65">
        <f t="shared" si="278"/>
        <v>65000000000527</v>
      </c>
      <c r="BA538" s="78">
        <f t="shared" si="289"/>
        <v>65000000000528</v>
      </c>
      <c r="BB538" s="81" t="str">
        <f t="shared" si="279"/>
        <v>PERFORM * FROM "SchData-OLTP-Accounting"."Func_TblChartOfAccount_SET"(varSystemLoginSession, null, null, null, null, null, varInstitutionBranchID, 62000000000001::bigint,'8-2001', 'Late Charges for Downer', 62000000000001::bigint, '2016-01-01 00:00:00'::timestamp, null::timestamp, 65000000000527::bigint, 66000000000001::bigint, FALSE::boolean);</v>
      </c>
    </row>
    <row r="539" spans="2:54" x14ac:dyDescent="0.2">
      <c r="B539" s="41"/>
      <c r="C539" s="42"/>
      <c r="D539" s="43"/>
      <c r="E539" s="42"/>
      <c r="F539" s="43"/>
      <c r="G539" s="42"/>
      <c r="H539" s="51"/>
      <c r="I539" s="18"/>
      <c r="J539" s="51" t="s">
        <v>1683</v>
      </c>
      <c r="K539" s="18" t="s">
        <v>1208</v>
      </c>
      <c r="L539" s="51"/>
      <c r="M539" s="18"/>
      <c r="O539" s="58" t="str">
        <f t="shared" si="266"/>
        <v>8-0000</v>
      </c>
      <c r="P539" s="58" t="str">
        <f t="shared" si="267"/>
        <v>8-2000</v>
      </c>
      <c r="Q539" s="58" t="str">
        <f t="shared" si="268"/>
        <v>7-4200</v>
      </c>
      <c r="R539" s="58" t="str">
        <f t="shared" si="269"/>
        <v>8-2001</v>
      </c>
      <c r="S539" s="58" t="str">
        <f t="shared" si="270"/>
        <v>8-2001.01</v>
      </c>
      <c r="T539" s="58" t="str">
        <f t="shared" si="271"/>
        <v xml:space="preserve"> </v>
      </c>
      <c r="V539" s="72">
        <f t="shared" si="272"/>
        <v>65000000000529</v>
      </c>
      <c r="W539" s="60">
        <f t="shared" si="273"/>
        <v>65000000000521</v>
      </c>
      <c r="X539" s="60">
        <f t="shared" si="274"/>
        <v>65000000000527</v>
      </c>
      <c r="Y539" s="60">
        <f t="shared" si="275"/>
        <v>65000000000518</v>
      </c>
      <c r="Z539" s="60">
        <f t="shared" si="276"/>
        <v>65000000000528</v>
      </c>
      <c r="AA539" s="60">
        <f t="shared" si="259"/>
        <v>65000000000529</v>
      </c>
      <c r="AB539" s="60">
        <f t="shared" si="277"/>
        <v>65000000000000</v>
      </c>
      <c r="AD539" s="60">
        <f t="shared" si="280"/>
        <v>8</v>
      </c>
      <c r="AE539" s="60">
        <f t="shared" si="281"/>
        <v>3</v>
      </c>
      <c r="AF539" s="60">
        <f t="shared" si="282"/>
        <v>1</v>
      </c>
      <c r="AG539" s="60">
        <f t="shared" si="283"/>
        <v>4</v>
      </c>
      <c r="AH539" s="60">
        <f t="shared" si="284"/>
        <v>2</v>
      </c>
      <c r="AI539" s="60">
        <f t="shared" si="285"/>
        <v>1</v>
      </c>
      <c r="AK539" s="68" t="str">
        <f t="shared" si="260"/>
        <v>L5</v>
      </c>
      <c r="AM539" s="64" t="s">
        <v>1755</v>
      </c>
      <c r="AN539" s="64">
        <f t="shared" si="261"/>
        <v>65000000000521</v>
      </c>
      <c r="AO539" s="64">
        <f t="shared" si="262"/>
        <v>65000000000527</v>
      </c>
      <c r="AP539" s="64">
        <f t="shared" si="263"/>
        <v>65000000000527</v>
      </c>
      <c r="AQ539" s="64">
        <f t="shared" si="264"/>
        <v>65000000000528</v>
      </c>
      <c r="AS539" s="64">
        <f t="shared" si="265"/>
        <v>65000000000528</v>
      </c>
      <c r="AU539" s="59" t="str">
        <f t="shared" si="286"/>
        <v>PERFORM * FROM "SchData-OLTP-Accounting"."Func_TblChartOfAccount_SET"(varSystemLoginSession, null, null, null, varInstitutionBranchID, 62000000000001::bigint,'8-2001.01', 'Late Charges for Downer (IDR)', 62000000000001::bigint, '2016-01-01 00:00:00'::timestamp, null::timestamp, 65000000000528::bigint, 66000000000001::bigint);</v>
      </c>
      <c r="AV539" s="65">
        <f t="shared" si="287"/>
        <v>65000000000529</v>
      </c>
      <c r="AW539" s="65">
        <f t="shared" si="288"/>
        <v>65000000000528</v>
      </c>
      <c r="AY539" s="65">
        <f t="shared" si="278"/>
        <v>65000000000528</v>
      </c>
      <c r="BA539" s="78">
        <f t="shared" si="289"/>
        <v>65000000000529</v>
      </c>
      <c r="BB539" s="81" t="str">
        <f t="shared" si="279"/>
        <v>PERFORM * FROM "SchData-OLTP-Accounting"."Func_TblChartOfAccount_SET"(varSystemLoginSession, null, null, null, null, null, varInstitutionBranchID, 62000000000001::bigint,'8-2001.01', 'Late Charges for Downer (IDR)', 62000000000001::bigint, '2016-01-01 00:00:00'::timestamp, null::timestamp, 65000000000528::bigint, 66000000000001::bigint, FALSE::boolean);</v>
      </c>
    </row>
    <row r="540" spans="2:54" x14ac:dyDescent="0.2">
      <c r="B540" s="41"/>
      <c r="C540" s="42"/>
      <c r="D540" s="43"/>
      <c r="E540" s="42"/>
      <c r="F540" s="43"/>
      <c r="G540" s="42"/>
      <c r="H540" s="51" t="s">
        <v>1682</v>
      </c>
      <c r="I540" s="18" t="s">
        <v>657</v>
      </c>
      <c r="J540" s="51"/>
      <c r="K540" s="18"/>
      <c r="L540" s="51"/>
      <c r="M540" s="18"/>
      <c r="O540" s="58" t="str">
        <f t="shared" si="266"/>
        <v>8-0000</v>
      </c>
      <c r="P540" s="58" t="str">
        <f t="shared" si="267"/>
        <v>8-2000</v>
      </c>
      <c r="Q540" s="58" t="str">
        <f t="shared" si="268"/>
        <v>7-4200</v>
      </c>
      <c r="R540" s="58" t="str">
        <f t="shared" si="269"/>
        <v>8-2002</v>
      </c>
      <c r="S540" s="58" t="str">
        <f t="shared" si="270"/>
        <v>8-2001.01</v>
      </c>
      <c r="T540" s="58" t="str">
        <f t="shared" si="271"/>
        <v xml:space="preserve"> </v>
      </c>
      <c r="V540" s="72">
        <f t="shared" si="272"/>
        <v>65000000000530</v>
      </c>
      <c r="W540" s="60">
        <f t="shared" si="273"/>
        <v>65000000000521</v>
      </c>
      <c r="X540" s="60">
        <f t="shared" si="274"/>
        <v>65000000000527</v>
      </c>
      <c r="Y540" s="60">
        <f t="shared" si="275"/>
        <v>65000000000518</v>
      </c>
      <c r="Z540" s="60">
        <f t="shared" si="276"/>
        <v>65000000000530</v>
      </c>
      <c r="AA540" s="60">
        <f t="shared" si="259"/>
        <v>65000000000529</v>
      </c>
      <c r="AB540" s="60">
        <f t="shared" si="277"/>
        <v>65000000000000</v>
      </c>
      <c r="AD540" s="60">
        <f t="shared" si="280"/>
        <v>8</v>
      </c>
      <c r="AE540" s="60">
        <f t="shared" si="281"/>
        <v>3</v>
      </c>
      <c r="AF540" s="60">
        <f t="shared" si="282"/>
        <v>1</v>
      </c>
      <c r="AG540" s="60">
        <f t="shared" si="283"/>
        <v>5</v>
      </c>
      <c r="AH540" s="60">
        <f t="shared" si="284"/>
        <v>1</v>
      </c>
      <c r="AI540" s="60">
        <f t="shared" si="285"/>
        <v>1</v>
      </c>
      <c r="AK540" s="68" t="str">
        <f t="shared" si="260"/>
        <v>L4</v>
      </c>
      <c r="AM540" s="64" t="s">
        <v>1755</v>
      </c>
      <c r="AN540" s="64">
        <f t="shared" si="261"/>
        <v>65000000000521</v>
      </c>
      <c r="AO540" s="64">
        <f t="shared" si="262"/>
        <v>65000000000527</v>
      </c>
      <c r="AP540" s="64">
        <f t="shared" si="263"/>
        <v>65000000000527</v>
      </c>
      <c r="AQ540" s="64">
        <f t="shared" si="264"/>
        <v>65000000000528</v>
      </c>
      <c r="AS540" s="64">
        <f t="shared" si="265"/>
        <v>65000000000527</v>
      </c>
      <c r="AU540" s="59" t="str">
        <f t="shared" si="286"/>
        <v>PERFORM * FROM "SchData-OLTP-Accounting"."Func_TblChartOfAccount_SET"(varSystemLoginSession, null, null, null, varInstitutionBranchID, 62000000000001::bigint,'8-2002', 'Late Charges for Redi', 62000000000001::bigint, '2016-01-01 00:00:00'::timestamp, null::timestamp, 65000000000527::bigint, 66000000000001::bigint);</v>
      </c>
      <c r="AV540" s="65">
        <f t="shared" si="287"/>
        <v>65000000000530</v>
      </c>
      <c r="AW540" s="65">
        <f t="shared" si="288"/>
        <v>65000000000527</v>
      </c>
      <c r="AY540" s="65">
        <f t="shared" si="278"/>
        <v>65000000000518</v>
      </c>
      <c r="BA540" s="78">
        <f t="shared" si="289"/>
        <v>65000000000530</v>
      </c>
      <c r="BB540" s="81" t="str">
        <f t="shared" si="279"/>
        <v>PERFORM * FROM "SchData-OLTP-Accounting"."Func_TblChartOfAccount_SET"(varSystemLoginSession, null, null, null, null, null, varInstitutionBranchID, 62000000000001::bigint,'8-2002', 'Late Charges for Redi', 62000000000001::bigint, '2016-01-01 00:00:00'::timestamp, null::timestamp, 65000000000527::bigint, 66000000000001::bigint, FALSE::boolean);</v>
      </c>
    </row>
    <row r="541" spans="2:54" x14ac:dyDescent="0.2">
      <c r="B541" s="41"/>
      <c r="C541" s="42"/>
      <c r="D541" s="43"/>
      <c r="E541" s="42"/>
      <c r="F541" s="43"/>
      <c r="G541" s="42"/>
      <c r="H541" s="51"/>
      <c r="I541" s="18"/>
      <c r="J541" s="51" t="s">
        <v>1684</v>
      </c>
      <c r="K541" s="18" t="s">
        <v>1209</v>
      </c>
      <c r="L541" s="51"/>
      <c r="M541" s="18"/>
      <c r="O541" s="58" t="str">
        <f t="shared" si="266"/>
        <v>8-0000</v>
      </c>
      <c r="P541" s="58" t="str">
        <f t="shared" si="267"/>
        <v>8-2000</v>
      </c>
      <c r="Q541" s="58" t="str">
        <f t="shared" si="268"/>
        <v>7-4200</v>
      </c>
      <c r="R541" s="58" t="str">
        <f t="shared" si="269"/>
        <v>8-2002</v>
      </c>
      <c r="S541" s="58" t="str">
        <f t="shared" si="270"/>
        <v>8-2002.01</v>
      </c>
      <c r="T541" s="58" t="str">
        <f t="shared" si="271"/>
        <v xml:space="preserve"> </v>
      </c>
      <c r="V541" s="72">
        <f t="shared" si="272"/>
        <v>65000000000531</v>
      </c>
      <c r="W541" s="60">
        <f t="shared" si="273"/>
        <v>65000000000521</v>
      </c>
      <c r="X541" s="60">
        <f t="shared" si="274"/>
        <v>65000000000527</v>
      </c>
      <c r="Y541" s="60">
        <f t="shared" si="275"/>
        <v>65000000000518</v>
      </c>
      <c r="Z541" s="60">
        <f t="shared" si="276"/>
        <v>65000000000530</v>
      </c>
      <c r="AA541" s="60">
        <f t="shared" si="259"/>
        <v>65000000000531</v>
      </c>
      <c r="AB541" s="60">
        <f t="shared" si="277"/>
        <v>65000000000000</v>
      </c>
      <c r="AD541" s="60">
        <f t="shared" si="280"/>
        <v>8</v>
      </c>
      <c r="AE541" s="60">
        <f t="shared" si="281"/>
        <v>3</v>
      </c>
      <c r="AF541" s="60">
        <f t="shared" si="282"/>
        <v>1</v>
      </c>
      <c r="AG541" s="60">
        <f t="shared" si="283"/>
        <v>5</v>
      </c>
      <c r="AH541" s="60">
        <f t="shared" si="284"/>
        <v>2</v>
      </c>
      <c r="AI541" s="60">
        <f t="shared" si="285"/>
        <v>1</v>
      </c>
      <c r="AK541" s="68" t="str">
        <f t="shared" si="260"/>
        <v>L5</v>
      </c>
      <c r="AM541" s="64" t="s">
        <v>1755</v>
      </c>
      <c r="AN541" s="64">
        <f t="shared" si="261"/>
        <v>65000000000521</v>
      </c>
      <c r="AO541" s="64">
        <f t="shared" si="262"/>
        <v>65000000000527</v>
      </c>
      <c r="AP541" s="64">
        <f t="shared" si="263"/>
        <v>65000000000527</v>
      </c>
      <c r="AQ541" s="64">
        <f t="shared" si="264"/>
        <v>65000000000530</v>
      </c>
      <c r="AS541" s="64">
        <f t="shared" si="265"/>
        <v>65000000000530</v>
      </c>
      <c r="AU541" s="59" t="str">
        <f t="shared" si="286"/>
        <v>PERFORM * FROM "SchData-OLTP-Accounting"."Func_TblChartOfAccount_SET"(varSystemLoginSession, null, null, null, varInstitutionBranchID, 62000000000001::bigint,'8-2002.01', 'Late Charges for Redi (IDR)', 62000000000001::bigint, '2016-01-01 00:00:00'::timestamp, null::timestamp, 65000000000530::bigint, 66000000000001::bigint);</v>
      </c>
      <c r="AV541" s="65">
        <f t="shared" si="287"/>
        <v>65000000000531</v>
      </c>
      <c r="AW541" s="65">
        <f t="shared" si="288"/>
        <v>65000000000530</v>
      </c>
      <c r="AY541" s="65">
        <f t="shared" si="278"/>
        <v>65000000000530</v>
      </c>
      <c r="BA541" s="78">
        <f t="shared" si="289"/>
        <v>65000000000531</v>
      </c>
      <c r="BB541" s="81" t="str">
        <f t="shared" si="279"/>
        <v>PERFORM * FROM "SchData-OLTP-Accounting"."Func_TblChartOfAccount_SET"(varSystemLoginSession, null, null, null, null, null, varInstitutionBranchID, 62000000000001::bigint,'8-2002.01', 'Late Charges for Redi (IDR)', 62000000000001::bigint, '2016-01-01 00:00:00'::timestamp, null::timestamp, 65000000000530::bigint, 66000000000001::bigint, FALSE::boolean);</v>
      </c>
    </row>
    <row r="542" spans="2:54" x14ac:dyDescent="0.2">
      <c r="B542" s="41"/>
      <c r="C542" s="42"/>
      <c r="D542" s="43" t="s">
        <v>1210</v>
      </c>
      <c r="E542" s="42" t="s">
        <v>659</v>
      </c>
      <c r="F542" s="43"/>
      <c r="G542" s="42"/>
      <c r="H542" s="51"/>
      <c r="I542" s="18"/>
      <c r="J542" s="51"/>
      <c r="K542" s="18"/>
      <c r="L542" s="51"/>
      <c r="M542" s="18"/>
      <c r="O542" s="58" t="str">
        <f t="shared" si="266"/>
        <v>8-0000</v>
      </c>
      <c r="P542" s="58" t="str">
        <f t="shared" si="267"/>
        <v>8-3000</v>
      </c>
      <c r="Q542" s="58" t="str">
        <f t="shared" si="268"/>
        <v>7-4200</v>
      </c>
      <c r="R542" s="58" t="str">
        <f t="shared" si="269"/>
        <v>8-2002</v>
      </c>
      <c r="S542" s="58" t="str">
        <f t="shared" si="270"/>
        <v>8-2002.01</v>
      </c>
      <c r="T542" s="58" t="str">
        <f t="shared" si="271"/>
        <v xml:space="preserve"> </v>
      </c>
      <c r="V542" s="72">
        <f t="shared" si="272"/>
        <v>65000000000532</v>
      </c>
      <c r="W542" s="60">
        <f t="shared" si="273"/>
        <v>65000000000521</v>
      </c>
      <c r="X542" s="60">
        <f t="shared" si="274"/>
        <v>65000000000532</v>
      </c>
      <c r="Y542" s="60">
        <f t="shared" si="275"/>
        <v>65000000000518</v>
      </c>
      <c r="Z542" s="60">
        <f t="shared" si="276"/>
        <v>65000000000530</v>
      </c>
      <c r="AA542" s="60">
        <f t="shared" si="259"/>
        <v>65000000000531</v>
      </c>
      <c r="AB542" s="60">
        <f t="shared" si="277"/>
        <v>65000000000000</v>
      </c>
      <c r="AD542" s="60">
        <f t="shared" si="280"/>
        <v>8</v>
      </c>
      <c r="AE542" s="60">
        <f t="shared" si="281"/>
        <v>4</v>
      </c>
      <c r="AF542" s="60">
        <f t="shared" si="282"/>
        <v>1</v>
      </c>
      <c r="AG542" s="60">
        <f t="shared" si="283"/>
        <v>5</v>
      </c>
      <c r="AH542" s="60">
        <f t="shared" si="284"/>
        <v>2</v>
      </c>
      <c r="AI542" s="60">
        <f t="shared" si="285"/>
        <v>1</v>
      </c>
      <c r="AK542" s="68" t="str">
        <f t="shared" si="260"/>
        <v>L2</v>
      </c>
      <c r="AM542" s="64" t="s">
        <v>1755</v>
      </c>
      <c r="AN542" s="64">
        <f t="shared" si="261"/>
        <v>65000000000521</v>
      </c>
      <c r="AO542" s="64">
        <f t="shared" si="262"/>
        <v>65000000000527</v>
      </c>
      <c r="AP542" s="64">
        <f t="shared" si="263"/>
        <v>65000000000527</v>
      </c>
      <c r="AQ542" s="64">
        <f t="shared" si="264"/>
        <v>65000000000530</v>
      </c>
      <c r="AS542" s="64">
        <f t="shared" si="265"/>
        <v>65000000000521</v>
      </c>
      <c r="AU542" s="59" t="str">
        <f t="shared" si="286"/>
        <v>PERFORM * FROM "SchData-OLTP-Accounting"."Func_TblChartOfAccount_SET"(varSystemLoginSession, null, null, null, varInstitutionBranchID, 62000000000001::bigint,'8-3000', 'Other Expenses - Other', 62000000000001::bigint, '2016-01-01 00:00:00'::timestamp, null::timestamp, 65000000000521::bigint, 66000000000001::bigint);</v>
      </c>
      <c r="AV542" s="65">
        <f t="shared" si="287"/>
        <v>65000000000532</v>
      </c>
      <c r="AW542" s="65">
        <f t="shared" si="288"/>
        <v>65000000000521</v>
      </c>
      <c r="AY542" s="65">
        <f t="shared" si="278"/>
        <v>65000000000521</v>
      </c>
      <c r="BA542" s="78">
        <f t="shared" si="289"/>
        <v>65000000000532</v>
      </c>
      <c r="BB542" s="81" t="str">
        <f t="shared" si="279"/>
        <v>PERFORM * FROM "SchData-OLTP-Accounting"."Func_TblChartOfAccount_SET"(varSystemLoginSession, null, null, null, null, null, varInstitutionBranchID, 62000000000001::bigint,'8-3000', 'Other Expenses - Other', 62000000000001::bigint, '2016-01-01 00:00:00'::timestamp, null::timestamp, 65000000000521::bigint, 66000000000001::bigint, FALSE::boolean);</v>
      </c>
    </row>
    <row r="543" spans="2:54" x14ac:dyDescent="0.2">
      <c r="B543" s="41"/>
      <c r="C543" s="42"/>
      <c r="D543" s="43"/>
      <c r="E543" s="42"/>
      <c r="F543" s="43"/>
      <c r="G543" s="42"/>
      <c r="H543" s="51" t="s">
        <v>1426</v>
      </c>
      <c r="I543" s="18" t="s">
        <v>1053</v>
      </c>
      <c r="J543" s="51"/>
      <c r="K543" s="18"/>
      <c r="L543" s="51"/>
      <c r="M543" s="18"/>
      <c r="O543" s="58" t="str">
        <f t="shared" si="266"/>
        <v>8-0000</v>
      </c>
      <c r="P543" s="58" t="str">
        <f t="shared" si="267"/>
        <v>8-3000</v>
      </c>
      <c r="Q543" s="58" t="str">
        <f t="shared" si="268"/>
        <v>7-4200</v>
      </c>
      <c r="R543" s="58" t="str">
        <f t="shared" si="269"/>
        <v>8-3001</v>
      </c>
      <c r="S543" s="58" t="str">
        <f t="shared" si="270"/>
        <v>8-2002.01</v>
      </c>
      <c r="T543" s="58" t="str">
        <f t="shared" si="271"/>
        <v xml:space="preserve"> </v>
      </c>
      <c r="V543" s="72">
        <f t="shared" si="272"/>
        <v>65000000000533</v>
      </c>
      <c r="W543" s="60">
        <f t="shared" si="273"/>
        <v>65000000000521</v>
      </c>
      <c r="X543" s="60">
        <f t="shared" si="274"/>
        <v>65000000000532</v>
      </c>
      <c r="Y543" s="60">
        <f t="shared" si="275"/>
        <v>65000000000518</v>
      </c>
      <c r="Z543" s="60">
        <f t="shared" si="276"/>
        <v>65000000000533</v>
      </c>
      <c r="AA543" s="60">
        <f t="shared" si="259"/>
        <v>65000000000531</v>
      </c>
      <c r="AB543" s="60">
        <f t="shared" si="277"/>
        <v>65000000000000</v>
      </c>
      <c r="AD543" s="60">
        <f t="shared" si="280"/>
        <v>8</v>
      </c>
      <c r="AE543" s="60">
        <f t="shared" si="281"/>
        <v>4</v>
      </c>
      <c r="AF543" s="60">
        <f t="shared" si="282"/>
        <v>1</v>
      </c>
      <c r="AG543" s="60">
        <f t="shared" si="283"/>
        <v>6</v>
      </c>
      <c r="AH543" s="60">
        <f t="shared" si="284"/>
        <v>1</v>
      </c>
      <c r="AI543" s="60">
        <f t="shared" si="285"/>
        <v>1</v>
      </c>
      <c r="AK543" s="68" t="str">
        <f t="shared" si="260"/>
        <v>L4</v>
      </c>
      <c r="AM543" s="64" t="s">
        <v>1755</v>
      </c>
      <c r="AN543" s="64">
        <f t="shared" si="261"/>
        <v>65000000000521</v>
      </c>
      <c r="AO543" s="64">
        <f t="shared" si="262"/>
        <v>65000000000532</v>
      </c>
      <c r="AP543" s="64">
        <f t="shared" si="263"/>
        <v>65000000000532</v>
      </c>
      <c r="AQ543" s="64">
        <f t="shared" si="264"/>
        <v>65000000000532</v>
      </c>
      <c r="AS543" s="64">
        <f t="shared" si="265"/>
        <v>65000000000532</v>
      </c>
      <c r="AU543" s="59" t="str">
        <f t="shared" si="286"/>
        <v>PERFORM * FROM "SchData-OLTP-Accounting"."Func_TblChartOfAccount_SET"(varSystemLoginSession, null, null, null, varInstitutionBranchID, 62000000000001::bigint,'8-3001', 'Tax Expenses', 62000000000001::bigint, '2016-01-01 00:00:00'::timestamp, null::timestamp, 65000000000532::bigint, 66000000000001::bigint);</v>
      </c>
      <c r="AV543" s="65">
        <f t="shared" si="287"/>
        <v>65000000000533</v>
      </c>
      <c r="AW543" s="65">
        <f t="shared" si="288"/>
        <v>65000000000532</v>
      </c>
      <c r="AY543" s="65">
        <f t="shared" si="278"/>
        <v>65000000000532</v>
      </c>
      <c r="BA543" s="78">
        <f t="shared" si="289"/>
        <v>65000000000533</v>
      </c>
      <c r="BB543" s="81" t="str">
        <f t="shared" si="279"/>
        <v>PERFORM * FROM "SchData-OLTP-Accounting"."Func_TblChartOfAccount_SET"(varSystemLoginSession, null, null, null, null, null, varInstitutionBranchID, 62000000000001::bigint,'8-3001', 'Tax Expenses', 62000000000001::bigint, '2016-01-01 00:00:00'::timestamp, null::timestamp, 65000000000532::bigint, 66000000000001::bigint, FALSE::boolean);</v>
      </c>
    </row>
    <row r="544" spans="2:54" x14ac:dyDescent="0.2">
      <c r="B544" s="41"/>
      <c r="C544" s="42"/>
      <c r="D544" s="43"/>
      <c r="E544" s="42"/>
      <c r="F544" s="43"/>
      <c r="G544" s="42"/>
      <c r="H544" s="51"/>
      <c r="I544" s="18"/>
      <c r="J544" s="51" t="s">
        <v>1427</v>
      </c>
      <c r="K544" s="18" t="s">
        <v>1211</v>
      </c>
      <c r="L544" s="51"/>
      <c r="M544" s="18"/>
      <c r="O544" s="58" t="str">
        <f t="shared" si="266"/>
        <v>8-0000</v>
      </c>
      <c r="P544" s="58" t="str">
        <f t="shared" si="267"/>
        <v>8-3000</v>
      </c>
      <c r="Q544" s="58" t="str">
        <f t="shared" si="268"/>
        <v>7-4200</v>
      </c>
      <c r="R544" s="58" t="str">
        <f t="shared" si="269"/>
        <v>8-3001</v>
      </c>
      <c r="S544" s="58" t="str">
        <f t="shared" si="270"/>
        <v>8-3001.01</v>
      </c>
      <c r="T544" s="58" t="str">
        <f t="shared" si="271"/>
        <v xml:space="preserve"> </v>
      </c>
      <c r="V544" s="72">
        <f t="shared" si="272"/>
        <v>65000000000534</v>
      </c>
      <c r="W544" s="60">
        <f t="shared" si="273"/>
        <v>65000000000521</v>
      </c>
      <c r="X544" s="60">
        <f t="shared" si="274"/>
        <v>65000000000532</v>
      </c>
      <c r="Y544" s="60">
        <f t="shared" si="275"/>
        <v>65000000000518</v>
      </c>
      <c r="Z544" s="60">
        <f t="shared" si="276"/>
        <v>65000000000533</v>
      </c>
      <c r="AA544" s="60">
        <f t="shared" si="259"/>
        <v>65000000000534</v>
      </c>
      <c r="AB544" s="60">
        <f t="shared" si="277"/>
        <v>65000000000000</v>
      </c>
      <c r="AD544" s="60">
        <f t="shared" si="280"/>
        <v>8</v>
      </c>
      <c r="AE544" s="60">
        <f t="shared" si="281"/>
        <v>4</v>
      </c>
      <c r="AF544" s="60">
        <f t="shared" si="282"/>
        <v>1</v>
      </c>
      <c r="AG544" s="60">
        <f t="shared" si="283"/>
        <v>6</v>
      </c>
      <c r="AH544" s="60">
        <f t="shared" si="284"/>
        <v>2</v>
      </c>
      <c r="AI544" s="60">
        <f t="shared" si="285"/>
        <v>1</v>
      </c>
      <c r="AK544" s="68" t="str">
        <f t="shared" si="260"/>
        <v>L5</v>
      </c>
      <c r="AM544" s="64" t="s">
        <v>1755</v>
      </c>
      <c r="AN544" s="64">
        <f t="shared" si="261"/>
        <v>65000000000521</v>
      </c>
      <c r="AO544" s="64">
        <f t="shared" si="262"/>
        <v>65000000000532</v>
      </c>
      <c r="AP544" s="64">
        <f t="shared" si="263"/>
        <v>65000000000532</v>
      </c>
      <c r="AQ544" s="64">
        <f t="shared" si="264"/>
        <v>65000000000533</v>
      </c>
      <c r="AS544" s="64">
        <f t="shared" si="265"/>
        <v>65000000000533</v>
      </c>
      <c r="AU544" s="59" t="str">
        <f t="shared" si="286"/>
        <v>PERFORM * FROM "SchData-OLTP-Accounting"."Func_TblChartOfAccount_SET"(varSystemLoginSession, null, null, null, varInstitutionBranchID, 62000000000001::bigint,'8-3001.01', 'Tax Expenses (IDR)', 62000000000001::bigint, '2016-01-01 00:00:00'::timestamp, null::timestamp, 65000000000533::bigint, 66000000000001::bigint);</v>
      </c>
      <c r="AV544" s="65">
        <f t="shared" si="287"/>
        <v>65000000000534</v>
      </c>
      <c r="AW544" s="65">
        <f t="shared" si="288"/>
        <v>65000000000533</v>
      </c>
      <c r="AY544" s="65">
        <f t="shared" si="278"/>
        <v>65000000000533</v>
      </c>
      <c r="BA544" s="78">
        <f t="shared" si="289"/>
        <v>65000000000534</v>
      </c>
      <c r="BB544" s="81" t="str">
        <f t="shared" si="279"/>
        <v>PERFORM * FROM "SchData-OLTP-Accounting"."Func_TblChartOfAccount_SET"(varSystemLoginSession, null, null, null, null, null, varInstitutionBranchID, 62000000000001::bigint,'8-3001.01', 'Tax Expenses (IDR)', 62000000000001::bigint, '2016-01-01 00:00:00'::timestamp, null::timestamp, 65000000000533::bigint, 66000000000001::bigint, FALSE::boolean);</v>
      </c>
    </row>
    <row r="545" spans="2:54" x14ac:dyDescent="0.2">
      <c r="B545" s="41"/>
      <c r="C545" s="42"/>
      <c r="D545" s="43"/>
      <c r="E545" s="42"/>
      <c r="F545" s="43"/>
      <c r="G545" s="42"/>
      <c r="H545" s="51"/>
      <c r="I545" s="18"/>
      <c r="J545" s="51"/>
      <c r="K545" s="18"/>
      <c r="L545" s="51"/>
      <c r="M545" s="18"/>
      <c r="O545" s="58" t="str">
        <f t="shared" ref="O545" si="290">IF(EXACT($B545, ""), $O544, $B545)</f>
        <v>8-0000</v>
      </c>
      <c r="P545" s="58" t="str">
        <f t="shared" ref="P545" si="291">IF(EXACT($D545, ""), $P544, $D545)</f>
        <v>8-3000</v>
      </c>
      <c r="Q545" s="58" t="str">
        <f t="shared" ref="Q545" si="292">IF(EXACT($F545, ""), $Q544, $F545)</f>
        <v>7-4200</v>
      </c>
      <c r="R545" s="58" t="str">
        <f t="shared" ref="R545" si="293">IF(EXACT($H545, ""), $R544, $H545)</f>
        <v>8-3001</v>
      </c>
      <c r="S545" s="58" t="str">
        <f t="shared" ref="S545" si="294">IF(EXACT($J545, ""), $S544, $J545)</f>
        <v>8-3001.01</v>
      </c>
      <c r="T545" s="58" t="str">
        <f t="shared" ref="T545" si="295">IF(EXACT($L545, ""), $T544, $L545)</f>
        <v xml:space="preserve"> </v>
      </c>
      <c r="V545" s="72">
        <f t="shared" si="272"/>
        <v>65000000000534</v>
      </c>
      <c r="W545" s="60">
        <f t="shared" ref="W545" si="296">IF(EXACT($B545, ""), $W544, $V545)</f>
        <v>65000000000521</v>
      </c>
      <c r="X545" s="60">
        <f t="shared" ref="X545" si="297">IF(EXACT($D545, ""), $X544, $V545)</f>
        <v>65000000000532</v>
      </c>
      <c r="Y545" s="60">
        <f t="shared" ref="Y545" si="298">IF(EXACT($F545, ""), $Y544, $V545)</f>
        <v>65000000000518</v>
      </c>
      <c r="Z545" s="60">
        <f t="shared" ref="Z545" si="299">IF(EXACT($H545, ""), $Z544, $V545)</f>
        <v>65000000000533</v>
      </c>
      <c r="AA545" s="60">
        <f t="shared" ref="AA545" si="300">IF(EXACT($J545, ""), $AA544, $V545)</f>
        <v>65000000000534</v>
      </c>
      <c r="AB545" s="60">
        <f t="shared" ref="AB545" si="301">IF(EXACT($L545, ""), $AB544, $V545)</f>
        <v>65000000000000</v>
      </c>
      <c r="AD545" s="60">
        <f t="shared" ref="AD545" si="302">AD544 + IF(W545&lt;&gt;W544, 1, 0)</f>
        <v>8</v>
      </c>
      <c r="AE545" s="60">
        <f t="shared" ref="AE545" si="303">IF(AD544&lt;&gt;AD545, 1, AE544) + IF(X545&lt;&gt;X544, 1, 0)</f>
        <v>4</v>
      </c>
      <c r="AF545" s="60">
        <f t="shared" ref="AF545" si="304">IF(AE544&lt;&gt;AE545, 1, AF544) + IF(Y545&lt;&gt;Y544, 1, 0)</f>
        <v>1</v>
      </c>
      <c r="AG545" s="60">
        <f t="shared" ref="AG545" si="305">IF(AF544&lt;&gt;AF545, 1, AG544) + IF(Z545&lt;&gt;Z544, 1, 0)</f>
        <v>6</v>
      </c>
      <c r="AH545" s="60">
        <f t="shared" ref="AH545" si="306">IF(AG544&lt;&gt;AG545, 1, AH544) + IF(AA545&lt;&gt;AA544, 1, 0)</f>
        <v>2</v>
      </c>
      <c r="AI545" s="60">
        <f t="shared" ref="AI545" si="307">IF(AH544&lt;&gt;AH545, 1, AI544) + IF(AB545&lt;&gt;AB544, 1, 0)</f>
        <v>1</v>
      </c>
      <c r="AK545" s="68" t="str">
        <f t="shared" si="260"/>
        <v>L1</v>
      </c>
      <c r="AM545" s="64" t="s">
        <v>1755</v>
      </c>
      <c r="AN545" s="64">
        <f t="shared" si="261"/>
        <v>65000000000521</v>
      </c>
      <c r="AO545" s="64">
        <f t="shared" si="262"/>
        <v>65000000000532</v>
      </c>
      <c r="AP545" s="64">
        <f t="shared" si="263"/>
        <v>65000000000532</v>
      </c>
      <c r="AQ545" s="64">
        <f t="shared" si="264"/>
        <v>65000000000533</v>
      </c>
      <c r="AS545" s="64" t="str">
        <f t="shared" si="265"/>
        <v>null</v>
      </c>
      <c r="AU545" s="59" t="str">
        <f t="shared" si="286"/>
        <v/>
      </c>
      <c r="AV545" s="65" t="str">
        <f t="shared" ref="AV545" si="308">IF(AND(EXACT($B545, ""), EXACT($D545, ""), EXACT($F545, ""), EXACT($H545, ""), EXACT($J545, ""), EXACT($L545, "")), "", V545)</f>
        <v/>
      </c>
      <c r="AW545" s="65" t="str">
        <f t="shared" si="288"/>
        <v>null</v>
      </c>
      <c r="AY545" s="65" t="str">
        <f t="shared" ref="AY545" si="309">IF(AND(EXACT($B545, ""), EXACT($D545, ""), EXACT($F545, ""), EXACT($H545, ""), EXACT($J545, ""), EXACT($L545, "")), "",
IF(NOT(EXACT($B545, "")), "null",
IF(NOT(EXACT($D545, "")), IF($W544&lt;&gt;$W543, $W544, $W545),
IF(NOT(EXACT($F545, "")), IF($X544&lt;&gt;$X543, $X544, IF($W544&lt;&gt;$W543, $W544, $X545)),
IF(NOT(EXACT($H545, "")), IF($Y544&lt;&gt;$Y543, $Y544, IF($X544&lt;&gt;$X543, $X544, IF($W544&lt;&gt;$W543, $W544, $Y545))),
IF(NOT(EXACT($J545, "")), IF($Z544&lt;&gt;$Z543, $Z544, IF($Y544&lt;&gt;$Y543, $Y544, IF($X544&lt;&gt;$X543, $X544, IF($W544&lt;&gt;$W543, $W544, $Z545)))),
IF(NOT(EXACT($L545, "")), IF($AA544&lt;&gt;$AA543, $AA544, IF($Z544&lt;&gt;$Z543, $Z544, IF($Y544&lt;&gt;$Y543, $Y544, IF($X544&lt;&gt;$X543, $X544, IF($W544&lt;&gt;$W543, $W544, $AA545))))),
"others")))))))</f>
        <v/>
      </c>
      <c r="BA545" s="78">
        <f t="shared" si="289"/>
        <v>65000000000534</v>
      </c>
      <c r="BB545" s="81" t="str">
        <f t="shared" ref="BB518:BB545" si="310">IF(AND(EXACT($B545, ""), EXACT($D545, ""), EXACT($F545, ""), EXACT($H545, ""), EXACT($J545, ""), EXACT($L545, "")), "", CONCATENATE(
"PERFORM * FROM ""SchData-OLTP-Accounting"".""Func_TblChartOfAccount_SET""(varSystemLoginSession, null, null, null, null, null, varInstitutionBranchID, 62000000000001::bigint,'",
IF(EXACT($B545, ""), IF(EXACT($D545, ""), IF(EXACT($F545, ""), IF(EXACT($H545, ""), IF(EXACT($J545, ""), IF(EXACT($L545, ""), "", $L545), $J545), $H545), $F545), $D545), $B545),
"', '",
IF(EXACT($B545, ""), IF(EXACT($D545, ""), IF(EXACT($F545, ""), IF(EXACT($H545, ""), IF(EXACT($J545, ""), IF(EXACT($L545, ""), "", $M545), $K545), $I545), $G545), $E545), $C545),
"', ",
IF(EXACT($J545, ""), "62000000000001::bigint", IF((RIGHT($J545, 2)*1 = 1), "62000000000001::bigint", IF((RIGHT($J545, 2)*1 = 2), "62000000000002::bigint", "null"))),
", '2016-01-01 00:00:00'::timestamp, null::timestamp, ", $AW545, "::bigint, 66000000000001::bigint, ", IF(EXACT(LEFT($B545, 1), "1"), "TRUE", "FALSE"), "::boolean);"))</f>
        <v/>
      </c>
    </row>
    <row r="546" spans="2:54" x14ac:dyDescent="0.2">
      <c r="B546" s="47"/>
      <c r="C546" s="48"/>
      <c r="D546" s="49"/>
      <c r="E546" s="48"/>
      <c r="F546" s="49"/>
      <c r="G546" s="48"/>
      <c r="H546" s="54"/>
      <c r="I546" s="24"/>
      <c r="J546" s="54"/>
      <c r="K546" s="24"/>
      <c r="L546" s="54"/>
      <c r="M546" s="24"/>
    </row>
    <row r="547" spans="2:54" x14ac:dyDescent="0.2">
      <c r="J547" s="36"/>
      <c r="L547" s="55"/>
    </row>
    <row r="548" spans="2:54" x14ac:dyDescent="0.2">
      <c r="J548" s="36"/>
      <c r="L548" s="55"/>
    </row>
    <row r="549" spans="2:54" x14ac:dyDescent="0.2">
      <c r="J549" s="36"/>
      <c r="L549" s="55"/>
    </row>
    <row r="550" spans="2:54" x14ac:dyDescent="0.2">
      <c r="J550" s="36"/>
      <c r="L550" s="55"/>
    </row>
    <row r="551" spans="2:54" x14ac:dyDescent="0.2">
      <c r="J551" s="36"/>
      <c r="L551" s="55"/>
    </row>
    <row r="552" spans="2:54" x14ac:dyDescent="0.2">
      <c r="J552" s="36"/>
      <c r="L552" s="55"/>
    </row>
  </sheetData>
  <mergeCells count="14">
    <mergeCell ref="AM1:AS1"/>
    <mergeCell ref="AD1:AI1"/>
    <mergeCell ref="L3:M3"/>
    <mergeCell ref="B2:C2"/>
    <mergeCell ref="D2:E2"/>
    <mergeCell ref="F2:G2"/>
    <mergeCell ref="H2:I2"/>
    <mergeCell ref="J2:K2"/>
    <mergeCell ref="L2:M2"/>
    <mergeCell ref="B3:C3"/>
    <mergeCell ref="D3:E3"/>
    <mergeCell ref="F3:G3"/>
    <mergeCell ref="H3:I3"/>
    <mergeCell ref="J3:K3"/>
  </mergeCells>
  <conditionalFormatting sqref="BA5:BA545">
    <cfRule type="expression" dxfId="0" priority="1">
      <formula>EXACT(BA4, BA5)</formula>
    </cfRule>
  </conditionalFormatting>
  <pageMargins left="0.7" right="0.7" top="0.75" bottom="0.75" header="0.3" footer="0.3"/>
  <pageSetup scale="47"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B1:D575"/>
  <sheetViews>
    <sheetView workbookViewId="0">
      <pane xSplit="2" ySplit="3" topLeftCell="C164" activePane="bottomRight" state="frozen"/>
      <selection pane="topRight" activeCell="C1" sqref="C1"/>
      <selection pane="bottomLeft" activeCell="A4" sqref="A4"/>
      <selection pane="bottomRight" activeCell="D159" sqref="D159"/>
    </sheetView>
  </sheetViews>
  <sheetFormatPr defaultRowHeight="15" x14ac:dyDescent="0.25"/>
  <cols>
    <col min="1" max="1" width="2.85546875" customWidth="1"/>
    <col min="2" max="2" width="13.140625" style="69" bestFit="1" customWidth="1"/>
    <col min="3" max="3" width="9.140625" style="85"/>
    <col min="4" max="4" width="40.42578125" style="85" bestFit="1" customWidth="1"/>
  </cols>
  <sheetData>
    <row r="1" spans="2:4" ht="15.75" thickBot="1" x14ac:dyDescent="0.3"/>
    <row r="2" spans="2:4" x14ac:dyDescent="0.25">
      <c r="B2" s="83" t="s">
        <v>1762</v>
      </c>
      <c r="C2" s="82" t="s">
        <v>1</v>
      </c>
      <c r="D2" s="87" t="s">
        <v>1763</v>
      </c>
    </row>
    <row r="3" spans="2:4" ht="15.75" thickBot="1" x14ac:dyDescent="0.3">
      <c r="B3" s="84"/>
      <c r="C3" s="86"/>
      <c r="D3" s="88"/>
    </row>
    <row r="4" spans="2:4" x14ac:dyDescent="0.25">
      <c r="B4" s="93">
        <f>IF(EXACT(SEED!$BB5, ""), "", SEED!$BA5)</f>
        <v>65000000000001</v>
      </c>
      <c r="C4" s="91" t="str">
        <f>IF(EXACT($B4, ""), "", IF(EXACT(SEED!$J5, ""), IF(EXACT(SEED!$H5, ""), IF(EXACT(SEED!$F5, ""), IF(EXACT(SEED!$D5, ""), IF(EXACT(SEED!$B5, ""), "", SEED!$B5), SEED!$D5), SEED!$F5), SEED!$H5), SEED!$J5))</f>
        <v>1-0000</v>
      </c>
      <c r="D4" s="91" t="str">
        <f>IF(EXACT($B4, ""), "", IF(EXACT(SEED!$K5, ""), IF(EXACT(SEED!$I5, ""), IF(EXACT(SEED!$G5, ""), IF(EXACT(SEED!$E5, ""), IF(EXACT(SEED!$C5, ""), "", SEED!$C5), SEED!$E5), SEED!$G5), SEED!$I5), SEED!$K5))</f>
        <v>Aset</v>
      </c>
    </row>
    <row r="5" spans="2:4" x14ac:dyDescent="0.25">
      <c r="B5" s="94">
        <f>IF(EXACT(SEED!$BB6, ""), "", SEED!$BA6)</f>
        <v>65000000000002</v>
      </c>
      <c r="C5" s="92" t="str">
        <f>IF(EXACT($B5, ""), "", IF(EXACT(SEED!$J6, ""), IF(EXACT(SEED!$H6, ""), IF(EXACT(SEED!$F6, ""), IF(EXACT(SEED!$D6, ""), IF(EXACT(SEED!$B6, ""), "", SEED!$B6), SEED!$D6), SEED!$F6), SEED!$H6), SEED!$J6))</f>
        <v>1-1000</v>
      </c>
      <c r="D5" s="92" t="str">
        <f>IF(EXACT($B5, ""), "", IF(EXACT(SEED!$K6, ""), IF(EXACT(SEED!$I6, ""), IF(EXACT(SEED!$G6, ""), IF(EXACT(SEED!$E6, ""), IF(EXACT(SEED!$C6, ""), "", SEED!$C6), SEED!$E6), SEED!$G6), SEED!$I6), SEED!$K6))</f>
        <v>Aset Lancar</v>
      </c>
    </row>
    <row r="6" spans="2:4" x14ac:dyDescent="0.25">
      <c r="B6" s="94">
        <f>IF(EXACT(SEED!$BB7, ""), "", SEED!$BA7)</f>
        <v>65000000000003</v>
      </c>
      <c r="C6" s="92" t="str">
        <f>IF(EXACT($B6, ""), "", IF(EXACT(SEED!$J7, ""), IF(EXACT(SEED!$H7, ""), IF(EXACT(SEED!$F7, ""), IF(EXACT(SEED!$D7, ""), IF(EXACT(SEED!$B7, ""), "", SEED!$B7), SEED!$D7), SEED!$F7), SEED!$H7), SEED!$J7))</f>
        <v>1-1100</v>
      </c>
      <c r="D6" s="92" t="str">
        <f>IF(EXACT($B6, ""), "", IF(EXACT(SEED!$K7, ""), IF(EXACT(SEED!$I7, ""), IF(EXACT(SEED!$G7, ""), IF(EXACT(SEED!$E7, ""), IF(EXACT(SEED!$C7, ""), "", SEED!$C7), SEED!$E7), SEED!$G7), SEED!$I7), SEED!$K7))</f>
        <v>Cash &amp; Bank</v>
      </c>
    </row>
    <row r="7" spans="2:4" x14ac:dyDescent="0.25">
      <c r="B7" s="94">
        <f>IF(EXACT(SEED!$BB8, ""), "", SEED!$BA8)</f>
        <v>65000000000004</v>
      </c>
      <c r="C7" s="92" t="str">
        <f>IF(EXACT($B7, ""), "", IF(EXACT(SEED!$J8, ""), IF(EXACT(SEED!$H8, ""), IF(EXACT(SEED!$F8, ""), IF(EXACT(SEED!$D8, ""), IF(EXACT(SEED!$B8, ""), "", SEED!$B8), SEED!$D8), SEED!$F8), SEED!$H8), SEED!$J8))</f>
        <v>1-1101</v>
      </c>
      <c r="D7" s="92" t="str">
        <f>IF(EXACT($B7, ""), "", IF(EXACT(SEED!$K8, ""), IF(EXACT(SEED!$I8, ""), IF(EXACT(SEED!$G8, ""), IF(EXACT(SEED!$E8, ""), IF(EXACT(SEED!$C8, ""), "", SEED!$C8), SEED!$E8), SEED!$G8), SEED!$I8), SEED!$K8))</f>
        <v>Petty Cash</v>
      </c>
    </row>
    <row r="8" spans="2:4" x14ac:dyDescent="0.25">
      <c r="B8" s="94">
        <f>IF(EXACT(SEED!$BB9, ""), "", SEED!$BA9)</f>
        <v>65000000000005</v>
      </c>
      <c r="C8" s="92" t="str">
        <f>IF(EXACT($B8, ""), "", IF(EXACT(SEED!$J9, ""), IF(EXACT(SEED!$H9, ""), IF(EXACT(SEED!$F9, ""), IF(EXACT(SEED!$D9, ""), IF(EXACT(SEED!$B9, ""), "", SEED!$B9), SEED!$D9), SEED!$F9), SEED!$H9), SEED!$J9))</f>
        <v>1-1101.01</v>
      </c>
      <c r="D8" s="92" t="str">
        <f>IF(EXACT($B8, ""), "", IF(EXACT(SEED!$K9, ""), IF(EXACT(SEED!$I9, ""), IF(EXACT(SEED!$G9, ""), IF(EXACT(SEED!$E9, ""), IF(EXACT(SEED!$C9, ""), "", SEED!$C9), SEED!$E9), SEED!$G9), SEED!$I9), SEED!$K9))</f>
        <v>Petty Cash (IDR)</v>
      </c>
    </row>
    <row r="9" spans="2:4" x14ac:dyDescent="0.25">
      <c r="B9" s="94">
        <f>IF(EXACT(SEED!$BB10, ""), "", SEED!$BA10)</f>
        <v>65000000000006</v>
      </c>
      <c r="C9" s="92" t="str">
        <f>IF(EXACT($B9, ""), "", IF(EXACT(SEED!$J10, ""), IF(EXACT(SEED!$H10, ""), IF(EXACT(SEED!$F10, ""), IF(EXACT(SEED!$D10, ""), IF(EXACT(SEED!$B10, ""), "", SEED!$B10), SEED!$D10), SEED!$F10), SEED!$H10), SEED!$J10))</f>
        <v>1-1102</v>
      </c>
      <c r="D9" s="92" t="str">
        <f>IF(EXACT($B9, ""), "", IF(EXACT(SEED!$K10, ""), IF(EXACT(SEED!$I10, ""), IF(EXACT(SEED!$G10, ""), IF(EXACT(SEED!$E10, ""), IF(EXACT(SEED!$C10, ""), "", SEED!$C10), SEED!$E10), SEED!$G10), SEED!$I10), SEED!$K10))</f>
        <v>Bank</v>
      </c>
    </row>
    <row r="10" spans="2:4" x14ac:dyDescent="0.25">
      <c r="B10" s="94">
        <f>IF(EXACT(SEED!$BB11, ""), "", SEED!$BA11)</f>
        <v>65000000000007</v>
      </c>
      <c r="C10" s="92" t="str">
        <f>IF(EXACT($B10, ""), "", IF(EXACT(SEED!$J11, ""), IF(EXACT(SEED!$H11, ""), IF(EXACT(SEED!$F11, ""), IF(EXACT(SEED!$D11, ""), IF(EXACT(SEED!$B11, ""), "", SEED!$B11), SEED!$D11), SEED!$F11), SEED!$H11), SEED!$J11))</f>
        <v>1-1102.01</v>
      </c>
      <c r="D10" s="92" t="str">
        <f>IF(EXACT($B10, ""), "", IF(EXACT(SEED!$K11, ""), IF(EXACT(SEED!$I11, ""), IF(EXACT(SEED!$G11, ""), IF(EXACT(SEED!$E11, ""), IF(EXACT(SEED!$C11, ""), "", SEED!$C11), SEED!$E11), SEED!$G11), SEED!$I11), SEED!$K11))</f>
        <v>Bank (IDR)</v>
      </c>
    </row>
    <row r="11" spans="2:4" x14ac:dyDescent="0.25">
      <c r="B11" s="94">
        <f>IF(EXACT(SEED!$BB12, ""), "", SEED!$BA12)</f>
        <v>65000000000008</v>
      </c>
      <c r="C11" s="92" t="str">
        <f>IF(EXACT($B11, ""), "", IF(EXACT(SEED!$J12, ""), IF(EXACT(SEED!$H12, ""), IF(EXACT(SEED!$F12, ""), IF(EXACT(SEED!$D12, ""), IF(EXACT(SEED!$B12, ""), "", SEED!$B12), SEED!$D12), SEED!$F12), SEED!$H12), SEED!$J12))</f>
        <v>1-1102.02</v>
      </c>
      <c r="D11" s="92" t="str">
        <f>IF(EXACT($B11, ""), "", IF(EXACT(SEED!$K12, ""), IF(EXACT(SEED!$I12, ""), IF(EXACT(SEED!$G12, ""), IF(EXACT(SEED!$E12, ""), IF(EXACT(SEED!$C12, ""), "", SEED!$C12), SEED!$E12), SEED!$G12), SEED!$I12), SEED!$K12))</f>
        <v>Bank (USD)</v>
      </c>
    </row>
    <row r="12" spans="2:4" x14ac:dyDescent="0.25">
      <c r="B12" s="94">
        <f>IF(EXACT(SEED!$BB13, ""), "", SEED!$BA13)</f>
        <v>65000000000009</v>
      </c>
      <c r="C12" s="92" t="str">
        <f>IF(EXACT($B12, ""), "", IF(EXACT(SEED!$J13, ""), IF(EXACT(SEED!$H13, ""), IF(EXACT(SEED!$F13, ""), IF(EXACT(SEED!$D13, ""), IF(EXACT(SEED!$B13, ""), "", SEED!$B13), SEED!$D13), SEED!$F13), SEED!$H13), SEED!$J13))</f>
        <v>1-1200</v>
      </c>
      <c r="D12" s="92" t="str">
        <f>IF(EXACT($B12, ""), "", IF(EXACT(SEED!$K13, ""), IF(EXACT(SEED!$I13, ""), IF(EXACT(SEED!$G13, ""), IF(EXACT(SEED!$E13, ""), IF(EXACT(SEED!$C13, ""), "", SEED!$C13), SEED!$E13), SEED!$G13), SEED!$I13), SEED!$K13))</f>
        <v>Account Receivable</v>
      </c>
    </row>
    <row r="13" spans="2:4" x14ac:dyDescent="0.25">
      <c r="B13" s="94">
        <f>IF(EXACT(SEED!$BB14, ""), "", SEED!$BA14)</f>
        <v>65000000000010</v>
      </c>
      <c r="C13" s="92" t="str">
        <f>IF(EXACT($B13, ""), "", IF(EXACT(SEED!$J14, ""), IF(EXACT(SEED!$H14, ""), IF(EXACT(SEED!$F14, ""), IF(EXACT(SEED!$D14, ""), IF(EXACT(SEED!$B14, ""), "", SEED!$B14), SEED!$D14), SEED!$F14), SEED!$H14), SEED!$J14))</f>
        <v>1-1201</v>
      </c>
      <c r="D13" s="92" t="str">
        <f>IF(EXACT($B13, ""), "", IF(EXACT(SEED!$K14, ""), IF(EXACT(SEED!$I14, ""), IF(EXACT(SEED!$G14, ""), IF(EXACT(SEED!$E14, ""), IF(EXACT(SEED!$C14, ""), "", SEED!$C14), SEED!$E14), SEED!$G14), SEED!$I14), SEED!$K14))</f>
        <v>Piutang Usaha</v>
      </c>
    </row>
    <row r="14" spans="2:4" x14ac:dyDescent="0.25">
      <c r="B14" s="94">
        <f>IF(EXACT(SEED!$BB15, ""), "", SEED!$BA15)</f>
        <v>65000000000011</v>
      </c>
      <c r="C14" s="92" t="str">
        <f>IF(EXACT($B14, ""), "", IF(EXACT(SEED!$J15, ""), IF(EXACT(SEED!$H15, ""), IF(EXACT(SEED!$F15, ""), IF(EXACT(SEED!$D15, ""), IF(EXACT(SEED!$B15, ""), "", SEED!$B15), SEED!$D15), SEED!$F15), SEED!$H15), SEED!$J15))</f>
        <v>1-1201.01</v>
      </c>
      <c r="D14" s="92" t="str">
        <f>IF(EXACT($B14, ""), "", IF(EXACT(SEED!$K15, ""), IF(EXACT(SEED!$I15, ""), IF(EXACT(SEED!$G15, ""), IF(EXACT(SEED!$E15, ""), IF(EXACT(SEED!$C15, ""), "", SEED!$C15), SEED!$E15), SEED!$G15), SEED!$I15), SEED!$K15))</f>
        <v>AR (IDR)</v>
      </c>
    </row>
    <row r="15" spans="2:4" x14ac:dyDescent="0.25">
      <c r="B15" s="94">
        <f>IF(EXACT(SEED!$BB16, ""), "", SEED!$BA16)</f>
        <v>65000000000012</v>
      </c>
      <c r="C15" s="92" t="str">
        <f>IF(EXACT($B15, ""), "", IF(EXACT(SEED!$J16, ""), IF(EXACT(SEED!$H16, ""), IF(EXACT(SEED!$F16, ""), IF(EXACT(SEED!$D16, ""), IF(EXACT(SEED!$B16, ""), "", SEED!$B16), SEED!$D16), SEED!$F16), SEED!$H16), SEED!$J16))</f>
        <v>1-1201.02</v>
      </c>
      <c r="D15" s="92" t="str">
        <f>IF(EXACT($B15, ""), "", IF(EXACT(SEED!$K16, ""), IF(EXACT(SEED!$I16, ""), IF(EXACT(SEED!$G16, ""), IF(EXACT(SEED!$E16, ""), IF(EXACT(SEED!$C16, ""), "", SEED!$C16), SEED!$E16), SEED!$G16), SEED!$I16), SEED!$K16))</f>
        <v>AR (USD)</v>
      </c>
    </row>
    <row r="16" spans="2:4" x14ac:dyDescent="0.25">
      <c r="B16" s="94">
        <f>IF(EXACT(SEED!$BB17, ""), "", SEED!$BA17)</f>
        <v>65000000000013</v>
      </c>
      <c r="C16" s="92" t="str">
        <f>IF(EXACT($B16, ""), "", IF(EXACT(SEED!$J17, ""), IF(EXACT(SEED!$H17, ""), IF(EXACT(SEED!$F17, ""), IF(EXACT(SEED!$D17, ""), IF(EXACT(SEED!$B17, ""), "", SEED!$B17), SEED!$D17), SEED!$F17), SEED!$H17), SEED!$J17))</f>
        <v>1-1202</v>
      </c>
      <c r="D16" s="92" t="str">
        <f>IF(EXACT($B16, ""), "", IF(EXACT(SEED!$K17, ""), IF(EXACT(SEED!$I17, ""), IF(EXACT(SEED!$G17, ""), IF(EXACT(SEED!$E17, ""), IF(EXACT(SEED!$C17, ""), "", SEED!$C17), SEED!$E17), SEED!$G17), SEED!$I17), SEED!$K17))</f>
        <v>Cadangan Kerugian Piutang</v>
      </c>
    </row>
    <row r="17" spans="2:4" x14ac:dyDescent="0.25">
      <c r="B17" s="94">
        <f>IF(EXACT(SEED!$BB18, ""), "", SEED!$BA18)</f>
        <v>65000000000014</v>
      </c>
      <c r="C17" s="92" t="str">
        <f>IF(EXACT($B17, ""), "", IF(EXACT(SEED!$J18, ""), IF(EXACT(SEED!$H18, ""), IF(EXACT(SEED!$F18, ""), IF(EXACT(SEED!$D18, ""), IF(EXACT(SEED!$B18, ""), "", SEED!$B18), SEED!$D18), SEED!$F18), SEED!$H18), SEED!$J18))</f>
        <v>1-1202.01</v>
      </c>
      <c r="D17" s="92" t="str">
        <f>IF(EXACT($B17, ""), "", IF(EXACT(SEED!$K18, ""), IF(EXACT(SEED!$I18, ""), IF(EXACT(SEED!$G18, ""), IF(EXACT(SEED!$E18, ""), IF(EXACT(SEED!$C18, ""), "", SEED!$C18), SEED!$E18), SEED!$G18), SEED!$I18), SEED!$K18))</f>
        <v>Cadangan Kerugian Piutang (IDR)</v>
      </c>
    </row>
    <row r="18" spans="2:4" x14ac:dyDescent="0.25">
      <c r="B18" s="94">
        <f>IF(EXACT(SEED!$BB19, ""), "", SEED!$BA19)</f>
        <v>65000000000015</v>
      </c>
      <c r="C18" s="92" t="str">
        <f>IF(EXACT($B18, ""), "", IF(EXACT(SEED!$J19, ""), IF(EXACT(SEED!$H19, ""), IF(EXACT(SEED!$F19, ""), IF(EXACT(SEED!$D19, ""), IF(EXACT(SEED!$B19, ""), "", SEED!$B19), SEED!$D19), SEED!$F19), SEED!$H19), SEED!$J19))</f>
        <v>1-1202.02</v>
      </c>
      <c r="D18" s="92" t="str">
        <f>IF(EXACT($B18, ""), "", IF(EXACT(SEED!$K19, ""), IF(EXACT(SEED!$I19, ""), IF(EXACT(SEED!$G19, ""), IF(EXACT(SEED!$E19, ""), IF(EXACT(SEED!$C19, ""), "", SEED!$C19), SEED!$E19), SEED!$G19), SEED!$I19), SEED!$K19))</f>
        <v>Cadangan Kerugian Piutang (USD)</v>
      </c>
    </row>
    <row r="19" spans="2:4" x14ac:dyDescent="0.25">
      <c r="B19" s="94">
        <f>IF(EXACT(SEED!$BB20, ""), "", SEED!$BA20)</f>
        <v>65000000000016</v>
      </c>
      <c r="C19" s="92" t="str">
        <f>IF(EXACT($B19, ""), "", IF(EXACT(SEED!$J20, ""), IF(EXACT(SEED!$H20, ""), IF(EXACT(SEED!$F20, ""), IF(EXACT(SEED!$D20, ""), IF(EXACT(SEED!$B20, ""), "", SEED!$B20), SEED!$D20), SEED!$F20), SEED!$H20), SEED!$J20))</f>
        <v>1-1203</v>
      </c>
      <c r="D19" s="92" t="str">
        <f>IF(EXACT($B19, ""), "", IF(EXACT(SEED!$K20, ""), IF(EXACT(SEED!$I20, ""), IF(EXACT(SEED!$G20, ""), IF(EXACT(SEED!$E20, ""), IF(EXACT(SEED!$C20, ""), "", SEED!$C20), SEED!$E20), SEED!$G20), SEED!$I20), SEED!$K20))</f>
        <v>Piutang Non Usaha</v>
      </c>
    </row>
    <row r="20" spans="2:4" x14ac:dyDescent="0.25">
      <c r="B20" s="94">
        <f>IF(EXACT(SEED!$BB21, ""), "", SEED!$BA21)</f>
        <v>65000000000017</v>
      </c>
      <c r="C20" s="92" t="str">
        <f>IF(EXACT($B20, ""), "", IF(EXACT(SEED!$J21, ""), IF(EXACT(SEED!$H21, ""), IF(EXACT(SEED!$F21, ""), IF(EXACT(SEED!$D21, ""), IF(EXACT(SEED!$B21, ""), "", SEED!$B21), SEED!$D21), SEED!$F21), SEED!$H21), SEED!$J21))</f>
        <v>1-1203.01</v>
      </c>
      <c r="D20" s="92" t="str">
        <f>IF(EXACT($B20, ""), "", IF(EXACT(SEED!$K21, ""), IF(EXACT(SEED!$I21, ""), IF(EXACT(SEED!$G21, ""), IF(EXACT(SEED!$E21, ""), IF(EXACT(SEED!$C21, ""), "", SEED!$C21), SEED!$E21), SEED!$G21), SEED!$I21), SEED!$K21))</f>
        <v>Piutang Non Usaha (IDR)</v>
      </c>
    </row>
    <row r="21" spans="2:4" x14ac:dyDescent="0.25">
      <c r="B21" s="94">
        <f>IF(EXACT(SEED!$BB22, ""), "", SEED!$BA22)</f>
        <v>65000000000018</v>
      </c>
      <c r="C21" s="92" t="str">
        <f>IF(EXACT($B21, ""), "", IF(EXACT(SEED!$J22, ""), IF(EXACT(SEED!$H22, ""), IF(EXACT(SEED!$F22, ""), IF(EXACT(SEED!$D22, ""), IF(EXACT(SEED!$B22, ""), "", SEED!$B22), SEED!$D22), SEED!$F22), SEED!$H22), SEED!$J22))</f>
        <v>1-1203.02</v>
      </c>
      <c r="D21" s="92" t="str">
        <f>IF(EXACT($B21, ""), "", IF(EXACT(SEED!$K22, ""), IF(EXACT(SEED!$I22, ""), IF(EXACT(SEED!$G22, ""), IF(EXACT(SEED!$E22, ""), IF(EXACT(SEED!$C22, ""), "", SEED!$C22), SEED!$E22), SEED!$G22), SEED!$I22), SEED!$K22))</f>
        <v>Piutang Non Usaha (USD)</v>
      </c>
    </row>
    <row r="22" spans="2:4" x14ac:dyDescent="0.25">
      <c r="B22" s="94">
        <f>IF(EXACT(SEED!$BB23, ""), "", SEED!$BA23)</f>
        <v>65000000000019</v>
      </c>
      <c r="C22" s="92" t="str">
        <f>IF(EXACT($B22, ""), "", IF(EXACT(SEED!$J23, ""), IF(EXACT(SEED!$H23, ""), IF(EXACT(SEED!$F23, ""), IF(EXACT(SEED!$D23, ""), IF(EXACT(SEED!$B23, ""), "", SEED!$B23), SEED!$D23), SEED!$F23), SEED!$H23), SEED!$J23))</f>
        <v>1-1204</v>
      </c>
      <c r="D22" s="92" t="str">
        <f>IF(EXACT($B22, ""), "", IF(EXACT(SEED!$K23, ""), IF(EXACT(SEED!$I23, ""), IF(EXACT(SEED!$G23, ""), IF(EXACT(SEED!$E23, ""), IF(EXACT(SEED!$C23, ""), "", SEED!$C23), SEED!$E23), SEED!$G23), SEED!$I23), SEED!$K23))</f>
        <v>Piutang Antar Perusahaan</v>
      </c>
    </row>
    <row r="23" spans="2:4" x14ac:dyDescent="0.25">
      <c r="B23" s="94">
        <f>IF(EXACT(SEED!$BB24, ""), "", SEED!$BA24)</f>
        <v>65000000000020</v>
      </c>
      <c r="C23" s="92" t="str">
        <f>IF(EXACT($B23, ""), "", IF(EXACT(SEED!$J24, ""), IF(EXACT(SEED!$H24, ""), IF(EXACT(SEED!$F24, ""), IF(EXACT(SEED!$D24, ""), IF(EXACT(SEED!$B24, ""), "", SEED!$B24), SEED!$D24), SEED!$F24), SEED!$H24), SEED!$J24))</f>
        <v>1-1204.01</v>
      </c>
      <c r="D23" s="92" t="str">
        <f>IF(EXACT($B23, ""), "", IF(EXACT(SEED!$K24, ""), IF(EXACT(SEED!$I24, ""), IF(EXACT(SEED!$G24, ""), IF(EXACT(SEED!$E24, ""), IF(EXACT(SEED!$C24, ""), "", SEED!$C24), SEED!$E24), SEED!$G24), SEED!$I24), SEED!$K24))</f>
        <v>Piutang Antar Perusahaan (IDR)</v>
      </c>
    </row>
    <row r="24" spans="2:4" x14ac:dyDescent="0.25">
      <c r="B24" s="94">
        <f>IF(EXACT(SEED!$BB25, ""), "", SEED!$BA25)</f>
        <v>65000000000021</v>
      </c>
      <c r="C24" s="92" t="str">
        <f>IF(EXACT($B24, ""), "", IF(EXACT(SEED!$J25, ""), IF(EXACT(SEED!$H25, ""), IF(EXACT(SEED!$F25, ""), IF(EXACT(SEED!$D25, ""), IF(EXACT(SEED!$B25, ""), "", SEED!$B25), SEED!$D25), SEED!$F25), SEED!$H25), SEED!$J25))</f>
        <v>1-1204.02</v>
      </c>
      <c r="D24" s="92" t="str">
        <f>IF(EXACT($B24, ""), "", IF(EXACT(SEED!$K25, ""), IF(EXACT(SEED!$I25, ""), IF(EXACT(SEED!$G25, ""), IF(EXACT(SEED!$E25, ""), IF(EXACT(SEED!$C25, ""), "", SEED!$C25), SEED!$E25), SEED!$G25), SEED!$I25), SEED!$K25))</f>
        <v>Piutang Antar Perusahaan (USD)</v>
      </c>
    </row>
    <row r="25" spans="2:4" x14ac:dyDescent="0.25">
      <c r="B25" s="94">
        <f>IF(EXACT(SEED!$BB26, ""), "", SEED!$BA26)</f>
        <v>65000000000022</v>
      </c>
      <c r="C25" s="92" t="str">
        <f>IF(EXACT($B25, ""), "", IF(EXACT(SEED!$J26, ""), IF(EXACT(SEED!$H26, ""), IF(EXACT(SEED!$F26, ""), IF(EXACT(SEED!$D26, ""), IF(EXACT(SEED!$B26, ""), "", SEED!$B26), SEED!$D26), SEED!$F26), SEED!$H26), SEED!$J26))</f>
        <v>1-1300</v>
      </c>
      <c r="D25" s="92" t="str">
        <f>IF(EXACT($B25, ""), "", IF(EXACT(SEED!$K26, ""), IF(EXACT(SEED!$I26, ""), IF(EXACT(SEED!$G26, ""), IF(EXACT(SEED!$E26, ""), IF(EXACT(SEED!$C26, ""), "", SEED!$C26), SEED!$E26), SEED!$G26), SEED!$I26), SEED!$K26))</f>
        <v>Inventory</v>
      </c>
    </row>
    <row r="26" spans="2:4" x14ac:dyDescent="0.25">
      <c r="B26" s="94">
        <f>IF(EXACT(SEED!$BB27, ""), "", SEED!$BA27)</f>
        <v>65000000000023</v>
      </c>
      <c r="C26" s="92" t="str">
        <f>IF(EXACT($B26, ""), "", IF(EXACT(SEED!$J27, ""), IF(EXACT(SEED!$H27, ""), IF(EXACT(SEED!$F27, ""), IF(EXACT(SEED!$D27, ""), IF(EXACT(SEED!$B27, ""), "", SEED!$B27), SEED!$D27), SEED!$F27), SEED!$H27), SEED!$J27))</f>
        <v>1-1301</v>
      </c>
      <c r="D26" s="92" t="str">
        <f>IF(EXACT($B26, ""), "", IF(EXACT(SEED!$K27, ""), IF(EXACT(SEED!$I27, ""), IF(EXACT(SEED!$G27, ""), IF(EXACT(SEED!$E27, ""), IF(EXACT(SEED!$C27, ""), "", SEED!$C27), SEED!$E27), SEED!$G27), SEED!$I27), SEED!$K27))</f>
        <v>Inventory</v>
      </c>
    </row>
    <row r="27" spans="2:4" x14ac:dyDescent="0.25">
      <c r="B27" s="94">
        <f>IF(EXACT(SEED!$BB28, ""), "", SEED!$BA28)</f>
        <v>65000000000024</v>
      </c>
      <c r="C27" s="92" t="str">
        <f>IF(EXACT($B27, ""), "", IF(EXACT(SEED!$J28, ""), IF(EXACT(SEED!$H28, ""), IF(EXACT(SEED!$F28, ""), IF(EXACT(SEED!$D28, ""), IF(EXACT(SEED!$B28, ""), "", SEED!$B28), SEED!$D28), SEED!$F28), SEED!$H28), SEED!$J28))</f>
        <v>1-1301.01</v>
      </c>
      <c r="D27" s="92" t="str">
        <f>IF(EXACT($B27, ""), "", IF(EXACT(SEED!$K28, ""), IF(EXACT(SEED!$I28, ""), IF(EXACT(SEED!$G28, ""), IF(EXACT(SEED!$E28, ""), IF(EXACT(SEED!$C28, ""), "", SEED!$C28), SEED!$E28), SEED!$G28), SEED!$I28), SEED!$K28))</f>
        <v>Inventory (IDR)</v>
      </c>
    </row>
    <row r="28" spans="2:4" x14ac:dyDescent="0.25">
      <c r="B28" s="94">
        <f>IF(EXACT(SEED!$BB29, ""), "", SEED!$BA29)</f>
        <v>65000000000025</v>
      </c>
      <c r="C28" s="92" t="str">
        <f>IF(EXACT($B28, ""), "", IF(EXACT(SEED!$J29, ""), IF(EXACT(SEED!$H29, ""), IF(EXACT(SEED!$F29, ""), IF(EXACT(SEED!$D29, ""), IF(EXACT(SEED!$B29, ""), "", SEED!$B29), SEED!$D29), SEED!$F29), SEED!$H29), SEED!$J29))</f>
        <v>1-1400</v>
      </c>
      <c r="D28" s="92" t="str">
        <f>IF(EXACT($B28, ""), "", IF(EXACT(SEED!$K29, ""), IF(EXACT(SEED!$I29, ""), IF(EXACT(SEED!$G29, ""), IF(EXACT(SEED!$E29, ""), IF(EXACT(SEED!$C29, ""), "", SEED!$C29), SEED!$E29), SEED!$G29), SEED!$I29), SEED!$K29))</f>
        <v>Biaya Dibayar Dimuka</v>
      </c>
    </row>
    <row r="29" spans="2:4" x14ac:dyDescent="0.25">
      <c r="B29" s="94">
        <f>IF(EXACT(SEED!$BB30, ""), "", SEED!$BA30)</f>
        <v>65000000000026</v>
      </c>
      <c r="C29" s="92" t="str">
        <f>IF(EXACT($B29, ""), "", IF(EXACT(SEED!$J30, ""), IF(EXACT(SEED!$H30, ""), IF(EXACT(SEED!$F30, ""), IF(EXACT(SEED!$D30, ""), IF(EXACT(SEED!$B30, ""), "", SEED!$B30), SEED!$D30), SEED!$F30), SEED!$H30), SEED!$J30))</f>
        <v>1-1400.01</v>
      </c>
      <c r="D29" s="92" t="str">
        <f>IF(EXACT($B29, ""), "", IF(EXACT(SEED!$K30, ""), IF(EXACT(SEED!$I30, ""), IF(EXACT(SEED!$G30, ""), IF(EXACT(SEED!$E30, ""), IF(EXACT(SEED!$C30, ""), "", SEED!$C30), SEED!$E30), SEED!$G30), SEED!$I30), SEED!$K30))</f>
        <v>Biaya Dibayar Dimuka (IDR)</v>
      </c>
    </row>
    <row r="30" spans="2:4" x14ac:dyDescent="0.25">
      <c r="B30" s="94">
        <f>IF(EXACT(SEED!$BB31, ""), "", SEED!$BA31)</f>
        <v>65000000000027</v>
      </c>
      <c r="C30" s="92" t="str">
        <f>IF(EXACT($B30, ""), "", IF(EXACT(SEED!$J31, ""), IF(EXACT(SEED!$H31, ""), IF(EXACT(SEED!$F31, ""), IF(EXACT(SEED!$D31, ""), IF(EXACT(SEED!$B31, ""), "", SEED!$B31), SEED!$D31), SEED!$F31), SEED!$H31), SEED!$J31))</f>
        <v>1-1500</v>
      </c>
      <c r="D30" s="92" t="str">
        <f>IF(EXACT($B30, ""), "", IF(EXACT(SEED!$K31, ""), IF(EXACT(SEED!$I31, ""), IF(EXACT(SEED!$G31, ""), IF(EXACT(SEED!$E31, ""), IF(EXACT(SEED!$C31, ""), "", SEED!$C31), SEED!$E31), SEED!$G31), SEED!$I31), SEED!$K31))</f>
        <v>Pajak Dibayar Dimuka</v>
      </c>
    </row>
    <row r="31" spans="2:4" x14ac:dyDescent="0.25">
      <c r="B31" s="94">
        <f>IF(EXACT(SEED!$BB32, ""), "", SEED!$BA32)</f>
        <v>65000000000028</v>
      </c>
      <c r="C31" s="92" t="str">
        <f>IF(EXACT($B31, ""), "", IF(EXACT(SEED!$J32, ""), IF(EXACT(SEED!$H32, ""), IF(EXACT(SEED!$F32, ""), IF(EXACT(SEED!$D32, ""), IF(EXACT(SEED!$B32, ""), "", SEED!$B32), SEED!$D32), SEED!$F32), SEED!$H32), SEED!$J32))</f>
        <v>1-1501</v>
      </c>
      <c r="D31" s="92" t="str">
        <f>IF(EXACT($B31, ""), "", IF(EXACT(SEED!$K32, ""), IF(EXACT(SEED!$I32, ""), IF(EXACT(SEED!$G32, ""), IF(EXACT(SEED!$E32, ""), IF(EXACT(SEED!$C32, ""), "", SEED!$C32), SEED!$E32), SEED!$G32), SEED!$I32), SEED!$K32))</f>
        <v>VAT IN</v>
      </c>
    </row>
    <row r="32" spans="2:4" x14ac:dyDescent="0.25">
      <c r="B32" s="94">
        <f>IF(EXACT(SEED!$BB33, ""), "", SEED!$BA33)</f>
        <v>65000000000029</v>
      </c>
      <c r="C32" s="92" t="str">
        <f>IF(EXACT($B32, ""), "", IF(EXACT(SEED!$J33, ""), IF(EXACT(SEED!$H33, ""), IF(EXACT(SEED!$F33, ""), IF(EXACT(SEED!$D33, ""), IF(EXACT(SEED!$B33, ""), "", SEED!$B33), SEED!$D33), SEED!$F33), SEED!$H33), SEED!$J33))</f>
        <v>1-1501.01</v>
      </c>
      <c r="D32" s="92" t="str">
        <f>IF(EXACT($B32, ""), "", IF(EXACT(SEED!$K33, ""), IF(EXACT(SEED!$I33, ""), IF(EXACT(SEED!$G33, ""), IF(EXACT(SEED!$E33, ""), IF(EXACT(SEED!$C33, ""), "", SEED!$C33), SEED!$E33), SEED!$G33), SEED!$I33), SEED!$K33))</f>
        <v>VAT IN (IDR)</v>
      </c>
    </row>
    <row r="33" spans="2:4" x14ac:dyDescent="0.25">
      <c r="B33" s="94">
        <f>IF(EXACT(SEED!$BB34, ""), "", SEED!$BA34)</f>
        <v>65000000000030</v>
      </c>
      <c r="C33" s="92" t="str">
        <f>IF(EXACT($B33, ""), "", IF(EXACT(SEED!$J34, ""), IF(EXACT(SEED!$H34, ""), IF(EXACT(SEED!$F34, ""), IF(EXACT(SEED!$D34, ""), IF(EXACT(SEED!$B34, ""), "", SEED!$B34), SEED!$D34), SEED!$F34), SEED!$H34), SEED!$J34))</f>
        <v>1-1502</v>
      </c>
      <c r="D33" s="92" t="str">
        <f>IF(EXACT($B33, ""), "", IF(EXACT(SEED!$K34, ""), IF(EXACT(SEED!$I34, ""), IF(EXACT(SEED!$G34, ""), IF(EXACT(SEED!$E34, ""), IF(EXACT(SEED!$C34, ""), "", SEED!$C34), SEED!$E34), SEED!$G34), SEED!$I34), SEED!$K34))</f>
        <v>Prepaid Tax 22</v>
      </c>
    </row>
    <row r="34" spans="2:4" x14ac:dyDescent="0.25">
      <c r="B34" s="94">
        <f>IF(EXACT(SEED!$BB35, ""), "", SEED!$BA35)</f>
        <v>65000000000031</v>
      </c>
      <c r="C34" s="92" t="str">
        <f>IF(EXACT($B34, ""), "", IF(EXACT(SEED!$J35, ""), IF(EXACT(SEED!$H35, ""), IF(EXACT(SEED!$F35, ""), IF(EXACT(SEED!$D35, ""), IF(EXACT(SEED!$B35, ""), "", SEED!$B35), SEED!$D35), SEED!$F35), SEED!$H35), SEED!$J35))</f>
        <v>1-1502.01</v>
      </c>
      <c r="D34" s="92" t="str">
        <f>IF(EXACT($B34, ""), "", IF(EXACT(SEED!$K35, ""), IF(EXACT(SEED!$I35, ""), IF(EXACT(SEED!$G35, ""), IF(EXACT(SEED!$E35, ""), IF(EXACT(SEED!$C35, ""), "", SEED!$C35), SEED!$E35), SEED!$G35), SEED!$I35), SEED!$K35))</f>
        <v>Prepaid Tax 22 (IDR)</v>
      </c>
    </row>
    <row r="35" spans="2:4" x14ac:dyDescent="0.25">
      <c r="B35" s="94">
        <f>IF(EXACT(SEED!$BB36, ""), "", SEED!$BA36)</f>
        <v>65000000000032</v>
      </c>
      <c r="C35" s="92" t="str">
        <f>IF(EXACT($B35, ""), "", IF(EXACT(SEED!$J36, ""), IF(EXACT(SEED!$H36, ""), IF(EXACT(SEED!$F36, ""), IF(EXACT(SEED!$D36, ""), IF(EXACT(SEED!$B36, ""), "", SEED!$B36), SEED!$D36), SEED!$F36), SEED!$H36), SEED!$J36))</f>
        <v>1-1503</v>
      </c>
      <c r="D35" s="92" t="str">
        <f>IF(EXACT($B35, ""), "", IF(EXACT(SEED!$K36, ""), IF(EXACT(SEED!$I36, ""), IF(EXACT(SEED!$G36, ""), IF(EXACT(SEED!$E36, ""), IF(EXACT(SEED!$C36, ""), "", SEED!$C36), SEED!$E36), SEED!$G36), SEED!$I36), SEED!$K36))</f>
        <v>Prepaid Tax 23</v>
      </c>
    </row>
    <row r="36" spans="2:4" x14ac:dyDescent="0.25">
      <c r="B36" s="94">
        <f>IF(EXACT(SEED!$BB37, ""), "", SEED!$BA37)</f>
        <v>65000000000033</v>
      </c>
      <c r="C36" s="92" t="str">
        <f>IF(EXACT($B36, ""), "", IF(EXACT(SEED!$J37, ""), IF(EXACT(SEED!$H37, ""), IF(EXACT(SEED!$F37, ""), IF(EXACT(SEED!$D37, ""), IF(EXACT(SEED!$B37, ""), "", SEED!$B37), SEED!$D37), SEED!$F37), SEED!$H37), SEED!$J37))</f>
        <v>1-1503.01</v>
      </c>
      <c r="D36" s="92" t="str">
        <f>IF(EXACT($B36, ""), "", IF(EXACT(SEED!$K37, ""), IF(EXACT(SEED!$I37, ""), IF(EXACT(SEED!$G37, ""), IF(EXACT(SEED!$E37, ""), IF(EXACT(SEED!$C37, ""), "", SEED!$C37), SEED!$E37), SEED!$G37), SEED!$I37), SEED!$K37))</f>
        <v>Prepaid Tax 23 (IDR)</v>
      </c>
    </row>
    <row r="37" spans="2:4" x14ac:dyDescent="0.25">
      <c r="B37" s="94">
        <f>IF(EXACT(SEED!$BB38, ""), "", SEED!$BA38)</f>
        <v>65000000000034</v>
      </c>
      <c r="C37" s="92" t="str">
        <f>IF(EXACT($B37, ""), "", IF(EXACT(SEED!$J38, ""), IF(EXACT(SEED!$H38, ""), IF(EXACT(SEED!$F38, ""), IF(EXACT(SEED!$D38, ""), IF(EXACT(SEED!$B38, ""), "", SEED!$B38), SEED!$D38), SEED!$F38), SEED!$H38), SEED!$J38))</f>
        <v>1-1504</v>
      </c>
      <c r="D37" s="92" t="str">
        <f>IF(EXACT($B37, ""), "", IF(EXACT(SEED!$K38, ""), IF(EXACT(SEED!$I38, ""), IF(EXACT(SEED!$G38, ""), IF(EXACT(SEED!$E38, ""), IF(EXACT(SEED!$C38, ""), "", SEED!$C38), SEED!$E38), SEED!$G38), SEED!$I38), SEED!$K38))</f>
        <v>Prepaid Tax 25</v>
      </c>
    </row>
    <row r="38" spans="2:4" x14ac:dyDescent="0.25">
      <c r="B38" s="94">
        <f>IF(EXACT(SEED!$BB39, ""), "", SEED!$BA39)</f>
        <v>65000000000035</v>
      </c>
      <c r="C38" s="92" t="str">
        <f>IF(EXACT($B38, ""), "", IF(EXACT(SEED!$J39, ""), IF(EXACT(SEED!$H39, ""), IF(EXACT(SEED!$F39, ""), IF(EXACT(SEED!$D39, ""), IF(EXACT(SEED!$B39, ""), "", SEED!$B39), SEED!$D39), SEED!$F39), SEED!$H39), SEED!$J39))</f>
        <v>1-1504.01</v>
      </c>
      <c r="D38" s="92" t="str">
        <f>IF(EXACT($B38, ""), "", IF(EXACT(SEED!$K39, ""), IF(EXACT(SEED!$I39, ""), IF(EXACT(SEED!$G39, ""), IF(EXACT(SEED!$E39, ""), IF(EXACT(SEED!$C39, ""), "", SEED!$C39), SEED!$E39), SEED!$G39), SEED!$I39), SEED!$K39))</f>
        <v>Prepaid Tax 25 (IDR)</v>
      </c>
    </row>
    <row r="39" spans="2:4" x14ac:dyDescent="0.25">
      <c r="B39" s="94">
        <f>IF(EXACT(SEED!$BB40, ""), "", SEED!$BA40)</f>
        <v>65000000000036</v>
      </c>
      <c r="C39" s="92" t="str">
        <f>IF(EXACT($B39, ""), "", IF(EXACT(SEED!$J40, ""), IF(EXACT(SEED!$H40, ""), IF(EXACT(SEED!$F40, ""), IF(EXACT(SEED!$D40, ""), IF(EXACT(SEED!$B40, ""), "", SEED!$B40), SEED!$D40), SEED!$F40), SEED!$H40), SEED!$J40))</f>
        <v>1-1600</v>
      </c>
      <c r="D39" s="92" t="str">
        <f>IF(EXACT($B39, ""), "", IF(EXACT(SEED!$K40, ""), IF(EXACT(SEED!$I40, ""), IF(EXACT(SEED!$G40, ""), IF(EXACT(SEED!$E40, ""), IF(EXACT(SEED!$C40, ""), "", SEED!$C40), SEED!$E40), SEED!$G40), SEED!$I40), SEED!$K40))</f>
        <v>Perlengkapan Kantor</v>
      </c>
    </row>
    <row r="40" spans="2:4" x14ac:dyDescent="0.25">
      <c r="B40" s="94">
        <f>IF(EXACT(SEED!$BB41, ""), "", SEED!$BA41)</f>
        <v>65000000000037</v>
      </c>
      <c r="C40" s="92" t="str">
        <f>IF(EXACT($B40, ""), "", IF(EXACT(SEED!$J41, ""), IF(EXACT(SEED!$H41, ""), IF(EXACT(SEED!$F41, ""), IF(EXACT(SEED!$D41, ""), IF(EXACT(SEED!$B41, ""), "", SEED!$B41), SEED!$D41), SEED!$F41), SEED!$H41), SEED!$J41))</f>
        <v>1-1600.01</v>
      </c>
      <c r="D40" s="92" t="str">
        <f>IF(EXACT($B40, ""), "", IF(EXACT(SEED!$K41, ""), IF(EXACT(SEED!$I41, ""), IF(EXACT(SEED!$G41, ""), IF(EXACT(SEED!$E41, ""), IF(EXACT(SEED!$C41, ""), "", SEED!$C41), SEED!$E41), SEED!$G41), SEED!$I41), SEED!$K41))</f>
        <v>Perlengkapan Kantor (IDR)</v>
      </c>
    </row>
    <row r="41" spans="2:4" x14ac:dyDescent="0.25">
      <c r="B41" s="94">
        <f>IF(EXACT(SEED!$BB42, ""), "", SEED!$BA42)</f>
        <v>65000000000038</v>
      </c>
      <c r="C41" s="92" t="str">
        <f>IF(EXACT($B41, ""), "", IF(EXACT(SEED!$J42, ""), IF(EXACT(SEED!$H42, ""), IF(EXACT(SEED!$F42, ""), IF(EXACT(SEED!$D42, ""), IF(EXACT(SEED!$B42, ""), "", SEED!$B42), SEED!$D42), SEED!$F42), SEED!$H42), SEED!$J42))</f>
        <v>1-1700</v>
      </c>
      <c r="D41" s="92" t="str">
        <f>IF(EXACT($B41, ""), "", IF(EXACT(SEED!$K42, ""), IF(EXACT(SEED!$I42, ""), IF(EXACT(SEED!$G42, ""), IF(EXACT(SEED!$E42, ""), IF(EXACT(SEED!$C42, ""), "", SEED!$C42), SEED!$E42), SEED!$G42), SEED!$I42), SEED!$K42))</f>
        <v>Uang Muka</v>
      </c>
    </row>
    <row r="42" spans="2:4" x14ac:dyDescent="0.25">
      <c r="B42" s="94">
        <f>IF(EXACT(SEED!$BB43, ""), "", SEED!$BA43)</f>
        <v>65000000000039</v>
      </c>
      <c r="C42" s="92" t="str">
        <f>IF(EXACT($B42, ""), "", IF(EXACT(SEED!$J43, ""), IF(EXACT(SEED!$H43, ""), IF(EXACT(SEED!$F43, ""), IF(EXACT(SEED!$D43, ""), IF(EXACT(SEED!$B43, ""), "", SEED!$B43), SEED!$D43), SEED!$F43), SEED!$H43), SEED!$J43))</f>
        <v>1-1700.01</v>
      </c>
      <c r="D42" s="92" t="str">
        <f>IF(EXACT($B42, ""), "", IF(EXACT(SEED!$K43, ""), IF(EXACT(SEED!$I43, ""), IF(EXACT(SEED!$G43, ""), IF(EXACT(SEED!$E43, ""), IF(EXACT(SEED!$C43, ""), "", SEED!$C43), SEED!$E43), SEED!$G43), SEED!$I43), SEED!$K43))</f>
        <v>Uang Muka (IDR)</v>
      </c>
    </row>
    <row r="43" spans="2:4" x14ac:dyDescent="0.25">
      <c r="B43" s="94">
        <f>IF(EXACT(SEED!$BB44, ""), "", SEED!$BA44)</f>
        <v>65000000000040</v>
      </c>
      <c r="C43" s="92" t="str">
        <f>IF(EXACT($B43, ""), "", IF(EXACT(SEED!$J44, ""), IF(EXACT(SEED!$H44, ""), IF(EXACT(SEED!$F44, ""), IF(EXACT(SEED!$D44, ""), IF(EXACT(SEED!$B44, ""), "", SEED!$B44), SEED!$D44), SEED!$F44), SEED!$H44), SEED!$J44))</f>
        <v>1-1900</v>
      </c>
      <c r="D43" s="92" t="str">
        <f>IF(EXACT($B43, ""), "", IF(EXACT(SEED!$K44, ""), IF(EXACT(SEED!$I44, ""), IF(EXACT(SEED!$G44, ""), IF(EXACT(SEED!$E44, ""), IF(EXACT(SEED!$C44, ""), "", SEED!$C44), SEED!$E44), SEED!$G44), SEED!$I44), SEED!$K44))</f>
        <v>Other Current Asset</v>
      </c>
    </row>
    <row r="44" spans="2:4" x14ac:dyDescent="0.25">
      <c r="B44" s="94">
        <f>IF(EXACT(SEED!$BB45, ""), "", SEED!$BA45)</f>
        <v>65000000000041</v>
      </c>
      <c r="C44" s="92" t="str">
        <f>IF(EXACT($B44, ""), "", IF(EXACT(SEED!$J45, ""), IF(EXACT(SEED!$H45, ""), IF(EXACT(SEED!$F45, ""), IF(EXACT(SEED!$D45, ""), IF(EXACT(SEED!$B45, ""), "", SEED!$B45), SEED!$D45), SEED!$F45), SEED!$H45), SEED!$J45))</f>
        <v>1-1901</v>
      </c>
      <c r="D44" s="92" t="str">
        <f>IF(EXACT($B44, ""), "", IF(EXACT(SEED!$K45, ""), IF(EXACT(SEED!$I45, ""), IF(EXACT(SEED!$G45, ""), IF(EXACT(SEED!$E45, ""), IF(EXACT(SEED!$C45, ""), "", SEED!$C45), SEED!$E45), SEED!$G45), SEED!$I45), SEED!$K45))</f>
        <v>Paid in Advance</v>
      </c>
    </row>
    <row r="45" spans="2:4" x14ac:dyDescent="0.25">
      <c r="B45" s="94">
        <f>IF(EXACT(SEED!$BB46, ""), "", SEED!$BA46)</f>
        <v>65000000000042</v>
      </c>
      <c r="C45" s="92" t="str">
        <f>IF(EXACT($B45, ""), "", IF(EXACT(SEED!$J46, ""), IF(EXACT(SEED!$H46, ""), IF(EXACT(SEED!$F46, ""), IF(EXACT(SEED!$D46, ""), IF(EXACT(SEED!$B46, ""), "", SEED!$B46), SEED!$D46), SEED!$F46), SEED!$H46), SEED!$J46))</f>
        <v>1-1901.01</v>
      </c>
      <c r="D45" s="92" t="str">
        <f>IF(EXACT($B45, ""), "", IF(EXACT(SEED!$K46, ""), IF(EXACT(SEED!$I46, ""), IF(EXACT(SEED!$G46, ""), IF(EXACT(SEED!$E46, ""), IF(EXACT(SEED!$C46, ""), "", SEED!$C46), SEED!$E46), SEED!$G46), SEED!$I46), SEED!$K46))</f>
        <v>Paid in Advance (IDR)</v>
      </c>
    </row>
    <row r="46" spans="2:4" x14ac:dyDescent="0.25">
      <c r="B46" s="94">
        <f>IF(EXACT(SEED!$BB47, ""), "", SEED!$BA47)</f>
        <v>65000000000043</v>
      </c>
      <c r="C46" s="92" t="str">
        <f>IF(EXACT($B46, ""), "", IF(EXACT(SEED!$J47, ""), IF(EXACT(SEED!$H47, ""), IF(EXACT(SEED!$F47, ""), IF(EXACT(SEED!$D47, ""), IF(EXACT(SEED!$B47, ""), "", SEED!$B47), SEED!$D47), SEED!$F47), SEED!$H47), SEED!$J47))</f>
        <v>1-1902</v>
      </c>
      <c r="D46" s="92" t="str">
        <f>IF(EXACT($B46, ""), "", IF(EXACT(SEED!$K47, ""), IF(EXACT(SEED!$I47, ""), IF(EXACT(SEED!$G47, ""), IF(EXACT(SEED!$E47, ""), IF(EXACT(SEED!$C47, ""), "", SEED!$C47), SEED!$E47), SEED!$G47), SEED!$I47), SEED!$K47))</f>
        <v>Suspense</v>
      </c>
    </row>
    <row r="47" spans="2:4" x14ac:dyDescent="0.25">
      <c r="B47" s="94">
        <f>IF(EXACT(SEED!$BB48, ""), "", SEED!$BA48)</f>
        <v>65000000000044</v>
      </c>
      <c r="C47" s="92" t="str">
        <f>IF(EXACT($B47, ""), "", IF(EXACT(SEED!$J48, ""), IF(EXACT(SEED!$H48, ""), IF(EXACT(SEED!$F48, ""), IF(EXACT(SEED!$D48, ""), IF(EXACT(SEED!$B48, ""), "", SEED!$B48), SEED!$D48), SEED!$F48), SEED!$H48), SEED!$J48))</f>
        <v>1-1902.01</v>
      </c>
      <c r="D47" s="92" t="str">
        <f>IF(EXACT($B47, ""), "", IF(EXACT(SEED!$K48, ""), IF(EXACT(SEED!$I48, ""), IF(EXACT(SEED!$G48, ""), IF(EXACT(SEED!$E48, ""), IF(EXACT(SEED!$C48, ""), "", SEED!$C48), SEED!$E48), SEED!$G48), SEED!$I48), SEED!$K48))</f>
        <v>Suspense (IDR)</v>
      </c>
    </row>
    <row r="48" spans="2:4" x14ac:dyDescent="0.25">
      <c r="B48" s="94">
        <f>IF(EXACT(SEED!$BB49, ""), "", SEED!$BA49)</f>
        <v>65000000000045</v>
      </c>
      <c r="C48" s="92" t="str">
        <f>IF(EXACT($B48, ""), "", IF(EXACT(SEED!$J49, ""), IF(EXACT(SEED!$H49, ""), IF(EXACT(SEED!$F49, ""), IF(EXACT(SEED!$D49, ""), IF(EXACT(SEED!$B49, ""), "", SEED!$B49), SEED!$D49), SEED!$F49), SEED!$H49), SEED!$J49))</f>
        <v>1-1903</v>
      </c>
      <c r="D48" s="92" t="str">
        <f>IF(EXACT($B48, ""), "", IF(EXACT(SEED!$K49, ""), IF(EXACT(SEED!$I49, ""), IF(EXACT(SEED!$G49, ""), IF(EXACT(SEED!$E49, ""), IF(EXACT(SEED!$C49, ""), "", SEED!$C49), SEED!$E49), SEED!$G49), SEED!$I49), SEED!$K49))</f>
        <v>Security Deposit</v>
      </c>
    </row>
    <row r="49" spans="2:4" x14ac:dyDescent="0.25">
      <c r="B49" s="94">
        <f>IF(EXACT(SEED!$BB50, ""), "", SEED!$BA50)</f>
        <v>65000000000046</v>
      </c>
      <c r="C49" s="92" t="str">
        <f>IF(EXACT($B49, ""), "", IF(EXACT(SEED!$J50, ""), IF(EXACT(SEED!$H50, ""), IF(EXACT(SEED!$F50, ""), IF(EXACT(SEED!$D50, ""), IF(EXACT(SEED!$B50, ""), "", SEED!$B50), SEED!$D50), SEED!$F50), SEED!$H50), SEED!$J50))</f>
        <v>1-1903.01</v>
      </c>
      <c r="D49" s="92" t="str">
        <f>IF(EXACT($B49, ""), "", IF(EXACT(SEED!$K50, ""), IF(EXACT(SEED!$I50, ""), IF(EXACT(SEED!$G50, ""), IF(EXACT(SEED!$E50, ""), IF(EXACT(SEED!$C50, ""), "", SEED!$C50), SEED!$E50), SEED!$G50), SEED!$I50), SEED!$K50))</f>
        <v>Security Deposit (IDR)</v>
      </c>
    </row>
    <row r="50" spans="2:4" x14ac:dyDescent="0.25">
      <c r="B50" s="94">
        <f>IF(EXACT(SEED!$BB51, ""), "", SEED!$BA51)</f>
        <v>65000000000047</v>
      </c>
      <c r="C50" s="92" t="str">
        <f>IF(EXACT($B50, ""), "", IF(EXACT(SEED!$J51, ""), IF(EXACT(SEED!$H51, ""), IF(EXACT(SEED!$F51, ""), IF(EXACT(SEED!$D51, ""), IF(EXACT(SEED!$B51, ""), "", SEED!$B51), SEED!$D51), SEED!$F51), SEED!$H51), SEED!$J51))</f>
        <v>1-1904</v>
      </c>
      <c r="D50" s="92" t="str">
        <f>IF(EXACT($B50, ""), "", IF(EXACT(SEED!$K51, ""), IF(EXACT(SEED!$I51, ""), IF(EXACT(SEED!$G51, ""), IF(EXACT(SEED!$E51, ""), IF(EXACT(SEED!$C51, ""), "", SEED!$C51), SEED!$E51), SEED!$G51), SEED!$I51), SEED!$K51))</f>
        <v>Unbilled Receivable</v>
      </c>
    </row>
    <row r="51" spans="2:4" x14ac:dyDescent="0.25">
      <c r="B51" s="94">
        <f>IF(EXACT(SEED!$BB52, ""), "", SEED!$BA52)</f>
        <v>65000000000048</v>
      </c>
      <c r="C51" s="92" t="str">
        <f>IF(EXACT($B51, ""), "", IF(EXACT(SEED!$J52, ""), IF(EXACT(SEED!$H52, ""), IF(EXACT(SEED!$F52, ""), IF(EXACT(SEED!$D52, ""), IF(EXACT(SEED!$B52, ""), "", SEED!$B52), SEED!$D52), SEED!$F52), SEED!$H52), SEED!$J52))</f>
        <v>1-1904.01</v>
      </c>
      <c r="D51" s="92" t="str">
        <f>IF(EXACT($B51, ""), "", IF(EXACT(SEED!$K52, ""), IF(EXACT(SEED!$I52, ""), IF(EXACT(SEED!$G52, ""), IF(EXACT(SEED!$E52, ""), IF(EXACT(SEED!$C52, ""), "", SEED!$C52), SEED!$E52), SEED!$G52), SEED!$I52), SEED!$K52))</f>
        <v>Unbilled Receivable (IDR)</v>
      </c>
    </row>
    <row r="52" spans="2:4" x14ac:dyDescent="0.25">
      <c r="B52" s="94">
        <f>IF(EXACT(SEED!$BB53, ""), "", SEED!$BA53)</f>
        <v>65000000000049</v>
      </c>
      <c r="C52" s="92" t="str">
        <f>IF(EXACT($B52, ""), "", IF(EXACT(SEED!$J53, ""), IF(EXACT(SEED!$H53, ""), IF(EXACT(SEED!$F53, ""), IF(EXACT(SEED!$D53, ""), IF(EXACT(SEED!$B53, ""), "", SEED!$B53), SEED!$D53), SEED!$F53), SEED!$H53), SEED!$J53))</f>
        <v>1-1905</v>
      </c>
      <c r="D52" s="92" t="str">
        <f>IF(EXACT($B52, ""), "", IF(EXACT(SEED!$K53, ""), IF(EXACT(SEED!$I53, ""), IF(EXACT(SEED!$G53, ""), IF(EXACT(SEED!$E53, ""), IF(EXACT(SEED!$C53, ""), "", SEED!$C53), SEED!$E53), SEED!$G53), SEED!$I53), SEED!$K53))</f>
        <v>Work in Progress</v>
      </c>
    </row>
    <row r="53" spans="2:4" x14ac:dyDescent="0.25">
      <c r="B53" s="94">
        <f>IF(EXACT(SEED!$BB54, ""), "", SEED!$BA54)</f>
        <v>65000000000050</v>
      </c>
      <c r="C53" s="92" t="str">
        <f>IF(EXACT($B53, ""), "", IF(EXACT(SEED!$J54, ""), IF(EXACT(SEED!$H54, ""), IF(EXACT(SEED!$F54, ""), IF(EXACT(SEED!$D54, ""), IF(EXACT(SEED!$B54, ""), "", SEED!$B54), SEED!$D54), SEED!$F54), SEED!$H54), SEED!$J54))</f>
        <v>1-1905.01</v>
      </c>
      <c r="D53" s="92" t="str">
        <f>IF(EXACT($B53, ""), "", IF(EXACT(SEED!$K54, ""), IF(EXACT(SEED!$I54, ""), IF(EXACT(SEED!$G54, ""), IF(EXACT(SEED!$E54, ""), IF(EXACT(SEED!$C54, ""), "", SEED!$C54), SEED!$E54), SEED!$G54), SEED!$I54), SEED!$K54))</f>
        <v>Work in Progress (IDR)</v>
      </c>
    </row>
    <row r="54" spans="2:4" x14ac:dyDescent="0.25">
      <c r="B54" s="94">
        <f>IF(EXACT(SEED!$BB55, ""), "", SEED!$BA55)</f>
        <v>65000000000051</v>
      </c>
      <c r="C54" s="92" t="str">
        <f>IF(EXACT($B54, ""), "", IF(EXACT(SEED!$J55, ""), IF(EXACT(SEED!$H55, ""), IF(EXACT(SEED!$F55, ""), IF(EXACT(SEED!$D55, ""), IF(EXACT(SEED!$B55, ""), "", SEED!$B55), SEED!$D55), SEED!$F55), SEED!$H55), SEED!$J55))</f>
        <v>1-1999</v>
      </c>
      <c r="D54" s="92" t="str">
        <f>IF(EXACT($B54, ""), "", IF(EXACT(SEED!$K55, ""), IF(EXACT(SEED!$I55, ""), IF(EXACT(SEED!$G55, ""), IF(EXACT(SEED!$E55, ""), IF(EXACT(SEED!$C55, ""), "", SEED!$C55), SEED!$E55), SEED!$G55), SEED!$I55), SEED!$K55))</f>
        <v>Other Prepayment</v>
      </c>
    </row>
    <row r="55" spans="2:4" x14ac:dyDescent="0.25">
      <c r="B55" s="94">
        <f>IF(EXACT(SEED!$BB56, ""), "", SEED!$BA56)</f>
        <v>65000000000052</v>
      </c>
      <c r="C55" s="92" t="str">
        <f>IF(EXACT($B55, ""), "", IF(EXACT(SEED!$J56, ""), IF(EXACT(SEED!$H56, ""), IF(EXACT(SEED!$F56, ""), IF(EXACT(SEED!$D56, ""), IF(EXACT(SEED!$B56, ""), "", SEED!$B56), SEED!$D56), SEED!$F56), SEED!$H56), SEED!$J56))</f>
        <v>1-1999.01</v>
      </c>
      <c r="D55" s="92" t="str">
        <f>IF(EXACT($B55, ""), "", IF(EXACT(SEED!$K56, ""), IF(EXACT(SEED!$I56, ""), IF(EXACT(SEED!$G56, ""), IF(EXACT(SEED!$E56, ""), IF(EXACT(SEED!$C56, ""), "", SEED!$C56), SEED!$E56), SEED!$G56), SEED!$I56), SEED!$K56))</f>
        <v>Other Prepayment (IDR)</v>
      </c>
    </row>
    <row r="56" spans="2:4" x14ac:dyDescent="0.25">
      <c r="B56" s="94">
        <f>IF(EXACT(SEED!$BB57, ""), "", SEED!$BA57)</f>
        <v>65000000000053</v>
      </c>
      <c r="C56" s="92" t="str">
        <f>IF(EXACT($B56, ""), "", IF(EXACT(SEED!$J57, ""), IF(EXACT(SEED!$H57, ""), IF(EXACT(SEED!$F57, ""), IF(EXACT(SEED!$D57, ""), IF(EXACT(SEED!$B57, ""), "", SEED!$B57), SEED!$D57), SEED!$F57), SEED!$H57), SEED!$J57))</f>
        <v>1-2000</v>
      </c>
      <c r="D56" s="92" t="str">
        <f>IF(EXACT($B56, ""), "", IF(EXACT(SEED!$K57, ""), IF(EXACT(SEED!$I57, ""), IF(EXACT(SEED!$G57, ""), IF(EXACT(SEED!$E57, ""), IF(EXACT(SEED!$C57, ""), "", SEED!$C57), SEED!$E57), SEED!$G57), SEED!$I57), SEED!$K57))</f>
        <v>Investasi Jangka Panjang</v>
      </c>
    </row>
    <row r="57" spans="2:4" x14ac:dyDescent="0.25">
      <c r="B57" s="94">
        <f>IF(EXACT(SEED!$BB58, ""), "", SEED!$BA58)</f>
        <v>65000000000054</v>
      </c>
      <c r="C57" s="92" t="str">
        <f>IF(EXACT($B57, ""), "", IF(EXACT(SEED!$J58, ""), IF(EXACT(SEED!$H58, ""), IF(EXACT(SEED!$F58, ""), IF(EXACT(SEED!$D58, ""), IF(EXACT(SEED!$B58, ""), "", SEED!$B58), SEED!$D58), SEED!$F58), SEED!$H58), SEED!$J58))</f>
        <v>1-2001</v>
      </c>
      <c r="D57" s="92" t="str">
        <f>IF(EXACT($B57, ""), "", IF(EXACT(SEED!$K58, ""), IF(EXACT(SEED!$I58, ""), IF(EXACT(SEED!$G58, ""), IF(EXACT(SEED!$E58, ""), IF(EXACT(SEED!$C58, ""), "", SEED!$C58), SEED!$E58), SEED!$G58), SEED!$I58), SEED!$K58))</f>
        <v>Investasi Saham</v>
      </c>
    </row>
    <row r="58" spans="2:4" x14ac:dyDescent="0.25">
      <c r="B58" s="94">
        <f>IF(EXACT(SEED!$BB59, ""), "", SEED!$BA59)</f>
        <v>65000000000055</v>
      </c>
      <c r="C58" s="92" t="str">
        <f>IF(EXACT($B58, ""), "", IF(EXACT(SEED!$J59, ""), IF(EXACT(SEED!$H59, ""), IF(EXACT(SEED!$F59, ""), IF(EXACT(SEED!$D59, ""), IF(EXACT(SEED!$B59, ""), "", SEED!$B59), SEED!$D59), SEED!$F59), SEED!$H59), SEED!$J59))</f>
        <v>1-2001.01</v>
      </c>
      <c r="D58" s="92" t="str">
        <f>IF(EXACT($B58, ""), "", IF(EXACT(SEED!$K59, ""), IF(EXACT(SEED!$I59, ""), IF(EXACT(SEED!$G59, ""), IF(EXACT(SEED!$E59, ""), IF(EXACT(SEED!$C59, ""), "", SEED!$C59), SEED!$E59), SEED!$G59), SEED!$I59), SEED!$K59))</f>
        <v>Investasi Saham (IDR)</v>
      </c>
    </row>
    <row r="59" spans="2:4" x14ac:dyDescent="0.25">
      <c r="B59" s="94">
        <f>IF(EXACT(SEED!$BB60, ""), "", SEED!$BA60)</f>
        <v>65000000000056</v>
      </c>
      <c r="C59" s="92" t="str">
        <f>IF(EXACT($B59, ""), "", IF(EXACT(SEED!$J60, ""), IF(EXACT(SEED!$H60, ""), IF(EXACT(SEED!$F60, ""), IF(EXACT(SEED!$D60, ""), IF(EXACT(SEED!$B60, ""), "", SEED!$B60), SEED!$D60), SEED!$F60), SEED!$H60), SEED!$J60))</f>
        <v>1-3000</v>
      </c>
      <c r="D59" s="92" t="str">
        <f>IF(EXACT($B59, ""), "", IF(EXACT(SEED!$K60, ""), IF(EXACT(SEED!$I60, ""), IF(EXACT(SEED!$G60, ""), IF(EXACT(SEED!$E60, ""), IF(EXACT(SEED!$C60, ""), "", SEED!$C60), SEED!$E60), SEED!$G60), SEED!$I60), SEED!$K60))</f>
        <v>Aktiva Tetap</v>
      </c>
    </row>
    <row r="60" spans="2:4" x14ac:dyDescent="0.25">
      <c r="B60" s="94">
        <f>IF(EXACT(SEED!$BB61, ""), "", SEED!$BA61)</f>
        <v>65000000000057</v>
      </c>
      <c r="C60" s="92" t="str">
        <f>IF(EXACT($B60, ""), "", IF(EXACT(SEED!$J61, ""), IF(EXACT(SEED!$H61, ""), IF(EXACT(SEED!$F61, ""), IF(EXACT(SEED!$D61, ""), IF(EXACT(SEED!$B61, ""), "", SEED!$B61), SEED!$D61), SEED!$F61), SEED!$H61), SEED!$J61))</f>
        <v>1-3100</v>
      </c>
      <c r="D60" s="92" t="str">
        <f>IF(EXACT($B60, ""), "", IF(EXACT(SEED!$K61, ""), IF(EXACT(SEED!$I61, ""), IF(EXACT(SEED!$G61, ""), IF(EXACT(SEED!$E61, ""), IF(EXACT(SEED!$C61, ""), "", SEED!$C61), SEED!$E61), SEED!$G61), SEED!$I61), SEED!$K61))</f>
        <v>Aset Tetap</v>
      </c>
    </row>
    <row r="61" spans="2:4" x14ac:dyDescent="0.25">
      <c r="B61" s="94">
        <f>IF(EXACT(SEED!$BB62, ""), "", SEED!$BA62)</f>
        <v>65000000000058</v>
      </c>
      <c r="C61" s="92" t="str">
        <f>IF(EXACT($B61, ""), "", IF(EXACT(SEED!$J62, ""), IF(EXACT(SEED!$H62, ""), IF(EXACT(SEED!$F62, ""), IF(EXACT(SEED!$D62, ""), IF(EXACT(SEED!$B62, ""), "", SEED!$B62), SEED!$D62), SEED!$F62), SEED!$H62), SEED!$J62))</f>
        <v>1-3101</v>
      </c>
      <c r="D61" s="92" t="str">
        <f>IF(EXACT($B61, ""), "", IF(EXACT(SEED!$K62, ""), IF(EXACT(SEED!$I62, ""), IF(EXACT(SEED!$G62, ""), IF(EXACT(SEED!$E62, ""), IF(EXACT(SEED!$C62, ""), "", SEED!$C62), SEED!$E62), SEED!$G62), SEED!$I62), SEED!$K62))</f>
        <v>Land</v>
      </c>
    </row>
    <row r="62" spans="2:4" x14ac:dyDescent="0.25">
      <c r="B62" s="94">
        <f>IF(EXACT(SEED!$BB63, ""), "", SEED!$BA63)</f>
        <v>65000000000059</v>
      </c>
      <c r="C62" s="92" t="str">
        <f>IF(EXACT($B62, ""), "", IF(EXACT(SEED!$J63, ""), IF(EXACT(SEED!$H63, ""), IF(EXACT(SEED!$F63, ""), IF(EXACT(SEED!$D63, ""), IF(EXACT(SEED!$B63, ""), "", SEED!$B63), SEED!$D63), SEED!$F63), SEED!$H63), SEED!$J63))</f>
        <v>1-3101.01</v>
      </c>
      <c r="D62" s="92" t="str">
        <f>IF(EXACT($B62, ""), "", IF(EXACT(SEED!$K63, ""), IF(EXACT(SEED!$I63, ""), IF(EXACT(SEED!$G63, ""), IF(EXACT(SEED!$E63, ""), IF(EXACT(SEED!$C63, ""), "", SEED!$C63), SEED!$E63), SEED!$G63), SEED!$I63), SEED!$K63))</f>
        <v>Land (IDR)</v>
      </c>
    </row>
    <row r="63" spans="2:4" x14ac:dyDescent="0.25">
      <c r="B63" s="94">
        <f>IF(EXACT(SEED!$BB64, ""), "", SEED!$BA64)</f>
        <v>65000000000060</v>
      </c>
      <c r="C63" s="92" t="str">
        <f>IF(EXACT($B63, ""), "", IF(EXACT(SEED!$J64, ""), IF(EXACT(SEED!$H64, ""), IF(EXACT(SEED!$F64, ""), IF(EXACT(SEED!$D64, ""), IF(EXACT(SEED!$B64, ""), "", SEED!$B64), SEED!$D64), SEED!$F64), SEED!$H64), SEED!$J64))</f>
        <v>1-3102</v>
      </c>
      <c r="D63" s="92" t="str">
        <f>IF(EXACT($B63, ""), "", IF(EXACT(SEED!$K64, ""), IF(EXACT(SEED!$I64, ""), IF(EXACT(SEED!$G64, ""), IF(EXACT(SEED!$E64, ""), IF(EXACT(SEED!$C64, ""), "", SEED!$C64), SEED!$E64), SEED!$G64), SEED!$I64), SEED!$K64))</f>
        <v>Building - Improvement</v>
      </c>
    </row>
    <row r="64" spans="2:4" x14ac:dyDescent="0.25">
      <c r="B64" s="94">
        <f>IF(EXACT(SEED!$BB65, ""), "", SEED!$BA65)</f>
        <v>65000000000061</v>
      </c>
      <c r="C64" s="92" t="str">
        <f>IF(EXACT($B64, ""), "", IF(EXACT(SEED!$J65, ""), IF(EXACT(SEED!$H65, ""), IF(EXACT(SEED!$F65, ""), IF(EXACT(SEED!$D65, ""), IF(EXACT(SEED!$B65, ""), "", SEED!$B65), SEED!$D65), SEED!$F65), SEED!$H65), SEED!$J65))</f>
        <v>1-3102.01</v>
      </c>
      <c r="D64" s="92" t="str">
        <f>IF(EXACT($B64, ""), "", IF(EXACT(SEED!$K65, ""), IF(EXACT(SEED!$I65, ""), IF(EXACT(SEED!$G65, ""), IF(EXACT(SEED!$E65, ""), IF(EXACT(SEED!$C65, ""), "", SEED!$C65), SEED!$E65), SEED!$G65), SEED!$I65), SEED!$K65))</f>
        <v>Building - Improvement (IDR)</v>
      </c>
    </row>
    <row r="65" spans="2:4" x14ac:dyDescent="0.25">
      <c r="B65" s="94">
        <f>IF(EXACT(SEED!$BB66, ""), "", SEED!$BA66)</f>
        <v>65000000000062</v>
      </c>
      <c r="C65" s="92" t="str">
        <f>IF(EXACT($B65, ""), "", IF(EXACT(SEED!$J66, ""), IF(EXACT(SEED!$H66, ""), IF(EXACT(SEED!$F66, ""), IF(EXACT(SEED!$D66, ""), IF(EXACT(SEED!$B66, ""), "", SEED!$B66), SEED!$D66), SEED!$F66), SEED!$H66), SEED!$J66))</f>
        <v>1-3103</v>
      </c>
      <c r="D65" s="92" t="str">
        <f>IF(EXACT($B65, ""), "", IF(EXACT(SEED!$K66, ""), IF(EXACT(SEED!$I66, ""), IF(EXACT(SEED!$G66, ""), IF(EXACT(SEED!$E66, ""), IF(EXACT(SEED!$C66, ""), "", SEED!$C66), SEED!$E66), SEED!$G66), SEED!$I66), SEED!$K66))</f>
        <v>Building - Office</v>
      </c>
    </row>
    <row r="66" spans="2:4" x14ac:dyDescent="0.25">
      <c r="B66" s="94">
        <f>IF(EXACT(SEED!$BB67, ""), "", SEED!$BA67)</f>
        <v>65000000000063</v>
      </c>
      <c r="C66" s="92" t="str">
        <f>IF(EXACT($B66, ""), "", IF(EXACT(SEED!$J67, ""), IF(EXACT(SEED!$H67, ""), IF(EXACT(SEED!$F67, ""), IF(EXACT(SEED!$D67, ""), IF(EXACT(SEED!$B67, ""), "", SEED!$B67), SEED!$D67), SEED!$F67), SEED!$H67), SEED!$J67))</f>
        <v>1-3103.01</v>
      </c>
      <c r="D66" s="92" t="str">
        <f>IF(EXACT($B66, ""), "", IF(EXACT(SEED!$K67, ""), IF(EXACT(SEED!$I67, ""), IF(EXACT(SEED!$G67, ""), IF(EXACT(SEED!$E67, ""), IF(EXACT(SEED!$C67, ""), "", SEED!$C67), SEED!$E67), SEED!$G67), SEED!$I67), SEED!$K67))</f>
        <v>Building - Office (IDR)</v>
      </c>
    </row>
    <row r="67" spans="2:4" x14ac:dyDescent="0.25">
      <c r="B67" s="94">
        <f>IF(EXACT(SEED!$BB68, ""), "", SEED!$BA68)</f>
        <v>65000000000064</v>
      </c>
      <c r="C67" s="92" t="str">
        <f>IF(EXACT($B67, ""), "", IF(EXACT(SEED!$J68, ""), IF(EXACT(SEED!$H68, ""), IF(EXACT(SEED!$F68, ""), IF(EXACT(SEED!$D68, ""), IF(EXACT(SEED!$B68, ""), "", SEED!$B68), SEED!$D68), SEED!$F68), SEED!$H68), SEED!$J68))</f>
        <v>1-3104</v>
      </c>
      <c r="D67" s="92" t="str">
        <f>IF(EXACT($B67, ""), "", IF(EXACT(SEED!$K68, ""), IF(EXACT(SEED!$I68, ""), IF(EXACT(SEED!$G68, ""), IF(EXACT(SEED!$E68, ""), IF(EXACT(SEED!$C68, ""), "", SEED!$C68), SEED!$E68), SEED!$G68), SEED!$I68), SEED!$K68))</f>
        <v>Info Tech Equipment</v>
      </c>
    </row>
    <row r="68" spans="2:4" x14ac:dyDescent="0.25">
      <c r="B68" s="94">
        <f>IF(EXACT(SEED!$BB69, ""), "", SEED!$BA69)</f>
        <v>65000000000065</v>
      </c>
      <c r="C68" s="92" t="str">
        <f>IF(EXACT($B68, ""), "", IF(EXACT(SEED!$J69, ""), IF(EXACT(SEED!$H69, ""), IF(EXACT(SEED!$F69, ""), IF(EXACT(SEED!$D69, ""), IF(EXACT(SEED!$B69, ""), "", SEED!$B69), SEED!$D69), SEED!$F69), SEED!$H69), SEED!$J69))</f>
        <v>1-3104.01</v>
      </c>
      <c r="D68" s="92" t="str">
        <f>IF(EXACT($B68, ""), "", IF(EXACT(SEED!$K69, ""), IF(EXACT(SEED!$I69, ""), IF(EXACT(SEED!$G69, ""), IF(EXACT(SEED!$E69, ""), IF(EXACT(SEED!$C69, ""), "", SEED!$C69), SEED!$E69), SEED!$G69), SEED!$I69), SEED!$K69))</f>
        <v>Info Tech Equipment (IDR)</v>
      </c>
    </row>
    <row r="69" spans="2:4" x14ac:dyDescent="0.25">
      <c r="B69" s="94">
        <f>IF(EXACT(SEED!$BB70, ""), "", SEED!$BA70)</f>
        <v>65000000000066</v>
      </c>
      <c r="C69" s="92" t="str">
        <f>IF(EXACT($B69, ""), "", IF(EXACT(SEED!$J70, ""), IF(EXACT(SEED!$H70, ""), IF(EXACT(SEED!$F70, ""), IF(EXACT(SEED!$D70, ""), IF(EXACT(SEED!$B70, ""), "", SEED!$B70), SEED!$D70), SEED!$F70), SEED!$H70), SEED!$J70))</f>
        <v>1-3105</v>
      </c>
      <c r="D69" s="92" t="str">
        <f>IF(EXACT($B69, ""), "", IF(EXACT(SEED!$K70, ""), IF(EXACT(SEED!$I70, ""), IF(EXACT(SEED!$G70, ""), IF(EXACT(SEED!$E70, ""), IF(EXACT(SEED!$C70, ""), "", SEED!$C70), SEED!$E70), SEED!$G70), SEED!$I70), SEED!$K70))</f>
        <v>Office Machine &amp; Equipment</v>
      </c>
    </row>
    <row r="70" spans="2:4" x14ac:dyDescent="0.25">
      <c r="B70" s="94">
        <f>IF(EXACT(SEED!$BB71, ""), "", SEED!$BA71)</f>
        <v>65000000000067</v>
      </c>
      <c r="C70" s="92" t="str">
        <f>IF(EXACT($B70, ""), "", IF(EXACT(SEED!$J71, ""), IF(EXACT(SEED!$H71, ""), IF(EXACT(SEED!$F71, ""), IF(EXACT(SEED!$D71, ""), IF(EXACT(SEED!$B71, ""), "", SEED!$B71), SEED!$D71), SEED!$F71), SEED!$H71), SEED!$J71))</f>
        <v>1-3105.01</v>
      </c>
      <c r="D70" s="92" t="str">
        <f>IF(EXACT($B70, ""), "", IF(EXACT(SEED!$K71, ""), IF(EXACT(SEED!$I71, ""), IF(EXACT(SEED!$G71, ""), IF(EXACT(SEED!$E71, ""), IF(EXACT(SEED!$C71, ""), "", SEED!$C71), SEED!$E71), SEED!$G71), SEED!$I71), SEED!$K71))</f>
        <v>Office Machine &amp; Equipment (IDR)</v>
      </c>
    </row>
    <row r="71" spans="2:4" x14ac:dyDescent="0.25">
      <c r="B71" s="94">
        <f>IF(EXACT(SEED!$BB72, ""), "", SEED!$BA72)</f>
        <v>65000000000068</v>
      </c>
      <c r="C71" s="92" t="str">
        <f>IF(EXACT($B71, ""), "", IF(EXACT(SEED!$J72, ""), IF(EXACT(SEED!$H72, ""), IF(EXACT(SEED!$F72, ""), IF(EXACT(SEED!$D72, ""), IF(EXACT(SEED!$B72, ""), "", SEED!$B72), SEED!$D72), SEED!$F72), SEED!$H72), SEED!$J72))</f>
        <v>1-3106</v>
      </c>
      <c r="D71" s="92" t="str">
        <f>IF(EXACT($B71, ""), "", IF(EXACT(SEED!$K72, ""), IF(EXACT(SEED!$I72, ""), IF(EXACT(SEED!$G72, ""), IF(EXACT(SEED!$E72, ""), IF(EXACT(SEED!$C72, ""), "", SEED!$C72), SEED!$E72), SEED!$G72), SEED!$I72), SEED!$K72))</f>
        <v>Sundry Plant &amp; Equipment</v>
      </c>
    </row>
    <row r="72" spans="2:4" x14ac:dyDescent="0.25">
      <c r="B72" s="94">
        <f>IF(EXACT(SEED!$BB73, ""), "", SEED!$BA73)</f>
        <v>65000000000069</v>
      </c>
      <c r="C72" s="92" t="str">
        <f>IF(EXACT($B72, ""), "", IF(EXACT(SEED!$J73, ""), IF(EXACT(SEED!$H73, ""), IF(EXACT(SEED!$F73, ""), IF(EXACT(SEED!$D73, ""), IF(EXACT(SEED!$B73, ""), "", SEED!$B73), SEED!$D73), SEED!$F73), SEED!$H73), SEED!$J73))</f>
        <v>1-3106.01</v>
      </c>
      <c r="D72" s="92" t="str">
        <f>IF(EXACT($B72, ""), "", IF(EXACT(SEED!$K73, ""), IF(EXACT(SEED!$I73, ""), IF(EXACT(SEED!$G73, ""), IF(EXACT(SEED!$E73, ""), IF(EXACT(SEED!$C73, ""), "", SEED!$C73), SEED!$E73), SEED!$G73), SEED!$I73), SEED!$K73))</f>
        <v>Sundry Plant &amp; Equipment (IDR)</v>
      </c>
    </row>
    <row r="73" spans="2:4" x14ac:dyDescent="0.25">
      <c r="B73" s="94">
        <f>IF(EXACT(SEED!$BB74, ""), "", SEED!$BA74)</f>
        <v>65000000000070</v>
      </c>
      <c r="C73" s="92" t="str">
        <f>IF(EXACT($B73, ""), "", IF(EXACT(SEED!$J74, ""), IF(EXACT(SEED!$H74, ""), IF(EXACT(SEED!$F74, ""), IF(EXACT(SEED!$D74, ""), IF(EXACT(SEED!$B74, ""), "", SEED!$B74), SEED!$D74), SEED!$F74), SEED!$H74), SEED!$J74))</f>
        <v>1-3107</v>
      </c>
      <c r="D73" s="92" t="str">
        <f>IF(EXACT($B73, ""), "", IF(EXACT(SEED!$K74, ""), IF(EXACT(SEED!$I74, ""), IF(EXACT(SEED!$G74, ""), IF(EXACT(SEED!$E74, ""), IF(EXACT(SEED!$C74, ""), "", SEED!$C74), SEED!$E74), SEED!$G74), SEED!$I74), SEED!$K74))</f>
        <v>Test Equipment</v>
      </c>
    </row>
    <row r="74" spans="2:4" x14ac:dyDescent="0.25">
      <c r="B74" s="94">
        <f>IF(EXACT(SEED!$BB75, ""), "", SEED!$BA75)</f>
        <v>65000000000071</v>
      </c>
      <c r="C74" s="92" t="str">
        <f>IF(EXACT($B74, ""), "", IF(EXACT(SEED!$J75, ""), IF(EXACT(SEED!$H75, ""), IF(EXACT(SEED!$F75, ""), IF(EXACT(SEED!$D75, ""), IF(EXACT(SEED!$B75, ""), "", SEED!$B75), SEED!$D75), SEED!$F75), SEED!$H75), SEED!$J75))</f>
        <v>1-3107.01</v>
      </c>
      <c r="D74" s="92" t="str">
        <f>IF(EXACT($B74, ""), "", IF(EXACT(SEED!$K75, ""), IF(EXACT(SEED!$I75, ""), IF(EXACT(SEED!$G75, ""), IF(EXACT(SEED!$E75, ""), IF(EXACT(SEED!$C75, ""), "", SEED!$C75), SEED!$E75), SEED!$G75), SEED!$I75), SEED!$K75))</f>
        <v>Test Equipment (IDR)</v>
      </c>
    </row>
    <row r="75" spans="2:4" x14ac:dyDescent="0.25">
      <c r="B75" s="94">
        <f>IF(EXACT(SEED!$BB76, ""), "", SEED!$BA76)</f>
        <v>65000000000072</v>
      </c>
      <c r="C75" s="92" t="str">
        <f>IF(EXACT($B75, ""), "", IF(EXACT(SEED!$J76, ""), IF(EXACT(SEED!$H76, ""), IF(EXACT(SEED!$F76, ""), IF(EXACT(SEED!$D76, ""), IF(EXACT(SEED!$B76, ""), "", SEED!$B76), SEED!$D76), SEED!$F76), SEED!$H76), SEED!$J76))</f>
        <v>1-3108</v>
      </c>
      <c r="D75" s="92" t="str">
        <f>IF(EXACT($B75, ""), "", IF(EXACT(SEED!$K76, ""), IF(EXACT(SEED!$I76, ""), IF(EXACT(SEED!$G76, ""), IF(EXACT(SEED!$E76, ""), IF(EXACT(SEED!$C76, ""), "", SEED!$C76), SEED!$E76), SEED!$G76), SEED!$I76), SEED!$K76))</f>
        <v>Motor Vehicle</v>
      </c>
    </row>
    <row r="76" spans="2:4" x14ac:dyDescent="0.25">
      <c r="B76" s="94">
        <f>IF(EXACT(SEED!$BB77, ""), "", SEED!$BA77)</f>
        <v>65000000000073</v>
      </c>
      <c r="C76" s="92" t="str">
        <f>IF(EXACT($B76, ""), "", IF(EXACT(SEED!$J77, ""), IF(EXACT(SEED!$H77, ""), IF(EXACT(SEED!$F77, ""), IF(EXACT(SEED!$D77, ""), IF(EXACT(SEED!$B77, ""), "", SEED!$B77), SEED!$D77), SEED!$F77), SEED!$H77), SEED!$J77))</f>
        <v>1-3108.01</v>
      </c>
      <c r="D76" s="92" t="str">
        <f>IF(EXACT($B76, ""), "", IF(EXACT(SEED!$K77, ""), IF(EXACT(SEED!$I77, ""), IF(EXACT(SEED!$G77, ""), IF(EXACT(SEED!$E77, ""), IF(EXACT(SEED!$C77, ""), "", SEED!$C77), SEED!$E77), SEED!$G77), SEED!$I77), SEED!$K77))</f>
        <v>Motor Vehicle (IDR)</v>
      </c>
    </row>
    <row r="77" spans="2:4" x14ac:dyDescent="0.25">
      <c r="B77" s="94">
        <f>IF(EXACT(SEED!$BB78, ""), "", SEED!$BA78)</f>
        <v>65000000000074</v>
      </c>
      <c r="C77" s="92" t="str">
        <f>IF(EXACT($B77, ""), "", IF(EXACT(SEED!$J78, ""), IF(EXACT(SEED!$H78, ""), IF(EXACT(SEED!$F78, ""), IF(EXACT(SEED!$D78, ""), IF(EXACT(SEED!$B78, ""), "", SEED!$B78), SEED!$D78), SEED!$F78), SEED!$H78), SEED!$J78))</f>
        <v>1-3109</v>
      </c>
      <c r="D77" s="92" t="str">
        <f>IF(EXACT($B77, ""), "", IF(EXACT(SEED!$K78, ""), IF(EXACT(SEED!$I78, ""), IF(EXACT(SEED!$G78, ""), IF(EXACT(SEED!$E78, ""), IF(EXACT(SEED!$C78, ""), "", SEED!$C78), SEED!$E78), SEED!$G78), SEED!$I78), SEED!$K78))</f>
        <v>Tools</v>
      </c>
    </row>
    <row r="78" spans="2:4" x14ac:dyDescent="0.25">
      <c r="B78" s="94">
        <f>IF(EXACT(SEED!$BB79, ""), "", SEED!$BA79)</f>
        <v>65000000000075</v>
      </c>
      <c r="C78" s="92" t="str">
        <f>IF(EXACT($B78, ""), "", IF(EXACT(SEED!$J79, ""), IF(EXACT(SEED!$H79, ""), IF(EXACT(SEED!$F79, ""), IF(EXACT(SEED!$D79, ""), IF(EXACT(SEED!$B79, ""), "", SEED!$B79), SEED!$D79), SEED!$F79), SEED!$H79), SEED!$J79))</f>
        <v>1-3109.01</v>
      </c>
      <c r="D78" s="92" t="str">
        <f>IF(EXACT($B78, ""), "", IF(EXACT(SEED!$K79, ""), IF(EXACT(SEED!$I79, ""), IF(EXACT(SEED!$G79, ""), IF(EXACT(SEED!$E79, ""), IF(EXACT(SEED!$C79, ""), "", SEED!$C79), SEED!$E79), SEED!$G79), SEED!$I79), SEED!$K79))</f>
        <v>Tools (IDR)</v>
      </c>
    </row>
    <row r="79" spans="2:4" x14ac:dyDescent="0.25">
      <c r="B79" s="94">
        <f>IF(EXACT(SEED!$BB80, ""), "", SEED!$BA80)</f>
        <v>65000000000076</v>
      </c>
      <c r="C79" s="92" t="str">
        <f>IF(EXACT($B79, ""), "", IF(EXACT(SEED!$J80, ""), IF(EXACT(SEED!$H80, ""), IF(EXACT(SEED!$F80, ""), IF(EXACT(SEED!$D80, ""), IF(EXACT(SEED!$B80, ""), "", SEED!$B80), SEED!$D80), SEED!$F80), SEED!$H80), SEED!$J80))</f>
        <v>1-3110</v>
      </c>
      <c r="D79" s="92" t="str">
        <f>IF(EXACT($B79, ""), "", IF(EXACT(SEED!$K80, ""), IF(EXACT(SEED!$I80, ""), IF(EXACT(SEED!$G80, ""), IF(EXACT(SEED!$E80, ""), IF(EXACT(SEED!$C80, ""), "", SEED!$C80), SEED!$E80), SEED!$G80), SEED!$I80), SEED!$K80))</f>
        <v>Furniture Fitting</v>
      </c>
    </row>
    <row r="80" spans="2:4" x14ac:dyDescent="0.25">
      <c r="B80" s="94">
        <f>IF(EXACT(SEED!$BB81, ""), "", SEED!$BA81)</f>
        <v>65000000000077</v>
      </c>
      <c r="C80" s="92" t="str">
        <f>IF(EXACT($B80, ""), "", IF(EXACT(SEED!$J81, ""), IF(EXACT(SEED!$H81, ""), IF(EXACT(SEED!$F81, ""), IF(EXACT(SEED!$D81, ""), IF(EXACT(SEED!$B81, ""), "", SEED!$B81), SEED!$D81), SEED!$F81), SEED!$H81), SEED!$J81))</f>
        <v>1-3110.01</v>
      </c>
      <c r="D80" s="92" t="str">
        <f>IF(EXACT($B80, ""), "", IF(EXACT(SEED!$K81, ""), IF(EXACT(SEED!$I81, ""), IF(EXACT(SEED!$G81, ""), IF(EXACT(SEED!$E81, ""), IF(EXACT(SEED!$C81, ""), "", SEED!$C81), SEED!$E81), SEED!$G81), SEED!$I81), SEED!$K81))</f>
        <v>Furniture Fitting (IDR)</v>
      </c>
    </row>
    <row r="81" spans="2:4" x14ac:dyDescent="0.25">
      <c r="B81" s="94">
        <f>IF(EXACT(SEED!$BB82, ""), "", SEED!$BA82)</f>
        <v>65000000000078</v>
      </c>
      <c r="C81" s="92" t="str">
        <f>IF(EXACT($B81, ""), "", IF(EXACT(SEED!$J82, ""), IF(EXACT(SEED!$H82, ""), IF(EXACT(SEED!$F82, ""), IF(EXACT(SEED!$D82, ""), IF(EXACT(SEED!$B82, ""), "", SEED!$B82), SEED!$D82), SEED!$F82), SEED!$H82), SEED!$J82))</f>
        <v>1-3111</v>
      </c>
      <c r="D81" s="92" t="str">
        <f>IF(EXACT($B81, ""), "", IF(EXACT(SEED!$K82, ""), IF(EXACT(SEED!$I82, ""), IF(EXACT(SEED!$G82, ""), IF(EXACT(SEED!$E82, ""), IF(EXACT(SEED!$C82, ""), "", SEED!$C82), SEED!$E82), SEED!$G82), SEED!$I82), SEED!$K82))</f>
        <v>Mobile Phone</v>
      </c>
    </row>
    <row r="82" spans="2:4" x14ac:dyDescent="0.25">
      <c r="B82" s="94">
        <f>IF(EXACT(SEED!$BB83, ""), "", SEED!$BA83)</f>
        <v>65000000000079</v>
      </c>
      <c r="C82" s="92" t="str">
        <f>IF(EXACT($B82, ""), "", IF(EXACT(SEED!$J83, ""), IF(EXACT(SEED!$H83, ""), IF(EXACT(SEED!$F83, ""), IF(EXACT(SEED!$D83, ""), IF(EXACT(SEED!$B83, ""), "", SEED!$B83), SEED!$D83), SEED!$F83), SEED!$H83), SEED!$J83))</f>
        <v>1-3111.01</v>
      </c>
      <c r="D82" s="92" t="str">
        <f>IF(EXACT($B82, ""), "", IF(EXACT(SEED!$K83, ""), IF(EXACT(SEED!$I83, ""), IF(EXACT(SEED!$G83, ""), IF(EXACT(SEED!$E83, ""), IF(EXACT(SEED!$C83, ""), "", SEED!$C83), SEED!$E83), SEED!$G83), SEED!$I83), SEED!$K83))</f>
        <v>Mobile Phone (IDR)</v>
      </c>
    </row>
    <row r="83" spans="2:4" x14ac:dyDescent="0.25">
      <c r="B83" s="94">
        <f>IF(EXACT(SEED!$BB84, ""), "", SEED!$BA84)</f>
        <v>65000000000080</v>
      </c>
      <c r="C83" s="92" t="str">
        <f>IF(EXACT($B83, ""), "", IF(EXACT(SEED!$J84, ""), IF(EXACT(SEED!$H84, ""), IF(EXACT(SEED!$F84, ""), IF(EXACT(SEED!$D84, ""), IF(EXACT(SEED!$B84, ""), "", SEED!$B84), SEED!$D84), SEED!$F84), SEED!$H84), SEED!$J84))</f>
        <v>1-3200</v>
      </c>
      <c r="D83" s="92" t="str">
        <f>IF(EXACT($B83, ""), "", IF(EXACT(SEED!$K84, ""), IF(EXACT(SEED!$I84, ""), IF(EXACT(SEED!$G84, ""), IF(EXACT(SEED!$E84, ""), IF(EXACT(SEED!$C84, ""), "", SEED!$C84), SEED!$E84), SEED!$G84), SEED!$I84), SEED!$K84))</f>
        <v>Akumulasi Penyusutan Aktiva Tetap</v>
      </c>
    </row>
    <row r="84" spans="2:4" x14ac:dyDescent="0.25">
      <c r="B84" s="94">
        <f>IF(EXACT(SEED!$BB85, ""), "", SEED!$BA85)</f>
        <v>65000000000081</v>
      </c>
      <c r="C84" s="92" t="str">
        <f>IF(EXACT($B84, ""), "", IF(EXACT(SEED!$J85, ""), IF(EXACT(SEED!$H85, ""), IF(EXACT(SEED!$F85, ""), IF(EXACT(SEED!$D85, ""), IF(EXACT(SEED!$B85, ""), "", SEED!$B85), SEED!$D85), SEED!$F85), SEED!$H85), SEED!$J85))</f>
        <v>1-3201</v>
      </c>
      <c r="D84" s="92" t="str">
        <f>IF(EXACT($B84, ""), "", IF(EXACT(SEED!$K85, ""), IF(EXACT(SEED!$I85, ""), IF(EXACT(SEED!$G85, ""), IF(EXACT(SEED!$E85, ""), IF(EXACT(SEED!$C85, ""), "", SEED!$C85), SEED!$E85), SEED!$G85), SEED!$I85), SEED!$K85))</f>
        <v>Akumulasi Penyusutan Building - Improvement</v>
      </c>
    </row>
    <row r="85" spans="2:4" x14ac:dyDescent="0.25">
      <c r="B85" s="94">
        <f>IF(EXACT(SEED!$BB86, ""), "", SEED!$BA86)</f>
        <v>65000000000082</v>
      </c>
      <c r="C85" s="92" t="str">
        <f>IF(EXACT($B85, ""), "", IF(EXACT(SEED!$J86, ""), IF(EXACT(SEED!$H86, ""), IF(EXACT(SEED!$F86, ""), IF(EXACT(SEED!$D86, ""), IF(EXACT(SEED!$B86, ""), "", SEED!$B86), SEED!$D86), SEED!$F86), SEED!$H86), SEED!$J86))</f>
        <v>1-3201.01</v>
      </c>
      <c r="D85" s="92" t="str">
        <f>IF(EXACT($B85, ""), "", IF(EXACT(SEED!$K86, ""), IF(EXACT(SEED!$I86, ""), IF(EXACT(SEED!$G86, ""), IF(EXACT(SEED!$E86, ""), IF(EXACT(SEED!$C86, ""), "", SEED!$C86), SEED!$E86), SEED!$G86), SEED!$I86), SEED!$K86))</f>
        <v>Akumulasi Penyusutan Building - Improvement (IDR)</v>
      </c>
    </row>
    <row r="86" spans="2:4" x14ac:dyDescent="0.25">
      <c r="B86" s="94">
        <f>IF(EXACT(SEED!$BB87, ""), "", SEED!$BA87)</f>
        <v>65000000000083</v>
      </c>
      <c r="C86" s="92" t="str">
        <f>IF(EXACT($B86, ""), "", IF(EXACT(SEED!$J87, ""), IF(EXACT(SEED!$H87, ""), IF(EXACT(SEED!$F87, ""), IF(EXACT(SEED!$D87, ""), IF(EXACT(SEED!$B87, ""), "", SEED!$B87), SEED!$D87), SEED!$F87), SEED!$H87), SEED!$J87))</f>
        <v>1-3202</v>
      </c>
      <c r="D86" s="92" t="str">
        <f>IF(EXACT($B86, ""), "", IF(EXACT(SEED!$K87, ""), IF(EXACT(SEED!$I87, ""), IF(EXACT(SEED!$G87, ""), IF(EXACT(SEED!$E87, ""), IF(EXACT(SEED!$C87, ""), "", SEED!$C87), SEED!$E87), SEED!$G87), SEED!$I87), SEED!$K87))</f>
        <v>Akumulasi Penyusutan Building - Office</v>
      </c>
    </row>
    <row r="87" spans="2:4" x14ac:dyDescent="0.25">
      <c r="B87" s="94">
        <f>IF(EXACT(SEED!$BB88, ""), "", SEED!$BA88)</f>
        <v>65000000000084</v>
      </c>
      <c r="C87" s="92" t="str">
        <f>IF(EXACT($B87, ""), "", IF(EXACT(SEED!$J88, ""), IF(EXACT(SEED!$H88, ""), IF(EXACT(SEED!$F88, ""), IF(EXACT(SEED!$D88, ""), IF(EXACT(SEED!$B88, ""), "", SEED!$B88), SEED!$D88), SEED!$F88), SEED!$H88), SEED!$J88))</f>
        <v>1-3202.01</v>
      </c>
      <c r="D87" s="92" t="str">
        <f>IF(EXACT($B87, ""), "", IF(EXACT(SEED!$K88, ""), IF(EXACT(SEED!$I88, ""), IF(EXACT(SEED!$G88, ""), IF(EXACT(SEED!$E88, ""), IF(EXACT(SEED!$C88, ""), "", SEED!$C88), SEED!$E88), SEED!$G88), SEED!$I88), SEED!$K88))</f>
        <v>Akumulasi Penyusutan Building - Office (IDR)</v>
      </c>
    </row>
    <row r="88" spans="2:4" x14ac:dyDescent="0.25">
      <c r="B88" s="94">
        <f>IF(EXACT(SEED!$BB89, ""), "", SEED!$BA89)</f>
        <v>65000000000085</v>
      </c>
      <c r="C88" s="92" t="str">
        <f>IF(EXACT($B88, ""), "", IF(EXACT(SEED!$J89, ""), IF(EXACT(SEED!$H89, ""), IF(EXACT(SEED!$F89, ""), IF(EXACT(SEED!$D89, ""), IF(EXACT(SEED!$B89, ""), "", SEED!$B89), SEED!$D89), SEED!$F89), SEED!$H89), SEED!$J89))</f>
        <v>1-3203</v>
      </c>
      <c r="D88" s="92" t="str">
        <f>IF(EXACT($B88, ""), "", IF(EXACT(SEED!$K89, ""), IF(EXACT(SEED!$I89, ""), IF(EXACT(SEED!$G89, ""), IF(EXACT(SEED!$E89, ""), IF(EXACT(SEED!$C89, ""), "", SEED!$C89), SEED!$E89), SEED!$G89), SEED!$I89), SEED!$K89))</f>
        <v>Akumulasi Penyusutan Info Tech Equipment</v>
      </c>
    </row>
    <row r="89" spans="2:4" x14ac:dyDescent="0.25">
      <c r="B89" s="94">
        <f>IF(EXACT(SEED!$BB90, ""), "", SEED!$BA90)</f>
        <v>65000000000086</v>
      </c>
      <c r="C89" s="92" t="str">
        <f>IF(EXACT($B89, ""), "", IF(EXACT(SEED!$J90, ""), IF(EXACT(SEED!$H90, ""), IF(EXACT(SEED!$F90, ""), IF(EXACT(SEED!$D90, ""), IF(EXACT(SEED!$B90, ""), "", SEED!$B90), SEED!$D90), SEED!$F90), SEED!$H90), SEED!$J90))</f>
        <v>1-3203.01</v>
      </c>
      <c r="D89" s="92" t="str">
        <f>IF(EXACT($B89, ""), "", IF(EXACT(SEED!$K90, ""), IF(EXACT(SEED!$I90, ""), IF(EXACT(SEED!$G90, ""), IF(EXACT(SEED!$E90, ""), IF(EXACT(SEED!$C90, ""), "", SEED!$C90), SEED!$E90), SEED!$G90), SEED!$I90), SEED!$K90))</f>
        <v>Akumulasi Penyusutan Info Tech Equipment (IDR)</v>
      </c>
    </row>
    <row r="90" spans="2:4" x14ac:dyDescent="0.25">
      <c r="B90" s="94">
        <f>IF(EXACT(SEED!$BB91, ""), "", SEED!$BA91)</f>
        <v>65000000000087</v>
      </c>
      <c r="C90" s="92" t="str">
        <f>IF(EXACT($B90, ""), "", IF(EXACT(SEED!$J91, ""), IF(EXACT(SEED!$H91, ""), IF(EXACT(SEED!$F91, ""), IF(EXACT(SEED!$D91, ""), IF(EXACT(SEED!$B91, ""), "", SEED!$B91), SEED!$D91), SEED!$F91), SEED!$H91), SEED!$J91))</f>
        <v>1-3204</v>
      </c>
      <c r="D90" s="92" t="str">
        <f>IF(EXACT($B90, ""), "", IF(EXACT(SEED!$K91, ""), IF(EXACT(SEED!$I91, ""), IF(EXACT(SEED!$G91, ""), IF(EXACT(SEED!$E91, ""), IF(EXACT(SEED!$C91, ""), "", SEED!$C91), SEED!$E91), SEED!$G91), SEED!$I91), SEED!$K91))</f>
        <v>Akumulasi Penyusutan Office Machine &amp; Equipment</v>
      </c>
    </row>
    <row r="91" spans="2:4" x14ac:dyDescent="0.25">
      <c r="B91" s="94">
        <f>IF(EXACT(SEED!$BB92, ""), "", SEED!$BA92)</f>
        <v>65000000000088</v>
      </c>
      <c r="C91" s="92" t="str">
        <f>IF(EXACT($B91, ""), "", IF(EXACT(SEED!$J92, ""), IF(EXACT(SEED!$H92, ""), IF(EXACT(SEED!$F92, ""), IF(EXACT(SEED!$D92, ""), IF(EXACT(SEED!$B92, ""), "", SEED!$B92), SEED!$D92), SEED!$F92), SEED!$H92), SEED!$J92))</f>
        <v>1-3204.01</v>
      </c>
      <c r="D91" s="92" t="str">
        <f>IF(EXACT($B91, ""), "", IF(EXACT(SEED!$K92, ""), IF(EXACT(SEED!$I92, ""), IF(EXACT(SEED!$G92, ""), IF(EXACT(SEED!$E92, ""), IF(EXACT(SEED!$C92, ""), "", SEED!$C92), SEED!$E92), SEED!$G92), SEED!$I92), SEED!$K92))</f>
        <v>Akumulasi Penyusutan Office Machine &amp; Equipment (IDR)</v>
      </c>
    </row>
    <row r="92" spans="2:4" x14ac:dyDescent="0.25">
      <c r="B92" s="94">
        <f>IF(EXACT(SEED!$BB93, ""), "", SEED!$BA93)</f>
        <v>65000000000089</v>
      </c>
      <c r="C92" s="92" t="str">
        <f>IF(EXACT($B92, ""), "", IF(EXACT(SEED!$J93, ""), IF(EXACT(SEED!$H93, ""), IF(EXACT(SEED!$F93, ""), IF(EXACT(SEED!$D93, ""), IF(EXACT(SEED!$B93, ""), "", SEED!$B93), SEED!$D93), SEED!$F93), SEED!$H93), SEED!$J93))</f>
        <v>1-3205</v>
      </c>
      <c r="D92" s="92" t="str">
        <f>IF(EXACT($B92, ""), "", IF(EXACT(SEED!$K93, ""), IF(EXACT(SEED!$I93, ""), IF(EXACT(SEED!$G93, ""), IF(EXACT(SEED!$E93, ""), IF(EXACT(SEED!$C93, ""), "", SEED!$C93), SEED!$E93), SEED!$G93), SEED!$I93), SEED!$K93))</f>
        <v>Akumulasi Penyusutan Sundry Plant &amp; Equipment</v>
      </c>
    </row>
    <row r="93" spans="2:4" x14ac:dyDescent="0.25">
      <c r="B93" s="94">
        <f>IF(EXACT(SEED!$BB94, ""), "", SEED!$BA94)</f>
        <v>65000000000090</v>
      </c>
      <c r="C93" s="92" t="str">
        <f>IF(EXACT($B93, ""), "", IF(EXACT(SEED!$J94, ""), IF(EXACT(SEED!$H94, ""), IF(EXACT(SEED!$F94, ""), IF(EXACT(SEED!$D94, ""), IF(EXACT(SEED!$B94, ""), "", SEED!$B94), SEED!$D94), SEED!$F94), SEED!$H94), SEED!$J94))</f>
        <v>1-3205.01</v>
      </c>
      <c r="D93" s="92" t="str">
        <f>IF(EXACT($B93, ""), "", IF(EXACT(SEED!$K94, ""), IF(EXACT(SEED!$I94, ""), IF(EXACT(SEED!$G94, ""), IF(EXACT(SEED!$E94, ""), IF(EXACT(SEED!$C94, ""), "", SEED!$C94), SEED!$E94), SEED!$G94), SEED!$I94), SEED!$K94))</f>
        <v>Akumulasi Penyusutan Sundry Plant &amp; Equipment (IDR)</v>
      </c>
    </row>
    <row r="94" spans="2:4" x14ac:dyDescent="0.25">
      <c r="B94" s="94">
        <f>IF(EXACT(SEED!$BB95, ""), "", SEED!$BA95)</f>
        <v>65000000000091</v>
      </c>
      <c r="C94" s="92" t="str">
        <f>IF(EXACT($B94, ""), "", IF(EXACT(SEED!$J95, ""), IF(EXACT(SEED!$H95, ""), IF(EXACT(SEED!$F95, ""), IF(EXACT(SEED!$D95, ""), IF(EXACT(SEED!$B95, ""), "", SEED!$B95), SEED!$D95), SEED!$F95), SEED!$H95), SEED!$J95))</f>
        <v>1-3206</v>
      </c>
      <c r="D94" s="92" t="str">
        <f>IF(EXACT($B94, ""), "", IF(EXACT(SEED!$K95, ""), IF(EXACT(SEED!$I95, ""), IF(EXACT(SEED!$G95, ""), IF(EXACT(SEED!$E95, ""), IF(EXACT(SEED!$C95, ""), "", SEED!$C95), SEED!$E95), SEED!$G95), SEED!$I95), SEED!$K95))</f>
        <v>Akumulasi Penyusutan Test Equipment</v>
      </c>
    </row>
    <row r="95" spans="2:4" x14ac:dyDescent="0.25">
      <c r="B95" s="94">
        <f>IF(EXACT(SEED!$BB96, ""), "", SEED!$BA96)</f>
        <v>65000000000092</v>
      </c>
      <c r="C95" s="92" t="str">
        <f>IF(EXACT($B95, ""), "", IF(EXACT(SEED!$J96, ""), IF(EXACT(SEED!$H96, ""), IF(EXACT(SEED!$F96, ""), IF(EXACT(SEED!$D96, ""), IF(EXACT(SEED!$B96, ""), "", SEED!$B96), SEED!$D96), SEED!$F96), SEED!$H96), SEED!$J96))</f>
        <v>1-3206.01</v>
      </c>
      <c r="D95" s="92" t="str">
        <f>IF(EXACT($B95, ""), "", IF(EXACT(SEED!$K96, ""), IF(EXACT(SEED!$I96, ""), IF(EXACT(SEED!$G96, ""), IF(EXACT(SEED!$E96, ""), IF(EXACT(SEED!$C96, ""), "", SEED!$C96), SEED!$E96), SEED!$G96), SEED!$I96), SEED!$K96))</f>
        <v>Akumulasi Penyusutan Test Equipment (IDR)</v>
      </c>
    </row>
    <row r="96" spans="2:4" x14ac:dyDescent="0.25">
      <c r="B96" s="94">
        <f>IF(EXACT(SEED!$BB97, ""), "", SEED!$BA97)</f>
        <v>65000000000093</v>
      </c>
      <c r="C96" s="92" t="str">
        <f>IF(EXACT($B96, ""), "", IF(EXACT(SEED!$J97, ""), IF(EXACT(SEED!$H97, ""), IF(EXACT(SEED!$F97, ""), IF(EXACT(SEED!$D97, ""), IF(EXACT(SEED!$B97, ""), "", SEED!$B97), SEED!$D97), SEED!$F97), SEED!$H97), SEED!$J97))</f>
        <v>1-3207</v>
      </c>
      <c r="D96" s="92" t="str">
        <f>IF(EXACT($B96, ""), "", IF(EXACT(SEED!$K97, ""), IF(EXACT(SEED!$I97, ""), IF(EXACT(SEED!$G97, ""), IF(EXACT(SEED!$E97, ""), IF(EXACT(SEED!$C97, ""), "", SEED!$C97), SEED!$E97), SEED!$G97), SEED!$I97), SEED!$K97))</f>
        <v>Akumulasi Penyusutan Motor Vehicle</v>
      </c>
    </row>
    <row r="97" spans="2:4" x14ac:dyDescent="0.25">
      <c r="B97" s="94">
        <f>IF(EXACT(SEED!$BB98, ""), "", SEED!$BA98)</f>
        <v>65000000000094</v>
      </c>
      <c r="C97" s="92" t="str">
        <f>IF(EXACT($B97, ""), "", IF(EXACT(SEED!$J98, ""), IF(EXACT(SEED!$H98, ""), IF(EXACT(SEED!$F98, ""), IF(EXACT(SEED!$D98, ""), IF(EXACT(SEED!$B98, ""), "", SEED!$B98), SEED!$D98), SEED!$F98), SEED!$H98), SEED!$J98))</f>
        <v>1-3207.01</v>
      </c>
      <c r="D97" s="92" t="str">
        <f>IF(EXACT($B97, ""), "", IF(EXACT(SEED!$K98, ""), IF(EXACT(SEED!$I98, ""), IF(EXACT(SEED!$G98, ""), IF(EXACT(SEED!$E98, ""), IF(EXACT(SEED!$C98, ""), "", SEED!$C98), SEED!$E98), SEED!$G98), SEED!$I98), SEED!$K98))</f>
        <v>Akumulasi Penyusutan Motor Vehicle (IDR)</v>
      </c>
    </row>
    <row r="98" spans="2:4" x14ac:dyDescent="0.25">
      <c r="B98" s="94">
        <f>IF(EXACT(SEED!$BB99, ""), "", SEED!$BA99)</f>
        <v>65000000000095</v>
      </c>
      <c r="C98" s="92" t="str">
        <f>IF(EXACT($B98, ""), "", IF(EXACT(SEED!$J99, ""), IF(EXACT(SEED!$H99, ""), IF(EXACT(SEED!$F99, ""), IF(EXACT(SEED!$D99, ""), IF(EXACT(SEED!$B99, ""), "", SEED!$B99), SEED!$D99), SEED!$F99), SEED!$H99), SEED!$J99))</f>
        <v>1-3208</v>
      </c>
      <c r="D98" s="92" t="str">
        <f>IF(EXACT($B98, ""), "", IF(EXACT(SEED!$K99, ""), IF(EXACT(SEED!$I99, ""), IF(EXACT(SEED!$G99, ""), IF(EXACT(SEED!$E99, ""), IF(EXACT(SEED!$C99, ""), "", SEED!$C99), SEED!$E99), SEED!$G99), SEED!$I99), SEED!$K99))</f>
        <v>Akumulasi Penyusutan Tools</v>
      </c>
    </row>
    <row r="99" spans="2:4" x14ac:dyDescent="0.25">
      <c r="B99" s="94">
        <f>IF(EXACT(SEED!$BB100, ""), "", SEED!$BA100)</f>
        <v>65000000000096</v>
      </c>
      <c r="C99" s="92" t="str">
        <f>IF(EXACT($B99, ""), "", IF(EXACT(SEED!$J100, ""), IF(EXACT(SEED!$H100, ""), IF(EXACT(SEED!$F100, ""), IF(EXACT(SEED!$D100, ""), IF(EXACT(SEED!$B100, ""), "", SEED!$B100), SEED!$D100), SEED!$F100), SEED!$H100), SEED!$J100))</f>
        <v>1-3208.01</v>
      </c>
      <c r="D99" s="92" t="str">
        <f>IF(EXACT($B99, ""), "", IF(EXACT(SEED!$K100, ""), IF(EXACT(SEED!$I100, ""), IF(EXACT(SEED!$G100, ""), IF(EXACT(SEED!$E100, ""), IF(EXACT(SEED!$C100, ""), "", SEED!$C100), SEED!$E100), SEED!$G100), SEED!$I100), SEED!$K100))</f>
        <v>Akumulasi Penyusutan Tools (IDR)</v>
      </c>
    </row>
    <row r="100" spans="2:4" x14ac:dyDescent="0.25">
      <c r="B100" s="94">
        <f>IF(EXACT(SEED!$BB101, ""), "", SEED!$BA101)</f>
        <v>65000000000097</v>
      </c>
      <c r="C100" s="92" t="str">
        <f>IF(EXACT($B100, ""), "", IF(EXACT(SEED!$J101, ""), IF(EXACT(SEED!$H101, ""), IF(EXACT(SEED!$F101, ""), IF(EXACT(SEED!$D101, ""), IF(EXACT(SEED!$B101, ""), "", SEED!$B101), SEED!$D101), SEED!$F101), SEED!$H101), SEED!$J101))</f>
        <v>1-3209</v>
      </c>
      <c r="D100" s="92" t="str">
        <f>IF(EXACT($B100, ""), "", IF(EXACT(SEED!$K101, ""), IF(EXACT(SEED!$I101, ""), IF(EXACT(SEED!$G101, ""), IF(EXACT(SEED!$E101, ""), IF(EXACT(SEED!$C101, ""), "", SEED!$C101), SEED!$E101), SEED!$G101), SEED!$I101), SEED!$K101))</f>
        <v>Akumulasi Penyusutan Furniture Fitting</v>
      </c>
    </row>
    <row r="101" spans="2:4" x14ac:dyDescent="0.25">
      <c r="B101" s="94">
        <f>IF(EXACT(SEED!$BB102, ""), "", SEED!$BA102)</f>
        <v>65000000000098</v>
      </c>
      <c r="C101" s="92" t="str">
        <f>IF(EXACT($B101, ""), "", IF(EXACT(SEED!$J102, ""), IF(EXACT(SEED!$H102, ""), IF(EXACT(SEED!$F102, ""), IF(EXACT(SEED!$D102, ""), IF(EXACT(SEED!$B102, ""), "", SEED!$B102), SEED!$D102), SEED!$F102), SEED!$H102), SEED!$J102))</f>
        <v>1-3209.01</v>
      </c>
      <c r="D101" s="92" t="str">
        <f>IF(EXACT($B101, ""), "", IF(EXACT(SEED!$K102, ""), IF(EXACT(SEED!$I102, ""), IF(EXACT(SEED!$G102, ""), IF(EXACT(SEED!$E102, ""), IF(EXACT(SEED!$C102, ""), "", SEED!$C102), SEED!$E102), SEED!$G102), SEED!$I102), SEED!$K102))</f>
        <v>Akumulasi Penyusutan Furniture Fitting (IDR)</v>
      </c>
    </row>
    <row r="102" spans="2:4" x14ac:dyDescent="0.25">
      <c r="B102" s="94">
        <f>IF(EXACT(SEED!$BB103, ""), "", SEED!$BA103)</f>
        <v>65000000000099</v>
      </c>
      <c r="C102" s="92" t="str">
        <f>IF(EXACT($B102, ""), "", IF(EXACT(SEED!$J103, ""), IF(EXACT(SEED!$H103, ""), IF(EXACT(SEED!$F103, ""), IF(EXACT(SEED!$D103, ""), IF(EXACT(SEED!$B103, ""), "", SEED!$B103), SEED!$D103), SEED!$F103), SEED!$H103), SEED!$J103))</f>
        <v>1-3210</v>
      </c>
      <c r="D102" s="92" t="str">
        <f>IF(EXACT($B102, ""), "", IF(EXACT(SEED!$K103, ""), IF(EXACT(SEED!$I103, ""), IF(EXACT(SEED!$G103, ""), IF(EXACT(SEED!$E103, ""), IF(EXACT(SEED!$C103, ""), "", SEED!$C103), SEED!$E103), SEED!$G103), SEED!$I103), SEED!$K103))</f>
        <v>Akumulasi Penyusutan Mobile Phone</v>
      </c>
    </row>
    <row r="103" spans="2:4" x14ac:dyDescent="0.25">
      <c r="B103" s="94">
        <f>IF(EXACT(SEED!$BB104, ""), "", SEED!$BA104)</f>
        <v>65000000000100</v>
      </c>
      <c r="C103" s="92" t="str">
        <f>IF(EXACT($B103, ""), "", IF(EXACT(SEED!$J104, ""), IF(EXACT(SEED!$H104, ""), IF(EXACT(SEED!$F104, ""), IF(EXACT(SEED!$D104, ""), IF(EXACT(SEED!$B104, ""), "", SEED!$B104), SEED!$D104), SEED!$F104), SEED!$H104), SEED!$J104))</f>
        <v>1-3210.01</v>
      </c>
      <c r="D103" s="92" t="str">
        <f>IF(EXACT($B103, ""), "", IF(EXACT(SEED!$K104, ""), IF(EXACT(SEED!$I104, ""), IF(EXACT(SEED!$G104, ""), IF(EXACT(SEED!$E104, ""), IF(EXACT(SEED!$C104, ""), "", SEED!$C104), SEED!$E104), SEED!$G104), SEED!$I104), SEED!$K104))</f>
        <v>Akumulasi Penyusutan Mobile Phone (IDR)</v>
      </c>
    </row>
    <row r="104" spans="2:4" x14ac:dyDescent="0.25">
      <c r="B104" s="94" t="str">
        <f>IF(EXACT(SEED!$BB105, ""), "", SEED!$BA105)</f>
        <v/>
      </c>
      <c r="C104" s="92" t="str">
        <f>IF(EXACT($B104, ""), "", IF(EXACT(SEED!$J105, ""), IF(EXACT(SEED!$H105, ""), IF(EXACT(SEED!$F105, ""), IF(EXACT(SEED!$D105, ""), IF(EXACT(SEED!$B105, ""), "", SEED!$B105), SEED!$D105), SEED!$F105), SEED!$H105), SEED!$J105))</f>
        <v/>
      </c>
      <c r="D104" s="92" t="str">
        <f>IF(EXACT($B104, ""), "", IF(EXACT(SEED!$K105, ""), IF(EXACT(SEED!$I105, ""), IF(EXACT(SEED!$G105, ""), IF(EXACT(SEED!$E105, ""), IF(EXACT(SEED!$C105, ""), "", SEED!$C105), SEED!$E105), SEED!$G105), SEED!$I105), SEED!$K105))</f>
        <v/>
      </c>
    </row>
    <row r="105" spans="2:4" x14ac:dyDescent="0.25">
      <c r="B105" s="94">
        <f>IF(EXACT(SEED!$BB106, ""), "", SEED!$BA106)</f>
        <v>65000000000101</v>
      </c>
      <c r="C105" s="92" t="str">
        <f>IF(EXACT($B105, ""), "", IF(EXACT(SEED!$J106, ""), IF(EXACT(SEED!$H106, ""), IF(EXACT(SEED!$F106, ""), IF(EXACT(SEED!$D106, ""), IF(EXACT(SEED!$B106, ""), "", SEED!$B106), SEED!$D106), SEED!$F106), SEED!$H106), SEED!$J106))</f>
        <v>1-4000</v>
      </c>
      <c r="D105" s="92" t="str">
        <f>IF(EXACT($B105, ""), "", IF(EXACT(SEED!$K106, ""), IF(EXACT(SEED!$I106, ""), IF(EXACT(SEED!$G106, ""), IF(EXACT(SEED!$E106, ""), IF(EXACT(SEED!$C106, ""), "", SEED!$C106), SEED!$E106), SEED!$G106), SEED!$I106), SEED!$K106))</f>
        <v>Aktiva Tetap Tidak Berwujud</v>
      </c>
    </row>
    <row r="106" spans="2:4" x14ac:dyDescent="0.25">
      <c r="B106" s="94">
        <f>IF(EXACT(SEED!$BB107, ""), "", SEED!$BA107)</f>
        <v>65000000000102</v>
      </c>
      <c r="C106" s="92" t="str">
        <f>IF(EXACT($B106, ""), "", IF(EXACT(SEED!$J107, ""), IF(EXACT(SEED!$H107, ""), IF(EXACT(SEED!$F107, ""), IF(EXACT(SEED!$D107, ""), IF(EXACT(SEED!$B107, ""), "", SEED!$B107), SEED!$D107), SEED!$F107), SEED!$H107), SEED!$J107))</f>
        <v>1-4000.01</v>
      </c>
      <c r="D106" s="92" t="str">
        <f>IF(EXACT($B106, ""), "", IF(EXACT(SEED!$K107, ""), IF(EXACT(SEED!$I107, ""), IF(EXACT(SEED!$G107, ""), IF(EXACT(SEED!$E107, ""), IF(EXACT(SEED!$C107, ""), "", SEED!$C107), SEED!$E107), SEED!$G107), SEED!$I107), SEED!$K107))</f>
        <v>Aktiva Tetap Tidak Berwujud (IDR)</v>
      </c>
    </row>
    <row r="107" spans="2:4" x14ac:dyDescent="0.25">
      <c r="B107" s="94">
        <f>IF(EXACT(SEED!$BB108, ""), "", SEED!$BA108)</f>
        <v>65000000000103</v>
      </c>
      <c r="C107" s="92" t="str">
        <f>IF(EXACT($B107, ""), "", IF(EXACT(SEED!$J108, ""), IF(EXACT(SEED!$H108, ""), IF(EXACT(SEED!$F108, ""), IF(EXACT(SEED!$D108, ""), IF(EXACT(SEED!$B108, ""), "", SEED!$B108), SEED!$D108), SEED!$F108), SEED!$H108), SEED!$J108))</f>
        <v>1-5000</v>
      </c>
      <c r="D107" s="92" t="str">
        <f>IF(EXACT($B107, ""), "", IF(EXACT(SEED!$K108, ""), IF(EXACT(SEED!$I108, ""), IF(EXACT(SEED!$G108, ""), IF(EXACT(SEED!$E108, ""), IF(EXACT(SEED!$C108, ""), "", SEED!$C108), SEED!$E108), SEED!$G108), SEED!$I108), SEED!$K108))</f>
        <v>Aktiva Lain2</v>
      </c>
    </row>
    <row r="108" spans="2:4" x14ac:dyDescent="0.25">
      <c r="B108" s="94">
        <f>IF(EXACT(SEED!$BB109, ""), "", SEED!$BA109)</f>
        <v>65000000000104</v>
      </c>
      <c r="C108" s="92" t="str">
        <f>IF(EXACT($B108, ""), "", IF(EXACT(SEED!$J109, ""), IF(EXACT(SEED!$H109, ""), IF(EXACT(SEED!$F109, ""), IF(EXACT(SEED!$D109, ""), IF(EXACT(SEED!$B109, ""), "", SEED!$B109), SEED!$D109), SEED!$F109), SEED!$H109), SEED!$J109))</f>
        <v>1-5100</v>
      </c>
      <c r="D108" s="92" t="str">
        <f>IF(EXACT($B108, ""), "", IF(EXACT(SEED!$K109, ""), IF(EXACT(SEED!$I109, ""), IF(EXACT(SEED!$G109, ""), IF(EXACT(SEED!$E109, ""), IF(EXACT(SEED!$C109, ""), "", SEED!$C109), SEED!$E109), SEED!$G109), SEED!$I109), SEED!$K109))</f>
        <v>Pre Ops Project</v>
      </c>
    </row>
    <row r="109" spans="2:4" x14ac:dyDescent="0.25">
      <c r="B109" s="94">
        <f>IF(EXACT(SEED!$BB110, ""), "", SEED!$BA110)</f>
        <v>65000000000105</v>
      </c>
      <c r="C109" s="92" t="str">
        <f>IF(EXACT($B109, ""), "", IF(EXACT(SEED!$J110, ""), IF(EXACT(SEED!$H110, ""), IF(EXACT(SEED!$F110, ""), IF(EXACT(SEED!$D110, ""), IF(EXACT(SEED!$B110, ""), "", SEED!$B110), SEED!$D110), SEED!$F110), SEED!$H110), SEED!$J110))</f>
        <v>1-5101</v>
      </c>
      <c r="D109" s="92" t="str">
        <f>IF(EXACT($B109, ""), "", IF(EXACT(SEED!$K110, ""), IF(EXACT(SEED!$I110, ""), IF(EXACT(SEED!$G110, ""), IF(EXACT(SEED!$E110, ""), IF(EXACT(SEED!$C110, ""), "", SEED!$C110), SEED!$E110), SEED!$G110), SEED!$I110), SEED!$K110))</f>
        <v>Pre Opr Costproject - Material</v>
      </c>
    </row>
    <row r="110" spans="2:4" x14ac:dyDescent="0.25">
      <c r="B110" s="94">
        <f>IF(EXACT(SEED!$BB111, ""), "", SEED!$BA111)</f>
        <v>65000000000106</v>
      </c>
      <c r="C110" s="92" t="str">
        <f>IF(EXACT($B110, ""), "", IF(EXACT(SEED!$J111, ""), IF(EXACT(SEED!$H111, ""), IF(EXACT(SEED!$F111, ""), IF(EXACT(SEED!$D111, ""), IF(EXACT(SEED!$B111, ""), "", SEED!$B111), SEED!$D111), SEED!$F111), SEED!$H111), SEED!$J111))</f>
        <v>1-5101.01</v>
      </c>
      <c r="D110" s="92" t="str">
        <f>IF(EXACT($B110, ""), "", IF(EXACT(SEED!$K111, ""), IF(EXACT(SEED!$I111, ""), IF(EXACT(SEED!$G111, ""), IF(EXACT(SEED!$E111, ""), IF(EXACT(SEED!$C111, ""), "", SEED!$C111), SEED!$E111), SEED!$G111), SEED!$I111), SEED!$K111))</f>
        <v>Pre Opr Costproject - Material (IDR)</v>
      </c>
    </row>
    <row r="111" spans="2:4" x14ac:dyDescent="0.25">
      <c r="B111" s="94">
        <f>IF(EXACT(SEED!$BB112, ""), "", SEED!$BA112)</f>
        <v>65000000000107</v>
      </c>
      <c r="C111" s="92" t="str">
        <f>IF(EXACT($B111, ""), "", IF(EXACT(SEED!$J112, ""), IF(EXACT(SEED!$H112, ""), IF(EXACT(SEED!$F112, ""), IF(EXACT(SEED!$D112, ""), IF(EXACT(SEED!$B112, ""), "", SEED!$B112), SEED!$D112), SEED!$F112), SEED!$H112), SEED!$J112))</f>
        <v>1-5102</v>
      </c>
      <c r="D111" s="92" t="str">
        <f>IF(EXACT($B111, ""), "", IF(EXACT(SEED!$K112, ""), IF(EXACT(SEED!$I112, ""), IF(EXACT(SEED!$G112, ""), IF(EXACT(SEED!$E112, ""), IF(EXACT(SEED!$C112, ""), "", SEED!$C112), SEED!$E112), SEED!$G112), SEED!$I112), SEED!$K112))</f>
        <v>Pre Opr Costproject - Labor Cost</v>
      </c>
    </row>
    <row r="112" spans="2:4" x14ac:dyDescent="0.25">
      <c r="B112" s="94">
        <f>IF(EXACT(SEED!$BB113, ""), "", SEED!$BA113)</f>
        <v>65000000000108</v>
      </c>
      <c r="C112" s="92" t="str">
        <f>IF(EXACT($B112, ""), "", IF(EXACT(SEED!$J113, ""), IF(EXACT(SEED!$H113, ""), IF(EXACT(SEED!$F113, ""), IF(EXACT(SEED!$D113, ""), IF(EXACT(SEED!$B113, ""), "", SEED!$B113), SEED!$D113), SEED!$F113), SEED!$H113), SEED!$J113))</f>
        <v>1-5102.01</v>
      </c>
      <c r="D112" s="92" t="str">
        <f>IF(EXACT($B112, ""), "", IF(EXACT(SEED!$K113, ""), IF(EXACT(SEED!$I113, ""), IF(EXACT(SEED!$G113, ""), IF(EXACT(SEED!$E113, ""), IF(EXACT(SEED!$C113, ""), "", SEED!$C113), SEED!$E113), SEED!$G113), SEED!$I113), SEED!$K113))</f>
        <v>Pre Opr Costproject - Labor Cost (IDR)</v>
      </c>
    </row>
    <row r="113" spans="2:4" x14ac:dyDescent="0.25">
      <c r="B113" s="94">
        <f>IF(EXACT(SEED!$BB114, ""), "", SEED!$BA114)</f>
        <v>65000000000109</v>
      </c>
      <c r="C113" s="92" t="str">
        <f>IF(EXACT($B113, ""), "", IF(EXACT(SEED!$J114, ""), IF(EXACT(SEED!$H114, ""), IF(EXACT(SEED!$F114, ""), IF(EXACT(SEED!$D114, ""), IF(EXACT(SEED!$B114, ""), "", SEED!$B114), SEED!$D114), SEED!$F114), SEED!$H114), SEED!$J114))</f>
        <v>1-5103</v>
      </c>
      <c r="D113" s="92" t="str">
        <f>IF(EXACT($B113, ""), "", IF(EXACT(SEED!$K114, ""), IF(EXACT(SEED!$I114, ""), IF(EXACT(SEED!$G114, ""), IF(EXACT(SEED!$E114, ""), IF(EXACT(SEED!$C114, ""), "", SEED!$C114), SEED!$E114), SEED!$G114), SEED!$I114), SEED!$K114))</f>
        <v>Pre Opr Costproject - Overhead</v>
      </c>
    </row>
    <row r="114" spans="2:4" x14ac:dyDescent="0.25">
      <c r="B114" s="94">
        <f>IF(EXACT(SEED!$BB115, ""), "", SEED!$BA115)</f>
        <v>65000000000110</v>
      </c>
      <c r="C114" s="92" t="str">
        <f>IF(EXACT($B114, ""), "", IF(EXACT(SEED!$J115, ""), IF(EXACT(SEED!$H115, ""), IF(EXACT(SEED!$F115, ""), IF(EXACT(SEED!$D115, ""), IF(EXACT(SEED!$B115, ""), "", SEED!$B115), SEED!$D115), SEED!$F115), SEED!$H115), SEED!$J115))</f>
        <v>1-5103.01</v>
      </c>
      <c r="D114" s="92" t="str">
        <f>IF(EXACT($B114, ""), "", IF(EXACT(SEED!$K115, ""), IF(EXACT(SEED!$I115, ""), IF(EXACT(SEED!$G115, ""), IF(EXACT(SEED!$E115, ""), IF(EXACT(SEED!$C115, ""), "", SEED!$C115), SEED!$E115), SEED!$G115), SEED!$I115), SEED!$K115))</f>
        <v>Pre Opr Costproject - Overhead (IDR)</v>
      </c>
    </row>
    <row r="115" spans="2:4" x14ac:dyDescent="0.25">
      <c r="B115" s="94" t="str">
        <f>IF(EXACT(SEED!$BB116, ""), "", SEED!$BA116)</f>
        <v/>
      </c>
      <c r="C115" s="92" t="str">
        <f>IF(EXACT($B115, ""), "", IF(EXACT(SEED!$J116, ""), IF(EXACT(SEED!$H116, ""), IF(EXACT(SEED!$F116, ""), IF(EXACT(SEED!$D116, ""), IF(EXACT(SEED!$B116, ""), "", SEED!$B116), SEED!$D116), SEED!$F116), SEED!$H116), SEED!$J116))</f>
        <v/>
      </c>
      <c r="D115" s="92" t="str">
        <f>IF(EXACT($B115, ""), "", IF(EXACT(SEED!$K116, ""), IF(EXACT(SEED!$I116, ""), IF(EXACT(SEED!$G116, ""), IF(EXACT(SEED!$E116, ""), IF(EXACT(SEED!$C116, ""), "", SEED!$C116), SEED!$E116), SEED!$G116), SEED!$I116), SEED!$K116))</f>
        <v/>
      </c>
    </row>
    <row r="116" spans="2:4" x14ac:dyDescent="0.25">
      <c r="B116" s="94">
        <f>IF(EXACT(SEED!$BB117, ""), "", SEED!$BA117)</f>
        <v>65000000000111</v>
      </c>
      <c r="C116" s="92" t="str">
        <f>IF(EXACT($B116, ""), "", IF(EXACT(SEED!$J117, ""), IF(EXACT(SEED!$H117, ""), IF(EXACT(SEED!$F117, ""), IF(EXACT(SEED!$D117, ""), IF(EXACT(SEED!$B117, ""), "", SEED!$B117), SEED!$D117), SEED!$F117), SEED!$H117), SEED!$J117))</f>
        <v>2-0000</v>
      </c>
      <c r="D116" s="92" t="str">
        <f>IF(EXACT($B116, ""), "", IF(EXACT(SEED!$K117, ""), IF(EXACT(SEED!$I117, ""), IF(EXACT(SEED!$G117, ""), IF(EXACT(SEED!$E117, ""), IF(EXACT(SEED!$C117, ""), "", SEED!$C117), SEED!$E117), SEED!$G117), SEED!$I117), SEED!$K117))</f>
        <v>Hutang</v>
      </c>
    </row>
    <row r="117" spans="2:4" x14ac:dyDescent="0.25">
      <c r="B117" s="94">
        <f>IF(EXACT(SEED!$BB118, ""), "", SEED!$BA118)</f>
        <v>65000000000112</v>
      </c>
      <c r="C117" s="92" t="str">
        <f>IF(EXACT($B117, ""), "", IF(EXACT(SEED!$J118, ""), IF(EXACT(SEED!$H118, ""), IF(EXACT(SEED!$F118, ""), IF(EXACT(SEED!$D118, ""), IF(EXACT(SEED!$B118, ""), "", SEED!$B118), SEED!$D118), SEED!$F118), SEED!$H118), SEED!$J118))</f>
        <v>2-1000</v>
      </c>
      <c r="D117" s="92" t="str">
        <f>IF(EXACT($B117, ""), "", IF(EXACT(SEED!$K118, ""), IF(EXACT(SEED!$I118, ""), IF(EXACT(SEED!$G118, ""), IF(EXACT(SEED!$E118, ""), IF(EXACT(SEED!$C118, ""), "", SEED!$C118), SEED!$E118), SEED!$G118), SEED!$I118), SEED!$K118))</f>
        <v>Hutang lancar</v>
      </c>
    </row>
    <row r="118" spans="2:4" x14ac:dyDescent="0.25">
      <c r="B118" s="94">
        <f>IF(EXACT(SEED!$BB119, ""), "", SEED!$BA119)</f>
        <v>65000000000113</v>
      </c>
      <c r="C118" s="92" t="str">
        <f>IF(EXACT($B118, ""), "", IF(EXACT(SEED!$J119, ""), IF(EXACT(SEED!$H119, ""), IF(EXACT(SEED!$F119, ""), IF(EXACT(SEED!$D119, ""), IF(EXACT(SEED!$B119, ""), "", SEED!$B119), SEED!$D119), SEED!$F119), SEED!$H119), SEED!$J119))</f>
        <v>2-1001</v>
      </c>
      <c r="D118" s="92" t="str">
        <f>IF(EXACT($B118, ""), "", IF(EXACT(SEED!$K119, ""), IF(EXACT(SEED!$I119, ""), IF(EXACT(SEED!$G119, ""), IF(EXACT(SEED!$E119, ""), IF(EXACT(SEED!$C119, ""), "", SEED!$C119), SEED!$E119), SEED!$G119), SEED!$I119), SEED!$K119))</f>
        <v>Hutang Dagang</v>
      </c>
    </row>
    <row r="119" spans="2:4" x14ac:dyDescent="0.25">
      <c r="B119" s="94">
        <f>IF(EXACT(SEED!$BB120, ""), "", SEED!$BA120)</f>
        <v>65000000000114</v>
      </c>
      <c r="C119" s="92" t="str">
        <f>IF(EXACT($B119, ""), "", IF(EXACT(SEED!$J120, ""), IF(EXACT(SEED!$H120, ""), IF(EXACT(SEED!$F120, ""), IF(EXACT(SEED!$D120, ""), IF(EXACT(SEED!$B120, ""), "", SEED!$B120), SEED!$D120), SEED!$F120), SEED!$H120), SEED!$J120))</f>
        <v>2-1001.01</v>
      </c>
      <c r="D119" s="92" t="str">
        <f>IF(EXACT($B119, ""), "", IF(EXACT(SEED!$K120, ""), IF(EXACT(SEED!$I120, ""), IF(EXACT(SEED!$G120, ""), IF(EXACT(SEED!$E120, ""), IF(EXACT(SEED!$C120, ""), "", SEED!$C120), SEED!$E120), SEED!$G120), SEED!$I120), SEED!$K120))</f>
        <v>Hutang Dagang (IDR)</v>
      </c>
    </row>
    <row r="120" spans="2:4" x14ac:dyDescent="0.25">
      <c r="B120" s="94">
        <f>IF(EXACT(SEED!$BB121, ""), "", SEED!$BA121)</f>
        <v>65000000000115</v>
      </c>
      <c r="C120" s="92" t="str">
        <f>IF(EXACT($B120, ""), "", IF(EXACT(SEED!$J121, ""), IF(EXACT(SEED!$H121, ""), IF(EXACT(SEED!$F121, ""), IF(EXACT(SEED!$D121, ""), IF(EXACT(SEED!$B121, ""), "", SEED!$B121), SEED!$D121), SEED!$F121), SEED!$H121), SEED!$J121))</f>
        <v>2-1001.02</v>
      </c>
      <c r="D120" s="92" t="str">
        <f>IF(EXACT($B120, ""), "", IF(EXACT(SEED!$K121, ""), IF(EXACT(SEED!$I121, ""), IF(EXACT(SEED!$G121, ""), IF(EXACT(SEED!$E121, ""), IF(EXACT(SEED!$C121, ""), "", SEED!$C121), SEED!$E121), SEED!$G121), SEED!$I121), SEED!$K121))</f>
        <v>Hutang Dagang (USD)</v>
      </c>
    </row>
    <row r="121" spans="2:4" x14ac:dyDescent="0.25">
      <c r="B121" s="94">
        <f>IF(EXACT(SEED!$BB122, ""), "", SEED!$BA122)</f>
        <v>65000000000116</v>
      </c>
      <c r="C121" s="92" t="str">
        <f>IF(EXACT($B121, ""), "", IF(EXACT(SEED!$J122, ""), IF(EXACT(SEED!$H122, ""), IF(EXACT(SEED!$F122, ""), IF(EXACT(SEED!$D122, ""), IF(EXACT(SEED!$B122, ""), "", SEED!$B122), SEED!$D122), SEED!$F122), SEED!$H122), SEED!$J122))</f>
        <v>2-1001.03</v>
      </c>
      <c r="D121" s="92" t="str">
        <f>IF(EXACT($B121, ""), "", IF(EXACT(SEED!$K122, ""), IF(EXACT(SEED!$I122, ""), IF(EXACT(SEED!$G122, ""), IF(EXACT(SEED!$E122, ""), IF(EXACT(SEED!$C122, ""), "", SEED!$C122), SEED!$E122), SEED!$G122), SEED!$I122), SEED!$K122))</f>
        <v>Hutang Dagang (AUD)</v>
      </c>
    </row>
    <row r="122" spans="2:4" x14ac:dyDescent="0.25">
      <c r="B122" s="94">
        <f>IF(EXACT(SEED!$BB123, ""), "", SEED!$BA123)</f>
        <v>65000000000117</v>
      </c>
      <c r="C122" s="92" t="str">
        <f>IF(EXACT($B122, ""), "", IF(EXACT(SEED!$J123, ""), IF(EXACT(SEED!$H123, ""), IF(EXACT(SEED!$F123, ""), IF(EXACT(SEED!$D123, ""), IF(EXACT(SEED!$B123, ""), "", SEED!$B123), SEED!$D123), SEED!$F123), SEED!$H123), SEED!$J123))</f>
        <v>2-1002</v>
      </c>
      <c r="D122" s="92" t="str">
        <f>IF(EXACT($B122, ""), "", IF(EXACT(SEED!$K123, ""), IF(EXACT(SEED!$I123, ""), IF(EXACT(SEED!$G123, ""), IF(EXACT(SEED!$E123, ""), IF(EXACT(SEED!$C123, ""), "", SEED!$C123), SEED!$E123), SEED!$G123), SEED!$I123), SEED!$K123))</f>
        <v>Biaya yang ditangguhkan</v>
      </c>
    </row>
    <row r="123" spans="2:4" x14ac:dyDescent="0.25">
      <c r="B123" s="94">
        <f>IF(EXACT(SEED!$BB124, ""), "", SEED!$BA124)</f>
        <v>65000000000118</v>
      </c>
      <c r="C123" s="92" t="str">
        <f>IF(EXACT($B123, ""), "", IF(EXACT(SEED!$J124, ""), IF(EXACT(SEED!$H124, ""), IF(EXACT(SEED!$F124, ""), IF(EXACT(SEED!$D124, ""), IF(EXACT(SEED!$B124, ""), "", SEED!$B124), SEED!$D124), SEED!$F124), SEED!$H124), SEED!$J124))</f>
        <v>2-1002.01</v>
      </c>
      <c r="D123" s="92" t="str">
        <f>IF(EXACT($B123, ""), "", IF(EXACT(SEED!$K124, ""), IF(EXACT(SEED!$I124, ""), IF(EXACT(SEED!$G124, ""), IF(EXACT(SEED!$E124, ""), IF(EXACT(SEED!$C124, ""), "", SEED!$C124), SEED!$E124), SEED!$G124), SEED!$I124), SEED!$K124))</f>
        <v>Biaya yang ditangguhkan (IDR)</v>
      </c>
    </row>
    <row r="124" spans="2:4" x14ac:dyDescent="0.25">
      <c r="B124" s="94">
        <f>IF(EXACT(SEED!$BB125, ""), "", SEED!$BA125)</f>
        <v>65000000000119</v>
      </c>
      <c r="C124" s="92" t="str">
        <f>IF(EXACT($B124, ""), "", IF(EXACT(SEED!$J125, ""), IF(EXACT(SEED!$H125, ""), IF(EXACT(SEED!$F125, ""), IF(EXACT(SEED!$D125, ""), IF(EXACT(SEED!$B125, ""), "", SEED!$B125), SEED!$D125), SEED!$F125), SEED!$H125), SEED!$J125))</f>
        <v>2-1003</v>
      </c>
      <c r="D124" s="92" t="str">
        <f>IF(EXACT($B124, ""), "", IF(EXACT(SEED!$K125, ""), IF(EXACT(SEED!$I125, ""), IF(EXACT(SEED!$G125, ""), IF(EXACT(SEED!$E125, ""), IF(EXACT(SEED!$C125, ""), "", SEED!$C125), SEED!$E125), SEED!$G125), SEED!$I125), SEED!$K125))</f>
        <v>Unearned Revenue</v>
      </c>
    </row>
    <row r="125" spans="2:4" x14ac:dyDescent="0.25">
      <c r="B125" s="94">
        <f>IF(EXACT(SEED!$BB126, ""), "", SEED!$BA126)</f>
        <v>65000000000120</v>
      </c>
      <c r="C125" s="92" t="str">
        <f>IF(EXACT($B125, ""), "", IF(EXACT(SEED!$J126, ""), IF(EXACT(SEED!$H126, ""), IF(EXACT(SEED!$F126, ""), IF(EXACT(SEED!$D126, ""), IF(EXACT(SEED!$B126, ""), "", SEED!$B126), SEED!$D126), SEED!$F126), SEED!$H126), SEED!$J126))</f>
        <v>2-1003.01</v>
      </c>
      <c r="D125" s="92" t="str">
        <f>IF(EXACT($B125, ""), "", IF(EXACT(SEED!$K126, ""), IF(EXACT(SEED!$I126, ""), IF(EXACT(SEED!$G126, ""), IF(EXACT(SEED!$E126, ""), IF(EXACT(SEED!$C126, ""), "", SEED!$C126), SEED!$E126), SEED!$G126), SEED!$I126), SEED!$K126))</f>
        <v>Unearned Revenue (IDR)</v>
      </c>
    </row>
    <row r="126" spans="2:4" x14ac:dyDescent="0.25">
      <c r="B126" s="94">
        <f>IF(EXACT(SEED!$BB127, ""), "", SEED!$BA127)</f>
        <v>65000000000121</v>
      </c>
      <c r="C126" s="92" t="str">
        <f>IF(EXACT($B126, ""), "", IF(EXACT(SEED!$J127, ""), IF(EXACT(SEED!$H127, ""), IF(EXACT(SEED!$F127, ""), IF(EXACT(SEED!$D127, ""), IF(EXACT(SEED!$B127, ""), "", SEED!$B127), SEED!$D127), SEED!$F127), SEED!$H127), SEED!$J127))</f>
        <v>2-1003.02</v>
      </c>
      <c r="D126" s="92" t="str">
        <f>IF(EXACT($B126, ""), "", IF(EXACT(SEED!$K127, ""), IF(EXACT(SEED!$I127, ""), IF(EXACT(SEED!$G127, ""), IF(EXACT(SEED!$E127, ""), IF(EXACT(SEED!$C127, ""), "", SEED!$C127), SEED!$E127), SEED!$G127), SEED!$I127), SEED!$K127))</f>
        <v>Unearned Revenue (USD)</v>
      </c>
    </row>
    <row r="127" spans="2:4" x14ac:dyDescent="0.25">
      <c r="B127" s="94">
        <f>IF(EXACT(SEED!$BB128, ""), "", SEED!$BA128)</f>
        <v>65000000000122</v>
      </c>
      <c r="C127" s="92" t="str">
        <f>IF(EXACT($B127, ""), "", IF(EXACT(SEED!$J128, ""), IF(EXACT(SEED!$H128, ""), IF(EXACT(SEED!$F128, ""), IF(EXACT(SEED!$D128, ""), IF(EXACT(SEED!$B128, ""), "", SEED!$B128), SEED!$D128), SEED!$F128), SEED!$H128), SEED!$J128))</f>
        <v>2-1004</v>
      </c>
      <c r="D127" s="92" t="str">
        <f>IF(EXACT($B127, ""), "", IF(EXACT(SEED!$K128, ""), IF(EXACT(SEED!$I128, ""), IF(EXACT(SEED!$G128, ""), IF(EXACT(SEED!$E128, ""), IF(EXACT(SEED!$C128, ""), "", SEED!$C128), SEED!$E128), SEED!$G128), SEED!$I128), SEED!$K128))</f>
        <v>Month end CFS Accrual</v>
      </c>
    </row>
    <row r="128" spans="2:4" x14ac:dyDescent="0.25">
      <c r="B128" s="94">
        <f>IF(EXACT(SEED!$BB129, ""), "", SEED!$BA129)</f>
        <v>65000000000123</v>
      </c>
      <c r="C128" s="92" t="str">
        <f>IF(EXACT($B128, ""), "", IF(EXACT(SEED!$J129, ""), IF(EXACT(SEED!$H129, ""), IF(EXACT(SEED!$F129, ""), IF(EXACT(SEED!$D129, ""), IF(EXACT(SEED!$B129, ""), "", SEED!$B129), SEED!$D129), SEED!$F129), SEED!$H129), SEED!$J129))</f>
        <v>2-1004.01</v>
      </c>
      <c r="D128" s="92" t="str">
        <f>IF(EXACT($B128, ""), "", IF(EXACT(SEED!$K129, ""), IF(EXACT(SEED!$I129, ""), IF(EXACT(SEED!$G129, ""), IF(EXACT(SEED!$E129, ""), IF(EXACT(SEED!$C129, ""), "", SEED!$C129), SEED!$E129), SEED!$G129), SEED!$I129), SEED!$K129))</f>
        <v>Month end CFS Accrual (IDR)</v>
      </c>
    </row>
    <row r="129" spans="2:4" x14ac:dyDescent="0.25">
      <c r="B129" s="94">
        <f>IF(EXACT(SEED!$BB130, ""), "", SEED!$BA130)</f>
        <v>65000000000124</v>
      </c>
      <c r="C129" s="92" t="str">
        <f>IF(EXACT($B129, ""), "", IF(EXACT(SEED!$J130, ""), IF(EXACT(SEED!$H130, ""), IF(EXACT(SEED!$F130, ""), IF(EXACT(SEED!$D130, ""), IF(EXACT(SEED!$B130, ""), "", SEED!$B130), SEED!$D130), SEED!$F130), SEED!$H130), SEED!$J130))</f>
        <v>2-1005</v>
      </c>
      <c r="D129" s="92" t="str">
        <f>IF(EXACT($B129, ""), "", IF(EXACT(SEED!$K130, ""), IF(EXACT(SEED!$I130, ""), IF(EXACT(SEED!$G130, ""), IF(EXACT(SEED!$E130, ""), IF(EXACT(SEED!$C130, ""), "", SEED!$C130), SEED!$E130), SEED!$G130), SEED!$I130), SEED!$K130))</f>
        <v>Hutang Karyawan</v>
      </c>
    </row>
    <row r="130" spans="2:4" x14ac:dyDescent="0.25">
      <c r="B130" s="94">
        <f>IF(EXACT(SEED!$BB131, ""), "", SEED!$BA131)</f>
        <v>65000000000125</v>
      </c>
      <c r="C130" s="92" t="str">
        <f>IF(EXACT($B130, ""), "", IF(EXACT(SEED!$J131, ""), IF(EXACT(SEED!$H131, ""), IF(EXACT(SEED!$F131, ""), IF(EXACT(SEED!$D131, ""), IF(EXACT(SEED!$B131, ""), "", SEED!$B131), SEED!$D131), SEED!$F131), SEED!$H131), SEED!$J131))</f>
        <v>2-1005.01</v>
      </c>
      <c r="D130" s="92" t="str">
        <f>IF(EXACT($B130, ""), "", IF(EXACT(SEED!$K131, ""), IF(EXACT(SEED!$I131, ""), IF(EXACT(SEED!$G131, ""), IF(EXACT(SEED!$E131, ""), IF(EXACT(SEED!$C131, ""), "", SEED!$C131), SEED!$E131), SEED!$G131), SEED!$I131), SEED!$K131))</f>
        <v>Hutang Karyawan (IDR)</v>
      </c>
    </row>
    <row r="131" spans="2:4" x14ac:dyDescent="0.25">
      <c r="B131" s="94">
        <f>IF(EXACT(SEED!$BB132, ""), "", SEED!$BA132)</f>
        <v>65000000000126</v>
      </c>
      <c r="C131" s="92" t="str">
        <f>IF(EXACT($B131, ""), "", IF(EXACT(SEED!$J132, ""), IF(EXACT(SEED!$H132, ""), IF(EXACT(SEED!$F132, ""), IF(EXACT(SEED!$D132, ""), IF(EXACT(SEED!$B132, ""), "", SEED!$B132), SEED!$D132), SEED!$F132), SEED!$H132), SEED!$J132))</f>
        <v>2-1006</v>
      </c>
      <c r="D131" s="92" t="str">
        <f>IF(EXACT($B131, ""), "", IF(EXACT(SEED!$K132, ""), IF(EXACT(SEED!$I132, ""), IF(EXACT(SEED!$G132, ""), IF(EXACT(SEED!$E132, ""), IF(EXACT(SEED!$C132, ""), "", SEED!$C132), SEED!$E132), SEED!$G132), SEED!$I132), SEED!$K132))</f>
        <v>Hutang Lancar Lainnya</v>
      </c>
    </row>
    <row r="132" spans="2:4" x14ac:dyDescent="0.25">
      <c r="B132" s="94">
        <f>IF(EXACT(SEED!$BB133, ""), "", SEED!$BA133)</f>
        <v>65000000000127</v>
      </c>
      <c r="C132" s="92" t="str">
        <f>IF(EXACT($B132, ""), "", IF(EXACT(SEED!$J133, ""), IF(EXACT(SEED!$H133, ""), IF(EXACT(SEED!$F133, ""), IF(EXACT(SEED!$D133, ""), IF(EXACT(SEED!$B133, ""), "", SEED!$B133), SEED!$D133), SEED!$F133), SEED!$H133), SEED!$J133))</f>
        <v>2-1006.01</v>
      </c>
      <c r="D132" s="92" t="str">
        <f>IF(EXACT($B132, ""), "", IF(EXACT(SEED!$K133, ""), IF(EXACT(SEED!$I133, ""), IF(EXACT(SEED!$G133, ""), IF(EXACT(SEED!$E133, ""), IF(EXACT(SEED!$C133, ""), "", SEED!$C133), SEED!$E133), SEED!$G133), SEED!$I133), SEED!$K133))</f>
        <v>Hutang Lancar Lainnya (IDR)</v>
      </c>
    </row>
    <row r="133" spans="2:4" x14ac:dyDescent="0.25">
      <c r="B133" s="94">
        <f>IF(EXACT(SEED!$BB134, ""), "", SEED!$BA134)</f>
        <v>65000000000128</v>
      </c>
      <c r="C133" s="92" t="str">
        <f>IF(EXACT($B133, ""), "", IF(EXACT(SEED!$J134, ""), IF(EXACT(SEED!$H134, ""), IF(EXACT(SEED!$F134, ""), IF(EXACT(SEED!$D134, ""), IF(EXACT(SEED!$B134, ""), "", SEED!$B134), SEED!$D134), SEED!$F134), SEED!$H134), SEED!$J134))</f>
        <v>2-1100</v>
      </c>
      <c r="D133" s="92" t="str">
        <f>IF(EXACT($B133, ""), "", IF(EXACT(SEED!$K134, ""), IF(EXACT(SEED!$I134, ""), IF(EXACT(SEED!$G134, ""), IF(EXACT(SEED!$E134, ""), IF(EXACT(SEED!$C134, ""), "", SEED!$C134), SEED!$E134), SEED!$G134), SEED!$I134), SEED!$K134))</f>
        <v>Hutang Pajak</v>
      </c>
    </row>
    <row r="134" spans="2:4" x14ac:dyDescent="0.25">
      <c r="B134" s="94">
        <f>IF(EXACT(SEED!$BB135, ""), "", SEED!$BA135)</f>
        <v>65000000000129</v>
      </c>
      <c r="C134" s="92" t="str">
        <f>IF(EXACT($B134, ""), "", IF(EXACT(SEED!$J135, ""), IF(EXACT(SEED!$H135, ""), IF(EXACT(SEED!$F135, ""), IF(EXACT(SEED!$D135, ""), IF(EXACT(SEED!$B135, ""), "", SEED!$B135), SEED!$D135), SEED!$F135), SEED!$H135), SEED!$J135))</f>
        <v>2-1101</v>
      </c>
      <c r="D134" s="92" t="str">
        <f>IF(EXACT($B134, ""), "", IF(EXACT(SEED!$K135, ""), IF(EXACT(SEED!$I135, ""), IF(EXACT(SEED!$G135, ""), IF(EXACT(SEED!$E135, ""), IF(EXACT(SEED!$C135, ""), "", SEED!$C135), SEED!$E135), SEED!$G135), SEED!$I135), SEED!$K135))</f>
        <v>GST - Output Tax</v>
      </c>
    </row>
    <row r="135" spans="2:4" x14ac:dyDescent="0.25">
      <c r="B135" s="94">
        <f>IF(EXACT(SEED!$BB136, ""), "", SEED!$BA136)</f>
        <v>65000000000130</v>
      </c>
      <c r="C135" s="92" t="str">
        <f>IF(EXACT($B135, ""), "", IF(EXACT(SEED!$J136, ""), IF(EXACT(SEED!$H136, ""), IF(EXACT(SEED!$F136, ""), IF(EXACT(SEED!$D136, ""), IF(EXACT(SEED!$B136, ""), "", SEED!$B136), SEED!$D136), SEED!$F136), SEED!$H136), SEED!$J136))</f>
        <v>2-1101.01</v>
      </c>
      <c r="D135" s="92" t="str">
        <f>IF(EXACT($B135, ""), "", IF(EXACT(SEED!$K136, ""), IF(EXACT(SEED!$I136, ""), IF(EXACT(SEED!$G136, ""), IF(EXACT(SEED!$E136, ""), IF(EXACT(SEED!$C136, ""), "", SEED!$C136), SEED!$E136), SEED!$G136), SEED!$I136), SEED!$K136))</f>
        <v>GST - Output Tax (IDR)</v>
      </c>
    </row>
    <row r="136" spans="2:4" x14ac:dyDescent="0.25">
      <c r="B136" s="94">
        <f>IF(EXACT(SEED!$BB137, ""), "", SEED!$BA137)</f>
        <v>65000000000131</v>
      </c>
      <c r="C136" s="92" t="str">
        <f>IF(EXACT($B136, ""), "", IF(EXACT(SEED!$J137, ""), IF(EXACT(SEED!$H137, ""), IF(EXACT(SEED!$F137, ""), IF(EXACT(SEED!$D137, ""), IF(EXACT(SEED!$B137, ""), "", SEED!$B137), SEED!$D137), SEED!$F137), SEED!$H137), SEED!$J137))</f>
        <v>2-1102</v>
      </c>
      <c r="D136" s="92" t="str">
        <f>IF(EXACT($B136, ""), "", IF(EXACT(SEED!$K137, ""), IF(EXACT(SEED!$I137, ""), IF(EXACT(SEED!$G137, ""), IF(EXACT(SEED!$E137, ""), IF(EXACT(SEED!$C137, ""), "", SEED!$C137), SEED!$E137), SEED!$G137), SEED!$I137), SEED!$K137))</f>
        <v>Witholding Tax 4(2)</v>
      </c>
    </row>
    <row r="137" spans="2:4" x14ac:dyDescent="0.25">
      <c r="B137" s="94">
        <f>IF(EXACT(SEED!$BB138, ""), "", SEED!$BA138)</f>
        <v>65000000000132</v>
      </c>
      <c r="C137" s="92" t="str">
        <f>IF(EXACT($B137, ""), "", IF(EXACT(SEED!$J138, ""), IF(EXACT(SEED!$H138, ""), IF(EXACT(SEED!$F138, ""), IF(EXACT(SEED!$D138, ""), IF(EXACT(SEED!$B138, ""), "", SEED!$B138), SEED!$D138), SEED!$F138), SEED!$H138), SEED!$J138))</f>
        <v>2-1102.01</v>
      </c>
      <c r="D137" s="92" t="str">
        <f>IF(EXACT($B137, ""), "", IF(EXACT(SEED!$K138, ""), IF(EXACT(SEED!$I138, ""), IF(EXACT(SEED!$G138, ""), IF(EXACT(SEED!$E138, ""), IF(EXACT(SEED!$C138, ""), "", SEED!$C138), SEED!$E138), SEED!$G138), SEED!$I138), SEED!$K138))</f>
        <v>Witholding Tax 4(2) (IDR)</v>
      </c>
    </row>
    <row r="138" spans="2:4" x14ac:dyDescent="0.25">
      <c r="B138" s="94">
        <f>IF(EXACT(SEED!$BB139, ""), "", SEED!$BA139)</f>
        <v>65000000000133</v>
      </c>
      <c r="C138" s="92" t="str">
        <f>IF(EXACT($B138, ""), "", IF(EXACT(SEED!$J139, ""), IF(EXACT(SEED!$H139, ""), IF(EXACT(SEED!$F139, ""), IF(EXACT(SEED!$D139, ""), IF(EXACT(SEED!$B139, ""), "", SEED!$B139), SEED!$D139), SEED!$F139), SEED!$H139), SEED!$J139))</f>
        <v>2-1103</v>
      </c>
      <c r="D138" s="92" t="str">
        <f>IF(EXACT($B138, ""), "", IF(EXACT(SEED!$K139, ""), IF(EXACT(SEED!$I139, ""), IF(EXACT(SEED!$G139, ""), IF(EXACT(SEED!$E139, ""), IF(EXACT(SEED!$C139, ""), "", SEED!$C139), SEED!$E139), SEED!$G139), SEED!$I139), SEED!$K139))</f>
        <v>Witholding Tax 21</v>
      </c>
    </row>
    <row r="139" spans="2:4" x14ac:dyDescent="0.25">
      <c r="B139" s="94">
        <f>IF(EXACT(SEED!$BB140, ""), "", SEED!$BA140)</f>
        <v>65000000000134</v>
      </c>
      <c r="C139" s="92" t="str">
        <f>IF(EXACT($B139, ""), "", IF(EXACT(SEED!$J140, ""), IF(EXACT(SEED!$H140, ""), IF(EXACT(SEED!$F140, ""), IF(EXACT(SEED!$D140, ""), IF(EXACT(SEED!$B140, ""), "", SEED!$B140), SEED!$D140), SEED!$F140), SEED!$H140), SEED!$J140))</f>
        <v>2-1103.01</v>
      </c>
      <c r="D139" s="92" t="str">
        <f>IF(EXACT($B139, ""), "", IF(EXACT(SEED!$K140, ""), IF(EXACT(SEED!$I140, ""), IF(EXACT(SEED!$G140, ""), IF(EXACT(SEED!$E140, ""), IF(EXACT(SEED!$C140, ""), "", SEED!$C140), SEED!$E140), SEED!$G140), SEED!$I140), SEED!$K140))</f>
        <v>Witholding Tax 21 (IDR)</v>
      </c>
    </row>
    <row r="140" spans="2:4" x14ac:dyDescent="0.25">
      <c r="B140" s="94">
        <f>IF(EXACT(SEED!$BB141, ""), "", SEED!$BA141)</f>
        <v>65000000000135</v>
      </c>
      <c r="C140" s="92" t="str">
        <f>IF(EXACT($B140, ""), "", IF(EXACT(SEED!$J141, ""), IF(EXACT(SEED!$H141, ""), IF(EXACT(SEED!$F141, ""), IF(EXACT(SEED!$D141, ""), IF(EXACT(SEED!$B141, ""), "", SEED!$B141), SEED!$D141), SEED!$F141), SEED!$H141), SEED!$J141))</f>
        <v>2-1104</v>
      </c>
      <c r="D140" s="92" t="str">
        <f>IF(EXACT($B140, ""), "", IF(EXACT(SEED!$K141, ""), IF(EXACT(SEED!$I141, ""), IF(EXACT(SEED!$G141, ""), IF(EXACT(SEED!$E141, ""), IF(EXACT(SEED!$C141, ""), "", SEED!$C141), SEED!$E141), SEED!$G141), SEED!$I141), SEED!$K141))</f>
        <v>Witholding Tax 22</v>
      </c>
    </row>
    <row r="141" spans="2:4" x14ac:dyDescent="0.25">
      <c r="B141" s="94">
        <f>IF(EXACT(SEED!$BB142, ""), "", SEED!$BA142)</f>
        <v>65000000000136</v>
      </c>
      <c r="C141" s="92" t="str">
        <f>IF(EXACT($B141, ""), "", IF(EXACT(SEED!$J142, ""), IF(EXACT(SEED!$H142, ""), IF(EXACT(SEED!$F142, ""), IF(EXACT(SEED!$D142, ""), IF(EXACT(SEED!$B142, ""), "", SEED!$B142), SEED!$D142), SEED!$F142), SEED!$H142), SEED!$J142))</f>
        <v>2-1104.01</v>
      </c>
      <c r="D141" s="92" t="str">
        <f>IF(EXACT($B141, ""), "", IF(EXACT(SEED!$K142, ""), IF(EXACT(SEED!$I142, ""), IF(EXACT(SEED!$G142, ""), IF(EXACT(SEED!$E142, ""), IF(EXACT(SEED!$C142, ""), "", SEED!$C142), SEED!$E142), SEED!$G142), SEED!$I142), SEED!$K142))</f>
        <v>Witholding Tax 22 (IDR)</v>
      </c>
    </row>
    <row r="142" spans="2:4" x14ac:dyDescent="0.25">
      <c r="B142" s="94">
        <f>IF(EXACT(SEED!$BB143, ""), "", SEED!$BA143)</f>
        <v>65000000000137</v>
      </c>
      <c r="C142" s="92" t="str">
        <f>IF(EXACT($B142, ""), "", IF(EXACT(SEED!$J143, ""), IF(EXACT(SEED!$H143, ""), IF(EXACT(SEED!$F143, ""), IF(EXACT(SEED!$D143, ""), IF(EXACT(SEED!$B143, ""), "", SEED!$B143), SEED!$D143), SEED!$F143), SEED!$H143), SEED!$J143))</f>
        <v>2-1105</v>
      </c>
      <c r="D142" s="92" t="str">
        <f>IF(EXACT($B142, ""), "", IF(EXACT(SEED!$K143, ""), IF(EXACT(SEED!$I143, ""), IF(EXACT(SEED!$G143, ""), IF(EXACT(SEED!$E143, ""), IF(EXACT(SEED!$C143, ""), "", SEED!$C143), SEED!$E143), SEED!$G143), SEED!$I143), SEED!$K143))</f>
        <v>Witholding Tax 23</v>
      </c>
    </row>
    <row r="143" spans="2:4" x14ac:dyDescent="0.25">
      <c r="B143" s="94">
        <f>IF(EXACT(SEED!$BB144, ""), "", SEED!$BA144)</f>
        <v>65000000000138</v>
      </c>
      <c r="C143" s="92" t="str">
        <f>IF(EXACT($B143, ""), "", IF(EXACT(SEED!$J144, ""), IF(EXACT(SEED!$H144, ""), IF(EXACT(SEED!$F144, ""), IF(EXACT(SEED!$D144, ""), IF(EXACT(SEED!$B144, ""), "", SEED!$B144), SEED!$D144), SEED!$F144), SEED!$H144), SEED!$J144))</f>
        <v>2-1105.01</v>
      </c>
      <c r="D143" s="92" t="str">
        <f>IF(EXACT($B143, ""), "", IF(EXACT(SEED!$K144, ""), IF(EXACT(SEED!$I144, ""), IF(EXACT(SEED!$G144, ""), IF(EXACT(SEED!$E144, ""), IF(EXACT(SEED!$C144, ""), "", SEED!$C144), SEED!$E144), SEED!$G144), SEED!$I144), SEED!$K144))</f>
        <v>Witholding Tax 23 (IDR)</v>
      </c>
    </row>
    <row r="144" spans="2:4" x14ac:dyDescent="0.25">
      <c r="B144" s="94">
        <f>IF(EXACT(SEED!$BB145, ""), "", SEED!$BA145)</f>
        <v>65000000000139</v>
      </c>
      <c r="C144" s="92" t="str">
        <f>IF(EXACT($B144, ""), "", IF(EXACT(SEED!$J145, ""), IF(EXACT(SEED!$H145, ""), IF(EXACT(SEED!$F145, ""), IF(EXACT(SEED!$D145, ""), IF(EXACT(SEED!$B145, ""), "", SEED!$B145), SEED!$D145), SEED!$F145), SEED!$H145), SEED!$J145))</f>
        <v>2-1106</v>
      </c>
      <c r="D144" s="92" t="str">
        <f>IF(EXACT($B144, ""), "", IF(EXACT(SEED!$K145, ""), IF(EXACT(SEED!$I145, ""), IF(EXACT(SEED!$G145, ""), IF(EXACT(SEED!$E145, ""), IF(EXACT(SEED!$C145, ""), "", SEED!$C145), SEED!$E145), SEED!$G145), SEED!$I145), SEED!$K145))</f>
        <v>Witholding Tax 25</v>
      </c>
    </row>
    <row r="145" spans="2:4" x14ac:dyDescent="0.25">
      <c r="B145" s="94">
        <f>IF(EXACT(SEED!$BB146, ""), "", SEED!$BA146)</f>
        <v>65000000000140</v>
      </c>
      <c r="C145" s="92" t="str">
        <f>IF(EXACT($B145, ""), "", IF(EXACT(SEED!$J146, ""), IF(EXACT(SEED!$H146, ""), IF(EXACT(SEED!$F146, ""), IF(EXACT(SEED!$D146, ""), IF(EXACT(SEED!$B146, ""), "", SEED!$B146), SEED!$D146), SEED!$F146), SEED!$H146), SEED!$J146))</f>
        <v>2-1106.01</v>
      </c>
      <c r="D145" s="92" t="str">
        <f>IF(EXACT($B145, ""), "", IF(EXACT(SEED!$K146, ""), IF(EXACT(SEED!$I146, ""), IF(EXACT(SEED!$G146, ""), IF(EXACT(SEED!$E146, ""), IF(EXACT(SEED!$C146, ""), "", SEED!$C146), SEED!$E146), SEED!$G146), SEED!$I146), SEED!$K146))</f>
        <v>Witholding Tax 25 (IDR)</v>
      </c>
    </row>
    <row r="146" spans="2:4" x14ac:dyDescent="0.25">
      <c r="B146" s="94">
        <f>IF(EXACT(SEED!$BB147, ""), "", SEED!$BA147)</f>
        <v>65000000000141</v>
      </c>
      <c r="C146" s="92" t="str">
        <f>IF(EXACT($B146, ""), "", IF(EXACT(SEED!$J147, ""), IF(EXACT(SEED!$H147, ""), IF(EXACT(SEED!$F147, ""), IF(EXACT(SEED!$D147, ""), IF(EXACT(SEED!$B147, ""), "", SEED!$B147), SEED!$D147), SEED!$F147), SEED!$H147), SEED!$J147))</f>
        <v>2-1107</v>
      </c>
      <c r="D146" s="92" t="str">
        <f>IF(EXACT($B146, ""), "", IF(EXACT(SEED!$K147, ""), IF(EXACT(SEED!$I147, ""), IF(EXACT(SEED!$G147, ""), IF(EXACT(SEED!$E147, ""), IF(EXACT(SEED!$C147, ""), "", SEED!$C147), SEED!$E147), SEED!$G147), SEED!$I147), SEED!$K147))</f>
        <v>Tax Paid Current Year</v>
      </c>
    </row>
    <row r="147" spans="2:4" x14ac:dyDescent="0.25">
      <c r="B147" s="94">
        <f>IF(EXACT(SEED!$BB148, ""), "", SEED!$BA148)</f>
        <v>65000000000142</v>
      </c>
      <c r="C147" s="92" t="str">
        <f>IF(EXACT($B147, ""), "", IF(EXACT(SEED!$J148, ""), IF(EXACT(SEED!$H148, ""), IF(EXACT(SEED!$F148, ""), IF(EXACT(SEED!$D148, ""), IF(EXACT(SEED!$B148, ""), "", SEED!$B148), SEED!$D148), SEED!$F148), SEED!$H148), SEED!$J148))</f>
        <v>2-1107.01</v>
      </c>
      <c r="D147" s="92" t="str">
        <f>IF(EXACT($B147, ""), "", IF(EXACT(SEED!$K148, ""), IF(EXACT(SEED!$I148, ""), IF(EXACT(SEED!$G148, ""), IF(EXACT(SEED!$E148, ""), IF(EXACT(SEED!$C148, ""), "", SEED!$C148), SEED!$E148), SEED!$G148), SEED!$I148), SEED!$K148))</f>
        <v>Tax Paid Current Year (IDR)</v>
      </c>
    </row>
    <row r="148" spans="2:4" x14ac:dyDescent="0.25">
      <c r="B148" s="94">
        <f>IF(EXACT(SEED!$BB149, ""), "", SEED!$BA149)</f>
        <v>65000000000143</v>
      </c>
      <c r="C148" s="92" t="str">
        <f>IF(EXACT($B148, ""), "", IF(EXACT(SEED!$J149, ""), IF(EXACT(SEED!$H149, ""), IF(EXACT(SEED!$F149, ""), IF(EXACT(SEED!$D149, ""), IF(EXACT(SEED!$B149, ""), "", SEED!$B149), SEED!$D149), SEED!$F149), SEED!$H149), SEED!$J149))</f>
        <v>2-1108</v>
      </c>
      <c r="D148" s="92" t="str">
        <f>IF(EXACT($B148, ""), "", IF(EXACT(SEED!$K149, ""), IF(EXACT(SEED!$I149, ""), IF(EXACT(SEED!$G149, ""), IF(EXACT(SEED!$E149, ""), IF(EXACT(SEED!$C149, ""), "", SEED!$C149), SEED!$E149), SEED!$G149), SEED!$I149), SEED!$K149))</f>
        <v>Provision for Tax Current Year</v>
      </c>
    </row>
    <row r="149" spans="2:4" x14ac:dyDescent="0.25">
      <c r="B149" s="94">
        <f>IF(EXACT(SEED!$BB150, ""), "", SEED!$BA150)</f>
        <v>65000000000144</v>
      </c>
      <c r="C149" s="92" t="str">
        <f>IF(EXACT($B149, ""), "", IF(EXACT(SEED!$J150, ""), IF(EXACT(SEED!$H150, ""), IF(EXACT(SEED!$F150, ""), IF(EXACT(SEED!$D150, ""), IF(EXACT(SEED!$B150, ""), "", SEED!$B150), SEED!$D150), SEED!$F150), SEED!$H150), SEED!$J150))</f>
        <v>2-1108.01</v>
      </c>
      <c r="D149" s="92" t="str">
        <f>IF(EXACT($B149, ""), "", IF(EXACT(SEED!$K150, ""), IF(EXACT(SEED!$I150, ""), IF(EXACT(SEED!$G150, ""), IF(EXACT(SEED!$E150, ""), IF(EXACT(SEED!$C150, ""), "", SEED!$C150), SEED!$E150), SEED!$G150), SEED!$I150), SEED!$K150))</f>
        <v>Provision for Tax Current Year (IDR)</v>
      </c>
    </row>
    <row r="150" spans="2:4" x14ac:dyDescent="0.25">
      <c r="B150" s="94">
        <f>IF(EXACT(SEED!$BB151, ""), "", SEED!$BA151)</f>
        <v>65000000000145</v>
      </c>
      <c r="C150" s="92" t="str">
        <f>IF(EXACT($B150, ""), "", IF(EXACT(SEED!$J151, ""), IF(EXACT(SEED!$H151, ""), IF(EXACT(SEED!$F151, ""), IF(EXACT(SEED!$D151, ""), IF(EXACT(SEED!$B151, ""), "", SEED!$B151), SEED!$D151), SEED!$F151), SEED!$H151), SEED!$J151))</f>
        <v>2-1109</v>
      </c>
      <c r="D150" s="92" t="str">
        <f>IF(EXACT($B150, ""), "", IF(EXACT(SEED!$K151, ""), IF(EXACT(SEED!$I151, ""), IF(EXACT(SEED!$G151, ""), IF(EXACT(SEED!$E151, ""), IF(EXACT(SEED!$C151, ""), "", SEED!$C151), SEED!$E151), SEED!$G151), SEED!$I151), SEED!$K151))</f>
        <v>Defferred Tax Liability</v>
      </c>
    </row>
    <row r="151" spans="2:4" x14ac:dyDescent="0.25">
      <c r="B151" s="94">
        <f>IF(EXACT(SEED!$BB152, ""), "", SEED!$BA152)</f>
        <v>65000000000146</v>
      </c>
      <c r="C151" s="92" t="str">
        <f>IF(EXACT($B151, ""), "", IF(EXACT(SEED!$J152, ""), IF(EXACT(SEED!$H152, ""), IF(EXACT(SEED!$F152, ""), IF(EXACT(SEED!$D152, ""), IF(EXACT(SEED!$B152, ""), "", SEED!$B152), SEED!$D152), SEED!$F152), SEED!$H152), SEED!$J152))</f>
        <v>2-1109.01</v>
      </c>
      <c r="D151" s="92" t="str">
        <f>IF(EXACT($B151, ""), "", IF(EXACT(SEED!$K152, ""), IF(EXACT(SEED!$I152, ""), IF(EXACT(SEED!$G152, ""), IF(EXACT(SEED!$E152, ""), IF(EXACT(SEED!$C152, ""), "", SEED!$C152), SEED!$E152), SEED!$G152), SEED!$I152), SEED!$K152))</f>
        <v>Defferred Tax Liability (IDR)</v>
      </c>
    </row>
    <row r="152" spans="2:4" x14ac:dyDescent="0.25">
      <c r="B152" s="94">
        <f>IF(EXACT(SEED!$BB153, ""), "", SEED!$BA153)</f>
        <v>65000000000147</v>
      </c>
      <c r="C152" s="92" t="str">
        <f>IF(EXACT($B152, ""), "", IF(EXACT(SEED!$J153, ""), IF(EXACT(SEED!$H153, ""), IF(EXACT(SEED!$F153, ""), IF(EXACT(SEED!$D153, ""), IF(EXACT(SEED!$B153, ""), "", SEED!$B153), SEED!$D153), SEED!$F153), SEED!$H153), SEED!$J153))</f>
        <v>2-1200</v>
      </c>
      <c r="D152" s="92" t="str">
        <f>IF(EXACT($B152, ""), "", IF(EXACT(SEED!$K153, ""), IF(EXACT(SEED!$I153, ""), IF(EXACT(SEED!$G153, ""), IF(EXACT(SEED!$E153, ""), IF(EXACT(SEED!$C153, ""), "", SEED!$C153), SEED!$E153), SEED!$G153), SEED!$I153), SEED!$K153))</f>
        <v>Hutang Antar Perusahaan</v>
      </c>
    </row>
    <row r="153" spans="2:4" x14ac:dyDescent="0.25">
      <c r="B153" s="94">
        <f>IF(EXACT(SEED!$BB154, ""), "", SEED!$BA154)</f>
        <v>65000000000148</v>
      </c>
      <c r="C153" s="92" t="str">
        <f>IF(EXACT($B153, ""), "", IF(EXACT(SEED!$J154, ""), IF(EXACT(SEED!$H154, ""), IF(EXACT(SEED!$F154, ""), IF(EXACT(SEED!$D154, ""), IF(EXACT(SEED!$B154, ""), "", SEED!$B154), SEED!$D154), SEED!$F154), SEED!$H154), SEED!$J154))</f>
        <v>2-1200.01</v>
      </c>
      <c r="D153" s="92" t="str">
        <f>IF(EXACT($B153, ""), "", IF(EXACT(SEED!$K154, ""), IF(EXACT(SEED!$I154, ""), IF(EXACT(SEED!$G154, ""), IF(EXACT(SEED!$E154, ""), IF(EXACT(SEED!$C154, ""), "", SEED!$C154), SEED!$E154), SEED!$G154), SEED!$I154), SEED!$K154))</f>
        <v>Hutang Antar Perusahaan (IDR)</v>
      </c>
    </row>
    <row r="154" spans="2:4" x14ac:dyDescent="0.25">
      <c r="B154" s="94">
        <f>IF(EXACT(SEED!$BB155, ""), "", SEED!$BA155)</f>
        <v>65000000000149</v>
      </c>
      <c r="C154" s="92" t="str">
        <f>IF(EXACT($B154, ""), "", IF(EXACT(SEED!$J155, ""), IF(EXACT(SEED!$H155, ""), IF(EXACT(SEED!$F155, ""), IF(EXACT(SEED!$D155, ""), IF(EXACT(SEED!$B155, ""), "", SEED!$B155), SEED!$D155), SEED!$F155), SEED!$H155), SEED!$J155))</f>
        <v>2-2000</v>
      </c>
      <c r="D154" s="92" t="str">
        <f>IF(EXACT($B154, ""), "", IF(EXACT(SEED!$K155, ""), IF(EXACT(SEED!$I155, ""), IF(EXACT(SEED!$G155, ""), IF(EXACT(SEED!$E155, ""), IF(EXACT(SEED!$C155, ""), "", SEED!$C155), SEED!$E155), SEED!$G155), SEED!$I155), SEED!$K155))</f>
        <v>Hutang Jangka Panjang</v>
      </c>
    </row>
    <row r="155" spans="2:4" x14ac:dyDescent="0.25">
      <c r="B155" s="94">
        <f>IF(EXACT(SEED!$BB156, ""), "", SEED!$BA156)</f>
        <v>65000000000150</v>
      </c>
      <c r="C155" s="92" t="str">
        <f>IF(EXACT($B155, ""), "", IF(EXACT(SEED!$J156, ""), IF(EXACT(SEED!$H156, ""), IF(EXACT(SEED!$F156, ""), IF(EXACT(SEED!$D156, ""), IF(EXACT(SEED!$B156, ""), "", SEED!$B156), SEED!$D156), SEED!$F156), SEED!$H156), SEED!$J156))</f>
        <v>2-2001</v>
      </c>
      <c r="D155" s="92" t="str">
        <f>IF(EXACT($B155, ""), "", IF(EXACT(SEED!$K156, ""), IF(EXACT(SEED!$I156, ""), IF(EXACT(SEED!$G156, ""), IF(EXACT(SEED!$E156, ""), IF(EXACT(SEED!$C156, ""), "", SEED!$C156), SEED!$E156), SEED!$G156), SEED!$I156), SEED!$K156))</f>
        <v>Bank Loan</v>
      </c>
    </row>
    <row r="156" spans="2:4" x14ac:dyDescent="0.25">
      <c r="B156" s="94">
        <f>IF(EXACT(SEED!$BB157, ""), "", SEED!$BA157)</f>
        <v>65000000000151</v>
      </c>
      <c r="C156" s="92" t="str">
        <f>IF(EXACT($B156, ""), "", IF(EXACT(SEED!$J157, ""), IF(EXACT(SEED!$H157, ""), IF(EXACT(SEED!$F157, ""), IF(EXACT(SEED!$D157, ""), IF(EXACT(SEED!$B157, ""), "", SEED!$B157), SEED!$D157), SEED!$F157), SEED!$H157), SEED!$J157))</f>
        <v>2-2001.01</v>
      </c>
      <c r="D156" s="92" t="str">
        <f>IF(EXACT($B156, ""), "", IF(EXACT(SEED!$K157, ""), IF(EXACT(SEED!$I157, ""), IF(EXACT(SEED!$G157, ""), IF(EXACT(SEED!$E157, ""), IF(EXACT(SEED!$C157, ""), "", SEED!$C157), SEED!$E157), SEED!$G157), SEED!$I157), SEED!$K157))</f>
        <v>Bank Loan (IDR)</v>
      </c>
    </row>
    <row r="157" spans="2:4" x14ac:dyDescent="0.25">
      <c r="B157" s="94">
        <f>IF(EXACT(SEED!$BB158, ""), "", SEED!$BA158)</f>
        <v>65000000000152</v>
      </c>
      <c r="C157" s="92" t="str">
        <f>IF(EXACT($B157, ""), "", IF(EXACT(SEED!$J158, ""), IF(EXACT(SEED!$H158, ""), IF(EXACT(SEED!$F158, ""), IF(EXACT(SEED!$D158, ""), IF(EXACT(SEED!$B158, ""), "", SEED!$B158), SEED!$D158), SEED!$F158), SEED!$H158), SEED!$J158))</f>
        <v>2-2002</v>
      </c>
      <c r="D157" s="92" t="str">
        <f>IF(EXACT($B157, ""), "", IF(EXACT(SEED!$K158, ""), IF(EXACT(SEED!$I158, ""), IF(EXACT(SEED!$G158, ""), IF(EXACT(SEED!$E158, ""), IF(EXACT(SEED!$C158, ""), "", SEED!$C158), SEED!$E158), SEED!$G158), SEED!$I158), SEED!$K158))</f>
        <v>Hutang Pemegang Saham</v>
      </c>
    </row>
    <row r="158" spans="2:4" x14ac:dyDescent="0.25">
      <c r="B158" s="94">
        <f>IF(EXACT(SEED!$BB159, ""), "", SEED!$BA159)</f>
        <v>65000000000153</v>
      </c>
      <c r="C158" s="92" t="str">
        <f>IF(EXACT($B158, ""), "", IF(EXACT(SEED!$J159, ""), IF(EXACT(SEED!$H159, ""), IF(EXACT(SEED!$F159, ""), IF(EXACT(SEED!$D159, ""), IF(EXACT(SEED!$B159, ""), "", SEED!$B159), SEED!$D159), SEED!$F159), SEED!$H159), SEED!$J159))</f>
        <v>2-2002.01</v>
      </c>
      <c r="D158" s="92" t="str">
        <f>IF(EXACT($B158, ""), "", IF(EXACT(SEED!$K159, ""), IF(EXACT(SEED!$I159, ""), IF(EXACT(SEED!$G159, ""), IF(EXACT(SEED!$E159, ""), IF(EXACT(SEED!$C159, ""), "", SEED!$C159), SEED!$E159), SEED!$G159), SEED!$I159), SEED!$K159))</f>
        <v>Hutang Pemegang Saham (IDR)</v>
      </c>
    </row>
    <row r="159" spans="2:4" x14ac:dyDescent="0.25">
      <c r="B159" s="94" t="str">
        <f>IF(EXACT(SEED!$BB160, ""), "", SEED!$BA160)</f>
        <v/>
      </c>
      <c r="C159" s="92" t="str">
        <f>IF(EXACT($B159, ""), "", IF(EXACT(SEED!$J160, ""), IF(EXACT(SEED!$H160, ""), IF(EXACT(SEED!$F160, ""), IF(EXACT(SEED!$D160, ""), IF(EXACT(SEED!$B160, ""), "", SEED!$B160), SEED!$D160), SEED!$F160), SEED!$H160), SEED!$J160))</f>
        <v/>
      </c>
      <c r="D159" s="92" t="str">
        <f>IF(EXACT($B159, ""), "", IF(EXACT(SEED!$K160, ""), IF(EXACT(SEED!$I160, ""), IF(EXACT(SEED!$G160, ""), IF(EXACT(SEED!$E160, ""), IF(EXACT(SEED!$C160, ""), "", SEED!$C160), SEED!$E160), SEED!$G160), SEED!$I160), SEED!$K160))</f>
        <v/>
      </c>
    </row>
    <row r="160" spans="2:4" x14ac:dyDescent="0.25">
      <c r="B160" s="94">
        <f>IF(EXACT(SEED!$BB161, ""), "", SEED!$BA161)</f>
        <v>65000000000154</v>
      </c>
      <c r="C160" s="92" t="str">
        <f>IF(EXACT($B160, ""), "", IF(EXACT(SEED!$J161, ""), IF(EXACT(SEED!$H161, ""), IF(EXACT(SEED!$F161, ""), IF(EXACT(SEED!$D161, ""), IF(EXACT(SEED!$B161, ""), "", SEED!$B161), SEED!$D161), SEED!$F161), SEED!$H161), SEED!$J161))</f>
        <v>2-3000</v>
      </c>
      <c r="D160" s="92" t="str">
        <f>IF(EXACT($B160, ""), "", IF(EXACT(SEED!$K161, ""), IF(EXACT(SEED!$I161, ""), IF(EXACT(SEED!$G161, ""), IF(EXACT(SEED!$E161, ""), IF(EXACT(SEED!$C161, ""), "", SEED!$C161), SEED!$E161), SEED!$G161), SEED!$I161), SEED!$K161))</f>
        <v>Hutang Lain - Lain</v>
      </c>
    </row>
    <row r="161" spans="2:4" x14ac:dyDescent="0.25">
      <c r="B161" s="94">
        <f>IF(EXACT(SEED!$BB162, ""), "", SEED!$BA162)</f>
        <v>65000000000155</v>
      </c>
      <c r="C161" s="92" t="str">
        <f>IF(EXACT($B161, ""), "", IF(EXACT(SEED!$J162, ""), IF(EXACT(SEED!$H162, ""), IF(EXACT(SEED!$F162, ""), IF(EXACT(SEED!$D162, ""), IF(EXACT(SEED!$B162, ""), "", SEED!$B162), SEED!$D162), SEED!$F162), SEED!$H162), SEED!$J162))</f>
        <v>2-3001</v>
      </c>
      <c r="D161" s="92" t="str">
        <f>IF(EXACT($B161, ""), "", IF(EXACT(SEED!$K162, ""), IF(EXACT(SEED!$I162, ""), IF(EXACT(SEED!$G162, ""), IF(EXACT(SEED!$E162, ""), IF(EXACT(SEED!$C162, ""), "", SEED!$C162), SEED!$E162), SEED!$G162), SEED!$I162), SEED!$K162))</f>
        <v>Hutang Lain - Lain</v>
      </c>
    </row>
    <row r="162" spans="2:4" x14ac:dyDescent="0.25">
      <c r="B162" s="94">
        <f>IF(EXACT(SEED!$BB163, ""), "", SEED!$BA163)</f>
        <v>65000000000156</v>
      </c>
      <c r="C162" s="92" t="str">
        <f>IF(EXACT($B162, ""), "", IF(EXACT(SEED!$J163, ""), IF(EXACT(SEED!$H163, ""), IF(EXACT(SEED!$F163, ""), IF(EXACT(SEED!$D163, ""), IF(EXACT(SEED!$B163, ""), "", SEED!$B163), SEED!$D163), SEED!$F163), SEED!$H163), SEED!$J163))</f>
        <v>2-3001.01</v>
      </c>
      <c r="D162" s="92" t="str">
        <f>IF(EXACT($B162, ""), "", IF(EXACT(SEED!$K163, ""), IF(EXACT(SEED!$I163, ""), IF(EXACT(SEED!$G163, ""), IF(EXACT(SEED!$E163, ""), IF(EXACT(SEED!$C163, ""), "", SEED!$C163), SEED!$E163), SEED!$G163), SEED!$I163), SEED!$K163))</f>
        <v>Hutang Lain - Lain (IDR)</v>
      </c>
    </row>
    <row r="163" spans="2:4" x14ac:dyDescent="0.25">
      <c r="B163" s="94">
        <f>IF(EXACT(SEED!$BB164, ""), "", SEED!$BA164)</f>
        <v>65000000000157</v>
      </c>
      <c r="C163" s="92" t="str">
        <f>IF(EXACT($B163, ""), "", IF(EXACT(SEED!$J164, ""), IF(EXACT(SEED!$H164, ""), IF(EXACT(SEED!$F164, ""), IF(EXACT(SEED!$D164, ""), IF(EXACT(SEED!$B164, ""), "", SEED!$B164), SEED!$D164), SEED!$F164), SEED!$H164), SEED!$J164))</f>
        <v>2-3001.01</v>
      </c>
      <c r="D163" s="92" t="str">
        <f>IF(EXACT($B163, ""), "", IF(EXACT(SEED!$K164, ""), IF(EXACT(SEED!$I164, ""), IF(EXACT(SEED!$G164, ""), IF(EXACT(SEED!$E164, ""), IF(EXACT(SEED!$C164, ""), "", SEED!$C164), SEED!$E164), SEED!$G164), SEED!$I164), SEED!$K164))</f>
        <v>Hutang Lain - Lain (USD)</v>
      </c>
    </row>
    <row r="164" spans="2:4" x14ac:dyDescent="0.25">
      <c r="B164" s="94" t="str">
        <f>IF(EXACT(SEED!$BB165, ""), "", SEED!$BA165)</f>
        <v/>
      </c>
      <c r="C164" s="92" t="str">
        <f>IF(EXACT($B164, ""), "", IF(EXACT(SEED!$J165, ""), IF(EXACT(SEED!$H165, ""), IF(EXACT(SEED!$F165, ""), IF(EXACT(SEED!$D165, ""), IF(EXACT(SEED!$B165, ""), "", SEED!$B165), SEED!$D165), SEED!$F165), SEED!$H165), SEED!$J165))</f>
        <v/>
      </c>
      <c r="D164" s="92" t="str">
        <f>IF(EXACT($B164, ""), "", IF(EXACT(SEED!$K165, ""), IF(EXACT(SEED!$I165, ""), IF(EXACT(SEED!$G165, ""), IF(EXACT(SEED!$E165, ""), IF(EXACT(SEED!$C165, ""), "", SEED!$C165), SEED!$E165), SEED!$G165), SEED!$I165), SEED!$K165))</f>
        <v/>
      </c>
    </row>
    <row r="165" spans="2:4" x14ac:dyDescent="0.25">
      <c r="B165" s="94">
        <f>IF(EXACT(SEED!$BB166, ""), "", SEED!$BA166)</f>
        <v>65000000000158</v>
      </c>
      <c r="C165" s="92" t="str">
        <f>IF(EXACT($B165, ""), "", IF(EXACT(SEED!$J166, ""), IF(EXACT(SEED!$H166, ""), IF(EXACT(SEED!$F166, ""), IF(EXACT(SEED!$D166, ""), IF(EXACT(SEED!$B166, ""), "", SEED!$B166), SEED!$D166), SEED!$F166), SEED!$H166), SEED!$J166))</f>
        <v>3-0000</v>
      </c>
      <c r="D165" s="92" t="str">
        <f>IF(EXACT($B165, ""), "", IF(EXACT(SEED!$K166, ""), IF(EXACT(SEED!$I166, ""), IF(EXACT(SEED!$G166, ""), IF(EXACT(SEED!$E166, ""), IF(EXACT(SEED!$C166, ""), "", SEED!$C166), SEED!$E166), SEED!$G166), SEED!$I166), SEED!$K166))</f>
        <v>Modal</v>
      </c>
    </row>
    <row r="166" spans="2:4" x14ac:dyDescent="0.25">
      <c r="B166" s="94">
        <f>IF(EXACT(SEED!$BB167, ""), "", SEED!$BA167)</f>
        <v>65000000000159</v>
      </c>
      <c r="C166" s="92" t="str">
        <f>IF(EXACT($B166, ""), "", IF(EXACT(SEED!$J167, ""), IF(EXACT(SEED!$H167, ""), IF(EXACT(SEED!$F167, ""), IF(EXACT(SEED!$D167, ""), IF(EXACT(SEED!$B167, ""), "", SEED!$B167), SEED!$D167), SEED!$F167), SEED!$H167), SEED!$J167))</f>
        <v>3-1000</v>
      </c>
      <c r="D166" s="92" t="str">
        <f>IF(EXACT($B166, ""), "", IF(EXACT(SEED!$K167, ""), IF(EXACT(SEED!$I167, ""), IF(EXACT(SEED!$G167, ""), IF(EXACT(SEED!$E167, ""), IF(EXACT(SEED!$C167, ""), "", SEED!$C167), SEED!$E167), SEED!$G167), SEED!$I167), SEED!$K167))</f>
        <v>Share Capital</v>
      </c>
    </row>
    <row r="167" spans="2:4" x14ac:dyDescent="0.25">
      <c r="B167" s="94">
        <f>IF(EXACT(SEED!$BB168, ""), "", SEED!$BA168)</f>
        <v>65000000000160</v>
      </c>
      <c r="C167" s="92" t="str">
        <f>IF(EXACT($B167, ""), "", IF(EXACT(SEED!$J168, ""), IF(EXACT(SEED!$H168, ""), IF(EXACT(SEED!$F168, ""), IF(EXACT(SEED!$D168, ""), IF(EXACT(SEED!$B168, ""), "", SEED!$B168), SEED!$D168), SEED!$F168), SEED!$H168), SEED!$J168))</f>
        <v>3-1000.01</v>
      </c>
      <c r="D167" s="92" t="str">
        <f>IF(EXACT($B167, ""), "", IF(EXACT(SEED!$K168, ""), IF(EXACT(SEED!$I168, ""), IF(EXACT(SEED!$G168, ""), IF(EXACT(SEED!$E168, ""), IF(EXACT(SEED!$C168, ""), "", SEED!$C168), SEED!$E168), SEED!$G168), SEED!$I168), SEED!$K168))</f>
        <v>Share Capital (IDR)</v>
      </c>
    </row>
    <row r="168" spans="2:4" x14ac:dyDescent="0.25">
      <c r="B168" s="94">
        <f>IF(EXACT(SEED!$BB169, ""), "", SEED!$BA169)</f>
        <v>65000000000161</v>
      </c>
      <c r="C168" s="92" t="str">
        <f>IF(EXACT($B168, ""), "", IF(EXACT(SEED!$J169, ""), IF(EXACT(SEED!$H169, ""), IF(EXACT(SEED!$F169, ""), IF(EXACT(SEED!$D169, ""), IF(EXACT(SEED!$B169, ""), "", SEED!$B169), SEED!$D169), SEED!$F169), SEED!$H169), SEED!$J169))</f>
        <v>3-2000</v>
      </c>
      <c r="D168" s="92" t="str">
        <f>IF(EXACT($B168, ""), "", IF(EXACT(SEED!$K169, ""), IF(EXACT(SEED!$I169, ""), IF(EXACT(SEED!$G169, ""), IF(EXACT(SEED!$E169, ""), IF(EXACT(SEED!$C169, ""), "", SEED!$C169), SEED!$E169), SEED!$G169), SEED!$I169), SEED!$K169))</f>
        <v>R/E Profits/Losses Prev Year</v>
      </c>
    </row>
    <row r="169" spans="2:4" x14ac:dyDescent="0.25">
      <c r="B169" s="94">
        <f>IF(EXACT(SEED!$BB170, ""), "", SEED!$BA170)</f>
        <v>65000000000162</v>
      </c>
      <c r="C169" s="92" t="str">
        <f>IF(EXACT($B169, ""), "", IF(EXACT(SEED!$J170, ""), IF(EXACT(SEED!$H170, ""), IF(EXACT(SEED!$F170, ""), IF(EXACT(SEED!$D170, ""), IF(EXACT(SEED!$B170, ""), "", SEED!$B170), SEED!$D170), SEED!$F170), SEED!$H170), SEED!$J170))</f>
        <v>3-2000.01</v>
      </c>
      <c r="D169" s="92" t="str">
        <f>IF(EXACT($B169, ""), "", IF(EXACT(SEED!$K170, ""), IF(EXACT(SEED!$I170, ""), IF(EXACT(SEED!$G170, ""), IF(EXACT(SEED!$E170, ""), IF(EXACT(SEED!$C170, ""), "", SEED!$C170), SEED!$E170), SEED!$G170), SEED!$I170), SEED!$K170))</f>
        <v>R/E Profits/Losses Prev Year (IDR)</v>
      </c>
    </row>
    <row r="170" spans="2:4" x14ac:dyDescent="0.25">
      <c r="B170" s="94">
        <f>IF(EXACT(SEED!$BB171, ""), "", SEED!$BA171)</f>
        <v>65000000000163</v>
      </c>
      <c r="C170" s="92" t="str">
        <f>IF(EXACT($B170, ""), "", IF(EXACT(SEED!$J171, ""), IF(EXACT(SEED!$H171, ""), IF(EXACT(SEED!$F171, ""), IF(EXACT(SEED!$D171, ""), IF(EXACT(SEED!$B171, ""), "", SEED!$B171), SEED!$D171), SEED!$F171), SEED!$H171), SEED!$J171))</f>
        <v>3-3000</v>
      </c>
      <c r="D170" s="92" t="str">
        <f>IF(EXACT($B170, ""), "", IF(EXACT(SEED!$K171, ""), IF(EXACT(SEED!$I171, ""), IF(EXACT(SEED!$G171, ""), IF(EXACT(SEED!$E171, ""), IF(EXACT(SEED!$C171, ""), "", SEED!$C171), SEED!$E171), SEED!$G171), SEED!$I171), SEED!$K171))</f>
        <v>Current Year Earnings</v>
      </c>
    </row>
    <row r="171" spans="2:4" x14ac:dyDescent="0.25">
      <c r="B171" s="94">
        <f>IF(EXACT(SEED!$BB172, ""), "", SEED!$BA172)</f>
        <v>65000000000164</v>
      </c>
      <c r="C171" s="92" t="str">
        <f>IF(EXACT($B171, ""), "", IF(EXACT(SEED!$J172, ""), IF(EXACT(SEED!$H172, ""), IF(EXACT(SEED!$F172, ""), IF(EXACT(SEED!$D172, ""), IF(EXACT(SEED!$B172, ""), "", SEED!$B172), SEED!$D172), SEED!$F172), SEED!$H172), SEED!$J172))</f>
        <v>3-3000.01</v>
      </c>
      <c r="D171" s="92" t="str">
        <f>IF(EXACT($B171, ""), "", IF(EXACT(SEED!$K172, ""), IF(EXACT(SEED!$I172, ""), IF(EXACT(SEED!$G172, ""), IF(EXACT(SEED!$E172, ""), IF(EXACT(SEED!$C172, ""), "", SEED!$C172), SEED!$E172), SEED!$G172), SEED!$I172), SEED!$K172))</f>
        <v>Current Year Earnings (IDR)</v>
      </c>
    </row>
    <row r="172" spans="2:4" x14ac:dyDescent="0.25">
      <c r="B172" s="94">
        <f>IF(EXACT(SEED!$BB173, ""), "", SEED!$BA173)</f>
        <v>65000000000165</v>
      </c>
      <c r="C172" s="92" t="str">
        <f>IF(EXACT($B172, ""), "", IF(EXACT(SEED!$J173, ""), IF(EXACT(SEED!$H173, ""), IF(EXACT(SEED!$F173, ""), IF(EXACT(SEED!$D173, ""), IF(EXACT(SEED!$B173, ""), "", SEED!$B173), SEED!$D173), SEED!$F173), SEED!$H173), SEED!$J173))</f>
        <v>3-9000</v>
      </c>
      <c r="D172" s="92" t="str">
        <f>IF(EXACT($B172, ""), "", IF(EXACT(SEED!$K173, ""), IF(EXACT(SEED!$I173, ""), IF(EXACT(SEED!$G173, ""), IF(EXACT(SEED!$E173, ""), IF(EXACT(SEED!$C173, ""), "", SEED!$C173), SEED!$E173), SEED!$G173), SEED!$I173), SEED!$K173))</f>
        <v>Historical Balancing</v>
      </c>
    </row>
    <row r="173" spans="2:4" x14ac:dyDescent="0.25">
      <c r="B173" s="94">
        <f>IF(EXACT(SEED!$BB174, ""), "", SEED!$BA174)</f>
        <v>65000000000166</v>
      </c>
      <c r="C173" s="92" t="str">
        <f>IF(EXACT($B173, ""), "", IF(EXACT(SEED!$J174, ""), IF(EXACT(SEED!$H174, ""), IF(EXACT(SEED!$F174, ""), IF(EXACT(SEED!$D174, ""), IF(EXACT(SEED!$B174, ""), "", SEED!$B174), SEED!$D174), SEED!$F174), SEED!$H174), SEED!$J174))</f>
        <v>3-9000.01</v>
      </c>
      <c r="D173" s="92" t="str">
        <f>IF(EXACT($B173, ""), "", IF(EXACT(SEED!$K174, ""), IF(EXACT(SEED!$I174, ""), IF(EXACT(SEED!$G174, ""), IF(EXACT(SEED!$E174, ""), IF(EXACT(SEED!$C174, ""), "", SEED!$C174), SEED!$E174), SEED!$G174), SEED!$I174), SEED!$K174))</f>
        <v>Historical Balancing (IDR)</v>
      </c>
    </row>
    <row r="174" spans="2:4" x14ac:dyDescent="0.25">
      <c r="B174" s="94" t="str">
        <f>IF(EXACT(SEED!$BB175, ""), "", SEED!$BA175)</f>
        <v/>
      </c>
      <c r="C174" s="92" t="str">
        <f>IF(EXACT($B174, ""), "", IF(EXACT(SEED!$J175, ""), IF(EXACT(SEED!$H175, ""), IF(EXACT(SEED!$F175, ""), IF(EXACT(SEED!$D175, ""), IF(EXACT(SEED!$B175, ""), "", SEED!$B175), SEED!$D175), SEED!$F175), SEED!$H175), SEED!$J175))</f>
        <v/>
      </c>
      <c r="D174" s="92" t="str">
        <f>IF(EXACT($B174, ""), "", IF(EXACT(SEED!$K175, ""), IF(EXACT(SEED!$I175, ""), IF(EXACT(SEED!$G175, ""), IF(EXACT(SEED!$E175, ""), IF(EXACT(SEED!$C175, ""), "", SEED!$C175), SEED!$E175), SEED!$G175), SEED!$I175), SEED!$K175))</f>
        <v/>
      </c>
    </row>
    <row r="175" spans="2:4" x14ac:dyDescent="0.25">
      <c r="B175" s="94">
        <f>IF(EXACT(SEED!$BB176, ""), "", SEED!$BA176)</f>
        <v>65000000000167</v>
      </c>
      <c r="C175" s="92" t="str">
        <f>IF(EXACT($B175, ""), "", IF(EXACT(SEED!$J176, ""), IF(EXACT(SEED!$H176, ""), IF(EXACT(SEED!$F176, ""), IF(EXACT(SEED!$D176, ""), IF(EXACT(SEED!$B176, ""), "", SEED!$B176), SEED!$D176), SEED!$F176), SEED!$H176), SEED!$J176))</f>
        <v>4-0000</v>
      </c>
      <c r="D175" s="92" t="str">
        <f>IF(EXACT($B175, ""), "", IF(EXACT(SEED!$K176, ""), IF(EXACT(SEED!$I176, ""), IF(EXACT(SEED!$G176, ""), IF(EXACT(SEED!$E176, ""), IF(EXACT(SEED!$C176, ""), "", SEED!$C176), SEED!$E176), SEED!$G176), SEED!$I176), SEED!$K176))</f>
        <v>Pendapatan</v>
      </c>
    </row>
    <row r="176" spans="2:4" x14ac:dyDescent="0.25">
      <c r="B176" s="94">
        <f>IF(EXACT(SEED!$BB177, ""), "", SEED!$BA177)</f>
        <v>65000000000168</v>
      </c>
      <c r="C176" s="92" t="str">
        <f>IF(EXACT($B176, ""), "", IF(EXACT(SEED!$J177, ""), IF(EXACT(SEED!$H177, ""), IF(EXACT(SEED!$F177, ""), IF(EXACT(SEED!$D177, ""), IF(EXACT(SEED!$B177, ""), "", SEED!$B177), SEED!$D177), SEED!$F177), SEED!$H177), SEED!$J177))</f>
        <v>4-1000</v>
      </c>
      <c r="D176" s="92" t="str">
        <f>IF(EXACT($B176, ""), "", IF(EXACT(SEED!$K177, ""), IF(EXACT(SEED!$I177, ""), IF(EXACT(SEED!$G177, ""), IF(EXACT(SEED!$E177, ""), IF(EXACT(SEED!$C177, ""), "", SEED!$C177), SEED!$E177), SEED!$G177), SEED!$I177), SEED!$K177))</f>
        <v>Completed Project</v>
      </c>
    </row>
    <row r="177" spans="2:4" x14ac:dyDescent="0.25">
      <c r="B177" s="94">
        <f>IF(EXACT(SEED!$BB178, ""), "", SEED!$BA178)</f>
        <v>65000000000169</v>
      </c>
      <c r="C177" s="92" t="str">
        <f>IF(EXACT($B177, ""), "", IF(EXACT(SEED!$J178, ""), IF(EXACT(SEED!$H178, ""), IF(EXACT(SEED!$F178, ""), IF(EXACT(SEED!$D178, ""), IF(EXACT(SEED!$B178, ""), "", SEED!$B178), SEED!$D178), SEED!$F178), SEED!$H178), SEED!$J178))</f>
        <v>4-1001</v>
      </c>
      <c r="D177" s="92" t="str">
        <f>IF(EXACT($B177, ""), "", IF(EXACT(SEED!$K178, ""), IF(EXACT(SEED!$I178, ""), IF(EXACT(SEED!$G178, ""), IF(EXACT(SEED!$E178, ""), IF(EXACT(SEED!$C178, ""), "", SEED!$C178), SEED!$E178), SEED!$G178), SEED!$I178), SEED!$K178))</f>
        <v>Completed Project</v>
      </c>
    </row>
    <row r="178" spans="2:4" x14ac:dyDescent="0.25">
      <c r="B178" s="94">
        <f>IF(EXACT(SEED!$BB179, ""), "", SEED!$BA179)</f>
        <v>65000000000170</v>
      </c>
      <c r="C178" s="92" t="str">
        <f>IF(EXACT($B178, ""), "", IF(EXACT(SEED!$J179, ""), IF(EXACT(SEED!$H179, ""), IF(EXACT(SEED!$F179, ""), IF(EXACT(SEED!$D179, ""), IF(EXACT(SEED!$B179, ""), "", SEED!$B179), SEED!$D179), SEED!$F179), SEED!$H179), SEED!$J179))</f>
        <v>4-1001.01</v>
      </c>
      <c r="D178" s="92" t="str">
        <f>IF(EXACT($B178, ""), "", IF(EXACT(SEED!$K179, ""), IF(EXACT(SEED!$I179, ""), IF(EXACT(SEED!$G179, ""), IF(EXACT(SEED!$E179, ""), IF(EXACT(SEED!$C179, ""), "", SEED!$C179), SEED!$E179), SEED!$G179), SEED!$I179), SEED!$K179))</f>
        <v>Completed Project (IDR)</v>
      </c>
    </row>
    <row r="179" spans="2:4" x14ac:dyDescent="0.25">
      <c r="B179" s="94">
        <f>IF(EXACT(SEED!$BB180, ""), "", SEED!$BA180)</f>
        <v>65000000000171</v>
      </c>
      <c r="C179" s="92" t="str">
        <f>IF(EXACT($B179, ""), "", IF(EXACT(SEED!$J180, ""), IF(EXACT(SEED!$H180, ""), IF(EXACT(SEED!$F180, ""), IF(EXACT(SEED!$D180, ""), IF(EXACT(SEED!$B180, ""), "", SEED!$B180), SEED!$D180), SEED!$F180), SEED!$H180), SEED!$J180))</f>
        <v>4-2000</v>
      </c>
      <c r="D179" s="92" t="str">
        <f>IF(EXACT($B179, ""), "", IF(EXACT(SEED!$K180, ""), IF(EXACT(SEED!$I180, ""), IF(EXACT(SEED!$G180, ""), IF(EXACT(SEED!$E180, ""), IF(EXACT(SEED!$C180, ""), "", SEED!$C180), SEED!$E180), SEED!$G180), SEED!$I180), SEED!$K180))</f>
        <v>Construction Project</v>
      </c>
    </row>
    <row r="180" spans="2:4" x14ac:dyDescent="0.25">
      <c r="B180" s="94">
        <f>IF(EXACT(SEED!$BB181, ""), "", SEED!$BA181)</f>
        <v>65000000000172</v>
      </c>
      <c r="C180" s="92" t="str">
        <f>IF(EXACT($B180, ""), "", IF(EXACT(SEED!$J181, ""), IF(EXACT(SEED!$H181, ""), IF(EXACT(SEED!$F181, ""), IF(EXACT(SEED!$D181, ""), IF(EXACT(SEED!$B181, ""), "", SEED!$B181), SEED!$D181), SEED!$F181), SEED!$H181), SEED!$J181))</f>
        <v>4-2001</v>
      </c>
      <c r="D180" s="92" t="str">
        <f>IF(EXACT($B180, ""), "", IF(EXACT(SEED!$K181, ""), IF(EXACT(SEED!$I181, ""), IF(EXACT(SEED!$G181, ""), IF(EXACT(SEED!$E181, ""), IF(EXACT(SEED!$C181, ""), "", SEED!$C181), SEED!$E181), SEED!$G181), SEED!$I181), SEED!$K181))</f>
        <v>Construction Project</v>
      </c>
    </row>
    <row r="181" spans="2:4" x14ac:dyDescent="0.25">
      <c r="B181" s="94">
        <f>IF(EXACT(SEED!$BB182, ""), "", SEED!$BA182)</f>
        <v>65000000000173</v>
      </c>
      <c r="C181" s="92" t="str">
        <f>IF(EXACT($B181, ""), "", IF(EXACT(SEED!$J182, ""), IF(EXACT(SEED!$H182, ""), IF(EXACT(SEED!$F182, ""), IF(EXACT(SEED!$D182, ""), IF(EXACT(SEED!$B182, ""), "", SEED!$B182), SEED!$D182), SEED!$F182), SEED!$H182), SEED!$J182))</f>
        <v>4-2001.01</v>
      </c>
      <c r="D181" s="92" t="str">
        <f>IF(EXACT($B181, ""), "", IF(EXACT(SEED!$K182, ""), IF(EXACT(SEED!$I182, ""), IF(EXACT(SEED!$G182, ""), IF(EXACT(SEED!$E182, ""), IF(EXACT(SEED!$C182, ""), "", SEED!$C182), SEED!$E182), SEED!$G182), SEED!$I182), SEED!$K182))</f>
        <v>Construction Project (IDR)</v>
      </c>
    </row>
    <row r="182" spans="2:4" x14ac:dyDescent="0.25">
      <c r="B182" s="94">
        <f>IF(EXACT(SEED!$BB183, ""), "", SEED!$BA183)</f>
        <v>65000000000174</v>
      </c>
      <c r="C182" s="92" t="str">
        <f>IF(EXACT($B182, ""), "", IF(EXACT(SEED!$J183, ""), IF(EXACT(SEED!$H183, ""), IF(EXACT(SEED!$F183, ""), IF(EXACT(SEED!$D183, ""), IF(EXACT(SEED!$B183, ""), "", SEED!$B183), SEED!$D183), SEED!$F183), SEED!$H183), SEED!$J183))</f>
        <v>4-3000</v>
      </c>
      <c r="D182" s="92" t="str">
        <f>IF(EXACT($B182, ""), "", IF(EXACT(SEED!$K183, ""), IF(EXACT(SEED!$I183, ""), IF(EXACT(SEED!$G183, ""), IF(EXACT(SEED!$E183, ""), IF(EXACT(SEED!$C183, ""), "", SEED!$C183), SEED!$E183), SEED!$G183), SEED!$I183), SEED!$K183))</f>
        <v>WIP Adjustment</v>
      </c>
    </row>
    <row r="183" spans="2:4" x14ac:dyDescent="0.25">
      <c r="B183" s="94">
        <f>IF(EXACT(SEED!$BB184, ""), "", SEED!$BA184)</f>
        <v>65000000000175</v>
      </c>
      <c r="C183" s="92" t="str">
        <f>IF(EXACT($B183, ""), "", IF(EXACT(SEED!$J184, ""), IF(EXACT(SEED!$H184, ""), IF(EXACT(SEED!$F184, ""), IF(EXACT(SEED!$D184, ""), IF(EXACT(SEED!$B184, ""), "", SEED!$B184), SEED!$D184), SEED!$F184), SEED!$H184), SEED!$J184))</f>
        <v>4-3001</v>
      </c>
      <c r="D183" s="92" t="str">
        <f>IF(EXACT($B183, ""), "", IF(EXACT(SEED!$K184, ""), IF(EXACT(SEED!$I184, ""), IF(EXACT(SEED!$G184, ""), IF(EXACT(SEED!$E184, ""), IF(EXACT(SEED!$C184, ""), "", SEED!$C184), SEED!$E184), SEED!$G184), SEED!$I184), SEED!$K184))</f>
        <v>WIP Adjustment</v>
      </c>
    </row>
    <row r="184" spans="2:4" x14ac:dyDescent="0.25">
      <c r="B184" s="94">
        <f>IF(EXACT(SEED!$BB185, ""), "", SEED!$BA185)</f>
        <v>65000000000176</v>
      </c>
      <c r="C184" s="92" t="str">
        <f>IF(EXACT($B184, ""), "", IF(EXACT(SEED!$J185, ""), IF(EXACT(SEED!$H185, ""), IF(EXACT(SEED!$F185, ""), IF(EXACT(SEED!$D185, ""), IF(EXACT(SEED!$B185, ""), "", SEED!$B185), SEED!$D185), SEED!$F185), SEED!$H185), SEED!$J185))</f>
        <v>4-3001.01</v>
      </c>
      <c r="D184" s="92" t="str">
        <f>IF(EXACT($B184, ""), "", IF(EXACT(SEED!$K185, ""), IF(EXACT(SEED!$I185, ""), IF(EXACT(SEED!$G185, ""), IF(EXACT(SEED!$E185, ""), IF(EXACT(SEED!$C185, ""), "", SEED!$C185), SEED!$E185), SEED!$G185), SEED!$I185), SEED!$K185))</f>
        <v>WIP Adjustment (IDR)</v>
      </c>
    </row>
    <row r="185" spans="2:4" x14ac:dyDescent="0.25">
      <c r="B185" s="94">
        <f>IF(EXACT(SEED!$BB186, ""), "", SEED!$BA186)</f>
        <v>65000000000177</v>
      </c>
      <c r="C185" s="92" t="str">
        <f>IF(EXACT($B185, ""), "", IF(EXACT(SEED!$J186, ""), IF(EXACT(SEED!$H186, ""), IF(EXACT(SEED!$F186, ""), IF(EXACT(SEED!$D186, ""), IF(EXACT(SEED!$B186, ""), "", SEED!$B186), SEED!$D186), SEED!$F186), SEED!$H186), SEED!$J186))</f>
        <v>4-4000</v>
      </c>
      <c r="D185" s="92" t="str">
        <f>IF(EXACT($B185, ""), "", IF(EXACT(SEED!$K186, ""), IF(EXACT(SEED!$I186, ""), IF(EXACT(SEED!$G186, ""), IF(EXACT(SEED!$E186, ""), IF(EXACT(SEED!$C186, ""), "", SEED!$C186), SEED!$E186), SEED!$G186), SEED!$I186), SEED!$K186))</f>
        <v>Under/Overclaim Adjustment</v>
      </c>
    </row>
    <row r="186" spans="2:4" x14ac:dyDescent="0.25">
      <c r="B186" s="94">
        <f>IF(EXACT(SEED!$BB187, ""), "", SEED!$BA187)</f>
        <v>65000000000178</v>
      </c>
      <c r="C186" s="92" t="str">
        <f>IF(EXACT($B186, ""), "", IF(EXACT(SEED!$J187, ""), IF(EXACT(SEED!$H187, ""), IF(EXACT(SEED!$F187, ""), IF(EXACT(SEED!$D187, ""), IF(EXACT(SEED!$B187, ""), "", SEED!$B187), SEED!$D187), SEED!$F187), SEED!$H187), SEED!$J187))</f>
        <v>4-4001</v>
      </c>
      <c r="D186" s="92" t="str">
        <f>IF(EXACT($B186, ""), "", IF(EXACT(SEED!$K187, ""), IF(EXACT(SEED!$I187, ""), IF(EXACT(SEED!$G187, ""), IF(EXACT(SEED!$E187, ""), IF(EXACT(SEED!$C187, ""), "", SEED!$C187), SEED!$E187), SEED!$G187), SEED!$I187), SEED!$K187))</f>
        <v>Under/Overclaim Adjustment</v>
      </c>
    </row>
    <row r="187" spans="2:4" x14ac:dyDescent="0.25">
      <c r="B187" s="94">
        <f>IF(EXACT(SEED!$BB188, ""), "", SEED!$BA188)</f>
        <v>65000000000179</v>
      </c>
      <c r="C187" s="92" t="str">
        <f>IF(EXACT($B187, ""), "", IF(EXACT(SEED!$J188, ""), IF(EXACT(SEED!$H188, ""), IF(EXACT(SEED!$F188, ""), IF(EXACT(SEED!$D188, ""), IF(EXACT(SEED!$B188, ""), "", SEED!$B188), SEED!$D188), SEED!$F188), SEED!$H188), SEED!$J188))</f>
        <v>4-4001.01</v>
      </c>
      <c r="D187" s="92" t="str">
        <f>IF(EXACT($B187, ""), "", IF(EXACT(SEED!$K188, ""), IF(EXACT(SEED!$I188, ""), IF(EXACT(SEED!$G188, ""), IF(EXACT(SEED!$E188, ""), IF(EXACT(SEED!$C188, ""), "", SEED!$C188), SEED!$E188), SEED!$G188), SEED!$I188), SEED!$K188))</f>
        <v>Under/Overclaim Adjustment (IDR)</v>
      </c>
    </row>
    <row r="188" spans="2:4" x14ac:dyDescent="0.25">
      <c r="B188" s="94">
        <f>IF(EXACT(SEED!$BB189, ""), "", SEED!$BA189)</f>
        <v>65000000000180</v>
      </c>
      <c r="C188" s="92" t="str">
        <f>IF(EXACT($B188, ""), "", IF(EXACT(SEED!$J189, ""), IF(EXACT(SEED!$H189, ""), IF(EXACT(SEED!$F189, ""), IF(EXACT(SEED!$D189, ""), IF(EXACT(SEED!$B189, ""), "", SEED!$B189), SEED!$D189), SEED!$F189), SEED!$H189), SEED!$J189))</f>
        <v>4-5000</v>
      </c>
      <c r="D188" s="92" t="str">
        <f>IF(EXACT($B188, ""), "", IF(EXACT(SEED!$K189, ""), IF(EXACT(SEED!$I189, ""), IF(EXACT(SEED!$G189, ""), IF(EXACT(SEED!$E189, ""), IF(EXACT(SEED!$C189, ""), "", SEED!$C189), SEED!$E189), SEED!$G189), SEED!$I189), SEED!$K189))</f>
        <v>Discount</v>
      </c>
    </row>
    <row r="189" spans="2:4" x14ac:dyDescent="0.25">
      <c r="B189" s="94">
        <f>IF(EXACT(SEED!$BB190, ""), "", SEED!$BA190)</f>
        <v>65000000000181</v>
      </c>
      <c r="C189" s="92" t="str">
        <f>IF(EXACT($B189, ""), "", IF(EXACT(SEED!$J190, ""), IF(EXACT(SEED!$H190, ""), IF(EXACT(SEED!$F190, ""), IF(EXACT(SEED!$D190, ""), IF(EXACT(SEED!$B190, ""), "", SEED!$B190), SEED!$D190), SEED!$F190), SEED!$H190), SEED!$J190))</f>
        <v>4-5001</v>
      </c>
      <c r="D189" s="92" t="str">
        <f>IF(EXACT($B189, ""), "", IF(EXACT(SEED!$K190, ""), IF(EXACT(SEED!$I190, ""), IF(EXACT(SEED!$G190, ""), IF(EXACT(SEED!$E190, ""), IF(EXACT(SEED!$C190, ""), "", SEED!$C190), SEED!$E190), SEED!$G190), SEED!$I190), SEED!$K190))</f>
        <v>Discount</v>
      </c>
    </row>
    <row r="190" spans="2:4" x14ac:dyDescent="0.25">
      <c r="B190" s="94">
        <f>IF(EXACT(SEED!$BB191, ""), "", SEED!$BA191)</f>
        <v>65000000000182</v>
      </c>
      <c r="C190" s="92" t="str">
        <f>IF(EXACT($B190, ""), "", IF(EXACT(SEED!$J191, ""), IF(EXACT(SEED!$H191, ""), IF(EXACT(SEED!$F191, ""), IF(EXACT(SEED!$D191, ""), IF(EXACT(SEED!$B191, ""), "", SEED!$B191), SEED!$D191), SEED!$F191), SEED!$H191), SEED!$J191))</f>
        <v>4-5001.01</v>
      </c>
      <c r="D190" s="92" t="str">
        <f>IF(EXACT($B190, ""), "", IF(EXACT(SEED!$K191, ""), IF(EXACT(SEED!$I191, ""), IF(EXACT(SEED!$G191, ""), IF(EXACT(SEED!$E191, ""), IF(EXACT(SEED!$C191, ""), "", SEED!$C191), SEED!$E191), SEED!$G191), SEED!$I191), SEED!$K191))</f>
        <v>Discount (IDR)</v>
      </c>
    </row>
    <row r="191" spans="2:4" x14ac:dyDescent="0.25">
      <c r="B191" s="94">
        <f>IF(EXACT(SEED!$BB192, ""), "", SEED!$BA192)</f>
        <v>65000000000183</v>
      </c>
      <c r="C191" s="92" t="str">
        <f>IF(EXACT($B191, ""), "", IF(EXACT(SEED!$J192, ""), IF(EXACT(SEED!$H192, ""), IF(EXACT(SEED!$F192, ""), IF(EXACT(SEED!$D192, ""), IF(EXACT(SEED!$B192, ""), "", SEED!$B192), SEED!$D192), SEED!$F192), SEED!$H192), SEED!$J192))</f>
        <v>4-6000</v>
      </c>
      <c r="D191" s="92" t="str">
        <f>IF(EXACT($B191, ""), "", IF(EXACT(SEED!$K192, ""), IF(EXACT(SEED!$I192, ""), IF(EXACT(SEED!$G192, ""), IF(EXACT(SEED!$E192, ""), IF(EXACT(SEED!$C192, ""), "", SEED!$C192), SEED!$E192), SEED!$G192), SEED!$I192), SEED!$K192))</f>
        <v>Commision</v>
      </c>
    </row>
    <row r="192" spans="2:4" x14ac:dyDescent="0.25">
      <c r="B192" s="94">
        <f>IF(EXACT(SEED!$BB193, ""), "", SEED!$BA193)</f>
        <v>65000000000184</v>
      </c>
      <c r="C192" s="92" t="str">
        <f>IF(EXACT($B192, ""), "", IF(EXACT(SEED!$J193, ""), IF(EXACT(SEED!$H193, ""), IF(EXACT(SEED!$F193, ""), IF(EXACT(SEED!$D193, ""), IF(EXACT(SEED!$B193, ""), "", SEED!$B193), SEED!$D193), SEED!$F193), SEED!$H193), SEED!$J193))</f>
        <v>4-6001</v>
      </c>
      <c r="D192" s="92" t="str">
        <f>IF(EXACT($B192, ""), "", IF(EXACT(SEED!$K193, ""), IF(EXACT(SEED!$I193, ""), IF(EXACT(SEED!$G193, ""), IF(EXACT(SEED!$E193, ""), IF(EXACT(SEED!$C193, ""), "", SEED!$C193), SEED!$E193), SEED!$G193), SEED!$I193), SEED!$K193))</f>
        <v>Commision</v>
      </c>
    </row>
    <row r="193" spans="2:4" x14ac:dyDescent="0.25">
      <c r="B193" s="94">
        <f>IF(EXACT(SEED!$BB194, ""), "", SEED!$BA194)</f>
        <v>65000000000185</v>
      </c>
      <c r="C193" s="92" t="str">
        <f>IF(EXACT($B193, ""), "", IF(EXACT(SEED!$J194, ""), IF(EXACT(SEED!$H194, ""), IF(EXACT(SEED!$F194, ""), IF(EXACT(SEED!$D194, ""), IF(EXACT(SEED!$B194, ""), "", SEED!$B194), SEED!$D194), SEED!$F194), SEED!$H194), SEED!$J194))</f>
        <v>4-6001.01</v>
      </c>
      <c r="D193" s="92" t="str">
        <f>IF(EXACT($B193, ""), "", IF(EXACT(SEED!$K194, ""), IF(EXACT(SEED!$I194, ""), IF(EXACT(SEED!$G194, ""), IF(EXACT(SEED!$E194, ""), IF(EXACT(SEED!$C194, ""), "", SEED!$C194), SEED!$E194), SEED!$G194), SEED!$I194), SEED!$K194))</f>
        <v>Commision (IDR)</v>
      </c>
    </row>
    <row r="194" spans="2:4" x14ac:dyDescent="0.25">
      <c r="B194" s="94" t="str">
        <f>IF(EXACT(SEED!$BB195, ""), "", SEED!$BA195)</f>
        <v/>
      </c>
      <c r="C194" s="92" t="str">
        <f>IF(EXACT($B194, ""), "", IF(EXACT(SEED!$J195, ""), IF(EXACT(SEED!$H195, ""), IF(EXACT(SEED!$F195, ""), IF(EXACT(SEED!$D195, ""), IF(EXACT(SEED!$B195, ""), "", SEED!$B195), SEED!$D195), SEED!$F195), SEED!$H195), SEED!$J195))</f>
        <v/>
      </c>
      <c r="D194" s="92" t="str">
        <f>IF(EXACT($B194, ""), "", IF(EXACT(SEED!$K195, ""), IF(EXACT(SEED!$I195, ""), IF(EXACT(SEED!$G195, ""), IF(EXACT(SEED!$E195, ""), IF(EXACT(SEED!$C195, ""), "", SEED!$C195), SEED!$E195), SEED!$G195), SEED!$I195), SEED!$K195))</f>
        <v/>
      </c>
    </row>
    <row r="195" spans="2:4" x14ac:dyDescent="0.25">
      <c r="B195" s="94">
        <f>IF(EXACT(SEED!$BB196, ""), "", SEED!$BA196)</f>
        <v>65000000000186</v>
      </c>
      <c r="C195" s="92" t="str">
        <f>IF(EXACT($B195, ""), "", IF(EXACT(SEED!$J196, ""), IF(EXACT(SEED!$H196, ""), IF(EXACT(SEED!$F196, ""), IF(EXACT(SEED!$D196, ""), IF(EXACT(SEED!$B196, ""), "", SEED!$B196), SEED!$D196), SEED!$F196), SEED!$H196), SEED!$J196))</f>
        <v>5-0000</v>
      </c>
      <c r="D195" s="92" t="str">
        <f>IF(EXACT($B195, ""), "", IF(EXACT(SEED!$K196, ""), IF(EXACT(SEED!$I196, ""), IF(EXACT(SEED!$G196, ""), IF(EXACT(SEED!$E196, ""), IF(EXACT(SEED!$C196, ""), "", SEED!$C196), SEED!$E196), SEED!$G196), SEED!$I196), SEED!$K196))</f>
        <v>HPP (COGS)</v>
      </c>
    </row>
    <row r="196" spans="2:4" x14ac:dyDescent="0.25">
      <c r="B196" s="94">
        <f>IF(EXACT(SEED!$BB197, ""), "", SEED!$BA197)</f>
        <v>65000000000187</v>
      </c>
      <c r="C196" s="92" t="str">
        <f>IF(EXACT($B196, ""), "", IF(EXACT(SEED!$J197, ""), IF(EXACT(SEED!$H197, ""), IF(EXACT(SEED!$F197, ""), IF(EXACT(SEED!$D197, ""), IF(EXACT(SEED!$B197, ""), "", SEED!$B197), SEED!$D197), SEED!$F197), SEED!$H197), SEED!$J197))</f>
        <v>5-1000</v>
      </c>
      <c r="D196" s="92" t="str">
        <f>IF(EXACT($B196, ""), "", IF(EXACT(SEED!$K197, ""), IF(EXACT(SEED!$I197, ""), IF(EXACT(SEED!$G197, ""), IF(EXACT(SEED!$E197, ""), IF(EXACT(SEED!$C197, ""), "", SEED!$C197), SEED!$E197), SEED!$G197), SEED!$I197), SEED!$K197))</f>
        <v>Cost of Material</v>
      </c>
    </row>
    <row r="197" spans="2:4" x14ac:dyDescent="0.25">
      <c r="B197" s="94">
        <f>IF(EXACT(SEED!$BB198, ""), "", SEED!$BA198)</f>
        <v>65000000000188</v>
      </c>
      <c r="C197" s="92" t="str">
        <f>IF(EXACT($B197, ""), "", IF(EXACT(SEED!$J198, ""), IF(EXACT(SEED!$H198, ""), IF(EXACT(SEED!$F198, ""), IF(EXACT(SEED!$D198, ""), IF(EXACT(SEED!$B198, ""), "", SEED!$B198), SEED!$D198), SEED!$F198), SEED!$H198), SEED!$J198))</f>
        <v>5-1001</v>
      </c>
      <c r="D197" s="92" t="str">
        <f>IF(EXACT($B197, ""), "", IF(EXACT(SEED!$K198, ""), IF(EXACT(SEED!$I198, ""), IF(EXACT(SEED!$G198, ""), IF(EXACT(SEED!$E198, ""), IF(EXACT(SEED!$C198, ""), "", SEED!$C198), SEED!$E198), SEED!$G198), SEED!$I198), SEED!$K198))</f>
        <v>Opening Balance - Material</v>
      </c>
    </row>
    <row r="198" spans="2:4" x14ac:dyDescent="0.25">
      <c r="B198" s="94">
        <f>IF(EXACT(SEED!$BB199, ""), "", SEED!$BA199)</f>
        <v>65000000000189</v>
      </c>
      <c r="C198" s="92" t="str">
        <f>IF(EXACT($B198, ""), "", IF(EXACT(SEED!$J199, ""), IF(EXACT(SEED!$H199, ""), IF(EXACT(SEED!$F199, ""), IF(EXACT(SEED!$D199, ""), IF(EXACT(SEED!$B199, ""), "", SEED!$B199), SEED!$D199), SEED!$F199), SEED!$H199), SEED!$J199))</f>
        <v>5-1001.01</v>
      </c>
      <c r="D198" s="92" t="str">
        <f>IF(EXACT($B198, ""), "", IF(EXACT(SEED!$K199, ""), IF(EXACT(SEED!$I199, ""), IF(EXACT(SEED!$G199, ""), IF(EXACT(SEED!$E199, ""), IF(EXACT(SEED!$C199, ""), "", SEED!$C199), SEED!$E199), SEED!$G199), SEED!$I199), SEED!$K199))</f>
        <v>Opening Balance - Material (IDR)</v>
      </c>
    </row>
    <row r="199" spans="2:4" x14ac:dyDescent="0.25">
      <c r="B199" s="94">
        <f>IF(EXACT(SEED!$BB200, ""), "", SEED!$BA200)</f>
        <v>65000000000190</v>
      </c>
      <c r="C199" s="92" t="str">
        <f>IF(EXACT($B199, ""), "", IF(EXACT(SEED!$J200, ""), IF(EXACT(SEED!$H200, ""), IF(EXACT(SEED!$F200, ""), IF(EXACT(SEED!$D200, ""), IF(EXACT(SEED!$B200, ""), "", SEED!$B200), SEED!$D200), SEED!$F200), SEED!$H200), SEED!$J200))</f>
        <v>5-1002</v>
      </c>
      <c r="D199" s="92" t="str">
        <f>IF(EXACT($B199, ""), "", IF(EXACT(SEED!$K200, ""), IF(EXACT(SEED!$I200, ""), IF(EXACT(SEED!$G200, ""), IF(EXACT(SEED!$E200, ""), IF(EXACT(SEED!$C200, ""), "", SEED!$C200), SEED!$E200), SEED!$G200), SEED!$I200), SEED!$K200))</f>
        <v>Opening Balance - Supplies</v>
      </c>
    </row>
    <row r="200" spans="2:4" x14ac:dyDescent="0.25">
      <c r="B200" s="94">
        <f>IF(EXACT(SEED!$BB201, ""), "", SEED!$BA201)</f>
        <v>65000000000191</v>
      </c>
      <c r="C200" s="92" t="str">
        <f>IF(EXACT($B200, ""), "", IF(EXACT(SEED!$J201, ""), IF(EXACT(SEED!$H201, ""), IF(EXACT(SEED!$F201, ""), IF(EXACT(SEED!$D201, ""), IF(EXACT(SEED!$B201, ""), "", SEED!$B201), SEED!$D201), SEED!$F201), SEED!$H201), SEED!$J201))</f>
        <v>5-1002.01</v>
      </c>
      <c r="D200" s="92" t="str">
        <f>IF(EXACT($B200, ""), "", IF(EXACT(SEED!$K201, ""), IF(EXACT(SEED!$I201, ""), IF(EXACT(SEED!$G201, ""), IF(EXACT(SEED!$E201, ""), IF(EXACT(SEED!$C201, ""), "", SEED!$C201), SEED!$E201), SEED!$G201), SEED!$I201), SEED!$K201))</f>
        <v>Opening Balance - Supplies (IDR)</v>
      </c>
    </row>
    <row r="201" spans="2:4" x14ac:dyDescent="0.25">
      <c r="B201" s="94">
        <f>IF(EXACT(SEED!$BB202, ""), "", SEED!$BA202)</f>
        <v>65000000000192</v>
      </c>
      <c r="C201" s="92" t="str">
        <f>IF(EXACT($B201, ""), "", IF(EXACT(SEED!$J202, ""), IF(EXACT(SEED!$H202, ""), IF(EXACT(SEED!$F202, ""), IF(EXACT(SEED!$D202, ""), IF(EXACT(SEED!$B202, ""), "", SEED!$B202), SEED!$D202), SEED!$F202), SEED!$H202), SEED!$J202))</f>
        <v>5-1003</v>
      </c>
      <c r="D201" s="92" t="str">
        <f>IF(EXACT($B201, ""), "", IF(EXACT(SEED!$K202, ""), IF(EXACT(SEED!$I202, ""), IF(EXACT(SEED!$G202, ""), IF(EXACT(SEED!$E202, ""), IF(EXACT(SEED!$C202, ""), "", SEED!$C202), SEED!$E202), SEED!$G202), SEED!$I202), SEED!$K202))</f>
        <v>Purchase - Material</v>
      </c>
    </row>
    <row r="202" spans="2:4" x14ac:dyDescent="0.25">
      <c r="B202" s="94">
        <f>IF(EXACT(SEED!$BB203, ""), "", SEED!$BA203)</f>
        <v>65000000000193</v>
      </c>
      <c r="C202" s="92" t="str">
        <f>IF(EXACT($B202, ""), "", IF(EXACT(SEED!$J203, ""), IF(EXACT(SEED!$H203, ""), IF(EXACT(SEED!$F203, ""), IF(EXACT(SEED!$D203, ""), IF(EXACT(SEED!$B203, ""), "", SEED!$B203), SEED!$D203), SEED!$F203), SEED!$H203), SEED!$J203))</f>
        <v>5-1003.01</v>
      </c>
      <c r="D202" s="92" t="str">
        <f>IF(EXACT($B202, ""), "", IF(EXACT(SEED!$K203, ""), IF(EXACT(SEED!$I203, ""), IF(EXACT(SEED!$G203, ""), IF(EXACT(SEED!$E203, ""), IF(EXACT(SEED!$C203, ""), "", SEED!$C203), SEED!$E203), SEED!$G203), SEED!$I203), SEED!$K203))</f>
        <v>Purchase - Material (IDR)</v>
      </c>
    </row>
    <row r="203" spans="2:4" x14ac:dyDescent="0.25">
      <c r="B203" s="94">
        <f>IF(EXACT(SEED!$BB204, ""), "", SEED!$BA204)</f>
        <v>65000000000194</v>
      </c>
      <c r="C203" s="92" t="str">
        <f>IF(EXACT($B203, ""), "", IF(EXACT(SEED!$J204, ""), IF(EXACT(SEED!$H204, ""), IF(EXACT(SEED!$F204, ""), IF(EXACT(SEED!$D204, ""), IF(EXACT(SEED!$B204, ""), "", SEED!$B204), SEED!$D204), SEED!$F204), SEED!$H204), SEED!$J204))</f>
        <v>5-1004</v>
      </c>
      <c r="D203" s="92" t="str">
        <f>IF(EXACT($B203, ""), "", IF(EXACT(SEED!$K204, ""), IF(EXACT(SEED!$I204, ""), IF(EXACT(SEED!$G204, ""), IF(EXACT(SEED!$E204, ""), IF(EXACT(SEED!$C204, ""), "", SEED!$C204), SEED!$E204), SEED!$G204), SEED!$I204), SEED!$K204))</f>
        <v>Purchase - Supplies</v>
      </c>
    </row>
    <row r="204" spans="2:4" x14ac:dyDescent="0.25">
      <c r="B204" s="94">
        <f>IF(EXACT(SEED!$BB205, ""), "", SEED!$BA205)</f>
        <v>65000000000195</v>
      </c>
      <c r="C204" s="92" t="str">
        <f>IF(EXACT($B204, ""), "", IF(EXACT(SEED!$J205, ""), IF(EXACT(SEED!$H205, ""), IF(EXACT(SEED!$F205, ""), IF(EXACT(SEED!$D205, ""), IF(EXACT(SEED!$B205, ""), "", SEED!$B205), SEED!$D205), SEED!$F205), SEED!$H205), SEED!$J205))</f>
        <v>5-1004.01</v>
      </c>
      <c r="D204" s="92" t="str">
        <f>IF(EXACT($B204, ""), "", IF(EXACT(SEED!$K205, ""), IF(EXACT(SEED!$I205, ""), IF(EXACT(SEED!$G205, ""), IF(EXACT(SEED!$E205, ""), IF(EXACT(SEED!$C205, ""), "", SEED!$C205), SEED!$E205), SEED!$G205), SEED!$I205), SEED!$K205))</f>
        <v>Purchase - Supplies (IDR)</v>
      </c>
    </row>
    <row r="205" spans="2:4" x14ac:dyDescent="0.25">
      <c r="B205" s="94">
        <f>IF(EXACT(SEED!$BB206, ""), "", SEED!$BA206)</f>
        <v>65000000000196</v>
      </c>
      <c r="C205" s="92" t="str">
        <f>IF(EXACT($B205, ""), "", IF(EXACT(SEED!$J206, ""), IF(EXACT(SEED!$H206, ""), IF(EXACT(SEED!$F206, ""), IF(EXACT(SEED!$D206, ""), IF(EXACT(SEED!$B206, ""), "", SEED!$B206), SEED!$D206), SEED!$F206), SEED!$H206), SEED!$J206))</f>
        <v>5-1005</v>
      </c>
      <c r="D205" s="92" t="str">
        <f>IF(EXACT($B205, ""), "", IF(EXACT(SEED!$K206, ""), IF(EXACT(SEED!$I206, ""), IF(EXACT(SEED!$G206, ""), IF(EXACT(SEED!$E206, ""), IF(EXACT(SEED!$C206, ""), "", SEED!$C206), SEED!$E206), SEED!$G206), SEED!$I206), SEED!$K206))</f>
        <v>Ending Balance - Material</v>
      </c>
    </row>
    <row r="206" spans="2:4" x14ac:dyDescent="0.25">
      <c r="B206" s="94">
        <f>IF(EXACT(SEED!$BB207, ""), "", SEED!$BA207)</f>
        <v>65000000000197</v>
      </c>
      <c r="C206" s="92" t="str">
        <f>IF(EXACT($B206, ""), "", IF(EXACT(SEED!$J207, ""), IF(EXACT(SEED!$H207, ""), IF(EXACT(SEED!$F207, ""), IF(EXACT(SEED!$D207, ""), IF(EXACT(SEED!$B207, ""), "", SEED!$B207), SEED!$D207), SEED!$F207), SEED!$H207), SEED!$J207))</f>
        <v>5-1005.01</v>
      </c>
      <c r="D206" s="92" t="str">
        <f>IF(EXACT($B206, ""), "", IF(EXACT(SEED!$K207, ""), IF(EXACT(SEED!$I207, ""), IF(EXACT(SEED!$G207, ""), IF(EXACT(SEED!$E207, ""), IF(EXACT(SEED!$C207, ""), "", SEED!$C207), SEED!$E207), SEED!$G207), SEED!$I207), SEED!$K207))</f>
        <v>Ending Balance - Material (IDR)</v>
      </c>
    </row>
    <row r="207" spans="2:4" x14ac:dyDescent="0.25">
      <c r="B207" s="94">
        <f>IF(EXACT(SEED!$BB208, ""), "", SEED!$BA208)</f>
        <v>65000000000198</v>
      </c>
      <c r="C207" s="92" t="str">
        <f>IF(EXACT($B207, ""), "", IF(EXACT(SEED!$J208, ""), IF(EXACT(SEED!$H208, ""), IF(EXACT(SEED!$F208, ""), IF(EXACT(SEED!$D208, ""), IF(EXACT(SEED!$B208, ""), "", SEED!$B208), SEED!$D208), SEED!$F208), SEED!$H208), SEED!$J208))</f>
        <v>5-1006</v>
      </c>
      <c r="D207" s="92" t="str">
        <f>IF(EXACT($B207, ""), "", IF(EXACT(SEED!$K208, ""), IF(EXACT(SEED!$I208, ""), IF(EXACT(SEED!$G208, ""), IF(EXACT(SEED!$E208, ""), IF(EXACT(SEED!$C208, ""), "", SEED!$C208), SEED!$E208), SEED!$G208), SEED!$I208), SEED!$K208))</f>
        <v>Ending Balance - Supplies</v>
      </c>
    </row>
    <row r="208" spans="2:4" x14ac:dyDescent="0.25">
      <c r="B208" s="94">
        <f>IF(EXACT(SEED!$BB209, ""), "", SEED!$BA209)</f>
        <v>65000000000199</v>
      </c>
      <c r="C208" s="92" t="str">
        <f>IF(EXACT($B208, ""), "", IF(EXACT(SEED!$J209, ""), IF(EXACT(SEED!$H209, ""), IF(EXACT(SEED!$F209, ""), IF(EXACT(SEED!$D209, ""), IF(EXACT(SEED!$B209, ""), "", SEED!$B209), SEED!$D209), SEED!$F209), SEED!$H209), SEED!$J209))</f>
        <v>5-1006.01</v>
      </c>
      <c r="D208" s="92" t="str">
        <f>IF(EXACT($B208, ""), "", IF(EXACT(SEED!$K209, ""), IF(EXACT(SEED!$I209, ""), IF(EXACT(SEED!$G209, ""), IF(EXACT(SEED!$E209, ""), IF(EXACT(SEED!$C209, ""), "", SEED!$C209), SEED!$E209), SEED!$G209), SEED!$I209), SEED!$K209))</f>
        <v>Ending Balance - Supplies (IDR)</v>
      </c>
    </row>
    <row r="209" spans="2:4" x14ac:dyDescent="0.25">
      <c r="B209" s="94">
        <f>IF(EXACT(SEED!$BB210, ""), "", SEED!$BA210)</f>
        <v>65000000000200</v>
      </c>
      <c r="C209" s="92" t="str">
        <f>IF(EXACT($B209, ""), "", IF(EXACT(SEED!$J210, ""), IF(EXACT(SEED!$H210, ""), IF(EXACT(SEED!$F210, ""), IF(EXACT(SEED!$D210, ""), IF(EXACT(SEED!$B210, ""), "", SEED!$B210), SEED!$D210), SEED!$F210), SEED!$H210), SEED!$J210))</f>
        <v>5-1007</v>
      </c>
      <c r="D209" s="92" t="str">
        <f>IF(EXACT($B209, ""), "", IF(EXACT(SEED!$K210, ""), IF(EXACT(SEED!$I210, ""), IF(EXACT(SEED!$G210, ""), IF(EXACT(SEED!$E210, ""), IF(EXACT(SEED!$C210, ""), "", SEED!$C210), SEED!$E210), SEED!$G210), SEED!$I210), SEED!$K210))</f>
        <v>Material Used</v>
      </c>
    </row>
    <row r="210" spans="2:4" x14ac:dyDescent="0.25">
      <c r="B210" s="94">
        <f>IF(EXACT(SEED!$BB211, ""), "", SEED!$BA211)</f>
        <v>65000000000201</v>
      </c>
      <c r="C210" s="92" t="str">
        <f>IF(EXACT($B210, ""), "", IF(EXACT(SEED!$J211, ""), IF(EXACT(SEED!$H211, ""), IF(EXACT(SEED!$F211, ""), IF(EXACT(SEED!$D211, ""), IF(EXACT(SEED!$B211, ""), "", SEED!$B211), SEED!$D211), SEED!$F211), SEED!$H211), SEED!$J211))</f>
        <v>5-1007.01</v>
      </c>
      <c r="D210" s="92" t="str">
        <f>IF(EXACT($B210, ""), "", IF(EXACT(SEED!$K211, ""), IF(EXACT(SEED!$I211, ""), IF(EXACT(SEED!$G211, ""), IF(EXACT(SEED!$E211, ""), IF(EXACT(SEED!$C211, ""), "", SEED!$C211), SEED!$E211), SEED!$G211), SEED!$I211), SEED!$K211))</f>
        <v>Material Used (IDR)</v>
      </c>
    </row>
    <row r="211" spans="2:4" x14ac:dyDescent="0.25">
      <c r="B211" s="94">
        <f>IF(EXACT(SEED!$BB212, ""), "", SEED!$BA212)</f>
        <v>65000000000202</v>
      </c>
      <c r="C211" s="92" t="str">
        <f>IF(EXACT($B211, ""), "", IF(EXACT(SEED!$J212, ""), IF(EXACT(SEED!$H212, ""), IF(EXACT(SEED!$F212, ""), IF(EXACT(SEED!$D212, ""), IF(EXACT(SEED!$B212, ""), "", SEED!$B212), SEED!$D212), SEED!$F212), SEED!$H212), SEED!$J212))</f>
        <v>5-1008</v>
      </c>
      <c r="D211" s="92" t="str">
        <f>IF(EXACT($B211, ""), "", IF(EXACT(SEED!$K212, ""), IF(EXACT(SEED!$I212, ""), IF(EXACT(SEED!$G212, ""), IF(EXACT(SEED!$E212, ""), IF(EXACT(SEED!$C212, ""), "", SEED!$C212), SEED!$E212), SEED!$G212), SEED!$I212), SEED!$K212))</f>
        <v>Supplies Used</v>
      </c>
    </row>
    <row r="212" spans="2:4" x14ac:dyDescent="0.25">
      <c r="B212" s="94">
        <f>IF(EXACT(SEED!$BB213, ""), "", SEED!$BA213)</f>
        <v>65000000000203</v>
      </c>
      <c r="C212" s="92" t="str">
        <f>IF(EXACT($B212, ""), "", IF(EXACT(SEED!$J213, ""), IF(EXACT(SEED!$H213, ""), IF(EXACT(SEED!$F213, ""), IF(EXACT(SEED!$D213, ""), IF(EXACT(SEED!$B213, ""), "", SEED!$B213), SEED!$D213), SEED!$F213), SEED!$H213), SEED!$J213))</f>
        <v>5-1008.01</v>
      </c>
      <c r="D212" s="92" t="str">
        <f>IF(EXACT($B212, ""), "", IF(EXACT(SEED!$K213, ""), IF(EXACT(SEED!$I213, ""), IF(EXACT(SEED!$G213, ""), IF(EXACT(SEED!$E213, ""), IF(EXACT(SEED!$C213, ""), "", SEED!$C213), SEED!$E213), SEED!$G213), SEED!$I213), SEED!$K213))</f>
        <v>Supplies Used (IDR)</v>
      </c>
    </row>
    <row r="213" spans="2:4" x14ac:dyDescent="0.25">
      <c r="B213" s="94">
        <f>IF(EXACT(SEED!$BB214, ""), "", SEED!$BA214)</f>
        <v>65000000000204</v>
      </c>
      <c r="C213" s="92" t="str">
        <f>IF(EXACT($B213, ""), "", IF(EXACT(SEED!$J214, ""), IF(EXACT(SEED!$H214, ""), IF(EXACT(SEED!$F214, ""), IF(EXACT(SEED!$D214, ""), IF(EXACT(SEED!$B214, ""), "", SEED!$B214), SEED!$D214), SEED!$F214), SEED!$H214), SEED!$J214))</f>
        <v>5-1009</v>
      </c>
      <c r="D213" s="92" t="str">
        <f>IF(EXACT($B213, ""), "", IF(EXACT(SEED!$K214, ""), IF(EXACT(SEED!$I214, ""), IF(EXACT(SEED!$G214, ""), IF(EXACT(SEED!$E214, ""), IF(EXACT(SEED!$C214, ""), "", SEED!$C214), SEED!$E214), SEED!$G214), SEED!$I214), SEED!$K214))</f>
        <v>Material Other</v>
      </c>
    </row>
    <row r="214" spans="2:4" x14ac:dyDescent="0.25">
      <c r="B214" s="94">
        <f>IF(EXACT(SEED!$BB215, ""), "", SEED!$BA215)</f>
        <v>65000000000205</v>
      </c>
      <c r="C214" s="92" t="str">
        <f>IF(EXACT($B214, ""), "", IF(EXACT(SEED!$J215, ""), IF(EXACT(SEED!$H215, ""), IF(EXACT(SEED!$F215, ""), IF(EXACT(SEED!$D215, ""), IF(EXACT(SEED!$B215, ""), "", SEED!$B215), SEED!$D215), SEED!$F215), SEED!$H215), SEED!$J215))</f>
        <v>5-1009.01</v>
      </c>
      <c r="D214" s="92" t="str">
        <f>IF(EXACT($B214, ""), "", IF(EXACT(SEED!$K215, ""), IF(EXACT(SEED!$I215, ""), IF(EXACT(SEED!$G215, ""), IF(EXACT(SEED!$E215, ""), IF(EXACT(SEED!$C215, ""), "", SEED!$C215), SEED!$E215), SEED!$G215), SEED!$I215), SEED!$K215))</f>
        <v>Material Other (IDR)</v>
      </c>
    </row>
    <row r="215" spans="2:4" x14ac:dyDescent="0.25">
      <c r="B215" s="94">
        <f>IF(EXACT(SEED!$BB216, ""), "", SEED!$BA216)</f>
        <v>65000000000206</v>
      </c>
      <c r="C215" s="92" t="str">
        <f>IF(EXACT($B215, ""), "", IF(EXACT(SEED!$J216, ""), IF(EXACT(SEED!$H216, ""), IF(EXACT(SEED!$F216, ""), IF(EXACT(SEED!$D216, ""), IF(EXACT(SEED!$B216, ""), "", SEED!$B216), SEED!$D216), SEED!$F216), SEED!$H216), SEED!$J216))</f>
        <v>5-1010</v>
      </c>
      <c r="D215" s="92" t="str">
        <f>IF(EXACT($B215, ""), "", IF(EXACT(SEED!$K216, ""), IF(EXACT(SEED!$I216, ""), IF(EXACT(SEED!$G216, ""), IF(EXACT(SEED!$E216, ""), IF(EXACT(SEED!$C216, ""), "", SEED!$C216), SEED!$E216), SEED!$G216), SEED!$I216), SEED!$K216))</f>
        <v>IT Hardware Purchase</v>
      </c>
    </row>
    <row r="216" spans="2:4" x14ac:dyDescent="0.25">
      <c r="B216" s="94">
        <f>IF(EXACT(SEED!$BB217, ""), "", SEED!$BA217)</f>
        <v>65000000000207</v>
      </c>
      <c r="C216" s="92" t="str">
        <f>IF(EXACT($B216, ""), "", IF(EXACT(SEED!$J217, ""), IF(EXACT(SEED!$H217, ""), IF(EXACT(SEED!$F217, ""), IF(EXACT(SEED!$D217, ""), IF(EXACT(SEED!$B217, ""), "", SEED!$B217), SEED!$D217), SEED!$F217), SEED!$H217), SEED!$J217))</f>
        <v>5-1010.01</v>
      </c>
      <c r="D216" s="92" t="str">
        <f>IF(EXACT($B216, ""), "", IF(EXACT(SEED!$K217, ""), IF(EXACT(SEED!$I217, ""), IF(EXACT(SEED!$G217, ""), IF(EXACT(SEED!$E217, ""), IF(EXACT(SEED!$C217, ""), "", SEED!$C217), SEED!$E217), SEED!$G217), SEED!$I217), SEED!$K217))</f>
        <v>IT Hardware Purchase (IDR)</v>
      </c>
    </row>
    <row r="217" spans="2:4" x14ac:dyDescent="0.25">
      <c r="B217" s="94">
        <f>IF(EXACT(SEED!$BB218, ""), "", SEED!$BA218)</f>
        <v>65000000000208</v>
      </c>
      <c r="C217" s="92" t="str">
        <f>IF(EXACT($B217, ""), "", IF(EXACT(SEED!$J218, ""), IF(EXACT(SEED!$H218, ""), IF(EXACT(SEED!$F218, ""), IF(EXACT(SEED!$D218, ""), IF(EXACT(SEED!$B218, ""), "", SEED!$B218), SEED!$D218), SEED!$F218), SEED!$H218), SEED!$J218))</f>
        <v>5-1099</v>
      </c>
      <c r="D217" s="92" t="str">
        <f>IF(EXACT($B217, ""), "", IF(EXACT(SEED!$K218, ""), IF(EXACT(SEED!$I218, ""), IF(EXACT(SEED!$G218, ""), IF(EXACT(SEED!$E218, ""), IF(EXACT(SEED!$C218, ""), "", SEED!$C218), SEED!$E218), SEED!$G218), SEED!$I218), SEED!$K218))</f>
        <v>Other Cost of Material</v>
      </c>
    </row>
    <row r="218" spans="2:4" x14ac:dyDescent="0.25">
      <c r="B218" s="94">
        <f>IF(EXACT(SEED!$BB219, ""), "", SEED!$BA219)</f>
        <v>65000000000209</v>
      </c>
      <c r="C218" s="92" t="str">
        <f>IF(EXACT($B218, ""), "", IF(EXACT(SEED!$J219, ""), IF(EXACT(SEED!$H219, ""), IF(EXACT(SEED!$F219, ""), IF(EXACT(SEED!$D219, ""), IF(EXACT(SEED!$B219, ""), "", SEED!$B219), SEED!$D219), SEED!$F219), SEED!$H219), SEED!$J219))</f>
        <v>5-1099.01</v>
      </c>
      <c r="D218" s="92" t="str">
        <f>IF(EXACT($B218, ""), "", IF(EXACT(SEED!$K219, ""), IF(EXACT(SEED!$I219, ""), IF(EXACT(SEED!$G219, ""), IF(EXACT(SEED!$E219, ""), IF(EXACT(SEED!$C219, ""), "", SEED!$C219), SEED!$E219), SEED!$G219), SEED!$I219), SEED!$K219))</f>
        <v>Other Cost of Material (IDR)</v>
      </c>
    </row>
    <row r="219" spans="2:4" x14ac:dyDescent="0.25">
      <c r="B219" s="94">
        <f>IF(EXACT(SEED!$BB220, ""), "", SEED!$BA220)</f>
        <v>65000000000210</v>
      </c>
      <c r="C219" s="92" t="str">
        <f>IF(EXACT($B219, ""), "", IF(EXACT(SEED!$J220, ""), IF(EXACT(SEED!$H220, ""), IF(EXACT(SEED!$F220, ""), IF(EXACT(SEED!$D220, ""), IF(EXACT(SEED!$B220, ""), "", SEED!$B220), SEED!$D220), SEED!$F220), SEED!$H220), SEED!$J220))</f>
        <v>5-2000</v>
      </c>
      <c r="D219" s="92" t="str">
        <f>IF(EXACT($B219, ""), "", IF(EXACT(SEED!$K220, ""), IF(EXACT(SEED!$I220, ""), IF(EXACT(SEED!$G220, ""), IF(EXACT(SEED!$E220, ""), IF(EXACT(SEED!$C220, ""), "", SEED!$C220), SEED!$E220), SEED!$G220), SEED!$I220), SEED!$K220))</f>
        <v>Cost of Labor</v>
      </c>
    </row>
    <row r="220" spans="2:4" x14ac:dyDescent="0.25">
      <c r="B220" s="94">
        <f>IF(EXACT(SEED!$BB221, ""), "", SEED!$BA221)</f>
        <v>65000000000211</v>
      </c>
      <c r="C220" s="92" t="str">
        <f>IF(EXACT($B220, ""), "", IF(EXACT(SEED!$J221, ""), IF(EXACT(SEED!$H221, ""), IF(EXACT(SEED!$F221, ""), IF(EXACT(SEED!$D221, ""), IF(EXACT(SEED!$B221, ""), "", SEED!$B221), SEED!$D221), SEED!$F221), SEED!$H221), SEED!$J221))</f>
        <v>5-2001</v>
      </c>
      <c r="D220" s="92" t="str">
        <f>IF(EXACT($B220, ""), "", IF(EXACT(SEED!$K221, ""), IF(EXACT(SEED!$I221, ""), IF(EXACT(SEED!$G221, ""), IF(EXACT(SEED!$E221, ""), IF(EXACT(SEED!$C221, ""), "", SEED!$C221), SEED!$E221), SEED!$G221), SEED!$I221), SEED!$K221))</f>
        <v>Salary Daily Worker</v>
      </c>
    </row>
    <row r="221" spans="2:4" x14ac:dyDescent="0.25">
      <c r="B221" s="94">
        <f>IF(EXACT(SEED!$BB222, ""), "", SEED!$BA222)</f>
        <v>65000000000212</v>
      </c>
      <c r="C221" s="92" t="str">
        <f>IF(EXACT($B221, ""), "", IF(EXACT(SEED!$J222, ""), IF(EXACT(SEED!$H222, ""), IF(EXACT(SEED!$F222, ""), IF(EXACT(SEED!$D222, ""), IF(EXACT(SEED!$B222, ""), "", SEED!$B222), SEED!$D222), SEED!$F222), SEED!$H222), SEED!$J222))</f>
        <v>5-2001.01</v>
      </c>
      <c r="D221" s="92" t="str">
        <f>IF(EXACT($B221, ""), "", IF(EXACT(SEED!$K222, ""), IF(EXACT(SEED!$I222, ""), IF(EXACT(SEED!$G222, ""), IF(EXACT(SEED!$E222, ""), IF(EXACT(SEED!$C222, ""), "", SEED!$C222), SEED!$E222), SEED!$G222), SEED!$I222), SEED!$K222))</f>
        <v>Salary Daily Worker (IDR)</v>
      </c>
    </row>
    <row r="222" spans="2:4" x14ac:dyDescent="0.25">
      <c r="B222" s="94">
        <f>IF(EXACT(SEED!$BB223, ""), "", SEED!$BA223)</f>
        <v>65000000000213</v>
      </c>
      <c r="C222" s="92" t="str">
        <f>IF(EXACT($B222, ""), "", IF(EXACT(SEED!$J223, ""), IF(EXACT(SEED!$H223, ""), IF(EXACT(SEED!$F223, ""), IF(EXACT(SEED!$D223, ""), IF(EXACT(SEED!$B223, ""), "", SEED!$B223), SEED!$D223), SEED!$F223), SEED!$H223), SEED!$J223))</f>
        <v>5-2002</v>
      </c>
      <c r="D222" s="92" t="str">
        <f>IF(EXACT($B222, ""), "", IF(EXACT(SEED!$K223, ""), IF(EXACT(SEED!$I223, ""), IF(EXACT(SEED!$G223, ""), IF(EXACT(SEED!$E223, ""), IF(EXACT(SEED!$C223, ""), "", SEED!$C223), SEED!$E223), SEED!$G223), SEED!$I223), SEED!$K223))</f>
        <v>Salary Direct</v>
      </c>
    </row>
    <row r="223" spans="2:4" x14ac:dyDescent="0.25">
      <c r="B223" s="94">
        <f>IF(EXACT(SEED!$BB224, ""), "", SEED!$BA224)</f>
        <v>65000000000214</v>
      </c>
      <c r="C223" s="92" t="str">
        <f>IF(EXACT($B223, ""), "", IF(EXACT(SEED!$J224, ""), IF(EXACT(SEED!$H224, ""), IF(EXACT(SEED!$F224, ""), IF(EXACT(SEED!$D224, ""), IF(EXACT(SEED!$B224, ""), "", SEED!$B224), SEED!$D224), SEED!$F224), SEED!$H224), SEED!$J224))</f>
        <v>5-2002.01</v>
      </c>
      <c r="D223" s="92" t="str">
        <f>IF(EXACT($B223, ""), "", IF(EXACT(SEED!$K224, ""), IF(EXACT(SEED!$I224, ""), IF(EXACT(SEED!$G224, ""), IF(EXACT(SEED!$E224, ""), IF(EXACT(SEED!$C224, ""), "", SEED!$C224), SEED!$E224), SEED!$G224), SEED!$I224), SEED!$K224))</f>
        <v>Salary Direct (IDR)</v>
      </c>
    </row>
    <row r="224" spans="2:4" x14ac:dyDescent="0.25">
      <c r="B224" s="94">
        <f>IF(EXACT(SEED!$BB225, ""), "", SEED!$BA225)</f>
        <v>65000000000215</v>
      </c>
      <c r="C224" s="92" t="str">
        <f>IF(EXACT($B224, ""), "", IF(EXACT(SEED!$J225, ""), IF(EXACT(SEED!$H225, ""), IF(EXACT(SEED!$F225, ""), IF(EXACT(SEED!$D225, ""), IF(EXACT(SEED!$B225, ""), "", SEED!$B225), SEED!$D225), SEED!$F225), SEED!$H225), SEED!$J225))</f>
        <v>5-2003</v>
      </c>
      <c r="D224" s="92" t="str">
        <f>IF(EXACT($B224, ""), "", IF(EXACT(SEED!$K225, ""), IF(EXACT(SEED!$I225, ""), IF(EXACT(SEED!$G225, ""), IF(EXACT(SEED!$E225, ""), IF(EXACT(SEED!$C225, ""), "", SEED!$C225), SEED!$E225), SEED!$G225), SEED!$I225), SEED!$K225))</f>
        <v>Salary Indirect</v>
      </c>
    </row>
    <row r="225" spans="2:4" x14ac:dyDescent="0.25">
      <c r="B225" s="94">
        <f>IF(EXACT(SEED!$BB226, ""), "", SEED!$BA226)</f>
        <v>65000000000216</v>
      </c>
      <c r="C225" s="92" t="str">
        <f>IF(EXACT($B225, ""), "", IF(EXACT(SEED!$J226, ""), IF(EXACT(SEED!$H226, ""), IF(EXACT(SEED!$F226, ""), IF(EXACT(SEED!$D226, ""), IF(EXACT(SEED!$B226, ""), "", SEED!$B226), SEED!$D226), SEED!$F226), SEED!$H226), SEED!$J226))</f>
        <v>5-2003.01</v>
      </c>
      <c r="D225" s="92" t="str">
        <f>IF(EXACT($B225, ""), "", IF(EXACT(SEED!$K226, ""), IF(EXACT(SEED!$I226, ""), IF(EXACT(SEED!$G226, ""), IF(EXACT(SEED!$E226, ""), IF(EXACT(SEED!$C226, ""), "", SEED!$C226), SEED!$E226), SEED!$G226), SEED!$I226), SEED!$K226))</f>
        <v>Salary Indirect (IDR)</v>
      </c>
    </row>
    <row r="226" spans="2:4" x14ac:dyDescent="0.25">
      <c r="B226" s="94">
        <f>IF(EXACT(SEED!$BB227, ""), "", SEED!$BA227)</f>
        <v>65000000000217</v>
      </c>
      <c r="C226" s="92" t="str">
        <f>IF(EXACT($B226, ""), "", IF(EXACT(SEED!$J227, ""), IF(EXACT(SEED!$H227, ""), IF(EXACT(SEED!$F227, ""), IF(EXACT(SEED!$D227, ""), IF(EXACT(SEED!$B227, ""), "", SEED!$B227), SEED!$D227), SEED!$F227), SEED!$H227), SEED!$J227))</f>
        <v>5-2004</v>
      </c>
      <c r="D226" s="92" t="str">
        <f>IF(EXACT($B226, ""), "", IF(EXACT(SEED!$K227, ""), IF(EXACT(SEED!$I227, ""), IF(EXACT(SEED!$G227, ""), IF(EXACT(SEED!$E227, ""), IF(EXACT(SEED!$C227, ""), "", SEED!$C227), SEED!$E227), SEED!$G227), SEED!$I227), SEED!$K227))</f>
        <v>Overtime Direct</v>
      </c>
    </row>
    <row r="227" spans="2:4" x14ac:dyDescent="0.25">
      <c r="B227" s="94">
        <f>IF(EXACT(SEED!$BB228, ""), "", SEED!$BA228)</f>
        <v>65000000000218</v>
      </c>
      <c r="C227" s="92" t="str">
        <f>IF(EXACT($B227, ""), "", IF(EXACT(SEED!$J228, ""), IF(EXACT(SEED!$H228, ""), IF(EXACT(SEED!$F228, ""), IF(EXACT(SEED!$D228, ""), IF(EXACT(SEED!$B228, ""), "", SEED!$B228), SEED!$D228), SEED!$F228), SEED!$H228), SEED!$J228))</f>
        <v>5-2004.01</v>
      </c>
      <c r="D227" s="92" t="str">
        <f>IF(EXACT($B227, ""), "", IF(EXACT(SEED!$K228, ""), IF(EXACT(SEED!$I228, ""), IF(EXACT(SEED!$G228, ""), IF(EXACT(SEED!$E228, ""), IF(EXACT(SEED!$C228, ""), "", SEED!$C228), SEED!$E228), SEED!$G228), SEED!$I228), SEED!$K228))</f>
        <v>Overtime Direct (IDR)</v>
      </c>
    </row>
    <row r="228" spans="2:4" x14ac:dyDescent="0.25">
      <c r="B228" s="94">
        <f>IF(EXACT(SEED!$BB229, ""), "", SEED!$BA229)</f>
        <v>65000000000219</v>
      </c>
      <c r="C228" s="92" t="str">
        <f>IF(EXACT($B228, ""), "", IF(EXACT(SEED!$J229, ""), IF(EXACT(SEED!$H229, ""), IF(EXACT(SEED!$F229, ""), IF(EXACT(SEED!$D229, ""), IF(EXACT(SEED!$B229, ""), "", SEED!$B229), SEED!$D229), SEED!$F229), SEED!$H229), SEED!$J229))</f>
        <v>5-2005</v>
      </c>
      <c r="D228" s="92" t="str">
        <f>IF(EXACT($B228, ""), "", IF(EXACT(SEED!$K229, ""), IF(EXACT(SEED!$I229, ""), IF(EXACT(SEED!$G229, ""), IF(EXACT(SEED!$E229, ""), IF(EXACT(SEED!$C229, ""), "", SEED!$C229), SEED!$E229), SEED!$G229), SEED!$I229), SEED!$K229))</f>
        <v>Overtime Indirect</v>
      </c>
    </row>
    <row r="229" spans="2:4" x14ac:dyDescent="0.25">
      <c r="B229" s="94">
        <f>IF(EXACT(SEED!$BB230, ""), "", SEED!$BA230)</f>
        <v>65000000000220</v>
      </c>
      <c r="C229" s="92" t="str">
        <f>IF(EXACT($B229, ""), "", IF(EXACT(SEED!$J230, ""), IF(EXACT(SEED!$H230, ""), IF(EXACT(SEED!$F230, ""), IF(EXACT(SEED!$D230, ""), IF(EXACT(SEED!$B230, ""), "", SEED!$B230), SEED!$D230), SEED!$F230), SEED!$H230), SEED!$J230))</f>
        <v>5-2005.01</v>
      </c>
      <c r="D229" s="92" t="str">
        <f>IF(EXACT($B229, ""), "", IF(EXACT(SEED!$K230, ""), IF(EXACT(SEED!$I230, ""), IF(EXACT(SEED!$G230, ""), IF(EXACT(SEED!$E230, ""), IF(EXACT(SEED!$C230, ""), "", SEED!$C230), SEED!$E230), SEED!$G230), SEED!$I230), SEED!$K230))</f>
        <v>Overtime Indirect (IDR)</v>
      </c>
    </row>
    <row r="230" spans="2:4" x14ac:dyDescent="0.25">
      <c r="B230" s="94">
        <f>IF(EXACT(SEED!$BB231, ""), "", SEED!$BA231)</f>
        <v>65000000000221</v>
      </c>
      <c r="C230" s="92" t="str">
        <f>IF(EXACT($B230, ""), "", IF(EXACT(SEED!$J231, ""), IF(EXACT(SEED!$H231, ""), IF(EXACT(SEED!$F231, ""), IF(EXACT(SEED!$D231, ""), IF(EXACT(SEED!$B231, ""), "", SEED!$B231), SEED!$D231), SEED!$F231), SEED!$H231), SEED!$J231))</f>
        <v>5-2006</v>
      </c>
      <c r="D230" s="92" t="str">
        <f>IF(EXACT($B230, ""), "", IF(EXACT(SEED!$K231, ""), IF(EXACT(SEED!$I231, ""), IF(EXACT(SEED!$G231, ""), IF(EXACT(SEED!$E231, ""), IF(EXACT(SEED!$C231, ""), "", SEED!$C231), SEED!$E231), SEED!$G231), SEED!$I231), SEED!$K231))</f>
        <v>Jamsostek Direct</v>
      </c>
    </row>
    <row r="231" spans="2:4" x14ac:dyDescent="0.25">
      <c r="B231" s="94">
        <f>IF(EXACT(SEED!$BB232, ""), "", SEED!$BA232)</f>
        <v>65000000000222</v>
      </c>
      <c r="C231" s="92" t="str">
        <f>IF(EXACT($B231, ""), "", IF(EXACT(SEED!$J232, ""), IF(EXACT(SEED!$H232, ""), IF(EXACT(SEED!$F232, ""), IF(EXACT(SEED!$D232, ""), IF(EXACT(SEED!$B232, ""), "", SEED!$B232), SEED!$D232), SEED!$F232), SEED!$H232), SEED!$J232))</f>
        <v>5-2006.01</v>
      </c>
      <c r="D231" s="92" t="str">
        <f>IF(EXACT($B231, ""), "", IF(EXACT(SEED!$K232, ""), IF(EXACT(SEED!$I232, ""), IF(EXACT(SEED!$G232, ""), IF(EXACT(SEED!$E232, ""), IF(EXACT(SEED!$C232, ""), "", SEED!$C232), SEED!$E232), SEED!$G232), SEED!$I232), SEED!$K232))</f>
        <v>Jamsostek Direct (IDR)</v>
      </c>
    </row>
    <row r="232" spans="2:4" x14ac:dyDescent="0.25">
      <c r="B232" s="94">
        <f>IF(EXACT(SEED!$BB233, ""), "", SEED!$BA233)</f>
        <v>65000000000223</v>
      </c>
      <c r="C232" s="92" t="str">
        <f>IF(EXACT($B232, ""), "", IF(EXACT(SEED!$J233, ""), IF(EXACT(SEED!$H233, ""), IF(EXACT(SEED!$F233, ""), IF(EXACT(SEED!$D233, ""), IF(EXACT(SEED!$B233, ""), "", SEED!$B233), SEED!$D233), SEED!$F233), SEED!$H233), SEED!$J233))</f>
        <v>5-2007</v>
      </c>
      <c r="D232" s="92" t="str">
        <f>IF(EXACT($B232, ""), "", IF(EXACT(SEED!$K233, ""), IF(EXACT(SEED!$I233, ""), IF(EXACT(SEED!$G233, ""), IF(EXACT(SEED!$E233, ""), IF(EXACT(SEED!$C233, ""), "", SEED!$C233), SEED!$E233), SEED!$G233), SEED!$I233), SEED!$K233))</f>
        <v>Jamsostek Indirect</v>
      </c>
    </row>
    <row r="233" spans="2:4" x14ac:dyDescent="0.25">
      <c r="B233" s="94">
        <f>IF(EXACT(SEED!$BB234, ""), "", SEED!$BA234)</f>
        <v>65000000000224</v>
      </c>
      <c r="C233" s="92" t="str">
        <f>IF(EXACT($B233, ""), "", IF(EXACT(SEED!$J234, ""), IF(EXACT(SEED!$H234, ""), IF(EXACT(SEED!$F234, ""), IF(EXACT(SEED!$D234, ""), IF(EXACT(SEED!$B234, ""), "", SEED!$B234), SEED!$D234), SEED!$F234), SEED!$H234), SEED!$J234))</f>
        <v>5-2007.01</v>
      </c>
      <c r="D233" s="92" t="str">
        <f>IF(EXACT($B233, ""), "", IF(EXACT(SEED!$K234, ""), IF(EXACT(SEED!$I234, ""), IF(EXACT(SEED!$G234, ""), IF(EXACT(SEED!$E234, ""), IF(EXACT(SEED!$C234, ""), "", SEED!$C234), SEED!$E234), SEED!$G234), SEED!$I234), SEED!$K234))</f>
        <v>Jamsostek Indirect (IDR)</v>
      </c>
    </row>
    <row r="234" spans="2:4" x14ac:dyDescent="0.25">
      <c r="B234" s="94">
        <f>IF(EXACT(SEED!$BB235, ""), "", SEED!$BA235)</f>
        <v>65000000000225</v>
      </c>
      <c r="C234" s="92" t="str">
        <f>IF(EXACT($B234, ""), "", IF(EXACT(SEED!$J235, ""), IF(EXACT(SEED!$H235, ""), IF(EXACT(SEED!$F235, ""), IF(EXACT(SEED!$D235, ""), IF(EXACT(SEED!$B235, ""), "", SEED!$B235), SEED!$D235), SEED!$F235), SEED!$H235), SEED!$J235))</f>
        <v>5-2008</v>
      </c>
      <c r="D234" s="92" t="str">
        <f>IF(EXACT($B234, ""), "", IF(EXACT(SEED!$K235, ""), IF(EXACT(SEED!$I235, ""), IF(EXACT(SEED!$G235, ""), IF(EXACT(SEED!$E235, ""), IF(EXACT(SEED!$C235, ""), "", SEED!$C235), SEED!$E235), SEED!$G235), SEED!$I235), SEED!$K235))</f>
        <v>Bonus,THR-Direct</v>
      </c>
    </row>
    <row r="235" spans="2:4" x14ac:dyDescent="0.25">
      <c r="B235" s="94">
        <f>IF(EXACT(SEED!$BB236, ""), "", SEED!$BA236)</f>
        <v>65000000000226</v>
      </c>
      <c r="C235" s="92" t="str">
        <f>IF(EXACT($B235, ""), "", IF(EXACT(SEED!$J236, ""), IF(EXACT(SEED!$H236, ""), IF(EXACT(SEED!$F236, ""), IF(EXACT(SEED!$D236, ""), IF(EXACT(SEED!$B236, ""), "", SEED!$B236), SEED!$D236), SEED!$F236), SEED!$H236), SEED!$J236))</f>
        <v>5-2008.01</v>
      </c>
      <c r="D235" s="92" t="str">
        <f>IF(EXACT($B235, ""), "", IF(EXACT(SEED!$K236, ""), IF(EXACT(SEED!$I236, ""), IF(EXACT(SEED!$G236, ""), IF(EXACT(SEED!$E236, ""), IF(EXACT(SEED!$C236, ""), "", SEED!$C236), SEED!$E236), SEED!$G236), SEED!$I236), SEED!$K236))</f>
        <v>Bonus,THR-Direct (IDR)</v>
      </c>
    </row>
    <row r="236" spans="2:4" x14ac:dyDescent="0.25">
      <c r="B236" s="94">
        <f>IF(EXACT(SEED!$BB237, ""), "", SEED!$BA237)</f>
        <v>65000000000227</v>
      </c>
      <c r="C236" s="92" t="str">
        <f>IF(EXACT($B236, ""), "", IF(EXACT(SEED!$J237, ""), IF(EXACT(SEED!$H237, ""), IF(EXACT(SEED!$F237, ""), IF(EXACT(SEED!$D237, ""), IF(EXACT(SEED!$B237, ""), "", SEED!$B237), SEED!$D237), SEED!$F237), SEED!$H237), SEED!$J237))</f>
        <v>5-2009</v>
      </c>
      <c r="D236" s="92" t="str">
        <f>IF(EXACT($B236, ""), "", IF(EXACT(SEED!$K237, ""), IF(EXACT(SEED!$I237, ""), IF(EXACT(SEED!$G237, ""), IF(EXACT(SEED!$E237, ""), IF(EXACT(SEED!$C237, ""), "", SEED!$C237), SEED!$E237), SEED!$G237), SEED!$I237), SEED!$K237))</f>
        <v>Performance Bonus-Direct</v>
      </c>
    </row>
    <row r="237" spans="2:4" x14ac:dyDescent="0.25">
      <c r="B237" s="94">
        <f>IF(EXACT(SEED!$BB238, ""), "", SEED!$BA238)</f>
        <v>65000000000228</v>
      </c>
      <c r="C237" s="92" t="str">
        <f>IF(EXACT($B237, ""), "", IF(EXACT(SEED!$J238, ""), IF(EXACT(SEED!$H238, ""), IF(EXACT(SEED!$F238, ""), IF(EXACT(SEED!$D238, ""), IF(EXACT(SEED!$B238, ""), "", SEED!$B238), SEED!$D238), SEED!$F238), SEED!$H238), SEED!$J238))</f>
        <v>5-2009.01</v>
      </c>
      <c r="D237" s="92" t="str">
        <f>IF(EXACT($B237, ""), "", IF(EXACT(SEED!$K238, ""), IF(EXACT(SEED!$I238, ""), IF(EXACT(SEED!$G238, ""), IF(EXACT(SEED!$E238, ""), IF(EXACT(SEED!$C238, ""), "", SEED!$C238), SEED!$E238), SEED!$G238), SEED!$I238), SEED!$K238))</f>
        <v>Performance Bonus-Direct (IDR)</v>
      </c>
    </row>
    <row r="238" spans="2:4" x14ac:dyDescent="0.25">
      <c r="B238" s="94">
        <f>IF(EXACT(SEED!$BB239, ""), "", SEED!$BA239)</f>
        <v>65000000000229</v>
      </c>
      <c r="C238" s="92" t="str">
        <f>IF(EXACT($B238, ""), "", IF(EXACT(SEED!$J239, ""), IF(EXACT(SEED!$H239, ""), IF(EXACT(SEED!$F239, ""), IF(EXACT(SEED!$D239, ""), IF(EXACT(SEED!$B239, ""), "", SEED!$B239), SEED!$D239), SEED!$F239), SEED!$H239), SEED!$J239))</f>
        <v>5-2010</v>
      </c>
      <c r="D238" s="92" t="str">
        <f>IF(EXACT($B238, ""), "", IF(EXACT(SEED!$K239, ""), IF(EXACT(SEED!$I239, ""), IF(EXACT(SEED!$G239, ""), IF(EXACT(SEED!$E239, ""), IF(EXACT(SEED!$C239, ""), "", SEED!$C239), SEED!$E239), SEED!$G239), SEED!$I239), SEED!$K239))</f>
        <v>Bonus,THR-Indirect</v>
      </c>
    </row>
    <row r="239" spans="2:4" x14ac:dyDescent="0.25">
      <c r="B239" s="94">
        <f>IF(EXACT(SEED!$BB240, ""), "", SEED!$BA240)</f>
        <v>65000000000230</v>
      </c>
      <c r="C239" s="92" t="str">
        <f>IF(EXACT($B239, ""), "", IF(EXACT(SEED!$J240, ""), IF(EXACT(SEED!$H240, ""), IF(EXACT(SEED!$F240, ""), IF(EXACT(SEED!$D240, ""), IF(EXACT(SEED!$B240, ""), "", SEED!$B240), SEED!$D240), SEED!$F240), SEED!$H240), SEED!$J240))</f>
        <v>5-2010.01</v>
      </c>
      <c r="D239" s="92" t="str">
        <f>IF(EXACT($B239, ""), "", IF(EXACT(SEED!$K240, ""), IF(EXACT(SEED!$I240, ""), IF(EXACT(SEED!$G240, ""), IF(EXACT(SEED!$E240, ""), IF(EXACT(SEED!$C240, ""), "", SEED!$C240), SEED!$E240), SEED!$G240), SEED!$I240), SEED!$K240))</f>
        <v>Bonus,THR-Indirect (IDR)</v>
      </c>
    </row>
    <row r="240" spans="2:4" x14ac:dyDescent="0.25">
      <c r="B240" s="94">
        <f>IF(EXACT(SEED!$BB241, ""), "", SEED!$BA241)</f>
        <v>65000000000231</v>
      </c>
      <c r="C240" s="92" t="str">
        <f>IF(EXACT($B240, ""), "", IF(EXACT(SEED!$J241, ""), IF(EXACT(SEED!$H241, ""), IF(EXACT(SEED!$F241, ""), IF(EXACT(SEED!$D241, ""), IF(EXACT(SEED!$B241, ""), "", SEED!$B241), SEED!$D241), SEED!$F241), SEED!$H241), SEED!$J241))</f>
        <v>5-2011</v>
      </c>
      <c r="D240" s="92" t="str">
        <f>IF(EXACT($B240, ""), "", IF(EXACT(SEED!$K241, ""), IF(EXACT(SEED!$I241, ""), IF(EXACT(SEED!$G241, ""), IF(EXACT(SEED!$E241, ""), IF(EXACT(SEED!$C241, ""), "", SEED!$C241), SEED!$E241), SEED!$G241), SEED!$I241), SEED!$K241))</f>
        <v>Performance Bonus-Indirect</v>
      </c>
    </row>
    <row r="241" spans="2:4" x14ac:dyDescent="0.25">
      <c r="B241" s="94">
        <f>IF(EXACT(SEED!$BB242, ""), "", SEED!$BA242)</f>
        <v>65000000000232</v>
      </c>
      <c r="C241" s="92" t="str">
        <f>IF(EXACT($B241, ""), "", IF(EXACT(SEED!$J242, ""), IF(EXACT(SEED!$H242, ""), IF(EXACT(SEED!$F242, ""), IF(EXACT(SEED!$D242, ""), IF(EXACT(SEED!$B242, ""), "", SEED!$B242), SEED!$D242), SEED!$F242), SEED!$H242), SEED!$J242))</f>
        <v>5-2011.01</v>
      </c>
      <c r="D241" s="92" t="str">
        <f>IF(EXACT($B241, ""), "", IF(EXACT(SEED!$K242, ""), IF(EXACT(SEED!$I242, ""), IF(EXACT(SEED!$G242, ""), IF(EXACT(SEED!$E242, ""), IF(EXACT(SEED!$C242, ""), "", SEED!$C242), SEED!$E242), SEED!$G242), SEED!$I242), SEED!$K242))</f>
        <v>Performance Bonus-Indirect (IDR)</v>
      </c>
    </row>
    <row r="242" spans="2:4" x14ac:dyDescent="0.25">
      <c r="B242" s="94">
        <f>IF(EXACT(SEED!$BB243, ""), "", SEED!$BA243)</f>
        <v>65000000000233</v>
      </c>
      <c r="C242" s="92" t="str">
        <f>IF(EXACT($B242, ""), "", IF(EXACT(SEED!$J243, ""), IF(EXACT(SEED!$H243, ""), IF(EXACT(SEED!$F243, ""), IF(EXACT(SEED!$D243, ""), IF(EXACT(SEED!$B243, ""), "", SEED!$B243), SEED!$D243), SEED!$F243), SEED!$H243), SEED!$J243))</f>
        <v>5-2012</v>
      </c>
      <c r="D242" s="92" t="str">
        <f>IF(EXACT($B242, ""), "", IF(EXACT(SEED!$K243, ""), IF(EXACT(SEED!$I243, ""), IF(EXACT(SEED!$G243, ""), IF(EXACT(SEED!$E243, ""), IF(EXACT(SEED!$C243, ""), "", SEED!$C243), SEED!$E243), SEED!$G243), SEED!$I243), SEED!$K243))</f>
        <v>Personal Income Tax-Direct</v>
      </c>
    </row>
    <row r="243" spans="2:4" x14ac:dyDescent="0.25">
      <c r="B243" s="94">
        <f>IF(EXACT(SEED!$BB244, ""), "", SEED!$BA244)</f>
        <v>65000000000234</v>
      </c>
      <c r="C243" s="92" t="str">
        <f>IF(EXACT($B243, ""), "", IF(EXACT(SEED!$J244, ""), IF(EXACT(SEED!$H244, ""), IF(EXACT(SEED!$F244, ""), IF(EXACT(SEED!$D244, ""), IF(EXACT(SEED!$B244, ""), "", SEED!$B244), SEED!$D244), SEED!$F244), SEED!$H244), SEED!$J244))</f>
        <v>5-2012.01</v>
      </c>
      <c r="D243" s="92" t="str">
        <f>IF(EXACT($B243, ""), "", IF(EXACT(SEED!$K244, ""), IF(EXACT(SEED!$I244, ""), IF(EXACT(SEED!$G244, ""), IF(EXACT(SEED!$E244, ""), IF(EXACT(SEED!$C244, ""), "", SEED!$C244), SEED!$E244), SEED!$G244), SEED!$I244), SEED!$K244))</f>
        <v>Personal Income Tax-Direct (IDR)</v>
      </c>
    </row>
    <row r="244" spans="2:4" x14ac:dyDescent="0.25">
      <c r="B244" s="94">
        <f>IF(EXACT(SEED!$BB245, ""), "", SEED!$BA245)</f>
        <v>65000000000235</v>
      </c>
      <c r="C244" s="92" t="str">
        <f>IF(EXACT($B244, ""), "", IF(EXACT(SEED!$J245, ""), IF(EXACT(SEED!$H245, ""), IF(EXACT(SEED!$F245, ""), IF(EXACT(SEED!$D245, ""), IF(EXACT(SEED!$B245, ""), "", SEED!$B245), SEED!$D245), SEED!$F245), SEED!$H245), SEED!$J245))</f>
        <v>5-2013</v>
      </c>
      <c r="D244" s="92" t="str">
        <f>IF(EXACT($B244, ""), "", IF(EXACT(SEED!$K245, ""), IF(EXACT(SEED!$I245, ""), IF(EXACT(SEED!$G245, ""), IF(EXACT(SEED!$E245, ""), IF(EXACT(SEED!$C245, ""), "", SEED!$C245), SEED!$E245), SEED!$G245), SEED!$I245), SEED!$K245))</f>
        <v>Personal Income Tax-Indirect</v>
      </c>
    </row>
    <row r="245" spans="2:4" x14ac:dyDescent="0.25">
      <c r="B245" s="94">
        <f>IF(EXACT(SEED!$BB246, ""), "", SEED!$BA246)</f>
        <v>65000000000236</v>
      </c>
      <c r="C245" s="92" t="str">
        <f>IF(EXACT($B245, ""), "", IF(EXACT(SEED!$J246, ""), IF(EXACT(SEED!$H246, ""), IF(EXACT(SEED!$F246, ""), IF(EXACT(SEED!$D246, ""), IF(EXACT(SEED!$B246, ""), "", SEED!$B246), SEED!$D246), SEED!$F246), SEED!$H246), SEED!$J246))</f>
        <v>5-2013.01</v>
      </c>
      <c r="D245" s="92" t="str">
        <f>IF(EXACT($B245, ""), "", IF(EXACT(SEED!$K246, ""), IF(EXACT(SEED!$I246, ""), IF(EXACT(SEED!$G246, ""), IF(EXACT(SEED!$E246, ""), IF(EXACT(SEED!$C246, ""), "", SEED!$C246), SEED!$E246), SEED!$G246), SEED!$I246), SEED!$K246))</f>
        <v>Personal Income Tax-Indirect (IDR)</v>
      </c>
    </row>
    <row r="246" spans="2:4" x14ac:dyDescent="0.25">
      <c r="B246" s="94">
        <f>IF(EXACT(SEED!$BB247, ""), "", SEED!$BA247)</f>
        <v>65000000000237</v>
      </c>
      <c r="C246" s="92" t="str">
        <f>IF(EXACT($B246, ""), "", IF(EXACT(SEED!$J247, ""), IF(EXACT(SEED!$H247, ""), IF(EXACT(SEED!$F247, ""), IF(EXACT(SEED!$D247, ""), IF(EXACT(SEED!$B247, ""), "", SEED!$B247), SEED!$D247), SEED!$F247), SEED!$H247), SEED!$J247))</f>
        <v>5-2014</v>
      </c>
      <c r="D246" s="92" t="str">
        <f>IF(EXACT($B246, ""), "", IF(EXACT(SEED!$K247, ""), IF(EXACT(SEED!$I247, ""), IF(EXACT(SEED!$G247, ""), IF(EXACT(SEED!$E247, ""), IF(EXACT(SEED!$C247, ""), "", SEED!$C247), SEED!$E247), SEED!$G247), SEED!$I247), SEED!$K247))</f>
        <v>Uniform,Protect Clothe-Direct</v>
      </c>
    </row>
    <row r="247" spans="2:4" x14ac:dyDescent="0.25">
      <c r="B247" s="94">
        <f>IF(EXACT(SEED!$BB248, ""), "", SEED!$BA248)</f>
        <v>65000000000238</v>
      </c>
      <c r="C247" s="92" t="str">
        <f>IF(EXACT($B247, ""), "", IF(EXACT(SEED!$J248, ""), IF(EXACT(SEED!$H248, ""), IF(EXACT(SEED!$F248, ""), IF(EXACT(SEED!$D248, ""), IF(EXACT(SEED!$B248, ""), "", SEED!$B248), SEED!$D248), SEED!$F248), SEED!$H248), SEED!$J248))</f>
        <v>5-2014.01</v>
      </c>
      <c r="D247" s="92" t="str">
        <f>IF(EXACT($B247, ""), "", IF(EXACT(SEED!$K248, ""), IF(EXACT(SEED!$I248, ""), IF(EXACT(SEED!$G248, ""), IF(EXACT(SEED!$E248, ""), IF(EXACT(SEED!$C248, ""), "", SEED!$C248), SEED!$E248), SEED!$G248), SEED!$I248), SEED!$K248))</f>
        <v>Uniform,Protect Clothe-Direct (IDR)</v>
      </c>
    </row>
    <row r="248" spans="2:4" x14ac:dyDescent="0.25">
      <c r="B248" s="94">
        <f>IF(EXACT(SEED!$BB249, ""), "", SEED!$BA249)</f>
        <v>65000000000239</v>
      </c>
      <c r="C248" s="92" t="str">
        <f>IF(EXACT($B248, ""), "", IF(EXACT(SEED!$J249, ""), IF(EXACT(SEED!$H249, ""), IF(EXACT(SEED!$F249, ""), IF(EXACT(SEED!$D249, ""), IF(EXACT(SEED!$B249, ""), "", SEED!$B249), SEED!$D249), SEED!$F249), SEED!$H249), SEED!$J249))</f>
        <v>5-2015</v>
      </c>
      <c r="D248" s="92" t="str">
        <f>IF(EXACT($B248, ""), "", IF(EXACT(SEED!$K249, ""), IF(EXACT(SEED!$I249, ""), IF(EXACT(SEED!$G249, ""), IF(EXACT(SEED!$E249, ""), IF(EXACT(SEED!$C249, ""), "", SEED!$C249), SEED!$E249), SEED!$G249), SEED!$I249), SEED!$K249))</f>
        <v>Uniform,Protect Cloth-Indirect</v>
      </c>
    </row>
    <row r="249" spans="2:4" x14ac:dyDescent="0.25">
      <c r="B249" s="94">
        <f>IF(EXACT(SEED!$BB250, ""), "", SEED!$BA250)</f>
        <v>65000000000240</v>
      </c>
      <c r="C249" s="92" t="str">
        <f>IF(EXACT($B249, ""), "", IF(EXACT(SEED!$J250, ""), IF(EXACT(SEED!$H250, ""), IF(EXACT(SEED!$F250, ""), IF(EXACT(SEED!$D250, ""), IF(EXACT(SEED!$B250, ""), "", SEED!$B250), SEED!$D250), SEED!$F250), SEED!$H250), SEED!$J250))</f>
        <v>5-2015.01</v>
      </c>
      <c r="D249" s="92" t="str">
        <f>IF(EXACT($B249, ""), "", IF(EXACT(SEED!$K250, ""), IF(EXACT(SEED!$I250, ""), IF(EXACT(SEED!$G250, ""), IF(EXACT(SEED!$E250, ""), IF(EXACT(SEED!$C250, ""), "", SEED!$C250), SEED!$E250), SEED!$G250), SEED!$I250), SEED!$K250))</f>
        <v>Uniform,Protect Cloth-Indirect (IDR)</v>
      </c>
    </row>
    <row r="250" spans="2:4" x14ac:dyDescent="0.25">
      <c r="B250" s="94">
        <f>IF(EXACT(SEED!$BB251, ""), "", SEED!$BA251)</f>
        <v>65000000000241</v>
      </c>
      <c r="C250" s="92" t="str">
        <f>IF(EXACT($B250, ""), "", IF(EXACT(SEED!$J251, ""), IF(EXACT(SEED!$H251, ""), IF(EXACT(SEED!$F251, ""), IF(EXACT(SEED!$D251, ""), IF(EXACT(SEED!$B251, ""), "", SEED!$B251), SEED!$D251), SEED!$F251), SEED!$H251), SEED!$J251))</f>
        <v>5-2016</v>
      </c>
      <c r="D250" s="92" t="str">
        <f>IF(EXACT($B250, ""), "", IF(EXACT(SEED!$K251, ""), IF(EXACT(SEED!$I251, ""), IF(EXACT(SEED!$G251, ""), IF(EXACT(SEED!$E251, ""), IF(EXACT(SEED!$C251, ""), "", SEED!$C251), SEED!$E251), SEED!$G251), SEED!$I251), SEED!$K251))</f>
        <v>Business Trip Allowance</v>
      </c>
    </row>
    <row r="251" spans="2:4" x14ac:dyDescent="0.25">
      <c r="B251" s="94">
        <f>IF(EXACT(SEED!$BB252, ""), "", SEED!$BA252)</f>
        <v>65000000000242</v>
      </c>
      <c r="C251" s="92" t="str">
        <f>IF(EXACT($B251, ""), "", IF(EXACT(SEED!$J252, ""), IF(EXACT(SEED!$H252, ""), IF(EXACT(SEED!$F252, ""), IF(EXACT(SEED!$D252, ""), IF(EXACT(SEED!$B252, ""), "", SEED!$B252), SEED!$D252), SEED!$F252), SEED!$H252), SEED!$J252))</f>
        <v>5-2016.01</v>
      </c>
      <c r="D251" s="92" t="str">
        <f>IF(EXACT($B251, ""), "", IF(EXACT(SEED!$K252, ""), IF(EXACT(SEED!$I252, ""), IF(EXACT(SEED!$G252, ""), IF(EXACT(SEED!$E252, ""), IF(EXACT(SEED!$C252, ""), "", SEED!$C252), SEED!$E252), SEED!$G252), SEED!$I252), SEED!$K252))</f>
        <v>Business Trip Allowance (IDR)</v>
      </c>
    </row>
    <row r="252" spans="2:4" x14ac:dyDescent="0.25">
      <c r="B252" s="94">
        <f>IF(EXACT(SEED!$BB253, ""), "", SEED!$BA253)</f>
        <v>65000000000243</v>
      </c>
      <c r="C252" s="92" t="str">
        <f>IF(EXACT($B252, ""), "", IF(EXACT(SEED!$J253, ""), IF(EXACT(SEED!$H253, ""), IF(EXACT(SEED!$F253, ""), IF(EXACT(SEED!$D253, ""), IF(EXACT(SEED!$B253, ""), "", SEED!$B253), SEED!$D253), SEED!$F253), SEED!$H253), SEED!$J253))</f>
        <v>5-2017</v>
      </c>
      <c r="D252" s="92" t="str">
        <f>IF(EXACT($B252, ""), "", IF(EXACT(SEED!$K253, ""), IF(EXACT(SEED!$I253, ""), IF(EXACT(SEED!$G253, ""), IF(EXACT(SEED!$E253, ""), IF(EXACT(SEED!$C253, ""), "", SEED!$C253), SEED!$E253), SEED!$G253), SEED!$I253), SEED!$K253))</f>
        <v>Meal</v>
      </c>
    </row>
    <row r="253" spans="2:4" x14ac:dyDescent="0.25">
      <c r="B253" s="94">
        <f>IF(EXACT(SEED!$BB254, ""), "", SEED!$BA254)</f>
        <v>65000000000244</v>
      </c>
      <c r="C253" s="92" t="str">
        <f>IF(EXACT($B253, ""), "", IF(EXACT(SEED!$J254, ""), IF(EXACT(SEED!$H254, ""), IF(EXACT(SEED!$F254, ""), IF(EXACT(SEED!$D254, ""), IF(EXACT(SEED!$B254, ""), "", SEED!$B254), SEED!$D254), SEED!$F254), SEED!$H254), SEED!$J254))</f>
        <v>5-2017.01</v>
      </c>
      <c r="D253" s="92" t="str">
        <f>IF(EXACT($B253, ""), "", IF(EXACT(SEED!$K254, ""), IF(EXACT(SEED!$I254, ""), IF(EXACT(SEED!$G254, ""), IF(EXACT(SEED!$E254, ""), IF(EXACT(SEED!$C254, ""), "", SEED!$C254), SEED!$E254), SEED!$G254), SEED!$I254), SEED!$K254))</f>
        <v>Meal (IDR)</v>
      </c>
    </row>
    <row r="254" spans="2:4" x14ac:dyDescent="0.25">
      <c r="B254" s="94">
        <f>IF(EXACT(SEED!$BB255, ""), "", SEED!$BA255)</f>
        <v>65000000000245</v>
      </c>
      <c r="C254" s="92" t="str">
        <f>IF(EXACT($B254, ""), "", IF(EXACT(SEED!$J255, ""), IF(EXACT(SEED!$H255, ""), IF(EXACT(SEED!$F255, ""), IF(EXACT(SEED!$D255, ""), IF(EXACT(SEED!$B255, ""), "", SEED!$B255), SEED!$D255), SEED!$F255), SEED!$H255), SEED!$J255))</f>
        <v>5-2018</v>
      </c>
      <c r="D254" s="92" t="str">
        <f>IF(EXACT($B254, ""), "", IF(EXACT(SEED!$K255, ""), IF(EXACT(SEED!$I255, ""), IF(EXACT(SEED!$G255, ""), IF(EXACT(SEED!$E255, ""), IF(EXACT(SEED!$C255, ""), "", SEED!$C255), SEED!$E255), SEED!$G255), SEED!$I255), SEED!$K255))</f>
        <v>Severance Pay - Project</v>
      </c>
    </row>
    <row r="255" spans="2:4" x14ac:dyDescent="0.25">
      <c r="B255" s="94">
        <f>IF(EXACT(SEED!$BB256, ""), "", SEED!$BA256)</f>
        <v>65000000000246</v>
      </c>
      <c r="C255" s="92" t="str">
        <f>IF(EXACT($B255, ""), "", IF(EXACT(SEED!$J256, ""), IF(EXACT(SEED!$H256, ""), IF(EXACT(SEED!$F256, ""), IF(EXACT(SEED!$D256, ""), IF(EXACT(SEED!$B256, ""), "", SEED!$B256), SEED!$D256), SEED!$F256), SEED!$H256), SEED!$J256))</f>
        <v>5-2018.01</v>
      </c>
      <c r="D255" s="92" t="str">
        <f>IF(EXACT($B255, ""), "", IF(EXACT(SEED!$K256, ""), IF(EXACT(SEED!$I256, ""), IF(EXACT(SEED!$G256, ""), IF(EXACT(SEED!$E256, ""), IF(EXACT(SEED!$C256, ""), "", SEED!$C256), SEED!$E256), SEED!$G256), SEED!$I256), SEED!$K256))</f>
        <v>Severance Pay - Project (IDR)</v>
      </c>
    </row>
    <row r="256" spans="2:4" x14ac:dyDescent="0.25">
      <c r="B256" s="94">
        <f>IF(EXACT(SEED!$BB257, ""), "", SEED!$BA257)</f>
        <v>65000000000247</v>
      </c>
      <c r="C256" s="92" t="str">
        <f>IF(EXACT($B256, ""), "", IF(EXACT(SEED!$J257, ""), IF(EXACT(SEED!$H257, ""), IF(EXACT(SEED!$F257, ""), IF(EXACT(SEED!$D257, ""), IF(EXACT(SEED!$B257, ""), "", SEED!$B257), SEED!$D257), SEED!$F257), SEED!$H257), SEED!$J257))</f>
        <v>5-2019</v>
      </c>
      <c r="D256" s="92" t="str">
        <f>IF(EXACT($B256, ""), "", IF(EXACT(SEED!$K257, ""), IF(EXACT(SEED!$I257, ""), IF(EXACT(SEED!$G257, ""), IF(EXACT(SEED!$E257, ""), IF(EXACT(SEED!$C257, ""), "", SEED!$C257), SEED!$E257), SEED!$G257), SEED!$I257), SEED!$K257))</f>
        <v>Sub Contractor</v>
      </c>
    </row>
    <row r="257" spans="2:4" x14ac:dyDescent="0.25">
      <c r="B257" s="94">
        <f>IF(EXACT(SEED!$BB258, ""), "", SEED!$BA258)</f>
        <v>65000000000248</v>
      </c>
      <c r="C257" s="92" t="str">
        <f>IF(EXACT($B257, ""), "", IF(EXACT(SEED!$J258, ""), IF(EXACT(SEED!$H258, ""), IF(EXACT(SEED!$F258, ""), IF(EXACT(SEED!$D258, ""), IF(EXACT(SEED!$B258, ""), "", SEED!$B258), SEED!$D258), SEED!$F258), SEED!$H258), SEED!$J258))</f>
        <v>5-2019.01</v>
      </c>
      <c r="D257" s="92" t="str">
        <f>IF(EXACT($B257, ""), "", IF(EXACT(SEED!$K258, ""), IF(EXACT(SEED!$I258, ""), IF(EXACT(SEED!$G258, ""), IF(EXACT(SEED!$E258, ""), IF(EXACT(SEED!$C258, ""), "", SEED!$C258), SEED!$E258), SEED!$G258), SEED!$I258), SEED!$K258))</f>
        <v>Sub Contractor (IDR)</v>
      </c>
    </row>
    <row r="258" spans="2:4" x14ac:dyDescent="0.25">
      <c r="B258" s="94">
        <f>IF(EXACT(SEED!$BB259, ""), "", SEED!$BA259)</f>
        <v>65000000000249</v>
      </c>
      <c r="C258" s="92" t="str">
        <f>IF(EXACT($B258, ""), "", IF(EXACT(SEED!$J259, ""), IF(EXACT(SEED!$H259, ""), IF(EXACT(SEED!$F259, ""), IF(EXACT(SEED!$D259, ""), IF(EXACT(SEED!$B259, ""), "", SEED!$B259), SEED!$D259), SEED!$F259), SEED!$H259), SEED!$J259))</f>
        <v>5-2099</v>
      </c>
      <c r="D258" s="92" t="str">
        <f>IF(EXACT($B258, ""), "", IF(EXACT(SEED!$K259, ""), IF(EXACT(SEED!$I259, ""), IF(EXACT(SEED!$G259, ""), IF(EXACT(SEED!$E259, ""), IF(EXACT(SEED!$C259, ""), "", SEED!$C259), SEED!$E259), SEED!$G259), SEED!$I259), SEED!$K259))</f>
        <v>Other Cost of Labor</v>
      </c>
    </row>
    <row r="259" spans="2:4" x14ac:dyDescent="0.25">
      <c r="B259" s="94">
        <f>IF(EXACT(SEED!$BB260, ""), "", SEED!$BA260)</f>
        <v>65000000000250</v>
      </c>
      <c r="C259" s="92" t="str">
        <f>IF(EXACT($B259, ""), "", IF(EXACT(SEED!$J260, ""), IF(EXACT(SEED!$H260, ""), IF(EXACT(SEED!$F260, ""), IF(EXACT(SEED!$D260, ""), IF(EXACT(SEED!$B260, ""), "", SEED!$B260), SEED!$D260), SEED!$F260), SEED!$H260), SEED!$J260))</f>
        <v>5-2099.01</v>
      </c>
      <c r="D259" s="92" t="str">
        <f>IF(EXACT($B259, ""), "", IF(EXACT(SEED!$K260, ""), IF(EXACT(SEED!$I260, ""), IF(EXACT(SEED!$G260, ""), IF(EXACT(SEED!$E260, ""), IF(EXACT(SEED!$C260, ""), "", SEED!$C260), SEED!$E260), SEED!$G260), SEED!$I260), SEED!$K260))</f>
        <v>Other Cost of Labor (IDR)</v>
      </c>
    </row>
    <row r="260" spans="2:4" x14ac:dyDescent="0.25">
      <c r="B260" s="94">
        <f>IF(EXACT(SEED!$BB261, ""), "", SEED!$BA261)</f>
        <v>65000000000251</v>
      </c>
      <c r="C260" s="92" t="str">
        <f>IF(EXACT($B260, ""), "", IF(EXACT(SEED!$J261, ""), IF(EXACT(SEED!$H261, ""), IF(EXACT(SEED!$F261, ""), IF(EXACT(SEED!$D261, ""), IF(EXACT(SEED!$B261, ""), "", SEED!$B261), SEED!$D261), SEED!$F261), SEED!$H261), SEED!$J261))</f>
        <v>5-3000</v>
      </c>
      <c r="D260" s="92" t="str">
        <f>IF(EXACT($B260, ""), "", IF(EXACT(SEED!$K261, ""), IF(EXACT(SEED!$I261, ""), IF(EXACT(SEED!$G261, ""), IF(EXACT(SEED!$E261, ""), IF(EXACT(SEED!$C261, ""), "", SEED!$C261), SEED!$E261), SEED!$G261), SEED!$I261), SEED!$K261))</f>
        <v>Indirect Cost</v>
      </c>
    </row>
    <row r="261" spans="2:4" x14ac:dyDescent="0.25">
      <c r="B261" s="94">
        <f>IF(EXACT(SEED!$BB262, ""), "", SEED!$BA262)</f>
        <v>65000000000252</v>
      </c>
      <c r="C261" s="92" t="str">
        <f>IF(EXACT($B261, ""), "", IF(EXACT(SEED!$J262, ""), IF(EXACT(SEED!$H262, ""), IF(EXACT(SEED!$F262, ""), IF(EXACT(SEED!$D262, ""), IF(EXACT(SEED!$B262, ""), "", SEED!$B262), SEED!$D262), SEED!$F262), SEED!$H262), SEED!$J262))</f>
        <v>5-3001</v>
      </c>
      <c r="D261" s="92" t="str">
        <f>IF(EXACT($B261, ""), "", IF(EXACT(SEED!$K262, ""), IF(EXACT(SEED!$I262, ""), IF(EXACT(SEED!$G262, ""), IF(EXACT(SEED!$E262, ""), IF(EXACT(SEED!$C262, ""), "", SEED!$C262), SEED!$E262), SEED!$G262), SEED!$I262), SEED!$K262))</f>
        <v>Consumables</v>
      </c>
    </row>
    <row r="262" spans="2:4" x14ac:dyDescent="0.25">
      <c r="B262" s="94">
        <f>IF(EXACT(SEED!$BB263, ""), "", SEED!$BA263)</f>
        <v>65000000000253</v>
      </c>
      <c r="C262" s="92" t="str">
        <f>IF(EXACT($B262, ""), "", IF(EXACT(SEED!$J263, ""), IF(EXACT(SEED!$H263, ""), IF(EXACT(SEED!$F263, ""), IF(EXACT(SEED!$D263, ""), IF(EXACT(SEED!$B263, ""), "", SEED!$B263), SEED!$D263), SEED!$F263), SEED!$H263), SEED!$J263))</f>
        <v>5-3001.01</v>
      </c>
      <c r="D262" s="92" t="str">
        <f>IF(EXACT($B262, ""), "", IF(EXACT(SEED!$K263, ""), IF(EXACT(SEED!$I263, ""), IF(EXACT(SEED!$G263, ""), IF(EXACT(SEED!$E263, ""), IF(EXACT(SEED!$C263, ""), "", SEED!$C263), SEED!$E263), SEED!$G263), SEED!$I263), SEED!$K263))</f>
        <v>Consumables (IDR)</v>
      </c>
    </row>
    <row r="263" spans="2:4" x14ac:dyDescent="0.25">
      <c r="B263" s="94">
        <f>IF(EXACT(SEED!$BB264, ""), "", SEED!$BA264)</f>
        <v>65000000000254</v>
      </c>
      <c r="C263" s="92" t="str">
        <f>IF(EXACT($B263, ""), "", IF(EXACT(SEED!$J264, ""), IF(EXACT(SEED!$H264, ""), IF(EXACT(SEED!$F264, ""), IF(EXACT(SEED!$D264, ""), IF(EXACT(SEED!$B264, ""), "", SEED!$B264), SEED!$D264), SEED!$F264), SEED!$H264), SEED!$J264))</f>
        <v>5-3002</v>
      </c>
      <c r="D263" s="92" t="str">
        <f>IF(EXACT($B263, ""), "", IF(EXACT(SEED!$K264, ""), IF(EXACT(SEED!$I264, ""), IF(EXACT(SEED!$G264, ""), IF(EXACT(SEED!$E264, ""), IF(EXACT(SEED!$C264, ""), "", SEED!$C264), SEED!$E264), SEED!$G264), SEED!$I264), SEED!$K264))</f>
        <v>Spare Parts</v>
      </c>
    </row>
    <row r="264" spans="2:4" x14ac:dyDescent="0.25">
      <c r="B264" s="94">
        <f>IF(EXACT(SEED!$BB265, ""), "", SEED!$BA265)</f>
        <v>65000000000255</v>
      </c>
      <c r="C264" s="92" t="str">
        <f>IF(EXACT($B264, ""), "", IF(EXACT(SEED!$J265, ""), IF(EXACT(SEED!$H265, ""), IF(EXACT(SEED!$F265, ""), IF(EXACT(SEED!$D265, ""), IF(EXACT(SEED!$B265, ""), "", SEED!$B265), SEED!$D265), SEED!$F265), SEED!$H265), SEED!$J265))</f>
        <v>5-3002.01</v>
      </c>
      <c r="D264" s="92" t="str">
        <f>IF(EXACT($B264, ""), "", IF(EXACT(SEED!$K265, ""), IF(EXACT(SEED!$I265, ""), IF(EXACT(SEED!$G265, ""), IF(EXACT(SEED!$E265, ""), IF(EXACT(SEED!$C265, ""), "", SEED!$C265), SEED!$E265), SEED!$G265), SEED!$I265), SEED!$K265))</f>
        <v>Spare Parts (IDR)</v>
      </c>
    </row>
    <row r="265" spans="2:4" x14ac:dyDescent="0.25">
      <c r="B265" s="94">
        <f>IF(EXACT(SEED!$BB266, ""), "", SEED!$BA266)</f>
        <v>65000000000256</v>
      </c>
      <c r="C265" s="92" t="str">
        <f>IF(EXACT($B265, ""), "", IF(EXACT(SEED!$J266, ""), IF(EXACT(SEED!$H266, ""), IF(EXACT(SEED!$F266, ""), IF(EXACT(SEED!$D266, ""), IF(EXACT(SEED!$B266, ""), "", SEED!$B266), SEED!$D266), SEED!$F266), SEED!$H266), SEED!$J266))</f>
        <v>5-3003</v>
      </c>
      <c r="D265" s="92" t="str">
        <f>IF(EXACT($B265, ""), "", IF(EXACT(SEED!$K266, ""), IF(EXACT(SEED!$I266, ""), IF(EXACT(SEED!$G266, ""), IF(EXACT(SEED!$E266, ""), IF(EXACT(SEED!$C266, ""), "", SEED!$C266), SEED!$E266), SEED!$G266), SEED!$I266), SEED!$K266))</f>
        <v>Tools</v>
      </c>
    </row>
    <row r="266" spans="2:4" x14ac:dyDescent="0.25">
      <c r="B266" s="94">
        <f>IF(EXACT(SEED!$BB267, ""), "", SEED!$BA267)</f>
        <v>65000000000257</v>
      </c>
      <c r="C266" s="92" t="str">
        <f>IF(EXACT($B266, ""), "", IF(EXACT(SEED!$J267, ""), IF(EXACT(SEED!$H267, ""), IF(EXACT(SEED!$F267, ""), IF(EXACT(SEED!$D267, ""), IF(EXACT(SEED!$B267, ""), "", SEED!$B267), SEED!$D267), SEED!$F267), SEED!$H267), SEED!$J267))</f>
        <v>5-3003.01</v>
      </c>
      <c r="D266" s="92" t="str">
        <f>IF(EXACT($B266, ""), "", IF(EXACT(SEED!$K267, ""), IF(EXACT(SEED!$I267, ""), IF(EXACT(SEED!$G267, ""), IF(EXACT(SEED!$E267, ""), IF(EXACT(SEED!$C267, ""), "", SEED!$C267), SEED!$E267), SEED!$G267), SEED!$I267), SEED!$K267))</f>
        <v>Tools (IDR)</v>
      </c>
    </row>
    <row r="267" spans="2:4" x14ac:dyDescent="0.25">
      <c r="B267" s="94">
        <f>IF(EXACT(SEED!$BB268, ""), "", SEED!$BA268)</f>
        <v>65000000000258</v>
      </c>
      <c r="C267" s="92" t="str">
        <f>IF(EXACT($B267, ""), "", IF(EXACT(SEED!$J268, ""), IF(EXACT(SEED!$H268, ""), IF(EXACT(SEED!$F268, ""), IF(EXACT(SEED!$D268, ""), IF(EXACT(SEED!$B268, ""), "", SEED!$B268), SEED!$D268), SEED!$F268), SEED!$H268), SEED!$J268))</f>
        <v>5-3004</v>
      </c>
      <c r="D267" s="92" t="str">
        <f>IF(EXACT($B267, ""), "", IF(EXACT(SEED!$K268, ""), IF(EXACT(SEED!$I268, ""), IF(EXACT(SEED!$G268, ""), IF(EXACT(SEED!$E268, ""), IF(EXACT(SEED!$C268, ""), "", SEED!$C268), SEED!$E268), SEED!$G268), SEED!$I268), SEED!$K268))</f>
        <v>Utilities</v>
      </c>
    </row>
    <row r="268" spans="2:4" x14ac:dyDescent="0.25">
      <c r="B268" s="94">
        <f>IF(EXACT(SEED!$BB269, ""), "", SEED!$BA269)</f>
        <v>65000000000259</v>
      </c>
      <c r="C268" s="92" t="str">
        <f>IF(EXACT($B268, ""), "", IF(EXACT(SEED!$J269, ""), IF(EXACT(SEED!$H269, ""), IF(EXACT(SEED!$F269, ""), IF(EXACT(SEED!$D269, ""), IF(EXACT(SEED!$B269, ""), "", SEED!$B269), SEED!$D269), SEED!$F269), SEED!$H269), SEED!$J269))</f>
        <v>5-3004.01</v>
      </c>
      <c r="D268" s="92" t="str">
        <f>IF(EXACT($B268, ""), "", IF(EXACT(SEED!$K269, ""), IF(EXACT(SEED!$I269, ""), IF(EXACT(SEED!$G269, ""), IF(EXACT(SEED!$E269, ""), IF(EXACT(SEED!$C269, ""), "", SEED!$C269), SEED!$E269), SEED!$G269), SEED!$I269), SEED!$K269))</f>
        <v>Utilities (IDR)</v>
      </c>
    </row>
    <row r="269" spans="2:4" x14ac:dyDescent="0.25">
      <c r="B269" s="94">
        <f>IF(EXACT(SEED!$BB270, ""), "", SEED!$BA270)</f>
        <v>65000000000260</v>
      </c>
      <c r="C269" s="92" t="str">
        <f>IF(EXACT($B269, ""), "", IF(EXACT(SEED!$J270, ""), IF(EXACT(SEED!$H270, ""), IF(EXACT(SEED!$F270, ""), IF(EXACT(SEED!$D270, ""), IF(EXACT(SEED!$B270, ""), "", SEED!$B270), SEED!$D270), SEED!$F270), SEED!$H270), SEED!$J270))</f>
        <v>5-3005</v>
      </c>
      <c r="D269" s="92" t="str">
        <f>IF(EXACT($B269, ""), "", IF(EXACT(SEED!$K270, ""), IF(EXACT(SEED!$I270, ""), IF(EXACT(SEED!$G270, ""), IF(EXACT(SEED!$E270, ""), IF(EXACT(SEED!$C270, ""), "", SEED!$C270), SEED!$E270), SEED!$G270), SEED!$I270), SEED!$K270))</f>
        <v>Stationery &amp; Printing</v>
      </c>
    </row>
    <row r="270" spans="2:4" x14ac:dyDescent="0.25">
      <c r="B270" s="94">
        <f>IF(EXACT(SEED!$BB271, ""), "", SEED!$BA271)</f>
        <v>65000000000261</v>
      </c>
      <c r="C270" s="92" t="str">
        <f>IF(EXACT($B270, ""), "", IF(EXACT(SEED!$J271, ""), IF(EXACT(SEED!$H271, ""), IF(EXACT(SEED!$F271, ""), IF(EXACT(SEED!$D271, ""), IF(EXACT(SEED!$B271, ""), "", SEED!$B271), SEED!$D271), SEED!$F271), SEED!$H271), SEED!$J271))</f>
        <v>5-3005.01</v>
      </c>
      <c r="D270" s="92" t="str">
        <f>IF(EXACT($B270, ""), "", IF(EXACT(SEED!$K271, ""), IF(EXACT(SEED!$I271, ""), IF(EXACT(SEED!$G271, ""), IF(EXACT(SEED!$E271, ""), IF(EXACT(SEED!$C271, ""), "", SEED!$C271), SEED!$E271), SEED!$G271), SEED!$I271), SEED!$K271))</f>
        <v>Stationery &amp; Printing (IDR)</v>
      </c>
    </row>
    <row r="271" spans="2:4" x14ac:dyDescent="0.25">
      <c r="B271" s="94">
        <f>IF(EXACT(SEED!$BB272, ""), "", SEED!$BA272)</f>
        <v>65000000000262</v>
      </c>
      <c r="C271" s="92" t="str">
        <f>IF(EXACT($B271, ""), "", IF(EXACT(SEED!$J272, ""), IF(EXACT(SEED!$H272, ""), IF(EXACT(SEED!$F272, ""), IF(EXACT(SEED!$D272, ""), IF(EXACT(SEED!$B272, ""), "", SEED!$B272), SEED!$D272), SEED!$F272), SEED!$H272), SEED!$J272))</f>
        <v>5-3006</v>
      </c>
      <c r="D271" s="92" t="str">
        <f>IF(EXACT($B271, ""), "", IF(EXACT(SEED!$K272, ""), IF(EXACT(SEED!$I272, ""), IF(EXACT(SEED!$G272, ""), IF(EXACT(SEED!$E272, ""), IF(EXACT(SEED!$C272, ""), "", SEED!$C272), SEED!$E272), SEED!$G272), SEED!$I272), SEED!$K272))</f>
        <v>Postage &amp; Courier Service</v>
      </c>
    </row>
    <row r="272" spans="2:4" x14ac:dyDescent="0.25">
      <c r="B272" s="94">
        <f>IF(EXACT(SEED!$BB273, ""), "", SEED!$BA273)</f>
        <v>65000000000263</v>
      </c>
      <c r="C272" s="92" t="str">
        <f>IF(EXACT($B272, ""), "", IF(EXACT(SEED!$J273, ""), IF(EXACT(SEED!$H273, ""), IF(EXACT(SEED!$F273, ""), IF(EXACT(SEED!$D273, ""), IF(EXACT(SEED!$B273, ""), "", SEED!$B273), SEED!$D273), SEED!$F273), SEED!$H273), SEED!$J273))</f>
        <v>5-3006.01</v>
      </c>
      <c r="D272" s="92" t="str">
        <f>IF(EXACT($B272, ""), "", IF(EXACT(SEED!$K273, ""), IF(EXACT(SEED!$I273, ""), IF(EXACT(SEED!$G273, ""), IF(EXACT(SEED!$E273, ""), IF(EXACT(SEED!$C273, ""), "", SEED!$C273), SEED!$E273), SEED!$G273), SEED!$I273), SEED!$K273))</f>
        <v>Postage &amp; Courier Service (IDR)</v>
      </c>
    </row>
    <row r="273" spans="2:4" x14ac:dyDescent="0.25">
      <c r="B273" s="94">
        <f>IF(EXACT(SEED!$BB274, ""), "", SEED!$BA274)</f>
        <v>65000000000264</v>
      </c>
      <c r="C273" s="92" t="str">
        <f>IF(EXACT($B273, ""), "", IF(EXACT(SEED!$J274, ""), IF(EXACT(SEED!$H274, ""), IF(EXACT(SEED!$F274, ""), IF(EXACT(SEED!$D274, ""), IF(EXACT(SEED!$B274, ""), "", SEED!$B274), SEED!$D274), SEED!$F274), SEED!$H274), SEED!$J274))</f>
        <v>5-3007</v>
      </c>
      <c r="D273" s="92" t="str">
        <f>IF(EXACT($B273, ""), "", IF(EXACT(SEED!$K274, ""), IF(EXACT(SEED!$I274, ""), IF(EXACT(SEED!$G274, ""), IF(EXACT(SEED!$E274, ""), IF(EXACT(SEED!$C274, ""), "", SEED!$C274), SEED!$E274), SEED!$G274), SEED!$I274), SEED!$K274))</f>
        <v>Telephone Expenses</v>
      </c>
    </row>
    <row r="274" spans="2:4" x14ac:dyDescent="0.25">
      <c r="B274" s="94">
        <f>IF(EXACT(SEED!$BB275, ""), "", SEED!$BA275)</f>
        <v>65000000000265</v>
      </c>
      <c r="C274" s="92" t="str">
        <f>IF(EXACT($B274, ""), "", IF(EXACT(SEED!$J275, ""), IF(EXACT(SEED!$H275, ""), IF(EXACT(SEED!$F275, ""), IF(EXACT(SEED!$D275, ""), IF(EXACT(SEED!$B275, ""), "", SEED!$B275), SEED!$D275), SEED!$F275), SEED!$H275), SEED!$J275))</f>
        <v>5-3007.01</v>
      </c>
      <c r="D274" s="92" t="str">
        <f>IF(EXACT($B274, ""), "", IF(EXACT(SEED!$K275, ""), IF(EXACT(SEED!$I275, ""), IF(EXACT(SEED!$G275, ""), IF(EXACT(SEED!$E275, ""), IF(EXACT(SEED!$C275, ""), "", SEED!$C275), SEED!$E275), SEED!$G275), SEED!$I275), SEED!$K275))</f>
        <v>Telephone Expenses (IDR)</v>
      </c>
    </row>
    <row r="275" spans="2:4" x14ac:dyDescent="0.25">
      <c r="B275" s="94">
        <f>IF(EXACT(SEED!$BB276, ""), "", SEED!$BA276)</f>
        <v>65000000000266</v>
      </c>
      <c r="C275" s="92" t="str">
        <f>IF(EXACT($B275, ""), "", IF(EXACT(SEED!$J276, ""), IF(EXACT(SEED!$H276, ""), IF(EXACT(SEED!$F276, ""), IF(EXACT(SEED!$D276, ""), IF(EXACT(SEED!$B276, ""), "", SEED!$B276), SEED!$D276), SEED!$F276), SEED!$H276), SEED!$J276))</f>
        <v>5-3008</v>
      </c>
      <c r="D275" s="92" t="str">
        <f>IF(EXACT($B275, ""), "", IF(EXACT(SEED!$K276, ""), IF(EXACT(SEED!$I276, ""), IF(EXACT(SEED!$G276, ""), IF(EXACT(SEED!$E276, ""), IF(EXACT(SEED!$C276, ""), "", SEED!$C276), SEED!$E276), SEED!$G276), SEED!$I276), SEED!$K276))</f>
        <v>Mobile Phone</v>
      </c>
    </row>
    <row r="276" spans="2:4" x14ac:dyDescent="0.25">
      <c r="B276" s="94">
        <f>IF(EXACT(SEED!$BB277, ""), "", SEED!$BA277)</f>
        <v>65000000000267</v>
      </c>
      <c r="C276" s="92" t="str">
        <f>IF(EXACT($B276, ""), "", IF(EXACT(SEED!$J277, ""), IF(EXACT(SEED!$H277, ""), IF(EXACT(SEED!$F277, ""), IF(EXACT(SEED!$D277, ""), IF(EXACT(SEED!$B277, ""), "", SEED!$B277), SEED!$D277), SEED!$F277), SEED!$H277), SEED!$J277))</f>
        <v>5-3008.01</v>
      </c>
      <c r="D276" s="92" t="str">
        <f>IF(EXACT($B276, ""), "", IF(EXACT(SEED!$K277, ""), IF(EXACT(SEED!$I277, ""), IF(EXACT(SEED!$G277, ""), IF(EXACT(SEED!$E277, ""), IF(EXACT(SEED!$C277, ""), "", SEED!$C277), SEED!$E277), SEED!$G277), SEED!$I277), SEED!$K277))</f>
        <v>Mobile Phone (IDR)</v>
      </c>
    </row>
    <row r="277" spans="2:4" x14ac:dyDescent="0.25">
      <c r="B277" s="94">
        <f>IF(EXACT(SEED!$BB278, ""), "", SEED!$BA278)</f>
        <v>65000000000268</v>
      </c>
      <c r="C277" s="92" t="str">
        <f>IF(EXACT($B277, ""), "", IF(EXACT(SEED!$J278, ""), IF(EXACT(SEED!$H278, ""), IF(EXACT(SEED!$F278, ""), IF(EXACT(SEED!$D278, ""), IF(EXACT(SEED!$B278, ""), "", SEED!$B278), SEED!$D278), SEED!$F278), SEED!$H278), SEED!$J278))</f>
        <v>5-3009</v>
      </c>
      <c r="D277" s="92" t="str">
        <f>IF(EXACT($B277, ""), "", IF(EXACT(SEED!$K278, ""), IF(EXACT(SEED!$I278, ""), IF(EXACT(SEED!$G278, ""), IF(EXACT(SEED!$E278, ""), IF(EXACT(SEED!$C278, ""), "", SEED!$C278), SEED!$E278), SEED!$G278), SEED!$I278), SEED!$K278))</f>
        <v>Insurance Expenses</v>
      </c>
    </row>
    <row r="278" spans="2:4" x14ac:dyDescent="0.25">
      <c r="B278" s="94">
        <f>IF(EXACT(SEED!$BB279, ""), "", SEED!$BA279)</f>
        <v>65000000000269</v>
      </c>
      <c r="C278" s="92" t="str">
        <f>IF(EXACT($B278, ""), "", IF(EXACT(SEED!$J279, ""), IF(EXACT(SEED!$H279, ""), IF(EXACT(SEED!$F279, ""), IF(EXACT(SEED!$D279, ""), IF(EXACT(SEED!$B279, ""), "", SEED!$B279), SEED!$D279), SEED!$F279), SEED!$H279), SEED!$J279))</f>
        <v>5-3009.01</v>
      </c>
      <c r="D278" s="92" t="str">
        <f>IF(EXACT($B278, ""), "", IF(EXACT(SEED!$K279, ""), IF(EXACT(SEED!$I279, ""), IF(EXACT(SEED!$G279, ""), IF(EXACT(SEED!$E279, ""), IF(EXACT(SEED!$C279, ""), "", SEED!$C279), SEED!$E279), SEED!$G279), SEED!$I279), SEED!$K279))</f>
        <v>Insurance Expenses (IDR)</v>
      </c>
    </row>
    <row r="279" spans="2:4" x14ac:dyDescent="0.25">
      <c r="B279" s="94">
        <f>IF(EXACT(SEED!$BB280, ""), "", SEED!$BA280)</f>
        <v>65000000000270</v>
      </c>
      <c r="C279" s="92" t="str">
        <f>IF(EXACT($B279, ""), "", IF(EXACT(SEED!$J280, ""), IF(EXACT(SEED!$H280, ""), IF(EXACT(SEED!$F280, ""), IF(EXACT(SEED!$D280, ""), IF(EXACT(SEED!$B280, ""), "", SEED!$B280), SEED!$D280), SEED!$F280), SEED!$H280), SEED!$J280))</f>
        <v>5-3010</v>
      </c>
      <c r="D279" s="92" t="str">
        <f>IF(EXACT($B279, ""), "", IF(EXACT(SEED!$K280, ""), IF(EXACT(SEED!$I280, ""), IF(EXACT(SEED!$G280, ""), IF(EXACT(SEED!$E280, ""), IF(EXACT(SEED!$C280, ""), "", SEED!$C280), SEED!$E280), SEED!$G280), SEED!$I280), SEED!$K280))</f>
        <v>Property Rental/Lease</v>
      </c>
    </row>
    <row r="280" spans="2:4" x14ac:dyDescent="0.25">
      <c r="B280" s="94">
        <f>IF(EXACT(SEED!$BB281, ""), "", SEED!$BA281)</f>
        <v>65000000000271</v>
      </c>
      <c r="C280" s="92" t="str">
        <f>IF(EXACT($B280, ""), "", IF(EXACT(SEED!$J281, ""), IF(EXACT(SEED!$H281, ""), IF(EXACT(SEED!$F281, ""), IF(EXACT(SEED!$D281, ""), IF(EXACT(SEED!$B281, ""), "", SEED!$B281), SEED!$D281), SEED!$F281), SEED!$H281), SEED!$J281))</f>
        <v>5-3010.01</v>
      </c>
      <c r="D280" s="92" t="str">
        <f>IF(EXACT($B280, ""), "", IF(EXACT(SEED!$K281, ""), IF(EXACT(SEED!$I281, ""), IF(EXACT(SEED!$G281, ""), IF(EXACT(SEED!$E281, ""), IF(EXACT(SEED!$C281, ""), "", SEED!$C281), SEED!$E281), SEED!$G281), SEED!$I281), SEED!$K281))</f>
        <v>Property Rental/Lease (IDR)</v>
      </c>
    </row>
    <row r="281" spans="2:4" x14ac:dyDescent="0.25">
      <c r="B281" s="94">
        <f>IF(EXACT(SEED!$BB282, ""), "", SEED!$BA282)</f>
        <v>65000000000272</v>
      </c>
      <c r="C281" s="92" t="str">
        <f>IF(EXACT($B281, ""), "", IF(EXACT(SEED!$J282, ""), IF(EXACT(SEED!$H282, ""), IF(EXACT(SEED!$F282, ""), IF(EXACT(SEED!$D282, ""), IF(EXACT(SEED!$B282, ""), "", SEED!$B282), SEED!$D282), SEED!$F282), SEED!$H282), SEED!$J282))</f>
        <v>5-3011</v>
      </c>
      <c r="D281" s="92" t="str">
        <f>IF(EXACT($B281, ""), "", IF(EXACT(SEED!$K282, ""), IF(EXACT(SEED!$I282, ""), IF(EXACT(SEED!$G282, ""), IF(EXACT(SEED!$E282, ""), IF(EXACT(SEED!$C282, ""), "", SEED!$C282), SEED!$E282), SEED!$G282), SEED!$I282), SEED!$K282))</f>
        <v>Hire of Other Plant &amp; Equipt</v>
      </c>
    </row>
    <row r="282" spans="2:4" x14ac:dyDescent="0.25">
      <c r="B282" s="94">
        <f>IF(EXACT(SEED!$BB283, ""), "", SEED!$BA283)</f>
        <v>65000000000273</v>
      </c>
      <c r="C282" s="92" t="str">
        <f>IF(EXACT($B282, ""), "", IF(EXACT(SEED!$J283, ""), IF(EXACT(SEED!$H283, ""), IF(EXACT(SEED!$F283, ""), IF(EXACT(SEED!$D283, ""), IF(EXACT(SEED!$B283, ""), "", SEED!$B283), SEED!$D283), SEED!$F283), SEED!$H283), SEED!$J283))</f>
        <v>5-3011.01</v>
      </c>
      <c r="D282" s="92" t="str">
        <f>IF(EXACT($B282, ""), "", IF(EXACT(SEED!$K283, ""), IF(EXACT(SEED!$I283, ""), IF(EXACT(SEED!$G283, ""), IF(EXACT(SEED!$E283, ""), IF(EXACT(SEED!$C283, ""), "", SEED!$C283), SEED!$E283), SEED!$G283), SEED!$I283), SEED!$K283))</f>
        <v>Hire of Other Plant &amp; Equipt (IDR)</v>
      </c>
    </row>
    <row r="283" spans="2:4" x14ac:dyDescent="0.25">
      <c r="B283" s="94">
        <f>IF(EXACT(SEED!$BB284, ""), "", SEED!$BA284)</f>
        <v>65000000000274</v>
      </c>
      <c r="C283" s="92" t="str">
        <f>IF(EXACT($B283, ""), "", IF(EXACT(SEED!$J284, ""), IF(EXACT(SEED!$H284, ""), IF(EXACT(SEED!$F284, ""), IF(EXACT(SEED!$D284, ""), IF(EXACT(SEED!$B284, ""), "", SEED!$B284), SEED!$D284), SEED!$F284), SEED!$H284), SEED!$J284))</f>
        <v>5-3012</v>
      </c>
      <c r="D283" s="92" t="str">
        <f>IF(EXACT($B283, ""), "", IF(EXACT(SEED!$K284, ""), IF(EXACT(SEED!$I284, ""), IF(EXACT(SEED!$G284, ""), IF(EXACT(SEED!$E284, ""), IF(EXACT(SEED!$C284, ""), "", SEED!$C284), SEED!$E284), SEED!$G284), SEED!$I284), SEED!$K284))</f>
        <v>Property Repair &amp; Maintenance</v>
      </c>
    </row>
    <row r="284" spans="2:4" x14ac:dyDescent="0.25">
      <c r="B284" s="94">
        <f>IF(EXACT(SEED!$BB285, ""), "", SEED!$BA285)</f>
        <v>65000000000275</v>
      </c>
      <c r="C284" s="92" t="str">
        <f>IF(EXACT($B284, ""), "", IF(EXACT(SEED!$J285, ""), IF(EXACT(SEED!$H285, ""), IF(EXACT(SEED!$F285, ""), IF(EXACT(SEED!$D285, ""), IF(EXACT(SEED!$B285, ""), "", SEED!$B285), SEED!$D285), SEED!$F285), SEED!$H285), SEED!$J285))</f>
        <v>5-3012.01</v>
      </c>
      <c r="D284" s="92" t="str">
        <f>IF(EXACT($B284, ""), "", IF(EXACT(SEED!$K285, ""), IF(EXACT(SEED!$I285, ""), IF(EXACT(SEED!$G285, ""), IF(EXACT(SEED!$E285, ""), IF(EXACT(SEED!$C285, ""), "", SEED!$C285), SEED!$E285), SEED!$G285), SEED!$I285), SEED!$K285))</f>
        <v>Property Repair &amp; Maintenance (IDR)</v>
      </c>
    </row>
    <row r="285" spans="2:4" x14ac:dyDescent="0.25">
      <c r="B285" s="94">
        <f>IF(EXACT(SEED!$BB286, ""), "", SEED!$BA286)</f>
        <v>65000000000276</v>
      </c>
      <c r="C285" s="92" t="str">
        <f>IF(EXACT($B285, ""), "", IF(EXACT(SEED!$J286, ""), IF(EXACT(SEED!$H286, ""), IF(EXACT(SEED!$F286, ""), IF(EXACT(SEED!$D286, ""), IF(EXACT(SEED!$B286, ""), "", SEED!$B286), SEED!$D286), SEED!$F286), SEED!$H286), SEED!$J286))</f>
        <v>5-3013</v>
      </c>
      <c r="D285" s="92" t="str">
        <f>IF(EXACT($B285, ""), "", IF(EXACT(SEED!$K286, ""), IF(EXACT(SEED!$I286, ""), IF(EXACT(SEED!$G286, ""), IF(EXACT(SEED!$E286, ""), IF(EXACT(SEED!$C286, ""), "", SEED!$C286), SEED!$E286), SEED!$G286), SEED!$I286), SEED!$K286))</f>
        <v>IT Expenses</v>
      </c>
    </row>
    <row r="286" spans="2:4" x14ac:dyDescent="0.25">
      <c r="B286" s="94">
        <f>IF(EXACT(SEED!$BB287, ""), "", SEED!$BA287)</f>
        <v>65000000000277</v>
      </c>
      <c r="C286" s="92" t="str">
        <f>IF(EXACT($B286, ""), "", IF(EXACT(SEED!$J287, ""), IF(EXACT(SEED!$H287, ""), IF(EXACT(SEED!$F287, ""), IF(EXACT(SEED!$D287, ""), IF(EXACT(SEED!$B287, ""), "", SEED!$B287), SEED!$D287), SEED!$F287), SEED!$H287), SEED!$J287))</f>
        <v>5-3013.01</v>
      </c>
      <c r="D286" s="92" t="str">
        <f>IF(EXACT($B286, ""), "", IF(EXACT(SEED!$K287, ""), IF(EXACT(SEED!$I287, ""), IF(EXACT(SEED!$G287, ""), IF(EXACT(SEED!$E287, ""), IF(EXACT(SEED!$C287, ""), "", SEED!$C287), SEED!$E287), SEED!$G287), SEED!$I287), SEED!$K287))</f>
        <v>IT Expenses (IDR)</v>
      </c>
    </row>
    <row r="287" spans="2:4" x14ac:dyDescent="0.25">
      <c r="B287" s="94">
        <f>IF(EXACT(SEED!$BB288, ""), "", SEED!$BA288)</f>
        <v>65000000000278</v>
      </c>
      <c r="C287" s="92" t="str">
        <f>IF(EXACT($B287, ""), "", IF(EXACT(SEED!$J288, ""), IF(EXACT(SEED!$H288, ""), IF(EXACT(SEED!$F288, ""), IF(EXACT(SEED!$D288, ""), IF(EXACT(SEED!$B288, ""), "", SEED!$B288), SEED!$D288), SEED!$F288), SEED!$H288), SEED!$J288))</f>
        <v>5-3014</v>
      </c>
      <c r="D287" s="92" t="str">
        <f>IF(EXACT($B287, ""), "", IF(EXACT(SEED!$K288, ""), IF(EXACT(SEED!$I288, ""), IF(EXACT(SEED!$G288, ""), IF(EXACT(SEED!$E288, ""), IF(EXACT(SEED!$C288, ""), "", SEED!$C288), SEED!$E288), SEED!$G288), SEED!$I288), SEED!$K288))</f>
        <v>Hire of Motor Vehicle</v>
      </c>
    </row>
    <row r="288" spans="2:4" x14ac:dyDescent="0.25">
      <c r="B288" s="94">
        <f>IF(EXACT(SEED!$BB289, ""), "", SEED!$BA289)</f>
        <v>65000000000279</v>
      </c>
      <c r="C288" s="92" t="str">
        <f>IF(EXACT($B288, ""), "", IF(EXACT(SEED!$J289, ""), IF(EXACT(SEED!$H289, ""), IF(EXACT(SEED!$F289, ""), IF(EXACT(SEED!$D289, ""), IF(EXACT(SEED!$B289, ""), "", SEED!$B289), SEED!$D289), SEED!$F289), SEED!$H289), SEED!$J289))</f>
        <v>5-3014.01</v>
      </c>
      <c r="D288" s="92" t="str">
        <f>IF(EXACT($B288, ""), "", IF(EXACT(SEED!$K289, ""), IF(EXACT(SEED!$I289, ""), IF(EXACT(SEED!$G289, ""), IF(EXACT(SEED!$E289, ""), IF(EXACT(SEED!$C289, ""), "", SEED!$C289), SEED!$E289), SEED!$G289), SEED!$I289), SEED!$K289))</f>
        <v>Hire of Motor Vehicle (IDR)</v>
      </c>
    </row>
    <row r="289" spans="2:4" x14ac:dyDescent="0.25">
      <c r="B289" s="94">
        <f>IF(EXACT(SEED!$BB290, ""), "", SEED!$BA290)</f>
        <v>65000000000280</v>
      </c>
      <c r="C289" s="92" t="str">
        <f>IF(EXACT($B289, ""), "", IF(EXACT(SEED!$J290, ""), IF(EXACT(SEED!$H290, ""), IF(EXACT(SEED!$F290, ""), IF(EXACT(SEED!$D290, ""), IF(EXACT(SEED!$B290, ""), "", SEED!$B290), SEED!$D290), SEED!$F290), SEED!$H290), SEED!$J290))</f>
        <v>5-3015</v>
      </c>
      <c r="D289" s="92" t="str">
        <f>IF(EXACT($B289, ""), "", IF(EXACT(SEED!$K290, ""), IF(EXACT(SEED!$I290, ""), IF(EXACT(SEED!$G290, ""), IF(EXACT(SEED!$E290, ""), IF(EXACT(SEED!$C290, ""), "", SEED!$C290), SEED!$E290), SEED!$G290), SEED!$I290), SEED!$K290))</f>
        <v>MV-Fuel &amp; Oil</v>
      </c>
    </row>
    <row r="290" spans="2:4" x14ac:dyDescent="0.25">
      <c r="B290" s="94">
        <f>IF(EXACT(SEED!$BB291, ""), "", SEED!$BA291)</f>
        <v>65000000000281</v>
      </c>
      <c r="C290" s="92" t="str">
        <f>IF(EXACT($B290, ""), "", IF(EXACT(SEED!$J291, ""), IF(EXACT(SEED!$H291, ""), IF(EXACT(SEED!$F291, ""), IF(EXACT(SEED!$D291, ""), IF(EXACT(SEED!$B291, ""), "", SEED!$B291), SEED!$D291), SEED!$F291), SEED!$H291), SEED!$J291))</f>
        <v>5-3015.01</v>
      </c>
      <c r="D290" s="92" t="str">
        <f>IF(EXACT($B290, ""), "", IF(EXACT(SEED!$K291, ""), IF(EXACT(SEED!$I291, ""), IF(EXACT(SEED!$G291, ""), IF(EXACT(SEED!$E291, ""), IF(EXACT(SEED!$C291, ""), "", SEED!$C291), SEED!$E291), SEED!$G291), SEED!$I291), SEED!$K291))</f>
        <v>MV-Fuel &amp; Oil (IDR)</v>
      </c>
    </row>
    <row r="291" spans="2:4" x14ac:dyDescent="0.25">
      <c r="B291" s="94">
        <f>IF(EXACT(SEED!$BB292, ""), "", SEED!$BA292)</f>
        <v>65000000000282</v>
      </c>
      <c r="C291" s="92" t="str">
        <f>IF(EXACT($B291, ""), "", IF(EXACT(SEED!$J292, ""), IF(EXACT(SEED!$H292, ""), IF(EXACT(SEED!$F292, ""), IF(EXACT(SEED!$D292, ""), IF(EXACT(SEED!$B292, ""), "", SEED!$B292), SEED!$D292), SEED!$F292), SEED!$H292), SEED!$J292))</f>
        <v>5-3016</v>
      </c>
      <c r="D291" s="92" t="str">
        <f>IF(EXACT($B291, ""), "", IF(EXACT(SEED!$K292, ""), IF(EXACT(SEED!$I292, ""), IF(EXACT(SEED!$G292, ""), IF(EXACT(SEED!$E292, ""), IF(EXACT(SEED!$C292, ""), "", SEED!$C292), SEED!$E292), SEED!$G292), SEED!$I292), SEED!$K292))</f>
        <v>MV-Repair &amp; Maintenance</v>
      </c>
    </row>
    <row r="292" spans="2:4" x14ac:dyDescent="0.25">
      <c r="B292" s="94">
        <f>IF(EXACT(SEED!$BB293, ""), "", SEED!$BA293)</f>
        <v>65000000000283</v>
      </c>
      <c r="C292" s="92" t="str">
        <f>IF(EXACT($B292, ""), "", IF(EXACT(SEED!$J293, ""), IF(EXACT(SEED!$H293, ""), IF(EXACT(SEED!$F293, ""), IF(EXACT(SEED!$D293, ""), IF(EXACT(SEED!$B293, ""), "", SEED!$B293), SEED!$D293), SEED!$F293), SEED!$H293), SEED!$J293))</f>
        <v>5-3016.01</v>
      </c>
      <c r="D292" s="92" t="str">
        <f>IF(EXACT($B292, ""), "", IF(EXACT(SEED!$K293, ""), IF(EXACT(SEED!$I293, ""), IF(EXACT(SEED!$G293, ""), IF(EXACT(SEED!$E293, ""), IF(EXACT(SEED!$C293, ""), "", SEED!$C293), SEED!$E293), SEED!$G293), SEED!$I293), SEED!$K293))</f>
        <v>MV-Repair &amp; Maintenance (IDR)</v>
      </c>
    </row>
    <row r="293" spans="2:4" x14ac:dyDescent="0.25">
      <c r="B293" s="94">
        <f>IF(EXACT(SEED!$BB294, ""), "", SEED!$BA294)</f>
        <v>65000000000284</v>
      </c>
      <c r="C293" s="92" t="str">
        <f>IF(EXACT($B293, ""), "", IF(EXACT(SEED!$J294, ""), IF(EXACT(SEED!$H294, ""), IF(EXACT(SEED!$F294, ""), IF(EXACT(SEED!$D294, ""), IF(EXACT(SEED!$B294, ""), "", SEED!$B294), SEED!$D294), SEED!$F294), SEED!$H294), SEED!$J294))</f>
        <v>5-3017</v>
      </c>
      <c r="D293" s="92" t="str">
        <f>IF(EXACT($B293, ""), "", IF(EXACT(SEED!$K294, ""), IF(EXACT(SEED!$I294, ""), IF(EXACT(SEED!$G294, ""), IF(EXACT(SEED!$E294, ""), IF(EXACT(SEED!$C294, ""), "", SEED!$C294), SEED!$E294), SEED!$G294), SEED!$I294), SEED!$K294))</f>
        <v>MV-Tyres, Tubes</v>
      </c>
    </row>
    <row r="294" spans="2:4" x14ac:dyDescent="0.25">
      <c r="B294" s="94">
        <f>IF(EXACT(SEED!$BB295, ""), "", SEED!$BA295)</f>
        <v>65000000000285</v>
      </c>
      <c r="C294" s="92" t="str">
        <f>IF(EXACT($B294, ""), "", IF(EXACT(SEED!$J295, ""), IF(EXACT(SEED!$H295, ""), IF(EXACT(SEED!$F295, ""), IF(EXACT(SEED!$D295, ""), IF(EXACT(SEED!$B295, ""), "", SEED!$B295), SEED!$D295), SEED!$F295), SEED!$H295), SEED!$J295))</f>
        <v>5-3017.01</v>
      </c>
      <c r="D294" s="92" t="str">
        <f>IF(EXACT($B294, ""), "", IF(EXACT(SEED!$K295, ""), IF(EXACT(SEED!$I295, ""), IF(EXACT(SEED!$G295, ""), IF(EXACT(SEED!$E295, ""), IF(EXACT(SEED!$C295, ""), "", SEED!$C295), SEED!$E295), SEED!$G295), SEED!$I295), SEED!$K295))</f>
        <v>MV-Tyres, Tubes (IDR)</v>
      </c>
    </row>
    <row r="295" spans="2:4" x14ac:dyDescent="0.25">
      <c r="B295" s="94">
        <f>IF(EXACT(SEED!$BB296, ""), "", SEED!$BA296)</f>
        <v>65000000000286</v>
      </c>
      <c r="C295" s="92" t="str">
        <f>IF(EXACT($B295, ""), "", IF(EXACT(SEED!$J296, ""), IF(EXACT(SEED!$H296, ""), IF(EXACT(SEED!$F296, ""), IF(EXACT(SEED!$D296, ""), IF(EXACT(SEED!$B296, ""), "", SEED!$B296), SEED!$D296), SEED!$F296), SEED!$H296), SEED!$J296))</f>
        <v>5-3018</v>
      </c>
      <c r="D295" s="92" t="str">
        <f>IF(EXACT($B295, ""), "", IF(EXACT(SEED!$K296, ""), IF(EXACT(SEED!$I296, ""), IF(EXACT(SEED!$G296, ""), IF(EXACT(SEED!$E296, ""), IF(EXACT(SEED!$C296, ""), "", SEED!$C296), SEED!$E296), SEED!$G296), SEED!$I296), SEED!$K296))</f>
        <v>MV-Spare Parts</v>
      </c>
    </row>
    <row r="296" spans="2:4" x14ac:dyDescent="0.25">
      <c r="B296" s="94">
        <f>IF(EXACT(SEED!$BB297, ""), "", SEED!$BA297)</f>
        <v>65000000000287</v>
      </c>
      <c r="C296" s="92" t="str">
        <f>IF(EXACT($B296, ""), "", IF(EXACT(SEED!$J297, ""), IF(EXACT(SEED!$H297, ""), IF(EXACT(SEED!$F297, ""), IF(EXACT(SEED!$D297, ""), IF(EXACT(SEED!$B297, ""), "", SEED!$B297), SEED!$D297), SEED!$F297), SEED!$H297), SEED!$J297))</f>
        <v>5-3018.01</v>
      </c>
      <c r="D296" s="92" t="str">
        <f>IF(EXACT($B296, ""), "", IF(EXACT(SEED!$K297, ""), IF(EXACT(SEED!$I297, ""), IF(EXACT(SEED!$G297, ""), IF(EXACT(SEED!$E297, ""), IF(EXACT(SEED!$C297, ""), "", SEED!$C297), SEED!$E297), SEED!$G297), SEED!$I297), SEED!$K297))</f>
        <v>MV-Spare Parts (IDR)</v>
      </c>
    </row>
    <row r="297" spans="2:4" x14ac:dyDescent="0.25">
      <c r="B297" s="94">
        <f>IF(EXACT(SEED!$BB298, ""), "", SEED!$BA298)</f>
        <v>65000000000288</v>
      </c>
      <c r="C297" s="92" t="str">
        <f>IF(EXACT($B297, ""), "", IF(EXACT(SEED!$J298, ""), IF(EXACT(SEED!$H298, ""), IF(EXACT(SEED!$F298, ""), IF(EXACT(SEED!$D298, ""), IF(EXACT(SEED!$B298, ""), "", SEED!$B298), SEED!$D298), SEED!$F298), SEED!$H298), SEED!$J298))</f>
        <v>5-3019</v>
      </c>
      <c r="D297" s="92" t="str">
        <f>IF(EXACT($B297, ""), "", IF(EXACT(SEED!$K298, ""), IF(EXACT(SEED!$I298, ""), IF(EXACT(SEED!$G298, ""), IF(EXACT(SEED!$E298, ""), IF(EXACT(SEED!$C298, ""), "", SEED!$C298), SEED!$E298), SEED!$G298), SEED!$I298), SEED!$K298))</f>
        <v>MV-Accessories</v>
      </c>
    </row>
    <row r="298" spans="2:4" x14ac:dyDescent="0.25">
      <c r="B298" s="94">
        <f>IF(EXACT(SEED!$BB299, ""), "", SEED!$BA299)</f>
        <v>65000000000289</v>
      </c>
      <c r="C298" s="92" t="str">
        <f>IF(EXACT($B298, ""), "", IF(EXACT(SEED!$J299, ""), IF(EXACT(SEED!$H299, ""), IF(EXACT(SEED!$F299, ""), IF(EXACT(SEED!$D299, ""), IF(EXACT(SEED!$B299, ""), "", SEED!$B299), SEED!$D299), SEED!$F299), SEED!$H299), SEED!$J299))</f>
        <v>5-3019.01</v>
      </c>
      <c r="D298" s="92" t="str">
        <f>IF(EXACT($B298, ""), "", IF(EXACT(SEED!$K299, ""), IF(EXACT(SEED!$I299, ""), IF(EXACT(SEED!$G299, ""), IF(EXACT(SEED!$E299, ""), IF(EXACT(SEED!$C299, ""), "", SEED!$C299), SEED!$E299), SEED!$G299), SEED!$I299), SEED!$K299))</f>
        <v>MV-Accessories (IDR)</v>
      </c>
    </row>
    <row r="299" spans="2:4" x14ac:dyDescent="0.25">
      <c r="B299" s="94">
        <f>IF(EXACT(SEED!$BB300, ""), "", SEED!$BA300)</f>
        <v>65000000000290</v>
      </c>
      <c r="C299" s="92" t="str">
        <f>IF(EXACT($B299, ""), "", IF(EXACT(SEED!$J300, ""), IF(EXACT(SEED!$H300, ""), IF(EXACT(SEED!$F300, ""), IF(EXACT(SEED!$D300, ""), IF(EXACT(SEED!$B300, ""), "", SEED!$B300), SEED!$D300), SEED!$F300), SEED!$H300), SEED!$J300))</f>
        <v>5-3020</v>
      </c>
      <c r="D299" s="92" t="str">
        <f>IF(EXACT($B299, ""), "", IF(EXACT(SEED!$K300, ""), IF(EXACT(SEED!$I300, ""), IF(EXACT(SEED!$G300, ""), IF(EXACT(SEED!$E300, ""), IF(EXACT(SEED!$C300, ""), "", SEED!$C300), SEED!$E300), SEED!$G300), SEED!$I300), SEED!$K300))</f>
        <v>MV Other</v>
      </c>
    </row>
    <row r="300" spans="2:4" x14ac:dyDescent="0.25">
      <c r="B300" s="94">
        <f>IF(EXACT(SEED!$BB301, ""), "", SEED!$BA301)</f>
        <v>65000000000291</v>
      </c>
      <c r="C300" s="92" t="str">
        <f>IF(EXACT($B300, ""), "", IF(EXACT(SEED!$J301, ""), IF(EXACT(SEED!$H301, ""), IF(EXACT(SEED!$F301, ""), IF(EXACT(SEED!$D301, ""), IF(EXACT(SEED!$B301, ""), "", SEED!$B301), SEED!$D301), SEED!$F301), SEED!$H301), SEED!$J301))</f>
        <v>5-3020.01</v>
      </c>
      <c r="D300" s="92" t="str">
        <f>IF(EXACT($B300, ""), "", IF(EXACT(SEED!$K301, ""), IF(EXACT(SEED!$I301, ""), IF(EXACT(SEED!$G301, ""), IF(EXACT(SEED!$E301, ""), IF(EXACT(SEED!$C301, ""), "", SEED!$C301), SEED!$E301), SEED!$G301), SEED!$I301), SEED!$K301))</f>
        <v>MV Other (IDR)</v>
      </c>
    </row>
    <row r="301" spans="2:4" x14ac:dyDescent="0.25">
      <c r="B301" s="94">
        <f>IF(EXACT(SEED!$BB302, ""), "", SEED!$BA302)</f>
        <v>65000000000292</v>
      </c>
      <c r="C301" s="92" t="str">
        <f>IF(EXACT($B301, ""), "", IF(EXACT(SEED!$J302, ""), IF(EXACT(SEED!$H302, ""), IF(EXACT(SEED!$F302, ""), IF(EXACT(SEED!$D302, ""), IF(EXACT(SEED!$B302, ""), "", SEED!$B302), SEED!$D302), SEED!$F302), SEED!$H302), SEED!$J302))</f>
        <v>5-3021</v>
      </c>
      <c r="D301" s="92" t="str">
        <f>IF(EXACT($B301, ""), "", IF(EXACT(SEED!$K302, ""), IF(EXACT(SEED!$I302, ""), IF(EXACT(SEED!$G302, ""), IF(EXACT(SEED!$E302, ""), IF(EXACT(SEED!$C302, ""), "", SEED!$C302), SEED!$E302), SEED!$G302), SEED!$I302), SEED!$K302))</f>
        <v>Local Transport</v>
      </c>
    </row>
    <row r="302" spans="2:4" x14ac:dyDescent="0.25">
      <c r="B302" s="94">
        <f>IF(EXACT(SEED!$BB303, ""), "", SEED!$BA303)</f>
        <v>65000000000293</v>
      </c>
      <c r="C302" s="92" t="str">
        <f>IF(EXACT($B302, ""), "", IF(EXACT(SEED!$J303, ""), IF(EXACT(SEED!$H303, ""), IF(EXACT(SEED!$F303, ""), IF(EXACT(SEED!$D303, ""), IF(EXACT(SEED!$B303, ""), "", SEED!$B303), SEED!$D303), SEED!$F303), SEED!$H303), SEED!$J303))</f>
        <v>5-3021.01</v>
      </c>
      <c r="D302" s="92" t="str">
        <f>IF(EXACT($B302, ""), "", IF(EXACT(SEED!$K303, ""), IF(EXACT(SEED!$I303, ""), IF(EXACT(SEED!$G303, ""), IF(EXACT(SEED!$E303, ""), IF(EXACT(SEED!$C303, ""), "", SEED!$C303), SEED!$E303), SEED!$G303), SEED!$I303), SEED!$K303))</f>
        <v>Local Transport (IDR)</v>
      </c>
    </row>
    <row r="303" spans="2:4" x14ac:dyDescent="0.25">
      <c r="B303" s="94">
        <f>IF(EXACT(SEED!$BB304, ""), "", SEED!$BA304)</f>
        <v>65000000000294</v>
      </c>
      <c r="C303" s="92" t="str">
        <f>IF(EXACT($B303, ""), "", IF(EXACT(SEED!$J304, ""), IF(EXACT(SEED!$H304, ""), IF(EXACT(SEED!$F304, ""), IF(EXACT(SEED!$D304, ""), IF(EXACT(SEED!$B304, ""), "", SEED!$B304), SEED!$D304), SEED!$F304), SEED!$H304), SEED!$J304))</f>
        <v>5-3022</v>
      </c>
      <c r="D303" s="92" t="str">
        <f>IF(EXACT($B303, ""), "", IF(EXACT(SEED!$K304, ""), IF(EXACT(SEED!$I304, ""), IF(EXACT(SEED!$G304, ""), IF(EXACT(SEED!$E304, ""), IF(EXACT(SEED!$C304, ""), "", SEED!$C304), SEED!$E304), SEED!$G304), SEED!$I304), SEED!$K304))</f>
        <v>Business Travelling</v>
      </c>
    </row>
    <row r="304" spans="2:4" x14ac:dyDescent="0.25">
      <c r="B304" s="94">
        <f>IF(EXACT(SEED!$BB305, ""), "", SEED!$BA305)</f>
        <v>65000000000295</v>
      </c>
      <c r="C304" s="92" t="str">
        <f>IF(EXACT($B304, ""), "", IF(EXACT(SEED!$J305, ""), IF(EXACT(SEED!$H305, ""), IF(EXACT(SEED!$F305, ""), IF(EXACT(SEED!$D305, ""), IF(EXACT(SEED!$B305, ""), "", SEED!$B305), SEED!$D305), SEED!$F305), SEED!$H305), SEED!$J305))</f>
        <v>5-3022.01</v>
      </c>
      <c r="D304" s="92" t="str">
        <f>IF(EXACT($B304, ""), "", IF(EXACT(SEED!$K305, ""), IF(EXACT(SEED!$I305, ""), IF(EXACT(SEED!$G305, ""), IF(EXACT(SEED!$E305, ""), IF(EXACT(SEED!$C305, ""), "", SEED!$C305), SEED!$E305), SEED!$G305), SEED!$I305), SEED!$K305))</f>
        <v>Business Travelling (IDR)</v>
      </c>
    </row>
    <row r="305" spans="2:4" x14ac:dyDescent="0.25">
      <c r="B305" s="94">
        <f>IF(EXACT(SEED!$BB306, ""), "", SEED!$BA306)</f>
        <v>65000000000296</v>
      </c>
      <c r="C305" s="92" t="str">
        <f>IF(EXACT($B305, ""), "", IF(EXACT(SEED!$J306, ""), IF(EXACT(SEED!$H306, ""), IF(EXACT(SEED!$F306, ""), IF(EXACT(SEED!$D306, ""), IF(EXACT(SEED!$B306, ""), "", SEED!$B306), SEED!$D306), SEED!$F306), SEED!$H306), SEED!$J306))</f>
        <v>5-3023</v>
      </c>
      <c r="D305" s="92" t="str">
        <f>IF(EXACT($B305, ""), "", IF(EXACT(SEED!$K306, ""), IF(EXACT(SEED!$I306, ""), IF(EXACT(SEED!$G306, ""), IF(EXACT(SEED!$E306, ""), IF(EXACT(SEED!$C306, ""), "", SEED!$C306), SEED!$E306), SEED!$G306), SEED!$I306), SEED!$K306))</f>
        <v>Travel &amp; Fares</v>
      </c>
    </row>
    <row r="306" spans="2:4" x14ac:dyDescent="0.25">
      <c r="B306" s="94">
        <f>IF(EXACT(SEED!$BB307, ""), "", SEED!$BA307)</f>
        <v>65000000000297</v>
      </c>
      <c r="C306" s="92" t="str">
        <f>IF(EXACT($B306, ""), "", IF(EXACT(SEED!$J307, ""), IF(EXACT(SEED!$H307, ""), IF(EXACT(SEED!$F307, ""), IF(EXACT(SEED!$D307, ""), IF(EXACT(SEED!$B307, ""), "", SEED!$B307), SEED!$D307), SEED!$F307), SEED!$H307), SEED!$J307))</f>
        <v>5-3023.01</v>
      </c>
      <c r="D306" s="92" t="str">
        <f>IF(EXACT($B306, ""), "", IF(EXACT(SEED!$K307, ""), IF(EXACT(SEED!$I307, ""), IF(EXACT(SEED!$G307, ""), IF(EXACT(SEED!$E307, ""), IF(EXACT(SEED!$C307, ""), "", SEED!$C307), SEED!$E307), SEED!$G307), SEED!$I307), SEED!$K307))</f>
        <v>Travel &amp; Fares (IDR)</v>
      </c>
    </row>
    <row r="307" spans="2:4" x14ac:dyDescent="0.25">
      <c r="B307" s="94">
        <f>IF(EXACT(SEED!$BB308, ""), "", SEED!$BA308)</f>
        <v>65000000000298</v>
      </c>
      <c r="C307" s="92" t="str">
        <f>IF(EXACT($B307, ""), "", IF(EXACT(SEED!$J308, ""), IF(EXACT(SEED!$H308, ""), IF(EXACT(SEED!$F308, ""), IF(EXACT(SEED!$D308, ""), IF(EXACT(SEED!$B308, ""), "", SEED!$B308), SEED!$D308), SEED!$F308), SEED!$H308), SEED!$J308))</f>
        <v>5-3024</v>
      </c>
      <c r="D307" s="92" t="str">
        <f>IF(EXACT($B307, ""), "", IF(EXACT(SEED!$K308, ""), IF(EXACT(SEED!$I308, ""), IF(EXACT(SEED!$G308, ""), IF(EXACT(SEED!$E308, ""), IF(EXACT(SEED!$C308, ""), "", SEED!$C308), SEED!$E308), SEED!$G308), SEED!$I308), SEED!$K308))</f>
        <v>Freight Expenses</v>
      </c>
    </row>
    <row r="308" spans="2:4" x14ac:dyDescent="0.25">
      <c r="B308" s="94">
        <f>IF(EXACT(SEED!$BB309, ""), "", SEED!$BA309)</f>
        <v>65000000000299</v>
      </c>
      <c r="C308" s="92" t="str">
        <f>IF(EXACT($B308, ""), "", IF(EXACT(SEED!$J309, ""), IF(EXACT(SEED!$H309, ""), IF(EXACT(SEED!$F309, ""), IF(EXACT(SEED!$D309, ""), IF(EXACT(SEED!$B309, ""), "", SEED!$B309), SEED!$D309), SEED!$F309), SEED!$H309), SEED!$J309))</f>
        <v>5-3024.01</v>
      </c>
      <c r="D308" s="92" t="str">
        <f>IF(EXACT($B308, ""), "", IF(EXACT(SEED!$K309, ""), IF(EXACT(SEED!$I309, ""), IF(EXACT(SEED!$G309, ""), IF(EXACT(SEED!$E309, ""), IF(EXACT(SEED!$C309, ""), "", SEED!$C309), SEED!$E309), SEED!$G309), SEED!$I309), SEED!$K309))</f>
        <v>Freight Expenses (IDR)</v>
      </c>
    </row>
    <row r="309" spans="2:4" x14ac:dyDescent="0.25">
      <c r="B309" s="94">
        <f>IF(EXACT(SEED!$BB310, ""), "", SEED!$BA310)</f>
        <v>65000000000300</v>
      </c>
      <c r="C309" s="92" t="str">
        <f>IF(EXACT($B309, ""), "", IF(EXACT(SEED!$J310, ""), IF(EXACT(SEED!$H310, ""), IF(EXACT(SEED!$F310, ""), IF(EXACT(SEED!$D310, ""), IF(EXACT(SEED!$B310, ""), "", SEED!$B310), SEED!$D310), SEED!$F310), SEED!$H310), SEED!$J310))</f>
        <v>5-3025</v>
      </c>
      <c r="D309" s="92" t="str">
        <f>IF(EXACT($B309, ""), "", IF(EXACT(SEED!$K310, ""), IF(EXACT(SEED!$I310, ""), IF(EXACT(SEED!$G310, ""), IF(EXACT(SEED!$E310, ""), IF(EXACT(SEED!$C310, ""), "", SEED!$C310), SEED!$E310), SEED!$G310), SEED!$I310), SEED!$K310))</f>
        <v>Custom Clearance</v>
      </c>
    </row>
    <row r="310" spans="2:4" x14ac:dyDescent="0.25">
      <c r="B310" s="94">
        <f>IF(EXACT(SEED!$BB311, ""), "", SEED!$BA311)</f>
        <v>65000000000301</v>
      </c>
      <c r="C310" s="92" t="str">
        <f>IF(EXACT($B310, ""), "", IF(EXACT(SEED!$J311, ""), IF(EXACT(SEED!$H311, ""), IF(EXACT(SEED!$F311, ""), IF(EXACT(SEED!$D311, ""), IF(EXACT(SEED!$B311, ""), "", SEED!$B311), SEED!$D311), SEED!$F311), SEED!$H311), SEED!$J311))</f>
        <v>5-3025.01</v>
      </c>
      <c r="D310" s="92" t="str">
        <f>IF(EXACT($B310, ""), "", IF(EXACT(SEED!$K311, ""), IF(EXACT(SEED!$I311, ""), IF(EXACT(SEED!$G311, ""), IF(EXACT(SEED!$E311, ""), IF(EXACT(SEED!$C311, ""), "", SEED!$C311), SEED!$E311), SEED!$G311), SEED!$I311), SEED!$K311))</f>
        <v>Custom Clearance (IDR)</v>
      </c>
    </row>
    <row r="311" spans="2:4" x14ac:dyDescent="0.25">
      <c r="B311" s="94">
        <f>IF(EXACT(SEED!$BB312, ""), "", SEED!$BA312)</f>
        <v>65000000000302</v>
      </c>
      <c r="C311" s="92" t="str">
        <f>IF(EXACT($B311, ""), "", IF(EXACT(SEED!$J312, ""), IF(EXACT(SEED!$H312, ""), IF(EXACT(SEED!$F312, ""), IF(EXACT(SEED!$D312, ""), IF(EXACT(SEED!$B312, ""), "", SEED!$B312), SEED!$D312), SEED!$F312), SEED!$H312), SEED!$J312))</f>
        <v>5-3026</v>
      </c>
      <c r="D311" s="92" t="str">
        <f>IF(EXACT($B311, ""), "", IF(EXACT(SEED!$K312, ""), IF(EXACT(SEED!$I312, ""), IF(EXACT(SEED!$G312, ""), IF(EXACT(SEED!$E312, ""), IF(EXACT(SEED!$C312, ""), "", SEED!$C312), SEED!$E312), SEED!$G312), SEED!$I312), SEED!$K312))</f>
        <v>Infrastructure</v>
      </c>
    </row>
    <row r="312" spans="2:4" x14ac:dyDescent="0.25">
      <c r="B312" s="94">
        <f>IF(EXACT(SEED!$BB313, ""), "", SEED!$BA313)</f>
        <v>65000000000303</v>
      </c>
      <c r="C312" s="92" t="str">
        <f>IF(EXACT($B312, ""), "", IF(EXACT(SEED!$J313, ""), IF(EXACT(SEED!$H313, ""), IF(EXACT(SEED!$F313, ""), IF(EXACT(SEED!$D313, ""), IF(EXACT(SEED!$B313, ""), "", SEED!$B313), SEED!$D313), SEED!$F313), SEED!$H313), SEED!$J313))</f>
        <v>5-3026.01</v>
      </c>
      <c r="D312" s="92" t="str">
        <f>IF(EXACT($B312, ""), "", IF(EXACT(SEED!$K313, ""), IF(EXACT(SEED!$I313, ""), IF(EXACT(SEED!$G313, ""), IF(EXACT(SEED!$E313, ""), IF(EXACT(SEED!$C313, ""), "", SEED!$C313), SEED!$E313), SEED!$G313), SEED!$I313), SEED!$K313))</f>
        <v>Infrastructure (IDR)</v>
      </c>
    </row>
    <row r="313" spans="2:4" x14ac:dyDescent="0.25">
      <c r="B313" s="94">
        <f>IF(EXACT(SEED!$BB314, ""), "", SEED!$BA314)</f>
        <v>65000000000304</v>
      </c>
      <c r="C313" s="92" t="str">
        <f>IF(EXACT($B313, ""), "", IF(EXACT(SEED!$J314, ""), IF(EXACT(SEED!$H314, ""), IF(EXACT(SEED!$F314, ""), IF(EXACT(SEED!$D314, ""), IF(EXACT(SEED!$B314, ""), "", SEED!$B314), SEED!$D314), SEED!$F314), SEED!$H314), SEED!$J314))</f>
        <v>5-3027</v>
      </c>
      <c r="D313" s="92" t="str">
        <f>IF(EXACT($B313, ""), "", IF(EXACT(SEED!$K314, ""), IF(EXACT(SEED!$I314, ""), IF(EXACT(SEED!$G314, ""), IF(EXACT(SEED!$E314, ""), IF(EXACT(SEED!$C314, ""), "", SEED!$C314), SEED!$E314), SEED!$G314), SEED!$I314), SEED!$K314))</f>
        <v>Tender Cost</v>
      </c>
    </row>
    <row r="314" spans="2:4" x14ac:dyDescent="0.25">
      <c r="B314" s="94">
        <f>IF(EXACT(SEED!$BB315, ""), "", SEED!$BA315)</f>
        <v>65000000000305</v>
      </c>
      <c r="C314" s="92" t="str">
        <f>IF(EXACT($B314, ""), "", IF(EXACT(SEED!$J315, ""), IF(EXACT(SEED!$H315, ""), IF(EXACT(SEED!$F315, ""), IF(EXACT(SEED!$D315, ""), IF(EXACT(SEED!$B315, ""), "", SEED!$B315), SEED!$D315), SEED!$F315), SEED!$H315), SEED!$J315))</f>
        <v>5-3027.01</v>
      </c>
      <c r="D314" s="92" t="str">
        <f>IF(EXACT($B314, ""), "", IF(EXACT(SEED!$K315, ""), IF(EXACT(SEED!$I315, ""), IF(EXACT(SEED!$G315, ""), IF(EXACT(SEED!$E315, ""), IF(EXACT(SEED!$C315, ""), "", SEED!$C315), SEED!$E315), SEED!$G315), SEED!$I315), SEED!$K315))</f>
        <v>Tender Cost (IDR)</v>
      </c>
    </row>
    <row r="315" spans="2:4" x14ac:dyDescent="0.25">
      <c r="B315" s="94">
        <f>IF(EXACT(SEED!$BB316, ""), "", SEED!$BA316)</f>
        <v>65000000000306</v>
      </c>
      <c r="C315" s="92" t="str">
        <f>IF(EXACT($B315, ""), "", IF(EXACT(SEED!$J316, ""), IF(EXACT(SEED!$H316, ""), IF(EXACT(SEED!$F316, ""), IF(EXACT(SEED!$D316, ""), IF(EXACT(SEED!$B316, ""), "", SEED!$B316), SEED!$D316), SEED!$F316), SEED!$H316), SEED!$J316))</f>
        <v>5-3028</v>
      </c>
      <c r="D315" s="92" t="str">
        <f>IF(EXACT($B315, ""), "", IF(EXACT(SEED!$K316, ""), IF(EXACT(SEED!$I316, ""), IF(EXACT(SEED!$G316, ""), IF(EXACT(SEED!$E316, ""), IF(EXACT(SEED!$C316, ""), "", SEED!$C316), SEED!$E316), SEED!$G316), SEED!$I316), SEED!$K316))</f>
        <v>Sitac Expenses</v>
      </c>
    </row>
    <row r="316" spans="2:4" x14ac:dyDescent="0.25">
      <c r="B316" s="94">
        <f>IF(EXACT(SEED!$BB317, ""), "", SEED!$BA317)</f>
        <v>65000000000307</v>
      </c>
      <c r="C316" s="92" t="str">
        <f>IF(EXACT($B316, ""), "", IF(EXACT(SEED!$J317, ""), IF(EXACT(SEED!$H317, ""), IF(EXACT(SEED!$F317, ""), IF(EXACT(SEED!$D317, ""), IF(EXACT(SEED!$B317, ""), "", SEED!$B317), SEED!$D317), SEED!$F317), SEED!$H317), SEED!$J317))</f>
        <v>5-3028.01</v>
      </c>
      <c r="D316" s="92" t="str">
        <f>IF(EXACT($B316, ""), "", IF(EXACT(SEED!$K317, ""), IF(EXACT(SEED!$I317, ""), IF(EXACT(SEED!$G317, ""), IF(EXACT(SEED!$E317, ""), IF(EXACT(SEED!$C317, ""), "", SEED!$C317), SEED!$E317), SEED!$G317), SEED!$I317), SEED!$K317))</f>
        <v>Sitac Expenses (IDR)</v>
      </c>
    </row>
    <row r="317" spans="2:4" x14ac:dyDescent="0.25">
      <c r="B317" s="94">
        <f>IF(EXACT(SEED!$BB318, ""), "", SEED!$BA318)</f>
        <v>65000000000308</v>
      </c>
      <c r="C317" s="92" t="str">
        <f>IF(EXACT($B317, ""), "", IF(EXACT(SEED!$J318, ""), IF(EXACT(SEED!$H318, ""), IF(EXACT(SEED!$F318, ""), IF(EXACT(SEED!$D318, ""), IF(EXACT(SEED!$B318, ""), "", SEED!$B318), SEED!$D318), SEED!$F318), SEED!$H318), SEED!$J318))</f>
        <v>5-3029</v>
      </c>
      <c r="D317" s="92" t="str">
        <f>IF(EXACT($B317, ""), "", IF(EXACT(SEED!$K318, ""), IF(EXACT(SEED!$I318, ""), IF(EXACT(SEED!$G318, ""), IF(EXACT(SEED!$E318, ""), IF(EXACT(SEED!$C318, ""), "", SEED!$C318), SEED!$E318), SEED!$G318), SEED!$I318), SEED!$K318))</f>
        <v>Loss, Damage &amp; Pinalty</v>
      </c>
    </row>
    <row r="318" spans="2:4" x14ac:dyDescent="0.25">
      <c r="B318" s="94">
        <f>IF(EXACT(SEED!$BB319, ""), "", SEED!$BA319)</f>
        <v>65000000000309</v>
      </c>
      <c r="C318" s="92" t="str">
        <f>IF(EXACT($B318, ""), "", IF(EXACT(SEED!$J319, ""), IF(EXACT(SEED!$H319, ""), IF(EXACT(SEED!$F319, ""), IF(EXACT(SEED!$D319, ""), IF(EXACT(SEED!$B319, ""), "", SEED!$B319), SEED!$D319), SEED!$F319), SEED!$H319), SEED!$J319))</f>
        <v>5-3029.01</v>
      </c>
      <c r="D318" s="92" t="str">
        <f>IF(EXACT($B318, ""), "", IF(EXACT(SEED!$K319, ""), IF(EXACT(SEED!$I319, ""), IF(EXACT(SEED!$G319, ""), IF(EXACT(SEED!$E319, ""), IF(EXACT(SEED!$C319, ""), "", SEED!$C319), SEED!$E319), SEED!$G319), SEED!$I319), SEED!$K319))</f>
        <v>Loss, Damage &amp; Pinalty (IDR)</v>
      </c>
    </row>
    <row r="319" spans="2:4" x14ac:dyDescent="0.25">
      <c r="B319" s="94">
        <f>IF(EXACT(SEED!$BB320, ""), "", SEED!$BA320)</f>
        <v>65000000000310</v>
      </c>
      <c r="C319" s="92" t="str">
        <f>IF(EXACT($B319, ""), "", IF(EXACT(SEED!$J320, ""), IF(EXACT(SEED!$H320, ""), IF(EXACT(SEED!$F320, ""), IF(EXACT(SEED!$D320, ""), IF(EXACT(SEED!$B320, ""), "", SEED!$B320), SEED!$D320), SEED!$F320), SEED!$H320), SEED!$J320))</f>
        <v>5-3030</v>
      </c>
      <c r="D319" s="92" t="str">
        <f>IF(EXACT($B319, ""), "", IF(EXACT(SEED!$K320, ""), IF(EXACT(SEED!$I320, ""), IF(EXACT(SEED!$G320, ""), IF(EXACT(SEED!$E320, ""), IF(EXACT(SEED!$C320, ""), "", SEED!$C320), SEED!$E320), SEED!$G320), SEED!$I320), SEED!$K320))</f>
        <v>Supervision Expenses</v>
      </c>
    </row>
    <row r="320" spans="2:4" x14ac:dyDescent="0.25">
      <c r="B320" s="94">
        <f>IF(EXACT(SEED!$BB321, ""), "", SEED!$BA321)</f>
        <v>65000000000311</v>
      </c>
      <c r="C320" s="92" t="str">
        <f>IF(EXACT($B320, ""), "", IF(EXACT(SEED!$J321, ""), IF(EXACT(SEED!$H321, ""), IF(EXACT(SEED!$F321, ""), IF(EXACT(SEED!$D321, ""), IF(EXACT(SEED!$B321, ""), "", SEED!$B321), SEED!$D321), SEED!$F321), SEED!$H321), SEED!$J321))</f>
        <v>5-3030.01</v>
      </c>
      <c r="D320" s="92" t="str">
        <f>IF(EXACT($B320, ""), "", IF(EXACT(SEED!$K321, ""), IF(EXACT(SEED!$I321, ""), IF(EXACT(SEED!$G321, ""), IF(EXACT(SEED!$E321, ""), IF(EXACT(SEED!$C321, ""), "", SEED!$C321), SEED!$E321), SEED!$G321), SEED!$I321), SEED!$K321))</f>
        <v>Supervision Expenses (IDR)</v>
      </c>
    </row>
    <row r="321" spans="2:4" x14ac:dyDescent="0.25">
      <c r="B321" s="94">
        <f>IF(EXACT(SEED!$BB322, ""), "", SEED!$BA322)</f>
        <v>65000000000312</v>
      </c>
      <c r="C321" s="92" t="str">
        <f>IF(EXACT($B321, ""), "", IF(EXACT(SEED!$J322, ""), IF(EXACT(SEED!$H322, ""), IF(EXACT(SEED!$F322, ""), IF(EXACT(SEED!$D322, ""), IF(EXACT(SEED!$B322, ""), "", SEED!$B322), SEED!$D322), SEED!$F322), SEED!$H322), SEED!$J322))</f>
        <v>5-3031</v>
      </c>
      <c r="D321" s="92" t="str">
        <f>IF(EXACT($B321, ""), "", IF(EXACT(SEED!$K322, ""), IF(EXACT(SEED!$I322, ""), IF(EXACT(SEED!$G322, ""), IF(EXACT(SEED!$E322, ""), IF(EXACT(SEED!$C322, ""), "", SEED!$C322), SEED!$E322), SEED!$G322), SEED!$I322), SEED!$K322))</f>
        <v>Power Supply</v>
      </c>
    </row>
    <row r="322" spans="2:4" x14ac:dyDescent="0.25">
      <c r="B322" s="94">
        <f>IF(EXACT(SEED!$BB323, ""), "", SEED!$BA323)</f>
        <v>65000000000313</v>
      </c>
      <c r="C322" s="92" t="str">
        <f>IF(EXACT($B322, ""), "", IF(EXACT(SEED!$J323, ""), IF(EXACT(SEED!$H323, ""), IF(EXACT(SEED!$F323, ""), IF(EXACT(SEED!$D323, ""), IF(EXACT(SEED!$B323, ""), "", SEED!$B323), SEED!$D323), SEED!$F323), SEED!$H323), SEED!$J323))</f>
        <v>5-3031.01</v>
      </c>
      <c r="D322" s="92" t="str">
        <f>IF(EXACT($B322, ""), "", IF(EXACT(SEED!$K323, ""), IF(EXACT(SEED!$I323, ""), IF(EXACT(SEED!$G323, ""), IF(EXACT(SEED!$E323, ""), IF(EXACT(SEED!$C323, ""), "", SEED!$C323), SEED!$E323), SEED!$G323), SEED!$I323), SEED!$K323))</f>
        <v>Power Supply (IDR)</v>
      </c>
    </row>
    <row r="323" spans="2:4" x14ac:dyDescent="0.25">
      <c r="B323" s="94">
        <f>IF(EXACT(SEED!$BB324, ""), "", SEED!$BA324)</f>
        <v>65000000000314</v>
      </c>
      <c r="C323" s="92" t="str">
        <f>IF(EXACT($B323, ""), "", IF(EXACT(SEED!$J324, ""), IF(EXACT(SEED!$H324, ""), IF(EXACT(SEED!$F324, ""), IF(EXACT(SEED!$D324, ""), IF(EXACT(SEED!$B324, ""), "", SEED!$B324), SEED!$D324), SEED!$F324), SEED!$H324), SEED!$J324))</f>
        <v>5-3032</v>
      </c>
      <c r="D323" s="92" t="str">
        <f>IF(EXACT($B323, ""), "", IF(EXACT(SEED!$K324, ""), IF(EXACT(SEED!$I324, ""), IF(EXACT(SEED!$G324, ""), IF(EXACT(SEED!$E324, ""), IF(EXACT(SEED!$C324, ""), "", SEED!$C324), SEED!$E324), SEED!$G324), SEED!$I324), SEED!$K324))</f>
        <v>Civil  Work</v>
      </c>
    </row>
    <row r="324" spans="2:4" x14ac:dyDescent="0.25">
      <c r="B324" s="94">
        <f>IF(EXACT(SEED!$BB325, ""), "", SEED!$BA325)</f>
        <v>65000000000315</v>
      </c>
      <c r="C324" s="92" t="str">
        <f>IF(EXACT($B324, ""), "", IF(EXACT(SEED!$J325, ""), IF(EXACT(SEED!$H325, ""), IF(EXACT(SEED!$F325, ""), IF(EXACT(SEED!$D325, ""), IF(EXACT(SEED!$B325, ""), "", SEED!$B325), SEED!$D325), SEED!$F325), SEED!$H325), SEED!$J325))</f>
        <v>5-3032.01</v>
      </c>
      <c r="D324" s="92" t="str">
        <f>IF(EXACT($B324, ""), "", IF(EXACT(SEED!$K325, ""), IF(EXACT(SEED!$I325, ""), IF(EXACT(SEED!$G325, ""), IF(EXACT(SEED!$E325, ""), IF(EXACT(SEED!$C325, ""), "", SEED!$C325), SEED!$E325), SEED!$G325), SEED!$I325), SEED!$K325))</f>
        <v>Civil  Work (IDR)</v>
      </c>
    </row>
    <row r="325" spans="2:4" x14ac:dyDescent="0.25">
      <c r="B325" s="94">
        <f>IF(EXACT(SEED!$BB326, ""), "", SEED!$BA326)</f>
        <v>65000000000316</v>
      </c>
      <c r="C325" s="92" t="str">
        <f>IF(EXACT($B325, ""), "", IF(EXACT(SEED!$J326, ""), IF(EXACT(SEED!$H326, ""), IF(EXACT(SEED!$F326, ""), IF(EXACT(SEED!$D326, ""), IF(EXACT(SEED!$B326, ""), "", SEED!$B326), SEED!$D326), SEED!$F326), SEED!$H326), SEED!$J326))</f>
        <v>5-3033</v>
      </c>
      <c r="D325" s="92" t="str">
        <f>IF(EXACT($B325, ""), "", IF(EXACT(SEED!$K326, ""), IF(EXACT(SEED!$I326, ""), IF(EXACT(SEED!$G326, ""), IF(EXACT(SEED!$E326, ""), IF(EXACT(SEED!$C326, ""), "", SEED!$C326), SEED!$E326), SEED!$G326), SEED!$I326), SEED!$K326))</f>
        <v>Moblilization &amp; demobilization</v>
      </c>
    </row>
    <row r="326" spans="2:4" x14ac:dyDescent="0.25">
      <c r="B326" s="94">
        <f>IF(EXACT(SEED!$BB327, ""), "", SEED!$BA327)</f>
        <v>65000000000317</v>
      </c>
      <c r="C326" s="92" t="str">
        <f>IF(EXACT($B326, ""), "", IF(EXACT(SEED!$J327, ""), IF(EXACT(SEED!$H327, ""), IF(EXACT(SEED!$F327, ""), IF(EXACT(SEED!$D327, ""), IF(EXACT(SEED!$B327, ""), "", SEED!$B327), SEED!$D327), SEED!$F327), SEED!$H327), SEED!$J327))</f>
        <v>5-3033.01</v>
      </c>
      <c r="D326" s="92" t="str">
        <f>IF(EXACT($B326, ""), "", IF(EXACT(SEED!$K327, ""), IF(EXACT(SEED!$I327, ""), IF(EXACT(SEED!$G327, ""), IF(EXACT(SEED!$E327, ""), IF(EXACT(SEED!$C327, ""), "", SEED!$C327), SEED!$E327), SEED!$G327), SEED!$I327), SEED!$K327))</f>
        <v>Moblilization &amp; demobilization (IDR)</v>
      </c>
    </row>
    <row r="327" spans="2:4" x14ac:dyDescent="0.25">
      <c r="B327" s="94">
        <f>IF(EXACT(SEED!$BB328, ""), "", SEED!$BA328)</f>
        <v>65000000000318</v>
      </c>
      <c r="C327" s="92" t="str">
        <f>IF(EXACT($B327, ""), "", IF(EXACT(SEED!$J328, ""), IF(EXACT(SEED!$H328, ""), IF(EXACT(SEED!$F328, ""), IF(EXACT(SEED!$D328, ""), IF(EXACT(SEED!$B328, ""), "", SEED!$B328), SEED!$D328), SEED!$F328), SEED!$H328), SEED!$J328))</f>
        <v>5-3034</v>
      </c>
      <c r="D327" s="92" t="str">
        <f>IF(EXACT($B327, ""), "", IF(EXACT(SEED!$K328, ""), IF(EXACT(SEED!$I328, ""), IF(EXACT(SEED!$G328, ""), IF(EXACT(SEED!$E328, ""), IF(EXACT(SEED!$C328, ""), "", SEED!$C328), SEED!$E328), SEED!$G328), SEED!$I328), SEED!$K328))</f>
        <v>Entertainment-Deductable</v>
      </c>
    </row>
    <row r="328" spans="2:4" x14ac:dyDescent="0.25">
      <c r="B328" s="94">
        <f>IF(EXACT(SEED!$BB329, ""), "", SEED!$BA329)</f>
        <v>65000000000319</v>
      </c>
      <c r="C328" s="92" t="str">
        <f>IF(EXACT($B328, ""), "", IF(EXACT(SEED!$J329, ""), IF(EXACT(SEED!$H329, ""), IF(EXACT(SEED!$F329, ""), IF(EXACT(SEED!$D329, ""), IF(EXACT(SEED!$B329, ""), "", SEED!$B329), SEED!$D329), SEED!$F329), SEED!$H329), SEED!$J329))</f>
        <v>5-3034.01</v>
      </c>
      <c r="D328" s="92" t="str">
        <f>IF(EXACT($B328, ""), "", IF(EXACT(SEED!$K329, ""), IF(EXACT(SEED!$I329, ""), IF(EXACT(SEED!$G329, ""), IF(EXACT(SEED!$E329, ""), IF(EXACT(SEED!$C329, ""), "", SEED!$C329), SEED!$E329), SEED!$G329), SEED!$I329), SEED!$K329))</f>
        <v>Entertainment-Deductable (IDR)</v>
      </c>
    </row>
    <row r="329" spans="2:4" x14ac:dyDescent="0.25">
      <c r="B329" s="94">
        <f>IF(EXACT(SEED!$BB330, ""), "", SEED!$BA330)</f>
        <v>65000000000320</v>
      </c>
      <c r="C329" s="92" t="str">
        <f>IF(EXACT($B329, ""), "", IF(EXACT(SEED!$J330, ""), IF(EXACT(SEED!$H330, ""), IF(EXACT(SEED!$F330, ""), IF(EXACT(SEED!$D330, ""), IF(EXACT(SEED!$B330, ""), "", SEED!$B330), SEED!$D330), SEED!$F330), SEED!$H330), SEED!$J330))</f>
        <v>5-3035</v>
      </c>
      <c r="D329" s="92" t="str">
        <f>IF(EXACT($B329, ""), "", IF(EXACT(SEED!$K330, ""), IF(EXACT(SEED!$I330, ""), IF(EXACT(SEED!$G330, ""), IF(EXACT(SEED!$E330, ""), IF(EXACT(SEED!$C330, ""), "", SEED!$C330), SEED!$E330), SEED!$G330), SEED!$I330), SEED!$K330))</f>
        <v>Entertainment-Undeductable</v>
      </c>
    </row>
    <row r="330" spans="2:4" x14ac:dyDescent="0.25">
      <c r="B330" s="94">
        <f>IF(EXACT(SEED!$BB331, ""), "", SEED!$BA331)</f>
        <v>65000000000321</v>
      </c>
      <c r="C330" s="92" t="str">
        <f>IF(EXACT($B330, ""), "", IF(EXACT(SEED!$J331, ""), IF(EXACT(SEED!$H331, ""), IF(EXACT(SEED!$F331, ""), IF(EXACT(SEED!$D331, ""), IF(EXACT(SEED!$B331, ""), "", SEED!$B331), SEED!$D331), SEED!$F331), SEED!$H331), SEED!$J331))</f>
        <v>5-3035.01</v>
      </c>
      <c r="D330" s="92" t="str">
        <f>IF(EXACT($B330, ""), "", IF(EXACT(SEED!$K331, ""), IF(EXACT(SEED!$I331, ""), IF(EXACT(SEED!$G331, ""), IF(EXACT(SEED!$E331, ""), IF(EXACT(SEED!$C331, ""), "", SEED!$C331), SEED!$E331), SEED!$G331), SEED!$I331), SEED!$K331))</f>
        <v>Entertainment-Undeductable (IDR)</v>
      </c>
    </row>
    <row r="331" spans="2:4" x14ac:dyDescent="0.25">
      <c r="B331" s="94">
        <f>IF(EXACT(SEED!$BB332, ""), "", SEED!$BA332)</f>
        <v>65000000000322</v>
      </c>
      <c r="C331" s="92" t="str">
        <f>IF(EXACT($B331, ""), "", IF(EXACT(SEED!$J332, ""), IF(EXACT(SEED!$H332, ""), IF(EXACT(SEED!$F332, ""), IF(EXACT(SEED!$D332, ""), IF(EXACT(SEED!$B332, ""), "", SEED!$B332), SEED!$D332), SEED!$F332), SEED!$H332), SEED!$J332))</f>
        <v>5-3036</v>
      </c>
      <c r="D331" s="92" t="str">
        <f>IF(EXACT($B331, ""), "", IF(EXACT(SEED!$K332, ""), IF(EXACT(SEED!$I332, ""), IF(EXACT(SEED!$G332, ""), IF(EXACT(SEED!$E332, ""), IF(EXACT(SEED!$C332, ""), "", SEED!$C332), SEED!$E332), SEED!$G332), SEED!$I332), SEED!$K332))</f>
        <v>Non Meal Entertaint-Ded.</v>
      </c>
    </row>
    <row r="332" spans="2:4" x14ac:dyDescent="0.25">
      <c r="B332" s="94">
        <f>IF(EXACT(SEED!$BB333, ""), "", SEED!$BA333)</f>
        <v>65000000000323</v>
      </c>
      <c r="C332" s="92" t="str">
        <f>IF(EXACT($B332, ""), "", IF(EXACT(SEED!$J333, ""), IF(EXACT(SEED!$H333, ""), IF(EXACT(SEED!$F333, ""), IF(EXACT(SEED!$D333, ""), IF(EXACT(SEED!$B333, ""), "", SEED!$B333), SEED!$D333), SEED!$F333), SEED!$H333), SEED!$J333))</f>
        <v>5-3036.01</v>
      </c>
      <c r="D332" s="92" t="str">
        <f>IF(EXACT($B332, ""), "", IF(EXACT(SEED!$K333, ""), IF(EXACT(SEED!$I333, ""), IF(EXACT(SEED!$G333, ""), IF(EXACT(SEED!$E333, ""), IF(EXACT(SEED!$C333, ""), "", SEED!$C333), SEED!$E333), SEED!$G333), SEED!$I333), SEED!$K333))</f>
        <v>Non Meal Entertaint-Ded. (IDR)</v>
      </c>
    </row>
    <row r="333" spans="2:4" x14ac:dyDescent="0.25">
      <c r="B333" s="94">
        <f>IF(EXACT(SEED!$BB334, ""), "", SEED!$BA334)</f>
        <v>65000000000324</v>
      </c>
      <c r="C333" s="92" t="str">
        <f>IF(EXACT($B333, ""), "", IF(EXACT(SEED!$J334, ""), IF(EXACT(SEED!$H334, ""), IF(EXACT(SEED!$F334, ""), IF(EXACT(SEED!$D334, ""), IF(EXACT(SEED!$B334, ""), "", SEED!$B334), SEED!$D334), SEED!$F334), SEED!$H334), SEED!$J334))</f>
        <v>5-3037</v>
      </c>
      <c r="D333" s="92" t="str">
        <f>IF(EXACT($B333, ""), "", IF(EXACT(SEED!$K334, ""), IF(EXACT(SEED!$I334, ""), IF(EXACT(SEED!$G334, ""), IF(EXACT(SEED!$E334, ""), IF(EXACT(SEED!$C334, ""), "", SEED!$C334), SEED!$E334), SEED!$G334), SEED!$I334), SEED!$K334))</f>
        <v>Non Meal Entertaint-Unded.</v>
      </c>
    </row>
    <row r="334" spans="2:4" x14ac:dyDescent="0.25">
      <c r="B334" s="94">
        <f>IF(EXACT(SEED!$BB335, ""), "", SEED!$BA335)</f>
        <v>65000000000325</v>
      </c>
      <c r="C334" s="92" t="str">
        <f>IF(EXACT($B334, ""), "", IF(EXACT(SEED!$J335, ""), IF(EXACT(SEED!$H335, ""), IF(EXACT(SEED!$F335, ""), IF(EXACT(SEED!$D335, ""), IF(EXACT(SEED!$B335, ""), "", SEED!$B335), SEED!$D335), SEED!$F335), SEED!$H335), SEED!$J335))</f>
        <v>5-3037.01</v>
      </c>
      <c r="D334" s="92" t="str">
        <f>IF(EXACT($B334, ""), "", IF(EXACT(SEED!$K335, ""), IF(EXACT(SEED!$I335, ""), IF(EXACT(SEED!$G335, ""), IF(EXACT(SEED!$E335, ""), IF(EXACT(SEED!$C335, ""), "", SEED!$C335), SEED!$E335), SEED!$G335), SEED!$I335), SEED!$K335))</f>
        <v>Non Meal Entertaint-Unded. (IDR)</v>
      </c>
    </row>
    <row r="335" spans="2:4" x14ac:dyDescent="0.25">
      <c r="B335" s="94">
        <f>IF(EXACT(SEED!$BB336, ""), "", SEED!$BA336)</f>
        <v>65000000000326</v>
      </c>
      <c r="C335" s="92" t="str">
        <f>IF(EXACT($B335, ""), "", IF(EXACT(SEED!$J336, ""), IF(EXACT(SEED!$H336, ""), IF(EXACT(SEED!$F336, ""), IF(EXACT(SEED!$D336, ""), IF(EXACT(SEED!$B336, ""), "", SEED!$B336), SEED!$D336), SEED!$F336), SEED!$H336), SEED!$J336))</f>
        <v>5-3038</v>
      </c>
      <c r="D335" s="92" t="str">
        <f>IF(EXACT($B335, ""), "", IF(EXACT(SEED!$K336, ""), IF(EXACT(SEED!$I336, ""), IF(EXACT(SEED!$G336, ""), IF(EXACT(SEED!$E336, ""), IF(EXACT(SEED!$C336, ""), "", SEED!$C336), SEED!$E336), SEED!$G336), SEED!$I336), SEED!$K336))</f>
        <v>Donation</v>
      </c>
    </row>
    <row r="336" spans="2:4" x14ac:dyDescent="0.25">
      <c r="B336" s="94">
        <f>IF(EXACT(SEED!$BB337, ""), "", SEED!$BA337)</f>
        <v>65000000000327</v>
      </c>
      <c r="C336" s="92" t="str">
        <f>IF(EXACT($B336, ""), "", IF(EXACT(SEED!$J337, ""), IF(EXACT(SEED!$H337, ""), IF(EXACT(SEED!$F337, ""), IF(EXACT(SEED!$D337, ""), IF(EXACT(SEED!$B337, ""), "", SEED!$B337), SEED!$D337), SEED!$F337), SEED!$H337), SEED!$J337))</f>
        <v>5-3038.01</v>
      </c>
      <c r="D336" s="92" t="str">
        <f>IF(EXACT($B336, ""), "", IF(EXACT(SEED!$K337, ""), IF(EXACT(SEED!$I337, ""), IF(EXACT(SEED!$G337, ""), IF(EXACT(SEED!$E337, ""), IF(EXACT(SEED!$C337, ""), "", SEED!$C337), SEED!$E337), SEED!$G337), SEED!$I337), SEED!$K337))</f>
        <v>Donation (IDR)</v>
      </c>
    </row>
    <row r="337" spans="2:4" x14ac:dyDescent="0.25">
      <c r="B337" s="94">
        <f>IF(EXACT(SEED!$BB338, ""), "", SEED!$BA338)</f>
        <v>65000000000328</v>
      </c>
      <c r="C337" s="92" t="str">
        <f>IF(EXACT($B337, ""), "", IF(EXACT(SEED!$J338, ""), IF(EXACT(SEED!$H338, ""), IF(EXACT(SEED!$F338, ""), IF(EXACT(SEED!$D338, ""), IF(EXACT(SEED!$B338, ""), "", SEED!$B338), SEED!$D338), SEED!$F338), SEED!$H338), SEED!$J338))</f>
        <v>5-3039</v>
      </c>
      <c r="D337" s="92" t="str">
        <f>IF(EXACT($B337, ""), "", IF(EXACT(SEED!$K338, ""), IF(EXACT(SEED!$I338, ""), IF(EXACT(SEED!$G338, ""), IF(EXACT(SEED!$E338, ""), IF(EXACT(SEED!$C338, ""), "", SEED!$C338), SEED!$E338), SEED!$G338), SEED!$I338), SEED!$K338))</f>
        <v>Depre - Building Improvement</v>
      </c>
    </row>
    <row r="338" spans="2:4" x14ac:dyDescent="0.25">
      <c r="B338" s="94">
        <f>IF(EXACT(SEED!$BB339, ""), "", SEED!$BA339)</f>
        <v>65000000000329</v>
      </c>
      <c r="C338" s="92" t="str">
        <f>IF(EXACT($B338, ""), "", IF(EXACT(SEED!$J339, ""), IF(EXACT(SEED!$H339, ""), IF(EXACT(SEED!$F339, ""), IF(EXACT(SEED!$D339, ""), IF(EXACT(SEED!$B339, ""), "", SEED!$B339), SEED!$D339), SEED!$F339), SEED!$H339), SEED!$J339))</f>
        <v>5-3039.01</v>
      </c>
      <c r="D338" s="92" t="str">
        <f>IF(EXACT($B338, ""), "", IF(EXACT(SEED!$K339, ""), IF(EXACT(SEED!$I339, ""), IF(EXACT(SEED!$G339, ""), IF(EXACT(SEED!$E339, ""), IF(EXACT(SEED!$C339, ""), "", SEED!$C339), SEED!$E339), SEED!$G339), SEED!$I339), SEED!$K339))</f>
        <v>Depre - Building Improvement (IDR)</v>
      </c>
    </row>
    <row r="339" spans="2:4" x14ac:dyDescent="0.25">
      <c r="B339" s="94">
        <f>IF(EXACT(SEED!$BB340, ""), "", SEED!$BA340)</f>
        <v>65000000000330</v>
      </c>
      <c r="C339" s="92" t="str">
        <f>IF(EXACT($B339, ""), "", IF(EXACT(SEED!$J340, ""), IF(EXACT(SEED!$H340, ""), IF(EXACT(SEED!$F340, ""), IF(EXACT(SEED!$D340, ""), IF(EXACT(SEED!$B340, ""), "", SEED!$B340), SEED!$D340), SEED!$F340), SEED!$H340), SEED!$J340))</f>
        <v>5-3040</v>
      </c>
      <c r="D339" s="92" t="str">
        <f>IF(EXACT($B339, ""), "", IF(EXACT(SEED!$K340, ""), IF(EXACT(SEED!$I340, ""), IF(EXACT(SEED!$G340, ""), IF(EXACT(SEED!$E340, ""), IF(EXACT(SEED!$C340, ""), "", SEED!$C340), SEED!$E340), SEED!$G340), SEED!$I340), SEED!$K340))</f>
        <v>Depre - IT Equipment</v>
      </c>
    </row>
    <row r="340" spans="2:4" x14ac:dyDescent="0.25">
      <c r="B340" s="94">
        <f>IF(EXACT(SEED!$BB341, ""), "", SEED!$BA341)</f>
        <v>65000000000331</v>
      </c>
      <c r="C340" s="92" t="str">
        <f>IF(EXACT($B340, ""), "", IF(EXACT(SEED!$J341, ""), IF(EXACT(SEED!$H341, ""), IF(EXACT(SEED!$F341, ""), IF(EXACT(SEED!$D341, ""), IF(EXACT(SEED!$B341, ""), "", SEED!$B341), SEED!$D341), SEED!$F341), SEED!$H341), SEED!$J341))</f>
        <v>5-3040.01</v>
      </c>
      <c r="D340" s="92" t="str">
        <f>IF(EXACT($B340, ""), "", IF(EXACT(SEED!$K341, ""), IF(EXACT(SEED!$I341, ""), IF(EXACT(SEED!$G341, ""), IF(EXACT(SEED!$E341, ""), IF(EXACT(SEED!$C341, ""), "", SEED!$C341), SEED!$E341), SEED!$G341), SEED!$I341), SEED!$K341))</f>
        <v>Depre - IT Equipment (IDR)</v>
      </c>
    </row>
    <row r="341" spans="2:4" x14ac:dyDescent="0.25">
      <c r="B341" s="94">
        <f>IF(EXACT(SEED!$BB342, ""), "", SEED!$BA342)</f>
        <v>65000000000332</v>
      </c>
      <c r="C341" s="92" t="str">
        <f>IF(EXACT($B341, ""), "", IF(EXACT(SEED!$J342, ""), IF(EXACT(SEED!$H342, ""), IF(EXACT(SEED!$F342, ""), IF(EXACT(SEED!$D342, ""), IF(EXACT(SEED!$B342, ""), "", SEED!$B342), SEED!$D342), SEED!$F342), SEED!$H342), SEED!$J342))</f>
        <v>5-3041</v>
      </c>
      <c r="D341" s="92" t="str">
        <f>IF(EXACT($B341, ""), "", IF(EXACT(SEED!$K342, ""), IF(EXACT(SEED!$I342, ""), IF(EXACT(SEED!$G342, ""), IF(EXACT(SEED!$E342, ""), IF(EXACT(SEED!$C342, ""), "", SEED!$C342), SEED!$E342), SEED!$G342), SEED!$I342), SEED!$K342))</f>
        <v>Depre - Office Machine &amp; Equip</v>
      </c>
    </row>
    <row r="342" spans="2:4" x14ac:dyDescent="0.25">
      <c r="B342" s="94">
        <f>IF(EXACT(SEED!$BB343, ""), "", SEED!$BA343)</f>
        <v>65000000000333</v>
      </c>
      <c r="C342" s="92" t="str">
        <f>IF(EXACT($B342, ""), "", IF(EXACT(SEED!$J343, ""), IF(EXACT(SEED!$H343, ""), IF(EXACT(SEED!$F343, ""), IF(EXACT(SEED!$D343, ""), IF(EXACT(SEED!$B343, ""), "", SEED!$B343), SEED!$D343), SEED!$F343), SEED!$H343), SEED!$J343))</f>
        <v>5-3041.01</v>
      </c>
      <c r="D342" s="92" t="str">
        <f>IF(EXACT($B342, ""), "", IF(EXACT(SEED!$K343, ""), IF(EXACT(SEED!$I343, ""), IF(EXACT(SEED!$G343, ""), IF(EXACT(SEED!$E343, ""), IF(EXACT(SEED!$C343, ""), "", SEED!$C343), SEED!$E343), SEED!$G343), SEED!$I343), SEED!$K343))</f>
        <v>Depre - Office Machine &amp; Equip (IDR)</v>
      </c>
    </row>
    <row r="343" spans="2:4" x14ac:dyDescent="0.25">
      <c r="B343" s="94">
        <f>IF(EXACT(SEED!$BB344, ""), "", SEED!$BA344)</f>
        <v>65000000000334</v>
      </c>
      <c r="C343" s="92" t="str">
        <f>IF(EXACT($B343, ""), "", IF(EXACT(SEED!$J344, ""), IF(EXACT(SEED!$H344, ""), IF(EXACT(SEED!$F344, ""), IF(EXACT(SEED!$D344, ""), IF(EXACT(SEED!$B344, ""), "", SEED!$B344), SEED!$D344), SEED!$F344), SEED!$H344), SEED!$J344))</f>
        <v>5-3042</v>
      </c>
      <c r="D343" s="92" t="str">
        <f>IF(EXACT($B343, ""), "", IF(EXACT(SEED!$K344, ""), IF(EXACT(SEED!$I344, ""), IF(EXACT(SEED!$G344, ""), IF(EXACT(SEED!$E344, ""), IF(EXACT(SEED!$C344, ""), "", SEED!$C344), SEED!$E344), SEED!$G344), SEED!$I344), SEED!$K344))</f>
        <v>Depre - Sundry Plant &amp; Equipt</v>
      </c>
    </row>
    <row r="344" spans="2:4" x14ac:dyDescent="0.25">
      <c r="B344" s="94">
        <f>IF(EXACT(SEED!$BB345, ""), "", SEED!$BA345)</f>
        <v>65000000000335</v>
      </c>
      <c r="C344" s="92" t="str">
        <f>IF(EXACT($B344, ""), "", IF(EXACT(SEED!$J345, ""), IF(EXACT(SEED!$H345, ""), IF(EXACT(SEED!$F345, ""), IF(EXACT(SEED!$D345, ""), IF(EXACT(SEED!$B345, ""), "", SEED!$B345), SEED!$D345), SEED!$F345), SEED!$H345), SEED!$J345))</f>
        <v>5-3042.01</v>
      </c>
      <c r="D344" s="92" t="str">
        <f>IF(EXACT($B344, ""), "", IF(EXACT(SEED!$K345, ""), IF(EXACT(SEED!$I345, ""), IF(EXACT(SEED!$G345, ""), IF(EXACT(SEED!$E345, ""), IF(EXACT(SEED!$C345, ""), "", SEED!$C345), SEED!$E345), SEED!$G345), SEED!$I345), SEED!$K345))</f>
        <v>Depre - Sundry Plant &amp; Equipt (IDR)</v>
      </c>
    </row>
    <row r="345" spans="2:4" x14ac:dyDescent="0.25">
      <c r="B345" s="94">
        <f>IF(EXACT(SEED!$BB346, ""), "", SEED!$BA346)</f>
        <v>65000000000336</v>
      </c>
      <c r="C345" s="92" t="str">
        <f>IF(EXACT($B345, ""), "", IF(EXACT(SEED!$J346, ""), IF(EXACT(SEED!$H346, ""), IF(EXACT(SEED!$F346, ""), IF(EXACT(SEED!$D346, ""), IF(EXACT(SEED!$B346, ""), "", SEED!$B346), SEED!$D346), SEED!$F346), SEED!$H346), SEED!$J346))</f>
        <v>5-3043</v>
      </c>
      <c r="D345" s="92" t="str">
        <f>IF(EXACT($B345, ""), "", IF(EXACT(SEED!$K346, ""), IF(EXACT(SEED!$I346, ""), IF(EXACT(SEED!$G346, ""), IF(EXACT(SEED!$E346, ""), IF(EXACT(SEED!$C346, ""), "", SEED!$C346), SEED!$E346), SEED!$G346), SEED!$I346), SEED!$K346))</f>
        <v>Depre - Test Equipment</v>
      </c>
    </row>
    <row r="346" spans="2:4" x14ac:dyDescent="0.25">
      <c r="B346" s="94">
        <f>IF(EXACT(SEED!$BB347, ""), "", SEED!$BA347)</f>
        <v>65000000000337</v>
      </c>
      <c r="C346" s="92" t="str">
        <f>IF(EXACT($B346, ""), "", IF(EXACT(SEED!$J347, ""), IF(EXACT(SEED!$H347, ""), IF(EXACT(SEED!$F347, ""), IF(EXACT(SEED!$D347, ""), IF(EXACT(SEED!$B347, ""), "", SEED!$B347), SEED!$D347), SEED!$F347), SEED!$H347), SEED!$J347))</f>
        <v>5-3043.01</v>
      </c>
      <c r="D346" s="92" t="str">
        <f>IF(EXACT($B346, ""), "", IF(EXACT(SEED!$K347, ""), IF(EXACT(SEED!$I347, ""), IF(EXACT(SEED!$G347, ""), IF(EXACT(SEED!$E347, ""), IF(EXACT(SEED!$C347, ""), "", SEED!$C347), SEED!$E347), SEED!$G347), SEED!$I347), SEED!$K347))</f>
        <v>Depre - Test Equipment (IDR)</v>
      </c>
    </row>
    <row r="347" spans="2:4" x14ac:dyDescent="0.25">
      <c r="B347" s="94">
        <f>IF(EXACT(SEED!$BB348, ""), "", SEED!$BA348)</f>
        <v>65000000000338</v>
      </c>
      <c r="C347" s="92" t="str">
        <f>IF(EXACT($B347, ""), "", IF(EXACT(SEED!$J348, ""), IF(EXACT(SEED!$H348, ""), IF(EXACT(SEED!$F348, ""), IF(EXACT(SEED!$D348, ""), IF(EXACT(SEED!$B348, ""), "", SEED!$B348), SEED!$D348), SEED!$F348), SEED!$H348), SEED!$J348))</f>
        <v>5-3044</v>
      </c>
      <c r="D347" s="92" t="str">
        <f>IF(EXACT($B347, ""), "", IF(EXACT(SEED!$K348, ""), IF(EXACT(SEED!$I348, ""), IF(EXACT(SEED!$G348, ""), IF(EXACT(SEED!$E348, ""), IF(EXACT(SEED!$C348, ""), "", SEED!$C348), SEED!$E348), SEED!$G348), SEED!$I348), SEED!$K348))</f>
        <v>Depre - Motor Vehicle</v>
      </c>
    </row>
    <row r="348" spans="2:4" x14ac:dyDescent="0.25">
      <c r="B348" s="94">
        <f>IF(EXACT(SEED!$BB349, ""), "", SEED!$BA349)</f>
        <v>65000000000339</v>
      </c>
      <c r="C348" s="92" t="str">
        <f>IF(EXACT($B348, ""), "", IF(EXACT(SEED!$J349, ""), IF(EXACT(SEED!$H349, ""), IF(EXACT(SEED!$F349, ""), IF(EXACT(SEED!$D349, ""), IF(EXACT(SEED!$B349, ""), "", SEED!$B349), SEED!$D349), SEED!$F349), SEED!$H349), SEED!$J349))</f>
        <v>5-3044.01</v>
      </c>
      <c r="D348" s="92" t="str">
        <f>IF(EXACT($B348, ""), "", IF(EXACT(SEED!$K349, ""), IF(EXACT(SEED!$I349, ""), IF(EXACT(SEED!$G349, ""), IF(EXACT(SEED!$E349, ""), IF(EXACT(SEED!$C349, ""), "", SEED!$C349), SEED!$E349), SEED!$G349), SEED!$I349), SEED!$K349))</f>
        <v>Depre - Motor Vehicle (IDR)</v>
      </c>
    </row>
    <row r="349" spans="2:4" x14ac:dyDescent="0.25">
      <c r="B349" s="94">
        <f>IF(EXACT(SEED!$BB350, ""), "", SEED!$BA350)</f>
        <v>65000000000340</v>
      </c>
      <c r="C349" s="92" t="str">
        <f>IF(EXACT($B349, ""), "", IF(EXACT(SEED!$J350, ""), IF(EXACT(SEED!$H350, ""), IF(EXACT(SEED!$F350, ""), IF(EXACT(SEED!$D350, ""), IF(EXACT(SEED!$B350, ""), "", SEED!$B350), SEED!$D350), SEED!$F350), SEED!$H350), SEED!$J350))</f>
        <v>5-3045</v>
      </c>
      <c r="D349" s="92" t="str">
        <f>IF(EXACT($B349, ""), "", IF(EXACT(SEED!$K350, ""), IF(EXACT(SEED!$I350, ""), IF(EXACT(SEED!$G350, ""), IF(EXACT(SEED!$E350, ""), IF(EXACT(SEED!$C350, ""), "", SEED!$C350), SEED!$E350), SEED!$G350), SEED!$I350), SEED!$K350))</f>
        <v>Depre - Tools</v>
      </c>
    </row>
    <row r="350" spans="2:4" x14ac:dyDescent="0.25">
      <c r="B350" s="94">
        <f>IF(EXACT(SEED!$BB351, ""), "", SEED!$BA351)</f>
        <v>65000000000341</v>
      </c>
      <c r="C350" s="92" t="str">
        <f>IF(EXACT($B350, ""), "", IF(EXACT(SEED!$J351, ""), IF(EXACT(SEED!$H351, ""), IF(EXACT(SEED!$F351, ""), IF(EXACT(SEED!$D351, ""), IF(EXACT(SEED!$B351, ""), "", SEED!$B351), SEED!$D351), SEED!$F351), SEED!$H351), SEED!$J351))</f>
        <v>5-3045.01</v>
      </c>
      <c r="D350" s="92" t="str">
        <f>IF(EXACT($B350, ""), "", IF(EXACT(SEED!$K351, ""), IF(EXACT(SEED!$I351, ""), IF(EXACT(SEED!$G351, ""), IF(EXACT(SEED!$E351, ""), IF(EXACT(SEED!$C351, ""), "", SEED!$C351), SEED!$E351), SEED!$G351), SEED!$I351), SEED!$K351))</f>
        <v>Depre - Tools (IDR)</v>
      </c>
    </row>
    <row r="351" spans="2:4" x14ac:dyDescent="0.25">
      <c r="B351" s="94">
        <f>IF(EXACT(SEED!$BB352, ""), "", SEED!$BA352)</f>
        <v>65000000000342</v>
      </c>
      <c r="C351" s="92" t="str">
        <f>IF(EXACT($B351, ""), "", IF(EXACT(SEED!$J352, ""), IF(EXACT(SEED!$H352, ""), IF(EXACT(SEED!$F352, ""), IF(EXACT(SEED!$D352, ""), IF(EXACT(SEED!$B352, ""), "", SEED!$B352), SEED!$D352), SEED!$F352), SEED!$H352), SEED!$J352))</f>
        <v>5-3046</v>
      </c>
      <c r="D351" s="92" t="str">
        <f>IF(EXACT($B351, ""), "", IF(EXACT(SEED!$K352, ""), IF(EXACT(SEED!$I352, ""), IF(EXACT(SEED!$G352, ""), IF(EXACT(SEED!$E352, ""), IF(EXACT(SEED!$C352, ""), "", SEED!$C352), SEED!$E352), SEED!$G352), SEED!$I352), SEED!$K352))</f>
        <v>Depre - Furniture Fitting</v>
      </c>
    </row>
    <row r="352" spans="2:4" x14ac:dyDescent="0.25">
      <c r="B352" s="94">
        <f>IF(EXACT(SEED!$BB353, ""), "", SEED!$BA353)</f>
        <v>65000000000343</v>
      </c>
      <c r="C352" s="92" t="str">
        <f>IF(EXACT($B352, ""), "", IF(EXACT(SEED!$J353, ""), IF(EXACT(SEED!$H353, ""), IF(EXACT(SEED!$F353, ""), IF(EXACT(SEED!$D353, ""), IF(EXACT(SEED!$B353, ""), "", SEED!$B353), SEED!$D353), SEED!$F353), SEED!$H353), SEED!$J353))</f>
        <v>5-3046.01</v>
      </c>
      <c r="D352" s="92" t="str">
        <f>IF(EXACT($B352, ""), "", IF(EXACT(SEED!$K353, ""), IF(EXACT(SEED!$I353, ""), IF(EXACT(SEED!$G353, ""), IF(EXACT(SEED!$E353, ""), IF(EXACT(SEED!$C353, ""), "", SEED!$C353), SEED!$E353), SEED!$G353), SEED!$I353), SEED!$K353))</f>
        <v>Depre - Furniture Fitting (IDR)</v>
      </c>
    </row>
    <row r="353" spans="2:4" x14ac:dyDescent="0.25">
      <c r="B353" s="94">
        <f>IF(EXACT(SEED!$BB354, ""), "", SEED!$BA354)</f>
        <v>65000000000344</v>
      </c>
      <c r="C353" s="92" t="str">
        <f>IF(EXACT($B353, ""), "", IF(EXACT(SEED!$J354, ""), IF(EXACT(SEED!$H354, ""), IF(EXACT(SEED!$F354, ""), IF(EXACT(SEED!$D354, ""), IF(EXACT(SEED!$B354, ""), "", SEED!$B354), SEED!$D354), SEED!$F354), SEED!$H354), SEED!$J354))</f>
        <v>5-3047</v>
      </c>
      <c r="D353" s="92" t="str">
        <f>IF(EXACT($B353, ""), "", IF(EXACT(SEED!$K354, ""), IF(EXACT(SEED!$I354, ""), IF(EXACT(SEED!$G354, ""), IF(EXACT(SEED!$E354, ""), IF(EXACT(SEED!$C354, ""), "", SEED!$C354), SEED!$E354), SEED!$G354), SEED!$I354), SEED!$K354))</f>
        <v>Depre - Mobile Phone</v>
      </c>
    </row>
    <row r="354" spans="2:4" x14ac:dyDescent="0.25">
      <c r="B354" s="94">
        <f>IF(EXACT(SEED!$BB355, ""), "", SEED!$BA355)</f>
        <v>65000000000345</v>
      </c>
      <c r="C354" s="92" t="str">
        <f>IF(EXACT($B354, ""), "", IF(EXACT(SEED!$J355, ""), IF(EXACT(SEED!$H355, ""), IF(EXACT(SEED!$F355, ""), IF(EXACT(SEED!$D355, ""), IF(EXACT(SEED!$B355, ""), "", SEED!$B355), SEED!$D355), SEED!$F355), SEED!$H355), SEED!$J355))</f>
        <v>5-3047.01</v>
      </c>
      <c r="D354" s="92" t="str">
        <f>IF(EXACT($B354, ""), "", IF(EXACT(SEED!$K355, ""), IF(EXACT(SEED!$I355, ""), IF(EXACT(SEED!$G355, ""), IF(EXACT(SEED!$E355, ""), IF(EXACT(SEED!$C355, ""), "", SEED!$C355), SEED!$E355), SEED!$G355), SEED!$I355), SEED!$K355))</f>
        <v>Depre - Mobile Phone (IDR)</v>
      </c>
    </row>
    <row r="355" spans="2:4" x14ac:dyDescent="0.25">
      <c r="B355" s="94">
        <f>IF(EXACT(SEED!$BB356, ""), "", SEED!$BA356)</f>
        <v>65000000000346</v>
      </c>
      <c r="C355" s="92" t="str">
        <f>IF(EXACT($B355, ""), "", IF(EXACT(SEED!$J356, ""), IF(EXACT(SEED!$H356, ""), IF(EXACT(SEED!$F356, ""), IF(EXACT(SEED!$D356, ""), IF(EXACT(SEED!$B356, ""), "", SEED!$B356), SEED!$D356), SEED!$F356), SEED!$H356), SEED!$J356))</f>
        <v>5-3048</v>
      </c>
      <c r="D355" s="92" t="str">
        <f>IF(EXACT($B355, ""), "", IF(EXACT(SEED!$K356, ""), IF(EXACT(SEED!$I356, ""), IF(EXACT(SEED!$G356, ""), IF(EXACT(SEED!$E356, ""), IF(EXACT(SEED!$C356, ""), "", SEED!$C356), SEED!$E356), SEED!$G356), SEED!$I356), SEED!$K356))</f>
        <v>Customer Claims</v>
      </c>
    </row>
    <row r="356" spans="2:4" x14ac:dyDescent="0.25">
      <c r="B356" s="94">
        <f>IF(EXACT(SEED!$BB357, ""), "", SEED!$BA357)</f>
        <v>65000000000347</v>
      </c>
      <c r="C356" s="92" t="str">
        <f>IF(EXACT($B356, ""), "", IF(EXACT(SEED!$J357, ""), IF(EXACT(SEED!$H357, ""), IF(EXACT(SEED!$F357, ""), IF(EXACT(SEED!$D357, ""), IF(EXACT(SEED!$B357, ""), "", SEED!$B357), SEED!$D357), SEED!$F357), SEED!$H357), SEED!$J357))</f>
        <v>5-3048.01</v>
      </c>
      <c r="D356" s="92" t="str">
        <f>IF(EXACT($B356, ""), "", IF(EXACT(SEED!$K357, ""), IF(EXACT(SEED!$I357, ""), IF(EXACT(SEED!$G357, ""), IF(EXACT(SEED!$E357, ""), IF(EXACT(SEED!$C357, ""), "", SEED!$C357), SEED!$E357), SEED!$G357), SEED!$I357), SEED!$K357))</f>
        <v>Customer Claims (IDR)</v>
      </c>
    </row>
    <row r="357" spans="2:4" x14ac:dyDescent="0.25">
      <c r="B357" s="94">
        <f>IF(EXACT(SEED!$BB358, ""), "", SEED!$BA358)</f>
        <v>65000000000348</v>
      </c>
      <c r="C357" s="92" t="str">
        <f>IF(EXACT($B357, ""), "", IF(EXACT(SEED!$J358, ""), IF(EXACT(SEED!$H358, ""), IF(EXACT(SEED!$F358, ""), IF(EXACT(SEED!$D358, ""), IF(EXACT(SEED!$B358, ""), "", SEED!$B358), SEED!$D358), SEED!$F358), SEED!$H358), SEED!$J358))</f>
        <v>5-3099</v>
      </c>
      <c r="D357" s="92" t="str">
        <f>IF(EXACT($B357, ""), "", IF(EXACT(SEED!$K358, ""), IF(EXACT(SEED!$I358, ""), IF(EXACT(SEED!$G358, ""), IF(EXACT(SEED!$E358, ""), IF(EXACT(SEED!$C358, ""), "", SEED!$C358), SEED!$E358), SEED!$G358), SEED!$I358), SEED!$K358))</f>
        <v>Other Overhead</v>
      </c>
    </row>
    <row r="358" spans="2:4" x14ac:dyDescent="0.25">
      <c r="B358" s="94">
        <f>IF(EXACT(SEED!$BB359, ""), "", SEED!$BA359)</f>
        <v>65000000000349</v>
      </c>
      <c r="C358" s="92" t="str">
        <f>IF(EXACT($B358, ""), "", IF(EXACT(SEED!$J359, ""), IF(EXACT(SEED!$H359, ""), IF(EXACT(SEED!$F359, ""), IF(EXACT(SEED!$D359, ""), IF(EXACT(SEED!$B359, ""), "", SEED!$B359), SEED!$D359), SEED!$F359), SEED!$H359), SEED!$J359))</f>
        <v>5-3099.01</v>
      </c>
      <c r="D358" s="92" t="str">
        <f>IF(EXACT($B358, ""), "", IF(EXACT(SEED!$K359, ""), IF(EXACT(SEED!$I359, ""), IF(EXACT(SEED!$G359, ""), IF(EXACT(SEED!$E359, ""), IF(EXACT(SEED!$C359, ""), "", SEED!$C359), SEED!$E359), SEED!$G359), SEED!$I359), SEED!$K359))</f>
        <v>Other Overhead (IDR)</v>
      </c>
    </row>
    <row r="359" spans="2:4" x14ac:dyDescent="0.25">
      <c r="B359" s="94">
        <f>IF(EXACT(SEED!$BB360, ""), "", SEED!$BA360)</f>
        <v>65000000000350</v>
      </c>
      <c r="C359" s="92" t="str">
        <f>IF(EXACT($B359, ""), "", IF(EXACT(SEED!$J360, ""), IF(EXACT(SEED!$H360, ""), IF(EXACT(SEED!$F360, ""), IF(EXACT(SEED!$D360, ""), IF(EXACT(SEED!$B360, ""), "", SEED!$B360), SEED!$D360), SEED!$F360), SEED!$H360), SEED!$J360))</f>
        <v>6-0000</v>
      </c>
      <c r="D359" s="92" t="str">
        <f>IF(EXACT($B359, ""), "", IF(EXACT(SEED!$K360, ""), IF(EXACT(SEED!$I360, ""), IF(EXACT(SEED!$G360, ""), IF(EXACT(SEED!$E360, ""), IF(EXACT(SEED!$C360, ""), "", SEED!$C360), SEED!$E360), SEED!$G360), SEED!$I360), SEED!$K360))</f>
        <v>Biaya Administrasi &amp; Umum</v>
      </c>
    </row>
    <row r="360" spans="2:4" x14ac:dyDescent="0.25">
      <c r="B360" s="94">
        <f>IF(EXACT(SEED!$BB361, ""), "", SEED!$BA361)</f>
        <v>65000000000351</v>
      </c>
      <c r="C360" s="92" t="str">
        <f>IF(EXACT($B360, ""), "", IF(EXACT(SEED!$J361, ""), IF(EXACT(SEED!$H361, ""), IF(EXACT(SEED!$F361, ""), IF(EXACT(SEED!$D361, ""), IF(EXACT(SEED!$B361, ""), "", SEED!$B361), SEED!$D361), SEED!$F361), SEED!$H361), SEED!$J361))</f>
        <v>6-1000</v>
      </c>
      <c r="D360" s="92" t="str">
        <f>IF(EXACT($B360, ""), "", IF(EXACT(SEED!$K361, ""), IF(EXACT(SEED!$I361, ""), IF(EXACT(SEED!$G361, ""), IF(EXACT(SEED!$E361, ""), IF(EXACT(SEED!$C361, ""), "", SEED!$C361), SEED!$E361), SEED!$G361), SEED!$I361), SEED!$K361))</f>
        <v>Biaya Pegawai</v>
      </c>
    </row>
    <row r="361" spans="2:4" x14ac:dyDescent="0.25">
      <c r="B361" s="94">
        <f>IF(EXACT(SEED!$BB362, ""), "", SEED!$BA362)</f>
        <v>65000000000352</v>
      </c>
      <c r="C361" s="92" t="str">
        <f>IF(EXACT($B361, ""), "", IF(EXACT(SEED!$J362, ""), IF(EXACT(SEED!$H362, ""), IF(EXACT(SEED!$F362, ""), IF(EXACT(SEED!$D362, ""), IF(EXACT(SEED!$B362, ""), "", SEED!$B362), SEED!$D362), SEED!$F362), SEED!$H362), SEED!$J362))</f>
        <v>6-1001</v>
      </c>
      <c r="D361" s="92" t="str">
        <f>IF(EXACT($B361, ""), "", IF(EXACT(SEED!$K362, ""), IF(EXACT(SEED!$I362, ""), IF(EXACT(SEED!$G362, ""), IF(EXACT(SEED!$E362, ""), IF(EXACT(SEED!$C362, ""), "", SEED!$C362), SEED!$E362), SEED!$G362), SEED!$I362), SEED!$K362))</f>
        <v>Salary</v>
      </c>
    </row>
    <row r="362" spans="2:4" x14ac:dyDescent="0.25">
      <c r="B362" s="94">
        <f>IF(EXACT(SEED!$BB363, ""), "", SEED!$BA363)</f>
        <v>65000000000353</v>
      </c>
      <c r="C362" s="92" t="str">
        <f>IF(EXACT($B362, ""), "", IF(EXACT(SEED!$J363, ""), IF(EXACT(SEED!$H363, ""), IF(EXACT(SEED!$F363, ""), IF(EXACT(SEED!$D363, ""), IF(EXACT(SEED!$B363, ""), "", SEED!$B363), SEED!$D363), SEED!$F363), SEED!$H363), SEED!$J363))</f>
        <v>6-1001.01</v>
      </c>
      <c r="D362" s="92" t="str">
        <f>IF(EXACT($B362, ""), "", IF(EXACT(SEED!$K363, ""), IF(EXACT(SEED!$I363, ""), IF(EXACT(SEED!$G363, ""), IF(EXACT(SEED!$E363, ""), IF(EXACT(SEED!$C363, ""), "", SEED!$C363), SEED!$E363), SEED!$G363), SEED!$I363), SEED!$K363))</f>
        <v>Salary (IDR)</v>
      </c>
    </row>
    <row r="363" spans="2:4" x14ac:dyDescent="0.25">
      <c r="B363" s="94">
        <f>IF(EXACT(SEED!$BB364, ""), "", SEED!$BA364)</f>
        <v>65000000000354</v>
      </c>
      <c r="C363" s="92" t="str">
        <f>IF(EXACT($B363, ""), "", IF(EXACT(SEED!$J364, ""), IF(EXACT(SEED!$H364, ""), IF(EXACT(SEED!$F364, ""), IF(EXACT(SEED!$D364, ""), IF(EXACT(SEED!$B364, ""), "", SEED!$B364), SEED!$D364), SEED!$F364), SEED!$H364), SEED!$J364))</f>
        <v>6-1002</v>
      </c>
      <c r="D363" s="92" t="str">
        <f>IF(EXACT($B363, ""), "", IF(EXACT(SEED!$K364, ""), IF(EXACT(SEED!$I364, ""), IF(EXACT(SEED!$G364, ""), IF(EXACT(SEED!$E364, ""), IF(EXACT(SEED!$C364, ""), "", SEED!$C364), SEED!$E364), SEED!$G364), SEED!$I364), SEED!$K364))</f>
        <v>Overtime</v>
      </c>
    </row>
    <row r="364" spans="2:4" x14ac:dyDescent="0.25">
      <c r="B364" s="94">
        <f>IF(EXACT(SEED!$BB365, ""), "", SEED!$BA365)</f>
        <v>65000000000355</v>
      </c>
      <c r="C364" s="92" t="str">
        <f>IF(EXACT($B364, ""), "", IF(EXACT(SEED!$J365, ""), IF(EXACT(SEED!$H365, ""), IF(EXACT(SEED!$F365, ""), IF(EXACT(SEED!$D365, ""), IF(EXACT(SEED!$B365, ""), "", SEED!$B365), SEED!$D365), SEED!$F365), SEED!$H365), SEED!$J365))</f>
        <v>6-1002.01</v>
      </c>
      <c r="D364" s="92" t="str">
        <f>IF(EXACT($B364, ""), "", IF(EXACT(SEED!$K365, ""), IF(EXACT(SEED!$I365, ""), IF(EXACT(SEED!$G365, ""), IF(EXACT(SEED!$E365, ""), IF(EXACT(SEED!$C365, ""), "", SEED!$C365), SEED!$E365), SEED!$G365), SEED!$I365), SEED!$K365))</f>
        <v>Overtime (IDR)</v>
      </c>
    </row>
    <row r="365" spans="2:4" x14ac:dyDescent="0.25">
      <c r="B365" s="94">
        <f>IF(EXACT(SEED!$BB366, ""), "", SEED!$BA366)</f>
        <v>65000000000356</v>
      </c>
      <c r="C365" s="92" t="str">
        <f>IF(EXACT($B365, ""), "", IF(EXACT(SEED!$J366, ""), IF(EXACT(SEED!$H366, ""), IF(EXACT(SEED!$F366, ""), IF(EXACT(SEED!$D366, ""), IF(EXACT(SEED!$B366, ""), "", SEED!$B366), SEED!$D366), SEED!$F366), SEED!$H366), SEED!$J366))</f>
        <v>6-1003</v>
      </c>
      <c r="D365" s="92" t="str">
        <f>IF(EXACT($B365, ""), "", IF(EXACT(SEED!$K366, ""), IF(EXACT(SEED!$I366, ""), IF(EXACT(SEED!$G366, ""), IF(EXACT(SEED!$E366, ""), IF(EXACT(SEED!$C366, ""), "", SEED!$C366), SEED!$E366), SEED!$G366), SEED!$I366), SEED!$K366))</f>
        <v>Bonus, THR</v>
      </c>
    </row>
    <row r="366" spans="2:4" x14ac:dyDescent="0.25">
      <c r="B366" s="94">
        <f>IF(EXACT(SEED!$BB367, ""), "", SEED!$BA367)</f>
        <v>65000000000357</v>
      </c>
      <c r="C366" s="92" t="str">
        <f>IF(EXACT($B366, ""), "", IF(EXACT(SEED!$J367, ""), IF(EXACT(SEED!$H367, ""), IF(EXACT(SEED!$F367, ""), IF(EXACT(SEED!$D367, ""), IF(EXACT(SEED!$B367, ""), "", SEED!$B367), SEED!$D367), SEED!$F367), SEED!$H367), SEED!$J367))</f>
        <v>6-1003.01</v>
      </c>
      <c r="D366" s="92" t="str">
        <f>IF(EXACT($B366, ""), "", IF(EXACT(SEED!$K367, ""), IF(EXACT(SEED!$I367, ""), IF(EXACT(SEED!$G367, ""), IF(EXACT(SEED!$E367, ""), IF(EXACT(SEED!$C367, ""), "", SEED!$C367), SEED!$E367), SEED!$G367), SEED!$I367), SEED!$K367))</f>
        <v>Bonus, THR (IDR)</v>
      </c>
    </row>
    <row r="367" spans="2:4" x14ac:dyDescent="0.25">
      <c r="B367" s="94">
        <f>IF(EXACT(SEED!$BB368, ""), "", SEED!$BA368)</f>
        <v>65000000000358</v>
      </c>
      <c r="C367" s="92" t="str">
        <f>IF(EXACT($B367, ""), "", IF(EXACT(SEED!$J368, ""), IF(EXACT(SEED!$H368, ""), IF(EXACT(SEED!$F368, ""), IF(EXACT(SEED!$D368, ""), IF(EXACT(SEED!$B368, ""), "", SEED!$B368), SEED!$D368), SEED!$F368), SEED!$H368), SEED!$J368))</f>
        <v>6-1004</v>
      </c>
      <c r="D367" s="92" t="str">
        <f>IF(EXACT($B367, ""), "", IF(EXACT(SEED!$K368, ""), IF(EXACT(SEED!$I368, ""), IF(EXACT(SEED!$G368, ""), IF(EXACT(SEED!$E368, ""), IF(EXACT(SEED!$C368, ""), "", SEED!$C368), SEED!$E368), SEED!$G368), SEED!$I368), SEED!$K368))</f>
        <v>Performance Bonus</v>
      </c>
    </row>
    <row r="368" spans="2:4" x14ac:dyDescent="0.25">
      <c r="B368" s="94">
        <f>IF(EXACT(SEED!$BB369, ""), "", SEED!$BA369)</f>
        <v>65000000000359</v>
      </c>
      <c r="C368" s="92" t="str">
        <f>IF(EXACT($B368, ""), "", IF(EXACT(SEED!$J369, ""), IF(EXACT(SEED!$H369, ""), IF(EXACT(SEED!$F369, ""), IF(EXACT(SEED!$D369, ""), IF(EXACT(SEED!$B369, ""), "", SEED!$B369), SEED!$D369), SEED!$F369), SEED!$H369), SEED!$J369))</f>
        <v>6-1004.01</v>
      </c>
      <c r="D368" s="92" t="str">
        <f>IF(EXACT($B368, ""), "", IF(EXACT(SEED!$K369, ""), IF(EXACT(SEED!$I369, ""), IF(EXACT(SEED!$G369, ""), IF(EXACT(SEED!$E369, ""), IF(EXACT(SEED!$C369, ""), "", SEED!$C369), SEED!$E369), SEED!$G369), SEED!$I369), SEED!$K369))</f>
        <v>Performance Bonus (IDR)</v>
      </c>
    </row>
    <row r="369" spans="2:4" x14ac:dyDescent="0.25">
      <c r="B369" s="94">
        <f>IF(EXACT(SEED!$BB370, ""), "", SEED!$BA370)</f>
        <v>65000000000360</v>
      </c>
      <c r="C369" s="92" t="str">
        <f>IF(EXACT($B369, ""), "", IF(EXACT(SEED!$J370, ""), IF(EXACT(SEED!$H370, ""), IF(EXACT(SEED!$F370, ""), IF(EXACT(SEED!$D370, ""), IF(EXACT(SEED!$B370, ""), "", SEED!$B370), SEED!$D370), SEED!$F370), SEED!$H370), SEED!$J370))</f>
        <v>6-1005</v>
      </c>
      <c r="D369" s="92" t="str">
        <f>IF(EXACT($B369, ""), "", IF(EXACT(SEED!$K370, ""), IF(EXACT(SEED!$I370, ""), IF(EXACT(SEED!$G370, ""), IF(EXACT(SEED!$E370, ""), IF(EXACT(SEED!$C370, ""), "", SEED!$C370), SEED!$E370), SEED!$G370), SEED!$I370), SEED!$K370))</f>
        <v>Jamsostek</v>
      </c>
    </row>
    <row r="370" spans="2:4" x14ac:dyDescent="0.25">
      <c r="B370" s="94">
        <f>IF(EXACT(SEED!$BB371, ""), "", SEED!$BA371)</f>
        <v>65000000000361</v>
      </c>
      <c r="C370" s="92" t="str">
        <f>IF(EXACT($B370, ""), "", IF(EXACT(SEED!$J371, ""), IF(EXACT(SEED!$H371, ""), IF(EXACT(SEED!$F371, ""), IF(EXACT(SEED!$D371, ""), IF(EXACT(SEED!$B371, ""), "", SEED!$B371), SEED!$D371), SEED!$F371), SEED!$H371), SEED!$J371))</f>
        <v>6-1005.01</v>
      </c>
      <c r="D370" s="92" t="str">
        <f>IF(EXACT($B370, ""), "", IF(EXACT(SEED!$K371, ""), IF(EXACT(SEED!$I371, ""), IF(EXACT(SEED!$G371, ""), IF(EXACT(SEED!$E371, ""), IF(EXACT(SEED!$C371, ""), "", SEED!$C371), SEED!$E371), SEED!$G371), SEED!$I371), SEED!$K371))</f>
        <v>Jamsostek (IDR)</v>
      </c>
    </row>
    <row r="371" spans="2:4" x14ac:dyDescent="0.25">
      <c r="B371" s="94">
        <f>IF(EXACT(SEED!$BB372, ""), "", SEED!$BA372)</f>
        <v>65000000000362</v>
      </c>
      <c r="C371" s="92" t="str">
        <f>IF(EXACT($B371, ""), "", IF(EXACT(SEED!$J372, ""), IF(EXACT(SEED!$H372, ""), IF(EXACT(SEED!$F372, ""), IF(EXACT(SEED!$D372, ""), IF(EXACT(SEED!$B372, ""), "", SEED!$B372), SEED!$D372), SEED!$F372), SEED!$H372), SEED!$J372))</f>
        <v>6-1006</v>
      </c>
      <c r="D371" s="92" t="str">
        <f>IF(EXACT($B371, ""), "", IF(EXACT(SEED!$K372, ""), IF(EXACT(SEED!$I372, ""), IF(EXACT(SEED!$G372, ""), IF(EXACT(SEED!$E372, ""), IF(EXACT(SEED!$C372, ""), "", SEED!$C372), SEED!$E372), SEED!$G372), SEED!$I372), SEED!$K372))</f>
        <v>Personal Income Tax</v>
      </c>
    </row>
    <row r="372" spans="2:4" x14ac:dyDescent="0.25">
      <c r="B372" s="94">
        <f>IF(EXACT(SEED!$BB373, ""), "", SEED!$BA373)</f>
        <v>65000000000363</v>
      </c>
      <c r="C372" s="92" t="str">
        <f>IF(EXACT($B372, ""), "", IF(EXACT(SEED!$J373, ""), IF(EXACT(SEED!$H373, ""), IF(EXACT(SEED!$F373, ""), IF(EXACT(SEED!$D373, ""), IF(EXACT(SEED!$B373, ""), "", SEED!$B373), SEED!$D373), SEED!$F373), SEED!$H373), SEED!$J373))</f>
        <v>6-1006.01</v>
      </c>
      <c r="D372" s="92" t="str">
        <f>IF(EXACT($B372, ""), "", IF(EXACT(SEED!$K373, ""), IF(EXACT(SEED!$I373, ""), IF(EXACT(SEED!$G373, ""), IF(EXACT(SEED!$E373, ""), IF(EXACT(SEED!$C373, ""), "", SEED!$C373), SEED!$E373), SEED!$G373), SEED!$I373), SEED!$K373))</f>
        <v>Personal Income Tax (IDR)</v>
      </c>
    </row>
    <row r="373" spans="2:4" x14ac:dyDescent="0.25">
      <c r="B373" s="94">
        <f>IF(EXACT(SEED!$BB374, ""), "", SEED!$BA374)</f>
        <v>65000000000364</v>
      </c>
      <c r="C373" s="92" t="str">
        <f>IF(EXACT($B373, ""), "", IF(EXACT(SEED!$J374, ""), IF(EXACT(SEED!$H374, ""), IF(EXACT(SEED!$F374, ""), IF(EXACT(SEED!$D374, ""), IF(EXACT(SEED!$B374, ""), "", SEED!$B374), SEED!$D374), SEED!$F374), SEED!$H374), SEED!$J374))</f>
        <v>6-1007</v>
      </c>
      <c r="D373" s="92" t="str">
        <f>IF(EXACT($B373, ""), "", IF(EXACT(SEED!$K374, ""), IF(EXACT(SEED!$I374, ""), IF(EXACT(SEED!$G374, ""), IF(EXACT(SEED!$E374, ""), IF(EXACT(SEED!$C374, ""), "", SEED!$C374), SEED!$E374), SEED!$G374), SEED!$I374), SEED!$K374))</f>
        <v>Post Employee benefit Expense</v>
      </c>
    </row>
    <row r="374" spans="2:4" x14ac:dyDescent="0.25">
      <c r="B374" s="94">
        <f>IF(EXACT(SEED!$BB375, ""), "", SEED!$BA375)</f>
        <v>65000000000365</v>
      </c>
      <c r="C374" s="92" t="str">
        <f>IF(EXACT($B374, ""), "", IF(EXACT(SEED!$J375, ""), IF(EXACT(SEED!$H375, ""), IF(EXACT(SEED!$F375, ""), IF(EXACT(SEED!$D375, ""), IF(EXACT(SEED!$B375, ""), "", SEED!$B375), SEED!$D375), SEED!$F375), SEED!$H375), SEED!$J375))</f>
        <v>6-1007.01</v>
      </c>
      <c r="D374" s="92" t="str">
        <f>IF(EXACT($B374, ""), "", IF(EXACT(SEED!$K375, ""), IF(EXACT(SEED!$I375, ""), IF(EXACT(SEED!$G375, ""), IF(EXACT(SEED!$E375, ""), IF(EXACT(SEED!$C375, ""), "", SEED!$C375), SEED!$E375), SEED!$G375), SEED!$I375), SEED!$K375))</f>
        <v>Post Employee benefit Expense (IDR)</v>
      </c>
    </row>
    <row r="375" spans="2:4" x14ac:dyDescent="0.25">
      <c r="B375" s="94">
        <f>IF(EXACT(SEED!$BB376, ""), "", SEED!$BA376)</f>
        <v>65000000000366</v>
      </c>
      <c r="C375" s="92" t="str">
        <f>IF(EXACT($B375, ""), "", IF(EXACT(SEED!$J376, ""), IF(EXACT(SEED!$H376, ""), IF(EXACT(SEED!$F376, ""), IF(EXACT(SEED!$D376, ""), IF(EXACT(SEED!$B376, ""), "", SEED!$B376), SEED!$D376), SEED!$F376), SEED!$H376), SEED!$J376))</f>
        <v>6-1008</v>
      </c>
      <c r="D375" s="92" t="str">
        <f>IF(EXACT($B375, ""), "", IF(EXACT(SEED!$K376, ""), IF(EXACT(SEED!$I376, ""), IF(EXACT(SEED!$G376, ""), IF(EXACT(SEED!$E376, ""), IF(EXACT(SEED!$C376, ""), "", SEED!$C376), SEED!$E376), SEED!$G376), SEED!$I376), SEED!$K376))</f>
        <v>Medical Expense</v>
      </c>
    </row>
    <row r="376" spans="2:4" x14ac:dyDescent="0.25">
      <c r="B376" s="94">
        <f>IF(EXACT(SEED!$BB377, ""), "", SEED!$BA377)</f>
        <v>65000000000367</v>
      </c>
      <c r="C376" s="92" t="str">
        <f>IF(EXACT($B376, ""), "", IF(EXACT(SEED!$J377, ""), IF(EXACT(SEED!$H377, ""), IF(EXACT(SEED!$F377, ""), IF(EXACT(SEED!$D377, ""), IF(EXACT(SEED!$B377, ""), "", SEED!$B377), SEED!$D377), SEED!$F377), SEED!$H377), SEED!$J377))</f>
        <v>6-1008.01</v>
      </c>
      <c r="D376" s="92" t="str">
        <f>IF(EXACT($B376, ""), "", IF(EXACT(SEED!$K377, ""), IF(EXACT(SEED!$I377, ""), IF(EXACT(SEED!$G377, ""), IF(EXACT(SEED!$E377, ""), IF(EXACT(SEED!$C377, ""), "", SEED!$C377), SEED!$E377), SEED!$G377), SEED!$I377), SEED!$K377))</f>
        <v>Medical Expense (IDR)</v>
      </c>
    </row>
    <row r="377" spans="2:4" x14ac:dyDescent="0.25">
      <c r="B377" s="94">
        <f>IF(EXACT(SEED!$BB378, ""), "", SEED!$BA378)</f>
        <v>65000000000368</v>
      </c>
      <c r="C377" s="92" t="str">
        <f>IF(EXACT($B377, ""), "", IF(EXACT(SEED!$J378, ""), IF(EXACT(SEED!$H378, ""), IF(EXACT(SEED!$F378, ""), IF(EXACT(SEED!$D378, ""), IF(EXACT(SEED!$B378, ""), "", SEED!$B378), SEED!$D378), SEED!$F378), SEED!$H378), SEED!$J378))</f>
        <v>6-1009</v>
      </c>
      <c r="D377" s="92" t="str">
        <f>IF(EXACT($B377, ""), "", IF(EXACT(SEED!$K378, ""), IF(EXACT(SEED!$I378, ""), IF(EXACT(SEED!$G378, ""), IF(EXACT(SEED!$E378, ""), IF(EXACT(SEED!$C378, ""), "", SEED!$C378), SEED!$E378), SEED!$G378), SEED!$I378), SEED!$K378))</f>
        <v>Accrual for Operation Staff</v>
      </c>
    </row>
    <row r="378" spans="2:4" x14ac:dyDescent="0.25">
      <c r="B378" s="94">
        <f>IF(EXACT(SEED!$BB379, ""), "", SEED!$BA379)</f>
        <v>65000000000369</v>
      </c>
      <c r="C378" s="92" t="str">
        <f>IF(EXACT($B378, ""), "", IF(EXACT(SEED!$J379, ""), IF(EXACT(SEED!$H379, ""), IF(EXACT(SEED!$F379, ""), IF(EXACT(SEED!$D379, ""), IF(EXACT(SEED!$B379, ""), "", SEED!$B379), SEED!$D379), SEED!$F379), SEED!$H379), SEED!$J379))</f>
        <v>6-1009.01</v>
      </c>
      <c r="D378" s="92" t="str">
        <f>IF(EXACT($B378, ""), "", IF(EXACT(SEED!$K379, ""), IF(EXACT(SEED!$I379, ""), IF(EXACT(SEED!$G379, ""), IF(EXACT(SEED!$E379, ""), IF(EXACT(SEED!$C379, ""), "", SEED!$C379), SEED!$E379), SEED!$G379), SEED!$I379), SEED!$K379))</f>
        <v>Accrual for Operation Staff (IDR)</v>
      </c>
    </row>
    <row r="379" spans="2:4" x14ac:dyDescent="0.25">
      <c r="B379" s="94">
        <f>IF(EXACT(SEED!$BB380, ""), "", SEED!$BA380)</f>
        <v>65000000000370</v>
      </c>
      <c r="C379" s="92" t="str">
        <f>IF(EXACT($B379, ""), "", IF(EXACT(SEED!$J380, ""), IF(EXACT(SEED!$H380, ""), IF(EXACT(SEED!$F380, ""), IF(EXACT(SEED!$D380, ""), IF(EXACT(SEED!$B380, ""), "", SEED!$B380), SEED!$D380), SEED!$F380), SEED!$H380), SEED!$J380))</f>
        <v>6-1010</v>
      </c>
      <c r="D379" s="92" t="str">
        <f>IF(EXACT($B379, ""), "", IF(EXACT(SEED!$K380, ""), IF(EXACT(SEED!$I380, ""), IF(EXACT(SEED!$G380, ""), IF(EXACT(SEED!$E380, ""), IF(EXACT(SEED!$C380, ""), "", SEED!$C380), SEED!$E380), SEED!$G380), SEED!$I380), SEED!$K380))</f>
        <v>Meal Allowance</v>
      </c>
    </row>
    <row r="380" spans="2:4" x14ac:dyDescent="0.25">
      <c r="B380" s="94">
        <f>IF(EXACT(SEED!$BB381, ""), "", SEED!$BA381)</f>
        <v>65000000000371</v>
      </c>
      <c r="C380" s="92" t="str">
        <f>IF(EXACT($B380, ""), "", IF(EXACT(SEED!$J381, ""), IF(EXACT(SEED!$H381, ""), IF(EXACT(SEED!$F381, ""), IF(EXACT(SEED!$D381, ""), IF(EXACT(SEED!$B381, ""), "", SEED!$B381), SEED!$D381), SEED!$F381), SEED!$H381), SEED!$J381))</f>
        <v>6-1010.01</v>
      </c>
      <c r="D380" s="92" t="str">
        <f>IF(EXACT($B380, ""), "", IF(EXACT(SEED!$K381, ""), IF(EXACT(SEED!$I381, ""), IF(EXACT(SEED!$G381, ""), IF(EXACT(SEED!$E381, ""), IF(EXACT(SEED!$C381, ""), "", SEED!$C381), SEED!$E381), SEED!$G381), SEED!$I381), SEED!$K381))</f>
        <v>Meal Allowance (IDR)</v>
      </c>
    </row>
    <row r="381" spans="2:4" x14ac:dyDescent="0.25">
      <c r="B381" s="94">
        <f>IF(EXACT(SEED!$BB382, ""), "", SEED!$BA382)</f>
        <v>65000000000372</v>
      </c>
      <c r="C381" s="92" t="str">
        <f>IF(EXACT($B381, ""), "", IF(EXACT(SEED!$J382, ""), IF(EXACT(SEED!$H382, ""), IF(EXACT(SEED!$F382, ""), IF(EXACT(SEED!$D382, ""), IF(EXACT(SEED!$B382, ""), "", SEED!$B382), SEED!$D382), SEED!$F382), SEED!$H382), SEED!$J382))</f>
        <v>6-1011</v>
      </c>
      <c r="D381" s="92" t="str">
        <f>IF(EXACT($B381, ""), "", IF(EXACT(SEED!$K382, ""), IF(EXACT(SEED!$I382, ""), IF(EXACT(SEED!$G382, ""), IF(EXACT(SEED!$E382, ""), IF(EXACT(SEED!$C382, ""), "", SEED!$C382), SEED!$E382), SEED!$G382), SEED!$I382), SEED!$K382))</f>
        <v>Staff Welfare</v>
      </c>
    </row>
    <row r="382" spans="2:4" x14ac:dyDescent="0.25">
      <c r="B382" s="94">
        <f>IF(EXACT(SEED!$BB383, ""), "", SEED!$BA383)</f>
        <v>65000000000373</v>
      </c>
      <c r="C382" s="92" t="str">
        <f>IF(EXACT($B382, ""), "", IF(EXACT(SEED!$J383, ""), IF(EXACT(SEED!$H383, ""), IF(EXACT(SEED!$F383, ""), IF(EXACT(SEED!$D383, ""), IF(EXACT(SEED!$B383, ""), "", SEED!$B383), SEED!$D383), SEED!$F383), SEED!$H383), SEED!$J383))</f>
        <v>6-1011.01</v>
      </c>
      <c r="D382" s="92" t="str">
        <f>IF(EXACT($B382, ""), "", IF(EXACT(SEED!$K383, ""), IF(EXACT(SEED!$I383, ""), IF(EXACT(SEED!$G383, ""), IF(EXACT(SEED!$E383, ""), IF(EXACT(SEED!$C383, ""), "", SEED!$C383), SEED!$E383), SEED!$G383), SEED!$I383), SEED!$K383))</f>
        <v>Staff Welfare (IDR)</v>
      </c>
    </row>
    <row r="383" spans="2:4" x14ac:dyDescent="0.25">
      <c r="B383" s="94">
        <f>IF(EXACT(SEED!$BB384, ""), "", SEED!$BA384)</f>
        <v>65000000000374</v>
      </c>
      <c r="C383" s="92" t="str">
        <f>IF(EXACT($B383, ""), "", IF(EXACT(SEED!$J384, ""), IF(EXACT(SEED!$H384, ""), IF(EXACT(SEED!$F384, ""), IF(EXACT(SEED!$D384, ""), IF(EXACT(SEED!$B384, ""), "", SEED!$B384), SEED!$D384), SEED!$F384), SEED!$H384), SEED!$J384))</f>
        <v>6-1012</v>
      </c>
      <c r="D383" s="92" t="str">
        <f>IF(EXACT($B383, ""), "", IF(EXACT(SEED!$K384, ""), IF(EXACT(SEED!$I384, ""), IF(EXACT(SEED!$G384, ""), IF(EXACT(SEED!$E384, ""), IF(EXACT(SEED!$C384, ""), "", SEED!$C384), SEED!$E384), SEED!$G384), SEED!$I384), SEED!$K384))</f>
        <v>Housing Allowance</v>
      </c>
    </row>
    <row r="384" spans="2:4" x14ac:dyDescent="0.25">
      <c r="B384" s="94">
        <f>IF(EXACT(SEED!$BB385, ""), "", SEED!$BA385)</f>
        <v>65000000000375</v>
      </c>
      <c r="C384" s="92" t="str">
        <f>IF(EXACT($B384, ""), "", IF(EXACT(SEED!$J385, ""), IF(EXACT(SEED!$H385, ""), IF(EXACT(SEED!$F385, ""), IF(EXACT(SEED!$D385, ""), IF(EXACT(SEED!$B385, ""), "", SEED!$B385), SEED!$D385), SEED!$F385), SEED!$H385), SEED!$J385))</f>
        <v>6-1012.01</v>
      </c>
      <c r="D384" s="92" t="str">
        <f>IF(EXACT($B384, ""), "", IF(EXACT(SEED!$K385, ""), IF(EXACT(SEED!$I385, ""), IF(EXACT(SEED!$G385, ""), IF(EXACT(SEED!$E385, ""), IF(EXACT(SEED!$C385, ""), "", SEED!$C385), SEED!$E385), SEED!$G385), SEED!$I385), SEED!$K385))</f>
        <v>Housing Allowance (IDR)</v>
      </c>
    </row>
    <row r="385" spans="2:4" x14ac:dyDescent="0.25">
      <c r="B385" s="94">
        <f>IF(EXACT(SEED!$BB386, ""), "", SEED!$BA386)</f>
        <v>65000000000376</v>
      </c>
      <c r="C385" s="92" t="str">
        <f>IF(EXACT($B385, ""), "", IF(EXACT(SEED!$J386, ""), IF(EXACT(SEED!$H386, ""), IF(EXACT(SEED!$F386, ""), IF(EXACT(SEED!$D386, ""), IF(EXACT(SEED!$B386, ""), "", SEED!$B386), SEED!$D386), SEED!$F386), SEED!$H386), SEED!$J386))</f>
        <v>6-1013</v>
      </c>
      <c r="D385" s="92" t="str">
        <f>IF(EXACT($B385, ""), "", IF(EXACT(SEED!$K386, ""), IF(EXACT(SEED!$I386, ""), IF(EXACT(SEED!$G386, ""), IF(EXACT(SEED!$E386, ""), IF(EXACT(SEED!$C386, ""), "", SEED!$C386), SEED!$E386), SEED!$G386), SEED!$I386), SEED!$K386))</f>
        <v>Uniform</v>
      </c>
    </row>
    <row r="386" spans="2:4" x14ac:dyDescent="0.25">
      <c r="B386" s="94">
        <f>IF(EXACT(SEED!$BB387, ""), "", SEED!$BA387)</f>
        <v>65000000000377</v>
      </c>
      <c r="C386" s="92" t="str">
        <f>IF(EXACT($B386, ""), "", IF(EXACT(SEED!$J387, ""), IF(EXACT(SEED!$H387, ""), IF(EXACT(SEED!$F387, ""), IF(EXACT(SEED!$D387, ""), IF(EXACT(SEED!$B387, ""), "", SEED!$B387), SEED!$D387), SEED!$F387), SEED!$H387), SEED!$J387))</f>
        <v>6-1013.01</v>
      </c>
      <c r="D386" s="92" t="str">
        <f>IF(EXACT($B386, ""), "", IF(EXACT(SEED!$K387, ""), IF(EXACT(SEED!$I387, ""), IF(EXACT(SEED!$G387, ""), IF(EXACT(SEED!$E387, ""), IF(EXACT(SEED!$C387, ""), "", SEED!$C387), SEED!$E387), SEED!$G387), SEED!$I387), SEED!$K387))</f>
        <v>Uniform (IDR)</v>
      </c>
    </row>
    <row r="387" spans="2:4" x14ac:dyDescent="0.25">
      <c r="B387" s="94">
        <f>IF(EXACT(SEED!$BB388, ""), "", SEED!$BA388)</f>
        <v>65000000000378</v>
      </c>
      <c r="C387" s="92" t="str">
        <f>IF(EXACT($B387, ""), "", IF(EXACT(SEED!$J388, ""), IF(EXACT(SEED!$H388, ""), IF(EXACT(SEED!$F388, ""), IF(EXACT(SEED!$D388, ""), IF(EXACT(SEED!$B388, ""), "", SEED!$B388), SEED!$D388), SEED!$F388), SEED!$H388), SEED!$J388))</f>
        <v>6-1014</v>
      </c>
      <c r="D387" s="92" t="str">
        <f>IF(EXACT($B387, ""), "", IF(EXACT(SEED!$K388, ""), IF(EXACT(SEED!$I388, ""), IF(EXACT(SEED!$G388, ""), IF(EXACT(SEED!$E388, ""), IF(EXACT(SEED!$C388, ""), "", SEED!$C388), SEED!$E388), SEED!$G388), SEED!$I388), SEED!$K388))</f>
        <v>Recruitment expense</v>
      </c>
    </row>
    <row r="388" spans="2:4" x14ac:dyDescent="0.25">
      <c r="B388" s="94">
        <f>IF(EXACT(SEED!$BB389, ""), "", SEED!$BA389)</f>
        <v>65000000000379</v>
      </c>
      <c r="C388" s="92" t="str">
        <f>IF(EXACT($B388, ""), "", IF(EXACT(SEED!$J389, ""), IF(EXACT(SEED!$H389, ""), IF(EXACT(SEED!$F389, ""), IF(EXACT(SEED!$D389, ""), IF(EXACT(SEED!$B389, ""), "", SEED!$B389), SEED!$D389), SEED!$F389), SEED!$H389), SEED!$J389))</f>
        <v>6-1014.01</v>
      </c>
      <c r="D388" s="92" t="str">
        <f>IF(EXACT($B388, ""), "", IF(EXACT(SEED!$K389, ""), IF(EXACT(SEED!$I389, ""), IF(EXACT(SEED!$G389, ""), IF(EXACT(SEED!$E389, ""), IF(EXACT(SEED!$C389, ""), "", SEED!$C389), SEED!$E389), SEED!$G389), SEED!$I389), SEED!$K389))</f>
        <v>Recruitment expense (IDR)</v>
      </c>
    </row>
    <row r="389" spans="2:4" x14ac:dyDescent="0.25">
      <c r="B389" s="94">
        <f>IF(EXACT(SEED!$BB390, ""), "", SEED!$BA390)</f>
        <v>65000000000380</v>
      </c>
      <c r="C389" s="92" t="str">
        <f>IF(EXACT($B389, ""), "", IF(EXACT(SEED!$J390, ""), IF(EXACT(SEED!$H390, ""), IF(EXACT(SEED!$F390, ""), IF(EXACT(SEED!$D390, ""), IF(EXACT(SEED!$B390, ""), "", SEED!$B390), SEED!$D390), SEED!$F390), SEED!$H390), SEED!$J390))</f>
        <v>6-1015</v>
      </c>
      <c r="D389" s="92" t="str">
        <f>IF(EXACT($B389, ""), "", IF(EXACT(SEED!$K390, ""), IF(EXACT(SEED!$I390, ""), IF(EXACT(SEED!$G390, ""), IF(EXACT(SEED!$E390, ""), IF(EXACT(SEED!$C390, ""), "", SEED!$C390), SEED!$E390), SEED!$G390), SEED!$I390), SEED!$K390))</f>
        <v>Seminar, Confrences, Meeting</v>
      </c>
    </row>
    <row r="390" spans="2:4" x14ac:dyDescent="0.25">
      <c r="B390" s="94">
        <f>IF(EXACT(SEED!$BB391, ""), "", SEED!$BA391)</f>
        <v>65000000000381</v>
      </c>
      <c r="C390" s="92" t="str">
        <f>IF(EXACT($B390, ""), "", IF(EXACT(SEED!$J391, ""), IF(EXACT(SEED!$H391, ""), IF(EXACT(SEED!$F391, ""), IF(EXACT(SEED!$D391, ""), IF(EXACT(SEED!$B391, ""), "", SEED!$B391), SEED!$D391), SEED!$F391), SEED!$H391), SEED!$J391))</f>
        <v>6-1015.01</v>
      </c>
      <c r="D390" s="92" t="str">
        <f>IF(EXACT($B390, ""), "", IF(EXACT(SEED!$K391, ""), IF(EXACT(SEED!$I391, ""), IF(EXACT(SEED!$G391, ""), IF(EXACT(SEED!$E391, ""), IF(EXACT(SEED!$C391, ""), "", SEED!$C391), SEED!$E391), SEED!$G391), SEED!$I391), SEED!$K391))</f>
        <v>Seminar, Confrences, Meeting (IDR)</v>
      </c>
    </row>
    <row r="391" spans="2:4" x14ac:dyDescent="0.25">
      <c r="B391" s="94">
        <f>IF(EXACT(SEED!$BB392, ""), "", SEED!$BA392)</f>
        <v>65000000000382</v>
      </c>
      <c r="C391" s="92" t="str">
        <f>IF(EXACT($B391, ""), "", IF(EXACT(SEED!$J392, ""), IF(EXACT(SEED!$H392, ""), IF(EXACT(SEED!$F392, ""), IF(EXACT(SEED!$D392, ""), IF(EXACT(SEED!$B392, ""), "", SEED!$B392), SEED!$D392), SEED!$F392), SEED!$H392), SEED!$J392))</f>
        <v>6-1016</v>
      </c>
      <c r="D391" s="92" t="str">
        <f>IF(EXACT($B391, ""), "", IF(EXACT(SEED!$K392, ""), IF(EXACT(SEED!$I392, ""), IF(EXACT(SEED!$G392, ""), IF(EXACT(SEED!$E392, ""), IF(EXACT(SEED!$C392, ""), "", SEED!$C392), SEED!$E392), SEED!$G392), SEED!$I392), SEED!$K392))</f>
        <v>Skill Development Expense</v>
      </c>
    </row>
    <row r="392" spans="2:4" x14ac:dyDescent="0.25">
      <c r="B392" s="94">
        <f>IF(EXACT(SEED!$BB393, ""), "", SEED!$BA393)</f>
        <v>65000000000383</v>
      </c>
      <c r="C392" s="92" t="str">
        <f>IF(EXACT($B392, ""), "", IF(EXACT(SEED!$J393, ""), IF(EXACT(SEED!$H393, ""), IF(EXACT(SEED!$F393, ""), IF(EXACT(SEED!$D393, ""), IF(EXACT(SEED!$B393, ""), "", SEED!$B393), SEED!$D393), SEED!$F393), SEED!$H393), SEED!$J393))</f>
        <v>6-1016.01</v>
      </c>
      <c r="D392" s="92" t="str">
        <f>IF(EXACT($B392, ""), "", IF(EXACT(SEED!$K393, ""), IF(EXACT(SEED!$I393, ""), IF(EXACT(SEED!$G393, ""), IF(EXACT(SEED!$E393, ""), IF(EXACT(SEED!$C393, ""), "", SEED!$C393), SEED!$E393), SEED!$G393), SEED!$I393), SEED!$K393))</f>
        <v>Skill Development Expense (IDR)</v>
      </c>
    </row>
    <row r="393" spans="2:4" x14ac:dyDescent="0.25">
      <c r="B393" s="94">
        <f>IF(EXACT(SEED!$BB394, ""), "", SEED!$BA394)</f>
        <v>65000000000384</v>
      </c>
      <c r="C393" s="92" t="str">
        <f>IF(EXACT($B393, ""), "", IF(EXACT(SEED!$J394, ""), IF(EXACT(SEED!$H394, ""), IF(EXACT(SEED!$F394, ""), IF(EXACT(SEED!$D394, ""), IF(EXACT(SEED!$B394, ""), "", SEED!$B394), SEED!$D394), SEED!$F394), SEED!$H394), SEED!$J394))</f>
        <v>6-1017</v>
      </c>
      <c r="D393" s="92" t="str">
        <f>IF(EXACT($B393, ""), "", IF(EXACT(SEED!$K394, ""), IF(EXACT(SEED!$I394, ""), IF(EXACT(SEED!$G394, ""), IF(EXACT(SEED!$E394, ""), IF(EXACT(SEED!$C394, ""), "", SEED!$C394), SEED!$E394), SEED!$G394), SEED!$I394), SEED!$K394))</f>
        <v>Severance Pay - Admin</v>
      </c>
    </row>
    <row r="394" spans="2:4" x14ac:dyDescent="0.25">
      <c r="B394" s="94">
        <f>IF(EXACT(SEED!$BB395, ""), "", SEED!$BA395)</f>
        <v>65000000000385</v>
      </c>
      <c r="C394" s="92" t="str">
        <f>IF(EXACT($B394, ""), "", IF(EXACT(SEED!$J395, ""), IF(EXACT(SEED!$H395, ""), IF(EXACT(SEED!$F395, ""), IF(EXACT(SEED!$D395, ""), IF(EXACT(SEED!$B395, ""), "", SEED!$B395), SEED!$D395), SEED!$F395), SEED!$H395), SEED!$J395))</f>
        <v>6-1017.01</v>
      </c>
      <c r="D394" s="92" t="str">
        <f>IF(EXACT($B394, ""), "", IF(EXACT(SEED!$K395, ""), IF(EXACT(SEED!$I395, ""), IF(EXACT(SEED!$G395, ""), IF(EXACT(SEED!$E395, ""), IF(EXACT(SEED!$C395, ""), "", SEED!$C395), SEED!$E395), SEED!$G395), SEED!$I395), SEED!$K395))</f>
        <v>Severance Pay - Admin (IDR)</v>
      </c>
    </row>
    <row r="395" spans="2:4" x14ac:dyDescent="0.25">
      <c r="B395" s="94">
        <f>IF(EXACT(SEED!$BB396, ""), "", SEED!$BA396)</f>
        <v>65000000000386</v>
      </c>
      <c r="C395" s="92" t="str">
        <f>IF(EXACT($B395, ""), "", IF(EXACT(SEED!$J396, ""), IF(EXACT(SEED!$H396, ""), IF(EXACT(SEED!$F396, ""), IF(EXACT(SEED!$D396, ""), IF(EXACT(SEED!$B396, ""), "", SEED!$B396), SEED!$D396), SEED!$F396), SEED!$H396), SEED!$J396))</f>
        <v>6-1099</v>
      </c>
      <c r="D395" s="92" t="str">
        <f>IF(EXACT($B395, ""), "", IF(EXACT(SEED!$K396, ""), IF(EXACT(SEED!$I396, ""), IF(EXACT(SEED!$G396, ""), IF(EXACT(SEED!$E396, ""), IF(EXACT(SEED!$C396, ""), "", SEED!$C396), SEED!$E396), SEED!$G396), SEED!$I396), SEED!$K396))</f>
        <v>Biaya Pegawai Lainnya</v>
      </c>
    </row>
    <row r="396" spans="2:4" x14ac:dyDescent="0.25">
      <c r="B396" s="94">
        <f>IF(EXACT(SEED!$BB397, ""), "", SEED!$BA397)</f>
        <v>65000000000387</v>
      </c>
      <c r="C396" s="92" t="str">
        <f>IF(EXACT($B396, ""), "", IF(EXACT(SEED!$J397, ""), IF(EXACT(SEED!$H397, ""), IF(EXACT(SEED!$F397, ""), IF(EXACT(SEED!$D397, ""), IF(EXACT(SEED!$B397, ""), "", SEED!$B397), SEED!$D397), SEED!$F397), SEED!$H397), SEED!$J397))</f>
        <v>6-1099.01</v>
      </c>
      <c r="D396" s="92" t="str">
        <f>IF(EXACT($B396, ""), "", IF(EXACT(SEED!$K397, ""), IF(EXACT(SEED!$I397, ""), IF(EXACT(SEED!$G397, ""), IF(EXACT(SEED!$E397, ""), IF(EXACT(SEED!$C397, ""), "", SEED!$C397), SEED!$E397), SEED!$G397), SEED!$I397), SEED!$K397))</f>
        <v>Biaya Pegawai Lainnya (IDR)</v>
      </c>
    </row>
    <row r="397" spans="2:4" x14ac:dyDescent="0.25">
      <c r="B397" s="94">
        <f>IF(EXACT(SEED!$BB398, ""), "", SEED!$BA398)</f>
        <v>65000000000388</v>
      </c>
      <c r="C397" s="92" t="str">
        <f>IF(EXACT($B397, ""), "", IF(EXACT(SEED!$J398, ""), IF(EXACT(SEED!$H398, ""), IF(EXACT(SEED!$F398, ""), IF(EXACT(SEED!$D398, ""), IF(EXACT(SEED!$B398, ""), "", SEED!$B398), SEED!$D398), SEED!$F398), SEED!$H398), SEED!$J398))</f>
        <v>6-2000</v>
      </c>
      <c r="D397" s="92" t="str">
        <f>IF(EXACT($B397, ""), "", IF(EXACT(SEED!$K398, ""), IF(EXACT(SEED!$I398, ""), IF(EXACT(SEED!$G398, ""), IF(EXACT(SEED!$E398, ""), IF(EXACT(SEED!$C398, ""), "", SEED!$C398), SEED!$E398), SEED!$G398), SEED!$I398), SEED!$K398))</f>
        <v>Biaya Kantor</v>
      </c>
    </row>
    <row r="398" spans="2:4" x14ac:dyDescent="0.25">
      <c r="B398" s="94">
        <f>IF(EXACT(SEED!$BB399, ""), "", SEED!$BA399)</f>
        <v>65000000000389</v>
      </c>
      <c r="C398" s="92" t="str">
        <f>IF(EXACT($B398, ""), "", IF(EXACT(SEED!$J399, ""), IF(EXACT(SEED!$H399, ""), IF(EXACT(SEED!$F399, ""), IF(EXACT(SEED!$D399, ""), IF(EXACT(SEED!$B399, ""), "", SEED!$B399), SEED!$D399), SEED!$F399), SEED!$H399), SEED!$J399))</f>
        <v>6-2001</v>
      </c>
      <c r="D398" s="92" t="str">
        <f>IF(EXACT($B398, ""), "", IF(EXACT(SEED!$K399, ""), IF(EXACT(SEED!$I399, ""), IF(EXACT(SEED!$G399, ""), IF(EXACT(SEED!$E399, ""), IF(EXACT(SEED!$C399, ""), "", SEED!$C399), SEED!$E399), SEED!$G399), SEED!$I399), SEED!$K399))</f>
        <v>Stationery &amp; Printing</v>
      </c>
    </row>
    <row r="399" spans="2:4" x14ac:dyDescent="0.25">
      <c r="B399" s="94">
        <f>IF(EXACT(SEED!$BB400, ""), "", SEED!$BA400)</f>
        <v>65000000000390</v>
      </c>
      <c r="C399" s="92" t="str">
        <f>IF(EXACT($B399, ""), "", IF(EXACT(SEED!$J400, ""), IF(EXACT(SEED!$H400, ""), IF(EXACT(SEED!$F400, ""), IF(EXACT(SEED!$D400, ""), IF(EXACT(SEED!$B400, ""), "", SEED!$B400), SEED!$D400), SEED!$F400), SEED!$H400), SEED!$J400))</f>
        <v>6-2001.01</v>
      </c>
      <c r="D399" s="92" t="str">
        <f>IF(EXACT($B399, ""), "", IF(EXACT(SEED!$K400, ""), IF(EXACT(SEED!$I400, ""), IF(EXACT(SEED!$G400, ""), IF(EXACT(SEED!$E400, ""), IF(EXACT(SEED!$C400, ""), "", SEED!$C400), SEED!$E400), SEED!$G400), SEED!$I400), SEED!$K400))</f>
        <v>Stationery &amp; Printing (IDR)</v>
      </c>
    </row>
    <row r="400" spans="2:4" x14ac:dyDescent="0.25">
      <c r="B400" s="94">
        <f>IF(EXACT(SEED!$BB401, ""), "", SEED!$BA401)</f>
        <v>65000000000391</v>
      </c>
      <c r="C400" s="92" t="str">
        <f>IF(EXACT($B400, ""), "", IF(EXACT(SEED!$J401, ""), IF(EXACT(SEED!$H401, ""), IF(EXACT(SEED!$F401, ""), IF(EXACT(SEED!$D401, ""), IF(EXACT(SEED!$B401, ""), "", SEED!$B401), SEED!$D401), SEED!$F401), SEED!$H401), SEED!$J401))</f>
        <v>6-2002</v>
      </c>
      <c r="D400" s="92" t="str">
        <f>IF(EXACT($B400, ""), "", IF(EXACT(SEED!$K401, ""), IF(EXACT(SEED!$I401, ""), IF(EXACT(SEED!$G401, ""), IF(EXACT(SEED!$E401, ""), IF(EXACT(SEED!$C401, ""), "", SEED!$C401), SEED!$E401), SEED!$G401), SEED!$I401), SEED!$K401))</f>
        <v>Stamp Duty</v>
      </c>
    </row>
    <row r="401" spans="2:4" x14ac:dyDescent="0.25">
      <c r="B401" s="94">
        <f>IF(EXACT(SEED!$BB402, ""), "", SEED!$BA402)</f>
        <v>65000000000392</v>
      </c>
      <c r="C401" s="92" t="str">
        <f>IF(EXACT($B401, ""), "", IF(EXACT(SEED!$J402, ""), IF(EXACT(SEED!$H402, ""), IF(EXACT(SEED!$F402, ""), IF(EXACT(SEED!$D402, ""), IF(EXACT(SEED!$B402, ""), "", SEED!$B402), SEED!$D402), SEED!$F402), SEED!$H402), SEED!$J402))</f>
        <v>6-2002.01</v>
      </c>
      <c r="D401" s="92" t="str">
        <f>IF(EXACT($B401, ""), "", IF(EXACT(SEED!$K402, ""), IF(EXACT(SEED!$I402, ""), IF(EXACT(SEED!$G402, ""), IF(EXACT(SEED!$E402, ""), IF(EXACT(SEED!$C402, ""), "", SEED!$C402), SEED!$E402), SEED!$G402), SEED!$I402), SEED!$K402))</f>
        <v>Stamp Duty (IDR)</v>
      </c>
    </row>
    <row r="402" spans="2:4" x14ac:dyDescent="0.25">
      <c r="B402" s="94">
        <f>IF(EXACT(SEED!$BB403, ""), "", SEED!$BA403)</f>
        <v>65000000000393</v>
      </c>
      <c r="C402" s="92" t="str">
        <f>IF(EXACT($B402, ""), "", IF(EXACT(SEED!$J403, ""), IF(EXACT(SEED!$H403, ""), IF(EXACT(SEED!$F403, ""), IF(EXACT(SEED!$D403, ""), IF(EXACT(SEED!$B403, ""), "", SEED!$B403), SEED!$D403), SEED!$F403), SEED!$H403), SEED!$J403))</f>
        <v>6-2003</v>
      </c>
      <c r="D402" s="92" t="str">
        <f>IF(EXACT($B402, ""), "", IF(EXACT(SEED!$K403, ""), IF(EXACT(SEED!$I403, ""), IF(EXACT(SEED!$G403, ""), IF(EXACT(SEED!$E403, ""), IF(EXACT(SEED!$C403, ""), "", SEED!$C403), SEED!$E403), SEED!$G403), SEED!$I403), SEED!$K403))</f>
        <v>Postage &amp; Courier</v>
      </c>
    </row>
    <row r="403" spans="2:4" x14ac:dyDescent="0.25">
      <c r="B403" s="94">
        <f>IF(EXACT(SEED!$BB404, ""), "", SEED!$BA404)</f>
        <v>65000000000394</v>
      </c>
      <c r="C403" s="92" t="str">
        <f>IF(EXACT($B403, ""), "", IF(EXACT(SEED!$J404, ""), IF(EXACT(SEED!$H404, ""), IF(EXACT(SEED!$F404, ""), IF(EXACT(SEED!$D404, ""), IF(EXACT(SEED!$B404, ""), "", SEED!$B404), SEED!$D404), SEED!$F404), SEED!$H404), SEED!$J404))</f>
        <v>6-2003.01</v>
      </c>
      <c r="D403" s="92" t="str">
        <f>IF(EXACT($B403, ""), "", IF(EXACT(SEED!$K404, ""), IF(EXACT(SEED!$I404, ""), IF(EXACT(SEED!$G404, ""), IF(EXACT(SEED!$E404, ""), IF(EXACT(SEED!$C404, ""), "", SEED!$C404), SEED!$E404), SEED!$G404), SEED!$I404), SEED!$K404))</f>
        <v>Postage &amp; Courier (IDR)</v>
      </c>
    </row>
    <row r="404" spans="2:4" x14ac:dyDescent="0.25">
      <c r="B404" s="94">
        <f>IF(EXACT(SEED!$BB405, ""), "", SEED!$BA405)</f>
        <v>65000000000395</v>
      </c>
      <c r="C404" s="92" t="str">
        <f>IF(EXACT($B404, ""), "", IF(EXACT(SEED!$J405, ""), IF(EXACT(SEED!$H405, ""), IF(EXACT(SEED!$F405, ""), IF(EXACT(SEED!$D405, ""), IF(EXACT(SEED!$B405, ""), "", SEED!$B405), SEED!$D405), SEED!$F405), SEED!$H405), SEED!$J405))</f>
        <v>6-2004</v>
      </c>
      <c r="D404" s="92" t="str">
        <f>IF(EXACT($B404, ""), "", IF(EXACT(SEED!$K405, ""), IF(EXACT(SEED!$I405, ""), IF(EXACT(SEED!$G405, ""), IF(EXACT(SEED!$E405, ""), IF(EXACT(SEED!$C405, ""), "", SEED!$C405), SEED!$E405), SEED!$G405), SEED!$I405), SEED!$K405))</f>
        <v>Other Admin Expenses</v>
      </c>
    </row>
    <row r="405" spans="2:4" x14ac:dyDescent="0.25">
      <c r="B405" s="94">
        <f>IF(EXACT(SEED!$BB406, ""), "", SEED!$BA406)</f>
        <v>65000000000396</v>
      </c>
      <c r="C405" s="92" t="str">
        <f>IF(EXACT($B405, ""), "", IF(EXACT(SEED!$J406, ""), IF(EXACT(SEED!$H406, ""), IF(EXACT(SEED!$F406, ""), IF(EXACT(SEED!$D406, ""), IF(EXACT(SEED!$B406, ""), "", SEED!$B406), SEED!$D406), SEED!$F406), SEED!$H406), SEED!$J406))</f>
        <v>6-2004.01</v>
      </c>
      <c r="D405" s="92" t="str">
        <f>IF(EXACT($B405, ""), "", IF(EXACT(SEED!$K406, ""), IF(EXACT(SEED!$I406, ""), IF(EXACT(SEED!$G406, ""), IF(EXACT(SEED!$E406, ""), IF(EXACT(SEED!$C406, ""), "", SEED!$C406), SEED!$E406), SEED!$G406), SEED!$I406), SEED!$K406))</f>
        <v>Other Admin Expenses (IDR)</v>
      </c>
    </row>
    <row r="406" spans="2:4" x14ac:dyDescent="0.25">
      <c r="B406" s="94">
        <f>IF(EXACT(SEED!$BB407, ""), "", SEED!$BA407)</f>
        <v>65000000000397</v>
      </c>
      <c r="C406" s="92" t="str">
        <f>IF(EXACT($B406, ""), "", IF(EXACT(SEED!$J407, ""), IF(EXACT(SEED!$H407, ""), IF(EXACT(SEED!$F407, ""), IF(EXACT(SEED!$D407, ""), IF(EXACT(SEED!$B407, ""), "", SEED!$B407), SEED!$D407), SEED!$F407), SEED!$H407), SEED!$J407))</f>
        <v>6-2005</v>
      </c>
      <c r="D406" s="92" t="str">
        <f>IF(EXACT($B406, ""), "", IF(EXACT(SEED!$K407, ""), IF(EXACT(SEED!$I407, ""), IF(EXACT(SEED!$G407, ""), IF(EXACT(SEED!$E407, ""), IF(EXACT(SEED!$C407, ""), "", SEED!$C407), SEED!$E407), SEED!$G407), SEED!$I407), SEED!$K407))</f>
        <v>Office Supplies</v>
      </c>
    </row>
    <row r="407" spans="2:4" x14ac:dyDescent="0.25">
      <c r="B407" s="94">
        <f>IF(EXACT(SEED!$BB408, ""), "", SEED!$BA408)</f>
        <v>65000000000398</v>
      </c>
      <c r="C407" s="92" t="str">
        <f>IF(EXACT($B407, ""), "", IF(EXACT(SEED!$J408, ""), IF(EXACT(SEED!$H408, ""), IF(EXACT(SEED!$F408, ""), IF(EXACT(SEED!$D408, ""), IF(EXACT(SEED!$B408, ""), "", SEED!$B408), SEED!$D408), SEED!$F408), SEED!$H408), SEED!$J408))</f>
        <v>6-2005.01</v>
      </c>
      <c r="D407" s="92" t="str">
        <f>IF(EXACT($B407, ""), "", IF(EXACT(SEED!$K408, ""), IF(EXACT(SEED!$I408, ""), IF(EXACT(SEED!$G408, ""), IF(EXACT(SEED!$E408, ""), IF(EXACT(SEED!$C408, ""), "", SEED!$C408), SEED!$E408), SEED!$G408), SEED!$I408), SEED!$K408))</f>
        <v>Office Supplies (IDR)</v>
      </c>
    </row>
    <row r="408" spans="2:4" x14ac:dyDescent="0.25">
      <c r="B408" s="94">
        <f>IF(EXACT(SEED!$BB409, ""), "", SEED!$BA409)</f>
        <v>65000000000399</v>
      </c>
      <c r="C408" s="92" t="str">
        <f>IF(EXACT($B408, ""), "", IF(EXACT(SEED!$J409, ""), IF(EXACT(SEED!$H409, ""), IF(EXACT(SEED!$F409, ""), IF(EXACT(SEED!$D409, ""), IF(EXACT(SEED!$B409, ""), "", SEED!$B409), SEED!$D409), SEED!$F409), SEED!$H409), SEED!$J409))</f>
        <v>6-2006</v>
      </c>
      <c r="D408" s="92" t="str">
        <f>IF(EXACT($B408, ""), "", IF(EXACT(SEED!$K409, ""), IF(EXACT(SEED!$I409, ""), IF(EXACT(SEED!$G409, ""), IF(EXACT(SEED!$E409, ""), IF(EXACT(SEED!$C409, ""), "", SEED!$C409), SEED!$E409), SEED!$G409), SEED!$I409), SEED!$K409))</f>
        <v>Office Equipment &lt; $500</v>
      </c>
    </row>
    <row r="409" spans="2:4" x14ac:dyDescent="0.25">
      <c r="B409" s="94">
        <f>IF(EXACT(SEED!$BB410, ""), "", SEED!$BA410)</f>
        <v>65000000000400</v>
      </c>
      <c r="C409" s="92" t="str">
        <f>IF(EXACT($B409, ""), "", IF(EXACT(SEED!$J410, ""), IF(EXACT(SEED!$H410, ""), IF(EXACT(SEED!$F410, ""), IF(EXACT(SEED!$D410, ""), IF(EXACT(SEED!$B410, ""), "", SEED!$B410), SEED!$D410), SEED!$F410), SEED!$H410), SEED!$J410))</f>
        <v>6-2006.01</v>
      </c>
      <c r="D409" s="92" t="str">
        <f>IF(EXACT($B409, ""), "", IF(EXACT(SEED!$K410, ""), IF(EXACT(SEED!$I410, ""), IF(EXACT(SEED!$G410, ""), IF(EXACT(SEED!$E410, ""), IF(EXACT(SEED!$C410, ""), "", SEED!$C410), SEED!$E410), SEED!$G410), SEED!$I410), SEED!$K410))</f>
        <v>Office Equipment &lt; $500 (IDR)</v>
      </c>
    </row>
    <row r="410" spans="2:4" x14ac:dyDescent="0.25">
      <c r="B410" s="94">
        <f>IF(EXACT(SEED!$BB411, ""), "", SEED!$BA411)</f>
        <v>65000000000401</v>
      </c>
      <c r="C410" s="92" t="str">
        <f>IF(EXACT($B410, ""), "", IF(EXACT(SEED!$J411, ""), IF(EXACT(SEED!$H411, ""), IF(EXACT(SEED!$F411, ""), IF(EXACT(SEED!$D411, ""), IF(EXACT(SEED!$B411, ""), "", SEED!$B411), SEED!$D411), SEED!$F411), SEED!$H411), SEED!$J411))</f>
        <v>6-2007</v>
      </c>
      <c r="D410" s="92" t="str">
        <f>IF(EXACT($B410, ""), "", IF(EXACT(SEED!$K411, ""), IF(EXACT(SEED!$I411, ""), IF(EXACT(SEED!$G411, ""), IF(EXACT(SEED!$E411, ""), IF(EXACT(SEED!$C411, ""), "", SEED!$C411), SEED!$E411), SEED!$G411), SEED!$I411), SEED!$K411))</f>
        <v>Furniture &amp; Fitting &lt; $500</v>
      </c>
    </row>
    <row r="411" spans="2:4" x14ac:dyDescent="0.25">
      <c r="B411" s="94">
        <f>IF(EXACT(SEED!$BB412, ""), "", SEED!$BA412)</f>
        <v>65000000000402</v>
      </c>
      <c r="C411" s="92" t="str">
        <f>IF(EXACT($B411, ""), "", IF(EXACT(SEED!$J412, ""), IF(EXACT(SEED!$H412, ""), IF(EXACT(SEED!$F412, ""), IF(EXACT(SEED!$D412, ""), IF(EXACT(SEED!$B412, ""), "", SEED!$B412), SEED!$D412), SEED!$F412), SEED!$H412), SEED!$J412))</f>
        <v>6-2007.01</v>
      </c>
      <c r="D411" s="92" t="str">
        <f>IF(EXACT($B411, ""), "", IF(EXACT(SEED!$K412, ""), IF(EXACT(SEED!$I412, ""), IF(EXACT(SEED!$G412, ""), IF(EXACT(SEED!$E412, ""), IF(EXACT(SEED!$C412, ""), "", SEED!$C412), SEED!$E412), SEED!$G412), SEED!$I412), SEED!$K412))</f>
        <v>Furniture &amp; Fitting &lt; $500 (IDR)</v>
      </c>
    </row>
    <row r="412" spans="2:4" x14ac:dyDescent="0.25">
      <c r="B412" s="94">
        <f>IF(EXACT(SEED!$BB413, ""), "", SEED!$BA413)</f>
        <v>65000000000403</v>
      </c>
      <c r="C412" s="92" t="str">
        <f>IF(EXACT($B412, ""), "", IF(EXACT(SEED!$J413, ""), IF(EXACT(SEED!$H413, ""), IF(EXACT(SEED!$F413, ""), IF(EXACT(SEED!$D413, ""), IF(EXACT(SEED!$B413, ""), "", SEED!$B413), SEED!$D413), SEED!$F413), SEED!$H413), SEED!$J413))</f>
        <v>6-2008</v>
      </c>
      <c r="D412" s="92" t="str">
        <f>IF(EXACT($B412, ""), "", IF(EXACT(SEED!$K413, ""), IF(EXACT(SEED!$I413, ""), IF(EXACT(SEED!$G413, ""), IF(EXACT(SEED!$E413, ""), IF(EXACT(SEED!$C413, ""), "", SEED!$C413), SEED!$E413), SEED!$G413), SEED!$I413), SEED!$K413))</f>
        <v>Light &amp; Power Equipment</v>
      </c>
    </row>
    <row r="413" spans="2:4" x14ac:dyDescent="0.25">
      <c r="B413" s="94">
        <f>IF(EXACT(SEED!$BB414, ""), "", SEED!$BA414)</f>
        <v>65000000000404</v>
      </c>
      <c r="C413" s="92" t="str">
        <f>IF(EXACT($B413, ""), "", IF(EXACT(SEED!$J414, ""), IF(EXACT(SEED!$H414, ""), IF(EXACT(SEED!$F414, ""), IF(EXACT(SEED!$D414, ""), IF(EXACT(SEED!$B414, ""), "", SEED!$B414), SEED!$D414), SEED!$F414), SEED!$H414), SEED!$J414))</f>
        <v>6-2008.01</v>
      </c>
      <c r="D413" s="92" t="str">
        <f>IF(EXACT($B413, ""), "", IF(EXACT(SEED!$K414, ""), IF(EXACT(SEED!$I414, ""), IF(EXACT(SEED!$G414, ""), IF(EXACT(SEED!$E414, ""), IF(EXACT(SEED!$C414, ""), "", SEED!$C414), SEED!$E414), SEED!$G414), SEED!$I414), SEED!$K414))</f>
        <v>Light &amp; Power Equipment (IDR)</v>
      </c>
    </row>
    <row r="414" spans="2:4" x14ac:dyDescent="0.25">
      <c r="B414" s="94">
        <f>IF(EXACT(SEED!$BB415, ""), "", SEED!$BA415)</f>
        <v>65000000000405</v>
      </c>
      <c r="C414" s="92" t="str">
        <f>IF(EXACT($B414, ""), "", IF(EXACT(SEED!$J415, ""), IF(EXACT(SEED!$H415, ""), IF(EXACT(SEED!$F415, ""), IF(EXACT(SEED!$D415, ""), IF(EXACT(SEED!$B415, ""), "", SEED!$B415), SEED!$D415), SEED!$F415), SEED!$H415), SEED!$J415))</f>
        <v>6-2009</v>
      </c>
      <c r="D414" s="92" t="str">
        <f>IF(EXACT($B414, ""), "", IF(EXACT(SEED!$K415, ""), IF(EXACT(SEED!$I415, ""), IF(EXACT(SEED!$G415, ""), IF(EXACT(SEED!$E415, ""), IF(EXACT(SEED!$C415, ""), "", SEED!$C415), SEED!$E415), SEED!$G415), SEED!$I415), SEED!$K415))</f>
        <v>Utilities</v>
      </c>
    </row>
    <row r="415" spans="2:4" x14ac:dyDescent="0.25">
      <c r="B415" s="94">
        <f>IF(EXACT(SEED!$BB416, ""), "", SEED!$BA416)</f>
        <v>65000000000406</v>
      </c>
      <c r="C415" s="92" t="str">
        <f>IF(EXACT($B415, ""), "", IF(EXACT(SEED!$J416, ""), IF(EXACT(SEED!$H416, ""), IF(EXACT(SEED!$F416, ""), IF(EXACT(SEED!$D416, ""), IF(EXACT(SEED!$B416, ""), "", SEED!$B416), SEED!$D416), SEED!$F416), SEED!$H416), SEED!$J416))</f>
        <v>6-2009.01</v>
      </c>
      <c r="D415" s="92" t="str">
        <f>IF(EXACT($B415, ""), "", IF(EXACT(SEED!$K416, ""), IF(EXACT(SEED!$I416, ""), IF(EXACT(SEED!$G416, ""), IF(EXACT(SEED!$E416, ""), IF(EXACT(SEED!$C416, ""), "", SEED!$C416), SEED!$E416), SEED!$G416), SEED!$I416), SEED!$K416))</f>
        <v>Utilities (IDR)</v>
      </c>
    </row>
    <row r="416" spans="2:4" x14ac:dyDescent="0.25">
      <c r="B416" s="94">
        <f>IF(EXACT(SEED!$BB417, ""), "", SEED!$BA417)</f>
        <v>65000000000407</v>
      </c>
      <c r="C416" s="92" t="str">
        <f>IF(EXACT($B416, ""), "", IF(EXACT(SEED!$J417, ""), IF(EXACT(SEED!$H417, ""), IF(EXACT(SEED!$F417, ""), IF(EXACT(SEED!$D417, ""), IF(EXACT(SEED!$B417, ""), "", SEED!$B417), SEED!$D417), SEED!$F417), SEED!$H417), SEED!$J417))</f>
        <v>6-2010</v>
      </c>
      <c r="D416" s="92" t="str">
        <f>IF(EXACT($B416, ""), "", IF(EXACT(SEED!$K417, ""), IF(EXACT(SEED!$I417, ""), IF(EXACT(SEED!$G417, ""), IF(EXACT(SEED!$E417, ""), IF(EXACT(SEED!$C417, ""), "", SEED!$C417), SEED!$E417), SEED!$G417), SEED!$I417), SEED!$K417))</f>
        <v>Telephone, Telex, Fax</v>
      </c>
    </row>
    <row r="417" spans="2:4" x14ac:dyDescent="0.25">
      <c r="B417" s="94">
        <f>IF(EXACT(SEED!$BB418, ""), "", SEED!$BA418)</f>
        <v>65000000000408</v>
      </c>
      <c r="C417" s="92" t="str">
        <f>IF(EXACT($B417, ""), "", IF(EXACT(SEED!$J418, ""), IF(EXACT(SEED!$H418, ""), IF(EXACT(SEED!$F418, ""), IF(EXACT(SEED!$D418, ""), IF(EXACT(SEED!$B418, ""), "", SEED!$B418), SEED!$D418), SEED!$F418), SEED!$H418), SEED!$J418))</f>
        <v>6-2010.01</v>
      </c>
      <c r="D417" s="92" t="str">
        <f>IF(EXACT($B417, ""), "", IF(EXACT(SEED!$K418, ""), IF(EXACT(SEED!$I418, ""), IF(EXACT(SEED!$G418, ""), IF(EXACT(SEED!$E418, ""), IF(EXACT(SEED!$C418, ""), "", SEED!$C418), SEED!$E418), SEED!$G418), SEED!$I418), SEED!$K418))</f>
        <v>Telephone, Telex, Fax (IDR)</v>
      </c>
    </row>
    <row r="418" spans="2:4" x14ac:dyDescent="0.25">
      <c r="B418" s="94">
        <f>IF(EXACT(SEED!$BB419, ""), "", SEED!$BA419)</f>
        <v>65000000000409</v>
      </c>
      <c r="C418" s="92" t="str">
        <f>IF(EXACT($B418, ""), "", IF(EXACT(SEED!$J419, ""), IF(EXACT(SEED!$H419, ""), IF(EXACT(SEED!$F419, ""), IF(EXACT(SEED!$D419, ""), IF(EXACT(SEED!$B419, ""), "", SEED!$B419), SEED!$D419), SEED!$F419), SEED!$H419), SEED!$J419))</f>
        <v>6-2011</v>
      </c>
      <c r="D418" s="92" t="str">
        <f>IF(EXACT($B418, ""), "", IF(EXACT(SEED!$K419, ""), IF(EXACT(SEED!$I419, ""), IF(EXACT(SEED!$G419, ""), IF(EXACT(SEED!$E419, ""), IF(EXACT(SEED!$C419, ""), "", SEED!$C419), SEED!$E419), SEED!$G419), SEED!$I419), SEED!$K419))</f>
        <v>Telephone - Sales</v>
      </c>
    </row>
    <row r="419" spans="2:4" x14ac:dyDescent="0.25">
      <c r="B419" s="94">
        <f>IF(EXACT(SEED!$BB420, ""), "", SEED!$BA420)</f>
        <v>65000000000410</v>
      </c>
      <c r="C419" s="92" t="str">
        <f>IF(EXACT($B419, ""), "", IF(EXACT(SEED!$J420, ""), IF(EXACT(SEED!$H420, ""), IF(EXACT(SEED!$F420, ""), IF(EXACT(SEED!$D420, ""), IF(EXACT(SEED!$B420, ""), "", SEED!$B420), SEED!$D420), SEED!$F420), SEED!$H420), SEED!$J420))</f>
        <v>6-2011.01</v>
      </c>
      <c r="D419" s="92" t="str">
        <f>IF(EXACT($B419, ""), "", IF(EXACT(SEED!$K420, ""), IF(EXACT(SEED!$I420, ""), IF(EXACT(SEED!$G420, ""), IF(EXACT(SEED!$E420, ""), IF(EXACT(SEED!$C420, ""), "", SEED!$C420), SEED!$E420), SEED!$G420), SEED!$I420), SEED!$K420))</f>
        <v>Telephone - Sales (IDR)</v>
      </c>
    </row>
    <row r="420" spans="2:4" x14ac:dyDescent="0.25">
      <c r="B420" s="94">
        <f>IF(EXACT(SEED!$BB421, ""), "", SEED!$BA421)</f>
        <v>65000000000411</v>
      </c>
      <c r="C420" s="92" t="str">
        <f>IF(EXACT($B420, ""), "", IF(EXACT(SEED!$J421, ""), IF(EXACT(SEED!$H421, ""), IF(EXACT(SEED!$F421, ""), IF(EXACT(SEED!$D421, ""), IF(EXACT(SEED!$B421, ""), "", SEED!$B421), SEED!$D421), SEED!$F421), SEED!$H421), SEED!$J421))</f>
        <v>6-2012</v>
      </c>
      <c r="D420" s="92" t="str">
        <f>IF(EXACT($B420, ""), "", IF(EXACT(SEED!$K421, ""), IF(EXACT(SEED!$I421, ""), IF(EXACT(SEED!$G421, ""), IF(EXACT(SEED!$E421, ""), IF(EXACT(SEED!$C421, ""), "", SEED!$C421), SEED!$E421), SEED!$G421), SEED!$I421), SEED!$K421))</f>
        <v>Mobile Phones &lt; $500</v>
      </c>
    </row>
    <row r="421" spans="2:4" x14ac:dyDescent="0.25">
      <c r="B421" s="94">
        <f>IF(EXACT(SEED!$BB422, ""), "", SEED!$BA422)</f>
        <v>65000000000412</v>
      </c>
      <c r="C421" s="92" t="str">
        <f>IF(EXACT($B421, ""), "", IF(EXACT(SEED!$J422, ""), IF(EXACT(SEED!$H422, ""), IF(EXACT(SEED!$F422, ""), IF(EXACT(SEED!$D422, ""), IF(EXACT(SEED!$B422, ""), "", SEED!$B422), SEED!$D422), SEED!$F422), SEED!$H422), SEED!$J422))</f>
        <v>6-2012.01</v>
      </c>
      <c r="D421" s="92" t="str">
        <f>IF(EXACT($B421, ""), "", IF(EXACT(SEED!$K422, ""), IF(EXACT(SEED!$I422, ""), IF(EXACT(SEED!$G422, ""), IF(EXACT(SEED!$E422, ""), IF(EXACT(SEED!$C422, ""), "", SEED!$C422), SEED!$E422), SEED!$G422), SEED!$I422), SEED!$K422))</f>
        <v>Mobile Phones &lt; $500 (IDR)</v>
      </c>
    </row>
    <row r="422" spans="2:4" x14ac:dyDescent="0.25">
      <c r="B422" s="94">
        <f>IF(EXACT(SEED!$BB423, ""), "", SEED!$BA423)</f>
        <v>65000000000413</v>
      </c>
      <c r="C422" s="92" t="str">
        <f>IF(EXACT($B422, ""), "", IF(EXACT(SEED!$J423, ""), IF(EXACT(SEED!$H423, ""), IF(EXACT(SEED!$F423, ""), IF(EXACT(SEED!$D423, ""), IF(EXACT(SEED!$B423, ""), "", SEED!$B423), SEED!$D423), SEED!$F423), SEED!$H423), SEED!$J423))</f>
        <v>6-2013</v>
      </c>
      <c r="D422" s="92" t="str">
        <f>IF(EXACT($B422, ""), "", IF(EXACT(SEED!$K423, ""), IF(EXACT(SEED!$I423, ""), IF(EXACT(SEED!$G423, ""), IF(EXACT(SEED!$E423, ""), IF(EXACT(SEED!$C423, ""), "", SEED!$C423), SEED!$E423), SEED!$G423), SEED!$I423), SEED!$K423))</f>
        <v>IT Expenses</v>
      </c>
    </row>
    <row r="423" spans="2:4" x14ac:dyDescent="0.25">
      <c r="B423" s="94">
        <f>IF(EXACT(SEED!$BB424, ""), "", SEED!$BA424)</f>
        <v>65000000000414</v>
      </c>
      <c r="C423" s="92" t="str">
        <f>IF(EXACT($B423, ""), "", IF(EXACT(SEED!$J424, ""), IF(EXACT(SEED!$H424, ""), IF(EXACT(SEED!$F424, ""), IF(EXACT(SEED!$D424, ""), IF(EXACT(SEED!$B424, ""), "", SEED!$B424), SEED!$D424), SEED!$F424), SEED!$H424), SEED!$J424))</f>
        <v>6-2013.01</v>
      </c>
      <c r="D423" s="92" t="str">
        <f>IF(EXACT($B423, ""), "", IF(EXACT(SEED!$K424, ""), IF(EXACT(SEED!$I424, ""), IF(EXACT(SEED!$G424, ""), IF(EXACT(SEED!$E424, ""), IF(EXACT(SEED!$C424, ""), "", SEED!$C424), SEED!$E424), SEED!$G424), SEED!$I424), SEED!$K424))</f>
        <v>IT Expenses (IDR)</v>
      </c>
    </row>
    <row r="424" spans="2:4" x14ac:dyDescent="0.25">
      <c r="B424" s="94">
        <f>IF(EXACT(SEED!$BB425, ""), "", SEED!$BA425)</f>
        <v>65000000000415</v>
      </c>
      <c r="C424" s="92" t="str">
        <f>IF(EXACT($B424, ""), "", IF(EXACT(SEED!$J425, ""), IF(EXACT(SEED!$H425, ""), IF(EXACT(SEED!$F425, ""), IF(EXACT(SEED!$D425, ""), IF(EXACT(SEED!$B425, ""), "", SEED!$B425), SEED!$D425), SEED!$F425), SEED!$H425), SEED!$J425))</f>
        <v>6-2014</v>
      </c>
      <c r="D424" s="92" t="str">
        <f>IF(EXACT($B424, ""), "", IF(EXACT(SEED!$K425, ""), IF(EXACT(SEED!$I425, ""), IF(EXACT(SEED!$G425, ""), IF(EXACT(SEED!$E425, ""), IF(EXACT(SEED!$C425, ""), "", SEED!$C425), SEED!$E425), SEED!$G425), SEED!$I425), SEED!$K425))</f>
        <v>Local Transportation</v>
      </c>
    </row>
    <row r="425" spans="2:4" x14ac:dyDescent="0.25">
      <c r="B425" s="94">
        <f>IF(EXACT(SEED!$BB426, ""), "", SEED!$BA426)</f>
        <v>65000000000416</v>
      </c>
      <c r="C425" s="92" t="str">
        <f>IF(EXACT($B425, ""), "", IF(EXACT(SEED!$J426, ""), IF(EXACT(SEED!$H426, ""), IF(EXACT(SEED!$F426, ""), IF(EXACT(SEED!$D426, ""), IF(EXACT(SEED!$B426, ""), "", SEED!$B426), SEED!$D426), SEED!$F426), SEED!$H426), SEED!$J426))</f>
        <v>6-2014.01</v>
      </c>
      <c r="D425" s="92" t="str">
        <f>IF(EXACT($B425, ""), "", IF(EXACT(SEED!$K426, ""), IF(EXACT(SEED!$I426, ""), IF(EXACT(SEED!$G426, ""), IF(EXACT(SEED!$E426, ""), IF(EXACT(SEED!$C426, ""), "", SEED!$C426), SEED!$E426), SEED!$G426), SEED!$I426), SEED!$K426))</f>
        <v>Local Transportation (IDR)</v>
      </c>
    </row>
    <row r="426" spans="2:4" x14ac:dyDescent="0.25">
      <c r="B426" s="94">
        <f>IF(EXACT(SEED!$BB427, ""), "", SEED!$BA427)</f>
        <v>65000000000417</v>
      </c>
      <c r="C426" s="92" t="str">
        <f>IF(EXACT($B426, ""), "", IF(EXACT(SEED!$J427, ""), IF(EXACT(SEED!$H427, ""), IF(EXACT(SEED!$F427, ""), IF(EXACT(SEED!$D427, ""), IF(EXACT(SEED!$B427, ""), "", SEED!$B427), SEED!$D427), SEED!$F427), SEED!$H427), SEED!$J427))</f>
        <v>6-2015</v>
      </c>
      <c r="D426" s="92" t="str">
        <f>IF(EXACT($B426, ""), "", IF(EXACT(SEED!$K427, ""), IF(EXACT(SEED!$I427, ""), IF(EXACT(SEED!$G427, ""), IF(EXACT(SEED!$E427, ""), IF(EXACT(SEED!$C427, ""), "", SEED!$C427), SEED!$E427), SEED!$G427), SEED!$I427), SEED!$K427))</f>
        <v>Hire of Motor Vehicle</v>
      </c>
    </row>
    <row r="427" spans="2:4" x14ac:dyDescent="0.25">
      <c r="B427" s="94">
        <f>IF(EXACT(SEED!$BB428, ""), "", SEED!$BA428)</f>
        <v>65000000000418</v>
      </c>
      <c r="C427" s="92" t="str">
        <f>IF(EXACT($B427, ""), "", IF(EXACT(SEED!$J428, ""), IF(EXACT(SEED!$H428, ""), IF(EXACT(SEED!$F428, ""), IF(EXACT(SEED!$D428, ""), IF(EXACT(SEED!$B428, ""), "", SEED!$B428), SEED!$D428), SEED!$F428), SEED!$H428), SEED!$J428))</f>
        <v>6-2015.01</v>
      </c>
      <c r="D427" s="92" t="str">
        <f>IF(EXACT($B427, ""), "", IF(EXACT(SEED!$K428, ""), IF(EXACT(SEED!$I428, ""), IF(EXACT(SEED!$G428, ""), IF(EXACT(SEED!$E428, ""), IF(EXACT(SEED!$C428, ""), "", SEED!$C428), SEED!$E428), SEED!$G428), SEED!$I428), SEED!$K428))</f>
        <v>Hire of Motor Vehicle (IDR)</v>
      </c>
    </row>
    <row r="428" spans="2:4" x14ac:dyDescent="0.25">
      <c r="B428" s="94">
        <f>IF(EXACT(SEED!$BB429, ""), "", SEED!$BA429)</f>
        <v>65000000000419</v>
      </c>
      <c r="C428" s="92" t="str">
        <f>IF(EXACT($B428, ""), "", IF(EXACT(SEED!$J429, ""), IF(EXACT(SEED!$H429, ""), IF(EXACT(SEED!$F429, ""), IF(EXACT(SEED!$D429, ""), IF(EXACT(SEED!$B429, ""), "", SEED!$B429), SEED!$D429), SEED!$F429), SEED!$H429), SEED!$J429))</f>
        <v>6-2016</v>
      </c>
      <c r="D428" s="92" t="str">
        <f>IF(EXACT($B428, ""), "", IF(EXACT(SEED!$K429, ""), IF(EXACT(SEED!$I429, ""), IF(EXACT(SEED!$G429, ""), IF(EXACT(SEED!$E429, ""), IF(EXACT(SEED!$C429, ""), "", SEED!$C429), SEED!$E429), SEED!$G429), SEED!$I429), SEED!$K429))</f>
        <v>Business Travelling</v>
      </c>
    </row>
    <row r="429" spans="2:4" x14ac:dyDescent="0.25">
      <c r="B429" s="94">
        <f>IF(EXACT(SEED!$BB430, ""), "", SEED!$BA430)</f>
        <v>65000000000420</v>
      </c>
      <c r="C429" s="92" t="str">
        <f>IF(EXACT($B429, ""), "", IF(EXACT(SEED!$J430, ""), IF(EXACT(SEED!$H430, ""), IF(EXACT(SEED!$F430, ""), IF(EXACT(SEED!$D430, ""), IF(EXACT(SEED!$B430, ""), "", SEED!$B430), SEED!$D430), SEED!$F430), SEED!$H430), SEED!$J430))</f>
        <v>6-2016.01</v>
      </c>
      <c r="D429" s="92" t="str">
        <f>IF(EXACT($B429, ""), "", IF(EXACT(SEED!$K430, ""), IF(EXACT(SEED!$I430, ""), IF(EXACT(SEED!$G430, ""), IF(EXACT(SEED!$E430, ""), IF(EXACT(SEED!$C430, ""), "", SEED!$C430), SEED!$E430), SEED!$G430), SEED!$I430), SEED!$K430))</f>
        <v>Business Travelling (IDR)</v>
      </c>
    </row>
    <row r="430" spans="2:4" x14ac:dyDescent="0.25">
      <c r="B430" s="94">
        <f>IF(EXACT(SEED!$BB431, ""), "", SEED!$BA431)</f>
        <v>65000000000421</v>
      </c>
      <c r="C430" s="92" t="str">
        <f>IF(EXACT($B430, ""), "", IF(EXACT(SEED!$J431, ""), IF(EXACT(SEED!$H431, ""), IF(EXACT(SEED!$F431, ""), IF(EXACT(SEED!$D431, ""), IF(EXACT(SEED!$B431, ""), "", SEED!$B431), SEED!$D431), SEED!$F431), SEED!$H431), SEED!$J431))</f>
        <v>6-2017</v>
      </c>
      <c r="D430" s="92" t="str">
        <f>IF(EXACT($B430, ""), "", IF(EXACT(SEED!$K431, ""), IF(EXACT(SEED!$I431, ""), IF(EXACT(SEED!$G431, ""), IF(EXACT(SEED!$E431, ""), IF(EXACT(SEED!$C431, ""), "", SEED!$C431), SEED!$E431), SEED!$G431), SEED!$I431), SEED!$K431))</f>
        <v>MV - Fuel &amp; Oil</v>
      </c>
    </row>
    <row r="431" spans="2:4" x14ac:dyDescent="0.25">
      <c r="B431" s="94">
        <f>IF(EXACT(SEED!$BB432, ""), "", SEED!$BA432)</f>
        <v>65000000000422</v>
      </c>
      <c r="C431" s="92" t="str">
        <f>IF(EXACT($B431, ""), "", IF(EXACT(SEED!$J432, ""), IF(EXACT(SEED!$H432, ""), IF(EXACT(SEED!$F432, ""), IF(EXACT(SEED!$D432, ""), IF(EXACT(SEED!$B432, ""), "", SEED!$B432), SEED!$D432), SEED!$F432), SEED!$H432), SEED!$J432))</f>
        <v>6-2017.01</v>
      </c>
      <c r="D431" s="92" t="str">
        <f>IF(EXACT($B431, ""), "", IF(EXACT(SEED!$K432, ""), IF(EXACT(SEED!$I432, ""), IF(EXACT(SEED!$G432, ""), IF(EXACT(SEED!$E432, ""), IF(EXACT(SEED!$C432, ""), "", SEED!$C432), SEED!$E432), SEED!$G432), SEED!$I432), SEED!$K432))</f>
        <v>MV - Fuel &amp; Oil (IDR)</v>
      </c>
    </row>
    <row r="432" spans="2:4" x14ac:dyDescent="0.25">
      <c r="B432" s="94">
        <f>IF(EXACT(SEED!$BB433, ""), "", SEED!$BA433)</f>
        <v>65000000000423</v>
      </c>
      <c r="C432" s="92" t="str">
        <f>IF(EXACT($B432, ""), "", IF(EXACT(SEED!$J433, ""), IF(EXACT(SEED!$H433, ""), IF(EXACT(SEED!$F433, ""), IF(EXACT(SEED!$D433, ""), IF(EXACT(SEED!$B433, ""), "", SEED!$B433), SEED!$D433), SEED!$F433), SEED!$H433), SEED!$J433))</f>
        <v>6-2018</v>
      </c>
      <c r="D432" s="92" t="str">
        <f>IF(EXACT($B432, ""), "", IF(EXACT(SEED!$K433, ""), IF(EXACT(SEED!$I433, ""), IF(EXACT(SEED!$G433, ""), IF(EXACT(SEED!$E433, ""), IF(EXACT(SEED!$C433, ""), "", SEED!$C433), SEED!$E433), SEED!$G433), SEED!$I433), SEED!$K433))</f>
        <v>MV - Repair &amp; Maintenance</v>
      </c>
    </row>
    <row r="433" spans="2:4" x14ac:dyDescent="0.25">
      <c r="B433" s="94">
        <f>IF(EXACT(SEED!$BB434, ""), "", SEED!$BA434)</f>
        <v>65000000000424</v>
      </c>
      <c r="C433" s="92" t="str">
        <f>IF(EXACT($B433, ""), "", IF(EXACT(SEED!$J434, ""), IF(EXACT(SEED!$H434, ""), IF(EXACT(SEED!$F434, ""), IF(EXACT(SEED!$D434, ""), IF(EXACT(SEED!$B434, ""), "", SEED!$B434), SEED!$D434), SEED!$F434), SEED!$H434), SEED!$J434))</f>
        <v>6-2018.01</v>
      </c>
      <c r="D433" s="92" t="str">
        <f>IF(EXACT($B433, ""), "", IF(EXACT(SEED!$K434, ""), IF(EXACT(SEED!$I434, ""), IF(EXACT(SEED!$G434, ""), IF(EXACT(SEED!$E434, ""), IF(EXACT(SEED!$C434, ""), "", SEED!$C434), SEED!$E434), SEED!$G434), SEED!$I434), SEED!$K434))</f>
        <v>MV - Repair &amp; Maintenance (IDR)</v>
      </c>
    </row>
    <row r="434" spans="2:4" x14ac:dyDescent="0.25">
      <c r="B434" s="94">
        <f>IF(EXACT(SEED!$BB435, ""), "", SEED!$BA435)</f>
        <v>65000000000425</v>
      </c>
      <c r="C434" s="92" t="str">
        <f>IF(EXACT($B434, ""), "", IF(EXACT(SEED!$J435, ""), IF(EXACT(SEED!$H435, ""), IF(EXACT(SEED!$F435, ""), IF(EXACT(SEED!$D435, ""), IF(EXACT(SEED!$B435, ""), "", SEED!$B435), SEED!$D435), SEED!$F435), SEED!$H435), SEED!$J435))</f>
        <v>6-2019</v>
      </c>
      <c r="D434" s="92" t="str">
        <f>IF(EXACT($B434, ""), "", IF(EXACT(SEED!$K435, ""), IF(EXACT(SEED!$I435, ""), IF(EXACT(SEED!$G435, ""), IF(EXACT(SEED!$E435, ""), IF(EXACT(SEED!$C435, ""), "", SEED!$C435), SEED!$E435), SEED!$G435), SEED!$I435), SEED!$K435))</f>
        <v>MV - Tyres, Tubes</v>
      </c>
    </row>
    <row r="435" spans="2:4" x14ac:dyDescent="0.25">
      <c r="B435" s="94">
        <f>IF(EXACT(SEED!$BB436, ""), "", SEED!$BA436)</f>
        <v>65000000000426</v>
      </c>
      <c r="C435" s="92" t="str">
        <f>IF(EXACT($B435, ""), "", IF(EXACT(SEED!$J436, ""), IF(EXACT(SEED!$H436, ""), IF(EXACT(SEED!$F436, ""), IF(EXACT(SEED!$D436, ""), IF(EXACT(SEED!$B436, ""), "", SEED!$B436), SEED!$D436), SEED!$F436), SEED!$H436), SEED!$J436))</f>
        <v>6-2019.01</v>
      </c>
      <c r="D435" s="92" t="str">
        <f>IF(EXACT($B435, ""), "", IF(EXACT(SEED!$K436, ""), IF(EXACT(SEED!$I436, ""), IF(EXACT(SEED!$G436, ""), IF(EXACT(SEED!$E436, ""), IF(EXACT(SEED!$C436, ""), "", SEED!$C436), SEED!$E436), SEED!$G436), SEED!$I436), SEED!$K436))</f>
        <v>MV - Tyres, Tubes (IDR)</v>
      </c>
    </row>
    <row r="436" spans="2:4" x14ac:dyDescent="0.25">
      <c r="B436" s="94">
        <f>IF(EXACT(SEED!$BB437, ""), "", SEED!$BA437)</f>
        <v>65000000000427</v>
      </c>
      <c r="C436" s="92" t="str">
        <f>IF(EXACT($B436, ""), "", IF(EXACT(SEED!$J437, ""), IF(EXACT(SEED!$H437, ""), IF(EXACT(SEED!$F437, ""), IF(EXACT(SEED!$D437, ""), IF(EXACT(SEED!$B437, ""), "", SEED!$B437), SEED!$D437), SEED!$F437), SEED!$H437), SEED!$J437))</f>
        <v>6-2020</v>
      </c>
      <c r="D436" s="92" t="str">
        <f>IF(EXACT($B436, ""), "", IF(EXACT(SEED!$K437, ""), IF(EXACT(SEED!$I437, ""), IF(EXACT(SEED!$G437, ""), IF(EXACT(SEED!$E437, ""), IF(EXACT(SEED!$C437, ""), "", SEED!$C437), SEED!$E437), SEED!$G437), SEED!$I437), SEED!$K437))</f>
        <v>MV - Spare Parts</v>
      </c>
    </row>
    <row r="437" spans="2:4" x14ac:dyDescent="0.25">
      <c r="B437" s="94">
        <f>IF(EXACT(SEED!$BB438, ""), "", SEED!$BA438)</f>
        <v>65000000000428</v>
      </c>
      <c r="C437" s="92" t="str">
        <f>IF(EXACT($B437, ""), "", IF(EXACT(SEED!$J438, ""), IF(EXACT(SEED!$H438, ""), IF(EXACT(SEED!$F438, ""), IF(EXACT(SEED!$D438, ""), IF(EXACT(SEED!$B438, ""), "", SEED!$B438), SEED!$D438), SEED!$F438), SEED!$H438), SEED!$J438))</f>
        <v>6-2020.01</v>
      </c>
      <c r="D437" s="92" t="str">
        <f>IF(EXACT($B437, ""), "", IF(EXACT(SEED!$K438, ""), IF(EXACT(SEED!$I438, ""), IF(EXACT(SEED!$G438, ""), IF(EXACT(SEED!$E438, ""), IF(EXACT(SEED!$C438, ""), "", SEED!$C438), SEED!$E438), SEED!$G438), SEED!$I438), SEED!$K438))</f>
        <v>MV - Spare Parts (IDR)</v>
      </c>
    </row>
    <row r="438" spans="2:4" x14ac:dyDescent="0.25">
      <c r="B438" s="94">
        <f>IF(EXACT(SEED!$BB439, ""), "", SEED!$BA439)</f>
        <v>65000000000429</v>
      </c>
      <c r="C438" s="92" t="str">
        <f>IF(EXACT($B438, ""), "", IF(EXACT(SEED!$J439, ""), IF(EXACT(SEED!$H439, ""), IF(EXACT(SEED!$F439, ""), IF(EXACT(SEED!$D439, ""), IF(EXACT(SEED!$B439, ""), "", SEED!$B439), SEED!$D439), SEED!$F439), SEED!$H439), SEED!$J439))</f>
        <v>6-2021</v>
      </c>
      <c r="D438" s="92" t="str">
        <f>IF(EXACT($B438, ""), "", IF(EXACT(SEED!$K439, ""), IF(EXACT(SEED!$I439, ""), IF(EXACT(SEED!$G439, ""), IF(EXACT(SEED!$E439, ""), IF(EXACT(SEED!$C439, ""), "", SEED!$C439), SEED!$E439), SEED!$G439), SEED!$I439), SEED!$K439))</f>
        <v>MV - Accessories</v>
      </c>
    </row>
    <row r="439" spans="2:4" x14ac:dyDescent="0.25">
      <c r="B439" s="94">
        <f>IF(EXACT(SEED!$BB440, ""), "", SEED!$BA440)</f>
        <v>65000000000430</v>
      </c>
      <c r="C439" s="92" t="str">
        <f>IF(EXACT($B439, ""), "", IF(EXACT(SEED!$J440, ""), IF(EXACT(SEED!$H440, ""), IF(EXACT(SEED!$F440, ""), IF(EXACT(SEED!$D440, ""), IF(EXACT(SEED!$B440, ""), "", SEED!$B440), SEED!$D440), SEED!$F440), SEED!$H440), SEED!$J440))</f>
        <v>6-2021.01</v>
      </c>
      <c r="D439" s="92" t="str">
        <f>IF(EXACT($B439, ""), "", IF(EXACT(SEED!$K440, ""), IF(EXACT(SEED!$I440, ""), IF(EXACT(SEED!$G440, ""), IF(EXACT(SEED!$E440, ""), IF(EXACT(SEED!$C440, ""), "", SEED!$C440), SEED!$E440), SEED!$G440), SEED!$I440), SEED!$K440))</f>
        <v>MV - Accessories (IDR)</v>
      </c>
    </row>
    <row r="440" spans="2:4" x14ac:dyDescent="0.25">
      <c r="B440" s="94">
        <f>IF(EXACT(SEED!$BB441, ""), "", SEED!$BA441)</f>
        <v>65000000000431</v>
      </c>
      <c r="C440" s="92" t="str">
        <f>IF(EXACT($B440, ""), "", IF(EXACT(SEED!$J441, ""), IF(EXACT(SEED!$H441, ""), IF(EXACT(SEED!$F441, ""), IF(EXACT(SEED!$D441, ""), IF(EXACT(SEED!$B441, ""), "", SEED!$B441), SEED!$D441), SEED!$F441), SEED!$H441), SEED!$J441))</f>
        <v>6-2022</v>
      </c>
      <c r="D440" s="92" t="str">
        <f>IF(EXACT($B440, ""), "", IF(EXACT(SEED!$K441, ""), IF(EXACT(SEED!$I441, ""), IF(EXACT(SEED!$G441, ""), IF(EXACT(SEED!$E441, ""), IF(EXACT(SEED!$C441, ""), "", SEED!$C441), SEED!$E441), SEED!$G441), SEED!$I441), SEED!$K441))</f>
        <v>MV - Other</v>
      </c>
    </row>
    <row r="441" spans="2:4" x14ac:dyDescent="0.25">
      <c r="B441" s="94">
        <f>IF(EXACT(SEED!$BB442, ""), "", SEED!$BA442)</f>
        <v>65000000000432</v>
      </c>
      <c r="C441" s="92" t="str">
        <f>IF(EXACT($B441, ""), "", IF(EXACT(SEED!$J442, ""), IF(EXACT(SEED!$H442, ""), IF(EXACT(SEED!$F442, ""), IF(EXACT(SEED!$D442, ""), IF(EXACT(SEED!$B442, ""), "", SEED!$B442), SEED!$D442), SEED!$F442), SEED!$H442), SEED!$J442))</f>
        <v>6-2022.01</v>
      </c>
      <c r="D441" s="92" t="str">
        <f>IF(EXACT($B441, ""), "", IF(EXACT(SEED!$K442, ""), IF(EXACT(SEED!$I442, ""), IF(EXACT(SEED!$G442, ""), IF(EXACT(SEED!$E442, ""), IF(EXACT(SEED!$C442, ""), "", SEED!$C442), SEED!$E442), SEED!$G442), SEED!$I442), SEED!$K442))</f>
        <v>MV - Other (IDR)</v>
      </c>
    </row>
    <row r="442" spans="2:4" x14ac:dyDescent="0.25">
      <c r="B442" s="94">
        <f>IF(EXACT(SEED!$BB443, ""), "", SEED!$BA443)</f>
        <v>65000000000433</v>
      </c>
      <c r="C442" s="92" t="str">
        <f>IF(EXACT($B442, ""), "", IF(EXACT(SEED!$J443, ""), IF(EXACT(SEED!$H443, ""), IF(EXACT(SEED!$F443, ""), IF(EXACT(SEED!$D443, ""), IF(EXACT(SEED!$B443, ""), "", SEED!$B443), SEED!$D443), SEED!$F443), SEED!$H443), SEED!$J443))</f>
        <v>6-2023</v>
      </c>
      <c r="D442" s="92" t="str">
        <f>IF(EXACT($B442, ""), "", IF(EXACT(SEED!$K443, ""), IF(EXACT(SEED!$I443, ""), IF(EXACT(SEED!$G443, ""), IF(EXACT(SEED!$E443, ""), IF(EXACT(SEED!$C443, ""), "", SEED!$C443), SEED!$E443), SEED!$G443), SEED!$I443), SEED!$K443))</f>
        <v>Travel &amp; Fares</v>
      </c>
    </row>
    <row r="443" spans="2:4" x14ac:dyDescent="0.25">
      <c r="B443" s="94">
        <f>IF(EXACT(SEED!$BB444, ""), "", SEED!$BA444)</f>
        <v>65000000000434</v>
      </c>
      <c r="C443" s="92" t="str">
        <f>IF(EXACT($B443, ""), "", IF(EXACT(SEED!$J444, ""), IF(EXACT(SEED!$H444, ""), IF(EXACT(SEED!$F444, ""), IF(EXACT(SEED!$D444, ""), IF(EXACT(SEED!$B444, ""), "", SEED!$B444), SEED!$D444), SEED!$F444), SEED!$H444), SEED!$J444))</f>
        <v>6-2023.01</v>
      </c>
      <c r="D443" s="92" t="str">
        <f>IF(EXACT($B443, ""), "", IF(EXACT(SEED!$K444, ""), IF(EXACT(SEED!$I444, ""), IF(EXACT(SEED!$G444, ""), IF(EXACT(SEED!$E444, ""), IF(EXACT(SEED!$C444, ""), "", SEED!$C444), SEED!$E444), SEED!$G444), SEED!$I444), SEED!$K444))</f>
        <v>Travel &amp; Fares (IDR)</v>
      </c>
    </row>
    <row r="444" spans="2:4" x14ac:dyDescent="0.25">
      <c r="B444" s="94">
        <f>IF(EXACT(SEED!$BB445, ""), "", SEED!$BA445)</f>
        <v>65000000000435</v>
      </c>
      <c r="C444" s="92" t="str">
        <f>IF(EXACT($B444, ""), "", IF(EXACT(SEED!$J445, ""), IF(EXACT(SEED!$H445, ""), IF(EXACT(SEED!$F445, ""), IF(EXACT(SEED!$D445, ""), IF(EXACT(SEED!$B445, ""), "", SEED!$B445), SEED!$D445), SEED!$F445), SEED!$H445), SEED!$J445))</f>
        <v>6-2024</v>
      </c>
      <c r="D444" s="92" t="str">
        <f>IF(EXACT($B444, ""), "", IF(EXACT(SEED!$K445, ""), IF(EXACT(SEED!$I445, ""), IF(EXACT(SEED!$G445, ""), IF(EXACT(SEED!$E445, ""), IF(EXACT(SEED!$C445, ""), "", SEED!$C445), SEED!$E445), SEED!$G445), SEED!$I445), SEED!$K445))</f>
        <v>Travel &amp;Fares - Sales</v>
      </c>
    </row>
    <row r="445" spans="2:4" x14ac:dyDescent="0.25">
      <c r="B445" s="94">
        <f>IF(EXACT(SEED!$BB446, ""), "", SEED!$BA446)</f>
        <v>65000000000436</v>
      </c>
      <c r="C445" s="92" t="str">
        <f>IF(EXACT($B445, ""), "", IF(EXACT(SEED!$J446, ""), IF(EXACT(SEED!$H446, ""), IF(EXACT(SEED!$F446, ""), IF(EXACT(SEED!$D446, ""), IF(EXACT(SEED!$B446, ""), "", SEED!$B446), SEED!$D446), SEED!$F446), SEED!$H446), SEED!$J446))</f>
        <v>6-2024.01</v>
      </c>
      <c r="D445" s="92" t="str">
        <f>IF(EXACT($B445, ""), "", IF(EXACT(SEED!$K446, ""), IF(EXACT(SEED!$I446, ""), IF(EXACT(SEED!$G446, ""), IF(EXACT(SEED!$E446, ""), IF(EXACT(SEED!$C446, ""), "", SEED!$C446), SEED!$E446), SEED!$G446), SEED!$I446), SEED!$K446))</f>
        <v>Travel &amp;Fares - Sales (IDR)</v>
      </c>
    </row>
    <row r="446" spans="2:4" x14ac:dyDescent="0.25">
      <c r="B446" s="94">
        <f>IF(EXACT(SEED!$BB447, ""), "", SEED!$BA447)</f>
        <v>65000000000437</v>
      </c>
      <c r="C446" s="92" t="str">
        <f>IF(EXACT($B446, ""), "", IF(EXACT(SEED!$J447, ""), IF(EXACT(SEED!$H447, ""), IF(EXACT(SEED!$F447, ""), IF(EXACT(SEED!$D447, ""), IF(EXACT(SEED!$B447, ""), "", SEED!$B447), SEED!$D447), SEED!$F447), SEED!$H447), SEED!$J447))</f>
        <v>6-2025</v>
      </c>
      <c r="D446" s="92" t="str">
        <f>IF(EXACT($B446, ""), "", IF(EXACT(SEED!$K447, ""), IF(EXACT(SEED!$I447, ""), IF(EXACT(SEED!$G447, ""), IF(EXACT(SEED!$E447, ""), IF(EXACT(SEED!$C447, ""), "", SEED!$C447), SEED!$E447), SEED!$G447), SEED!$I447), SEED!$K447))</f>
        <v>Property Rental/Lease</v>
      </c>
    </row>
    <row r="447" spans="2:4" x14ac:dyDescent="0.25">
      <c r="B447" s="94">
        <f>IF(EXACT(SEED!$BB448, ""), "", SEED!$BA448)</f>
        <v>65000000000438</v>
      </c>
      <c r="C447" s="92" t="str">
        <f>IF(EXACT($B447, ""), "", IF(EXACT(SEED!$J448, ""), IF(EXACT(SEED!$H448, ""), IF(EXACT(SEED!$F448, ""), IF(EXACT(SEED!$D448, ""), IF(EXACT(SEED!$B448, ""), "", SEED!$B448), SEED!$D448), SEED!$F448), SEED!$H448), SEED!$J448))</f>
        <v>6-2025.01</v>
      </c>
      <c r="D447" s="92" t="str">
        <f>IF(EXACT($B447, ""), "", IF(EXACT(SEED!$K448, ""), IF(EXACT(SEED!$I448, ""), IF(EXACT(SEED!$G448, ""), IF(EXACT(SEED!$E448, ""), IF(EXACT(SEED!$C448, ""), "", SEED!$C448), SEED!$E448), SEED!$G448), SEED!$I448), SEED!$K448))</f>
        <v>Property Rental/Lease (IDR)</v>
      </c>
    </row>
    <row r="448" spans="2:4" x14ac:dyDescent="0.25">
      <c r="B448" s="94">
        <f>IF(EXACT(SEED!$BB449, ""), "", SEED!$BA449)</f>
        <v>65000000000439</v>
      </c>
      <c r="C448" s="92" t="str">
        <f>IF(EXACT($B448, ""), "", IF(EXACT(SEED!$J449, ""), IF(EXACT(SEED!$H449, ""), IF(EXACT(SEED!$F449, ""), IF(EXACT(SEED!$D449, ""), IF(EXACT(SEED!$B449, ""), "", SEED!$B449), SEED!$D449), SEED!$F449), SEED!$H449), SEED!$J449))</f>
        <v>6-2026</v>
      </c>
      <c r="D448" s="92" t="str">
        <f>IF(EXACT($B448, ""), "", IF(EXACT(SEED!$K449, ""), IF(EXACT(SEED!$I449, ""), IF(EXACT(SEED!$G449, ""), IF(EXACT(SEED!$E449, ""), IF(EXACT(SEED!$C449, ""), "", SEED!$C449), SEED!$E449), SEED!$G449), SEED!$I449), SEED!$K449))</f>
        <v>Hire of Other Plant &amp; Equipt</v>
      </c>
    </row>
    <row r="449" spans="2:4" x14ac:dyDescent="0.25">
      <c r="B449" s="94">
        <f>IF(EXACT(SEED!$BB450, ""), "", SEED!$BA450)</f>
        <v>65000000000440</v>
      </c>
      <c r="C449" s="92" t="str">
        <f>IF(EXACT($B449, ""), "", IF(EXACT(SEED!$J450, ""), IF(EXACT(SEED!$H450, ""), IF(EXACT(SEED!$F450, ""), IF(EXACT(SEED!$D450, ""), IF(EXACT(SEED!$B450, ""), "", SEED!$B450), SEED!$D450), SEED!$F450), SEED!$H450), SEED!$J450))</f>
        <v>6-2026.01</v>
      </c>
      <c r="D449" s="92" t="str">
        <f>IF(EXACT($B449, ""), "", IF(EXACT(SEED!$K450, ""), IF(EXACT(SEED!$I450, ""), IF(EXACT(SEED!$G450, ""), IF(EXACT(SEED!$E450, ""), IF(EXACT(SEED!$C450, ""), "", SEED!$C450), SEED!$E450), SEED!$G450), SEED!$I450), SEED!$K450))</f>
        <v>Hire of Other Plant &amp; Equipt (IDR)</v>
      </c>
    </row>
    <row r="450" spans="2:4" x14ac:dyDescent="0.25">
      <c r="B450" s="94">
        <f>IF(EXACT(SEED!$BB451, ""), "", SEED!$BA451)</f>
        <v>65000000000441</v>
      </c>
      <c r="C450" s="92" t="str">
        <f>IF(EXACT($B450, ""), "", IF(EXACT(SEED!$J451, ""), IF(EXACT(SEED!$H451, ""), IF(EXACT(SEED!$F451, ""), IF(EXACT(SEED!$D451, ""), IF(EXACT(SEED!$B451, ""), "", SEED!$B451), SEED!$D451), SEED!$F451), SEED!$H451), SEED!$J451))</f>
        <v>6-2027</v>
      </c>
      <c r="D450" s="92" t="str">
        <f>IF(EXACT($B450, ""), "", IF(EXACT(SEED!$K451, ""), IF(EXACT(SEED!$I451, ""), IF(EXACT(SEED!$G451, ""), IF(EXACT(SEED!$E451, ""), IF(EXACT(SEED!$C451, ""), "", SEED!$C451), SEED!$E451), SEED!$G451), SEED!$I451), SEED!$K451))</f>
        <v>Property Repair &amp; Maintenance</v>
      </c>
    </row>
    <row r="451" spans="2:4" x14ac:dyDescent="0.25">
      <c r="B451" s="94">
        <f>IF(EXACT(SEED!$BB452, ""), "", SEED!$BA452)</f>
        <v>65000000000442</v>
      </c>
      <c r="C451" s="92" t="str">
        <f>IF(EXACT($B451, ""), "", IF(EXACT(SEED!$J452, ""), IF(EXACT(SEED!$H452, ""), IF(EXACT(SEED!$F452, ""), IF(EXACT(SEED!$D452, ""), IF(EXACT(SEED!$B452, ""), "", SEED!$B452), SEED!$D452), SEED!$F452), SEED!$H452), SEED!$J452))</f>
        <v>6-2027.01</v>
      </c>
      <c r="D451" s="92" t="str">
        <f>IF(EXACT($B451, ""), "", IF(EXACT(SEED!$K452, ""), IF(EXACT(SEED!$I452, ""), IF(EXACT(SEED!$G452, ""), IF(EXACT(SEED!$E452, ""), IF(EXACT(SEED!$C452, ""), "", SEED!$C452), SEED!$E452), SEED!$G452), SEED!$I452), SEED!$K452))</f>
        <v>Property Repair &amp; Maintenance (IDR)</v>
      </c>
    </row>
    <row r="452" spans="2:4" x14ac:dyDescent="0.25">
      <c r="B452" s="94">
        <f>IF(EXACT(SEED!$BB453, ""), "", SEED!$BA453)</f>
        <v>65000000000443</v>
      </c>
      <c r="C452" s="92" t="str">
        <f>IF(EXACT($B452, ""), "", IF(EXACT(SEED!$J453, ""), IF(EXACT(SEED!$H453, ""), IF(EXACT(SEED!$F453, ""), IF(EXACT(SEED!$D453, ""), IF(EXACT(SEED!$B453, ""), "", SEED!$B453), SEED!$D453), SEED!$F453), SEED!$H453), SEED!$J453))</f>
        <v>6-2099</v>
      </c>
      <c r="D452" s="92" t="str">
        <f>IF(EXACT($B452, ""), "", IF(EXACT(SEED!$K453, ""), IF(EXACT(SEED!$I453, ""), IF(EXACT(SEED!$G453, ""), IF(EXACT(SEED!$E453, ""), IF(EXACT(SEED!$C453, ""), "", SEED!$C453), SEED!$E453), SEED!$G453), SEED!$I453), SEED!$K453))</f>
        <v>Biaya Kantor Lainnya</v>
      </c>
    </row>
    <row r="453" spans="2:4" x14ac:dyDescent="0.25">
      <c r="B453" s="94">
        <f>IF(EXACT(SEED!$BB454, ""), "", SEED!$BA454)</f>
        <v>65000000000444</v>
      </c>
      <c r="C453" s="92" t="str">
        <f>IF(EXACT($B453, ""), "", IF(EXACT(SEED!$J454, ""), IF(EXACT(SEED!$H454, ""), IF(EXACT(SEED!$F454, ""), IF(EXACT(SEED!$D454, ""), IF(EXACT(SEED!$B454, ""), "", SEED!$B454), SEED!$D454), SEED!$F454), SEED!$H454), SEED!$J454))</f>
        <v>6-2099.01</v>
      </c>
      <c r="D453" s="92" t="str">
        <f>IF(EXACT($B453, ""), "", IF(EXACT(SEED!$K454, ""), IF(EXACT(SEED!$I454, ""), IF(EXACT(SEED!$G454, ""), IF(EXACT(SEED!$E454, ""), IF(EXACT(SEED!$C454, ""), "", SEED!$C454), SEED!$E454), SEED!$G454), SEED!$I454), SEED!$K454))</f>
        <v>Biaya Kantor Lainnya (IDR)</v>
      </c>
    </row>
    <row r="454" spans="2:4" x14ac:dyDescent="0.25">
      <c r="B454" s="94">
        <f>IF(EXACT(SEED!$BB455, ""), "", SEED!$BA455)</f>
        <v>65000000000445</v>
      </c>
      <c r="C454" s="92" t="str">
        <f>IF(EXACT($B454, ""), "", IF(EXACT(SEED!$J455, ""), IF(EXACT(SEED!$H455, ""), IF(EXACT(SEED!$F455, ""), IF(EXACT(SEED!$D455, ""), IF(EXACT(SEED!$B455, ""), "", SEED!$B455), SEED!$D455), SEED!$F455), SEED!$H455), SEED!$J455))</f>
        <v>6-3000</v>
      </c>
      <c r="D454" s="92" t="str">
        <f>IF(EXACT($B454, ""), "", IF(EXACT(SEED!$K455, ""), IF(EXACT(SEED!$I455, ""), IF(EXACT(SEED!$G455, ""), IF(EXACT(SEED!$E455, ""), IF(EXACT(SEED!$C455, ""), "", SEED!$C455), SEED!$E455), SEED!$G455), SEED!$I455), SEED!$K455))</f>
        <v>Biaya Marketing</v>
      </c>
    </row>
    <row r="455" spans="2:4" x14ac:dyDescent="0.25">
      <c r="B455" s="94">
        <f>IF(EXACT(SEED!$BB456, ""), "", SEED!$BA456)</f>
        <v>65000000000446</v>
      </c>
      <c r="C455" s="92" t="str">
        <f>IF(EXACT($B455, ""), "", IF(EXACT(SEED!$J456, ""), IF(EXACT(SEED!$H456, ""), IF(EXACT(SEED!$F456, ""), IF(EXACT(SEED!$D456, ""), IF(EXACT(SEED!$B456, ""), "", SEED!$B456), SEED!$D456), SEED!$F456), SEED!$H456), SEED!$J456))</f>
        <v>6-3001</v>
      </c>
      <c r="D455" s="92" t="str">
        <f>IF(EXACT($B455, ""), "", IF(EXACT(SEED!$K456, ""), IF(EXACT(SEED!$I456, ""), IF(EXACT(SEED!$G456, ""), IF(EXACT(SEED!$E456, ""), IF(EXACT(SEED!$C456, ""), "", SEED!$C456), SEED!$E456), SEED!$G456), SEED!$I456), SEED!$K456))</f>
        <v>Entertainment-Deductable</v>
      </c>
    </row>
    <row r="456" spans="2:4" x14ac:dyDescent="0.25">
      <c r="B456" s="94">
        <f>IF(EXACT(SEED!$BB457, ""), "", SEED!$BA457)</f>
        <v>65000000000447</v>
      </c>
      <c r="C456" s="92" t="str">
        <f>IF(EXACT($B456, ""), "", IF(EXACT(SEED!$J457, ""), IF(EXACT(SEED!$H457, ""), IF(EXACT(SEED!$F457, ""), IF(EXACT(SEED!$D457, ""), IF(EXACT(SEED!$B457, ""), "", SEED!$B457), SEED!$D457), SEED!$F457), SEED!$H457), SEED!$J457))</f>
        <v>6-3001.01</v>
      </c>
      <c r="D456" s="92" t="str">
        <f>IF(EXACT($B456, ""), "", IF(EXACT(SEED!$K457, ""), IF(EXACT(SEED!$I457, ""), IF(EXACT(SEED!$G457, ""), IF(EXACT(SEED!$E457, ""), IF(EXACT(SEED!$C457, ""), "", SEED!$C457), SEED!$E457), SEED!$G457), SEED!$I457), SEED!$K457))</f>
        <v>Entertainment-Deductable (IDR)</v>
      </c>
    </row>
    <row r="457" spans="2:4" x14ac:dyDescent="0.25">
      <c r="B457" s="94">
        <f>IF(EXACT(SEED!$BB458, ""), "", SEED!$BA458)</f>
        <v>65000000000448</v>
      </c>
      <c r="C457" s="92" t="str">
        <f>IF(EXACT($B457, ""), "", IF(EXACT(SEED!$J458, ""), IF(EXACT(SEED!$H458, ""), IF(EXACT(SEED!$F458, ""), IF(EXACT(SEED!$D458, ""), IF(EXACT(SEED!$B458, ""), "", SEED!$B458), SEED!$D458), SEED!$F458), SEED!$H458), SEED!$J458))</f>
        <v>6-3002</v>
      </c>
      <c r="D457" s="92" t="str">
        <f>IF(EXACT($B457, ""), "", IF(EXACT(SEED!$K458, ""), IF(EXACT(SEED!$I458, ""), IF(EXACT(SEED!$G458, ""), IF(EXACT(SEED!$E458, ""), IF(EXACT(SEED!$C458, ""), "", SEED!$C458), SEED!$E458), SEED!$G458), SEED!$I458), SEED!$K458))</f>
        <v>Entertainment-Undeductable</v>
      </c>
    </row>
    <row r="458" spans="2:4" x14ac:dyDescent="0.25">
      <c r="B458" s="94">
        <f>IF(EXACT(SEED!$BB459, ""), "", SEED!$BA459)</f>
        <v>65000000000449</v>
      </c>
      <c r="C458" s="92" t="str">
        <f>IF(EXACT($B458, ""), "", IF(EXACT(SEED!$J459, ""), IF(EXACT(SEED!$H459, ""), IF(EXACT(SEED!$F459, ""), IF(EXACT(SEED!$D459, ""), IF(EXACT(SEED!$B459, ""), "", SEED!$B459), SEED!$D459), SEED!$F459), SEED!$H459), SEED!$J459))</f>
        <v>6-3002.01</v>
      </c>
      <c r="D458" s="92" t="str">
        <f>IF(EXACT($B458, ""), "", IF(EXACT(SEED!$K459, ""), IF(EXACT(SEED!$I459, ""), IF(EXACT(SEED!$G459, ""), IF(EXACT(SEED!$E459, ""), IF(EXACT(SEED!$C459, ""), "", SEED!$C459), SEED!$E459), SEED!$G459), SEED!$I459), SEED!$K459))</f>
        <v>Entertainment-Undeductable (IDR)</v>
      </c>
    </row>
    <row r="459" spans="2:4" x14ac:dyDescent="0.25">
      <c r="B459" s="94">
        <f>IF(EXACT(SEED!$BB460, ""), "", SEED!$BA460)</f>
        <v>65000000000450</v>
      </c>
      <c r="C459" s="92" t="str">
        <f>IF(EXACT($B459, ""), "", IF(EXACT(SEED!$J460, ""), IF(EXACT(SEED!$H460, ""), IF(EXACT(SEED!$F460, ""), IF(EXACT(SEED!$D460, ""), IF(EXACT(SEED!$B460, ""), "", SEED!$B460), SEED!$D460), SEED!$F460), SEED!$H460), SEED!$J460))</f>
        <v>6-3003</v>
      </c>
      <c r="D459" s="92" t="str">
        <f>IF(EXACT($B459, ""), "", IF(EXACT(SEED!$K460, ""), IF(EXACT(SEED!$I460, ""), IF(EXACT(SEED!$G460, ""), IF(EXACT(SEED!$E460, ""), IF(EXACT(SEED!$C460, ""), "", SEED!$C460), SEED!$E460), SEED!$G460), SEED!$I460), SEED!$K460))</f>
        <v>Non Meal Entertainment-Ded.</v>
      </c>
    </row>
    <row r="460" spans="2:4" x14ac:dyDescent="0.25">
      <c r="B460" s="94">
        <f>IF(EXACT(SEED!$BB461, ""), "", SEED!$BA461)</f>
        <v>65000000000451</v>
      </c>
      <c r="C460" s="92" t="str">
        <f>IF(EXACT($B460, ""), "", IF(EXACT(SEED!$J461, ""), IF(EXACT(SEED!$H461, ""), IF(EXACT(SEED!$F461, ""), IF(EXACT(SEED!$D461, ""), IF(EXACT(SEED!$B461, ""), "", SEED!$B461), SEED!$D461), SEED!$F461), SEED!$H461), SEED!$J461))</f>
        <v>6-3003.01</v>
      </c>
      <c r="D460" s="92" t="str">
        <f>IF(EXACT($B460, ""), "", IF(EXACT(SEED!$K461, ""), IF(EXACT(SEED!$I461, ""), IF(EXACT(SEED!$G461, ""), IF(EXACT(SEED!$E461, ""), IF(EXACT(SEED!$C461, ""), "", SEED!$C461), SEED!$E461), SEED!$G461), SEED!$I461), SEED!$K461))</f>
        <v>Non Meal Entertainment-Ded. (IDR)</v>
      </c>
    </row>
    <row r="461" spans="2:4" x14ac:dyDescent="0.25">
      <c r="B461" s="94">
        <f>IF(EXACT(SEED!$BB462, ""), "", SEED!$BA462)</f>
        <v>65000000000452</v>
      </c>
      <c r="C461" s="92" t="str">
        <f>IF(EXACT($B461, ""), "", IF(EXACT(SEED!$J462, ""), IF(EXACT(SEED!$H462, ""), IF(EXACT(SEED!$F462, ""), IF(EXACT(SEED!$D462, ""), IF(EXACT(SEED!$B462, ""), "", SEED!$B462), SEED!$D462), SEED!$F462), SEED!$H462), SEED!$J462))</f>
        <v>6-3004</v>
      </c>
      <c r="D461" s="92" t="str">
        <f>IF(EXACT($B461, ""), "", IF(EXACT(SEED!$K462, ""), IF(EXACT(SEED!$I462, ""), IF(EXACT(SEED!$G462, ""), IF(EXACT(SEED!$E462, ""), IF(EXACT(SEED!$C462, ""), "", SEED!$C462), SEED!$E462), SEED!$G462), SEED!$I462), SEED!$K462))</f>
        <v>Non Meal Entertaint-Unded.</v>
      </c>
    </row>
    <row r="462" spans="2:4" x14ac:dyDescent="0.25">
      <c r="B462" s="94">
        <f>IF(EXACT(SEED!$BB463, ""), "", SEED!$BA463)</f>
        <v>65000000000453</v>
      </c>
      <c r="C462" s="92" t="str">
        <f>IF(EXACT($B462, ""), "", IF(EXACT(SEED!$J463, ""), IF(EXACT(SEED!$H463, ""), IF(EXACT(SEED!$F463, ""), IF(EXACT(SEED!$D463, ""), IF(EXACT(SEED!$B463, ""), "", SEED!$B463), SEED!$D463), SEED!$F463), SEED!$H463), SEED!$J463))</f>
        <v>6-3004.01</v>
      </c>
      <c r="D462" s="92" t="str">
        <f>IF(EXACT($B462, ""), "", IF(EXACT(SEED!$K463, ""), IF(EXACT(SEED!$I463, ""), IF(EXACT(SEED!$G463, ""), IF(EXACT(SEED!$E463, ""), IF(EXACT(SEED!$C463, ""), "", SEED!$C463), SEED!$E463), SEED!$G463), SEED!$I463), SEED!$K463))</f>
        <v>Non Meal Entertaint-Unded. (IDR)</v>
      </c>
    </row>
    <row r="463" spans="2:4" x14ac:dyDescent="0.25">
      <c r="B463" s="94">
        <f>IF(EXACT(SEED!$BB464, ""), "", SEED!$BA464)</f>
        <v>65000000000454</v>
      </c>
      <c r="C463" s="92" t="str">
        <f>IF(EXACT($B463, ""), "", IF(EXACT(SEED!$J464, ""), IF(EXACT(SEED!$H464, ""), IF(EXACT(SEED!$F464, ""), IF(EXACT(SEED!$D464, ""), IF(EXACT(SEED!$B464, ""), "", SEED!$B464), SEED!$D464), SEED!$F464), SEED!$H464), SEED!$J464))</f>
        <v>6-3005</v>
      </c>
      <c r="D463" s="92" t="str">
        <f>IF(EXACT($B463, ""), "", IF(EXACT(SEED!$K464, ""), IF(EXACT(SEED!$I464, ""), IF(EXACT(SEED!$G464, ""), IF(EXACT(SEED!$E464, ""), IF(EXACT(SEED!$C464, ""), "", SEED!$C464), SEED!$E464), SEED!$G464), SEED!$I464), SEED!$K464))</f>
        <v>Marketing Expense</v>
      </c>
    </row>
    <row r="464" spans="2:4" x14ac:dyDescent="0.25">
      <c r="B464" s="94">
        <f>IF(EXACT(SEED!$BB465, ""), "", SEED!$BA465)</f>
        <v>65000000000455</v>
      </c>
      <c r="C464" s="92" t="str">
        <f>IF(EXACT($B464, ""), "", IF(EXACT(SEED!$J465, ""), IF(EXACT(SEED!$H465, ""), IF(EXACT(SEED!$F465, ""), IF(EXACT(SEED!$D465, ""), IF(EXACT(SEED!$B465, ""), "", SEED!$B465), SEED!$D465), SEED!$F465), SEED!$H465), SEED!$J465))</f>
        <v>6-3005.01</v>
      </c>
      <c r="D464" s="92" t="str">
        <f>IF(EXACT($B464, ""), "", IF(EXACT(SEED!$K465, ""), IF(EXACT(SEED!$I465, ""), IF(EXACT(SEED!$G465, ""), IF(EXACT(SEED!$E465, ""), IF(EXACT(SEED!$C465, ""), "", SEED!$C465), SEED!$E465), SEED!$G465), SEED!$I465), SEED!$K465))</f>
        <v>Marketing Expense (IDR)</v>
      </c>
    </row>
    <row r="465" spans="2:4" x14ac:dyDescent="0.25">
      <c r="B465" s="94">
        <f>IF(EXACT(SEED!$BB466, ""), "", SEED!$BA466)</f>
        <v>65000000000456</v>
      </c>
      <c r="C465" s="92" t="str">
        <f>IF(EXACT($B465, ""), "", IF(EXACT(SEED!$J466, ""), IF(EXACT(SEED!$H466, ""), IF(EXACT(SEED!$F466, ""), IF(EXACT(SEED!$D466, ""), IF(EXACT(SEED!$B466, ""), "", SEED!$B466), SEED!$D466), SEED!$F466), SEED!$H466), SEED!$J466))</f>
        <v>6-3006</v>
      </c>
      <c r="D465" s="92" t="str">
        <f>IF(EXACT($B465, ""), "", IF(EXACT(SEED!$K466, ""), IF(EXACT(SEED!$I466, ""), IF(EXACT(SEED!$G466, ""), IF(EXACT(SEED!$E466, ""), IF(EXACT(SEED!$C466, ""), "", SEED!$C466), SEED!$E466), SEED!$G466), SEED!$I466), SEED!$K466))</f>
        <v>Sales Call Expense</v>
      </c>
    </row>
    <row r="466" spans="2:4" x14ac:dyDescent="0.25">
      <c r="B466" s="94">
        <f>IF(EXACT(SEED!$BB467, ""), "", SEED!$BA467)</f>
        <v>65000000000457</v>
      </c>
      <c r="C466" s="92" t="str">
        <f>IF(EXACT($B466, ""), "", IF(EXACT(SEED!$J467, ""), IF(EXACT(SEED!$H467, ""), IF(EXACT(SEED!$F467, ""), IF(EXACT(SEED!$D467, ""), IF(EXACT(SEED!$B467, ""), "", SEED!$B467), SEED!$D467), SEED!$F467), SEED!$H467), SEED!$J467))</f>
        <v>6-3006.01</v>
      </c>
      <c r="D466" s="92" t="str">
        <f>IF(EXACT($B466, ""), "", IF(EXACT(SEED!$K467, ""), IF(EXACT(SEED!$I467, ""), IF(EXACT(SEED!$G467, ""), IF(EXACT(SEED!$E467, ""), IF(EXACT(SEED!$C467, ""), "", SEED!$C467), SEED!$E467), SEED!$G467), SEED!$I467), SEED!$K467))</f>
        <v>Sales Call Expense (IDR)</v>
      </c>
    </row>
    <row r="467" spans="2:4" x14ac:dyDescent="0.25">
      <c r="B467" s="94">
        <f>IF(EXACT(SEED!$BB468, ""), "", SEED!$BA468)</f>
        <v>65000000000458</v>
      </c>
      <c r="C467" s="92" t="str">
        <f>IF(EXACT($B467, ""), "", IF(EXACT(SEED!$J468, ""), IF(EXACT(SEED!$H468, ""), IF(EXACT(SEED!$F468, ""), IF(EXACT(SEED!$D468, ""), IF(EXACT(SEED!$B468, ""), "", SEED!$B468), SEED!$D468), SEED!$F468), SEED!$H468), SEED!$J468))</f>
        <v>6-3099</v>
      </c>
      <c r="D467" s="92" t="str">
        <f>IF(EXACT($B467, ""), "", IF(EXACT(SEED!$K468, ""), IF(EXACT(SEED!$I468, ""), IF(EXACT(SEED!$G468, ""), IF(EXACT(SEED!$E468, ""), IF(EXACT(SEED!$C468, ""), "", SEED!$C468), SEED!$E468), SEED!$G468), SEED!$I468), SEED!$K468))</f>
        <v>Biaya Marketing Lainnya</v>
      </c>
    </row>
    <row r="468" spans="2:4" x14ac:dyDescent="0.25">
      <c r="B468" s="94">
        <f>IF(EXACT(SEED!$BB469, ""), "", SEED!$BA469)</f>
        <v>65000000000459</v>
      </c>
      <c r="C468" s="92" t="str">
        <f>IF(EXACT($B468, ""), "", IF(EXACT(SEED!$J469, ""), IF(EXACT(SEED!$H469, ""), IF(EXACT(SEED!$F469, ""), IF(EXACT(SEED!$D469, ""), IF(EXACT(SEED!$B469, ""), "", SEED!$B469), SEED!$D469), SEED!$F469), SEED!$H469), SEED!$J469))</f>
        <v>6-3099.01</v>
      </c>
      <c r="D468" s="92" t="str">
        <f>IF(EXACT($B468, ""), "", IF(EXACT(SEED!$K469, ""), IF(EXACT(SEED!$I469, ""), IF(EXACT(SEED!$G469, ""), IF(EXACT(SEED!$E469, ""), IF(EXACT(SEED!$C469, ""), "", SEED!$C469), SEED!$E469), SEED!$G469), SEED!$I469), SEED!$K469))</f>
        <v>Biaya Marketing Lainnya (IDR)</v>
      </c>
    </row>
    <row r="469" spans="2:4" x14ac:dyDescent="0.25">
      <c r="B469" s="94">
        <f>IF(EXACT(SEED!$BB470, ""), "", SEED!$BA470)</f>
        <v>65000000000460</v>
      </c>
      <c r="C469" s="92" t="str">
        <f>IF(EXACT($B469, ""), "", IF(EXACT(SEED!$J470, ""), IF(EXACT(SEED!$H470, ""), IF(EXACT(SEED!$F470, ""), IF(EXACT(SEED!$D470, ""), IF(EXACT(SEED!$B470, ""), "", SEED!$B470), SEED!$D470), SEED!$F470), SEED!$H470), SEED!$J470))</f>
        <v>6-4000</v>
      </c>
      <c r="D469" s="92" t="str">
        <f>IF(EXACT($B469, ""), "", IF(EXACT(SEED!$K470, ""), IF(EXACT(SEED!$I470, ""), IF(EXACT(SEED!$G470, ""), IF(EXACT(SEED!$E470, ""), IF(EXACT(SEED!$C470, ""), "", SEED!$C470), SEED!$E470), SEED!$G470), SEED!$I470), SEED!$K470))</f>
        <v>Biaya Administrasi Umum</v>
      </c>
    </row>
    <row r="470" spans="2:4" x14ac:dyDescent="0.25">
      <c r="B470" s="94">
        <f>IF(EXACT(SEED!$BB471, ""), "", SEED!$BA471)</f>
        <v>65000000000461</v>
      </c>
      <c r="C470" s="92" t="str">
        <f>IF(EXACT($B470, ""), "", IF(EXACT(SEED!$J471, ""), IF(EXACT(SEED!$H471, ""), IF(EXACT(SEED!$F471, ""), IF(EXACT(SEED!$D471, ""), IF(EXACT(SEED!$B471, ""), "", SEED!$B471), SEED!$D471), SEED!$F471), SEED!$H471), SEED!$J471))</f>
        <v>6-4001</v>
      </c>
      <c r="D470" s="92" t="str">
        <f>IF(EXACT($B470, ""), "", IF(EXACT(SEED!$K471, ""), IF(EXACT(SEED!$I471, ""), IF(EXACT(SEED!$G471, ""), IF(EXACT(SEED!$E471, ""), IF(EXACT(SEED!$C471, ""), "", SEED!$C471), SEED!$E471), SEED!$G471), SEED!$I471), SEED!$K471))</f>
        <v>Profesional Fee</v>
      </c>
    </row>
    <row r="471" spans="2:4" x14ac:dyDescent="0.25">
      <c r="B471" s="94">
        <f>IF(EXACT(SEED!$BB472, ""), "", SEED!$BA472)</f>
        <v>65000000000462</v>
      </c>
      <c r="C471" s="92" t="str">
        <f>IF(EXACT($B471, ""), "", IF(EXACT(SEED!$J472, ""), IF(EXACT(SEED!$H472, ""), IF(EXACT(SEED!$F472, ""), IF(EXACT(SEED!$D472, ""), IF(EXACT(SEED!$B472, ""), "", SEED!$B472), SEED!$D472), SEED!$F472), SEED!$H472), SEED!$J472))</f>
        <v>6-4001.01</v>
      </c>
      <c r="D471" s="92" t="str">
        <f>IF(EXACT($B471, ""), "", IF(EXACT(SEED!$K472, ""), IF(EXACT(SEED!$I472, ""), IF(EXACT(SEED!$G472, ""), IF(EXACT(SEED!$E472, ""), IF(EXACT(SEED!$C472, ""), "", SEED!$C472), SEED!$E472), SEED!$G472), SEED!$I472), SEED!$K472))</f>
        <v>Profesional Fee (IDR)</v>
      </c>
    </row>
    <row r="472" spans="2:4" x14ac:dyDescent="0.25">
      <c r="B472" s="94">
        <f>IF(EXACT(SEED!$BB473, ""), "", SEED!$BA473)</f>
        <v>65000000000463</v>
      </c>
      <c r="C472" s="92" t="str">
        <f>IF(EXACT($B472, ""), "", IF(EXACT(SEED!$J473, ""), IF(EXACT(SEED!$H473, ""), IF(EXACT(SEED!$F473, ""), IF(EXACT(SEED!$D473, ""), IF(EXACT(SEED!$B473, ""), "", SEED!$B473), SEED!$D473), SEED!$F473), SEED!$H473), SEED!$J473))</f>
        <v>6-4002</v>
      </c>
      <c r="D472" s="92" t="str">
        <f>IF(EXACT($B472, ""), "", IF(EXACT(SEED!$K473, ""), IF(EXACT(SEED!$I473, ""), IF(EXACT(SEED!$G473, ""), IF(EXACT(SEED!$E473, ""), IF(EXACT(SEED!$C473, ""), "", SEED!$C473), SEED!$E473), SEED!$G473), SEED!$I473), SEED!$K473))</f>
        <v>Legal Fee</v>
      </c>
    </row>
    <row r="473" spans="2:4" x14ac:dyDescent="0.25">
      <c r="B473" s="94">
        <f>IF(EXACT(SEED!$BB474, ""), "", SEED!$BA474)</f>
        <v>65000000000464</v>
      </c>
      <c r="C473" s="92" t="str">
        <f>IF(EXACT($B473, ""), "", IF(EXACT(SEED!$J474, ""), IF(EXACT(SEED!$H474, ""), IF(EXACT(SEED!$F474, ""), IF(EXACT(SEED!$D474, ""), IF(EXACT(SEED!$B474, ""), "", SEED!$B474), SEED!$D474), SEED!$F474), SEED!$H474), SEED!$J474))</f>
        <v>6-4002.01</v>
      </c>
      <c r="D473" s="92" t="str">
        <f>IF(EXACT($B473, ""), "", IF(EXACT(SEED!$K474, ""), IF(EXACT(SEED!$I474, ""), IF(EXACT(SEED!$G474, ""), IF(EXACT(SEED!$E474, ""), IF(EXACT(SEED!$C474, ""), "", SEED!$C474), SEED!$E474), SEED!$G474), SEED!$I474), SEED!$K474))</f>
        <v>Legal Fee (IDR)</v>
      </c>
    </row>
    <row r="474" spans="2:4" x14ac:dyDescent="0.25">
      <c r="B474" s="94">
        <f>IF(EXACT(SEED!$BB475, ""), "", SEED!$BA475)</f>
        <v>65000000000465</v>
      </c>
      <c r="C474" s="92" t="str">
        <f>IF(EXACT($B474, ""), "", IF(EXACT(SEED!$J475, ""), IF(EXACT(SEED!$H475, ""), IF(EXACT(SEED!$F475, ""), IF(EXACT(SEED!$D475, ""), IF(EXACT(SEED!$B475, ""), "", SEED!$B475), SEED!$D475), SEED!$F475), SEED!$H475), SEED!$J475))</f>
        <v>6-4003</v>
      </c>
      <c r="D474" s="92" t="str">
        <f>IF(EXACT($B474, ""), "", IF(EXACT(SEED!$K475, ""), IF(EXACT(SEED!$I475, ""), IF(EXACT(SEED!$G475, ""), IF(EXACT(SEED!$E475, ""), IF(EXACT(SEED!$C475, ""), "", SEED!$C475), SEED!$E475), SEED!$G475), SEED!$I475), SEED!$K475))</f>
        <v>Audit Fee</v>
      </c>
    </row>
    <row r="475" spans="2:4" x14ac:dyDescent="0.25">
      <c r="B475" s="94">
        <f>IF(EXACT(SEED!$BB476, ""), "", SEED!$BA476)</f>
        <v>65000000000466</v>
      </c>
      <c r="C475" s="92" t="str">
        <f>IF(EXACT($B475, ""), "", IF(EXACT(SEED!$J476, ""), IF(EXACT(SEED!$H476, ""), IF(EXACT(SEED!$F476, ""), IF(EXACT(SEED!$D476, ""), IF(EXACT(SEED!$B476, ""), "", SEED!$B476), SEED!$D476), SEED!$F476), SEED!$H476), SEED!$J476))</f>
        <v>6-4003.01</v>
      </c>
      <c r="D475" s="92" t="str">
        <f>IF(EXACT($B475, ""), "", IF(EXACT(SEED!$K476, ""), IF(EXACT(SEED!$I476, ""), IF(EXACT(SEED!$G476, ""), IF(EXACT(SEED!$E476, ""), IF(EXACT(SEED!$C476, ""), "", SEED!$C476), SEED!$E476), SEED!$G476), SEED!$I476), SEED!$K476))</f>
        <v>Audit Fee (IDR)</v>
      </c>
    </row>
    <row r="476" spans="2:4" x14ac:dyDescent="0.25">
      <c r="B476" s="94">
        <f>IF(EXACT(SEED!$BB477, ""), "", SEED!$BA477)</f>
        <v>65000000000467</v>
      </c>
      <c r="C476" s="92" t="str">
        <f>IF(EXACT($B476, ""), "", IF(EXACT(SEED!$J477, ""), IF(EXACT(SEED!$H477, ""), IF(EXACT(SEED!$F477, ""), IF(EXACT(SEED!$D477, ""), IF(EXACT(SEED!$B477, ""), "", SEED!$B477), SEED!$D477), SEED!$F477), SEED!$H477), SEED!$J477))</f>
        <v>6-4004</v>
      </c>
      <c r="D476" s="92" t="str">
        <f>IF(EXACT($B476, ""), "", IF(EXACT(SEED!$K477, ""), IF(EXACT(SEED!$I477, ""), IF(EXACT(SEED!$G477, ""), IF(EXACT(SEED!$E477, ""), IF(EXACT(SEED!$C477, ""), "", SEED!$C477), SEED!$E477), SEED!$G477), SEED!$I477), SEED!$K477))</f>
        <v>Advertising &amp; Promotion</v>
      </c>
    </row>
    <row r="477" spans="2:4" x14ac:dyDescent="0.25">
      <c r="B477" s="94">
        <f>IF(EXACT(SEED!$BB478, ""), "", SEED!$BA478)</f>
        <v>65000000000468</v>
      </c>
      <c r="C477" s="92" t="str">
        <f>IF(EXACT($B477, ""), "", IF(EXACT(SEED!$J478, ""), IF(EXACT(SEED!$H478, ""), IF(EXACT(SEED!$F478, ""), IF(EXACT(SEED!$D478, ""), IF(EXACT(SEED!$B478, ""), "", SEED!$B478), SEED!$D478), SEED!$F478), SEED!$H478), SEED!$J478))</f>
        <v>6-4004.01</v>
      </c>
      <c r="D477" s="92" t="str">
        <f>IF(EXACT($B477, ""), "", IF(EXACT(SEED!$K478, ""), IF(EXACT(SEED!$I478, ""), IF(EXACT(SEED!$G478, ""), IF(EXACT(SEED!$E478, ""), IF(EXACT(SEED!$C478, ""), "", SEED!$C478), SEED!$E478), SEED!$G478), SEED!$I478), SEED!$K478))</f>
        <v>Advertising &amp; Promotion (IDR)</v>
      </c>
    </row>
    <row r="478" spans="2:4" x14ac:dyDescent="0.25">
      <c r="B478" s="94">
        <f>IF(EXACT(SEED!$BB479, ""), "", SEED!$BA479)</f>
        <v>65000000000469</v>
      </c>
      <c r="C478" s="92" t="str">
        <f>IF(EXACT($B478, ""), "", IF(EXACT(SEED!$J479, ""), IF(EXACT(SEED!$H479, ""), IF(EXACT(SEED!$F479, ""), IF(EXACT(SEED!$D479, ""), IF(EXACT(SEED!$B479, ""), "", SEED!$B479), SEED!$D479), SEED!$F479), SEED!$H479), SEED!$J479))</f>
        <v>6-4005</v>
      </c>
      <c r="D478" s="92" t="str">
        <f>IF(EXACT($B478, ""), "", IF(EXACT(SEED!$K479, ""), IF(EXACT(SEED!$I479, ""), IF(EXACT(SEED!$G479, ""), IF(EXACT(SEED!$E479, ""), IF(EXACT(SEED!$C479, ""), "", SEED!$C479), SEED!$E479), SEED!$G479), SEED!$I479), SEED!$K479))</f>
        <v>Bad debt expense</v>
      </c>
    </row>
    <row r="479" spans="2:4" x14ac:dyDescent="0.25">
      <c r="B479" s="94">
        <f>IF(EXACT(SEED!$BB480, ""), "", SEED!$BA480)</f>
        <v>65000000000470</v>
      </c>
      <c r="C479" s="92" t="str">
        <f>IF(EXACT($B479, ""), "", IF(EXACT(SEED!$J480, ""), IF(EXACT(SEED!$H480, ""), IF(EXACT(SEED!$F480, ""), IF(EXACT(SEED!$D480, ""), IF(EXACT(SEED!$B480, ""), "", SEED!$B480), SEED!$D480), SEED!$F480), SEED!$H480), SEED!$J480))</f>
        <v>6-4005.01</v>
      </c>
      <c r="D479" s="92" t="str">
        <f>IF(EXACT($B479, ""), "", IF(EXACT(SEED!$K480, ""), IF(EXACT(SEED!$I480, ""), IF(EXACT(SEED!$G480, ""), IF(EXACT(SEED!$E480, ""), IF(EXACT(SEED!$C480, ""), "", SEED!$C480), SEED!$E480), SEED!$G480), SEED!$I480), SEED!$K480))</f>
        <v>Bad debt expense (IDR)</v>
      </c>
    </row>
    <row r="480" spans="2:4" x14ac:dyDescent="0.25">
      <c r="B480" s="94">
        <f>IF(EXACT(SEED!$BB481, ""), "", SEED!$BA481)</f>
        <v>65000000000471</v>
      </c>
      <c r="C480" s="92" t="str">
        <f>IF(EXACT($B480, ""), "", IF(EXACT(SEED!$J481, ""), IF(EXACT(SEED!$H481, ""), IF(EXACT(SEED!$F481, ""), IF(EXACT(SEED!$D481, ""), IF(EXACT(SEED!$B481, ""), "", SEED!$B481), SEED!$D481), SEED!$F481), SEED!$H481), SEED!$J481))</f>
        <v>6-4006</v>
      </c>
      <c r="D480" s="92" t="str">
        <f>IF(EXACT($B480, ""), "", IF(EXACT(SEED!$K481, ""), IF(EXACT(SEED!$I481, ""), IF(EXACT(SEED!$G481, ""), IF(EXACT(SEED!$E481, ""), IF(EXACT(SEED!$C481, ""), "", SEED!$C481), SEED!$E481), SEED!$G481), SEED!$I481), SEED!$K481))</f>
        <v>Project Costs (closed CFS)</v>
      </c>
    </row>
    <row r="481" spans="2:4" x14ac:dyDescent="0.25">
      <c r="B481" s="94">
        <f>IF(EXACT(SEED!$BB482, ""), "", SEED!$BA482)</f>
        <v>65000000000472</v>
      </c>
      <c r="C481" s="92" t="str">
        <f>IF(EXACT($B481, ""), "", IF(EXACT(SEED!$J482, ""), IF(EXACT(SEED!$H482, ""), IF(EXACT(SEED!$F482, ""), IF(EXACT(SEED!$D482, ""), IF(EXACT(SEED!$B482, ""), "", SEED!$B482), SEED!$D482), SEED!$F482), SEED!$H482), SEED!$J482))</f>
        <v>6-4006.01</v>
      </c>
      <c r="D481" s="92" t="str">
        <f>IF(EXACT($B481, ""), "", IF(EXACT(SEED!$K482, ""), IF(EXACT(SEED!$I482, ""), IF(EXACT(SEED!$G482, ""), IF(EXACT(SEED!$E482, ""), IF(EXACT(SEED!$C482, ""), "", SEED!$C482), SEED!$E482), SEED!$G482), SEED!$I482), SEED!$K482))</f>
        <v>Project Costs (closed CFS) (IDR)</v>
      </c>
    </row>
    <row r="482" spans="2:4" x14ac:dyDescent="0.25">
      <c r="B482" s="94">
        <f>IF(EXACT(SEED!$BB483, ""), "", SEED!$BA483)</f>
        <v>65000000000473</v>
      </c>
      <c r="C482" s="92" t="str">
        <f>IF(EXACT($B482, ""), "", IF(EXACT(SEED!$J483, ""), IF(EXACT(SEED!$H483, ""), IF(EXACT(SEED!$F483, ""), IF(EXACT(SEED!$D483, ""), IF(EXACT(SEED!$B483, ""), "", SEED!$B483), SEED!$D483), SEED!$F483), SEED!$H483), SEED!$J483))</f>
        <v>6-4007</v>
      </c>
      <c r="D482" s="92" t="str">
        <f>IF(EXACT($B482, ""), "", IF(EXACT(SEED!$K483, ""), IF(EXACT(SEED!$I483, ""), IF(EXACT(SEED!$G483, ""), IF(EXACT(SEED!$E483, ""), IF(EXACT(SEED!$C483, ""), "", SEED!$C483), SEED!$E483), SEED!$G483), SEED!$I483), SEED!$K483))</f>
        <v>Insurance Expenses</v>
      </c>
    </row>
    <row r="483" spans="2:4" x14ac:dyDescent="0.25">
      <c r="B483" s="94">
        <f>IF(EXACT(SEED!$BB484, ""), "", SEED!$BA484)</f>
        <v>65000000000474</v>
      </c>
      <c r="C483" s="92" t="str">
        <f>IF(EXACT($B483, ""), "", IF(EXACT(SEED!$J484, ""), IF(EXACT(SEED!$H484, ""), IF(EXACT(SEED!$F484, ""), IF(EXACT(SEED!$D484, ""), IF(EXACT(SEED!$B484, ""), "", SEED!$B484), SEED!$D484), SEED!$F484), SEED!$H484), SEED!$J484))</f>
        <v>6-4007.01</v>
      </c>
      <c r="D483" s="92" t="str">
        <f>IF(EXACT($B483, ""), "", IF(EXACT(SEED!$K484, ""), IF(EXACT(SEED!$I484, ""), IF(EXACT(SEED!$G484, ""), IF(EXACT(SEED!$E484, ""), IF(EXACT(SEED!$C484, ""), "", SEED!$C484), SEED!$E484), SEED!$G484), SEED!$I484), SEED!$K484))</f>
        <v>Insurance Expenses (IDR)</v>
      </c>
    </row>
    <row r="484" spans="2:4" x14ac:dyDescent="0.25">
      <c r="B484" s="94">
        <f>IF(EXACT(SEED!$BB485, ""), "", SEED!$BA485)</f>
        <v>65000000000475</v>
      </c>
      <c r="C484" s="92" t="str">
        <f>IF(EXACT($B484, ""), "", IF(EXACT(SEED!$J485, ""), IF(EXACT(SEED!$H485, ""), IF(EXACT(SEED!$F485, ""), IF(EXACT(SEED!$D485, ""), IF(EXACT(SEED!$B485, ""), "", SEED!$B485), SEED!$D485), SEED!$F485), SEED!$H485), SEED!$J485))</f>
        <v>6-4008</v>
      </c>
      <c r="D484" s="92" t="str">
        <f>IF(EXACT($B484, ""), "", IF(EXACT(SEED!$K485, ""), IF(EXACT(SEED!$I485, ""), IF(EXACT(SEED!$G485, ""), IF(EXACT(SEED!$E485, ""), IF(EXACT(SEED!$C485, ""), "", SEED!$C485), SEED!$E485), SEED!$G485), SEED!$I485), SEED!$K485))</f>
        <v>Bank Charge (Excl. Interest)</v>
      </c>
    </row>
    <row r="485" spans="2:4" x14ac:dyDescent="0.25">
      <c r="B485" s="94">
        <f>IF(EXACT(SEED!$BB486, ""), "", SEED!$BA486)</f>
        <v>65000000000476</v>
      </c>
      <c r="C485" s="92" t="str">
        <f>IF(EXACT($B485, ""), "", IF(EXACT(SEED!$J486, ""), IF(EXACT(SEED!$H486, ""), IF(EXACT(SEED!$F486, ""), IF(EXACT(SEED!$D486, ""), IF(EXACT(SEED!$B486, ""), "", SEED!$B486), SEED!$D486), SEED!$F486), SEED!$H486), SEED!$J486))</f>
        <v>6-4008.01</v>
      </c>
      <c r="D485" s="92" t="str">
        <f>IF(EXACT($B485, ""), "", IF(EXACT(SEED!$K486, ""), IF(EXACT(SEED!$I486, ""), IF(EXACT(SEED!$G486, ""), IF(EXACT(SEED!$E486, ""), IF(EXACT(SEED!$C486, ""), "", SEED!$C486), SEED!$E486), SEED!$G486), SEED!$I486), SEED!$K486))</f>
        <v>Bank Charge (Excl. Interest) (IDR)</v>
      </c>
    </row>
    <row r="486" spans="2:4" x14ac:dyDescent="0.25">
      <c r="B486" s="94">
        <f>IF(EXACT(SEED!$BB487, ""), "", SEED!$BA487)</f>
        <v>65000000000477</v>
      </c>
      <c r="C486" s="92" t="str">
        <f>IF(EXACT($B486, ""), "", IF(EXACT(SEED!$J487, ""), IF(EXACT(SEED!$H487, ""), IF(EXACT(SEED!$F487, ""), IF(EXACT(SEED!$D487, ""), IF(EXACT(SEED!$B487, ""), "", SEED!$B487), SEED!$D487), SEED!$F487), SEED!$H487), SEED!$J487))</f>
        <v>6-4099</v>
      </c>
      <c r="D486" s="92" t="str">
        <f>IF(EXACT($B486, ""), "", IF(EXACT(SEED!$K487, ""), IF(EXACT(SEED!$I487, ""), IF(EXACT(SEED!$G487, ""), IF(EXACT(SEED!$E487, ""), IF(EXACT(SEED!$C487, ""), "", SEED!$C487), SEED!$E487), SEED!$G487), SEED!$I487), SEED!$K487))</f>
        <v>Biaya Adm &amp; Umum Lainnya</v>
      </c>
    </row>
    <row r="487" spans="2:4" x14ac:dyDescent="0.25">
      <c r="B487" s="94">
        <f>IF(EXACT(SEED!$BB488, ""), "", SEED!$BA488)</f>
        <v>65000000000478</v>
      </c>
      <c r="C487" s="92" t="str">
        <f>IF(EXACT($B487, ""), "", IF(EXACT(SEED!$J488, ""), IF(EXACT(SEED!$H488, ""), IF(EXACT(SEED!$F488, ""), IF(EXACT(SEED!$D488, ""), IF(EXACT(SEED!$B488, ""), "", SEED!$B488), SEED!$D488), SEED!$F488), SEED!$H488), SEED!$J488))</f>
        <v>6-4099.01</v>
      </c>
      <c r="D487" s="92" t="str">
        <f>IF(EXACT($B487, ""), "", IF(EXACT(SEED!$K488, ""), IF(EXACT(SEED!$I488, ""), IF(EXACT(SEED!$G488, ""), IF(EXACT(SEED!$E488, ""), IF(EXACT(SEED!$C488, ""), "", SEED!$C488), SEED!$E488), SEED!$G488), SEED!$I488), SEED!$K488))</f>
        <v>Biaya Adm &amp; Umum Lainnya (IDR)</v>
      </c>
    </row>
    <row r="488" spans="2:4" x14ac:dyDescent="0.25">
      <c r="B488" s="94">
        <f>IF(EXACT(SEED!$BB489, ""), "", SEED!$BA489)</f>
        <v>65000000000479</v>
      </c>
      <c r="C488" s="92" t="str">
        <f>IF(EXACT($B488, ""), "", IF(EXACT(SEED!$J489, ""), IF(EXACT(SEED!$H489, ""), IF(EXACT(SEED!$F489, ""), IF(EXACT(SEED!$D489, ""), IF(EXACT(SEED!$B489, ""), "", SEED!$B489), SEED!$D489), SEED!$F489), SEED!$H489), SEED!$J489))</f>
        <v>6-5000</v>
      </c>
      <c r="D488" s="92" t="str">
        <f>IF(EXACT($B488, ""), "", IF(EXACT(SEED!$K489, ""), IF(EXACT(SEED!$I489, ""), IF(EXACT(SEED!$G489, ""), IF(EXACT(SEED!$E489, ""), IF(EXACT(SEED!$C489, ""), "", SEED!$C489), SEED!$E489), SEED!$G489), SEED!$I489), SEED!$K489))</f>
        <v>Biaya Depresiasi</v>
      </c>
    </row>
    <row r="489" spans="2:4" x14ac:dyDescent="0.25">
      <c r="B489" s="94">
        <f>IF(EXACT(SEED!$BB490, ""), "", SEED!$BA490)</f>
        <v>65000000000480</v>
      </c>
      <c r="C489" s="92" t="str">
        <f>IF(EXACT($B489, ""), "", IF(EXACT(SEED!$J490, ""), IF(EXACT(SEED!$H490, ""), IF(EXACT(SEED!$F490, ""), IF(EXACT(SEED!$D490, ""), IF(EXACT(SEED!$B490, ""), "", SEED!$B490), SEED!$D490), SEED!$F490), SEED!$H490), SEED!$J490))</f>
        <v>6-5001</v>
      </c>
      <c r="D489" s="92" t="str">
        <f>IF(EXACT($B489, ""), "", IF(EXACT(SEED!$K490, ""), IF(EXACT(SEED!$I490, ""), IF(EXACT(SEED!$G490, ""), IF(EXACT(SEED!$E490, ""), IF(EXACT(SEED!$C490, ""), "", SEED!$C490), SEED!$E490), SEED!$G490), SEED!$I490), SEED!$K490))</f>
        <v>Depre - Building Improvement</v>
      </c>
    </row>
    <row r="490" spans="2:4" x14ac:dyDescent="0.25">
      <c r="B490" s="94">
        <f>IF(EXACT(SEED!$BB491, ""), "", SEED!$BA491)</f>
        <v>65000000000481</v>
      </c>
      <c r="C490" s="92" t="str">
        <f>IF(EXACT($B490, ""), "", IF(EXACT(SEED!$J491, ""), IF(EXACT(SEED!$H491, ""), IF(EXACT(SEED!$F491, ""), IF(EXACT(SEED!$D491, ""), IF(EXACT(SEED!$B491, ""), "", SEED!$B491), SEED!$D491), SEED!$F491), SEED!$H491), SEED!$J491))</f>
        <v>6-5001.01</v>
      </c>
      <c r="D490" s="92" t="str">
        <f>IF(EXACT($B490, ""), "", IF(EXACT(SEED!$K491, ""), IF(EXACT(SEED!$I491, ""), IF(EXACT(SEED!$G491, ""), IF(EXACT(SEED!$E491, ""), IF(EXACT(SEED!$C491, ""), "", SEED!$C491), SEED!$E491), SEED!$G491), SEED!$I491), SEED!$K491))</f>
        <v>Depre - Building Improvement (IDR)</v>
      </c>
    </row>
    <row r="491" spans="2:4" x14ac:dyDescent="0.25">
      <c r="B491" s="94">
        <f>IF(EXACT(SEED!$BB492, ""), "", SEED!$BA492)</f>
        <v>65000000000482</v>
      </c>
      <c r="C491" s="92" t="str">
        <f>IF(EXACT($B491, ""), "", IF(EXACT(SEED!$J492, ""), IF(EXACT(SEED!$H492, ""), IF(EXACT(SEED!$F492, ""), IF(EXACT(SEED!$D492, ""), IF(EXACT(SEED!$B492, ""), "", SEED!$B492), SEED!$D492), SEED!$F492), SEED!$H492), SEED!$J492))</f>
        <v>6-5002</v>
      </c>
      <c r="D491" s="92" t="str">
        <f>IF(EXACT($B491, ""), "", IF(EXACT(SEED!$K492, ""), IF(EXACT(SEED!$I492, ""), IF(EXACT(SEED!$G492, ""), IF(EXACT(SEED!$E492, ""), IF(EXACT(SEED!$C492, ""), "", SEED!$C492), SEED!$E492), SEED!$G492), SEED!$I492), SEED!$K492))</f>
        <v>Depre - Building Office</v>
      </c>
    </row>
    <row r="492" spans="2:4" x14ac:dyDescent="0.25">
      <c r="B492" s="94">
        <f>IF(EXACT(SEED!$BB493, ""), "", SEED!$BA493)</f>
        <v>65000000000483</v>
      </c>
      <c r="C492" s="92" t="str">
        <f>IF(EXACT($B492, ""), "", IF(EXACT(SEED!$J493, ""), IF(EXACT(SEED!$H493, ""), IF(EXACT(SEED!$F493, ""), IF(EXACT(SEED!$D493, ""), IF(EXACT(SEED!$B493, ""), "", SEED!$B493), SEED!$D493), SEED!$F493), SEED!$H493), SEED!$J493))</f>
        <v>6-5002.01</v>
      </c>
      <c r="D492" s="92" t="str">
        <f>IF(EXACT($B492, ""), "", IF(EXACT(SEED!$K493, ""), IF(EXACT(SEED!$I493, ""), IF(EXACT(SEED!$G493, ""), IF(EXACT(SEED!$E493, ""), IF(EXACT(SEED!$C493, ""), "", SEED!$C493), SEED!$E493), SEED!$G493), SEED!$I493), SEED!$K493))</f>
        <v>Depre - Building Office (IDR)</v>
      </c>
    </row>
    <row r="493" spans="2:4" x14ac:dyDescent="0.25">
      <c r="B493" s="94">
        <f>IF(EXACT(SEED!$BB494, ""), "", SEED!$BA494)</f>
        <v>65000000000484</v>
      </c>
      <c r="C493" s="92" t="str">
        <f>IF(EXACT($B493, ""), "", IF(EXACT(SEED!$J494, ""), IF(EXACT(SEED!$H494, ""), IF(EXACT(SEED!$F494, ""), IF(EXACT(SEED!$D494, ""), IF(EXACT(SEED!$B494, ""), "", SEED!$B494), SEED!$D494), SEED!$F494), SEED!$H494), SEED!$J494))</f>
        <v>6-5003</v>
      </c>
      <c r="D493" s="92" t="str">
        <f>IF(EXACT($B493, ""), "", IF(EXACT(SEED!$K494, ""), IF(EXACT(SEED!$I494, ""), IF(EXACT(SEED!$G494, ""), IF(EXACT(SEED!$E494, ""), IF(EXACT(SEED!$C494, ""), "", SEED!$C494), SEED!$E494), SEED!$G494), SEED!$I494), SEED!$K494))</f>
        <v>Depre -  IT-Equipment</v>
      </c>
    </row>
    <row r="494" spans="2:4" x14ac:dyDescent="0.25">
      <c r="B494" s="94">
        <f>IF(EXACT(SEED!$BB495, ""), "", SEED!$BA495)</f>
        <v>65000000000485</v>
      </c>
      <c r="C494" s="92" t="str">
        <f>IF(EXACT($B494, ""), "", IF(EXACT(SEED!$J495, ""), IF(EXACT(SEED!$H495, ""), IF(EXACT(SEED!$F495, ""), IF(EXACT(SEED!$D495, ""), IF(EXACT(SEED!$B495, ""), "", SEED!$B495), SEED!$D495), SEED!$F495), SEED!$H495), SEED!$J495))</f>
        <v>6-5003.01</v>
      </c>
      <c r="D494" s="92" t="str">
        <f>IF(EXACT($B494, ""), "", IF(EXACT(SEED!$K495, ""), IF(EXACT(SEED!$I495, ""), IF(EXACT(SEED!$G495, ""), IF(EXACT(SEED!$E495, ""), IF(EXACT(SEED!$C495, ""), "", SEED!$C495), SEED!$E495), SEED!$G495), SEED!$I495), SEED!$K495))</f>
        <v>Depre -  IT-Equipment (IDR)</v>
      </c>
    </row>
    <row r="495" spans="2:4" x14ac:dyDescent="0.25">
      <c r="B495" s="94">
        <f>IF(EXACT(SEED!$BB496, ""), "", SEED!$BA496)</f>
        <v>65000000000486</v>
      </c>
      <c r="C495" s="92" t="str">
        <f>IF(EXACT($B495, ""), "", IF(EXACT(SEED!$J496, ""), IF(EXACT(SEED!$H496, ""), IF(EXACT(SEED!$F496, ""), IF(EXACT(SEED!$D496, ""), IF(EXACT(SEED!$B496, ""), "", SEED!$B496), SEED!$D496), SEED!$F496), SEED!$H496), SEED!$J496))</f>
        <v>6-5004</v>
      </c>
      <c r="D495" s="92" t="str">
        <f>IF(EXACT($B495, ""), "", IF(EXACT(SEED!$K496, ""), IF(EXACT(SEED!$I496, ""), IF(EXACT(SEED!$G496, ""), IF(EXACT(SEED!$E496, ""), IF(EXACT(SEED!$C496, ""), "", SEED!$C496), SEED!$E496), SEED!$G496), SEED!$I496), SEED!$K496))</f>
        <v>Depre - Office Machine &amp; Equip</v>
      </c>
    </row>
    <row r="496" spans="2:4" x14ac:dyDescent="0.25">
      <c r="B496" s="94">
        <f>IF(EXACT(SEED!$BB497, ""), "", SEED!$BA497)</f>
        <v>65000000000487</v>
      </c>
      <c r="C496" s="92" t="str">
        <f>IF(EXACT($B496, ""), "", IF(EXACT(SEED!$J497, ""), IF(EXACT(SEED!$H497, ""), IF(EXACT(SEED!$F497, ""), IF(EXACT(SEED!$D497, ""), IF(EXACT(SEED!$B497, ""), "", SEED!$B497), SEED!$D497), SEED!$F497), SEED!$H497), SEED!$J497))</f>
        <v>6-5004.01</v>
      </c>
      <c r="D496" s="92" t="str">
        <f>IF(EXACT($B496, ""), "", IF(EXACT(SEED!$K497, ""), IF(EXACT(SEED!$I497, ""), IF(EXACT(SEED!$G497, ""), IF(EXACT(SEED!$E497, ""), IF(EXACT(SEED!$C497, ""), "", SEED!$C497), SEED!$E497), SEED!$G497), SEED!$I497), SEED!$K497))</f>
        <v>Depre - Office Machine &amp; Equip (IDR)</v>
      </c>
    </row>
    <row r="497" spans="2:4" x14ac:dyDescent="0.25">
      <c r="B497" s="94">
        <f>IF(EXACT(SEED!$BB498, ""), "", SEED!$BA498)</f>
        <v>65000000000488</v>
      </c>
      <c r="C497" s="92" t="str">
        <f>IF(EXACT($B497, ""), "", IF(EXACT(SEED!$J498, ""), IF(EXACT(SEED!$H498, ""), IF(EXACT(SEED!$F498, ""), IF(EXACT(SEED!$D498, ""), IF(EXACT(SEED!$B498, ""), "", SEED!$B498), SEED!$D498), SEED!$F498), SEED!$H498), SEED!$J498))</f>
        <v>6-5005</v>
      </c>
      <c r="D497" s="92" t="str">
        <f>IF(EXACT($B497, ""), "", IF(EXACT(SEED!$K498, ""), IF(EXACT(SEED!$I498, ""), IF(EXACT(SEED!$G498, ""), IF(EXACT(SEED!$E498, ""), IF(EXACT(SEED!$C498, ""), "", SEED!$C498), SEED!$E498), SEED!$G498), SEED!$I498), SEED!$K498))</f>
        <v>Depre - Sundry Plant &amp; Equip</v>
      </c>
    </row>
    <row r="498" spans="2:4" x14ac:dyDescent="0.25">
      <c r="B498" s="94">
        <f>IF(EXACT(SEED!$BB499, ""), "", SEED!$BA499)</f>
        <v>65000000000489</v>
      </c>
      <c r="C498" s="92" t="str">
        <f>IF(EXACT($B498, ""), "", IF(EXACT(SEED!$J499, ""), IF(EXACT(SEED!$H499, ""), IF(EXACT(SEED!$F499, ""), IF(EXACT(SEED!$D499, ""), IF(EXACT(SEED!$B499, ""), "", SEED!$B499), SEED!$D499), SEED!$F499), SEED!$H499), SEED!$J499))</f>
        <v>6-5005.01</v>
      </c>
      <c r="D498" s="92" t="str">
        <f>IF(EXACT($B498, ""), "", IF(EXACT(SEED!$K499, ""), IF(EXACT(SEED!$I499, ""), IF(EXACT(SEED!$G499, ""), IF(EXACT(SEED!$E499, ""), IF(EXACT(SEED!$C499, ""), "", SEED!$C499), SEED!$E499), SEED!$G499), SEED!$I499), SEED!$K499))</f>
        <v>Depre - Sundry Plant &amp; Equip (IDR)</v>
      </c>
    </row>
    <row r="499" spans="2:4" x14ac:dyDescent="0.25">
      <c r="B499" s="94">
        <f>IF(EXACT(SEED!$BB500, ""), "", SEED!$BA500)</f>
        <v>65000000000490</v>
      </c>
      <c r="C499" s="92" t="str">
        <f>IF(EXACT($B499, ""), "", IF(EXACT(SEED!$J500, ""), IF(EXACT(SEED!$H500, ""), IF(EXACT(SEED!$F500, ""), IF(EXACT(SEED!$D500, ""), IF(EXACT(SEED!$B500, ""), "", SEED!$B500), SEED!$D500), SEED!$F500), SEED!$H500), SEED!$J500))</f>
        <v>6-5006</v>
      </c>
      <c r="D499" s="92" t="str">
        <f>IF(EXACT($B499, ""), "", IF(EXACT(SEED!$K500, ""), IF(EXACT(SEED!$I500, ""), IF(EXACT(SEED!$G500, ""), IF(EXACT(SEED!$E500, ""), IF(EXACT(SEED!$C500, ""), "", SEED!$C500), SEED!$E500), SEED!$G500), SEED!$I500), SEED!$K500))</f>
        <v>Depre - Test Equipment</v>
      </c>
    </row>
    <row r="500" spans="2:4" x14ac:dyDescent="0.25">
      <c r="B500" s="94">
        <f>IF(EXACT(SEED!$BB501, ""), "", SEED!$BA501)</f>
        <v>65000000000491</v>
      </c>
      <c r="C500" s="92" t="str">
        <f>IF(EXACT($B500, ""), "", IF(EXACT(SEED!$J501, ""), IF(EXACT(SEED!$H501, ""), IF(EXACT(SEED!$F501, ""), IF(EXACT(SEED!$D501, ""), IF(EXACT(SEED!$B501, ""), "", SEED!$B501), SEED!$D501), SEED!$F501), SEED!$H501), SEED!$J501))</f>
        <v>6-5006.01</v>
      </c>
      <c r="D500" s="92" t="str">
        <f>IF(EXACT($B500, ""), "", IF(EXACT(SEED!$K501, ""), IF(EXACT(SEED!$I501, ""), IF(EXACT(SEED!$G501, ""), IF(EXACT(SEED!$E501, ""), IF(EXACT(SEED!$C501, ""), "", SEED!$C501), SEED!$E501), SEED!$G501), SEED!$I501), SEED!$K501))</f>
        <v>Depre - Test Equipment (IDR)</v>
      </c>
    </row>
    <row r="501" spans="2:4" x14ac:dyDescent="0.25">
      <c r="B501" s="94">
        <f>IF(EXACT(SEED!$BB502, ""), "", SEED!$BA502)</f>
        <v>65000000000492</v>
      </c>
      <c r="C501" s="92" t="str">
        <f>IF(EXACT($B501, ""), "", IF(EXACT(SEED!$J502, ""), IF(EXACT(SEED!$H502, ""), IF(EXACT(SEED!$F502, ""), IF(EXACT(SEED!$D502, ""), IF(EXACT(SEED!$B502, ""), "", SEED!$B502), SEED!$D502), SEED!$F502), SEED!$H502), SEED!$J502))</f>
        <v>6-5007</v>
      </c>
      <c r="D501" s="92" t="str">
        <f>IF(EXACT($B501, ""), "", IF(EXACT(SEED!$K502, ""), IF(EXACT(SEED!$I502, ""), IF(EXACT(SEED!$G502, ""), IF(EXACT(SEED!$E502, ""), IF(EXACT(SEED!$C502, ""), "", SEED!$C502), SEED!$E502), SEED!$G502), SEED!$I502), SEED!$K502))</f>
        <v>Depre - Motor Vehicle</v>
      </c>
    </row>
    <row r="502" spans="2:4" x14ac:dyDescent="0.25">
      <c r="B502" s="94">
        <f>IF(EXACT(SEED!$BB503, ""), "", SEED!$BA503)</f>
        <v>65000000000493</v>
      </c>
      <c r="C502" s="92" t="str">
        <f>IF(EXACT($B502, ""), "", IF(EXACT(SEED!$J503, ""), IF(EXACT(SEED!$H503, ""), IF(EXACT(SEED!$F503, ""), IF(EXACT(SEED!$D503, ""), IF(EXACT(SEED!$B503, ""), "", SEED!$B503), SEED!$D503), SEED!$F503), SEED!$H503), SEED!$J503))</f>
        <v>6-5007.01</v>
      </c>
      <c r="D502" s="92" t="str">
        <f>IF(EXACT($B502, ""), "", IF(EXACT(SEED!$K503, ""), IF(EXACT(SEED!$I503, ""), IF(EXACT(SEED!$G503, ""), IF(EXACT(SEED!$E503, ""), IF(EXACT(SEED!$C503, ""), "", SEED!$C503), SEED!$E503), SEED!$G503), SEED!$I503), SEED!$K503))</f>
        <v>Depre - Motor Vehicle (IDR)</v>
      </c>
    </row>
    <row r="503" spans="2:4" x14ac:dyDescent="0.25">
      <c r="B503" s="94">
        <f>IF(EXACT(SEED!$BB504, ""), "", SEED!$BA504)</f>
        <v>65000000000494</v>
      </c>
      <c r="C503" s="92" t="str">
        <f>IF(EXACT($B503, ""), "", IF(EXACT(SEED!$J504, ""), IF(EXACT(SEED!$H504, ""), IF(EXACT(SEED!$F504, ""), IF(EXACT(SEED!$D504, ""), IF(EXACT(SEED!$B504, ""), "", SEED!$B504), SEED!$D504), SEED!$F504), SEED!$H504), SEED!$J504))</f>
        <v>6-5008</v>
      </c>
      <c r="D503" s="92" t="str">
        <f>IF(EXACT($B503, ""), "", IF(EXACT(SEED!$K504, ""), IF(EXACT(SEED!$I504, ""), IF(EXACT(SEED!$G504, ""), IF(EXACT(SEED!$E504, ""), IF(EXACT(SEED!$C504, ""), "", SEED!$C504), SEED!$E504), SEED!$G504), SEED!$I504), SEED!$K504))</f>
        <v>Depre - Tools</v>
      </c>
    </row>
    <row r="504" spans="2:4" x14ac:dyDescent="0.25">
      <c r="B504" s="94">
        <f>IF(EXACT(SEED!$BB505, ""), "", SEED!$BA505)</f>
        <v>65000000000495</v>
      </c>
      <c r="C504" s="92" t="str">
        <f>IF(EXACT($B504, ""), "", IF(EXACT(SEED!$J505, ""), IF(EXACT(SEED!$H505, ""), IF(EXACT(SEED!$F505, ""), IF(EXACT(SEED!$D505, ""), IF(EXACT(SEED!$B505, ""), "", SEED!$B505), SEED!$D505), SEED!$F505), SEED!$H505), SEED!$J505))</f>
        <v>6-5008.01</v>
      </c>
      <c r="D504" s="92" t="str">
        <f>IF(EXACT($B504, ""), "", IF(EXACT(SEED!$K505, ""), IF(EXACT(SEED!$I505, ""), IF(EXACT(SEED!$G505, ""), IF(EXACT(SEED!$E505, ""), IF(EXACT(SEED!$C505, ""), "", SEED!$C505), SEED!$E505), SEED!$G505), SEED!$I505), SEED!$K505))</f>
        <v>Depre - Tools (IDR)</v>
      </c>
    </row>
    <row r="505" spans="2:4" x14ac:dyDescent="0.25">
      <c r="B505" s="94">
        <f>IF(EXACT(SEED!$BB506, ""), "", SEED!$BA506)</f>
        <v>65000000000496</v>
      </c>
      <c r="C505" s="92" t="str">
        <f>IF(EXACT($B505, ""), "", IF(EXACT(SEED!$J506, ""), IF(EXACT(SEED!$H506, ""), IF(EXACT(SEED!$F506, ""), IF(EXACT(SEED!$D506, ""), IF(EXACT(SEED!$B506, ""), "", SEED!$B506), SEED!$D506), SEED!$F506), SEED!$H506), SEED!$J506))</f>
        <v>6-5009</v>
      </c>
      <c r="D505" s="92" t="str">
        <f>IF(EXACT($B505, ""), "", IF(EXACT(SEED!$K506, ""), IF(EXACT(SEED!$I506, ""), IF(EXACT(SEED!$G506, ""), IF(EXACT(SEED!$E506, ""), IF(EXACT(SEED!$C506, ""), "", SEED!$C506), SEED!$E506), SEED!$G506), SEED!$I506), SEED!$K506))</f>
        <v>Depre - Furniture Fitting</v>
      </c>
    </row>
    <row r="506" spans="2:4" x14ac:dyDescent="0.25">
      <c r="B506" s="94">
        <f>IF(EXACT(SEED!$BB507, ""), "", SEED!$BA507)</f>
        <v>65000000000497</v>
      </c>
      <c r="C506" s="92" t="str">
        <f>IF(EXACT($B506, ""), "", IF(EXACT(SEED!$J507, ""), IF(EXACT(SEED!$H507, ""), IF(EXACT(SEED!$F507, ""), IF(EXACT(SEED!$D507, ""), IF(EXACT(SEED!$B507, ""), "", SEED!$B507), SEED!$D507), SEED!$F507), SEED!$H507), SEED!$J507))</f>
        <v>6-5009.01</v>
      </c>
      <c r="D506" s="92" t="str">
        <f>IF(EXACT($B506, ""), "", IF(EXACT(SEED!$K507, ""), IF(EXACT(SEED!$I507, ""), IF(EXACT(SEED!$G507, ""), IF(EXACT(SEED!$E507, ""), IF(EXACT(SEED!$C507, ""), "", SEED!$C507), SEED!$E507), SEED!$G507), SEED!$I507), SEED!$K507))</f>
        <v>Depre - Furniture Fitting (IDR)</v>
      </c>
    </row>
    <row r="507" spans="2:4" x14ac:dyDescent="0.25">
      <c r="B507" s="94">
        <f>IF(EXACT(SEED!$BB508, ""), "", SEED!$BA508)</f>
        <v>65000000000498</v>
      </c>
      <c r="C507" s="92" t="str">
        <f>IF(EXACT($B507, ""), "", IF(EXACT(SEED!$J508, ""), IF(EXACT(SEED!$H508, ""), IF(EXACT(SEED!$F508, ""), IF(EXACT(SEED!$D508, ""), IF(EXACT(SEED!$B508, ""), "", SEED!$B508), SEED!$D508), SEED!$F508), SEED!$H508), SEED!$J508))</f>
        <v>6-5010</v>
      </c>
      <c r="D507" s="92" t="str">
        <f>IF(EXACT($B507, ""), "", IF(EXACT(SEED!$K508, ""), IF(EXACT(SEED!$I508, ""), IF(EXACT(SEED!$G508, ""), IF(EXACT(SEED!$E508, ""), IF(EXACT(SEED!$C508, ""), "", SEED!$C508), SEED!$E508), SEED!$G508), SEED!$I508), SEED!$K508))</f>
        <v>Depre - Mobile Phone</v>
      </c>
    </row>
    <row r="508" spans="2:4" x14ac:dyDescent="0.25">
      <c r="B508" s="94">
        <f>IF(EXACT(SEED!$BB509, ""), "", SEED!$BA509)</f>
        <v>65000000000499</v>
      </c>
      <c r="C508" s="92" t="str">
        <f>IF(EXACT($B508, ""), "", IF(EXACT(SEED!$J509, ""), IF(EXACT(SEED!$H509, ""), IF(EXACT(SEED!$F509, ""), IF(EXACT(SEED!$D509, ""), IF(EXACT(SEED!$B509, ""), "", SEED!$B509), SEED!$D509), SEED!$F509), SEED!$H509), SEED!$J509))</f>
        <v>6-5010.01</v>
      </c>
      <c r="D508" s="92" t="str">
        <f>IF(EXACT($B508, ""), "", IF(EXACT(SEED!$K509, ""), IF(EXACT(SEED!$I509, ""), IF(EXACT(SEED!$G509, ""), IF(EXACT(SEED!$E509, ""), IF(EXACT(SEED!$C509, ""), "", SEED!$C509), SEED!$E509), SEED!$G509), SEED!$I509), SEED!$K509))</f>
        <v>Depre - Mobile Phone (IDR)</v>
      </c>
    </row>
    <row r="509" spans="2:4" x14ac:dyDescent="0.25">
      <c r="B509" s="94">
        <f>IF(EXACT(SEED!$BB510, ""), "", SEED!$BA510)</f>
        <v>65000000000500</v>
      </c>
      <c r="C509" s="92" t="str">
        <f>IF(EXACT($B509, ""), "", IF(EXACT(SEED!$J510, ""), IF(EXACT(SEED!$H510, ""), IF(EXACT(SEED!$F510, ""), IF(EXACT(SEED!$D510, ""), IF(EXACT(SEED!$B510, ""), "", SEED!$B510), SEED!$D510), SEED!$F510), SEED!$H510), SEED!$J510))</f>
        <v>7-0000</v>
      </c>
      <c r="D509" s="92" t="str">
        <f>IF(EXACT($B509, ""), "", IF(EXACT(SEED!$K510, ""), IF(EXACT(SEED!$I510, ""), IF(EXACT(SEED!$G510, ""), IF(EXACT(SEED!$E510, ""), IF(EXACT(SEED!$C510, ""), "", SEED!$C510), SEED!$E510), SEED!$G510), SEED!$I510), SEED!$K510))</f>
        <v>Pendapatan Lain - Lain</v>
      </c>
    </row>
    <row r="510" spans="2:4" x14ac:dyDescent="0.25">
      <c r="B510" s="94">
        <f>IF(EXACT(SEED!$BB511, ""), "", SEED!$BA511)</f>
        <v>65000000000501</v>
      </c>
      <c r="C510" s="92" t="str">
        <f>IF(EXACT($B510, ""), "", IF(EXACT(SEED!$J511, ""), IF(EXACT(SEED!$H511, ""), IF(EXACT(SEED!$F511, ""), IF(EXACT(SEED!$D511, ""), IF(EXACT(SEED!$B511, ""), "", SEED!$B511), SEED!$D511), SEED!$F511), SEED!$H511), SEED!$J511))</f>
        <v>7-1000</v>
      </c>
      <c r="D510" s="92" t="str">
        <f>IF(EXACT($B510, ""), "", IF(EXACT(SEED!$K511, ""), IF(EXACT(SEED!$I511, ""), IF(EXACT(SEED!$G511, ""), IF(EXACT(SEED!$E511, ""), IF(EXACT(SEED!$C511, ""), "", SEED!$C511), SEED!$E511), SEED!$G511), SEED!$I511), SEED!$K511))</f>
        <v>Interest Received</v>
      </c>
    </row>
    <row r="511" spans="2:4" x14ac:dyDescent="0.25">
      <c r="B511" s="94">
        <f>IF(EXACT(SEED!$BB512, ""), "", SEED!$BA512)</f>
        <v>65000000000502</v>
      </c>
      <c r="C511" s="92" t="str">
        <f>IF(EXACT($B511, ""), "", IF(EXACT(SEED!$J512, ""), IF(EXACT(SEED!$H512, ""), IF(EXACT(SEED!$F512, ""), IF(EXACT(SEED!$D512, ""), IF(EXACT(SEED!$B512, ""), "", SEED!$B512), SEED!$D512), SEED!$F512), SEED!$H512), SEED!$J512))</f>
        <v>7-1001</v>
      </c>
      <c r="D511" s="92" t="str">
        <f>IF(EXACT($B511, ""), "", IF(EXACT(SEED!$K512, ""), IF(EXACT(SEED!$I512, ""), IF(EXACT(SEED!$G512, ""), IF(EXACT(SEED!$E512, ""), IF(EXACT(SEED!$C512, ""), "", SEED!$C512), SEED!$E512), SEED!$G512), SEED!$I512), SEED!$K512))</f>
        <v>Interest Received - Bank</v>
      </c>
    </row>
    <row r="512" spans="2:4" x14ac:dyDescent="0.25">
      <c r="B512" s="94">
        <f>IF(EXACT(SEED!$BB513, ""), "", SEED!$BA513)</f>
        <v>65000000000503</v>
      </c>
      <c r="C512" s="92" t="str">
        <f>IF(EXACT($B512, ""), "", IF(EXACT(SEED!$J513, ""), IF(EXACT(SEED!$H513, ""), IF(EXACT(SEED!$F513, ""), IF(EXACT(SEED!$D513, ""), IF(EXACT(SEED!$B513, ""), "", SEED!$B513), SEED!$D513), SEED!$F513), SEED!$H513), SEED!$J513))</f>
        <v>7-1001.01</v>
      </c>
      <c r="D512" s="92" t="str">
        <f>IF(EXACT($B512, ""), "", IF(EXACT(SEED!$K513, ""), IF(EXACT(SEED!$I513, ""), IF(EXACT(SEED!$G513, ""), IF(EXACT(SEED!$E513, ""), IF(EXACT(SEED!$C513, ""), "", SEED!$C513), SEED!$E513), SEED!$G513), SEED!$I513), SEED!$K513))</f>
        <v>Interest Received - Bank (IDR)</v>
      </c>
    </row>
    <row r="513" spans="2:4" x14ac:dyDescent="0.25">
      <c r="B513" s="94">
        <f>IF(EXACT(SEED!$BB514, ""), "", SEED!$BA514)</f>
        <v>65000000000504</v>
      </c>
      <c r="C513" s="92" t="str">
        <f>IF(EXACT($B513, ""), "", IF(EXACT(SEED!$J514, ""), IF(EXACT(SEED!$H514, ""), IF(EXACT(SEED!$F514, ""), IF(EXACT(SEED!$D514, ""), IF(EXACT(SEED!$B514, ""), "", SEED!$B514), SEED!$D514), SEED!$F514), SEED!$H514), SEED!$J514))</f>
        <v>7-1002</v>
      </c>
      <c r="D513" s="92" t="str">
        <f>IF(EXACT($B513, ""), "", IF(EXACT(SEED!$K514, ""), IF(EXACT(SEED!$I514, ""), IF(EXACT(SEED!$G514, ""), IF(EXACT(SEED!$E514, ""), IF(EXACT(SEED!$C514, ""), "", SEED!$C514), SEED!$E514), SEED!$G514), SEED!$I514), SEED!$K514))</f>
        <v>Interest Received - Other</v>
      </c>
    </row>
    <row r="514" spans="2:4" x14ac:dyDescent="0.25">
      <c r="B514" s="94">
        <f>IF(EXACT(SEED!$BB515, ""), "", SEED!$BA515)</f>
        <v>65000000000505</v>
      </c>
      <c r="C514" s="92" t="str">
        <f>IF(EXACT($B514, ""), "", IF(EXACT(SEED!$J515, ""), IF(EXACT(SEED!$H515, ""), IF(EXACT(SEED!$F515, ""), IF(EXACT(SEED!$D515, ""), IF(EXACT(SEED!$B515, ""), "", SEED!$B515), SEED!$D515), SEED!$F515), SEED!$H515), SEED!$J515))</f>
        <v>7-1002.01</v>
      </c>
      <c r="D514" s="92" t="str">
        <f>IF(EXACT($B514, ""), "", IF(EXACT(SEED!$K515, ""), IF(EXACT(SEED!$I515, ""), IF(EXACT(SEED!$G515, ""), IF(EXACT(SEED!$E515, ""), IF(EXACT(SEED!$C515, ""), "", SEED!$C515), SEED!$E515), SEED!$G515), SEED!$I515), SEED!$K515))</f>
        <v>Interest Received - Other (IDR)</v>
      </c>
    </row>
    <row r="515" spans="2:4" x14ac:dyDescent="0.25">
      <c r="B515" s="94">
        <f>IF(EXACT(SEED!$BB516, ""), "", SEED!$BA516)</f>
        <v>65000000000506</v>
      </c>
      <c r="C515" s="92" t="str">
        <f>IF(EXACT($B515, ""), "", IF(EXACT(SEED!$J516, ""), IF(EXACT(SEED!$H516, ""), IF(EXACT(SEED!$F516, ""), IF(EXACT(SEED!$D516, ""), IF(EXACT(SEED!$B516, ""), "", SEED!$B516), SEED!$D516), SEED!$F516), SEED!$H516), SEED!$J516))</f>
        <v>7-1003</v>
      </c>
      <c r="D515" s="92" t="str">
        <f>IF(EXACT($B515, ""), "", IF(EXACT(SEED!$K516, ""), IF(EXACT(SEED!$I516, ""), IF(EXACT(SEED!$G516, ""), IF(EXACT(SEED!$E516, ""), IF(EXACT(SEED!$C516, ""), "", SEED!$C516), SEED!$E516), SEED!$G516), SEED!$I516), SEED!$K516))</f>
        <v>Interest Income Promesory Note</v>
      </c>
    </row>
    <row r="516" spans="2:4" x14ac:dyDescent="0.25">
      <c r="B516" s="94">
        <f>IF(EXACT(SEED!$BB517, ""), "", SEED!$BA517)</f>
        <v>65000000000507</v>
      </c>
      <c r="C516" s="92" t="str">
        <f>IF(EXACT($B516, ""), "", IF(EXACT(SEED!$J517, ""), IF(EXACT(SEED!$H517, ""), IF(EXACT(SEED!$F517, ""), IF(EXACT(SEED!$D517, ""), IF(EXACT(SEED!$B517, ""), "", SEED!$B517), SEED!$D517), SEED!$F517), SEED!$H517), SEED!$J517))</f>
        <v>7-1003.01</v>
      </c>
      <c r="D516" s="92" t="str">
        <f>IF(EXACT($B516, ""), "", IF(EXACT(SEED!$K517, ""), IF(EXACT(SEED!$I517, ""), IF(EXACT(SEED!$G517, ""), IF(EXACT(SEED!$E517, ""), IF(EXACT(SEED!$C517, ""), "", SEED!$C517), SEED!$E517), SEED!$G517), SEED!$I517), SEED!$K517))</f>
        <v>Interest Income Promesory Note (IDR)</v>
      </c>
    </row>
    <row r="517" spans="2:4" x14ac:dyDescent="0.25">
      <c r="B517" s="94">
        <f>IF(EXACT(SEED!$BB518, ""), "", SEED!$BA518)</f>
        <v>65000000000508</v>
      </c>
      <c r="C517" s="92" t="str">
        <f>IF(EXACT($B517, ""), "", IF(EXACT(SEED!$J518, ""), IF(EXACT(SEED!$H518, ""), IF(EXACT(SEED!$F518, ""), IF(EXACT(SEED!$D518, ""), IF(EXACT(SEED!$B518, ""), "", SEED!$B518), SEED!$D518), SEED!$F518), SEED!$H518), SEED!$J518))</f>
        <v>7-2000</v>
      </c>
      <c r="D517" s="92" t="str">
        <f>IF(EXACT($B517, ""), "", IF(EXACT(SEED!$K518, ""), IF(EXACT(SEED!$I518, ""), IF(EXACT(SEED!$G518, ""), IF(EXACT(SEED!$E518, ""), IF(EXACT(SEED!$C518, ""), "", SEED!$C518), SEED!$E518), SEED!$G518), SEED!$I518), SEED!$K518))</f>
        <v>Gain (Loss) Disposal of FA</v>
      </c>
    </row>
    <row r="518" spans="2:4" x14ac:dyDescent="0.25">
      <c r="B518" s="94">
        <f>IF(EXACT(SEED!$BB519, ""), "", SEED!$BA519)</f>
        <v>65000000000509</v>
      </c>
      <c r="C518" s="92" t="str">
        <f>IF(EXACT($B518, ""), "", IF(EXACT(SEED!$J519, ""), IF(EXACT(SEED!$H519, ""), IF(EXACT(SEED!$F519, ""), IF(EXACT(SEED!$D519, ""), IF(EXACT(SEED!$B519, ""), "", SEED!$B519), SEED!$D519), SEED!$F519), SEED!$H519), SEED!$J519))</f>
        <v>7-2000.01</v>
      </c>
      <c r="D518" s="92" t="str">
        <f>IF(EXACT($B518, ""), "", IF(EXACT(SEED!$K519, ""), IF(EXACT(SEED!$I519, ""), IF(EXACT(SEED!$G519, ""), IF(EXACT(SEED!$E519, ""), IF(EXACT(SEED!$C519, ""), "", SEED!$C519), SEED!$E519), SEED!$G519), SEED!$I519), SEED!$K519))</f>
        <v>Gain (Loss) Disposal of FA (IDR)</v>
      </c>
    </row>
    <row r="519" spans="2:4" x14ac:dyDescent="0.25">
      <c r="B519" s="94">
        <f>IF(EXACT(SEED!$BB520, ""), "", SEED!$BA520)</f>
        <v>65000000000510</v>
      </c>
      <c r="C519" s="92" t="str">
        <f>IF(EXACT($B519, ""), "", IF(EXACT(SEED!$J520, ""), IF(EXACT(SEED!$H520, ""), IF(EXACT(SEED!$F520, ""), IF(EXACT(SEED!$D520, ""), IF(EXACT(SEED!$B520, ""), "", SEED!$B520), SEED!$D520), SEED!$F520), SEED!$H520), SEED!$J520))</f>
        <v>7-3000</v>
      </c>
      <c r="D519" s="92" t="str">
        <f>IF(EXACT($B519, ""), "", IF(EXACT(SEED!$K520, ""), IF(EXACT(SEED!$I520, ""), IF(EXACT(SEED!$G520, ""), IF(EXACT(SEED!$E520, ""), IF(EXACT(SEED!$C520, ""), "", SEED!$C520), SEED!$E520), SEED!$G520), SEED!$I520), SEED!$K520))</f>
        <v>Gain (Loss) Exchange Rate Difference</v>
      </c>
    </row>
    <row r="520" spans="2:4" x14ac:dyDescent="0.25">
      <c r="B520" s="94">
        <f>IF(EXACT(SEED!$BB521, ""), "", SEED!$BA521)</f>
        <v>65000000000511</v>
      </c>
      <c r="C520" s="92" t="str">
        <f>IF(EXACT($B520, ""), "", IF(EXACT(SEED!$J521, ""), IF(EXACT(SEED!$H521, ""), IF(EXACT(SEED!$F521, ""), IF(EXACT(SEED!$D521, ""), IF(EXACT(SEED!$B521, ""), "", SEED!$B521), SEED!$D521), SEED!$F521), SEED!$H521), SEED!$J521))</f>
        <v>7-3001</v>
      </c>
      <c r="D520" s="92" t="str">
        <f>IF(EXACT($B520, ""), "", IF(EXACT(SEED!$K521, ""), IF(EXACT(SEED!$I521, ""), IF(EXACT(SEED!$G521, ""), IF(EXACT(SEED!$E521, ""), IF(EXACT(SEED!$C521, ""), "", SEED!$C521), SEED!$E521), SEED!$G521), SEED!$I521), SEED!$K521))</f>
        <v>Gain (Loss) Exchange Rate Difference</v>
      </c>
    </row>
    <row r="521" spans="2:4" x14ac:dyDescent="0.25">
      <c r="B521" s="94">
        <f>IF(EXACT(SEED!$BB522, ""), "", SEED!$BA522)</f>
        <v>65000000000512</v>
      </c>
      <c r="C521" s="92" t="str">
        <f>IF(EXACT($B521, ""), "", IF(EXACT(SEED!$J522, ""), IF(EXACT(SEED!$H522, ""), IF(EXACT(SEED!$F522, ""), IF(EXACT(SEED!$D522, ""), IF(EXACT(SEED!$B522, ""), "", SEED!$B522), SEED!$D522), SEED!$F522), SEED!$H522), SEED!$J522))</f>
        <v>7-3001.01</v>
      </c>
      <c r="D521" s="92" t="str">
        <f>IF(EXACT($B521, ""), "", IF(EXACT(SEED!$K522, ""), IF(EXACT(SEED!$I522, ""), IF(EXACT(SEED!$G522, ""), IF(EXACT(SEED!$E522, ""), IF(EXACT(SEED!$C522, ""), "", SEED!$C522), SEED!$E522), SEED!$G522), SEED!$I522), SEED!$K522))</f>
        <v>Gain (Loss) Exchange Rate Difference (IDR)</v>
      </c>
    </row>
    <row r="522" spans="2:4" x14ac:dyDescent="0.25">
      <c r="B522" s="94">
        <f>IF(EXACT(SEED!$BB523, ""), "", SEED!$BA523)</f>
        <v>65000000000513</v>
      </c>
      <c r="C522" s="92" t="str">
        <f>IF(EXACT($B522, ""), "", IF(EXACT(SEED!$J523, ""), IF(EXACT(SEED!$H523, ""), IF(EXACT(SEED!$F523, ""), IF(EXACT(SEED!$D523, ""), IF(EXACT(SEED!$B523, ""), "", SEED!$B523), SEED!$D523), SEED!$F523), SEED!$H523), SEED!$J523))</f>
        <v>7-3002</v>
      </c>
      <c r="D522" s="92" t="str">
        <f>IF(EXACT($B522, ""), "", IF(EXACT(SEED!$K523, ""), IF(EXACT(SEED!$I523, ""), IF(EXACT(SEED!$G523, ""), IF(EXACT(SEED!$E523, ""), IF(EXACT(SEED!$C523, ""), "", SEED!$C523), SEED!$E523), SEED!$G523), SEED!$I523), SEED!$K523))</f>
        <v>Gain (Loss) Exchange Rate Difference Downer</v>
      </c>
    </row>
    <row r="523" spans="2:4" x14ac:dyDescent="0.25">
      <c r="B523" s="94">
        <f>IF(EXACT(SEED!$BB524, ""), "", SEED!$BA524)</f>
        <v>65000000000514</v>
      </c>
      <c r="C523" s="92" t="str">
        <f>IF(EXACT($B523, ""), "", IF(EXACT(SEED!$J524, ""), IF(EXACT(SEED!$H524, ""), IF(EXACT(SEED!$F524, ""), IF(EXACT(SEED!$D524, ""), IF(EXACT(SEED!$B524, ""), "", SEED!$B524), SEED!$D524), SEED!$F524), SEED!$H524), SEED!$J524))</f>
        <v>7-3002.01</v>
      </c>
      <c r="D523" s="92" t="str">
        <f>IF(EXACT($B523, ""), "", IF(EXACT(SEED!$K524, ""), IF(EXACT(SEED!$I524, ""), IF(EXACT(SEED!$G524, ""), IF(EXACT(SEED!$E524, ""), IF(EXACT(SEED!$C524, ""), "", SEED!$C524), SEED!$E524), SEED!$G524), SEED!$I524), SEED!$K524))</f>
        <v>Gain (Loss) Exchange Rate Difference Downer (IDR)</v>
      </c>
    </row>
    <row r="524" spans="2:4" x14ac:dyDescent="0.25">
      <c r="B524" s="94">
        <f>IF(EXACT(SEED!$BB525, ""), "", SEED!$BA525)</f>
        <v>65000000000515</v>
      </c>
      <c r="C524" s="92" t="str">
        <f>IF(EXACT($B524, ""), "", IF(EXACT(SEED!$J525, ""), IF(EXACT(SEED!$H525, ""), IF(EXACT(SEED!$F525, ""), IF(EXACT(SEED!$D525, ""), IF(EXACT(SEED!$B525, ""), "", SEED!$B525), SEED!$D525), SEED!$F525), SEED!$H525), SEED!$J525))</f>
        <v>7-4000</v>
      </c>
      <c r="D524" s="92" t="str">
        <f>IF(EXACT($B524, ""), "", IF(EXACT(SEED!$K525, ""), IF(EXACT(SEED!$I525, ""), IF(EXACT(SEED!$G525, ""), IF(EXACT(SEED!$E525, ""), IF(EXACT(SEED!$C525, ""), "", SEED!$C525), SEED!$E525), SEED!$G525), SEED!$I525), SEED!$K525))</f>
        <v>Other Revenue - Other</v>
      </c>
    </row>
    <row r="525" spans="2:4" x14ac:dyDescent="0.25">
      <c r="B525" s="94">
        <f>IF(EXACT(SEED!$BB526, ""), "", SEED!$BA526)</f>
        <v>65000000000516</v>
      </c>
      <c r="C525" s="92" t="str">
        <f>IF(EXACT($B525, ""), "", IF(EXACT(SEED!$J526, ""), IF(EXACT(SEED!$H526, ""), IF(EXACT(SEED!$F526, ""), IF(EXACT(SEED!$D526, ""), IF(EXACT(SEED!$B526, ""), "", SEED!$B526), SEED!$D526), SEED!$F526), SEED!$H526), SEED!$J526))</f>
        <v>7-4100</v>
      </c>
      <c r="D525" s="92" t="str">
        <f>IF(EXACT($B525, ""), "", IF(EXACT(SEED!$K526, ""), IF(EXACT(SEED!$I526, ""), IF(EXACT(SEED!$G526, ""), IF(EXACT(SEED!$E526, ""), IF(EXACT(SEED!$C526, ""), "", SEED!$C526), SEED!$E526), SEED!$G526), SEED!$I526), SEED!$K526))</f>
        <v>Income (loss) Subsidiary</v>
      </c>
    </row>
    <row r="526" spans="2:4" x14ac:dyDescent="0.25">
      <c r="B526" s="94">
        <f>IF(EXACT(SEED!$BB527, ""), "", SEED!$BA527)</f>
        <v>65000000000517</v>
      </c>
      <c r="C526" s="92" t="str">
        <f>IF(EXACT($B526, ""), "", IF(EXACT(SEED!$J527, ""), IF(EXACT(SEED!$H527, ""), IF(EXACT(SEED!$F527, ""), IF(EXACT(SEED!$D527, ""), IF(EXACT(SEED!$B527, ""), "", SEED!$B527), SEED!$D527), SEED!$F527), SEED!$H527), SEED!$J527))</f>
        <v>7-4100.01</v>
      </c>
      <c r="D526" s="92" t="str">
        <f>IF(EXACT($B526, ""), "", IF(EXACT(SEED!$K527, ""), IF(EXACT(SEED!$I527, ""), IF(EXACT(SEED!$G527, ""), IF(EXACT(SEED!$E527, ""), IF(EXACT(SEED!$C527, ""), "", SEED!$C527), SEED!$E527), SEED!$G527), SEED!$I527), SEED!$K527))</f>
        <v>Income (loss) Subsidiary IMD (IDR)</v>
      </c>
    </row>
    <row r="527" spans="2:4" x14ac:dyDescent="0.25">
      <c r="B527" s="94">
        <f>IF(EXACT(SEED!$BB528, ""), "", SEED!$BA528)</f>
        <v>65000000000518</v>
      </c>
      <c r="C527" s="92" t="str">
        <f>IF(EXACT($B527, ""), "", IF(EXACT(SEED!$J528, ""), IF(EXACT(SEED!$H528, ""), IF(EXACT(SEED!$F528, ""), IF(EXACT(SEED!$D528, ""), IF(EXACT(SEED!$B528, ""), "", SEED!$B528), SEED!$D528), SEED!$F528), SEED!$H528), SEED!$J528))</f>
        <v>7-4200</v>
      </c>
      <c r="D527" s="92" t="str">
        <f>IF(EXACT($B527, ""), "", IF(EXACT(SEED!$K528, ""), IF(EXACT(SEED!$I528, ""), IF(EXACT(SEED!$G528, ""), IF(EXACT(SEED!$E528, ""), IF(EXACT(SEED!$C528, ""), "", SEED!$C528), SEED!$E528), SEED!$G528), SEED!$I528), SEED!$K528))</f>
        <v>Income Tax</v>
      </c>
    </row>
    <row r="528" spans="2:4" x14ac:dyDescent="0.25">
      <c r="B528" s="94">
        <f>IF(EXACT(SEED!$BB529, ""), "", SEED!$BA529)</f>
        <v>65000000000519</v>
      </c>
      <c r="C528" s="92" t="str">
        <f>IF(EXACT($B528, ""), "", IF(EXACT(SEED!$J529, ""), IF(EXACT(SEED!$H529, ""), IF(EXACT(SEED!$F529, ""), IF(EXACT(SEED!$D529, ""), IF(EXACT(SEED!$B529, ""), "", SEED!$B529), SEED!$D529), SEED!$F529), SEED!$H529), SEED!$J529))</f>
        <v>7-4201</v>
      </c>
      <c r="D528" s="92" t="str">
        <f>IF(EXACT($B528, ""), "", IF(EXACT(SEED!$K529, ""), IF(EXACT(SEED!$I529, ""), IF(EXACT(SEED!$G529, ""), IF(EXACT(SEED!$E529, ""), IF(EXACT(SEED!$C529, ""), "", SEED!$C529), SEED!$E529), SEED!$G529), SEED!$I529), SEED!$K529))</f>
        <v>Income Tax</v>
      </c>
    </row>
    <row r="529" spans="2:4" x14ac:dyDescent="0.25">
      <c r="B529" s="94">
        <f>IF(EXACT(SEED!$BB530, ""), "", SEED!$BA530)</f>
        <v>65000000000520</v>
      </c>
      <c r="C529" s="92" t="str">
        <f>IF(EXACT($B529, ""), "", IF(EXACT(SEED!$J530, ""), IF(EXACT(SEED!$H530, ""), IF(EXACT(SEED!$F530, ""), IF(EXACT(SEED!$D530, ""), IF(EXACT(SEED!$B530, ""), "", SEED!$B530), SEED!$D530), SEED!$F530), SEED!$H530), SEED!$J530))</f>
        <v>7-4201.01</v>
      </c>
      <c r="D529" s="92" t="str">
        <f>IF(EXACT($B529, ""), "", IF(EXACT(SEED!$K530, ""), IF(EXACT(SEED!$I530, ""), IF(EXACT(SEED!$G530, ""), IF(EXACT(SEED!$E530, ""), IF(EXACT(SEED!$C530, ""), "", SEED!$C530), SEED!$E530), SEED!$G530), SEED!$I530), SEED!$K530))</f>
        <v>Income Tax (IDR)</v>
      </c>
    </row>
    <row r="530" spans="2:4" x14ac:dyDescent="0.25">
      <c r="B530" s="94">
        <f>IF(EXACT(SEED!$BB531, ""), "", SEED!$BA531)</f>
        <v>65000000000521</v>
      </c>
      <c r="C530" s="92" t="str">
        <f>IF(EXACT($B530, ""), "", IF(EXACT(SEED!$J531, ""), IF(EXACT(SEED!$H531, ""), IF(EXACT(SEED!$F531, ""), IF(EXACT(SEED!$D531, ""), IF(EXACT(SEED!$B531, ""), "", SEED!$B531), SEED!$D531), SEED!$F531), SEED!$H531), SEED!$J531))</f>
        <v>8-0000</v>
      </c>
      <c r="D530" s="92" t="str">
        <f>IF(EXACT($B530, ""), "", IF(EXACT(SEED!$K531, ""), IF(EXACT(SEED!$I531, ""), IF(EXACT(SEED!$G531, ""), IF(EXACT(SEED!$E531, ""), IF(EXACT(SEED!$C531, ""), "", SEED!$C531), SEED!$E531), SEED!$G531), SEED!$I531), SEED!$K531))</f>
        <v>Biaya Lain - Lain</v>
      </c>
    </row>
    <row r="531" spans="2:4" x14ac:dyDescent="0.25">
      <c r="B531" s="94">
        <f>IF(EXACT(SEED!$BB532, ""), "", SEED!$BA532)</f>
        <v>65000000000522</v>
      </c>
      <c r="C531" s="92" t="str">
        <f>IF(EXACT($B531, ""), "", IF(EXACT(SEED!$J532, ""), IF(EXACT(SEED!$H532, ""), IF(EXACT(SEED!$F532, ""), IF(EXACT(SEED!$D532, ""), IF(EXACT(SEED!$B532, ""), "", SEED!$B532), SEED!$D532), SEED!$F532), SEED!$H532), SEED!$J532))</f>
        <v>8-1000</v>
      </c>
      <c r="D531" s="92" t="str">
        <f>IF(EXACT($B531, ""), "", IF(EXACT(SEED!$K532, ""), IF(EXACT(SEED!$I532, ""), IF(EXACT(SEED!$G532, ""), IF(EXACT(SEED!$E532, ""), IF(EXACT(SEED!$C532, ""), "", SEED!$C532), SEED!$E532), SEED!$G532), SEED!$I532), SEED!$K532))</f>
        <v>Interest Expenses</v>
      </c>
    </row>
    <row r="532" spans="2:4" x14ac:dyDescent="0.25">
      <c r="B532" s="94">
        <f>IF(EXACT(SEED!$BB533, ""), "", SEED!$BA533)</f>
        <v>65000000000523</v>
      </c>
      <c r="C532" s="92" t="str">
        <f>IF(EXACT($B532, ""), "", IF(EXACT(SEED!$J533, ""), IF(EXACT(SEED!$H533, ""), IF(EXACT(SEED!$F533, ""), IF(EXACT(SEED!$D533, ""), IF(EXACT(SEED!$B533, ""), "", SEED!$B533), SEED!$D533), SEED!$F533), SEED!$H533), SEED!$J533))</f>
        <v>8-1001</v>
      </c>
      <c r="D532" s="92" t="str">
        <f>IF(EXACT($B532, ""), "", IF(EXACT(SEED!$K533, ""), IF(EXACT(SEED!$I533, ""), IF(EXACT(SEED!$G533, ""), IF(EXACT(SEED!$E533, ""), IF(EXACT(SEED!$C533, ""), "", SEED!$C533), SEED!$E533), SEED!$G533), SEED!$I533), SEED!$K533))</f>
        <v>Interest Expense Downer</v>
      </c>
    </row>
    <row r="533" spans="2:4" x14ac:dyDescent="0.25">
      <c r="B533" s="94">
        <f>IF(EXACT(SEED!$BB534, ""), "", SEED!$BA534)</f>
        <v>65000000000524</v>
      </c>
      <c r="C533" s="92" t="str">
        <f>IF(EXACT($B533, ""), "", IF(EXACT(SEED!$J534, ""), IF(EXACT(SEED!$H534, ""), IF(EXACT(SEED!$F534, ""), IF(EXACT(SEED!$D534, ""), IF(EXACT(SEED!$B534, ""), "", SEED!$B534), SEED!$D534), SEED!$F534), SEED!$H534), SEED!$J534))</f>
        <v>8-1001.01</v>
      </c>
      <c r="D533" s="92" t="str">
        <f>IF(EXACT($B533, ""), "", IF(EXACT(SEED!$K534, ""), IF(EXACT(SEED!$I534, ""), IF(EXACT(SEED!$G534, ""), IF(EXACT(SEED!$E534, ""), IF(EXACT(SEED!$C534, ""), "", SEED!$C534), SEED!$E534), SEED!$G534), SEED!$I534), SEED!$K534))</f>
        <v>Interest Expense Downer (IDR)</v>
      </c>
    </row>
    <row r="534" spans="2:4" x14ac:dyDescent="0.25">
      <c r="B534" s="94">
        <f>IF(EXACT(SEED!$BB535, ""), "", SEED!$BA535)</f>
        <v>65000000000525</v>
      </c>
      <c r="C534" s="92" t="str">
        <f>IF(EXACT($B534, ""), "", IF(EXACT(SEED!$J535, ""), IF(EXACT(SEED!$H535, ""), IF(EXACT(SEED!$F535, ""), IF(EXACT(SEED!$D535, ""), IF(EXACT(SEED!$B535, ""), "", SEED!$B535), SEED!$D535), SEED!$F535), SEED!$H535), SEED!$J535))</f>
        <v>8-1002</v>
      </c>
      <c r="D534" s="92" t="str">
        <f>IF(EXACT($B534, ""), "", IF(EXACT(SEED!$K535, ""), IF(EXACT(SEED!$I535, ""), IF(EXACT(SEED!$G535, ""), IF(EXACT(SEED!$E535, ""), IF(EXACT(SEED!$C535, ""), "", SEED!$C535), SEED!$E535), SEED!$G535), SEED!$I535), SEED!$K535))</f>
        <v>Interest Expense Redi</v>
      </c>
    </row>
    <row r="535" spans="2:4" x14ac:dyDescent="0.25">
      <c r="B535" s="94">
        <f>IF(EXACT(SEED!$BB536, ""), "", SEED!$BA536)</f>
        <v>65000000000526</v>
      </c>
      <c r="C535" s="92" t="str">
        <f>IF(EXACT($B535, ""), "", IF(EXACT(SEED!$J536, ""), IF(EXACT(SEED!$H536, ""), IF(EXACT(SEED!$F536, ""), IF(EXACT(SEED!$D536, ""), IF(EXACT(SEED!$B536, ""), "", SEED!$B536), SEED!$D536), SEED!$F536), SEED!$H536), SEED!$J536))</f>
        <v>8-1002.01</v>
      </c>
      <c r="D535" s="92" t="str">
        <f>IF(EXACT($B535, ""), "", IF(EXACT(SEED!$K536, ""), IF(EXACT(SEED!$I536, ""), IF(EXACT(SEED!$G536, ""), IF(EXACT(SEED!$E536, ""), IF(EXACT(SEED!$C536, ""), "", SEED!$C536), SEED!$E536), SEED!$G536), SEED!$I536), SEED!$K536))</f>
        <v>Interest Expense Redi (IDR)</v>
      </c>
    </row>
    <row r="536" spans="2:4" x14ac:dyDescent="0.25">
      <c r="B536" s="94">
        <f>IF(EXACT(SEED!$BB537, ""), "", SEED!$BA537)</f>
        <v>65000000000527</v>
      </c>
      <c r="C536" s="92" t="str">
        <f>IF(EXACT($B536, ""), "", IF(EXACT(SEED!$J537, ""), IF(EXACT(SEED!$H537, ""), IF(EXACT(SEED!$F537, ""), IF(EXACT(SEED!$D537, ""), IF(EXACT(SEED!$B537, ""), "", SEED!$B537), SEED!$D537), SEED!$F537), SEED!$H537), SEED!$J537))</f>
        <v>8-2000</v>
      </c>
      <c r="D536" s="92" t="str">
        <f>IF(EXACT($B536, ""), "", IF(EXACT(SEED!$K537, ""), IF(EXACT(SEED!$I537, ""), IF(EXACT(SEED!$G537, ""), IF(EXACT(SEED!$E537, ""), IF(EXACT(SEED!$C537, ""), "", SEED!$C537), SEED!$E537), SEED!$G537), SEED!$I537), SEED!$K537))</f>
        <v>Late Charges</v>
      </c>
    </row>
    <row r="537" spans="2:4" x14ac:dyDescent="0.25">
      <c r="B537" s="94">
        <f>IF(EXACT(SEED!$BB538, ""), "", SEED!$BA538)</f>
        <v>65000000000528</v>
      </c>
      <c r="C537" s="92" t="str">
        <f>IF(EXACT($B537, ""), "", IF(EXACT(SEED!$J538, ""), IF(EXACT(SEED!$H538, ""), IF(EXACT(SEED!$F538, ""), IF(EXACT(SEED!$D538, ""), IF(EXACT(SEED!$B538, ""), "", SEED!$B538), SEED!$D538), SEED!$F538), SEED!$H538), SEED!$J538))</f>
        <v>8-2001</v>
      </c>
      <c r="D537" s="92" t="str">
        <f>IF(EXACT($B537, ""), "", IF(EXACT(SEED!$K538, ""), IF(EXACT(SEED!$I538, ""), IF(EXACT(SEED!$G538, ""), IF(EXACT(SEED!$E538, ""), IF(EXACT(SEED!$C538, ""), "", SEED!$C538), SEED!$E538), SEED!$G538), SEED!$I538), SEED!$K538))</f>
        <v>Late Charges for Downer</v>
      </c>
    </row>
    <row r="538" spans="2:4" x14ac:dyDescent="0.25">
      <c r="B538" s="94">
        <f>IF(EXACT(SEED!$BB539, ""), "", SEED!$BA539)</f>
        <v>65000000000529</v>
      </c>
      <c r="C538" s="92" t="str">
        <f>IF(EXACT($B538, ""), "", IF(EXACT(SEED!$J539, ""), IF(EXACT(SEED!$H539, ""), IF(EXACT(SEED!$F539, ""), IF(EXACT(SEED!$D539, ""), IF(EXACT(SEED!$B539, ""), "", SEED!$B539), SEED!$D539), SEED!$F539), SEED!$H539), SEED!$J539))</f>
        <v>8-2001.01</v>
      </c>
      <c r="D538" s="92" t="str">
        <f>IF(EXACT($B538, ""), "", IF(EXACT(SEED!$K539, ""), IF(EXACT(SEED!$I539, ""), IF(EXACT(SEED!$G539, ""), IF(EXACT(SEED!$E539, ""), IF(EXACT(SEED!$C539, ""), "", SEED!$C539), SEED!$E539), SEED!$G539), SEED!$I539), SEED!$K539))</f>
        <v>Late Charges for Downer (IDR)</v>
      </c>
    </row>
    <row r="539" spans="2:4" x14ac:dyDescent="0.25">
      <c r="B539" s="94">
        <f>IF(EXACT(SEED!$BB540, ""), "", SEED!$BA540)</f>
        <v>65000000000530</v>
      </c>
      <c r="C539" s="92" t="str">
        <f>IF(EXACT($B539, ""), "", IF(EXACT(SEED!$J540, ""), IF(EXACT(SEED!$H540, ""), IF(EXACT(SEED!$F540, ""), IF(EXACT(SEED!$D540, ""), IF(EXACT(SEED!$B540, ""), "", SEED!$B540), SEED!$D540), SEED!$F540), SEED!$H540), SEED!$J540))</f>
        <v>8-2002</v>
      </c>
      <c r="D539" s="92" t="str">
        <f>IF(EXACT($B539, ""), "", IF(EXACT(SEED!$K540, ""), IF(EXACT(SEED!$I540, ""), IF(EXACT(SEED!$G540, ""), IF(EXACT(SEED!$E540, ""), IF(EXACT(SEED!$C540, ""), "", SEED!$C540), SEED!$E540), SEED!$G540), SEED!$I540), SEED!$K540))</f>
        <v>Late Charges for Redi</v>
      </c>
    </row>
    <row r="540" spans="2:4" x14ac:dyDescent="0.25">
      <c r="B540" s="94">
        <f>IF(EXACT(SEED!$BB541, ""), "", SEED!$BA541)</f>
        <v>65000000000531</v>
      </c>
      <c r="C540" s="92" t="str">
        <f>IF(EXACT($B540, ""), "", IF(EXACT(SEED!$J541, ""), IF(EXACT(SEED!$H541, ""), IF(EXACT(SEED!$F541, ""), IF(EXACT(SEED!$D541, ""), IF(EXACT(SEED!$B541, ""), "", SEED!$B541), SEED!$D541), SEED!$F541), SEED!$H541), SEED!$J541))</f>
        <v>8-2002.01</v>
      </c>
      <c r="D540" s="92" t="str">
        <f>IF(EXACT($B540, ""), "", IF(EXACT(SEED!$K541, ""), IF(EXACT(SEED!$I541, ""), IF(EXACT(SEED!$G541, ""), IF(EXACT(SEED!$E541, ""), IF(EXACT(SEED!$C541, ""), "", SEED!$C541), SEED!$E541), SEED!$G541), SEED!$I541), SEED!$K541))</f>
        <v>Late Charges for Redi (IDR)</v>
      </c>
    </row>
    <row r="541" spans="2:4" x14ac:dyDescent="0.25">
      <c r="B541" s="94">
        <f>IF(EXACT(SEED!$BB542, ""), "", SEED!$BA542)</f>
        <v>65000000000532</v>
      </c>
      <c r="C541" s="92" t="str">
        <f>IF(EXACT($B541, ""), "", IF(EXACT(SEED!$J542, ""), IF(EXACT(SEED!$H542, ""), IF(EXACT(SEED!$F542, ""), IF(EXACT(SEED!$D542, ""), IF(EXACT(SEED!$B542, ""), "", SEED!$B542), SEED!$D542), SEED!$F542), SEED!$H542), SEED!$J542))</f>
        <v>8-3000</v>
      </c>
      <c r="D541" s="92" t="str">
        <f>IF(EXACT($B541, ""), "", IF(EXACT(SEED!$K542, ""), IF(EXACT(SEED!$I542, ""), IF(EXACT(SEED!$G542, ""), IF(EXACT(SEED!$E542, ""), IF(EXACT(SEED!$C542, ""), "", SEED!$C542), SEED!$E542), SEED!$G542), SEED!$I542), SEED!$K542))</f>
        <v>Other Expenses - Other</v>
      </c>
    </row>
    <row r="542" spans="2:4" x14ac:dyDescent="0.25">
      <c r="B542" s="94">
        <f>IF(EXACT(SEED!$BB543, ""), "", SEED!$BA543)</f>
        <v>65000000000533</v>
      </c>
      <c r="C542" s="92" t="str">
        <f>IF(EXACT($B542, ""), "", IF(EXACT(SEED!$J543, ""), IF(EXACT(SEED!$H543, ""), IF(EXACT(SEED!$F543, ""), IF(EXACT(SEED!$D543, ""), IF(EXACT(SEED!$B543, ""), "", SEED!$B543), SEED!$D543), SEED!$F543), SEED!$H543), SEED!$J543))</f>
        <v>8-3001</v>
      </c>
      <c r="D542" s="92" t="str">
        <f>IF(EXACT($B542, ""), "", IF(EXACT(SEED!$K543, ""), IF(EXACT(SEED!$I543, ""), IF(EXACT(SEED!$G543, ""), IF(EXACT(SEED!$E543, ""), IF(EXACT(SEED!$C543, ""), "", SEED!$C543), SEED!$E543), SEED!$G543), SEED!$I543), SEED!$K543))</f>
        <v>Tax Expenses</v>
      </c>
    </row>
    <row r="543" spans="2:4" x14ac:dyDescent="0.25">
      <c r="B543" s="94">
        <f>IF(EXACT(SEED!$BB544, ""), "", SEED!$BA544)</f>
        <v>65000000000534</v>
      </c>
      <c r="C543" s="92" t="str">
        <f>IF(EXACT($B543, ""), "", IF(EXACT(SEED!$J544, ""), IF(EXACT(SEED!$H544, ""), IF(EXACT(SEED!$F544, ""), IF(EXACT(SEED!$D544, ""), IF(EXACT(SEED!$B544, ""), "", SEED!$B544), SEED!$D544), SEED!$F544), SEED!$H544), SEED!$J544))</f>
        <v>8-3001.01</v>
      </c>
      <c r="D543" s="92" t="str">
        <f>IF(EXACT($B543, ""), "", IF(EXACT(SEED!$K544, ""), IF(EXACT(SEED!$I544, ""), IF(EXACT(SEED!$G544, ""), IF(EXACT(SEED!$E544, ""), IF(EXACT(SEED!$C544, ""), "", SEED!$C544), SEED!$E544), SEED!$G544), SEED!$I544), SEED!$K544))</f>
        <v>Tax Expenses (IDR)</v>
      </c>
    </row>
    <row r="544" spans="2:4" x14ac:dyDescent="0.25">
      <c r="B544" s="89" t="str">
        <f>IF(EXACT(SEED!$BB545, ""), "", SEED!$BA545)</f>
        <v/>
      </c>
      <c r="C544" s="90" t="str">
        <f>IF(EXACT($B544, ""), "", IF(EXACT(SEED!$J545, ""), IF(EXACT(SEED!$H545, ""), IF(EXACT(SEED!$F545, ""), IF(EXACT(SEED!$D545, ""), IF(EXACT(SEED!$B545, ""), "", SEED!$B545), SEED!$D545), SEED!$F545), SEED!$H545), SEED!$J545))</f>
        <v/>
      </c>
      <c r="D544" s="90" t="str">
        <f>IF(EXACT($B544, ""), "", IF(EXACT(SEED!$K545, ""), IF(EXACT(SEED!$I545, ""), IF(EXACT(SEED!$G545, ""), IF(EXACT(SEED!$E545, ""), IF(EXACT(SEED!$C545, ""), "", SEED!$C545), SEED!$E545), SEED!$G545), SEED!$I545), SEED!$K545))</f>
        <v/>
      </c>
    </row>
    <row r="545" spans="2:4" x14ac:dyDescent="0.25">
      <c r="B545" s="89" t="str">
        <f>IF(EXACT(SEED!$BB546, ""), "", SEED!$BA546)</f>
        <v/>
      </c>
      <c r="C545" s="90" t="str">
        <f>IF(EXACT($B545, ""), "", IF(EXACT(SEED!$J546, ""), IF(EXACT(SEED!$H546, ""), IF(EXACT(SEED!$F546, ""), IF(EXACT(SEED!$D546, ""), IF(EXACT(SEED!$B546, ""), "", SEED!$B546), SEED!$D546), SEED!$F546), SEED!$H546), SEED!$J546))</f>
        <v/>
      </c>
      <c r="D545" s="90" t="str">
        <f>IF(EXACT($B545, ""), "", IF(EXACT(SEED!$K546, ""), IF(EXACT(SEED!$I546, ""), IF(EXACT(SEED!$G546, ""), IF(EXACT(SEED!$E546, ""), IF(EXACT(SEED!$C546, ""), "", SEED!$C546), SEED!$E546), SEED!$G546), SEED!$I546), SEED!$K546))</f>
        <v/>
      </c>
    </row>
    <row r="546" spans="2:4" x14ac:dyDescent="0.25">
      <c r="B546" s="89" t="str">
        <f>IF(EXACT(SEED!$BB547, ""), "", SEED!$BA547)</f>
        <v/>
      </c>
      <c r="C546" s="90" t="str">
        <f>IF(EXACT($B546, ""), "", IF(EXACT(SEED!$J547, ""), IF(EXACT(SEED!$H547, ""), IF(EXACT(SEED!$F547, ""), IF(EXACT(SEED!$D547, ""), IF(EXACT(SEED!$B547, ""), "", SEED!$B547), SEED!$D547), SEED!$F547), SEED!$H547), SEED!$J547))</f>
        <v/>
      </c>
      <c r="D546" s="90" t="str">
        <f>IF(EXACT($B546, ""), "", IF(EXACT(SEED!$K547, ""), IF(EXACT(SEED!$I547, ""), IF(EXACT(SEED!$G547, ""), IF(EXACT(SEED!$E547, ""), IF(EXACT(SEED!$C547, ""), "", SEED!$C547), SEED!$E547), SEED!$G547), SEED!$I547), SEED!$K547))</f>
        <v/>
      </c>
    </row>
    <row r="547" spans="2:4" x14ac:dyDescent="0.25">
      <c r="B547" s="89" t="str">
        <f>IF(EXACT(SEED!$BB548, ""), "", SEED!$BA548)</f>
        <v/>
      </c>
      <c r="C547" s="90" t="str">
        <f>IF(EXACT($B547, ""), "", IF(EXACT(SEED!$J548, ""), IF(EXACT(SEED!$H548, ""), IF(EXACT(SEED!$F548, ""), IF(EXACT(SEED!$D548, ""), IF(EXACT(SEED!$B548, ""), "", SEED!$B548), SEED!$D548), SEED!$F548), SEED!$H548), SEED!$J548))</f>
        <v/>
      </c>
      <c r="D547" s="90" t="str">
        <f>IF(EXACT($B547, ""), "", IF(EXACT(SEED!$K548, ""), IF(EXACT(SEED!$I548, ""), IF(EXACT(SEED!$G548, ""), IF(EXACT(SEED!$E548, ""), IF(EXACT(SEED!$C548, ""), "", SEED!$C548), SEED!$E548), SEED!$G548), SEED!$I548), SEED!$K548))</f>
        <v/>
      </c>
    </row>
    <row r="548" spans="2:4" x14ac:dyDescent="0.25">
      <c r="B548" s="89" t="str">
        <f>IF(EXACT(SEED!$BB549, ""), "", SEED!$BA549)</f>
        <v/>
      </c>
      <c r="C548" s="90" t="str">
        <f>IF(EXACT($B548, ""), "", IF(EXACT(SEED!$J549, ""), IF(EXACT(SEED!$H549, ""), IF(EXACT(SEED!$F549, ""), IF(EXACT(SEED!$D549, ""), IF(EXACT(SEED!$B549, ""), "", SEED!$B549), SEED!$D549), SEED!$F549), SEED!$H549), SEED!$J549))</f>
        <v/>
      </c>
      <c r="D548" s="90" t="str">
        <f>IF(EXACT($B548, ""), "", IF(EXACT(SEED!$K549, ""), IF(EXACT(SEED!$I549, ""), IF(EXACT(SEED!$G549, ""), IF(EXACT(SEED!$E549, ""), IF(EXACT(SEED!$C549, ""), "", SEED!$C549), SEED!$E549), SEED!$G549), SEED!$I549), SEED!$K549))</f>
        <v/>
      </c>
    </row>
    <row r="549" spans="2:4" x14ac:dyDescent="0.25">
      <c r="B549" s="89" t="str">
        <f>IF(EXACT(SEED!$BB550, ""), "", SEED!$BA550)</f>
        <v/>
      </c>
      <c r="C549" s="90" t="str">
        <f>IF(EXACT($B549, ""), "", IF(EXACT(SEED!$J550, ""), IF(EXACT(SEED!$H550, ""), IF(EXACT(SEED!$F550, ""), IF(EXACT(SEED!$D550, ""), IF(EXACT(SEED!$B550, ""), "", SEED!$B550), SEED!$D550), SEED!$F550), SEED!$H550), SEED!$J550))</f>
        <v/>
      </c>
      <c r="D549" s="90" t="str">
        <f>IF(EXACT($B549, ""), "", IF(EXACT(SEED!$K550, ""), IF(EXACT(SEED!$I550, ""), IF(EXACT(SEED!$G550, ""), IF(EXACT(SEED!$E550, ""), IF(EXACT(SEED!$C550, ""), "", SEED!$C550), SEED!$E550), SEED!$G550), SEED!$I550), SEED!$K550))</f>
        <v/>
      </c>
    </row>
    <row r="550" spans="2:4" x14ac:dyDescent="0.25">
      <c r="B550" s="89" t="str">
        <f>IF(EXACT(SEED!$BB551, ""), "", SEED!$BA551)</f>
        <v/>
      </c>
      <c r="C550" s="90" t="str">
        <f>IF(EXACT($B550, ""), "", IF(EXACT(SEED!$J551, ""), IF(EXACT(SEED!$H551, ""), IF(EXACT(SEED!$F551, ""), IF(EXACT(SEED!$D551, ""), IF(EXACT(SEED!$B551, ""), "", SEED!$B551), SEED!$D551), SEED!$F551), SEED!$H551), SEED!$J551))</f>
        <v/>
      </c>
      <c r="D550" s="90" t="str">
        <f>IF(EXACT($B550, ""), "", IF(EXACT(SEED!$K551, ""), IF(EXACT(SEED!$I551, ""), IF(EXACT(SEED!$G551, ""), IF(EXACT(SEED!$E551, ""), IF(EXACT(SEED!$C551, ""), "", SEED!$C551), SEED!$E551), SEED!$G551), SEED!$I551), SEED!$K551))</f>
        <v/>
      </c>
    </row>
    <row r="551" spans="2:4" x14ac:dyDescent="0.25">
      <c r="B551" s="89" t="str">
        <f>IF(EXACT(SEED!$BB552, ""), "", SEED!$BA552)</f>
        <v/>
      </c>
      <c r="C551" s="90" t="str">
        <f>IF(EXACT($B551, ""), "", IF(EXACT(SEED!$J552, ""), IF(EXACT(SEED!$H552, ""), IF(EXACT(SEED!$F552, ""), IF(EXACT(SEED!$D552, ""), IF(EXACT(SEED!$B552, ""), "", SEED!$B552), SEED!$D552), SEED!$F552), SEED!$H552), SEED!$J552))</f>
        <v/>
      </c>
      <c r="D551" s="90" t="str">
        <f>IF(EXACT($B551, ""), "", IF(EXACT(SEED!$K552, ""), IF(EXACT(SEED!$I552, ""), IF(EXACT(SEED!$G552, ""), IF(EXACT(SEED!$E552, ""), IF(EXACT(SEED!$C552, ""), "", SEED!$C552), SEED!$E552), SEED!$G552), SEED!$I552), SEED!$K552))</f>
        <v/>
      </c>
    </row>
    <row r="552" spans="2:4" x14ac:dyDescent="0.25">
      <c r="B552" s="89" t="str">
        <f>IF(EXACT(SEED!$BB553, ""), "", SEED!$BA553)</f>
        <v/>
      </c>
      <c r="C552" s="90" t="str">
        <f>IF(EXACT($B552, ""), "", IF(EXACT(SEED!$J553, ""), IF(EXACT(SEED!$H553, ""), IF(EXACT(SEED!$F553, ""), IF(EXACT(SEED!$D553, ""), IF(EXACT(SEED!$B553, ""), "", SEED!$B553), SEED!$D553), SEED!$F553), SEED!$H553), SEED!$J553))</f>
        <v/>
      </c>
      <c r="D552" s="90" t="str">
        <f>IF(EXACT($B552, ""), "", IF(EXACT(SEED!$K553, ""), IF(EXACT(SEED!$I553, ""), IF(EXACT(SEED!$G553, ""), IF(EXACT(SEED!$E553, ""), IF(EXACT(SEED!$C553, ""), "", SEED!$C553), SEED!$E553), SEED!$G553), SEED!$I553), SEED!$K553))</f>
        <v/>
      </c>
    </row>
    <row r="553" spans="2:4" x14ac:dyDescent="0.25">
      <c r="B553" s="89" t="str">
        <f>IF(EXACT(SEED!$BB554, ""), "", SEED!$BA554)</f>
        <v/>
      </c>
      <c r="C553" s="90" t="str">
        <f>IF(EXACT($B553, ""), "", IF(EXACT(SEED!$J554, ""), IF(EXACT(SEED!$H554, ""), IF(EXACT(SEED!$F554, ""), IF(EXACT(SEED!$D554, ""), IF(EXACT(SEED!$B554, ""), "", SEED!$B554), SEED!$D554), SEED!$F554), SEED!$H554), SEED!$J554))</f>
        <v/>
      </c>
      <c r="D553" s="90" t="str">
        <f>IF(EXACT($B553, ""), "", IF(EXACT(SEED!$K554, ""), IF(EXACT(SEED!$I554, ""), IF(EXACT(SEED!$G554, ""), IF(EXACT(SEED!$E554, ""), IF(EXACT(SEED!$C554, ""), "", SEED!$C554), SEED!$E554), SEED!$G554), SEED!$I554), SEED!$K554))</f>
        <v/>
      </c>
    </row>
    <row r="554" spans="2:4" x14ac:dyDescent="0.25">
      <c r="B554" s="89" t="str">
        <f>IF(EXACT(SEED!$BB555, ""), "", SEED!$BA555)</f>
        <v/>
      </c>
      <c r="C554" s="90" t="str">
        <f>IF(EXACT($B554, ""), "", IF(EXACT(SEED!$J555, ""), IF(EXACT(SEED!$H555, ""), IF(EXACT(SEED!$F555, ""), IF(EXACT(SEED!$D555, ""), IF(EXACT(SEED!$B555, ""), "", SEED!$B555), SEED!$D555), SEED!$F555), SEED!$H555), SEED!$J555))</f>
        <v/>
      </c>
      <c r="D554" s="90" t="str">
        <f>IF(EXACT($B554, ""), "", IF(EXACT(SEED!$K555, ""), IF(EXACT(SEED!$I555, ""), IF(EXACT(SEED!$G555, ""), IF(EXACT(SEED!$E555, ""), IF(EXACT(SEED!$C555, ""), "", SEED!$C555), SEED!$E555), SEED!$G555), SEED!$I555), SEED!$K555))</f>
        <v/>
      </c>
    </row>
    <row r="555" spans="2:4" x14ac:dyDescent="0.25">
      <c r="B555" s="89" t="str">
        <f>IF(EXACT(SEED!$BB556, ""), "", SEED!$BA556)</f>
        <v/>
      </c>
      <c r="C555" s="90" t="str">
        <f>IF(EXACT($B555, ""), "", IF(EXACT(SEED!$J556, ""), IF(EXACT(SEED!$H556, ""), IF(EXACT(SEED!$F556, ""), IF(EXACT(SEED!$D556, ""), IF(EXACT(SEED!$B556, ""), "", SEED!$B556), SEED!$D556), SEED!$F556), SEED!$H556), SEED!$J556))</f>
        <v/>
      </c>
      <c r="D555" s="90" t="str">
        <f>IF(EXACT($B555, ""), "", IF(EXACT(SEED!$K556, ""), IF(EXACT(SEED!$I556, ""), IF(EXACT(SEED!$G556, ""), IF(EXACT(SEED!$E556, ""), IF(EXACT(SEED!$C556, ""), "", SEED!$C556), SEED!$E556), SEED!$G556), SEED!$I556), SEED!$K556))</f>
        <v/>
      </c>
    </row>
    <row r="556" spans="2:4" x14ac:dyDescent="0.25">
      <c r="B556" s="89" t="str">
        <f>IF(EXACT(SEED!$BB557, ""), "", SEED!$BA557)</f>
        <v/>
      </c>
      <c r="C556" s="90" t="str">
        <f>IF(EXACT($B556, ""), "", IF(EXACT(SEED!$J557, ""), IF(EXACT(SEED!$H557, ""), IF(EXACT(SEED!$F557, ""), IF(EXACT(SEED!$D557, ""), IF(EXACT(SEED!$B557, ""), "", SEED!$B557), SEED!$D557), SEED!$F557), SEED!$H557), SEED!$J557))</f>
        <v/>
      </c>
      <c r="D556" s="90" t="str">
        <f>IF(EXACT($B556, ""), "", IF(EXACT(SEED!$K557, ""), IF(EXACT(SEED!$I557, ""), IF(EXACT(SEED!$G557, ""), IF(EXACT(SEED!$E557, ""), IF(EXACT(SEED!$C557, ""), "", SEED!$C557), SEED!$E557), SEED!$G557), SEED!$I557), SEED!$K557))</f>
        <v/>
      </c>
    </row>
    <row r="557" spans="2:4" x14ac:dyDescent="0.25">
      <c r="B557" s="89" t="str">
        <f>IF(EXACT(SEED!$BB558, ""), "", SEED!$BA558)</f>
        <v/>
      </c>
      <c r="C557" s="90" t="str">
        <f>IF(EXACT($B557, ""), "", IF(EXACT(SEED!$J558, ""), IF(EXACT(SEED!$H558, ""), IF(EXACT(SEED!$F558, ""), IF(EXACT(SEED!$D558, ""), IF(EXACT(SEED!$B558, ""), "", SEED!$B558), SEED!$D558), SEED!$F558), SEED!$H558), SEED!$J558))</f>
        <v/>
      </c>
      <c r="D557" s="90" t="str">
        <f>IF(EXACT($B557, ""), "", IF(EXACT(SEED!$K558, ""), IF(EXACT(SEED!$I558, ""), IF(EXACT(SEED!$G558, ""), IF(EXACT(SEED!$E558, ""), IF(EXACT(SEED!$C558, ""), "", SEED!$C558), SEED!$E558), SEED!$G558), SEED!$I558), SEED!$K558))</f>
        <v/>
      </c>
    </row>
    <row r="558" spans="2:4" x14ac:dyDescent="0.25">
      <c r="B558" s="89" t="str">
        <f>IF(EXACT(SEED!$BB559, ""), "", SEED!$BA559)</f>
        <v/>
      </c>
      <c r="C558" s="90" t="str">
        <f>IF(EXACT($B558, ""), "", IF(EXACT(SEED!$J559, ""), IF(EXACT(SEED!$H559, ""), IF(EXACT(SEED!$F559, ""), IF(EXACT(SEED!$D559, ""), IF(EXACT(SEED!$B559, ""), "", SEED!$B559), SEED!$D559), SEED!$F559), SEED!$H559), SEED!$J559))</f>
        <v/>
      </c>
      <c r="D558" s="90" t="str">
        <f>IF(EXACT($B558, ""), "", IF(EXACT(SEED!$K559, ""), IF(EXACT(SEED!$I559, ""), IF(EXACT(SEED!$G559, ""), IF(EXACT(SEED!$E559, ""), IF(EXACT(SEED!$C559, ""), "", SEED!$C559), SEED!$E559), SEED!$G559), SEED!$I559), SEED!$K559))</f>
        <v/>
      </c>
    </row>
    <row r="559" spans="2:4" x14ac:dyDescent="0.25">
      <c r="B559" s="89" t="str">
        <f>IF(EXACT(SEED!$BB560, ""), "", SEED!$BA560)</f>
        <v/>
      </c>
      <c r="C559" s="90" t="str">
        <f>IF(EXACT($B559, ""), "", IF(EXACT(SEED!$J560, ""), IF(EXACT(SEED!$H560, ""), IF(EXACT(SEED!$F560, ""), IF(EXACT(SEED!$D560, ""), IF(EXACT(SEED!$B560, ""), "", SEED!$B560), SEED!$D560), SEED!$F560), SEED!$H560), SEED!$J560))</f>
        <v/>
      </c>
      <c r="D559" s="90" t="str">
        <f>IF(EXACT($B559, ""), "", IF(EXACT(SEED!$K560, ""), IF(EXACT(SEED!$I560, ""), IF(EXACT(SEED!$G560, ""), IF(EXACT(SEED!$E560, ""), IF(EXACT(SEED!$C560, ""), "", SEED!$C560), SEED!$E560), SEED!$G560), SEED!$I560), SEED!$K560))</f>
        <v/>
      </c>
    </row>
    <row r="560" spans="2:4" x14ac:dyDescent="0.25">
      <c r="B560" s="89" t="str">
        <f>IF(EXACT(SEED!$BB561, ""), "", SEED!$BA561)</f>
        <v/>
      </c>
      <c r="C560" s="90" t="str">
        <f>IF(EXACT($B560, ""), "", IF(EXACT(SEED!$J561, ""), IF(EXACT(SEED!$H561, ""), IF(EXACT(SEED!$F561, ""), IF(EXACT(SEED!$D561, ""), IF(EXACT(SEED!$B561, ""), "", SEED!$B561), SEED!$D561), SEED!$F561), SEED!$H561), SEED!$J561))</f>
        <v/>
      </c>
      <c r="D560" s="90" t="str">
        <f>IF(EXACT($B560, ""), "", IF(EXACT(SEED!$K561, ""), IF(EXACT(SEED!$I561, ""), IF(EXACT(SEED!$G561, ""), IF(EXACT(SEED!$E561, ""), IF(EXACT(SEED!$C561, ""), "", SEED!$C561), SEED!$E561), SEED!$G561), SEED!$I561), SEED!$K561))</f>
        <v/>
      </c>
    </row>
    <row r="561" spans="2:4" x14ac:dyDescent="0.25">
      <c r="B561" s="89" t="str">
        <f>IF(EXACT(SEED!$BB562, ""), "", SEED!$BA562)</f>
        <v/>
      </c>
      <c r="C561" s="90" t="str">
        <f>IF(EXACT($B561, ""), "", IF(EXACT(SEED!$J562, ""), IF(EXACT(SEED!$H562, ""), IF(EXACT(SEED!$F562, ""), IF(EXACT(SEED!$D562, ""), IF(EXACT(SEED!$B562, ""), "", SEED!$B562), SEED!$D562), SEED!$F562), SEED!$H562), SEED!$J562))</f>
        <v/>
      </c>
      <c r="D561" s="90" t="str">
        <f>IF(EXACT($B561, ""), "", IF(EXACT(SEED!$K562, ""), IF(EXACT(SEED!$I562, ""), IF(EXACT(SEED!$G562, ""), IF(EXACT(SEED!$E562, ""), IF(EXACT(SEED!$C562, ""), "", SEED!$C562), SEED!$E562), SEED!$G562), SEED!$I562), SEED!$K562))</f>
        <v/>
      </c>
    </row>
    <row r="562" spans="2:4" x14ac:dyDescent="0.25">
      <c r="B562" s="89" t="str">
        <f>IF(EXACT(SEED!$BB563, ""), "", SEED!$BA563)</f>
        <v/>
      </c>
      <c r="C562" s="90" t="str">
        <f>IF(EXACT($B562, ""), "", IF(EXACT(SEED!$J563, ""), IF(EXACT(SEED!$H563, ""), IF(EXACT(SEED!$F563, ""), IF(EXACT(SEED!$D563, ""), IF(EXACT(SEED!$B563, ""), "", SEED!$B563), SEED!$D563), SEED!$F563), SEED!$H563), SEED!$J563))</f>
        <v/>
      </c>
      <c r="D562" s="90" t="str">
        <f>IF(EXACT($B562, ""), "", IF(EXACT(SEED!$K563, ""), IF(EXACT(SEED!$I563, ""), IF(EXACT(SEED!$G563, ""), IF(EXACT(SEED!$E563, ""), IF(EXACT(SEED!$C563, ""), "", SEED!$C563), SEED!$E563), SEED!$G563), SEED!$I563), SEED!$K563))</f>
        <v/>
      </c>
    </row>
    <row r="563" spans="2:4" x14ac:dyDescent="0.25">
      <c r="B563" s="89" t="str">
        <f>IF(EXACT(SEED!$BB564, ""), "", SEED!$BA564)</f>
        <v/>
      </c>
      <c r="C563" s="90" t="str">
        <f>IF(EXACT($B563, ""), "", IF(EXACT(SEED!$J564, ""), IF(EXACT(SEED!$H564, ""), IF(EXACT(SEED!$F564, ""), IF(EXACT(SEED!$D564, ""), IF(EXACT(SEED!$B564, ""), "", SEED!$B564), SEED!$D564), SEED!$F564), SEED!$H564), SEED!$J564))</f>
        <v/>
      </c>
      <c r="D563" s="90" t="str">
        <f>IF(EXACT($B563, ""), "", IF(EXACT(SEED!$K564, ""), IF(EXACT(SEED!$I564, ""), IF(EXACT(SEED!$G564, ""), IF(EXACT(SEED!$E564, ""), IF(EXACT(SEED!$C564, ""), "", SEED!$C564), SEED!$E564), SEED!$G564), SEED!$I564), SEED!$K564))</f>
        <v/>
      </c>
    </row>
    <row r="564" spans="2:4" x14ac:dyDescent="0.25">
      <c r="B564" s="89" t="str">
        <f>IF(EXACT(SEED!$BB565, ""), "", SEED!$BA565)</f>
        <v/>
      </c>
      <c r="C564" s="90" t="str">
        <f>IF(EXACT($B564, ""), "", IF(EXACT(SEED!$J565, ""), IF(EXACT(SEED!$H565, ""), IF(EXACT(SEED!$F565, ""), IF(EXACT(SEED!$D565, ""), IF(EXACT(SEED!$B565, ""), "", SEED!$B565), SEED!$D565), SEED!$F565), SEED!$H565), SEED!$J565))</f>
        <v/>
      </c>
      <c r="D564" s="90" t="str">
        <f>IF(EXACT($B564, ""), "", IF(EXACT(SEED!$K565, ""), IF(EXACT(SEED!$I565, ""), IF(EXACT(SEED!$G565, ""), IF(EXACT(SEED!$E565, ""), IF(EXACT(SEED!$C565, ""), "", SEED!$C565), SEED!$E565), SEED!$G565), SEED!$I565), SEED!$K565))</f>
        <v/>
      </c>
    </row>
    <row r="565" spans="2:4" x14ac:dyDescent="0.25">
      <c r="B565" s="89" t="str">
        <f>IF(EXACT(SEED!$BB566, ""), "", SEED!$BA566)</f>
        <v/>
      </c>
      <c r="C565" s="90" t="str">
        <f>IF(EXACT($B565, ""), "", IF(EXACT(SEED!$J566, ""), IF(EXACT(SEED!$H566, ""), IF(EXACT(SEED!$F566, ""), IF(EXACT(SEED!$D566, ""), IF(EXACT(SEED!$B566, ""), "", SEED!$B566), SEED!$D566), SEED!$F566), SEED!$H566), SEED!$J566))</f>
        <v/>
      </c>
      <c r="D565" s="90" t="str">
        <f>IF(EXACT($B565, ""), "", IF(EXACT(SEED!$K566, ""), IF(EXACT(SEED!$I566, ""), IF(EXACT(SEED!$G566, ""), IF(EXACT(SEED!$E566, ""), IF(EXACT(SEED!$C566, ""), "", SEED!$C566), SEED!$E566), SEED!$G566), SEED!$I566), SEED!$K566))</f>
        <v/>
      </c>
    </row>
    <row r="566" spans="2:4" x14ac:dyDescent="0.25">
      <c r="B566" s="89" t="str">
        <f>IF(EXACT(SEED!$BB567, ""), "", SEED!$BA567)</f>
        <v/>
      </c>
      <c r="C566" s="90" t="str">
        <f>IF(EXACT($B566, ""), "", IF(EXACT(SEED!$J567, ""), IF(EXACT(SEED!$H567, ""), IF(EXACT(SEED!$F567, ""), IF(EXACT(SEED!$D567, ""), IF(EXACT(SEED!$B567, ""), "", SEED!$B567), SEED!$D567), SEED!$F567), SEED!$H567), SEED!$J567))</f>
        <v/>
      </c>
      <c r="D566" s="90" t="str">
        <f>IF(EXACT($B566, ""), "", IF(EXACT(SEED!$K567, ""), IF(EXACT(SEED!$I567, ""), IF(EXACT(SEED!$G567, ""), IF(EXACT(SEED!$E567, ""), IF(EXACT(SEED!$C567, ""), "", SEED!$C567), SEED!$E567), SEED!$G567), SEED!$I567), SEED!$K567))</f>
        <v/>
      </c>
    </row>
    <row r="567" spans="2:4" x14ac:dyDescent="0.25">
      <c r="B567" s="89" t="str">
        <f>IF(EXACT(SEED!$BB568, ""), "", SEED!$BA568)</f>
        <v/>
      </c>
      <c r="C567" s="90" t="str">
        <f>IF(EXACT($B567, ""), "", IF(EXACT(SEED!$J568, ""), IF(EXACT(SEED!$H568, ""), IF(EXACT(SEED!$F568, ""), IF(EXACT(SEED!$D568, ""), IF(EXACT(SEED!$B568, ""), "", SEED!$B568), SEED!$D568), SEED!$F568), SEED!$H568), SEED!$J568))</f>
        <v/>
      </c>
      <c r="D567" s="90" t="str">
        <f>IF(EXACT($B567, ""), "", IF(EXACT(SEED!$K568, ""), IF(EXACT(SEED!$I568, ""), IF(EXACT(SEED!$G568, ""), IF(EXACT(SEED!$E568, ""), IF(EXACT(SEED!$C568, ""), "", SEED!$C568), SEED!$E568), SEED!$G568), SEED!$I568), SEED!$K568))</f>
        <v/>
      </c>
    </row>
    <row r="568" spans="2:4" x14ac:dyDescent="0.25">
      <c r="B568" s="89" t="str">
        <f>IF(EXACT(SEED!$BB569, ""), "", SEED!$BA569)</f>
        <v/>
      </c>
      <c r="C568" s="90" t="str">
        <f>IF(EXACT($B568, ""), "", IF(EXACT(SEED!$J569, ""), IF(EXACT(SEED!$H569, ""), IF(EXACT(SEED!$F569, ""), IF(EXACT(SEED!$D569, ""), IF(EXACT(SEED!$B569, ""), "", SEED!$B569), SEED!$D569), SEED!$F569), SEED!$H569), SEED!$J569))</f>
        <v/>
      </c>
      <c r="D568" s="90" t="str">
        <f>IF(EXACT($B568, ""), "", IF(EXACT(SEED!$K569, ""), IF(EXACT(SEED!$I569, ""), IF(EXACT(SEED!$G569, ""), IF(EXACT(SEED!$E569, ""), IF(EXACT(SEED!$C569, ""), "", SEED!$C569), SEED!$E569), SEED!$G569), SEED!$I569), SEED!$K569))</f>
        <v/>
      </c>
    </row>
    <row r="569" spans="2:4" x14ac:dyDescent="0.25">
      <c r="B569" s="89" t="str">
        <f>IF(EXACT(SEED!$BB570, ""), "", SEED!$BA570)</f>
        <v/>
      </c>
      <c r="C569" s="90" t="str">
        <f>IF(EXACT($B569, ""), "", IF(EXACT(SEED!$J570, ""), IF(EXACT(SEED!$H570, ""), IF(EXACT(SEED!$F570, ""), IF(EXACT(SEED!$D570, ""), IF(EXACT(SEED!$B570, ""), "", SEED!$B570), SEED!$D570), SEED!$F570), SEED!$H570), SEED!$J570))</f>
        <v/>
      </c>
      <c r="D569" s="90" t="str">
        <f>IF(EXACT($B569, ""), "", IF(EXACT(SEED!$K570, ""), IF(EXACT(SEED!$I570, ""), IF(EXACT(SEED!$G570, ""), IF(EXACT(SEED!$E570, ""), IF(EXACT(SEED!$C570, ""), "", SEED!$C570), SEED!$E570), SEED!$G570), SEED!$I570), SEED!$K570))</f>
        <v/>
      </c>
    </row>
    <row r="570" spans="2:4" x14ac:dyDescent="0.25">
      <c r="B570" s="89" t="str">
        <f>IF(EXACT(SEED!$BB571, ""), "", SEED!$BA571)</f>
        <v/>
      </c>
      <c r="C570" s="90" t="str">
        <f>IF(EXACT($B570, ""), "", IF(EXACT(SEED!$J571, ""), IF(EXACT(SEED!$H571, ""), IF(EXACT(SEED!$F571, ""), IF(EXACT(SEED!$D571, ""), IF(EXACT(SEED!$B571, ""), "", SEED!$B571), SEED!$D571), SEED!$F571), SEED!$H571), SEED!$J571))</f>
        <v/>
      </c>
      <c r="D570" s="90" t="str">
        <f>IF(EXACT($B570, ""), "", IF(EXACT(SEED!$K571, ""), IF(EXACT(SEED!$I571, ""), IF(EXACT(SEED!$G571, ""), IF(EXACT(SEED!$E571, ""), IF(EXACT(SEED!$C571, ""), "", SEED!$C571), SEED!$E571), SEED!$G571), SEED!$I571), SEED!$K571))</f>
        <v/>
      </c>
    </row>
    <row r="571" spans="2:4" x14ac:dyDescent="0.25">
      <c r="B571" s="89" t="str">
        <f>IF(EXACT(SEED!$BB572, ""), "", SEED!$BA572)</f>
        <v/>
      </c>
      <c r="C571" s="90" t="str">
        <f>IF(EXACT($B571, ""), "", IF(EXACT(SEED!$J572, ""), IF(EXACT(SEED!$H572, ""), IF(EXACT(SEED!$F572, ""), IF(EXACT(SEED!$D572, ""), IF(EXACT(SEED!$B572, ""), "", SEED!$B572), SEED!$D572), SEED!$F572), SEED!$H572), SEED!$J572))</f>
        <v/>
      </c>
      <c r="D571" s="90" t="str">
        <f>IF(EXACT($B571, ""), "", IF(EXACT(SEED!$K572, ""), IF(EXACT(SEED!$I572, ""), IF(EXACT(SEED!$G572, ""), IF(EXACT(SEED!$E572, ""), IF(EXACT(SEED!$C572, ""), "", SEED!$C572), SEED!$E572), SEED!$G572), SEED!$I572), SEED!$K572))</f>
        <v/>
      </c>
    </row>
    <row r="572" spans="2:4" x14ac:dyDescent="0.25">
      <c r="B572" s="89" t="str">
        <f>IF(EXACT(SEED!$BB573, ""), "", SEED!$BA573)</f>
        <v/>
      </c>
      <c r="C572" s="90" t="str">
        <f>IF(EXACT($B572, ""), "", IF(EXACT(SEED!$J573, ""), IF(EXACT(SEED!$H573, ""), IF(EXACT(SEED!$F573, ""), IF(EXACT(SEED!$D573, ""), IF(EXACT(SEED!$B573, ""), "", SEED!$B573), SEED!$D573), SEED!$F573), SEED!$H573), SEED!$J573))</f>
        <v/>
      </c>
      <c r="D572" s="90" t="str">
        <f>IF(EXACT($B572, ""), "", IF(EXACT(SEED!$K573, ""), IF(EXACT(SEED!$I573, ""), IF(EXACT(SEED!$G573, ""), IF(EXACT(SEED!$E573, ""), IF(EXACT(SEED!$C573, ""), "", SEED!$C573), SEED!$E573), SEED!$G573), SEED!$I573), SEED!$K573))</f>
        <v/>
      </c>
    </row>
    <row r="573" spans="2:4" x14ac:dyDescent="0.25">
      <c r="B573" s="89" t="str">
        <f>IF(EXACT(SEED!$BB574, ""), "", SEED!$BA574)</f>
        <v/>
      </c>
      <c r="C573" s="90" t="str">
        <f>IF(EXACT($B573, ""), "", IF(EXACT(SEED!$J574, ""), IF(EXACT(SEED!$H574, ""), IF(EXACT(SEED!$F574, ""), IF(EXACT(SEED!$D574, ""), IF(EXACT(SEED!$B574, ""), "", SEED!$B574), SEED!$D574), SEED!$F574), SEED!$H574), SEED!$J574))</f>
        <v/>
      </c>
      <c r="D573" s="90" t="str">
        <f>IF(EXACT($B573, ""), "", IF(EXACT(SEED!$K574, ""), IF(EXACT(SEED!$I574, ""), IF(EXACT(SEED!$G574, ""), IF(EXACT(SEED!$E574, ""), IF(EXACT(SEED!$C574, ""), "", SEED!$C574), SEED!$E574), SEED!$G574), SEED!$I574), SEED!$K574))</f>
        <v/>
      </c>
    </row>
    <row r="574" spans="2:4" x14ac:dyDescent="0.25">
      <c r="B574" s="89" t="str">
        <f>IF(EXACT(SEED!$BB575, ""), "", SEED!$BA575)</f>
        <v/>
      </c>
      <c r="C574" s="90" t="str">
        <f>IF(EXACT($B574, ""), "", IF(EXACT(SEED!$J575, ""), IF(EXACT(SEED!$H575, ""), IF(EXACT(SEED!$F575, ""), IF(EXACT(SEED!$D575, ""), IF(EXACT(SEED!$B575, ""), "", SEED!$B575), SEED!$D575), SEED!$F575), SEED!$H575), SEED!$J575))</f>
        <v/>
      </c>
      <c r="D574" s="90" t="str">
        <f>IF(EXACT($B574, ""), "", IF(EXACT(SEED!$K575, ""), IF(EXACT(SEED!$I575, ""), IF(EXACT(SEED!$G575, ""), IF(EXACT(SEED!$E575, ""), IF(EXACT(SEED!$C575, ""), "", SEED!$C575), SEED!$E575), SEED!$G575), SEED!$I575), SEED!$K575))</f>
        <v/>
      </c>
    </row>
    <row r="575" spans="2:4" x14ac:dyDescent="0.25">
      <c r="B575" s="89" t="str">
        <f>IF(EXACT(SEED!$BB576, ""), "", SEED!$BA576)</f>
        <v/>
      </c>
      <c r="C575" s="90" t="str">
        <f>IF(EXACT($B575, ""), "", IF(EXACT(SEED!$J576, ""), IF(EXACT(SEED!$H576, ""), IF(EXACT(SEED!$F576, ""), IF(EXACT(SEED!$D576, ""), IF(EXACT(SEED!$B576, ""), "", SEED!$B576), SEED!$D576), SEED!$F576), SEED!$H576), SEED!$J576))</f>
        <v/>
      </c>
      <c r="D575" s="90" t="str">
        <f>IF(EXACT($B575, ""), "", IF(EXACT(SEED!$K576, ""), IF(EXACT(SEED!$I576, ""), IF(EXACT(SEED!$G576, ""), IF(EXACT(SEED!$E576, ""), IF(EXACT(SEED!$C576, ""), "", SEED!$C576), SEED!$E576), SEED!$G576), SEED!$I576), SEED!$K576))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B2:M276"/>
  <sheetViews>
    <sheetView zoomScaleNormal="100" workbookViewId="0">
      <pane ySplit="3" topLeftCell="A28" activePane="bottomLeft" state="frozen"/>
      <selection pane="bottomLeft" activeCell="G82" sqref="G82"/>
    </sheetView>
  </sheetViews>
  <sheetFormatPr defaultRowHeight="12.75" x14ac:dyDescent="0.25"/>
  <cols>
    <col min="1" max="1" width="4.28515625" style="14" customWidth="1"/>
    <col min="2" max="2" width="10.140625" style="14" bestFit="1" customWidth="1"/>
    <col min="3" max="3" width="15.5703125" style="14" bestFit="1" customWidth="1"/>
    <col min="4" max="4" width="5.85546875" style="14" bestFit="1" customWidth="1"/>
    <col min="5" max="5" width="14.7109375" style="14" customWidth="1"/>
    <col min="6" max="6" width="5.85546875" style="14" bestFit="1" customWidth="1"/>
    <col min="7" max="7" width="17.140625" style="14" customWidth="1"/>
    <col min="8" max="8" width="5.85546875" style="14" bestFit="1" customWidth="1"/>
    <col min="9" max="9" width="17.7109375" style="14" customWidth="1"/>
    <col min="10" max="10" width="8" style="14" bestFit="1" customWidth="1"/>
    <col min="11" max="11" width="19.7109375" style="14" customWidth="1"/>
    <col min="12" max="12" width="10.140625" style="14" bestFit="1" customWidth="1"/>
    <col min="13" max="13" width="21.28515625" style="14" bestFit="1" customWidth="1"/>
    <col min="14" max="16384" width="9.140625" style="14"/>
  </cols>
  <sheetData>
    <row r="2" spans="2:13" x14ac:dyDescent="0.25">
      <c r="B2" s="99" t="s">
        <v>3</v>
      </c>
      <c r="C2" s="99"/>
      <c r="D2" s="99" t="s">
        <v>4</v>
      </c>
      <c r="E2" s="99"/>
      <c r="F2" s="99" t="s">
        <v>742</v>
      </c>
      <c r="G2" s="99"/>
      <c r="H2" s="99" t="s">
        <v>743</v>
      </c>
      <c r="I2" s="99"/>
      <c r="J2" s="99" t="s">
        <v>744</v>
      </c>
      <c r="K2" s="99"/>
      <c r="L2" s="99" t="s">
        <v>745</v>
      </c>
      <c r="M2" s="99"/>
    </row>
    <row r="3" spans="2:13" x14ac:dyDescent="0.25">
      <c r="B3" s="15" t="s">
        <v>1</v>
      </c>
      <c r="C3" s="15" t="s">
        <v>746</v>
      </c>
      <c r="D3" s="15" t="s">
        <v>1</v>
      </c>
      <c r="E3" s="15" t="s">
        <v>746</v>
      </c>
      <c r="F3" s="15" t="s">
        <v>1</v>
      </c>
      <c r="G3" s="15" t="s">
        <v>746</v>
      </c>
      <c r="H3" s="15" t="s">
        <v>1</v>
      </c>
      <c r="I3" s="15" t="s">
        <v>746</v>
      </c>
      <c r="J3" s="15" t="s">
        <v>1</v>
      </c>
      <c r="K3" s="15" t="s">
        <v>746</v>
      </c>
      <c r="L3" s="15" t="s">
        <v>1</v>
      </c>
      <c r="M3" s="15" t="s">
        <v>746</v>
      </c>
    </row>
    <row r="4" spans="2:13" x14ac:dyDescent="0.25">
      <c r="B4" s="16" t="s">
        <v>7</v>
      </c>
      <c r="C4" s="17" t="s">
        <v>707</v>
      </c>
      <c r="D4" s="18" t="s">
        <v>9</v>
      </c>
      <c r="E4" s="18" t="s">
        <v>719</v>
      </c>
      <c r="F4" s="18" t="s">
        <v>11</v>
      </c>
      <c r="G4" s="18" t="s">
        <v>10</v>
      </c>
      <c r="H4" s="18" t="s">
        <v>13</v>
      </c>
      <c r="I4" s="18" t="s">
        <v>12</v>
      </c>
      <c r="J4" s="18" t="s">
        <v>734</v>
      </c>
      <c r="K4" s="18" t="s">
        <v>735</v>
      </c>
      <c r="L4" s="18" t="s">
        <v>736</v>
      </c>
      <c r="M4" s="18" t="s">
        <v>737</v>
      </c>
    </row>
    <row r="5" spans="2:13" x14ac:dyDescent="0.25">
      <c r="B5" s="18"/>
      <c r="C5" s="18"/>
      <c r="D5" s="18"/>
      <c r="E5" s="18"/>
      <c r="F5" s="18"/>
      <c r="G5" s="18"/>
      <c r="H5" s="18"/>
      <c r="I5" s="18"/>
      <c r="J5" s="18"/>
      <c r="K5" s="18"/>
      <c r="L5" s="18" t="s">
        <v>738</v>
      </c>
      <c r="M5" s="18" t="s">
        <v>739</v>
      </c>
    </row>
    <row r="6" spans="2:13" x14ac:dyDescent="0.25">
      <c r="B6" s="18"/>
      <c r="C6" s="18"/>
      <c r="D6" s="18"/>
      <c r="E6" s="18"/>
      <c r="F6" s="18"/>
      <c r="G6" s="18"/>
      <c r="H6" s="24"/>
      <c r="I6" s="24"/>
      <c r="J6" s="24"/>
      <c r="K6" s="24"/>
      <c r="L6" s="24" t="s">
        <v>740</v>
      </c>
      <c r="M6" s="24" t="s">
        <v>741</v>
      </c>
    </row>
    <row r="7" spans="2:13" x14ac:dyDescent="0.25">
      <c r="B7" s="18"/>
      <c r="C7" s="18"/>
      <c r="D7" s="18"/>
      <c r="E7" s="18"/>
      <c r="F7" s="18"/>
      <c r="G7" s="18"/>
      <c r="H7" s="18" t="s">
        <v>15</v>
      </c>
      <c r="I7" s="18" t="s">
        <v>676</v>
      </c>
      <c r="J7" s="18" t="s">
        <v>720</v>
      </c>
      <c r="K7" s="18" t="s">
        <v>682</v>
      </c>
      <c r="L7" s="18" t="s">
        <v>723</v>
      </c>
      <c r="M7" s="18" t="s">
        <v>722</v>
      </c>
    </row>
    <row r="8" spans="2:13" x14ac:dyDescent="0.25">
      <c r="B8" s="18"/>
      <c r="C8" s="18"/>
      <c r="D8" s="18"/>
      <c r="E8" s="18"/>
      <c r="F8" s="18"/>
      <c r="G8" s="18"/>
      <c r="H8" s="18"/>
      <c r="I8" s="18"/>
      <c r="J8" s="18"/>
      <c r="K8" s="18"/>
      <c r="L8" s="18" t="s">
        <v>724</v>
      </c>
      <c r="M8" s="18" t="s">
        <v>725</v>
      </c>
    </row>
    <row r="9" spans="2:13" x14ac:dyDescent="0.25">
      <c r="B9" s="18"/>
      <c r="C9" s="18"/>
      <c r="D9" s="18"/>
      <c r="E9" s="18"/>
      <c r="F9" s="18"/>
      <c r="G9" s="18"/>
      <c r="H9" s="18"/>
      <c r="I9" s="18"/>
      <c r="J9" s="18"/>
      <c r="K9" s="18"/>
      <c r="L9" s="18" t="s">
        <v>728</v>
      </c>
      <c r="M9" s="18" t="s">
        <v>727</v>
      </c>
    </row>
    <row r="10" spans="2:13" x14ac:dyDescent="0.25"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24" t="s">
        <v>730</v>
      </c>
      <c r="M10" s="24" t="s">
        <v>729</v>
      </c>
    </row>
    <row r="11" spans="2:13" x14ac:dyDescent="0.25">
      <c r="B11" s="18"/>
      <c r="C11" s="18"/>
      <c r="D11" s="18"/>
      <c r="E11" s="18"/>
      <c r="F11" s="18"/>
      <c r="G11" s="18"/>
      <c r="H11" s="18"/>
      <c r="I11" s="18"/>
      <c r="J11" s="18" t="s">
        <v>721</v>
      </c>
      <c r="K11" s="18" t="s">
        <v>683</v>
      </c>
      <c r="L11" s="18" t="s">
        <v>726</v>
      </c>
      <c r="M11" s="18" t="s">
        <v>733</v>
      </c>
    </row>
    <row r="12" spans="2:13" x14ac:dyDescent="0.25">
      <c r="B12" s="18"/>
      <c r="C12" s="18"/>
      <c r="D12" s="18"/>
      <c r="E12" s="18"/>
      <c r="F12" s="24"/>
      <c r="G12" s="24"/>
      <c r="H12" s="24"/>
      <c r="I12" s="24"/>
      <c r="J12" s="24"/>
      <c r="K12" s="24"/>
      <c r="L12" s="24" t="s">
        <v>732</v>
      </c>
      <c r="M12" s="24" t="s">
        <v>731</v>
      </c>
    </row>
    <row r="13" spans="2:13" x14ac:dyDescent="0.25">
      <c r="B13" s="18"/>
      <c r="C13" s="18"/>
      <c r="D13" s="18"/>
      <c r="E13" s="18"/>
      <c r="F13" s="18" t="s">
        <v>39</v>
      </c>
      <c r="G13" s="18" t="s">
        <v>102</v>
      </c>
      <c r="H13" s="17" t="s">
        <v>41</v>
      </c>
      <c r="I13" s="17" t="s">
        <v>747</v>
      </c>
      <c r="J13" s="25" t="s">
        <v>748</v>
      </c>
      <c r="K13" s="25" t="s">
        <v>696</v>
      </c>
      <c r="L13" s="25"/>
      <c r="M13" s="25"/>
    </row>
    <row r="14" spans="2:13" x14ac:dyDescent="0.25">
      <c r="B14" s="18"/>
      <c r="C14" s="18"/>
      <c r="D14" s="18"/>
      <c r="E14" s="18"/>
      <c r="F14" s="18"/>
      <c r="G14" s="18"/>
      <c r="H14" s="24"/>
      <c r="I14" s="24"/>
      <c r="J14" s="24" t="s">
        <v>749</v>
      </c>
      <c r="K14" s="24" t="s">
        <v>697</v>
      </c>
      <c r="L14" s="24"/>
      <c r="M14" s="24"/>
    </row>
    <row r="15" spans="2:13" ht="25.5" x14ac:dyDescent="0.25">
      <c r="B15" s="18"/>
      <c r="C15" s="18"/>
      <c r="D15" s="18"/>
      <c r="E15" s="18"/>
      <c r="F15" s="18"/>
      <c r="G15" s="18"/>
      <c r="H15" s="17" t="s">
        <v>750</v>
      </c>
      <c r="I15" s="17" t="s">
        <v>751</v>
      </c>
      <c r="J15" s="25" t="s">
        <v>752</v>
      </c>
      <c r="K15" s="25" t="s">
        <v>754</v>
      </c>
      <c r="L15" s="25"/>
      <c r="M15" s="25"/>
    </row>
    <row r="16" spans="2:13" ht="25.5" x14ac:dyDescent="0.25">
      <c r="B16" s="18"/>
      <c r="C16" s="18"/>
      <c r="D16" s="18"/>
      <c r="E16" s="18"/>
      <c r="F16" s="18"/>
      <c r="G16" s="18"/>
      <c r="H16" s="24"/>
      <c r="I16" s="24"/>
      <c r="J16" s="24" t="s">
        <v>753</v>
      </c>
      <c r="K16" s="24" t="s">
        <v>755</v>
      </c>
      <c r="L16" s="24"/>
      <c r="M16" s="24"/>
    </row>
    <row r="17" spans="2:13" x14ac:dyDescent="0.25">
      <c r="B17" s="18"/>
      <c r="C17" s="18"/>
      <c r="D17" s="18"/>
      <c r="E17" s="18"/>
      <c r="F17" s="18"/>
      <c r="G17" s="18"/>
      <c r="H17" s="25" t="s">
        <v>43</v>
      </c>
      <c r="I17" s="25" t="s">
        <v>756</v>
      </c>
      <c r="J17" s="25" t="s">
        <v>757</v>
      </c>
      <c r="K17" s="25" t="s">
        <v>758</v>
      </c>
      <c r="L17" s="25"/>
      <c r="M17" s="25"/>
    </row>
    <row r="18" spans="2:13" ht="25.5" x14ac:dyDescent="0.25">
      <c r="B18" s="18"/>
      <c r="C18" s="18"/>
      <c r="D18" s="18"/>
      <c r="E18" s="18"/>
      <c r="F18" s="18"/>
      <c r="G18" s="18"/>
      <c r="H18" s="17" t="s">
        <v>759</v>
      </c>
      <c r="I18" s="17" t="s">
        <v>760</v>
      </c>
      <c r="J18" s="17" t="s">
        <v>761</v>
      </c>
      <c r="K18" s="17" t="s">
        <v>762</v>
      </c>
      <c r="L18" s="25" t="s">
        <v>763</v>
      </c>
      <c r="M18" s="25" t="s">
        <v>764</v>
      </c>
    </row>
    <row r="19" spans="2:13" ht="25.5" x14ac:dyDescent="0.25">
      <c r="B19" s="18"/>
      <c r="C19" s="18"/>
      <c r="D19" s="18"/>
      <c r="E19" s="18"/>
      <c r="F19" s="24"/>
      <c r="G19" s="24"/>
      <c r="H19" s="24"/>
      <c r="I19" s="24"/>
      <c r="J19" s="24"/>
      <c r="K19" s="24"/>
      <c r="L19" s="24" t="s">
        <v>766</v>
      </c>
      <c r="M19" s="24" t="s">
        <v>765</v>
      </c>
    </row>
    <row r="20" spans="2:13" x14ac:dyDescent="0.25">
      <c r="B20" s="18"/>
      <c r="C20" s="18"/>
      <c r="D20" s="18"/>
      <c r="E20" s="18"/>
      <c r="F20" s="18" t="s">
        <v>47</v>
      </c>
      <c r="G20" s="18" t="s">
        <v>126</v>
      </c>
      <c r="H20" s="18" t="s">
        <v>768</v>
      </c>
      <c r="I20" s="18" t="s">
        <v>126</v>
      </c>
      <c r="J20" s="18" t="s">
        <v>769</v>
      </c>
      <c r="K20" s="18" t="s">
        <v>767</v>
      </c>
      <c r="L20" s="18" t="s">
        <v>770</v>
      </c>
      <c r="M20" s="18" t="s">
        <v>771</v>
      </c>
    </row>
    <row r="21" spans="2:13" x14ac:dyDescent="0.25">
      <c r="B21" s="18"/>
      <c r="C21" s="18"/>
      <c r="D21" s="18"/>
      <c r="E21" s="18"/>
      <c r="F21" s="24"/>
      <c r="G21" s="24"/>
      <c r="H21" s="24"/>
      <c r="I21" s="24"/>
      <c r="J21" s="24"/>
      <c r="K21" s="24"/>
      <c r="L21" s="24" t="s">
        <v>773</v>
      </c>
      <c r="M21" s="24" t="s">
        <v>772</v>
      </c>
    </row>
    <row r="22" spans="2:13" x14ac:dyDescent="0.25">
      <c r="B22" s="18"/>
      <c r="C22" s="18"/>
      <c r="D22" s="18"/>
      <c r="E22" s="18"/>
      <c r="F22" s="25" t="s">
        <v>49</v>
      </c>
      <c r="G22" s="25" t="s">
        <v>775</v>
      </c>
      <c r="H22" s="25"/>
      <c r="I22" s="25"/>
      <c r="J22" s="25"/>
      <c r="K22" s="25"/>
      <c r="L22" s="25"/>
      <c r="M22" s="25"/>
    </row>
    <row r="23" spans="2:13" x14ac:dyDescent="0.25">
      <c r="B23" s="18"/>
      <c r="C23" s="18"/>
      <c r="D23" s="18"/>
      <c r="E23" s="18"/>
      <c r="F23" s="18" t="s">
        <v>51</v>
      </c>
      <c r="G23" s="18" t="s">
        <v>776</v>
      </c>
      <c r="H23" s="18" t="s">
        <v>794</v>
      </c>
      <c r="I23" s="18" t="s">
        <v>793</v>
      </c>
      <c r="J23" s="18" t="s">
        <v>802</v>
      </c>
      <c r="K23" s="18" t="s">
        <v>806</v>
      </c>
      <c r="L23" s="18"/>
      <c r="M23" s="18"/>
    </row>
    <row r="24" spans="2:13" x14ac:dyDescent="0.25">
      <c r="B24" s="18"/>
      <c r="C24" s="18"/>
      <c r="D24" s="18"/>
      <c r="E24" s="18"/>
      <c r="F24" s="18"/>
      <c r="G24" s="18"/>
      <c r="H24" s="18" t="s">
        <v>795</v>
      </c>
      <c r="I24" s="18" t="s">
        <v>173</v>
      </c>
      <c r="J24" s="18" t="s">
        <v>803</v>
      </c>
      <c r="K24" s="18" t="s">
        <v>807</v>
      </c>
      <c r="L24" s="18"/>
      <c r="M24" s="18"/>
    </row>
    <row r="25" spans="2:13" x14ac:dyDescent="0.25">
      <c r="B25" s="18"/>
      <c r="C25" s="18"/>
      <c r="D25" s="18"/>
      <c r="E25" s="18"/>
      <c r="F25" s="18"/>
      <c r="G25" s="18"/>
      <c r="H25" s="18" t="s">
        <v>796</v>
      </c>
      <c r="I25" s="18" t="s">
        <v>175</v>
      </c>
      <c r="J25" s="18" t="s">
        <v>804</v>
      </c>
      <c r="K25" s="18" t="s">
        <v>808</v>
      </c>
      <c r="L25" s="18"/>
      <c r="M25" s="18"/>
    </row>
    <row r="26" spans="2:13" x14ac:dyDescent="0.25">
      <c r="B26" s="18"/>
      <c r="C26" s="18"/>
      <c r="D26" s="18"/>
      <c r="E26" s="18"/>
      <c r="F26" s="24"/>
      <c r="G26" s="24"/>
      <c r="H26" s="24" t="s">
        <v>801</v>
      </c>
      <c r="I26" s="24" t="s">
        <v>177</v>
      </c>
      <c r="J26" s="24" t="s">
        <v>805</v>
      </c>
      <c r="K26" s="24" t="s">
        <v>809</v>
      </c>
      <c r="L26" s="24"/>
      <c r="M26" s="24"/>
    </row>
    <row r="27" spans="2:13" x14ac:dyDescent="0.25">
      <c r="B27" s="18"/>
      <c r="C27" s="18"/>
      <c r="D27" s="18"/>
      <c r="E27" s="18"/>
      <c r="F27" s="25" t="s">
        <v>51</v>
      </c>
      <c r="G27" s="25" t="s">
        <v>777</v>
      </c>
      <c r="H27" s="25"/>
      <c r="I27" s="25"/>
      <c r="J27" s="25"/>
      <c r="K27" s="25"/>
      <c r="L27" s="25"/>
      <c r="M27" s="25"/>
    </row>
    <row r="28" spans="2:13" x14ac:dyDescent="0.25">
      <c r="B28" s="18"/>
      <c r="C28" s="18"/>
      <c r="D28" s="18"/>
      <c r="E28" s="18"/>
      <c r="F28" s="24" t="s">
        <v>53</v>
      </c>
      <c r="G28" s="24" t="s">
        <v>778</v>
      </c>
      <c r="H28" s="24"/>
      <c r="I28" s="24"/>
      <c r="J28" s="24"/>
      <c r="K28" s="24"/>
      <c r="L28" s="24"/>
      <c r="M28" s="24"/>
    </row>
    <row r="29" spans="2:13" x14ac:dyDescent="0.25">
      <c r="B29" s="18"/>
      <c r="C29" s="18"/>
      <c r="D29" s="18"/>
      <c r="E29" s="18"/>
      <c r="F29" s="19" t="s">
        <v>774</v>
      </c>
      <c r="G29" s="18" t="s">
        <v>716</v>
      </c>
      <c r="H29" s="19" t="s">
        <v>779</v>
      </c>
      <c r="I29" s="18" t="s">
        <v>152</v>
      </c>
      <c r="J29" s="19" t="s">
        <v>785</v>
      </c>
      <c r="K29" s="18" t="s">
        <v>789</v>
      </c>
      <c r="L29" s="18"/>
      <c r="M29" s="18"/>
    </row>
    <row r="30" spans="2:13" x14ac:dyDescent="0.25">
      <c r="B30" s="18"/>
      <c r="C30" s="18"/>
      <c r="D30" s="18"/>
      <c r="E30" s="18"/>
      <c r="F30" s="19"/>
      <c r="G30" s="18"/>
      <c r="H30" s="19" t="s">
        <v>780</v>
      </c>
      <c r="I30" s="18" t="s">
        <v>158</v>
      </c>
      <c r="J30" s="19" t="s">
        <v>786</v>
      </c>
      <c r="K30" s="18" t="s">
        <v>790</v>
      </c>
      <c r="L30" s="18"/>
      <c r="M30" s="18"/>
    </row>
    <row r="31" spans="2:13" x14ac:dyDescent="0.25">
      <c r="B31" s="18"/>
      <c r="C31" s="18"/>
      <c r="D31" s="18"/>
      <c r="E31" s="18"/>
      <c r="F31" s="19"/>
      <c r="G31" s="18"/>
      <c r="H31" s="19" t="s">
        <v>781</v>
      </c>
      <c r="I31" s="18" t="s">
        <v>162</v>
      </c>
      <c r="J31" s="19" t="s">
        <v>787</v>
      </c>
      <c r="K31" s="18" t="s">
        <v>791</v>
      </c>
      <c r="L31" s="18"/>
      <c r="M31" s="18"/>
    </row>
    <row r="32" spans="2:13" x14ac:dyDescent="0.25">
      <c r="B32" s="18"/>
      <c r="C32" s="18"/>
      <c r="D32" s="18"/>
      <c r="E32" s="18"/>
      <c r="F32" s="19"/>
      <c r="G32" s="18"/>
      <c r="H32" s="19" t="s">
        <v>782</v>
      </c>
      <c r="I32" s="18" t="s">
        <v>179</v>
      </c>
      <c r="J32" s="19" t="s">
        <v>797</v>
      </c>
      <c r="K32" s="18" t="s">
        <v>799</v>
      </c>
      <c r="L32" s="18"/>
      <c r="M32" s="18"/>
    </row>
    <row r="33" spans="2:13" x14ac:dyDescent="0.25">
      <c r="B33" s="18"/>
      <c r="C33" s="18"/>
      <c r="D33" s="18"/>
      <c r="E33" s="18"/>
      <c r="F33" s="19"/>
      <c r="G33" s="18"/>
      <c r="H33" s="19" t="s">
        <v>783</v>
      </c>
      <c r="I33" s="18" t="s">
        <v>181</v>
      </c>
      <c r="J33" s="19" t="s">
        <v>798</v>
      </c>
      <c r="K33" s="18" t="s">
        <v>800</v>
      </c>
      <c r="L33" s="18"/>
      <c r="M33" s="18"/>
    </row>
    <row r="34" spans="2:13" x14ac:dyDescent="0.25">
      <c r="B34" s="18"/>
      <c r="C34" s="18"/>
      <c r="D34" s="24"/>
      <c r="E34" s="24"/>
      <c r="F34" s="26"/>
      <c r="G34" s="24"/>
      <c r="H34" s="26" t="s">
        <v>784</v>
      </c>
      <c r="I34" s="24" t="s">
        <v>164</v>
      </c>
      <c r="J34" s="26" t="s">
        <v>788</v>
      </c>
      <c r="K34" s="24" t="s">
        <v>792</v>
      </c>
      <c r="L34" s="24"/>
      <c r="M34" s="24"/>
    </row>
    <row r="35" spans="2:13" ht="25.5" x14ac:dyDescent="0.25">
      <c r="B35" s="18"/>
      <c r="C35" s="18"/>
      <c r="D35" s="19" t="s">
        <v>101</v>
      </c>
      <c r="E35" s="18" t="s">
        <v>810</v>
      </c>
      <c r="F35" s="19" t="s">
        <v>111</v>
      </c>
      <c r="G35" s="18" t="s">
        <v>811</v>
      </c>
      <c r="H35" s="19" t="s">
        <v>812</v>
      </c>
      <c r="I35" s="18" t="s">
        <v>813</v>
      </c>
      <c r="J35" s="19" t="s">
        <v>815</v>
      </c>
      <c r="K35" s="18" t="s">
        <v>820</v>
      </c>
      <c r="L35" s="18"/>
      <c r="M35" s="18"/>
    </row>
    <row r="36" spans="2:13" ht="25.5" x14ac:dyDescent="0.25">
      <c r="B36" s="18"/>
      <c r="C36" s="18"/>
      <c r="D36" s="19"/>
      <c r="E36" s="18"/>
      <c r="F36" s="19"/>
      <c r="G36" s="18"/>
      <c r="H36" s="19" t="s">
        <v>816</v>
      </c>
      <c r="I36" s="18" t="s">
        <v>814</v>
      </c>
      <c r="J36" s="19" t="s">
        <v>818</v>
      </c>
      <c r="K36" s="18" t="s">
        <v>821</v>
      </c>
      <c r="L36" s="18"/>
      <c r="M36" s="18"/>
    </row>
    <row r="37" spans="2:13" ht="25.5" x14ac:dyDescent="0.25">
      <c r="B37" s="18"/>
      <c r="C37" s="18"/>
      <c r="D37" s="26"/>
      <c r="E37" s="24"/>
      <c r="F37" s="26"/>
      <c r="G37" s="24"/>
      <c r="H37" s="26" t="s">
        <v>817</v>
      </c>
      <c r="I37" s="24" t="s">
        <v>185</v>
      </c>
      <c r="J37" s="26" t="s">
        <v>819</v>
      </c>
      <c r="K37" s="24" t="s">
        <v>822</v>
      </c>
      <c r="L37" s="24"/>
      <c r="M37" s="24"/>
    </row>
    <row r="38" spans="2:13" x14ac:dyDescent="0.25">
      <c r="B38" s="18"/>
      <c r="C38" s="18"/>
      <c r="D38" s="19" t="s">
        <v>125</v>
      </c>
      <c r="E38" s="18" t="s">
        <v>823</v>
      </c>
      <c r="F38" s="19" t="s">
        <v>147</v>
      </c>
      <c r="G38" s="18" t="s">
        <v>718</v>
      </c>
      <c r="H38" s="19" t="s">
        <v>825</v>
      </c>
      <c r="I38" s="14" t="s">
        <v>847</v>
      </c>
      <c r="J38" s="19"/>
      <c r="K38" s="18"/>
      <c r="L38" s="18"/>
      <c r="M38" s="18"/>
    </row>
    <row r="39" spans="2:13" x14ac:dyDescent="0.25">
      <c r="B39" s="18"/>
      <c r="C39" s="18"/>
      <c r="D39" s="19"/>
      <c r="E39" s="18"/>
      <c r="F39" s="19"/>
      <c r="G39" s="18"/>
      <c r="H39" s="19" t="s">
        <v>826</v>
      </c>
      <c r="I39" s="18" t="s">
        <v>191</v>
      </c>
      <c r="J39" s="19"/>
      <c r="K39" s="18"/>
      <c r="L39" s="18"/>
      <c r="M39" s="18"/>
    </row>
    <row r="40" spans="2:13" x14ac:dyDescent="0.25">
      <c r="B40" s="18"/>
      <c r="C40" s="18"/>
      <c r="D40" s="19"/>
      <c r="E40" s="18"/>
      <c r="F40" s="19"/>
      <c r="G40" s="18"/>
      <c r="H40" s="19" t="s">
        <v>827</v>
      </c>
      <c r="I40" s="18" t="s">
        <v>193</v>
      </c>
      <c r="J40" s="19"/>
      <c r="K40" s="18"/>
      <c r="L40" s="18"/>
      <c r="M40" s="18"/>
    </row>
    <row r="41" spans="2:13" x14ac:dyDescent="0.25">
      <c r="B41" s="18"/>
      <c r="C41" s="18"/>
      <c r="D41" s="19"/>
      <c r="E41" s="18"/>
      <c r="F41" s="19"/>
      <c r="G41" s="18"/>
      <c r="H41" s="19" t="s">
        <v>828</v>
      </c>
      <c r="I41" s="18" t="s">
        <v>195</v>
      </c>
      <c r="J41" s="19"/>
      <c r="K41" s="18"/>
      <c r="L41" s="18"/>
      <c r="M41" s="18"/>
    </row>
    <row r="42" spans="2:13" ht="25.5" x14ac:dyDescent="0.25">
      <c r="B42" s="18"/>
      <c r="C42" s="18"/>
      <c r="D42" s="19"/>
      <c r="E42" s="18"/>
      <c r="F42" s="19"/>
      <c r="G42" s="18"/>
      <c r="H42" s="19" t="s">
        <v>829</v>
      </c>
      <c r="I42" s="18" t="s">
        <v>197</v>
      </c>
      <c r="J42" s="19"/>
      <c r="K42" s="18"/>
      <c r="L42" s="18"/>
      <c r="M42" s="18"/>
    </row>
    <row r="43" spans="2:13" ht="25.5" x14ac:dyDescent="0.25">
      <c r="B43" s="18"/>
      <c r="C43" s="18"/>
      <c r="D43" s="19"/>
      <c r="E43" s="18"/>
      <c r="F43" s="19"/>
      <c r="G43" s="18"/>
      <c r="H43" s="19" t="s">
        <v>830</v>
      </c>
      <c r="I43" s="18" t="s">
        <v>199</v>
      </c>
      <c r="J43" s="19"/>
      <c r="K43" s="18"/>
      <c r="L43" s="18"/>
      <c r="M43" s="18"/>
    </row>
    <row r="44" spans="2:13" x14ac:dyDescent="0.25">
      <c r="B44" s="18"/>
      <c r="C44" s="18"/>
      <c r="D44" s="19"/>
      <c r="E44" s="18"/>
      <c r="F44" s="19"/>
      <c r="G44" s="18"/>
      <c r="H44" s="19" t="s">
        <v>831</v>
      </c>
      <c r="I44" s="18" t="s">
        <v>201</v>
      </c>
      <c r="J44" s="19"/>
      <c r="K44" s="18"/>
      <c r="L44" s="18"/>
      <c r="M44" s="18"/>
    </row>
    <row r="45" spans="2:13" x14ac:dyDescent="0.25">
      <c r="B45" s="18"/>
      <c r="C45" s="18"/>
      <c r="D45" s="19"/>
      <c r="E45" s="18"/>
      <c r="F45" s="19"/>
      <c r="G45" s="18"/>
      <c r="H45" s="19" t="s">
        <v>832</v>
      </c>
      <c r="I45" s="18" t="s">
        <v>203</v>
      </c>
      <c r="J45" s="19"/>
      <c r="K45" s="18"/>
      <c r="L45" s="18"/>
      <c r="M45" s="18"/>
    </row>
    <row r="46" spans="2:13" x14ac:dyDescent="0.25">
      <c r="B46" s="18"/>
      <c r="C46" s="18"/>
      <c r="D46" s="19"/>
      <c r="E46" s="18"/>
      <c r="F46" s="19"/>
      <c r="G46" s="18"/>
      <c r="H46" s="19" t="s">
        <v>833</v>
      </c>
      <c r="I46" s="18" t="s">
        <v>205</v>
      </c>
      <c r="J46" s="19"/>
      <c r="K46" s="18"/>
      <c r="L46" s="18"/>
      <c r="M46" s="18"/>
    </row>
    <row r="47" spans="2:13" x14ac:dyDescent="0.25">
      <c r="B47" s="18"/>
      <c r="C47" s="18"/>
      <c r="D47" s="19"/>
      <c r="E47" s="18"/>
      <c r="F47" s="19"/>
      <c r="G47" s="18"/>
      <c r="H47" s="19" t="s">
        <v>834</v>
      </c>
      <c r="I47" s="18" t="s">
        <v>207</v>
      </c>
      <c r="J47" s="19"/>
      <c r="K47" s="18"/>
      <c r="L47" s="18"/>
      <c r="M47" s="18"/>
    </row>
    <row r="48" spans="2:13" x14ac:dyDescent="0.25">
      <c r="B48" s="18"/>
      <c r="C48" s="18"/>
      <c r="D48" s="19"/>
      <c r="E48" s="18"/>
      <c r="F48" s="26"/>
      <c r="G48" s="24"/>
      <c r="H48" s="26" t="s">
        <v>846</v>
      </c>
      <c r="I48" s="24" t="s">
        <v>209</v>
      </c>
      <c r="J48" s="26"/>
      <c r="K48" s="24"/>
      <c r="L48" s="24"/>
      <c r="M48" s="24"/>
    </row>
    <row r="49" spans="2:13" ht="25.5" x14ac:dyDescent="0.25">
      <c r="B49" s="18"/>
      <c r="C49" s="18"/>
      <c r="D49" s="19"/>
      <c r="E49" s="18"/>
      <c r="F49" s="19" t="s">
        <v>824</v>
      </c>
      <c r="G49" s="18" t="s">
        <v>835</v>
      </c>
      <c r="H49" s="19" t="s">
        <v>836</v>
      </c>
      <c r="I49" s="18" t="s">
        <v>213</v>
      </c>
      <c r="J49" s="19"/>
      <c r="K49" s="18"/>
      <c r="L49" s="18"/>
      <c r="M49" s="18"/>
    </row>
    <row r="50" spans="2:13" ht="25.5" x14ac:dyDescent="0.25">
      <c r="B50" s="18"/>
      <c r="C50" s="18"/>
      <c r="D50" s="19"/>
      <c r="E50" s="18"/>
      <c r="F50" s="19"/>
      <c r="G50" s="18"/>
      <c r="H50" s="19" t="s">
        <v>837</v>
      </c>
      <c r="I50" s="18" t="s">
        <v>215</v>
      </c>
      <c r="J50" s="19"/>
      <c r="K50" s="18"/>
      <c r="L50" s="18"/>
      <c r="M50" s="18"/>
    </row>
    <row r="51" spans="2:13" ht="25.5" x14ac:dyDescent="0.25">
      <c r="B51" s="18"/>
      <c r="C51" s="18"/>
      <c r="D51" s="19"/>
      <c r="E51" s="18"/>
      <c r="F51" s="19"/>
      <c r="G51" s="18"/>
      <c r="H51" s="19" t="s">
        <v>838</v>
      </c>
      <c r="I51" s="18" t="s">
        <v>217</v>
      </c>
      <c r="J51" s="19"/>
      <c r="K51" s="18"/>
      <c r="L51" s="18"/>
      <c r="M51" s="18"/>
    </row>
    <row r="52" spans="2:13" ht="25.5" x14ac:dyDescent="0.25">
      <c r="B52" s="18"/>
      <c r="C52" s="18"/>
      <c r="D52" s="19"/>
      <c r="E52" s="18"/>
      <c r="F52" s="19"/>
      <c r="G52" s="18"/>
      <c r="H52" s="19" t="s">
        <v>839</v>
      </c>
      <c r="I52" s="18" t="s">
        <v>219</v>
      </c>
      <c r="J52" s="19"/>
      <c r="K52" s="18"/>
      <c r="L52" s="18"/>
      <c r="M52" s="18"/>
    </row>
    <row r="53" spans="2:13" ht="25.5" x14ac:dyDescent="0.25">
      <c r="B53" s="18"/>
      <c r="C53" s="18"/>
      <c r="D53" s="19"/>
      <c r="E53" s="18"/>
      <c r="F53" s="19"/>
      <c r="G53" s="18"/>
      <c r="H53" s="19" t="s">
        <v>840</v>
      </c>
      <c r="I53" s="18" t="s">
        <v>221</v>
      </c>
      <c r="J53" s="19"/>
      <c r="K53" s="18"/>
      <c r="L53" s="18"/>
      <c r="M53" s="18"/>
    </row>
    <row r="54" spans="2:13" ht="25.5" x14ac:dyDescent="0.25">
      <c r="B54" s="18"/>
      <c r="C54" s="18"/>
      <c r="D54" s="19"/>
      <c r="E54" s="18"/>
      <c r="F54" s="19"/>
      <c r="G54" s="18"/>
      <c r="H54" s="19" t="s">
        <v>841</v>
      </c>
      <c r="I54" s="18" t="s">
        <v>223</v>
      </c>
      <c r="J54" s="19"/>
      <c r="K54" s="18"/>
      <c r="L54" s="18"/>
      <c r="M54" s="18"/>
    </row>
    <row r="55" spans="2:13" ht="25.5" x14ac:dyDescent="0.25">
      <c r="B55" s="18"/>
      <c r="C55" s="18"/>
      <c r="D55" s="19"/>
      <c r="E55" s="18"/>
      <c r="F55" s="19"/>
      <c r="G55" s="18"/>
      <c r="H55" s="19" t="s">
        <v>842</v>
      </c>
      <c r="I55" s="18" t="s">
        <v>225</v>
      </c>
      <c r="J55" s="19"/>
      <c r="K55" s="18"/>
      <c r="L55" s="18"/>
      <c r="M55" s="18"/>
    </row>
    <row r="56" spans="2:13" x14ac:dyDescent="0.25">
      <c r="B56" s="18"/>
      <c r="C56" s="18"/>
      <c r="D56" s="19"/>
      <c r="E56" s="18"/>
      <c r="F56" s="19"/>
      <c r="G56" s="18"/>
      <c r="H56" s="19" t="s">
        <v>843</v>
      </c>
      <c r="I56" s="18" t="s">
        <v>227</v>
      </c>
      <c r="J56" s="19"/>
      <c r="K56" s="18"/>
      <c r="L56" s="18"/>
      <c r="M56" s="18"/>
    </row>
    <row r="57" spans="2:13" ht="25.5" x14ac:dyDescent="0.25">
      <c r="B57" s="18"/>
      <c r="C57" s="18"/>
      <c r="D57" s="19"/>
      <c r="E57" s="18"/>
      <c r="F57" s="19"/>
      <c r="G57" s="18"/>
      <c r="H57" s="19" t="s">
        <v>844</v>
      </c>
      <c r="I57" s="18" t="s">
        <v>229</v>
      </c>
      <c r="J57" s="19"/>
      <c r="K57" s="18"/>
      <c r="L57" s="18"/>
      <c r="M57" s="18"/>
    </row>
    <row r="58" spans="2:13" ht="25.5" x14ac:dyDescent="0.25">
      <c r="B58" s="18"/>
      <c r="C58" s="18"/>
      <c r="D58" s="26"/>
      <c r="E58" s="24"/>
      <c r="F58" s="26"/>
      <c r="G58" s="24"/>
      <c r="H58" s="26" t="s">
        <v>845</v>
      </c>
      <c r="I58" s="24" t="s">
        <v>231</v>
      </c>
      <c r="J58" s="26"/>
      <c r="K58" s="24"/>
      <c r="L58" s="24"/>
      <c r="M58" s="24"/>
    </row>
    <row r="59" spans="2:13" ht="25.5" x14ac:dyDescent="0.25">
      <c r="B59" s="18"/>
      <c r="C59" s="18"/>
      <c r="D59" s="28" t="s">
        <v>149</v>
      </c>
      <c r="E59" s="25" t="s">
        <v>849</v>
      </c>
      <c r="F59" s="28"/>
      <c r="G59" s="25"/>
      <c r="H59" s="28"/>
      <c r="I59" s="25"/>
      <c r="J59" s="28"/>
      <c r="K59" s="25"/>
      <c r="L59" s="25"/>
      <c r="M59" s="25"/>
    </row>
    <row r="60" spans="2:13" ht="25.5" x14ac:dyDescent="0.25">
      <c r="B60" s="18"/>
      <c r="C60" s="18"/>
      <c r="D60" s="19" t="s">
        <v>182</v>
      </c>
      <c r="E60" s="18" t="s">
        <v>848</v>
      </c>
      <c r="F60" s="19" t="s">
        <v>851</v>
      </c>
      <c r="G60" s="18" t="s">
        <v>850</v>
      </c>
      <c r="H60" s="19" t="s">
        <v>184</v>
      </c>
      <c r="I60" s="18" t="s">
        <v>235</v>
      </c>
      <c r="J60" s="19"/>
      <c r="K60" s="18"/>
      <c r="L60" s="18"/>
      <c r="M60" s="18"/>
    </row>
    <row r="61" spans="2:13" ht="25.5" x14ac:dyDescent="0.25">
      <c r="B61" s="18"/>
      <c r="C61" s="18"/>
      <c r="D61" s="19"/>
      <c r="E61" s="18"/>
      <c r="F61" s="19"/>
      <c r="G61" s="18"/>
      <c r="H61" s="19" t="s">
        <v>186</v>
      </c>
      <c r="I61" s="18" t="s">
        <v>237</v>
      </c>
      <c r="J61" s="19"/>
      <c r="K61" s="18"/>
      <c r="L61" s="18"/>
      <c r="M61" s="18"/>
    </row>
    <row r="62" spans="2:13" ht="25.5" x14ac:dyDescent="0.25">
      <c r="B62" s="24"/>
      <c r="C62" s="24"/>
      <c r="D62" s="26"/>
      <c r="E62" s="24"/>
      <c r="F62" s="26"/>
      <c r="G62" s="24"/>
      <c r="H62" s="26" t="s">
        <v>852</v>
      </c>
      <c r="I62" s="24" t="s">
        <v>239</v>
      </c>
      <c r="J62" s="26"/>
      <c r="K62" s="24"/>
      <c r="L62" s="24"/>
      <c r="M62" s="24"/>
    </row>
    <row r="63" spans="2:13" x14ac:dyDescent="0.25">
      <c r="B63" s="19" t="s">
        <v>244</v>
      </c>
      <c r="C63" s="18" t="s">
        <v>708</v>
      </c>
      <c r="D63" s="19" t="s">
        <v>246</v>
      </c>
      <c r="E63" s="18" t="s">
        <v>853</v>
      </c>
      <c r="F63" s="19" t="s">
        <v>248</v>
      </c>
      <c r="G63" s="18" t="s">
        <v>856</v>
      </c>
      <c r="H63" s="19"/>
      <c r="I63" s="18"/>
      <c r="J63" s="19" t="s">
        <v>875</v>
      </c>
      <c r="K63" s="18" t="s">
        <v>877</v>
      </c>
      <c r="L63" s="19"/>
      <c r="M63" s="18"/>
    </row>
    <row r="64" spans="2:13" x14ac:dyDescent="0.25">
      <c r="B64" s="19"/>
      <c r="C64" s="18"/>
      <c r="D64" s="19"/>
      <c r="E64" s="18"/>
      <c r="F64" s="19"/>
      <c r="G64" s="18"/>
      <c r="H64" s="19"/>
      <c r="I64" s="18"/>
      <c r="J64" s="19" t="s">
        <v>876</v>
      </c>
      <c r="K64" s="18" t="s">
        <v>878</v>
      </c>
      <c r="L64" s="19"/>
      <c r="M64" s="18"/>
    </row>
    <row r="65" spans="2:13" x14ac:dyDescent="0.25">
      <c r="B65" s="19"/>
      <c r="C65" s="18"/>
      <c r="D65" s="19"/>
      <c r="E65" s="18"/>
      <c r="F65" s="26"/>
      <c r="G65" s="24"/>
      <c r="H65" s="26"/>
      <c r="I65" s="24"/>
      <c r="J65" s="26" t="s">
        <v>876</v>
      </c>
      <c r="K65" s="24" t="s">
        <v>879</v>
      </c>
      <c r="L65" s="26"/>
      <c r="M65" s="24"/>
    </row>
    <row r="66" spans="2:13" ht="25.5" x14ac:dyDescent="0.25">
      <c r="B66" s="18"/>
      <c r="C66" s="18"/>
      <c r="D66" s="18"/>
      <c r="E66" s="18"/>
      <c r="F66" s="28" t="s">
        <v>258</v>
      </c>
      <c r="G66" s="25" t="s">
        <v>857</v>
      </c>
      <c r="H66" s="25"/>
      <c r="I66" s="25"/>
      <c r="J66" s="25"/>
      <c r="K66" s="25"/>
      <c r="L66" s="25"/>
      <c r="M66" s="25"/>
    </row>
    <row r="67" spans="2:13" x14ac:dyDescent="0.25">
      <c r="B67" s="18"/>
      <c r="C67" s="18"/>
      <c r="D67" s="18"/>
      <c r="E67" s="18"/>
      <c r="F67" s="19" t="s">
        <v>260</v>
      </c>
      <c r="G67" s="18" t="s">
        <v>860</v>
      </c>
      <c r="H67" s="19" t="s">
        <v>262</v>
      </c>
      <c r="I67" s="18" t="s">
        <v>271</v>
      </c>
      <c r="J67" s="18"/>
      <c r="L67" s="18"/>
      <c r="M67" s="18"/>
    </row>
    <row r="68" spans="2:13" x14ac:dyDescent="0.25">
      <c r="B68" s="18"/>
      <c r="C68" s="18"/>
      <c r="D68" s="18"/>
      <c r="E68" s="18"/>
      <c r="F68" s="19"/>
      <c r="G68" s="18"/>
      <c r="H68" s="19" t="s">
        <v>861</v>
      </c>
      <c r="I68" s="18" t="s">
        <v>873</v>
      </c>
      <c r="J68" s="18"/>
      <c r="K68" s="18"/>
      <c r="L68" s="18"/>
      <c r="M68" s="18"/>
    </row>
    <row r="69" spans="2:13" x14ac:dyDescent="0.25">
      <c r="B69" s="18"/>
      <c r="C69" s="18"/>
      <c r="D69" s="18"/>
      <c r="E69" s="18"/>
      <c r="F69" s="19"/>
      <c r="G69" s="18"/>
      <c r="H69" s="19" t="s">
        <v>862</v>
      </c>
      <c r="I69" s="18" t="s">
        <v>869</v>
      </c>
      <c r="J69" s="18"/>
      <c r="K69" s="18"/>
      <c r="L69" s="18"/>
      <c r="M69" s="18"/>
    </row>
    <row r="70" spans="2:13" x14ac:dyDescent="0.25">
      <c r="B70" s="18"/>
      <c r="C70" s="18"/>
      <c r="D70" s="18"/>
      <c r="E70" s="18"/>
      <c r="F70" s="19"/>
      <c r="G70" s="18"/>
      <c r="H70" s="19" t="s">
        <v>863</v>
      </c>
      <c r="I70" s="18" t="s">
        <v>870</v>
      </c>
      <c r="J70" s="18"/>
      <c r="K70" s="18"/>
      <c r="L70" s="18"/>
      <c r="M70" s="18"/>
    </row>
    <row r="71" spans="2:13" x14ac:dyDescent="0.25">
      <c r="B71" s="18"/>
      <c r="C71" s="18"/>
      <c r="D71" s="18"/>
      <c r="E71" s="18"/>
      <c r="F71" s="19"/>
      <c r="G71" s="18"/>
      <c r="H71" s="19" t="s">
        <v>864</v>
      </c>
      <c r="I71" s="18" t="s">
        <v>872</v>
      </c>
      <c r="J71" s="18"/>
      <c r="K71" s="18"/>
      <c r="L71" s="18"/>
      <c r="M71" s="18"/>
    </row>
    <row r="72" spans="2:13" x14ac:dyDescent="0.25">
      <c r="B72" s="18"/>
      <c r="C72" s="18"/>
      <c r="D72" s="18"/>
      <c r="E72" s="18"/>
      <c r="F72" s="19"/>
      <c r="G72" s="18"/>
      <c r="H72" s="19" t="s">
        <v>865</v>
      </c>
      <c r="I72" s="18" t="s">
        <v>871</v>
      </c>
      <c r="J72" s="18"/>
      <c r="K72" s="18"/>
      <c r="L72" s="18"/>
      <c r="M72" s="18"/>
    </row>
    <row r="73" spans="2:13" x14ac:dyDescent="0.25">
      <c r="B73" s="18"/>
      <c r="C73" s="18"/>
      <c r="D73" s="18"/>
      <c r="E73" s="18"/>
      <c r="F73" s="19"/>
      <c r="G73" s="18"/>
      <c r="H73" s="19" t="s">
        <v>866</v>
      </c>
      <c r="I73" s="18" t="s">
        <v>285</v>
      </c>
      <c r="J73" s="18"/>
      <c r="K73" s="18"/>
      <c r="L73" s="18"/>
      <c r="M73" s="18"/>
    </row>
    <row r="74" spans="2:13" ht="25.5" x14ac:dyDescent="0.25">
      <c r="B74" s="18"/>
      <c r="C74" s="18"/>
      <c r="D74" s="18"/>
      <c r="E74" s="18"/>
      <c r="F74" s="19"/>
      <c r="G74" s="18"/>
      <c r="H74" s="19" t="s">
        <v>867</v>
      </c>
      <c r="I74" s="18" t="s">
        <v>287</v>
      </c>
      <c r="J74" s="18"/>
      <c r="K74" s="18"/>
      <c r="L74" s="18"/>
      <c r="M74" s="18"/>
    </row>
    <row r="75" spans="2:13" x14ac:dyDescent="0.25">
      <c r="B75" s="18"/>
      <c r="C75" s="18"/>
      <c r="D75" s="18"/>
      <c r="E75" s="18"/>
      <c r="F75" s="26"/>
      <c r="G75" s="24"/>
      <c r="H75" s="26" t="s">
        <v>868</v>
      </c>
      <c r="I75" s="29" t="s">
        <v>273</v>
      </c>
      <c r="J75" s="24"/>
      <c r="K75" s="24"/>
      <c r="L75" s="24"/>
      <c r="M75" s="24"/>
    </row>
    <row r="76" spans="2:13" x14ac:dyDescent="0.25">
      <c r="B76" s="18"/>
      <c r="C76" s="18"/>
      <c r="D76" s="18"/>
      <c r="E76" s="18"/>
      <c r="F76" s="28" t="s">
        <v>266</v>
      </c>
      <c r="G76" s="25" t="s">
        <v>267</v>
      </c>
      <c r="H76" s="28"/>
      <c r="I76" s="30"/>
      <c r="J76" s="25"/>
      <c r="K76" s="25"/>
      <c r="L76" s="25"/>
      <c r="M76" s="25"/>
    </row>
    <row r="77" spans="2:13" ht="25.5" x14ac:dyDescent="0.25">
      <c r="B77" s="18"/>
      <c r="C77" s="18"/>
      <c r="D77" s="18"/>
      <c r="E77" s="18"/>
      <c r="F77" s="28" t="s">
        <v>874</v>
      </c>
      <c r="G77" s="25" t="s">
        <v>265</v>
      </c>
      <c r="H77" s="28"/>
      <c r="I77" s="30"/>
      <c r="J77" s="25"/>
      <c r="K77" s="25"/>
      <c r="L77" s="25"/>
      <c r="M77" s="25"/>
    </row>
    <row r="78" spans="2:13" ht="25.5" x14ac:dyDescent="0.25">
      <c r="B78" s="18"/>
      <c r="C78" s="18"/>
      <c r="D78" s="18"/>
      <c r="E78" s="18"/>
      <c r="F78" s="19" t="s">
        <v>882</v>
      </c>
      <c r="G78" s="18" t="s">
        <v>887</v>
      </c>
      <c r="H78" s="19" t="s">
        <v>888</v>
      </c>
      <c r="I78" s="18" t="s">
        <v>889</v>
      </c>
      <c r="J78" s="18"/>
      <c r="K78" s="18"/>
      <c r="L78" s="18"/>
      <c r="M78" s="18"/>
    </row>
    <row r="79" spans="2:13" ht="25.5" x14ac:dyDescent="0.25">
      <c r="B79" s="18"/>
      <c r="C79" s="18"/>
      <c r="D79" s="18"/>
      <c r="E79" s="18"/>
      <c r="F79" s="19"/>
      <c r="G79" s="18"/>
      <c r="H79" s="19" t="s">
        <v>892</v>
      </c>
      <c r="I79" s="18" t="s">
        <v>891</v>
      </c>
      <c r="J79" s="18"/>
      <c r="K79" s="18"/>
      <c r="L79" s="18"/>
      <c r="M79" s="18"/>
    </row>
    <row r="80" spans="2:13" ht="25.5" x14ac:dyDescent="0.25">
      <c r="B80" s="18"/>
      <c r="C80" s="18"/>
      <c r="D80" s="18"/>
      <c r="E80" s="18"/>
      <c r="F80" s="26"/>
      <c r="G80" s="24"/>
      <c r="H80" s="26" t="s">
        <v>893</v>
      </c>
      <c r="I80" s="24" t="s">
        <v>890</v>
      </c>
      <c r="J80" s="24"/>
      <c r="K80" s="24"/>
      <c r="L80" s="24"/>
      <c r="M80" s="24"/>
    </row>
    <row r="81" spans="2:13" x14ac:dyDescent="0.25">
      <c r="B81" s="18"/>
      <c r="C81" s="18"/>
      <c r="D81" s="24"/>
      <c r="E81" s="24"/>
      <c r="F81" s="26" t="s">
        <v>886</v>
      </c>
      <c r="G81" s="24" t="s">
        <v>883</v>
      </c>
      <c r="H81" s="26"/>
      <c r="I81" s="29"/>
      <c r="J81" s="24"/>
      <c r="K81" s="24"/>
      <c r="L81" s="24"/>
      <c r="M81" s="24"/>
    </row>
    <row r="82" spans="2:13" ht="25.5" x14ac:dyDescent="0.25">
      <c r="B82" s="18"/>
      <c r="C82" s="18"/>
      <c r="D82" s="19" t="s">
        <v>855</v>
      </c>
      <c r="E82" s="18" t="s">
        <v>854</v>
      </c>
      <c r="F82" s="18"/>
      <c r="G82" s="18"/>
      <c r="H82" s="19" t="s">
        <v>881</v>
      </c>
      <c r="I82" s="18" t="s">
        <v>299</v>
      </c>
      <c r="J82" s="18"/>
      <c r="K82" s="18"/>
      <c r="L82" s="18"/>
      <c r="M82" s="18"/>
    </row>
    <row r="83" spans="2:13" ht="25.5" x14ac:dyDescent="0.25">
      <c r="B83" s="18"/>
      <c r="C83" s="18"/>
      <c r="D83" s="26"/>
      <c r="E83" s="24"/>
      <c r="F83" s="24"/>
      <c r="G83" s="24"/>
      <c r="H83" s="26" t="s">
        <v>885</v>
      </c>
      <c r="I83" s="24" t="s">
        <v>884</v>
      </c>
      <c r="J83" s="24"/>
      <c r="K83" s="24"/>
      <c r="L83" s="24"/>
      <c r="M83" s="24"/>
    </row>
    <row r="84" spans="2:13" x14ac:dyDescent="0.25">
      <c r="B84" s="18"/>
      <c r="C84" s="18"/>
      <c r="D84" s="20" t="s">
        <v>858</v>
      </c>
      <c r="E84" s="18" t="s">
        <v>859</v>
      </c>
      <c r="F84" s="18"/>
      <c r="G84" s="18"/>
      <c r="H84" s="20" t="s">
        <v>880</v>
      </c>
      <c r="I84" s="14" t="s">
        <v>303</v>
      </c>
      <c r="J84" s="18"/>
      <c r="K84" s="18"/>
      <c r="L84" s="18"/>
      <c r="M84" s="18"/>
    </row>
    <row r="85" spans="2:13" ht="25.5" x14ac:dyDescent="0.25">
      <c r="B85" s="18"/>
      <c r="C85" s="18"/>
      <c r="D85" s="20"/>
      <c r="E85" s="18"/>
      <c r="F85" s="18"/>
      <c r="G85" s="18"/>
      <c r="H85" s="20" t="s">
        <v>894</v>
      </c>
      <c r="I85" s="18" t="s">
        <v>289</v>
      </c>
      <c r="J85" s="18"/>
      <c r="K85" s="18"/>
      <c r="L85" s="18"/>
      <c r="M85" s="18"/>
    </row>
    <row r="86" spans="2:13" x14ac:dyDescent="0.25">
      <c r="B86" s="18"/>
      <c r="C86" s="18"/>
      <c r="D86" s="20"/>
      <c r="E86" s="18"/>
      <c r="F86" s="18"/>
      <c r="G86" s="18"/>
      <c r="H86" s="20" t="s">
        <v>896</v>
      </c>
      <c r="I86" s="18" t="s">
        <v>307</v>
      </c>
      <c r="J86" s="18"/>
      <c r="K86" s="18"/>
      <c r="L86" s="18"/>
      <c r="M86" s="18"/>
    </row>
    <row r="87" spans="2:13" x14ac:dyDescent="0.25">
      <c r="B87" s="24"/>
      <c r="C87" s="24"/>
      <c r="D87" s="31"/>
      <c r="E87" s="24"/>
      <c r="F87" s="24"/>
      <c r="G87" s="24"/>
      <c r="H87" s="31" t="s">
        <v>895</v>
      </c>
      <c r="I87" s="24" t="s">
        <v>305</v>
      </c>
      <c r="J87" s="24"/>
      <c r="K87" s="24"/>
      <c r="L87" s="24"/>
      <c r="M87" s="24"/>
    </row>
    <row r="88" spans="2:13" x14ac:dyDescent="0.25">
      <c r="B88" s="19" t="s">
        <v>310</v>
      </c>
      <c r="C88" s="18" t="s">
        <v>709</v>
      </c>
      <c r="D88" s="19" t="s">
        <v>312</v>
      </c>
      <c r="E88" s="18" t="s">
        <v>313</v>
      </c>
      <c r="F88" s="19"/>
      <c r="G88" s="18"/>
      <c r="H88" s="19"/>
      <c r="I88" s="18"/>
      <c r="J88" s="19"/>
      <c r="K88" s="18"/>
      <c r="L88" s="19"/>
      <c r="M88" s="18"/>
    </row>
    <row r="89" spans="2:13" ht="25.5" x14ac:dyDescent="0.25">
      <c r="B89" s="18"/>
      <c r="C89" s="18"/>
      <c r="D89" s="19" t="s">
        <v>314</v>
      </c>
      <c r="E89" s="18" t="s">
        <v>315</v>
      </c>
      <c r="F89" s="18"/>
      <c r="G89" s="18"/>
      <c r="H89" s="18"/>
      <c r="I89" s="18"/>
      <c r="J89" s="18"/>
      <c r="K89" s="18"/>
      <c r="L89" s="18"/>
      <c r="M89" s="18"/>
    </row>
    <row r="90" spans="2:13" ht="25.5" x14ac:dyDescent="0.25">
      <c r="B90" s="18"/>
      <c r="C90" s="18"/>
      <c r="D90" s="19" t="s">
        <v>316</v>
      </c>
      <c r="E90" s="18" t="s">
        <v>317</v>
      </c>
      <c r="F90" s="18"/>
      <c r="G90" s="18"/>
      <c r="H90" s="18"/>
      <c r="I90" s="18"/>
      <c r="J90" s="18"/>
      <c r="K90" s="18"/>
      <c r="L90" s="18"/>
      <c r="M90" s="18"/>
    </row>
    <row r="91" spans="2:13" x14ac:dyDescent="0.25">
      <c r="B91" s="24"/>
      <c r="C91" s="24"/>
      <c r="D91" s="26" t="s">
        <v>1065</v>
      </c>
      <c r="E91" s="24" t="s">
        <v>671</v>
      </c>
      <c r="F91" s="24"/>
      <c r="G91" s="24"/>
      <c r="H91" s="24"/>
      <c r="I91" s="24"/>
      <c r="J91" s="24"/>
      <c r="K91" s="24"/>
      <c r="L91" s="24"/>
      <c r="M91" s="24"/>
    </row>
    <row r="92" spans="2:13" x14ac:dyDescent="0.25">
      <c r="B92" s="19" t="s">
        <v>326</v>
      </c>
      <c r="C92" s="18" t="s">
        <v>710</v>
      </c>
      <c r="D92" s="19" t="s">
        <v>328</v>
      </c>
      <c r="E92" s="18" t="s">
        <v>329</v>
      </c>
      <c r="F92" s="19"/>
      <c r="G92" s="18"/>
      <c r="H92" s="19"/>
      <c r="I92" s="18"/>
      <c r="J92" s="19"/>
      <c r="K92" s="18"/>
      <c r="L92" s="19"/>
      <c r="M92" s="18"/>
    </row>
    <row r="93" spans="2:13" x14ac:dyDescent="0.25">
      <c r="B93" s="19"/>
      <c r="C93" s="18"/>
      <c r="D93" s="19" t="s">
        <v>330</v>
      </c>
      <c r="E93" s="18" t="s">
        <v>331</v>
      </c>
      <c r="F93" s="19"/>
      <c r="G93" s="18"/>
      <c r="H93" s="19"/>
      <c r="I93" s="18"/>
      <c r="J93" s="19"/>
      <c r="K93" s="18"/>
      <c r="L93" s="19"/>
      <c r="M93" s="18"/>
    </row>
    <row r="94" spans="2:13" x14ac:dyDescent="0.25">
      <c r="B94" s="19"/>
      <c r="C94" s="18"/>
      <c r="D94" s="19" t="s">
        <v>332</v>
      </c>
      <c r="E94" s="18" t="s">
        <v>333</v>
      </c>
      <c r="F94" s="19"/>
      <c r="G94" s="18"/>
      <c r="H94" s="19"/>
      <c r="I94" s="18"/>
      <c r="J94" s="19"/>
      <c r="K94" s="18"/>
      <c r="L94" s="19"/>
      <c r="M94" s="18"/>
    </row>
    <row r="95" spans="2:13" ht="25.5" x14ac:dyDescent="0.25">
      <c r="B95" s="19"/>
      <c r="C95" s="18"/>
      <c r="D95" s="19" t="s">
        <v>897</v>
      </c>
      <c r="E95" s="18" t="s">
        <v>335</v>
      </c>
      <c r="F95" s="19"/>
      <c r="G95" s="18"/>
      <c r="H95" s="19"/>
      <c r="I95" s="18"/>
      <c r="J95" s="19"/>
      <c r="K95" s="18"/>
      <c r="L95" s="19"/>
      <c r="M95" s="18"/>
    </row>
    <row r="96" spans="2:13" x14ac:dyDescent="0.25">
      <c r="B96" s="19"/>
      <c r="C96" s="18"/>
      <c r="D96" s="19" t="s">
        <v>898</v>
      </c>
      <c r="E96" s="18" t="s">
        <v>337</v>
      </c>
      <c r="F96" s="19"/>
      <c r="G96" s="18"/>
      <c r="H96" s="19"/>
      <c r="I96" s="18"/>
      <c r="J96" s="19"/>
      <c r="K96" s="18"/>
      <c r="L96" s="19"/>
      <c r="M96" s="18"/>
    </row>
    <row r="97" spans="2:13" x14ac:dyDescent="0.25">
      <c r="B97" s="24"/>
      <c r="C97" s="24"/>
      <c r="D97" s="26" t="s">
        <v>899</v>
      </c>
      <c r="E97" s="24" t="s">
        <v>339</v>
      </c>
      <c r="F97" s="24"/>
      <c r="G97" s="24"/>
      <c r="H97" s="24"/>
      <c r="I97" s="24"/>
      <c r="J97" s="24"/>
      <c r="K97" s="24"/>
      <c r="L97" s="24"/>
      <c r="M97" s="24"/>
    </row>
    <row r="98" spans="2:13" ht="25.5" x14ac:dyDescent="0.25">
      <c r="B98" s="19" t="s">
        <v>340</v>
      </c>
      <c r="C98" s="18" t="s">
        <v>711</v>
      </c>
      <c r="D98" s="19" t="s">
        <v>346</v>
      </c>
      <c r="E98" s="18" t="s">
        <v>347</v>
      </c>
      <c r="F98" s="19"/>
      <c r="H98" s="19" t="s">
        <v>902</v>
      </c>
      <c r="I98" s="18" t="s">
        <v>349</v>
      </c>
      <c r="J98" s="19"/>
      <c r="K98" s="18"/>
      <c r="L98" s="19"/>
      <c r="M98" s="18"/>
    </row>
    <row r="99" spans="2:13" ht="25.5" x14ac:dyDescent="0.25">
      <c r="B99" s="19"/>
      <c r="C99" s="18"/>
      <c r="D99" s="19"/>
      <c r="E99" s="18"/>
      <c r="F99" s="19"/>
      <c r="H99" s="19" t="s">
        <v>903</v>
      </c>
      <c r="I99" s="18" t="s">
        <v>351</v>
      </c>
      <c r="J99" s="19"/>
      <c r="K99" s="18"/>
      <c r="L99" s="19"/>
      <c r="M99" s="18"/>
    </row>
    <row r="100" spans="2:13" x14ac:dyDescent="0.25">
      <c r="B100" s="19"/>
      <c r="C100" s="18"/>
      <c r="D100" s="19"/>
      <c r="E100" s="18"/>
      <c r="F100" s="19"/>
      <c r="H100" s="19" t="s">
        <v>904</v>
      </c>
      <c r="I100" s="18" t="s">
        <v>353</v>
      </c>
      <c r="J100" s="19"/>
      <c r="K100" s="18"/>
      <c r="L100" s="19"/>
      <c r="M100" s="18"/>
    </row>
    <row r="101" spans="2:13" x14ac:dyDescent="0.25">
      <c r="B101" s="19"/>
      <c r="C101" s="18"/>
      <c r="D101" s="19"/>
      <c r="E101" s="18"/>
      <c r="F101" s="19"/>
      <c r="H101" s="19" t="s">
        <v>905</v>
      </c>
      <c r="I101" s="18" t="s">
        <v>355</v>
      </c>
      <c r="J101" s="19"/>
      <c r="K101" s="18"/>
      <c r="L101" s="19"/>
      <c r="M101" s="18"/>
    </row>
    <row r="102" spans="2:13" ht="25.5" x14ac:dyDescent="0.25">
      <c r="B102" s="19"/>
      <c r="C102" s="18"/>
      <c r="D102" s="19"/>
      <c r="E102" s="18"/>
      <c r="F102" s="19"/>
      <c r="H102" s="19" t="s">
        <v>906</v>
      </c>
      <c r="I102" s="18" t="s">
        <v>357</v>
      </c>
      <c r="J102" s="19"/>
      <c r="K102" s="18"/>
      <c r="L102" s="19"/>
      <c r="M102" s="18"/>
    </row>
    <row r="103" spans="2:13" ht="25.5" x14ac:dyDescent="0.25">
      <c r="B103" s="19"/>
      <c r="C103" s="18"/>
      <c r="D103" s="19"/>
      <c r="E103" s="18"/>
      <c r="F103" s="19"/>
      <c r="H103" s="19" t="s">
        <v>907</v>
      </c>
      <c r="I103" s="18" t="s">
        <v>359</v>
      </c>
      <c r="J103" s="19"/>
      <c r="K103" s="18"/>
      <c r="L103" s="19"/>
      <c r="M103" s="18"/>
    </row>
    <row r="104" spans="2:13" x14ac:dyDescent="0.25">
      <c r="B104" s="19"/>
      <c r="C104" s="18"/>
      <c r="D104" s="19"/>
      <c r="E104" s="18"/>
      <c r="F104" s="19"/>
      <c r="H104" s="19" t="s">
        <v>908</v>
      </c>
      <c r="I104" s="18" t="s">
        <v>361</v>
      </c>
      <c r="J104" s="19"/>
      <c r="K104" s="18"/>
      <c r="L104" s="19"/>
      <c r="M104" s="18"/>
    </row>
    <row r="105" spans="2:13" x14ac:dyDescent="0.25">
      <c r="B105" s="19"/>
      <c r="C105" s="18"/>
      <c r="D105" s="19"/>
      <c r="E105" s="18"/>
      <c r="F105" s="19"/>
      <c r="H105" s="19" t="s">
        <v>909</v>
      </c>
      <c r="I105" s="18" t="s">
        <v>363</v>
      </c>
      <c r="J105" s="19"/>
      <c r="K105" s="18"/>
      <c r="L105" s="19"/>
      <c r="M105" s="18"/>
    </row>
    <row r="106" spans="2:13" x14ac:dyDescent="0.25">
      <c r="B106" s="19"/>
      <c r="C106" s="18"/>
      <c r="D106" s="19"/>
      <c r="E106" s="18"/>
      <c r="F106" s="19"/>
      <c r="H106" s="19" t="s">
        <v>910</v>
      </c>
      <c r="I106" s="18" t="s">
        <v>365</v>
      </c>
      <c r="J106" s="19"/>
      <c r="K106" s="18"/>
      <c r="L106" s="19"/>
      <c r="M106" s="18"/>
    </row>
    <row r="107" spans="2:13" x14ac:dyDescent="0.25">
      <c r="B107" s="19"/>
      <c r="C107" s="18"/>
      <c r="D107" s="26"/>
      <c r="E107" s="24"/>
      <c r="F107" s="26"/>
      <c r="G107" s="29"/>
      <c r="H107" s="26" t="s">
        <v>348</v>
      </c>
      <c r="I107" s="24" t="s">
        <v>367</v>
      </c>
      <c r="J107" s="26"/>
      <c r="K107" s="24"/>
      <c r="L107" s="26"/>
      <c r="M107" s="24"/>
    </row>
    <row r="108" spans="2:13" x14ac:dyDescent="0.25">
      <c r="B108" s="19"/>
      <c r="C108" s="18"/>
      <c r="D108" s="19" t="s">
        <v>368</v>
      </c>
      <c r="E108" s="18" t="s">
        <v>900</v>
      </c>
      <c r="F108" s="19"/>
      <c r="G108" s="18"/>
      <c r="H108" s="19" t="s">
        <v>911</v>
      </c>
      <c r="I108" s="18" t="s">
        <v>371</v>
      </c>
      <c r="J108" s="19"/>
      <c r="K108" s="18"/>
      <c r="L108" s="19"/>
      <c r="M108" s="18"/>
    </row>
    <row r="109" spans="2:13" x14ac:dyDescent="0.25">
      <c r="B109" s="19"/>
      <c r="C109" s="18"/>
      <c r="D109" s="19"/>
      <c r="E109" s="18"/>
      <c r="F109" s="19"/>
      <c r="G109" s="18"/>
      <c r="H109" s="19" t="s">
        <v>912</v>
      </c>
      <c r="I109" s="18" t="s">
        <v>373</v>
      </c>
      <c r="J109" s="19"/>
      <c r="K109" s="18"/>
      <c r="L109" s="19"/>
      <c r="M109" s="18"/>
    </row>
    <row r="110" spans="2:13" x14ac:dyDescent="0.25">
      <c r="B110" s="19"/>
      <c r="C110" s="18"/>
      <c r="D110" s="19"/>
      <c r="E110" s="18"/>
      <c r="F110" s="19"/>
      <c r="G110" s="18"/>
      <c r="H110" s="19" t="s">
        <v>913</v>
      </c>
      <c r="I110" s="18" t="s">
        <v>375</v>
      </c>
      <c r="J110" s="19"/>
      <c r="K110" s="18"/>
      <c r="L110" s="19"/>
      <c r="M110" s="18"/>
    </row>
    <row r="111" spans="2:13" x14ac:dyDescent="0.25">
      <c r="B111" s="19"/>
      <c r="C111" s="18"/>
      <c r="D111" s="19"/>
      <c r="E111" s="18"/>
      <c r="F111" s="19"/>
      <c r="G111" s="18"/>
      <c r="H111" s="19" t="s">
        <v>914</v>
      </c>
      <c r="I111" s="18" t="s">
        <v>377</v>
      </c>
      <c r="J111" s="19"/>
      <c r="K111" s="18"/>
      <c r="L111" s="19"/>
      <c r="M111" s="18"/>
    </row>
    <row r="112" spans="2:13" x14ac:dyDescent="0.25">
      <c r="B112" s="19"/>
      <c r="C112" s="18"/>
      <c r="D112" s="19"/>
      <c r="E112" s="18"/>
      <c r="F112" s="19"/>
      <c r="G112" s="18"/>
      <c r="H112" s="19" t="s">
        <v>370</v>
      </c>
      <c r="I112" s="18" t="s">
        <v>379</v>
      </c>
      <c r="J112" s="19"/>
      <c r="K112" s="18"/>
      <c r="L112" s="19"/>
      <c r="M112" s="18"/>
    </row>
    <row r="113" spans="2:13" x14ac:dyDescent="0.25">
      <c r="B113" s="19"/>
      <c r="C113" s="18"/>
      <c r="D113" s="19"/>
      <c r="E113" s="18"/>
      <c r="F113" s="19"/>
      <c r="G113" s="18"/>
      <c r="H113" s="19" t="s">
        <v>915</v>
      </c>
      <c r="I113" s="18" t="s">
        <v>381</v>
      </c>
      <c r="J113" s="19"/>
      <c r="K113" s="18"/>
      <c r="L113" s="19"/>
      <c r="M113" s="18"/>
    </row>
    <row r="114" spans="2:13" x14ac:dyDescent="0.25">
      <c r="B114" s="19"/>
      <c r="C114" s="18"/>
      <c r="D114" s="19"/>
      <c r="E114" s="18"/>
      <c r="F114" s="19"/>
      <c r="G114" s="18"/>
      <c r="H114" s="19" t="s">
        <v>916</v>
      </c>
      <c r="I114" s="18" t="s">
        <v>383</v>
      </c>
      <c r="J114" s="19"/>
      <c r="K114" s="18"/>
      <c r="L114" s="19"/>
      <c r="M114" s="18"/>
    </row>
    <row r="115" spans="2:13" x14ac:dyDescent="0.25">
      <c r="B115" s="19"/>
      <c r="C115" s="18"/>
      <c r="D115" s="19"/>
      <c r="E115" s="18"/>
      <c r="F115" s="19"/>
      <c r="G115" s="18"/>
      <c r="H115" s="19" t="s">
        <v>917</v>
      </c>
      <c r="I115" s="18" t="s">
        <v>385</v>
      </c>
      <c r="J115" s="19"/>
      <c r="K115" s="18"/>
      <c r="L115" s="19"/>
      <c r="M115" s="18"/>
    </row>
    <row r="116" spans="2:13" ht="25.5" x14ac:dyDescent="0.25">
      <c r="B116" s="19"/>
      <c r="C116" s="18"/>
      <c r="D116" s="19"/>
      <c r="E116" s="18"/>
      <c r="F116" s="19"/>
      <c r="G116" s="18"/>
      <c r="H116" s="19" t="s">
        <v>918</v>
      </c>
      <c r="I116" s="18" t="s">
        <v>387</v>
      </c>
      <c r="J116" s="19"/>
      <c r="K116" s="18"/>
      <c r="L116" s="19"/>
      <c r="M116" s="18"/>
    </row>
    <row r="117" spans="2:13" x14ac:dyDescent="0.25">
      <c r="B117" s="19"/>
      <c r="C117" s="18"/>
      <c r="D117" s="19"/>
      <c r="E117" s="18"/>
      <c r="F117" s="19"/>
      <c r="G117" s="18"/>
      <c r="H117" s="19" t="s">
        <v>372</v>
      </c>
      <c r="I117" s="18" t="s">
        <v>389</v>
      </c>
      <c r="J117" s="19"/>
      <c r="K117" s="18"/>
      <c r="L117" s="19"/>
      <c r="M117" s="18"/>
    </row>
    <row r="118" spans="2:13" ht="25.5" x14ac:dyDescent="0.25">
      <c r="B118" s="19"/>
      <c r="C118" s="18"/>
      <c r="D118" s="19"/>
      <c r="E118" s="18"/>
      <c r="F118" s="19"/>
      <c r="G118" s="18"/>
      <c r="H118" s="19" t="s">
        <v>919</v>
      </c>
      <c r="I118" s="18" t="s">
        <v>391</v>
      </c>
      <c r="J118" s="19"/>
      <c r="K118" s="18"/>
      <c r="L118" s="19"/>
      <c r="M118" s="18"/>
    </row>
    <row r="119" spans="2:13" ht="25.5" x14ac:dyDescent="0.25">
      <c r="B119" s="19"/>
      <c r="C119" s="18"/>
      <c r="D119" s="19"/>
      <c r="E119" s="18"/>
      <c r="F119" s="19"/>
      <c r="G119" s="18"/>
      <c r="H119" s="19" t="s">
        <v>920</v>
      </c>
      <c r="I119" s="18" t="s">
        <v>393</v>
      </c>
      <c r="J119" s="19"/>
      <c r="K119" s="18"/>
      <c r="L119" s="19"/>
      <c r="M119" s="18"/>
    </row>
    <row r="120" spans="2:13" ht="25.5" x14ac:dyDescent="0.25">
      <c r="B120" s="19"/>
      <c r="C120" s="18"/>
      <c r="D120" s="19"/>
      <c r="E120" s="18"/>
      <c r="F120" s="19"/>
      <c r="G120" s="18"/>
      <c r="H120" s="19" t="s">
        <v>921</v>
      </c>
      <c r="I120" s="18" t="s">
        <v>395</v>
      </c>
      <c r="J120" s="19"/>
      <c r="K120" s="18"/>
      <c r="L120" s="19"/>
      <c r="M120" s="18"/>
    </row>
    <row r="121" spans="2:13" ht="25.5" x14ac:dyDescent="0.25">
      <c r="B121" s="19"/>
      <c r="C121" s="18"/>
      <c r="D121" s="19"/>
      <c r="E121" s="18"/>
      <c r="F121" s="19"/>
      <c r="G121" s="18"/>
      <c r="H121" s="19" t="s">
        <v>922</v>
      </c>
      <c r="I121" s="18" t="s">
        <v>397</v>
      </c>
      <c r="J121" s="19"/>
      <c r="K121" s="18"/>
      <c r="L121" s="19"/>
      <c r="M121" s="18"/>
    </row>
    <row r="122" spans="2:13" ht="25.5" x14ac:dyDescent="0.25">
      <c r="B122" s="19"/>
      <c r="C122" s="18"/>
      <c r="D122" s="19"/>
      <c r="E122" s="18"/>
      <c r="F122" s="19"/>
      <c r="G122" s="18"/>
      <c r="H122" s="19" t="s">
        <v>923</v>
      </c>
      <c r="I122" s="18" t="s">
        <v>399</v>
      </c>
      <c r="J122" s="19"/>
      <c r="K122" s="18"/>
      <c r="L122" s="19"/>
      <c r="M122" s="18"/>
    </row>
    <row r="123" spans="2:13" x14ac:dyDescent="0.25">
      <c r="B123" s="19"/>
      <c r="C123" s="18"/>
      <c r="D123" s="19"/>
      <c r="E123" s="18"/>
      <c r="F123" s="19"/>
      <c r="G123" s="18"/>
      <c r="H123" s="19" t="s">
        <v>924</v>
      </c>
      <c r="I123" s="18" t="s">
        <v>401</v>
      </c>
      <c r="J123" s="19"/>
      <c r="K123" s="18"/>
      <c r="L123" s="19"/>
      <c r="M123" s="18"/>
    </row>
    <row r="124" spans="2:13" x14ac:dyDescent="0.25">
      <c r="B124" s="19"/>
      <c r="C124" s="18"/>
      <c r="D124" s="19"/>
      <c r="E124" s="18"/>
      <c r="F124" s="19"/>
      <c r="G124" s="18"/>
      <c r="H124" s="19" t="s">
        <v>925</v>
      </c>
      <c r="I124" s="18" t="s">
        <v>403</v>
      </c>
      <c r="J124" s="19"/>
      <c r="K124" s="18"/>
      <c r="L124" s="19"/>
      <c r="M124" s="18"/>
    </row>
    <row r="125" spans="2:13" ht="25.5" x14ac:dyDescent="0.25">
      <c r="B125" s="19"/>
      <c r="C125" s="18"/>
      <c r="D125" s="19"/>
      <c r="E125" s="18"/>
      <c r="F125" s="19"/>
      <c r="G125" s="18"/>
      <c r="H125" s="19" t="s">
        <v>926</v>
      </c>
      <c r="I125" s="18" t="s">
        <v>405</v>
      </c>
      <c r="J125" s="19"/>
      <c r="K125" s="18"/>
      <c r="L125" s="19"/>
      <c r="M125" s="18"/>
    </row>
    <row r="126" spans="2:13" x14ac:dyDescent="0.25">
      <c r="B126" s="19"/>
      <c r="C126" s="18"/>
      <c r="D126" s="26"/>
      <c r="E126" s="24"/>
      <c r="F126" s="26"/>
      <c r="G126" s="24"/>
      <c r="H126" s="26" t="s">
        <v>927</v>
      </c>
      <c r="I126" s="24" t="s">
        <v>407</v>
      </c>
      <c r="J126" s="26"/>
      <c r="K126" s="24"/>
      <c r="L126" s="26"/>
      <c r="M126" s="24"/>
    </row>
    <row r="127" spans="2:13" x14ac:dyDescent="0.25">
      <c r="B127" s="19"/>
      <c r="C127" s="18"/>
      <c r="D127" s="19" t="s">
        <v>408</v>
      </c>
      <c r="E127" s="18" t="s">
        <v>901</v>
      </c>
      <c r="F127" s="19"/>
      <c r="G127" s="18"/>
      <c r="H127" s="19" t="s">
        <v>928</v>
      </c>
      <c r="I127" s="18" t="s">
        <v>411</v>
      </c>
      <c r="J127" s="19"/>
      <c r="K127" s="18"/>
      <c r="L127" s="19"/>
      <c r="M127" s="18"/>
    </row>
    <row r="128" spans="2:13" x14ac:dyDescent="0.25">
      <c r="B128" s="19"/>
      <c r="C128" s="18"/>
      <c r="D128" s="19"/>
      <c r="E128" s="18"/>
      <c r="F128" s="19"/>
      <c r="G128" s="18"/>
      <c r="H128" s="19" t="s">
        <v>929</v>
      </c>
      <c r="I128" s="18" t="s">
        <v>413</v>
      </c>
      <c r="J128" s="19"/>
      <c r="K128" s="18"/>
      <c r="L128" s="19"/>
      <c r="M128" s="18"/>
    </row>
    <row r="129" spans="2:13" x14ac:dyDescent="0.25">
      <c r="B129" s="19"/>
      <c r="C129" s="18"/>
      <c r="D129" s="19"/>
      <c r="E129" s="18"/>
      <c r="F129" s="19"/>
      <c r="G129" s="18"/>
      <c r="H129" s="19" t="s">
        <v>930</v>
      </c>
      <c r="I129" s="18" t="s">
        <v>205</v>
      </c>
      <c r="J129" s="19"/>
      <c r="K129" s="18"/>
      <c r="L129" s="19"/>
      <c r="M129" s="18"/>
    </row>
    <row r="130" spans="2:13" x14ac:dyDescent="0.25">
      <c r="B130" s="19"/>
      <c r="C130" s="18"/>
      <c r="D130" s="19"/>
      <c r="E130" s="18"/>
      <c r="F130" s="19"/>
      <c r="G130" s="18"/>
      <c r="H130" s="19" t="s">
        <v>931</v>
      </c>
      <c r="I130" s="18" t="s">
        <v>416</v>
      </c>
      <c r="J130" s="19"/>
      <c r="K130" s="18"/>
      <c r="L130" s="19"/>
      <c r="M130" s="18"/>
    </row>
    <row r="131" spans="2:13" x14ac:dyDescent="0.25">
      <c r="B131" s="19"/>
      <c r="C131" s="18"/>
      <c r="D131" s="19"/>
      <c r="E131" s="18"/>
      <c r="F131" s="19"/>
      <c r="G131" s="18"/>
      <c r="H131" s="19" t="s">
        <v>932</v>
      </c>
      <c r="I131" s="18" t="s">
        <v>418</v>
      </c>
      <c r="J131" s="19"/>
      <c r="K131" s="18"/>
      <c r="L131" s="19"/>
      <c r="M131" s="18"/>
    </row>
    <row r="132" spans="2:13" ht="25.5" x14ac:dyDescent="0.25">
      <c r="B132" s="19"/>
      <c r="C132" s="18"/>
      <c r="D132" s="19"/>
      <c r="E132" s="18"/>
      <c r="F132" s="19"/>
      <c r="G132" s="18"/>
      <c r="H132" s="19" t="s">
        <v>933</v>
      </c>
      <c r="I132" s="18" t="s">
        <v>420</v>
      </c>
      <c r="J132" s="19"/>
      <c r="K132" s="18"/>
      <c r="L132" s="19"/>
      <c r="M132" s="18"/>
    </row>
    <row r="133" spans="2:13" x14ac:dyDescent="0.25">
      <c r="B133" s="19"/>
      <c r="C133" s="18"/>
      <c r="D133" s="19"/>
      <c r="E133" s="18"/>
      <c r="F133" s="19"/>
      <c r="G133" s="18"/>
      <c r="H133" s="19" t="s">
        <v>934</v>
      </c>
      <c r="I133" s="18" t="s">
        <v>422</v>
      </c>
      <c r="J133" s="19"/>
      <c r="K133" s="18"/>
      <c r="L133" s="19"/>
      <c r="M133" s="18"/>
    </row>
    <row r="134" spans="2:13" x14ac:dyDescent="0.25">
      <c r="B134" s="19"/>
      <c r="C134" s="18"/>
      <c r="D134" s="19"/>
      <c r="E134" s="18"/>
      <c r="F134" s="19"/>
      <c r="G134" s="18"/>
      <c r="H134" s="19" t="s">
        <v>935</v>
      </c>
      <c r="I134" s="18" t="s">
        <v>209</v>
      </c>
      <c r="J134" s="19"/>
      <c r="K134" s="18"/>
      <c r="L134" s="19"/>
      <c r="M134" s="18"/>
    </row>
    <row r="135" spans="2:13" x14ac:dyDescent="0.25">
      <c r="B135" s="19"/>
      <c r="C135" s="18"/>
      <c r="D135" s="19"/>
      <c r="E135" s="18"/>
      <c r="F135" s="19"/>
      <c r="G135" s="18"/>
      <c r="H135" s="19" t="s">
        <v>936</v>
      </c>
      <c r="I135" s="18" t="s">
        <v>425</v>
      </c>
      <c r="J135" s="19"/>
      <c r="K135" s="18"/>
      <c r="L135" s="19"/>
      <c r="M135" s="18"/>
    </row>
    <row r="136" spans="2:13" x14ac:dyDescent="0.25">
      <c r="B136" s="19"/>
      <c r="C136" s="18"/>
      <c r="D136" s="19"/>
      <c r="E136" s="18"/>
      <c r="F136" s="19"/>
      <c r="G136" s="18"/>
      <c r="H136" s="19" t="s">
        <v>410</v>
      </c>
      <c r="I136" s="18" t="s">
        <v>427</v>
      </c>
      <c r="J136" s="19"/>
      <c r="K136" s="18"/>
      <c r="L136" s="19"/>
      <c r="M136" s="18"/>
    </row>
    <row r="137" spans="2:13" ht="25.5" x14ac:dyDescent="0.25">
      <c r="B137" s="19"/>
      <c r="C137" s="18"/>
      <c r="D137" s="19"/>
      <c r="E137" s="18"/>
      <c r="F137" s="19"/>
      <c r="G137" s="18"/>
      <c r="H137" s="19" t="s">
        <v>937</v>
      </c>
      <c r="I137" s="18" t="s">
        <v>429</v>
      </c>
      <c r="J137" s="19"/>
      <c r="K137" s="18"/>
      <c r="L137" s="19"/>
      <c r="M137" s="18"/>
    </row>
    <row r="138" spans="2:13" ht="25.5" x14ac:dyDescent="0.25">
      <c r="B138" s="19"/>
      <c r="C138" s="18"/>
      <c r="D138" s="19"/>
      <c r="E138" s="18"/>
      <c r="F138" s="19"/>
      <c r="G138" s="18"/>
      <c r="H138" s="19" t="s">
        <v>938</v>
      </c>
      <c r="I138" s="18" t="s">
        <v>431</v>
      </c>
      <c r="J138" s="19"/>
      <c r="K138" s="18"/>
      <c r="L138" s="19"/>
      <c r="M138" s="18"/>
    </row>
    <row r="139" spans="2:13" x14ac:dyDescent="0.25">
      <c r="B139" s="19"/>
      <c r="C139" s="18"/>
      <c r="D139" s="19"/>
      <c r="E139" s="18"/>
      <c r="F139" s="19"/>
      <c r="G139" s="18"/>
      <c r="H139" s="19" t="s">
        <v>939</v>
      </c>
      <c r="I139" s="18" t="s">
        <v>433</v>
      </c>
      <c r="J139" s="19"/>
      <c r="K139" s="18"/>
      <c r="L139" s="19"/>
      <c r="M139" s="18"/>
    </row>
    <row r="140" spans="2:13" x14ac:dyDescent="0.25">
      <c r="B140" s="19"/>
      <c r="C140" s="18"/>
      <c r="D140" s="19"/>
      <c r="E140" s="18"/>
      <c r="F140" s="19"/>
      <c r="G140" s="18"/>
      <c r="H140" s="19" t="s">
        <v>940</v>
      </c>
      <c r="I140" s="18" t="s">
        <v>435</v>
      </c>
      <c r="J140" s="19"/>
      <c r="K140" s="18"/>
      <c r="L140" s="19"/>
      <c r="M140" s="18"/>
    </row>
    <row r="141" spans="2:13" x14ac:dyDescent="0.25">
      <c r="B141" s="19"/>
      <c r="C141" s="18"/>
      <c r="D141" s="19"/>
      <c r="E141" s="18"/>
      <c r="F141" s="19"/>
      <c r="G141" s="18"/>
      <c r="H141" s="19" t="s">
        <v>941</v>
      </c>
      <c r="I141" s="18" t="s">
        <v>437</v>
      </c>
      <c r="J141" s="19"/>
      <c r="K141" s="18"/>
      <c r="L141" s="19"/>
      <c r="M141" s="18"/>
    </row>
    <row r="142" spans="2:13" ht="25.5" x14ac:dyDescent="0.25">
      <c r="B142" s="19"/>
      <c r="C142" s="18"/>
      <c r="D142" s="19"/>
      <c r="E142" s="18"/>
      <c r="F142" s="19"/>
      <c r="G142" s="18"/>
      <c r="H142" s="19" t="s">
        <v>942</v>
      </c>
      <c r="I142" s="18" t="s">
        <v>439</v>
      </c>
      <c r="J142" s="19"/>
      <c r="K142" s="18"/>
      <c r="L142" s="19"/>
      <c r="M142" s="18"/>
    </row>
    <row r="143" spans="2:13" x14ac:dyDescent="0.25">
      <c r="B143" s="19"/>
      <c r="C143" s="18"/>
      <c r="D143" s="19"/>
      <c r="E143" s="18"/>
      <c r="F143" s="19"/>
      <c r="G143" s="18"/>
      <c r="H143" s="19" t="s">
        <v>943</v>
      </c>
      <c r="I143" s="18" t="s">
        <v>441</v>
      </c>
      <c r="J143" s="19"/>
      <c r="K143" s="18"/>
      <c r="L143" s="19"/>
      <c r="M143" s="18"/>
    </row>
    <row r="144" spans="2:13" x14ac:dyDescent="0.25">
      <c r="B144" s="19"/>
      <c r="C144" s="18"/>
      <c r="D144" s="19"/>
      <c r="E144" s="18"/>
      <c r="F144" s="19"/>
      <c r="G144" s="18"/>
      <c r="H144" s="19" t="s">
        <v>944</v>
      </c>
      <c r="I144" s="18" t="s">
        <v>443</v>
      </c>
      <c r="J144" s="19"/>
      <c r="K144" s="18"/>
      <c r="L144" s="19"/>
      <c r="M144" s="18"/>
    </row>
    <row r="145" spans="2:13" x14ac:dyDescent="0.25">
      <c r="B145" s="19"/>
      <c r="C145" s="18"/>
      <c r="D145" s="19"/>
      <c r="E145" s="18"/>
      <c r="F145" s="19"/>
      <c r="G145" s="18"/>
      <c r="H145" s="19" t="s">
        <v>945</v>
      </c>
      <c r="I145" s="18" t="s">
        <v>445</v>
      </c>
      <c r="J145" s="19"/>
      <c r="K145" s="18"/>
      <c r="L145" s="19"/>
      <c r="M145" s="18"/>
    </row>
    <row r="146" spans="2:13" x14ac:dyDescent="0.25">
      <c r="B146" s="19"/>
      <c r="C146" s="18"/>
      <c r="D146" s="19"/>
      <c r="E146" s="18"/>
      <c r="F146" s="19"/>
      <c r="G146" s="18"/>
      <c r="H146" s="19" t="s">
        <v>412</v>
      </c>
      <c r="I146" s="18" t="s">
        <v>447</v>
      </c>
      <c r="J146" s="19"/>
      <c r="K146" s="18"/>
      <c r="L146" s="19"/>
      <c r="M146" s="18"/>
    </row>
    <row r="147" spans="2:13" x14ac:dyDescent="0.25">
      <c r="B147" s="19"/>
      <c r="C147" s="18"/>
      <c r="D147" s="19"/>
      <c r="E147" s="18"/>
      <c r="F147" s="19"/>
      <c r="G147" s="18"/>
      <c r="H147" s="19" t="s">
        <v>946</v>
      </c>
      <c r="I147" s="18" t="s">
        <v>449</v>
      </c>
      <c r="J147" s="19"/>
      <c r="K147" s="18"/>
      <c r="L147" s="19"/>
      <c r="M147" s="18"/>
    </row>
    <row r="148" spans="2:13" x14ac:dyDescent="0.25">
      <c r="B148" s="19"/>
      <c r="C148" s="18"/>
      <c r="D148" s="19"/>
      <c r="E148" s="18"/>
      <c r="F148" s="19"/>
      <c r="G148" s="18"/>
      <c r="H148" s="19" t="s">
        <v>947</v>
      </c>
      <c r="I148" s="18" t="s">
        <v>451</v>
      </c>
      <c r="J148" s="19"/>
      <c r="K148" s="18"/>
      <c r="L148" s="19"/>
      <c r="M148" s="18"/>
    </row>
    <row r="149" spans="2:13" x14ac:dyDescent="0.25">
      <c r="B149" s="19"/>
      <c r="C149" s="18"/>
      <c r="D149" s="19"/>
      <c r="E149" s="18"/>
      <c r="F149" s="19"/>
      <c r="G149" s="18"/>
      <c r="H149" s="19" t="s">
        <v>948</v>
      </c>
      <c r="I149" s="18" t="s">
        <v>453</v>
      </c>
      <c r="J149" s="19"/>
      <c r="K149" s="18"/>
      <c r="L149" s="19"/>
      <c r="M149" s="18"/>
    </row>
    <row r="150" spans="2:13" x14ac:dyDescent="0.25">
      <c r="B150" s="19"/>
      <c r="C150" s="18"/>
      <c r="D150" s="19"/>
      <c r="E150" s="18"/>
      <c r="F150" s="19"/>
      <c r="G150" s="18"/>
      <c r="H150" s="19" t="s">
        <v>949</v>
      </c>
      <c r="I150" s="18" t="s">
        <v>455</v>
      </c>
      <c r="J150" s="19"/>
      <c r="K150" s="18"/>
      <c r="L150" s="19"/>
      <c r="M150" s="18"/>
    </row>
    <row r="151" spans="2:13" x14ac:dyDescent="0.25">
      <c r="B151" s="19"/>
      <c r="C151" s="18"/>
      <c r="D151" s="19"/>
      <c r="E151" s="18"/>
      <c r="F151" s="19"/>
      <c r="G151" s="18"/>
      <c r="H151" s="19" t="s">
        <v>950</v>
      </c>
      <c r="I151" s="18" t="s">
        <v>457</v>
      </c>
      <c r="J151" s="19"/>
      <c r="K151" s="18"/>
      <c r="L151" s="19"/>
      <c r="M151" s="18"/>
    </row>
    <row r="152" spans="2:13" x14ac:dyDescent="0.25">
      <c r="B152" s="19"/>
      <c r="C152" s="18"/>
      <c r="D152" s="19"/>
      <c r="E152" s="18"/>
      <c r="F152" s="19"/>
      <c r="G152" s="18"/>
      <c r="H152" s="19" t="s">
        <v>951</v>
      </c>
      <c r="I152" s="18" t="s">
        <v>459</v>
      </c>
      <c r="J152" s="19"/>
      <c r="K152" s="18"/>
      <c r="L152" s="19"/>
      <c r="M152" s="18"/>
    </row>
    <row r="153" spans="2:13" x14ac:dyDescent="0.25">
      <c r="B153" s="19"/>
      <c r="C153" s="18"/>
      <c r="D153" s="19"/>
      <c r="E153" s="18"/>
      <c r="F153" s="19"/>
      <c r="G153" s="18"/>
      <c r="H153" s="19" t="s">
        <v>952</v>
      </c>
      <c r="I153" s="18" t="s">
        <v>461</v>
      </c>
      <c r="J153" s="19"/>
      <c r="K153" s="18"/>
      <c r="L153" s="19"/>
      <c r="M153" s="18"/>
    </row>
    <row r="154" spans="2:13" x14ac:dyDescent="0.25">
      <c r="B154" s="19"/>
      <c r="C154" s="18"/>
      <c r="D154" s="19"/>
      <c r="E154" s="18"/>
      <c r="F154" s="19"/>
      <c r="G154" s="18"/>
      <c r="H154" s="19" t="s">
        <v>953</v>
      </c>
      <c r="I154" s="18" t="s">
        <v>463</v>
      </c>
      <c r="J154" s="19"/>
      <c r="K154" s="18"/>
      <c r="L154" s="19"/>
      <c r="M154" s="18"/>
    </row>
    <row r="155" spans="2:13" x14ac:dyDescent="0.25">
      <c r="B155" s="19"/>
      <c r="C155" s="18"/>
      <c r="D155" s="19"/>
      <c r="E155" s="18"/>
      <c r="F155" s="19"/>
      <c r="G155" s="18"/>
      <c r="H155" s="19" t="s">
        <v>954</v>
      </c>
      <c r="I155" s="18" t="s">
        <v>465</v>
      </c>
      <c r="J155" s="19"/>
      <c r="K155" s="18"/>
      <c r="L155" s="19"/>
      <c r="M155" s="18"/>
    </row>
    <row r="156" spans="2:13" x14ac:dyDescent="0.25">
      <c r="B156" s="19"/>
      <c r="C156" s="18"/>
      <c r="D156" s="19"/>
      <c r="E156" s="18"/>
      <c r="F156" s="19"/>
      <c r="G156" s="18"/>
      <c r="H156" s="19" t="s">
        <v>414</v>
      </c>
      <c r="I156" s="18" t="s">
        <v>467</v>
      </c>
      <c r="J156" s="19"/>
      <c r="K156" s="18"/>
      <c r="L156" s="19"/>
      <c r="M156" s="18"/>
    </row>
    <row r="157" spans="2:13" x14ac:dyDescent="0.25">
      <c r="B157" s="19"/>
      <c r="C157" s="18"/>
      <c r="D157" s="19"/>
      <c r="E157" s="18"/>
      <c r="F157" s="19"/>
      <c r="G157" s="18"/>
      <c r="H157" s="19" t="s">
        <v>955</v>
      </c>
      <c r="I157" s="18" t="s">
        <v>469</v>
      </c>
      <c r="J157" s="19"/>
      <c r="K157" s="18"/>
      <c r="L157" s="19"/>
      <c r="M157" s="18"/>
    </row>
    <row r="158" spans="2:13" x14ac:dyDescent="0.25">
      <c r="B158" s="19"/>
      <c r="C158" s="18"/>
      <c r="D158" s="19"/>
      <c r="E158" s="18"/>
      <c r="F158" s="19"/>
      <c r="G158" s="18"/>
      <c r="H158" s="19" t="s">
        <v>956</v>
      </c>
      <c r="I158" s="18" t="s">
        <v>471</v>
      </c>
      <c r="J158" s="19"/>
      <c r="K158" s="18"/>
      <c r="L158" s="19"/>
      <c r="M158" s="18"/>
    </row>
    <row r="159" spans="2:13" ht="25.5" x14ac:dyDescent="0.25">
      <c r="B159" s="19"/>
      <c r="C159" s="18"/>
      <c r="D159" s="19"/>
      <c r="E159" s="18"/>
      <c r="F159" s="19"/>
      <c r="G159" s="18"/>
      <c r="H159" s="19" t="s">
        <v>957</v>
      </c>
      <c r="I159" s="18" t="s">
        <v>473</v>
      </c>
      <c r="J159" s="19"/>
      <c r="K159" s="18"/>
      <c r="L159" s="19"/>
      <c r="M159" s="18"/>
    </row>
    <row r="160" spans="2:13" ht="25.5" x14ac:dyDescent="0.25">
      <c r="B160" s="19"/>
      <c r="C160" s="18"/>
      <c r="D160" s="19"/>
      <c r="E160" s="18"/>
      <c r="F160" s="19"/>
      <c r="G160" s="18"/>
      <c r="H160" s="19" t="s">
        <v>958</v>
      </c>
      <c r="I160" s="18" t="s">
        <v>475</v>
      </c>
      <c r="J160" s="19"/>
      <c r="K160" s="18"/>
      <c r="L160" s="19"/>
      <c r="M160" s="18"/>
    </row>
    <row r="161" spans="2:13" ht="25.5" x14ac:dyDescent="0.25">
      <c r="B161" s="19"/>
      <c r="C161" s="18"/>
      <c r="D161" s="19"/>
      <c r="E161" s="18"/>
      <c r="F161" s="19"/>
      <c r="G161" s="18"/>
      <c r="H161" s="19" t="s">
        <v>959</v>
      </c>
      <c r="I161" s="18" t="s">
        <v>477</v>
      </c>
      <c r="J161" s="19"/>
      <c r="K161" s="18"/>
      <c r="L161" s="19"/>
      <c r="M161" s="18"/>
    </row>
    <row r="162" spans="2:13" ht="25.5" x14ac:dyDescent="0.25">
      <c r="B162" s="19"/>
      <c r="C162" s="18"/>
      <c r="D162" s="19"/>
      <c r="E162" s="18"/>
      <c r="F162" s="19"/>
      <c r="G162" s="18"/>
      <c r="H162" s="19" t="s">
        <v>960</v>
      </c>
      <c r="I162" s="18" t="s">
        <v>479</v>
      </c>
      <c r="J162" s="19"/>
      <c r="K162" s="18"/>
      <c r="L162" s="19"/>
      <c r="M162" s="18"/>
    </row>
    <row r="163" spans="2:13" ht="25.5" x14ac:dyDescent="0.25">
      <c r="B163" s="19"/>
      <c r="C163" s="18"/>
      <c r="D163" s="19"/>
      <c r="E163" s="18"/>
      <c r="F163" s="19"/>
      <c r="G163" s="18"/>
      <c r="H163" s="19" t="s">
        <v>961</v>
      </c>
      <c r="I163" s="18" t="s">
        <v>481</v>
      </c>
      <c r="J163" s="19"/>
      <c r="K163" s="18"/>
      <c r="L163" s="19"/>
      <c r="M163" s="18"/>
    </row>
    <row r="164" spans="2:13" x14ac:dyDescent="0.25">
      <c r="B164" s="19"/>
      <c r="C164" s="18"/>
      <c r="D164" s="19"/>
      <c r="E164" s="18"/>
      <c r="F164" s="19"/>
      <c r="G164" s="18"/>
      <c r="H164" s="19" t="s">
        <v>962</v>
      </c>
      <c r="I164" s="18" t="s">
        <v>483</v>
      </c>
      <c r="J164" s="19"/>
      <c r="K164" s="18"/>
      <c r="L164" s="19"/>
      <c r="M164" s="18"/>
    </row>
    <row r="165" spans="2:13" ht="25.5" x14ac:dyDescent="0.25">
      <c r="B165" s="19"/>
      <c r="C165" s="18"/>
      <c r="D165" s="19"/>
      <c r="E165" s="18"/>
      <c r="F165" s="19"/>
      <c r="G165" s="18"/>
      <c r="H165" s="19" t="s">
        <v>963</v>
      </c>
      <c r="I165" s="18" t="s">
        <v>485</v>
      </c>
      <c r="J165" s="19"/>
      <c r="K165" s="18"/>
      <c r="L165" s="19"/>
      <c r="M165" s="18"/>
    </row>
    <row r="166" spans="2:13" x14ac:dyDescent="0.25">
      <c r="B166" s="19"/>
      <c r="C166" s="18"/>
      <c r="D166" s="19"/>
      <c r="E166" s="18"/>
      <c r="F166" s="19"/>
      <c r="G166" s="18"/>
      <c r="H166" s="19" t="s">
        <v>415</v>
      </c>
      <c r="I166" s="18" t="s">
        <v>487</v>
      </c>
      <c r="J166" s="19"/>
      <c r="K166" s="18"/>
      <c r="L166" s="19"/>
      <c r="M166" s="18"/>
    </row>
    <row r="167" spans="2:13" ht="25.5" x14ac:dyDescent="0.25">
      <c r="B167" s="19"/>
      <c r="C167" s="18"/>
      <c r="D167" s="19"/>
      <c r="E167" s="18"/>
      <c r="F167" s="19"/>
      <c r="G167" s="18"/>
      <c r="H167" s="19" t="s">
        <v>964</v>
      </c>
      <c r="I167" s="18" t="s">
        <v>489</v>
      </c>
      <c r="J167" s="19"/>
      <c r="K167" s="18"/>
      <c r="L167" s="19"/>
      <c r="M167" s="18"/>
    </row>
    <row r="168" spans="2:13" ht="25.5" x14ac:dyDescent="0.25">
      <c r="B168" s="19"/>
      <c r="C168" s="18"/>
      <c r="D168" s="19"/>
      <c r="E168" s="18"/>
      <c r="F168" s="19"/>
      <c r="G168" s="18"/>
      <c r="H168" s="19" t="s">
        <v>965</v>
      </c>
      <c r="I168" s="18" t="s">
        <v>491</v>
      </c>
      <c r="J168" s="19"/>
      <c r="K168" s="18"/>
      <c r="L168" s="19"/>
      <c r="M168" s="18"/>
    </row>
    <row r="169" spans="2:13" x14ac:dyDescent="0.25">
      <c r="B169" s="19"/>
      <c r="C169" s="18"/>
      <c r="D169" s="19"/>
      <c r="E169" s="18"/>
      <c r="F169" s="19"/>
      <c r="G169" s="18"/>
      <c r="H169" s="19" t="s">
        <v>966</v>
      </c>
      <c r="I169" s="18" t="s">
        <v>493</v>
      </c>
      <c r="J169" s="19"/>
      <c r="K169" s="18"/>
      <c r="L169" s="19"/>
      <c r="M169" s="18"/>
    </row>
    <row r="170" spans="2:13" x14ac:dyDescent="0.25">
      <c r="B170" s="19"/>
      <c r="C170" s="18"/>
      <c r="D170" s="19"/>
      <c r="E170" s="18"/>
      <c r="F170" s="19"/>
      <c r="G170" s="18"/>
      <c r="H170" s="19" t="s">
        <v>967</v>
      </c>
      <c r="I170" s="18" t="s">
        <v>495</v>
      </c>
      <c r="J170" s="19"/>
      <c r="K170" s="18"/>
      <c r="L170" s="19"/>
      <c r="M170" s="18"/>
    </row>
    <row r="171" spans="2:13" x14ac:dyDescent="0.25">
      <c r="B171" s="19"/>
      <c r="C171" s="18"/>
      <c r="D171" s="19"/>
      <c r="E171" s="18"/>
      <c r="F171" s="19"/>
      <c r="G171" s="18"/>
      <c r="H171" s="19" t="s">
        <v>968</v>
      </c>
      <c r="I171" s="18" t="s">
        <v>497</v>
      </c>
      <c r="J171" s="19"/>
      <c r="K171" s="18"/>
      <c r="L171" s="19"/>
      <c r="M171" s="18"/>
    </row>
    <row r="172" spans="2:13" x14ac:dyDescent="0.25">
      <c r="B172" s="19"/>
      <c r="C172" s="18"/>
      <c r="D172" s="19"/>
      <c r="E172" s="18"/>
      <c r="F172" s="19"/>
      <c r="G172" s="18"/>
      <c r="H172" s="19" t="s">
        <v>969</v>
      </c>
      <c r="I172" s="18" t="s">
        <v>499</v>
      </c>
      <c r="J172" s="19"/>
      <c r="K172" s="18"/>
      <c r="L172" s="19"/>
      <c r="M172" s="18"/>
    </row>
    <row r="173" spans="2:13" x14ac:dyDescent="0.25">
      <c r="B173" s="18"/>
      <c r="C173" s="18"/>
      <c r="D173" s="18"/>
      <c r="E173" s="18"/>
      <c r="F173" s="18"/>
      <c r="G173" s="18"/>
      <c r="H173" s="19" t="s">
        <v>970</v>
      </c>
      <c r="I173" s="18" t="s">
        <v>501</v>
      </c>
      <c r="J173" s="18"/>
      <c r="K173" s="18"/>
      <c r="L173" s="18"/>
      <c r="M173" s="18"/>
    </row>
    <row r="174" spans="2:13" x14ac:dyDescent="0.25">
      <c r="B174" s="18"/>
      <c r="C174" s="18"/>
      <c r="D174" s="18"/>
      <c r="E174" s="18"/>
      <c r="F174" s="18"/>
      <c r="G174" s="18"/>
      <c r="H174" s="19" t="s">
        <v>971</v>
      </c>
      <c r="I174" s="18" t="s">
        <v>503</v>
      </c>
      <c r="J174" s="18"/>
      <c r="K174" s="18"/>
      <c r="L174" s="18"/>
      <c r="M174" s="18"/>
    </row>
    <row r="175" spans="2:13" x14ac:dyDescent="0.25">
      <c r="B175" s="26"/>
      <c r="C175" s="24"/>
      <c r="D175" s="26"/>
      <c r="E175" s="24"/>
      <c r="F175" s="26"/>
      <c r="G175" s="24"/>
      <c r="H175" s="26" t="s">
        <v>972</v>
      </c>
      <c r="I175" s="24" t="s">
        <v>505</v>
      </c>
      <c r="J175" s="26"/>
      <c r="K175" s="24"/>
      <c r="L175" s="26"/>
      <c r="M175" s="24"/>
    </row>
    <row r="176" spans="2:13" x14ac:dyDescent="0.25">
      <c r="B176" s="19" t="s">
        <v>506</v>
      </c>
      <c r="C176" s="18" t="s">
        <v>712</v>
      </c>
      <c r="D176" s="19"/>
      <c r="E176" s="18"/>
      <c r="F176" s="19"/>
      <c r="G176" s="18"/>
      <c r="H176" s="19" t="s">
        <v>973</v>
      </c>
      <c r="I176" s="18" t="s">
        <v>509</v>
      </c>
      <c r="J176" s="19"/>
      <c r="K176" s="18"/>
      <c r="L176" s="19"/>
      <c r="M176" s="18"/>
    </row>
    <row r="177" spans="2:13" x14ac:dyDescent="0.25">
      <c r="B177" s="19"/>
      <c r="C177" s="18"/>
      <c r="D177" s="19"/>
      <c r="E177" s="18"/>
      <c r="F177" s="19"/>
      <c r="G177" s="18"/>
      <c r="H177" s="19" t="s">
        <v>974</v>
      </c>
      <c r="I177" s="18" t="s">
        <v>511</v>
      </c>
      <c r="J177" s="19"/>
      <c r="K177" s="18"/>
      <c r="L177" s="19"/>
      <c r="M177" s="18"/>
    </row>
    <row r="178" spans="2:13" x14ac:dyDescent="0.25">
      <c r="B178" s="19"/>
      <c r="C178" s="18"/>
      <c r="D178" s="19"/>
      <c r="E178" s="18"/>
      <c r="F178" s="19"/>
      <c r="G178" s="18"/>
      <c r="H178" s="19" t="s">
        <v>975</v>
      </c>
      <c r="I178" s="18" t="s">
        <v>513</v>
      </c>
      <c r="J178" s="19"/>
      <c r="K178" s="18"/>
      <c r="L178" s="19"/>
      <c r="M178" s="18"/>
    </row>
    <row r="179" spans="2:13" x14ac:dyDescent="0.25">
      <c r="B179" s="19"/>
      <c r="C179" s="18"/>
      <c r="D179" s="19"/>
      <c r="E179" s="18"/>
      <c r="F179" s="19"/>
      <c r="G179" s="18"/>
      <c r="H179" s="19" t="s">
        <v>976</v>
      </c>
      <c r="I179" s="18" t="s">
        <v>515</v>
      </c>
      <c r="J179" s="19"/>
      <c r="K179" s="18"/>
      <c r="L179" s="19"/>
      <c r="M179" s="18"/>
    </row>
    <row r="180" spans="2:13" x14ac:dyDescent="0.25">
      <c r="B180" s="19"/>
      <c r="C180" s="18"/>
      <c r="D180" s="19"/>
      <c r="E180" s="18"/>
      <c r="F180" s="19"/>
      <c r="G180" s="18"/>
      <c r="H180" s="19" t="s">
        <v>977</v>
      </c>
      <c r="I180" s="18" t="s">
        <v>517</v>
      </c>
      <c r="J180" s="19"/>
      <c r="K180" s="18"/>
      <c r="L180" s="19"/>
      <c r="M180" s="18"/>
    </row>
    <row r="181" spans="2:13" x14ac:dyDescent="0.25">
      <c r="B181" s="19"/>
      <c r="C181" s="18"/>
      <c r="D181" s="19"/>
      <c r="E181" s="18"/>
      <c r="F181" s="19"/>
      <c r="G181" s="18"/>
      <c r="H181" s="19" t="s">
        <v>978</v>
      </c>
      <c r="I181" s="18" t="s">
        <v>519</v>
      </c>
      <c r="J181" s="19"/>
      <c r="K181" s="18"/>
      <c r="L181" s="19"/>
      <c r="M181" s="18"/>
    </row>
    <row r="182" spans="2:13" ht="25.5" x14ac:dyDescent="0.25">
      <c r="B182" s="19"/>
      <c r="C182" s="18"/>
      <c r="D182" s="19"/>
      <c r="E182" s="18"/>
      <c r="F182" s="19"/>
      <c r="G182" s="18"/>
      <c r="H182" s="19" t="s">
        <v>979</v>
      </c>
      <c r="I182" s="18" t="s">
        <v>521</v>
      </c>
      <c r="J182" s="19"/>
      <c r="K182" s="18"/>
      <c r="L182" s="19"/>
      <c r="M182" s="18"/>
    </row>
    <row r="183" spans="2:13" x14ac:dyDescent="0.25">
      <c r="B183" s="19"/>
      <c r="C183" s="18"/>
      <c r="D183" s="19"/>
      <c r="E183" s="18"/>
      <c r="F183" s="19"/>
      <c r="G183" s="18"/>
      <c r="H183" s="19" t="s">
        <v>980</v>
      </c>
      <c r="I183" s="18" t="s">
        <v>523</v>
      </c>
      <c r="J183" s="19"/>
      <c r="K183" s="18"/>
      <c r="L183" s="19"/>
      <c r="M183" s="18"/>
    </row>
    <row r="184" spans="2:13" ht="25.5" x14ac:dyDescent="0.25">
      <c r="B184" s="19"/>
      <c r="C184" s="18"/>
      <c r="D184" s="19"/>
      <c r="E184" s="18"/>
      <c r="F184" s="19"/>
      <c r="G184" s="18"/>
      <c r="H184" s="19" t="s">
        <v>981</v>
      </c>
      <c r="I184" s="18" t="s">
        <v>525</v>
      </c>
      <c r="J184" s="19"/>
      <c r="K184" s="18"/>
      <c r="L184" s="19"/>
      <c r="M184" s="18"/>
    </row>
    <row r="185" spans="2:13" x14ac:dyDescent="0.25">
      <c r="B185" s="19"/>
      <c r="C185" s="18"/>
      <c r="D185" s="19"/>
      <c r="E185" s="18"/>
      <c r="F185" s="19"/>
      <c r="G185" s="18"/>
      <c r="H185" s="19" t="s">
        <v>982</v>
      </c>
      <c r="I185" s="18" t="s">
        <v>527</v>
      </c>
      <c r="J185" s="19"/>
      <c r="K185" s="18"/>
      <c r="L185" s="19"/>
      <c r="M185" s="18"/>
    </row>
    <row r="186" spans="2:13" x14ac:dyDescent="0.25">
      <c r="B186" s="19"/>
      <c r="C186" s="18"/>
      <c r="D186" s="19"/>
      <c r="E186" s="18"/>
      <c r="F186" s="19"/>
      <c r="G186" s="18"/>
      <c r="H186" s="19" t="s">
        <v>983</v>
      </c>
      <c r="I186" s="18" t="s">
        <v>529</v>
      </c>
      <c r="J186" s="19"/>
      <c r="K186" s="18"/>
      <c r="L186" s="19"/>
      <c r="M186" s="18"/>
    </row>
    <row r="187" spans="2:13" x14ac:dyDescent="0.25">
      <c r="B187" s="19"/>
      <c r="C187" s="18"/>
      <c r="D187" s="19"/>
      <c r="E187" s="18"/>
      <c r="F187" s="19"/>
      <c r="G187" s="18"/>
      <c r="H187" s="19" t="s">
        <v>984</v>
      </c>
      <c r="I187" s="18" t="s">
        <v>531</v>
      </c>
      <c r="J187" s="19"/>
      <c r="K187" s="18"/>
      <c r="L187" s="19"/>
      <c r="M187" s="18"/>
    </row>
    <row r="188" spans="2:13" x14ac:dyDescent="0.25">
      <c r="B188" s="19"/>
      <c r="C188" s="18"/>
      <c r="D188" s="19"/>
      <c r="E188" s="18"/>
      <c r="F188" s="19"/>
      <c r="G188" s="18"/>
      <c r="H188" s="19" t="s">
        <v>985</v>
      </c>
      <c r="I188" s="18" t="s">
        <v>533</v>
      </c>
      <c r="J188" s="19"/>
      <c r="K188" s="18"/>
      <c r="L188" s="19"/>
      <c r="M188" s="18"/>
    </row>
    <row r="189" spans="2:13" x14ac:dyDescent="0.25">
      <c r="B189" s="19"/>
      <c r="C189" s="18"/>
      <c r="D189" s="19"/>
      <c r="E189" s="18"/>
      <c r="F189" s="19"/>
      <c r="G189" s="18"/>
      <c r="H189" s="19" t="s">
        <v>986</v>
      </c>
      <c r="I189" s="18" t="s">
        <v>535</v>
      </c>
      <c r="J189" s="19"/>
      <c r="K189" s="18"/>
      <c r="L189" s="19"/>
      <c r="M189" s="18"/>
    </row>
    <row r="190" spans="2:13" ht="25.5" x14ac:dyDescent="0.25">
      <c r="B190" s="19"/>
      <c r="C190" s="18"/>
      <c r="D190" s="19"/>
      <c r="E190" s="18"/>
      <c r="F190" s="19"/>
      <c r="G190" s="18"/>
      <c r="H190" s="19" t="s">
        <v>987</v>
      </c>
      <c r="I190" s="18" t="s">
        <v>537</v>
      </c>
      <c r="J190" s="19"/>
      <c r="K190" s="18"/>
      <c r="L190" s="19"/>
      <c r="M190" s="18"/>
    </row>
    <row r="191" spans="2:13" ht="25.5" x14ac:dyDescent="0.25">
      <c r="B191" s="19"/>
      <c r="C191" s="18"/>
      <c r="D191" s="19"/>
      <c r="E191" s="18"/>
      <c r="F191" s="19"/>
      <c r="G191" s="18"/>
      <c r="H191" s="19" t="s">
        <v>988</v>
      </c>
      <c r="I191" s="18" t="s">
        <v>539</v>
      </c>
      <c r="J191" s="19"/>
      <c r="K191" s="18"/>
      <c r="L191" s="19"/>
      <c r="M191" s="18"/>
    </row>
    <row r="192" spans="2:13" x14ac:dyDescent="0.25">
      <c r="B192" s="19"/>
      <c r="C192" s="18"/>
      <c r="D192" s="19"/>
      <c r="E192" s="18"/>
      <c r="F192" s="19"/>
      <c r="G192" s="18"/>
      <c r="H192" s="19" t="s">
        <v>989</v>
      </c>
      <c r="I192" s="18" t="s">
        <v>541</v>
      </c>
      <c r="J192" s="19"/>
      <c r="K192" s="18"/>
      <c r="L192" s="19"/>
      <c r="M192" s="18"/>
    </row>
    <row r="193" spans="2:13" x14ac:dyDescent="0.25">
      <c r="B193" s="19"/>
      <c r="C193" s="18"/>
      <c r="D193" s="19"/>
      <c r="E193" s="18"/>
      <c r="F193" s="19"/>
      <c r="G193" s="18"/>
      <c r="H193" s="19" t="s">
        <v>990</v>
      </c>
      <c r="I193" s="18" t="s">
        <v>418</v>
      </c>
      <c r="J193" s="19"/>
      <c r="K193" s="18"/>
      <c r="L193" s="19"/>
      <c r="M193" s="18"/>
    </row>
    <row r="194" spans="2:13" x14ac:dyDescent="0.25">
      <c r="B194" s="19"/>
      <c r="C194" s="18"/>
      <c r="D194" s="19"/>
      <c r="E194" s="18"/>
      <c r="F194" s="19"/>
      <c r="G194" s="18"/>
      <c r="H194" s="19" t="s">
        <v>991</v>
      </c>
      <c r="I194" s="18" t="s">
        <v>544</v>
      </c>
      <c r="J194" s="19"/>
      <c r="K194" s="18"/>
      <c r="L194" s="19"/>
      <c r="M194" s="18"/>
    </row>
    <row r="195" spans="2:13" x14ac:dyDescent="0.25">
      <c r="B195" s="19"/>
      <c r="C195" s="18"/>
      <c r="D195" s="19"/>
      <c r="E195" s="18"/>
      <c r="F195" s="19"/>
      <c r="G195" s="18"/>
      <c r="H195" s="19" t="s">
        <v>992</v>
      </c>
      <c r="I195" s="18" t="s">
        <v>546</v>
      </c>
      <c r="J195" s="19"/>
      <c r="K195" s="18"/>
      <c r="L195" s="19"/>
      <c r="M195" s="18"/>
    </row>
    <row r="196" spans="2:13" x14ac:dyDescent="0.25">
      <c r="B196" s="19"/>
      <c r="C196" s="18"/>
      <c r="D196" s="19"/>
      <c r="E196" s="18"/>
      <c r="F196" s="19"/>
      <c r="G196" s="18"/>
      <c r="H196" s="19" t="s">
        <v>993</v>
      </c>
      <c r="I196" s="18" t="s">
        <v>548</v>
      </c>
      <c r="J196" s="19"/>
      <c r="K196" s="18"/>
      <c r="L196" s="19"/>
      <c r="M196" s="18"/>
    </row>
    <row r="197" spans="2:13" x14ac:dyDescent="0.25">
      <c r="B197" s="19"/>
      <c r="C197" s="18"/>
      <c r="D197" s="19"/>
      <c r="E197" s="18"/>
      <c r="F197" s="19"/>
      <c r="G197" s="18"/>
      <c r="H197" s="19" t="s">
        <v>994</v>
      </c>
      <c r="I197" s="18" t="s">
        <v>550</v>
      </c>
      <c r="J197" s="19"/>
      <c r="K197" s="18"/>
      <c r="L197" s="19"/>
      <c r="M197" s="18"/>
    </row>
    <row r="198" spans="2:13" x14ac:dyDescent="0.25">
      <c r="B198" s="19"/>
      <c r="C198" s="18"/>
      <c r="D198" s="19"/>
      <c r="E198" s="18"/>
      <c r="F198" s="19"/>
      <c r="G198" s="18"/>
      <c r="H198" s="19" t="s">
        <v>995</v>
      </c>
      <c r="I198" s="18" t="s">
        <v>552</v>
      </c>
      <c r="J198" s="19"/>
      <c r="K198" s="18"/>
      <c r="L198" s="19"/>
      <c r="M198" s="18"/>
    </row>
    <row r="199" spans="2:13" ht="25.5" x14ac:dyDescent="0.25">
      <c r="B199" s="19"/>
      <c r="C199" s="18"/>
      <c r="D199" s="19"/>
      <c r="E199" s="18"/>
      <c r="F199" s="19"/>
      <c r="G199" s="18"/>
      <c r="H199" s="19" t="s">
        <v>996</v>
      </c>
      <c r="I199" s="18" t="s">
        <v>554</v>
      </c>
      <c r="J199" s="19"/>
      <c r="K199" s="18"/>
      <c r="L199" s="19"/>
      <c r="M199" s="18"/>
    </row>
    <row r="200" spans="2:13" ht="25.5" x14ac:dyDescent="0.25">
      <c r="B200" s="19"/>
      <c r="C200" s="18"/>
      <c r="D200" s="19"/>
      <c r="E200" s="18"/>
      <c r="F200" s="19"/>
      <c r="G200" s="18"/>
      <c r="H200" s="19" t="s">
        <v>997</v>
      </c>
      <c r="I200" s="18" t="s">
        <v>556</v>
      </c>
      <c r="J200" s="19"/>
      <c r="K200" s="18"/>
      <c r="L200" s="19"/>
      <c r="M200" s="18"/>
    </row>
    <row r="201" spans="2:13" x14ac:dyDescent="0.25">
      <c r="B201" s="19"/>
      <c r="C201" s="18"/>
      <c r="D201" s="19"/>
      <c r="E201" s="18"/>
      <c r="F201" s="19"/>
      <c r="G201" s="18"/>
      <c r="H201" s="19" t="s">
        <v>998</v>
      </c>
      <c r="I201" s="18" t="s">
        <v>416</v>
      </c>
      <c r="J201" s="19"/>
      <c r="K201" s="18"/>
      <c r="L201" s="19"/>
      <c r="M201" s="18"/>
    </row>
    <row r="202" spans="2:13" x14ac:dyDescent="0.25">
      <c r="B202" s="19"/>
      <c r="C202" s="18"/>
      <c r="D202" s="19"/>
      <c r="E202" s="18"/>
      <c r="F202" s="19"/>
      <c r="G202" s="18"/>
      <c r="H202" s="19" t="s">
        <v>999</v>
      </c>
      <c r="I202" s="18" t="s">
        <v>559</v>
      </c>
      <c r="J202" s="19"/>
      <c r="K202" s="18"/>
      <c r="L202" s="19"/>
      <c r="M202" s="18"/>
    </row>
    <row r="203" spans="2:13" x14ac:dyDescent="0.25">
      <c r="B203" s="19"/>
      <c r="C203" s="18"/>
      <c r="D203" s="19"/>
      <c r="E203" s="18"/>
      <c r="F203" s="19"/>
      <c r="G203" s="18"/>
      <c r="H203" s="19" t="s">
        <v>1000</v>
      </c>
      <c r="I203" s="18" t="s">
        <v>561</v>
      </c>
      <c r="J203" s="19"/>
      <c r="K203" s="18"/>
      <c r="L203" s="19"/>
      <c r="M203" s="18"/>
    </row>
    <row r="204" spans="2:13" x14ac:dyDescent="0.25">
      <c r="B204" s="19"/>
      <c r="C204" s="18"/>
      <c r="D204" s="19"/>
      <c r="E204" s="18"/>
      <c r="F204" s="19"/>
      <c r="G204" s="18"/>
      <c r="H204" s="19" t="s">
        <v>1001</v>
      </c>
      <c r="I204" s="18" t="s">
        <v>563</v>
      </c>
      <c r="J204" s="19"/>
      <c r="K204" s="18"/>
      <c r="L204" s="19"/>
      <c r="M204" s="18"/>
    </row>
    <row r="205" spans="2:13" x14ac:dyDescent="0.25">
      <c r="B205" s="19"/>
      <c r="C205" s="18"/>
      <c r="D205" s="19"/>
      <c r="E205" s="18"/>
      <c r="F205" s="19"/>
      <c r="G205" s="18"/>
      <c r="H205" s="19" t="s">
        <v>1002</v>
      </c>
      <c r="I205" s="18" t="s">
        <v>433</v>
      </c>
      <c r="J205" s="19"/>
      <c r="K205" s="18"/>
      <c r="L205" s="19"/>
      <c r="M205" s="18"/>
    </row>
    <row r="206" spans="2:13" x14ac:dyDescent="0.25">
      <c r="B206" s="19"/>
      <c r="C206" s="18"/>
      <c r="D206" s="19"/>
      <c r="E206" s="18"/>
      <c r="F206" s="19"/>
      <c r="G206" s="18"/>
      <c r="H206" s="19" t="s">
        <v>1003</v>
      </c>
      <c r="I206" s="18" t="s">
        <v>566</v>
      </c>
      <c r="J206" s="19"/>
      <c r="K206" s="18"/>
      <c r="L206" s="19"/>
      <c r="M206" s="18"/>
    </row>
    <row r="207" spans="2:13" x14ac:dyDescent="0.25">
      <c r="B207" s="19"/>
      <c r="C207" s="18"/>
      <c r="D207" s="19"/>
      <c r="E207" s="18"/>
      <c r="F207" s="19"/>
      <c r="G207" s="18"/>
      <c r="H207" s="19" t="s">
        <v>1004</v>
      </c>
      <c r="I207" s="18" t="s">
        <v>435</v>
      </c>
      <c r="J207" s="19"/>
      <c r="K207" s="18"/>
      <c r="L207" s="19"/>
      <c r="M207" s="18"/>
    </row>
    <row r="208" spans="2:13" x14ac:dyDescent="0.25">
      <c r="B208" s="19"/>
      <c r="C208" s="18"/>
      <c r="D208" s="19"/>
      <c r="E208" s="18"/>
      <c r="F208" s="19"/>
      <c r="G208" s="18"/>
      <c r="H208" s="19" t="s">
        <v>1005</v>
      </c>
      <c r="I208" s="18" t="s">
        <v>451</v>
      </c>
      <c r="J208" s="19"/>
      <c r="K208" s="18"/>
      <c r="L208" s="19"/>
      <c r="M208" s="18"/>
    </row>
    <row r="209" spans="2:13" x14ac:dyDescent="0.25">
      <c r="B209" s="19"/>
      <c r="C209" s="18"/>
      <c r="D209" s="19"/>
      <c r="E209" s="18"/>
      <c r="F209" s="19"/>
      <c r="G209" s="18"/>
      <c r="H209" s="19" t="s">
        <v>1006</v>
      </c>
      <c r="I209" s="18" t="s">
        <v>570</v>
      </c>
      <c r="J209" s="19"/>
      <c r="K209" s="18"/>
      <c r="L209" s="19"/>
      <c r="M209" s="18"/>
    </row>
    <row r="210" spans="2:13" ht="25.5" x14ac:dyDescent="0.25">
      <c r="B210" s="19"/>
      <c r="C210" s="18"/>
      <c r="D210" s="19"/>
      <c r="E210" s="18"/>
      <c r="F210" s="19"/>
      <c r="G210" s="18"/>
      <c r="H210" s="19" t="s">
        <v>1007</v>
      </c>
      <c r="I210" s="18" t="s">
        <v>572</v>
      </c>
      <c r="J210" s="19"/>
      <c r="K210" s="18"/>
      <c r="L210" s="19"/>
      <c r="M210" s="18"/>
    </row>
    <row r="211" spans="2:13" x14ac:dyDescent="0.25">
      <c r="B211" s="19"/>
      <c r="C211" s="18"/>
      <c r="D211" s="19"/>
      <c r="E211" s="18"/>
      <c r="F211" s="19"/>
      <c r="G211" s="18"/>
      <c r="H211" s="19" t="s">
        <v>1008</v>
      </c>
      <c r="I211" s="18" t="s">
        <v>574</v>
      </c>
      <c r="J211" s="19"/>
      <c r="K211" s="18"/>
      <c r="L211" s="19"/>
      <c r="M211" s="18"/>
    </row>
    <row r="212" spans="2:13" x14ac:dyDescent="0.25">
      <c r="B212" s="19"/>
      <c r="C212" s="18"/>
      <c r="D212" s="19"/>
      <c r="E212" s="18"/>
      <c r="F212" s="19"/>
      <c r="G212" s="18"/>
      <c r="H212" s="19" t="s">
        <v>1009</v>
      </c>
      <c r="I212" s="18" t="s">
        <v>576</v>
      </c>
      <c r="J212" s="19"/>
      <c r="K212" s="18"/>
      <c r="L212" s="19"/>
      <c r="M212" s="18"/>
    </row>
    <row r="213" spans="2:13" x14ac:dyDescent="0.25">
      <c r="B213" s="19"/>
      <c r="C213" s="18"/>
      <c r="D213" s="19"/>
      <c r="E213" s="18"/>
      <c r="F213" s="19"/>
      <c r="G213" s="18"/>
      <c r="H213" s="19" t="s">
        <v>1010</v>
      </c>
      <c r="I213" s="18" t="s">
        <v>578</v>
      </c>
      <c r="J213" s="19"/>
      <c r="K213" s="18"/>
      <c r="L213" s="19"/>
      <c r="M213" s="18"/>
    </row>
    <row r="214" spans="2:13" x14ac:dyDescent="0.25">
      <c r="B214" s="19"/>
      <c r="C214" s="18"/>
      <c r="D214" s="19"/>
      <c r="E214" s="18"/>
      <c r="F214" s="19"/>
      <c r="G214" s="18"/>
      <c r="H214" s="19" t="s">
        <v>1011</v>
      </c>
      <c r="I214" s="18" t="s">
        <v>580</v>
      </c>
      <c r="J214" s="19"/>
      <c r="K214" s="18"/>
      <c r="L214" s="19"/>
      <c r="M214" s="18"/>
    </row>
    <row r="215" spans="2:13" x14ac:dyDescent="0.25">
      <c r="B215" s="19"/>
      <c r="C215" s="18"/>
      <c r="D215" s="19"/>
      <c r="E215" s="18"/>
      <c r="F215" s="19"/>
      <c r="G215" s="18"/>
      <c r="H215" s="19" t="s">
        <v>1012</v>
      </c>
      <c r="I215" s="18" t="s">
        <v>453</v>
      </c>
      <c r="J215" s="19"/>
      <c r="K215" s="18"/>
      <c r="L215" s="19"/>
      <c r="M215" s="18"/>
    </row>
    <row r="216" spans="2:13" x14ac:dyDescent="0.25">
      <c r="B216" s="19"/>
      <c r="C216" s="18"/>
      <c r="D216" s="19"/>
      <c r="E216" s="18"/>
      <c r="F216" s="19"/>
      <c r="G216" s="18"/>
      <c r="H216" s="19" t="s">
        <v>1013</v>
      </c>
      <c r="I216" s="18" t="s">
        <v>583</v>
      </c>
      <c r="J216" s="19"/>
      <c r="K216" s="18"/>
      <c r="L216" s="19"/>
      <c r="M216" s="18"/>
    </row>
    <row r="217" spans="2:13" x14ac:dyDescent="0.25">
      <c r="B217" s="19"/>
      <c r="C217" s="18"/>
      <c r="D217" s="19"/>
      <c r="E217" s="18"/>
      <c r="F217" s="19"/>
      <c r="G217" s="18"/>
      <c r="H217" s="19" t="s">
        <v>1014</v>
      </c>
      <c r="I217" s="18" t="s">
        <v>427</v>
      </c>
      <c r="J217" s="19"/>
      <c r="K217" s="18"/>
      <c r="L217" s="19"/>
      <c r="M217" s="18"/>
    </row>
    <row r="218" spans="2:13" ht="25.5" x14ac:dyDescent="0.25">
      <c r="B218" s="19"/>
      <c r="C218" s="18"/>
      <c r="D218" s="19"/>
      <c r="E218" s="18"/>
      <c r="F218" s="19"/>
      <c r="G218" s="18"/>
      <c r="H218" s="19" t="s">
        <v>1015</v>
      </c>
      <c r="I218" s="18" t="s">
        <v>429</v>
      </c>
      <c r="J218" s="19"/>
      <c r="K218" s="18"/>
      <c r="L218" s="19"/>
      <c r="M218" s="18"/>
    </row>
    <row r="219" spans="2:13" ht="25.5" x14ac:dyDescent="0.25">
      <c r="B219" s="19"/>
      <c r="C219" s="18"/>
      <c r="D219" s="19"/>
      <c r="E219" s="18"/>
      <c r="F219" s="19"/>
      <c r="G219" s="18"/>
      <c r="H219" s="19" t="s">
        <v>1016</v>
      </c>
      <c r="I219" s="18" t="s">
        <v>431</v>
      </c>
      <c r="J219" s="19"/>
      <c r="K219" s="18"/>
      <c r="L219" s="19"/>
      <c r="M219" s="18"/>
    </row>
    <row r="220" spans="2:13" ht="25.5" x14ac:dyDescent="0.25">
      <c r="B220" s="19"/>
      <c r="C220" s="18"/>
      <c r="D220" s="19"/>
      <c r="E220" s="18"/>
      <c r="F220" s="19"/>
      <c r="G220" s="18"/>
      <c r="H220" s="19" t="s">
        <v>1017</v>
      </c>
      <c r="I220" s="18" t="s">
        <v>475</v>
      </c>
      <c r="J220" s="19"/>
      <c r="K220" s="18"/>
      <c r="L220" s="19"/>
      <c r="M220" s="18"/>
    </row>
    <row r="221" spans="2:13" ht="25.5" x14ac:dyDescent="0.25">
      <c r="B221" s="19"/>
      <c r="C221" s="18"/>
      <c r="D221" s="19"/>
      <c r="E221" s="18"/>
      <c r="F221" s="19"/>
      <c r="G221" s="18"/>
      <c r="H221" s="19" t="s">
        <v>1018</v>
      </c>
      <c r="I221" s="18" t="s">
        <v>477</v>
      </c>
      <c r="J221" s="19"/>
      <c r="K221" s="18"/>
      <c r="L221" s="19"/>
      <c r="M221" s="18"/>
    </row>
    <row r="222" spans="2:13" ht="25.5" x14ac:dyDescent="0.25">
      <c r="B222" s="19"/>
      <c r="C222" s="18"/>
      <c r="D222" s="19"/>
      <c r="E222" s="18"/>
      <c r="F222" s="19"/>
      <c r="G222" s="18"/>
      <c r="H222" s="19" t="s">
        <v>1019</v>
      </c>
      <c r="I222" s="18" t="s">
        <v>590</v>
      </c>
      <c r="J222" s="19"/>
      <c r="K222" s="18"/>
      <c r="L222" s="19"/>
      <c r="M222" s="18"/>
    </row>
    <row r="223" spans="2:13" ht="25.5" x14ac:dyDescent="0.25">
      <c r="B223" s="19"/>
      <c r="C223" s="18"/>
      <c r="D223" s="19"/>
      <c r="E223" s="18"/>
      <c r="F223" s="19"/>
      <c r="G223" s="18"/>
      <c r="H223" s="19" t="s">
        <v>1020</v>
      </c>
      <c r="I223" s="18" t="s">
        <v>481</v>
      </c>
      <c r="J223" s="19"/>
      <c r="K223" s="18"/>
      <c r="L223" s="19"/>
      <c r="M223" s="18"/>
    </row>
    <row r="224" spans="2:13" x14ac:dyDescent="0.25">
      <c r="B224" s="19"/>
      <c r="C224" s="18"/>
      <c r="D224" s="19"/>
      <c r="E224" s="18"/>
      <c r="F224" s="19"/>
      <c r="G224" s="18"/>
      <c r="H224" s="19" t="s">
        <v>1021</v>
      </c>
      <c r="I224" s="18" t="s">
        <v>593</v>
      </c>
      <c r="J224" s="19"/>
      <c r="K224" s="18"/>
      <c r="L224" s="19"/>
      <c r="M224" s="18"/>
    </row>
    <row r="225" spans="2:13" x14ac:dyDescent="0.25">
      <c r="B225" s="19"/>
      <c r="C225" s="18"/>
      <c r="D225" s="19"/>
      <c r="E225" s="18"/>
      <c r="F225" s="19"/>
      <c r="G225" s="18"/>
      <c r="H225" s="19" t="s">
        <v>1022</v>
      </c>
      <c r="I225" s="18" t="s">
        <v>595</v>
      </c>
      <c r="J225" s="19"/>
      <c r="K225" s="18"/>
      <c r="L225" s="19"/>
      <c r="M225" s="18"/>
    </row>
    <row r="226" spans="2:13" x14ac:dyDescent="0.25">
      <c r="B226" s="19"/>
      <c r="C226" s="18"/>
      <c r="D226" s="19"/>
      <c r="E226" s="18"/>
      <c r="F226" s="19"/>
      <c r="G226" s="18"/>
      <c r="H226" s="19" t="s">
        <v>1023</v>
      </c>
      <c r="I226" s="18" t="s">
        <v>597</v>
      </c>
      <c r="J226" s="19"/>
      <c r="K226" s="18"/>
      <c r="L226" s="19"/>
      <c r="M226" s="18"/>
    </row>
    <row r="227" spans="2:13" x14ac:dyDescent="0.25">
      <c r="B227" s="19"/>
      <c r="C227" s="18"/>
      <c r="D227" s="19"/>
      <c r="E227" s="18"/>
      <c r="F227" s="19"/>
      <c r="G227" s="18"/>
      <c r="H227" s="19" t="s">
        <v>1024</v>
      </c>
      <c r="I227" s="18" t="s">
        <v>599</v>
      </c>
      <c r="J227" s="19"/>
      <c r="K227" s="18"/>
      <c r="L227" s="19"/>
      <c r="M227" s="18"/>
    </row>
    <row r="228" spans="2:13" x14ac:dyDescent="0.25">
      <c r="B228" s="19"/>
      <c r="C228" s="18"/>
      <c r="D228" s="19"/>
      <c r="E228" s="18"/>
      <c r="F228" s="19"/>
      <c r="G228" s="18"/>
      <c r="H228" s="19" t="s">
        <v>1025</v>
      </c>
      <c r="I228" s="18" t="s">
        <v>601</v>
      </c>
      <c r="J228" s="19"/>
      <c r="K228" s="18"/>
      <c r="L228" s="19"/>
      <c r="M228" s="18"/>
    </row>
    <row r="229" spans="2:13" x14ac:dyDescent="0.25">
      <c r="B229" s="19"/>
      <c r="C229" s="18"/>
      <c r="D229" s="19"/>
      <c r="E229" s="18"/>
      <c r="F229" s="19"/>
      <c r="G229" s="18"/>
      <c r="H229" s="19" t="s">
        <v>1026</v>
      </c>
      <c r="I229" s="18" t="s">
        <v>603</v>
      </c>
      <c r="J229" s="19"/>
      <c r="K229" s="18"/>
      <c r="L229" s="19"/>
      <c r="M229" s="18"/>
    </row>
    <row r="230" spans="2:13" x14ac:dyDescent="0.25">
      <c r="B230" s="19"/>
      <c r="C230" s="18"/>
      <c r="D230" s="19"/>
      <c r="E230" s="18"/>
      <c r="F230" s="19"/>
      <c r="G230" s="18"/>
      <c r="H230" s="19" t="s">
        <v>1027</v>
      </c>
      <c r="I230" s="18" t="s">
        <v>605</v>
      </c>
      <c r="J230" s="19"/>
      <c r="K230" s="18"/>
      <c r="L230" s="19"/>
      <c r="M230" s="18"/>
    </row>
    <row r="231" spans="2:13" ht="25.5" x14ac:dyDescent="0.25">
      <c r="B231" s="19"/>
      <c r="C231" s="18"/>
      <c r="D231" s="19"/>
      <c r="E231" s="18"/>
      <c r="F231" s="19"/>
      <c r="G231" s="18"/>
      <c r="H231" s="19" t="s">
        <v>1028</v>
      </c>
      <c r="I231" s="18" t="s">
        <v>607</v>
      </c>
      <c r="J231" s="19"/>
      <c r="K231" s="18"/>
      <c r="L231" s="19"/>
      <c r="M231" s="18"/>
    </row>
    <row r="232" spans="2:13" ht="25.5" x14ac:dyDescent="0.25">
      <c r="B232" s="19"/>
      <c r="C232" s="18"/>
      <c r="D232" s="19"/>
      <c r="E232" s="18"/>
      <c r="F232" s="19"/>
      <c r="G232" s="18"/>
      <c r="H232" s="19" t="s">
        <v>1029</v>
      </c>
      <c r="I232" s="18" t="s">
        <v>485</v>
      </c>
      <c r="J232" s="19"/>
      <c r="K232" s="18"/>
      <c r="L232" s="19"/>
      <c r="M232" s="18"/>
    </row>
    <row r="233" spans="2:13" x14ac:dyDescent="0.25">
      <c r="B233" s="19"/>
      <c r="C233" s="18"/>
      <c r="D233" s="19"/>
      <c r="E233" s="18"/>
      <c r="F233" s="19"/>
      <c r="G233" s="18"/>
      <c r="H233" s="19" t="s">
        <v>1030</v>
      </c>
      <c r="I233" s="18" t="s">
        <v>610</v>
      </c>
      <c r="J233" s="19"/>
      <c r="K233" s="18"/>
      <c r="L233" s="19"/>
      <c r="M233" s="18"/>
    </row>
    <row r="234" spans="2:13" x14ac:dyDescent="0.25">
      <c r="B234" s="19"/>
      <c r="C234" s="18"/>
      <c r="D234" s="19"/>
      <c r="E234" s="18"/>
      <c r="F234" s="19"/>
      <c r="G234" s="18"/>
      <c r="H234" s="19" t="s">
        <v>1031</v>
      </c>
      <c r="I234" s="18" t="s">
        <v>612</v>
      </c>
      <c r="J234" s="19"/>
      <c r="K234" s="18"/>
      <c r="L234" s="19"/>
      <c r="M234" s="18"/>
    </row>
    <row r="235" spans="2:13" ht="25.5" x14ac:dyDescent="0.25">
      <c r="B235" s="19"/>
      <c r="C235" s="18"/>
      <c r="D235" s="19"/>
      <c r="E235" s="18"/>
      <c r="F235" s="19"/>
      <c r="G235" s="18"/>
      <c r="H235" s="19" t="s">
        <v>1032</v>
      </c>
      <c r="I235" s="18" t="s">
        <v>489</v>
      </c>
      <c r="J235" s="19"/>
      <c r="K235" s="18"/>
      <c r="L235" s="19"/>
      <c r="M235" s="18"/>
    </row>
    <row r="236" spans="2:13" ht="25.5" x14ac:dyDescent="0.25">
      <c r="B236" s="19"/>
      <c r="C236" s="18"/>
      <c r="D236" s="19"/>
      <c r="E236" s="18"/>
      <c r="F236" s="19"/>
      <c r="G236" s="18"/>
      <c r="H236" s="19" t="s">
        <v>1033</v>
      </c>
      <c r="I236" s="18" t="s">
        <v>615</v>
      </c>
      <c r="J236" s="19"/>
      <c r="K236" s="18"/>
      <c r="L236" s="19"/>
      <c r="M236" s="18"/>
    </row>
    <row r="237" spans="2:13" x14ac:dyDescent="0.25">
      <c r="B237" s="19"/>
      <c r="C237" s="18"/>
      <c r="D237" s="19"/>
      <c r="E237" s="18"/>
      <c r="F237" s="19"/>
      <c r="G237" s="18"/>
      <c r="H237" s="19" t="s">
        <v>1034</v>
      </c>
      <c r="I237" s="18" t="s">
        <v>493</v>
      </c>
      <c r="J237" s="19"/>
      <c r="K237" s="18"/>
      <c r="L237" s="19"/>
      <c r="M237" s="18"/>
    </row>
    <row r="238" spans="2:13" x14ac:dyDescent="0.25">
      <c r="B238" s="19"/>
      <c r="C238" s="18"/>
      <c r="D238" s="19"/>
      <c r="E238" s="18"/>
      <c r="F238" s="19"/>
      <c r="G238" s="18"/>
      <c r="H238" s="19" t="s">
        <v>1035</v>
      </c>
      <c r="I238" s="18" t="s">
        <v>495</v>
      </c>
      <c r="J238" s="19"/>
      <c r="K238" s="18"/>
      <c r="L238" s="19"/>
      <c r="M238" s="18"/>
    </row>
    <row r="239" spans="2:13" x14ac:dyDescent="0.25">
      <c r="B239" s="19"/>
      <c r="C239" s="18"/>
      <c r="D239" s="19"/>
      <c r="E239" s="18"/>
      <c r="F239" s="19"/>
      <c r="G239" s="18"/>
      <c r="H239" s="19" t="s">
        <v>1036</v>
      </c>
      <c r="I239" s="18" t="s">
        <v>497</v>
      </c>
      <c r="J239" s="19"/>
      <c r="K239" s="18"/>
      <c r="L239" s="19"/>
      <c r="M239" s="18"/>
    </row>
    <row r="240" spans="2:13" x14ac:dyDescent="0.25">
      <c r="B240" s="19"/>
      <c r="C240" s="18"/>
      <c r="D240" s="19"/>
      <c r="E240" s="18"/>
      <c r="F240" s="19"/>
      <c r="G240" s="18"/>
      <c r="H240" s="19" t="s">
        <v>1037</v>
      </c>
      <c r="I240" s="18" t="s">
        <v>499</v>
      </c>
      <c r="J240" s="19"/>
      <c r="K240" s="18"/>
      <c r="L240" s="19"/>
      <c r="M240" s="18"/>
    </row>
    <row r="241" spans="2:13" x14ac:dyDescent="0.25">
      <c r="B241" s="19"/>
      <c r="C241" s="18"/>
      <c r="D241" s="19"/>
      <c r="E241" s="18"/>
      <c r="F241" s="19"/>
      <c r="G241" s="18"/>
      <c r="H241" s="19" t="s">
        <v>1038</v>
      </c>
      <c r="I241" s="18" t="s">
        <v>501</v>
      </c>
      <c r="J241" s="19"/>
      <c r="K241" s="18"/>
      <c r="L241" s="19"/>
      <c r="M241" s="18"/>
    </row>
    <row r="242" spans="2:13" x14ac:dyDescent="0.25">
      <c r="B242" s="19"/>
      <c r="C242" s="18"/>
      <c r="D242" s="19"/>
      <c r="E242" s="18"/>
      <c r="F242" s="19"/>
      <c r="G242" s="18"/>
      <c r="H242" s="19" t="s">
        <v>1039</v>
      </c>
      <c r="I242" s="18" t="s">
        <v>425</v>
      </c>
      <c r="J242" s="19"/>
      <c r="K242" s="18"/>
      <c r="L242" s="19"/>
      <c r="M242" s="18"/>
    </row>
    <row r="243" spans="2:13" ht="25.5" x14ac:dyDescent="0.25">
      <c r="B243" s="26"/>
      <c r="C243" s="24"/>
      <c r="D243" s="26"/>
      <c r="E243" s="24"/>
      <c r="F243" s="26"/>
      <c r="G243" s="24"/>
      <c r="H243" s="26" t="s">
        <v>1040</v>
      </c>
      <c r="I243" s="24" t="s">
        <v>623</v>
      </c>
      <c r="J243" s="26"/>
      <c r="K243" s="24"/>
      <c r="L243" s="26"/>
      <c r="M243" s="24"/>
    </row>
    <row r="244" spans="2:13" ht="25.5" x14ac:dyDescent="0.25">
      <c r="B244" s="19" t="s">
        <v>717</v>
      </c>
      <c r="C244" s="18" t="s">
        <v>713</v>
      </c>
      <c r="D244" s="19"/>
      <c r="E244" s="18"/>
      <c r="F244" s="19" t="s">
        <v>1041</v>
      </c>
      <c r="G244" s="18" t="s">
        <v>629</v>
      </c>
      <c r="H244" s="19"/>
      <c r="I244" s="18"/>
      <c r="J244" s="19"/>
      <c r="K244" s="18"/>
      <c r="L244" s="19"/>
      <c r="M244" s="18"/>
    </row>
    <row r="245" spans="2:13" ht="25.5" x14ac:dyDescent="0.25">
      <c r="B245" s="19"/>
      <c r="C245" s="18"/>
      <c r="D245" s="19"/>
      <c r="E245" s="18"/>
      <c r="F245" s="19" t="s">
        <v>1042</v>
      </c>
      <c r="G245" s="18" t="s">
        <v>631</v>
      </c>
      <c r="H245" s="19"/>
      <c r="I245" s="18"/>
      <c r="J245" s="19"/>
      <c r="K245" s="18"/>
      <c r="L245" s="19"/>
      <c r="M245" s="18"/>
    </row>
    <row r="246" spans="2:13" ht="25.5" x14ac:dyDescent="0.25">
      <c r="B246" s="19"/>
      <c r="C246" s="18"/>
      <c r="D246" s="19"/>
      <c r="E246" s="18"/>
      <c r="F246" s="19" t="s">
        <v>1043</v>
      </c>
      <c r="G246" s="18" t="s">
        <v>633</v>
      </c>
      <c r="H246" s="19"/>
      <c r="I246" s="18"/>
      <c r="J246" s="19"/>
      <c r="K246" s="18"/>
      <c r="L246" s="19"/>
      <c r="M246" s="18"/>
    </row>
    <row r="247" spans="2:13" ht="25.5" x14ac:dyDescent="0.25">
      <c r="B247" s="19"/>
      <c r="C247" s="18"/>
      <c r="D247" s="19"/>
      <c r="E247" s="18"/>
      <c r="F247" s="19" t="s">
        <v>1044</v>
      </c>
      <c r="G247" s="18" t="s">
        <v>635</v>
      </c>
      <c r="H247" s="19"/>
      <c r="I247" s="18"/>
      <c r="J247" s="19"/>
      <c r="K247" s="18"/>
      <c r="L247" s="19"/>
      <c r="M247" s="18"/>
    </row>
    <row r="248" spans="2:13" ht="25.5" x14ac:dyDescent="0.25">
      <c r="B248" s="19"/>
      <c r="C248" s="18"/>
      <c r="D248" s="19"/>
      <c r="E248" s="18"/>
      <c r="F248" s="19" t="s">
        <v>1045</v>
      </c>
      <c r="G248" s="18" t="s">
        <v>637</v>
      </c>
      <c r="H248" s="19"/>
      <c r="I248" s="18"/>
      <c r="J248" s="19"/>
      <c r="K248" s="18"/>
      <c r="L248" s="19"/>
      <c r="M248" s="18"/>
    </row>
    <row r="249" spans="2:13" ht="25.5" x14ac:dyDescent="0.25">
      <c r="B249" s="19"/>
      <c r="C249" s="18"/>
      <c r="D249" s="19"/>
      <c r="E249" s="18"/>
      <c r="F249" s="26" t="s">
        <v>1046</v>
      </c>
      <c r="G249" s="24" t="s">
        <v>639</v>
      </c>
      <c r="H249" s="26"/>
      <c r="I249" s="24"/>
      <c r="J249" s="26"/>
      <c r="K249" s="24"/>
      <c r="L249" s="26"/>
      <c r="M249" s="24"/>
    </row>
    <row r="250" spans="2:13" ht="25.5" x14ac:dyDescent="0.25">
      <c r="B250" s="19"/>
      <c r="C250" s="18"/>
      <c r="D250" s="19"/>
      <c r="E250" s="18"/>
      <c r="F250" s="19" t="s">
        <v>1047</v>
      </c>
      <c r="G250" s="18" t="s">
        <v>641</v>
      </c>
      <c r="H250" s="19" t="s">
        <v>1048</v>
      </c>
      <c r="I250" s="19" t="s">
        <v>1050</v>
      </c>
      <c r="J250" s="19"/>
      <c r="K250" s="18"/>
      <c r="M250" s="19"/>
    </row>
    <row r="251" spans="2:13" ht="25.5" x14ac:dyDescent="0.25">
      <c r="B251" s="19"/>
      <c r="C251" s="18"/>
      <c r="D251" s="19"/>
      <c r="E251" s="18"/>
      <c r="F251" s="19"/>
      <c r="G251" s="18"/>
      <c r="H251" s="19" t="s">
        <v>1049</v>
      </c>
      <c r="I251" s="19" t="s">
        <v>1051</v>
      </c>
      <c r="J251" s="19"/>
      <c r="K251" s="18"/>
      <c r="M251" s="19"/>
    </row>
    <row r="252" spans="2:13" ht="25.5" x14ac:dyDescent="0.25">
      <c r="B252" s="19"/>
      <c r="C252" s="18"/>
      <c r="D252" s="19"/>
      <c r="E252" s="18"/>
      <c r="F252" s="19"/>
      <c r="G252" s="18"/>
      <c r="H252" s="19" t="s">
        <v>1052</v>
      </c>
      <c r="I252" s="19" t="s">
        <v>643</v>
      </c>
      <c r="J252" s="19"/>
      <c r="K252" s="18"/>
      <c r="M252" s="19"/>
    </row>
    <row r="253" spans="2:13" x14ac:dyDescent="0.25">
      <c r="B253" s="24"/>
      <c r="C253" s="24"/>
      <c r="D253" s="24"/>
      <c r="E253" s="24"/>
      <c r="F253" s="24"/>
      <c r="G253" s="24"/>
      <c r="H253" s="26" t="s">
        <v>1054</v>
      </c>
      <c r="I253" s="24" t="s">
        <v>1055</v>
      </c>
      <c r="J253" s="24"/>
      <c r="K253" s="24"/>
      <c r="L253" s="24"/>
      <c r="M253" s="24"/>
    </row>
    <row r="254" spans="2:13" ht="25.5" x14ac:dyDescent="0.25">
      <c r="B254" s="18" t="s">
        <v>714</v>
      </c>
      <c r="C254" s="18" t="s">
        <v>715</v>
      </c>
      <c r="D254" s="18"/>
      <c r="E254" s="18"/>
      <c r="F254" s="19" t="s">
        <v>1056</v>
      </c>
      <c r="G254" s="18" t="s">
        <v>649</v>
      </c>
      <c r="H254" s="19" t="s">
        <v>1059</v>
      </c>
      <c r="I254" s="18" t="s">
        <v>651</v>
      </c>
      <c r="J254" s="18"/>
      <c r="K254" s="18"/>
      <c r="L254" s="18"/>
      <c r="M254" s="18"/>
    </row>
    <row r="255" spans="2:13" x14ac:dyDescent="0.25">
      <c r="B255" s="18"/>
      <c r="C255" s="18"/>
      <c r="D255" s="18"/>
      <c r="E255" s="18"/>
      <c r="F255" s="26"/>
      <c r="G255" s="24"/>
      <c r="H255" s="26" t="s">
        <v>1060</v>
      </c>
      <c r="I255" s="24" t="s">
        <v>653</v>
      </c>
      <c r="J255" s="24"/>
      <c r="K255" s="24"/>
      <c r="L255" s="24"/>
      <c r="M255" s="24"/>
    </row>
    <row r="256" spans="2:13" ht="25.5" x14ac:dyDescent="0.25">
      <c r="B256" s="18"/>
      <c r="C256" s="18"/>
      <c r="D256" s="18"/>
      <c r="E256" s="18"/>
      <c r="F256" s="19" t="s">
        <v>1057</v>
      </c>
      <c r="G256" s="18" t="s">
        <v>1058</v>
      </c>
      <c r="H256" s="19" t="s">
        <v>1061</v>
      </c>
      <c r="I256" s="18" t="s">
        <v>655</v>
      </c>
      <c r="J256" s="18"/>
      <c r="K256" s="18"/>
      <c r="L256" s="18"/>
      <c r="M256" s="18"/>
    </row>
    <row r="257" spans="2:13" x14ac:dyDescent="0.25">
      <c r="B257" s="18"/>
      <c r="C257" s="18"/>
      <c r="D257" s="18"/>
      <c r="E257" s="18"/>
      <c r="F257" s="24"/>
      <c r="G257" s="24"/>
      <c r="H257" s="26" t="s">
        <v>1062</v>
      </c>
      <c r="I257" s="24" t="s">
        <v>657</v>
      </c>
      <c r="J257" s="24"/>
      <c r="K257" s="24"/>
      <c r="L257" s="24"/>
      <c r="M257" s="24"/>
    </row>
    <row r="258" spans="2:13" x14ac:dyDescent="0.25">
      <c r="B258" s="24"/>
      <c r="C258" s="24"/>
      <c r="D258" s="24"/>
      <c r="E258" s="24"/>
      <c r="F258" s="26" t="s">
        <v>1063</v>
      </c>
      <c r="G258" s="24" t="s">
        <v>659</v>
      </c>
      <c r="H258" s="26" t="s">
        <v>1064</v>
      </c>
      <c r="I258" s="24" t="s">
        <v>1053</v>
      </c>
      <c r="J258" s="24"/>
      <c r="K258" s="24"/>
      <c r="L258" s="24"/>
      <c r="M258" s="24"/>
    </row>
    <row r="259" spans="2:13" x14ac:dyDescent="0.25"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</row>
    <row r="260" spans="2:13" x14ac:dyDescent="0.25"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</row>
    <row r="261" spans="2:13" x14ac:dyDescent="0.25"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</row>
    <row r="262" spans="2:13" x14ac:dyDescent="0.25"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</row>
    <row r="263" spans="2:13" x14ac:dyDescent="0.25"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</row>
    <row r="264" spans="2:13" x14ac:dyDescent="0.25"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</row>
    <row r="265" spans="2:13" x14ac:dyDescent="0.25"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</row>
    <row r="266" spans="2:13" x14ac:dyDescent="0.25"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</row>
    <row r="267" spans="2:13" x14ac:dyDescent="0.25"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</row>
    <row r="268" spans="2:13" x14ac:dyDescent="0.25"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</row>
    <row r="269" spans="2:13" x14ac:dyDescent="0.25"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</row>
    <row r="270" spans="2:13" x14ac:dyDescent="0.25"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</row>
    <row r="271" spans="2:13" x14ac:dyDescent="0.25"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</row>
    <row r="272" spans="2:13" x14ac:dyDescent="0.25"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</row>
    <row r="273" spans="2:13" x14ac:dyDescent="0.25"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</row>
    <row r="274" spans="2:13" x14ac:dyDescent="0.25"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</row>
    <row r="275" spans="2:13" x14ac:dyDescent="0.25"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</row>
    <row r="276" spans="2:13" x14ac:dyDescent="0.25"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</row>
  </sheetData>
  <mergeCells count="6">
    <mergeCell ref="L2:M2"/>
    <mergeCell ref="B2:C2"/>
    <mergeCell ref="D2:E2"/>
    <mergeCell ref="F2:G2"/>
    <mergeCell ref="H2:I2"/>
    <mergeCell ref="J2:K2"/>
  </mergeCells>
  <pageMargins left="0.7" right="0.7" top="0.75" bottom="0.75" header="0.3" footer="0.3"/>
  <pageSetup orientation="portrait" horizontalDpi="30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344"/>
  <sheetViews>
    <sheetView workbookViewId="0">
      <pane xSplit="18" ySplit="4" topLeftCell="S59" activePane="bottomRight" state="frozen"/>
      <selection pane="topRight" activeCell="S1" sqref="S1"/>
      <selection pane="bottomLeft" activeCell="A5" sqref="A5"/>
      <selection pane="bottomRight" activeCell="C4" sqref="C4:C5"/>
    </sheetView>
  </sheetViews>
  <sheetFormatPr defaultRowHeight="15" x14ac:dyDescent="0.25"/>
  <cols>
    <col min="1" max="1" width="45.7109375" style="5" customWidth="1"/>
    <col min="2" max="2" width="2" style="1" customWidth="1"/>
    <col min="3" max="3" width="8.7109375" style="2" customWidth="1"/>
    <col min="4" max="4" width="32.5703125" style="1" customWidth="1"/>
    <col min="5" max="5" width="1.42578125" style="3" customWidth="1"/>
    <col min="6" max="6" width="6.5703125" style="1" bestFit="1" customWidth="1"/>
    <col min="7" max="15" width="5.85546875" style="1" bestFit="1" customWidth="1"/>
    <col min="16" max="16" width="1.42578125" style="3" customWidth="1"/>
    <col min="17" max="17" width="26.5703125" style="1" bestFit="1" customWidth="1"/>
    <col min="18" max="18" width="1.42578125" style="3" customWidth="1"/>
    <col min="19" max="28" width="2.85546875" style="1" customWidth="1"/>
    <col min="29" max="29" width="1.42578125" style="3" customWidth="1"/>
    <col min="30" max="39" width="2.85546875" style="1" customWidth="1"/>
    <col min="40" max="40" width="1.42578125" style="3" customWidth="1"/>
    <col min="41" max="41" width="9.140625" style="4"/>
    <col min="42" max="16384" width="9.140625" style="5"/>
  </cols>
  <sheetData>
    <row r="2" spans="1:41" ht="120" customHeight="1" x14ac:dyDescent="0.25">
      <c r="A2" s="104" t="s">
        <v>672</v>
      </c>
      <c r="B2" s="104"/>
      <c r="C2" s="104"/>
      <c r="D2" s="104"/>
    </row>
    <row r="3" spans="1:41" x14ac:dyDescent="0.25">
      <c r="B3" s="102" t="s">
        <v>0</v>
      </c>
      <c r="C3" s="102"/>
      <c r="D3" s="102"/>
      <c r="F3" s="103" t="s">
        <v>1</v>
      </c>
      <c r="G3" s="103"/>
      <c r="H3" s="103"/>
      <c r="I3" s="103"/>
      <c r="J3" s="103"/>
      <c r="K3" s="103"/>
      <c r="L3" s="103"/>
      <c r="M3" s="103"/>
      <c r="N3" s="103"/>
      <c r="O3" s="103"/>
      <c r="P3" s="6"/>
      <c r="Q3" s="7" t="s">
        <v>2</v>
      </c>
      <c r="R3" s="6"/>
      <c r="S3" s="102" t="s">
        <v>3</v>
      </c>
      <c r="T3" s="102"/>
      <c r="U3" s="102"/>
      <c r="V3" s="102"/>
      <c r="W3" s="102"/>
      <c r="X3" s="102"/>
      <c r="Y3" s="102"/>
      <c r="Z3" s="102"/>
      <c r="AA3" s="102"/>
      <c r="AB3" s="102"/>
      <c r="AC3" s="6"/>
      <c r="AD3" s="102" t="s">
        <v>4</v>
      </c>
      <c r="AE3" s="102"/>
      <c r="AF3" s="102"/>
      <c r="AG3" s="102"/>
      <c r="AH3" s="102"/>
      <c r="AI3" s="102"/>
      <c r="AJ3" s="102"/>
      <c r="AK3" s="102"/>
      <c r="AL3" s="102"/>
      <c r="AM3" s="102"/>
      <c r="AN3" s="6"/>
      <c r="AO3" s="8" t="s">
        <v>673</v>
      </c>
    </row>
    <row r="4" spans="1:41" s="3" customFormat="1" x14ac:dyDescent="0.25">
      <c r="B4" s="9"/>
      <c r="C4" s="9"/>
      <c r="D4" s="9"/>
      <c r="F4" s="10"/>
      <c r="G4" s="10"/>
      <c r="H4" s="10"/>
      <c r="I4" s="10"/>
      <c r="J4" s="10"/>
      <c r="K4" s="10"/>
      <c r="L4" s="10"/>
      <c r="M4" s="10"/>
      <c r="N4" s="10"/>
      <c r="O4" s="10"/>
      <c r="P4" s="6"/>
      <c r="Q4" s="10"/>
      <c r="R4" s="6"/>
      <c r="S4" s="11"/>
      <c r="T4" s="11"/>
      <c r="U4" s="11"/>
      <c r="V4" s="11"/>
      <c r="W4" s="11"/>
      <c r="X4" s="11"/>
      <c r="Y4" s="11"/>
      <c r="Z4" s="11"/>
      <c r="AA4" s="11"/>
      <c r="AB4" s="11"/>
      <c r="AC4" s="6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6"/>
      <c r="AO4" s="12"/>
    </row>
    <row r="5" spans="1:41" x14ac:dyDescent="0.25">
      <c r="F5" s="1" t="s">
        <v>5</v>
      </c>
      <c r="Q5" s="1" t="s">
        <v>6</v>
      </c>
      <c r="S5" s="1" t="str">
        <f>IF(EXACT($F5, ""), IF(EXACT($S4, ""), "", $S4), $F5)</f>
        <v>1-ACTV</v>
      </c>
      <c r="T5" s="1" t="str">
        <f>IF(EXACT($G5, ""), IF(EXACT($T4, ""), "", $T4), $G5)</f>
        <v/>
      </c>
      <c r="U5" s="1" t="str">
        <f>IF(EXACT($H5, ""), IF(EXACT($U4, ""), "", $U4), $H5)</f>
        <v/>
      </c>
      <c r="V5" s="1" t="str">
        <f>IF(EXACT($I5, ""), IF(EXACT($V4, ""), "", $V4), $I5)</f>
        <v/>
      </c>
      <c r="W5" s="1" t="str">
        <f>IF(EXACT($J5, ""), IF(EXACT($W4, ""), "", $W4), $J5)</f>
        <v/>
      </c>
      <c r="X5" s="1" t="str">
        <f>IF(EXACT($K5, ""), IF(EXACT($X4, ""), "", $X4), $K5)</f>
        <v/>
      </c>
      <c r="Y5" s="1" t="str">
        <f>IF(EXACT($L5, ""), IF(EXACT($Y4, ""), "", $Y4), $L5)</f>
        <v/>
      </c>
      <c r="Z5" s="1" t="str">
        <f>IF(EXACT($M5, ""), IF(EXACT($Z4, ""), "", $Z4), $M5)</f>
        <v/>
      </c>
      <c r="AA5" s="1" t="str">
        <f>IF(EXACT($N5, ""), IF(EXACT($AA4, ""), "", $AA4), $N5)</f>
        <v/>
      </c>
      <c r="AB5" s="1" t="str">
        <f>IF(EXACT($O5, ""), IF(EXACT($AB4, ""), "", $AB4), $O5)</f>
        <v/>
      </c>
      <c r="AD5" s="1" t="str">
        <f t="shared" ref="AD5:AD68" si="0">IF(EXACT(T5, T4), "", CONCATENATE("PERFORM * FROM ""SchData-OLTP-Accounting"".""Func_TblChartOfAccount_SET""(varSystemLoginSession, null, null, null, varInstitutionBranchID, null, '", T5, "', '", $Q5, "', 62000000000001::bigint, '2016-01-01 00:00:00'::timestamp, null::timestamp); "))</f>
        <v/>
      </c>
      <c r="AE5" s="1" t="str">
        <f t="shared" ref="AE5:AE68" si="1">IF(EXACT(U5, U4), "", CONCATENATE("PERFORM * FROM ""SchData-OLTP-Accounting"".""Func_TblChartOfAccount_SET""(varSystemLoginSession, null, null, null, varInstitutionBranchID, null, '", U5, "', '", $Q5, "', 62000000000001::bigint, '2016-01-01 00:00:00'::timestamp, null::timestamp); "))</f>
        <v/>
      </c>
      <c r="AF5" s="1" t="str">
        <f t="shared" ref="AF5:AF68" si="2">IF(EXACT(V5, V4), "", CONCATENATE("PERFORM * FROM ""SchData-OLTP-Accounting"".""Func_TblChartOfAccount_SET""(varSystemLoginSession, null, null, null, varInstitutionBranchID, null, '", V5, "', '", $Q5, "', 62000000000001::bigint, '2016-01-01 00:00:00'::timestamp, null::timestamp); "))</f>
        <v/>
      </c>
      <c r="AG5" s="1" t="str">
        <f t="shared" ref="AG5:AG68" si="3">IF(EXACT(W5, W4), "", CONCATENATE("PERFORM * FROM ""SchData-OLTP-Accounting"".""Func_TblChartOfAccount_SET""(varSystemLoginSession, null, null, null, varInstitutionBranchID, null, '", W5, "', '", $Q5, "', 62000000000001::bigint, '2016-01-01 00:00:00'::timestamp, null::timestamp); "))</f>
        <v/>
      </c>
      <c r="AH5" s="1" t="str">
        <f t="shared" ref="AH5:AH68" si="4">IF(EXACT(X5, X4), "", CONCATENATE("PERFORM * FROM ""SchData-OLTP-Accounting"".""Func_TblChartOfAccount_SET""(varSystemLoginSession, null, null, null, varInstitutionBranchID, null, '", X5, "', '", $Q5, "', 62000000000001::bigint, '2016-01-01 00:00:00'::timestamp, null::timestamp); "))</f>
        <v/>
      </c>
      <c r="AI5" s="1" t="str">
        <f t="shared" ref="AI5:AI68" si="5">IF(EXACT(Y5, Y4), "", CONCATENATE("PERFORM * FROM ""SchData-OLTP-Accounting"".""Func_TblChartOfAccount_SET""(varSystemLoginSession, null, null, null, varInstitutionBranchID, null, '", Y5, "', '", $Q5, "', 62000000000001::bigint, '2016-01-01 00:00:00'::timestamp, null::timestamp); "))</f>
        <v/>
      </c>
      <c r="AJ5" s="1" t="str">
        <f t="shared" ref="AJ5:AJ68" si="6">IF(EXACT(Z5, Z4), "", CONCATENATE("PERFORM * FROM ""SchData-OLTP-Accounting"".""Func_TblChartOfAccount_SET""(varSystemLoginSession, null, null, null, varInstitutionBranchID, null, '", Z5, "', '", $Q5, "', 62000000000001::bigint, '2016-01-01 00:00:00'::timestamp, null::timestamp); "))</f>
        <v/>
      </c>
      <c r="AK5" s="1" t="str">
        <f t="shared" ref="AK5:AK68" si="7">IF(EXACT(AA5, AA4), "", CONCATENATE("PERFORM * FROM ""SchData-OLTP-Accounting"".""Func_TblChartOfAccount_SET""(varSystemLoginSession, null, null, null, varInstitutionBranchID, null, '", AA5, "', '", $Q5, "', 62000000000001::bigint, '2016-01-01 00:00:00'::timestamp, null::timestamp); "))</f>
        <v/>
      </c>
      <c r="AL5" s="1" t="str">
        <f t="shared" ref="AL5:AL68" si="8">IF(EXACT(AB5, AB4), "", CONCATENATE("PERFORM * FROM ""SchData-OLTP-Accounting"".""Func_TblChartOfAccount_SET""(varSystemLoginSession, null, null, null, varInstitutionBranchID, null, '", AB5, "', '", $Q5, "', 62000000000001::bigint, '2016-01-01 00:00:00'::timestamp, null::timestamp); "))</f>
        <v/>
      </c>
      <c r="AM5" s="1" t="str">
        <f t="shared" ref="AM5:AM68" si="9">IF(EXACT(AC5, AC4), "", CONCATENATE("PERFORM * FROM ""SchData-OLTP-Accounting"".""Func_TblChartOfAccount_SET""(varSystemLoginSession, null, null, null, varInstitutionBranchID, null, '", AC5, "', '", $Q5, "', 62000000000001::bigint, '2016-01-01 00:00:00'::timestamp, null::timestamp); "))</f>
        <v/>
      </c>
      <c r="AO5" s="8" t="str">
        <f t="shared" ref="AO5:AO70" si="10">IF(NOT(EXACT(AD5, "")), AD5, IF(NOT(EXACT(AE5, "")), AE5, IF(NOT(EXACT(AF5, "")), AF5, IF(NOT(EXACT(AG5, "")), AG5, IF(NOT(EXACT(AH5, "")), AH5, IF(NOT(EXACT(AI5, "")), AI5, IF(NOT(EXACT(AJ5, "")), AJ5, IF(NOT(EXACT(AK5, "")), AK5, IF(NOT(EXACT(AL5, "")), AL5, IF(NOT(EXACT(AM5, "")), AM5, ""))))))))))</f>
        <v/>
      </c>
    </row>
    <row r="6" spans="1:41" x14ac:dyDescent="0.25">
      <c r="B6" s="1">
        <v>1</v>
      </c>
      <c r="C6" s="2" t="s">
        <v>7</v>
      </c>
      <c r="D6" s="1" t="s">
        <v>8</v>
      </c>
      <c r="G6" s="1" t="s">
        <v>7</v>
      </c>
      <c r="Q6" s="1" t="str">
        <f>D6</f>
        <v>Assets</v>
      </c>
      <c r="S6" s="1" t="str">
        <f t="shared" ref="S6:S69" si="11">IF(EXACT($F6, ""), IF(EXACT($S5, ""), "", $S5), $F6)</f>
        <v>1-ACTV</v>
      </c>
      <c r="T6" s="1" t="str">
        <f t="shared" ref="T6:T69" si="12">IF(EXACT($G6, ""), IF(EXACT($T5, ""), "", $T5), $G6)</f>
        <v>1-0000</v>
      </c>
      <c r="U6" s="1" t="str">
        <f t="shared" ref="U6:U69" si="13">IF(EXACT($H6, ""), IF(EXACT($U5, ""), "", $U5), $H6)</f>
        <v/>
      </c>
      <c r="V6" s="1" t="str">
        <f t="shared" ref="V6:V69" si="14">IF(EXACT($I6, ""), IF(EXACT($V5, ""), "", $V5), $I6)</f>
        <v/>
      </c>
      <c r="W6" s="1" t="str">
        <f t="shared" ref="W6:W69" si="15">IF(EXACT($J6, ""), IF(EXACT($W5, ""), "", $W5), $J6)</f>
        <v/>
      </c>
      <c r="X6" s="1" t="str">
        <f t="shared" ref="X6:X69" si="16">IF(EXACT($K6, ""), IF(EXACT($X5, ""), "", $X5), $K6)</f>
        <v/>
      </c>
      <c r="Y6" s="1" t="str">
        <f t="shared" ref="Y6:Y69" si="17">IF(EXACT($L6, ""), IF(EXACT($Y5, ""), "", $Y5), $L6)</f>
        <v/>
      </c>
      <c r="Z6" s="1" t="str">
        <f t="shared" ref="Z6:Z69" si="18">IF(EXACT($M6, ""), IF(EXACT($Z5, ""), "", $Z5), $M6)</f>
        <v/>
      </c>
      <c r="AA6" s="1" t="str">
        <f t="shared" ref="AA6:AA69" si="19">IF(EXACT($N6, ""), IF(EXACT($AA5, ""), "", $AA5), $N6)</f>
        <v/>
      </c>
      <c r="AB6" s="1" t="str">
        <f t="shared" ref="AB6:AB69" si="20">IF(EXACT($O6, ""), IF(EXACT($AB5, ""), "", $AB5), $O6)</f>
        <v/>
      </c>
      <c r="AD6" s="1" t="str">
        <f t="shared" si="0"/>
        <v xml:space="preserve">PERFORM * FROM "SchData-OLTP-Accounting"."Func_TblChartOfAccount_SET"(varSystemLoginSession, null, null, null, varInstitutionBranchID, null, '1-0000', 'Assets', 62000000000001::bigint, '2016-01-01 00:00:00'::timestamp, null::timestamp); </v>
      </c>
      <c r="AE6" s="1" t="str">
        <f t="shared" si="1"/>
        <v/>
      </c>
      <c r="AF6" s="1" t="str">
        <f t="shared" si="2"/>
        <v/>
      </c>
      <c r="AG6" s="1" t="str">
        <f t="shared" si="3"/>
        <v/>
      </c>
      <c r="AH6" s="1" t="str">
        <f t="shared" si="4"/>
        <v/>
      </c>
      <c r="AI6" s="1" t="str">
        <f t="shared" si="5"/>
        <v/>
      </c>
      <c r="AJ6" s="1" t="str">
        <f t="shared" si="6"/>
        <v/>
      </c>
      <c r="AK6" s="1" t="str">
        <f t="shared" si="7"/>
        <v/>
      </c>
      <c r="AL6" s="1" t="str">
        <f t="shared" si="8"/>
        <v/>
      </c>
      <c r="AM6" s="1" t="str">
        <f t="shared" si="9"/>
        <v/>
      </c>
      <c r="AO6" s="8" t="str">
        <f t="shared" si="10"/>
        <v xml:space="preserve">PERFORM * FROM "SchData-OLTP-Accounting"."Func_TblChartOfAccount_SET"(varSystemLoginSession, null, null, null, varInstitutionBranchID, null, '1-0000', 'Assets', 62000000000001::bigint, '2016-01-01 00:00:00'::timestamp, null::timestamp); </v>
      </c>
    </row>
    <row r="7" spans="1:41" x14ac:dyDescent="0.25">
      <c r="B7" s="1">
        <v>2</v>
      </c>
      <c r="C7" s="2" t="s">
        <v>9</v>
      </c>
      <c r="D7" s="1" t="s">
        <v>10</v>
      </c>
      <c r="H7" s="1" t="s">
        <v>9</v>
      </c>
      <c r="Q7" s="1" t="str">
        <f t="shared" ref="Q7:Q70" si="21">D7</f>
        <v>Cash &amp; Bank</v>
      </c>
      <c r="S7" s="1" t="str">
        <f t="shared" si="11"/>
        <v>1-ACTV</v>
      </c>
      <c r="T7" s="1" t="str">
        <f t="shared" si="12"/>
        <v>1-0000</v>
      </c>
      <c r="U7" s="1" t="str">
        <f t="shared" si="13"/>
        <v>1-1000</v>
      </c>
      <c r="V7" s="1" t="str">
        <f t="shared" si="14"/>
        <v/>
      </c>
      <c r="W7" s="1" t="str">
        <f t="shared" si="15"/>
        <v/>
      </c>
      <c r="X7" s="1" t="str">
        <f t="shared" si="16"/>
        <v/>
      </c>
      <c r="Y7" s="1" t="str">
        <f t="shared" si="17"/>
        <v/>
      </c>
      <c r="Z7" s="1" t="str">
        <f t="shared" si="18"/>
        <v/>
      </c>
      <c r="AA7" s="1" t="str">
        <f t="shared" si="19"/>
        <v/>
      </c>
      <c r="AB7" s="1" t="str">
        <f t="shared" si="20"/>
        <v/>
      </c>
      <c r="AD7" s="1" t="str">
        <f t="shared" si="0"/>
        <v/>
      </c>
      <c r="AE7" s="1" t="str">
        <f t="shared" si="1"/>
        <v xml:space="preserve">PERFORM * FROM "SchData-OLTP-Accounting"."Func_TblChartOfAccount_SET"(varSystemLoginSession, null, null, null, varInstitutionBranchID, null, '1-1000', 'Cash &amp; Bank', 62000000000001::bigint, '2016-01-01 00:00:00'::timestamp, null::timestamp); </v>
      </c>
      <c r="AF7" s="1" t="str">
        <f t="shared" si="2"/>
        <v/>
      </c>
      <c r="AG7" s="1" t="str">
        <f t="shared" si="3"/>
        <v/>
      </c>
      <c r="AH7" s="1" t="str">
        <f t="shared" si="4"/>
        <v/>
      </c>
      <c r="AI7" s="1" t="str">
        <f t="shared" si="5"/>
        <v/>
      </c>
      <c r="AJ7" s="1" t="str">
        <f t="shared" si="6"/>
        <v/>
      </c>
      <c r="AK7" s="1" t="str">
        <f t="shared" si="7"/>
        <v/>
      </c>
      <c r="AL7" s="1" t="str">
        <f t="shared" si="8"/>
        <v/>
      </c>
      <c r="AM7" s="1" t="str">
        <f t="shared" si="9"/>
        <v/>
      </c>
      <c r="AO7" s="8" t="str">
        <f t="shared" si="10"/>
        <v xml:space="preserve">PERFORM * FROM "SchData-OLTP-Accounting"."Func_TblChartOfAccount_SET"(varSystemLoginSession, null, null, null, varInstitutionBranchID, null, '1-1000', 'Cash &amp; Bank', 62000000000001::bigint, '2016-01-01 00:00:00'::timestamp, null::timestamp); </v>
      </c>
    </row>
    <row r="8" spans="1:41" x14ac:dyDescent="0.25">
      <c r="B8" s="1">
        <v>3</v>
      </c>
      <c r="C8" s="2" t="s">
        <v>11</v>
      </c>
      <c r="D8" s="1" t="s">
        <v>12</v>
      </c>
      <c r="I8" s="1" t="s">
        <v>11</v>
      </c>
      <c r="Q8" s="1" t="str">
        <f t="shared" si="21"/>
        <v>Petty Cash</v>
      </c>
      <c r="S8" s="1" t="str">
        <f t="shared" si="11"/>
        <v>1-ACTV</v>
      </c>
      <c r="T8" s="1" t="str">
        <f t="shared" si="12"/>
        <v>1-0000</v>
      </c>
      <c r="U8" s="1" t="str">
        <f t="shared" si="13"/>
        <v>1-1000</v>
      </c>
      <c r="V8" s="1" t="str">
        <f t="shared" si="14"/>
        <v>1-1100</v>
      </c>
      <c r="W8" s="1" t="str">
        <f t="shared" si="15"/>
        <v/>
      </c>
      <c r="X8" s="1" t="str">
        <f t="shared" si="16"/>
        <v/>
      </c>
      <c r="Y8" s="1" t="str">
        <f t="shared" si="17"/>
        <v/>
      </c>
      <c r="Z8" s="1" t="str">
        <f t="shared" si="18"/>
        <v/>
      </c>
      <c r="AA8" s="1" t="str">
        <f t="shared" si="19"/>
        <v/>
      </c>
      <c r="AB8" s="1" t="str">
        <f t="shared" si="20"/>
        <v/>
      </c>
      <c r="AD8" s="1" t="str">
        <f t="shared" si="0"/>
        <v/>
      </c>
      <c r="AE8" s="1" t="str">
        <f t="shared" si="1"/>
        <v/>
      </c>
      <c r="AF8" s="1" t="str">
        <f t="shared" si="2"/>
        <v xml:space="preserve">PERFORM * FROM "SchData-OLTP-Accounting"."Func_TblChartOfAccount_SET"(varSystemLoginSession, null, null, null, varInstitutionBranchID, null, '1-1100', 'Petty Cash', 62000000000001::bigint, '2016-01-01 00:00:00'::timestamp, null::timestamp); </v>
      </c>
      <c r="AG8" s="1" t="str">
        <f t="shared" si="3"/>
        <v/>
      </c>
      <c r="AH8" s="1" t="str">
        <f t="shared" si="4"/>
        <v/>
      </c>
      <c r="AI8" s="1" t="str">
        <f t="shared" si="5"/>
        <v/>
      </c>
      <c r="AJ8" s="1" t="str">
        <f t="shared" si="6"/>
        <v/>
      </c>
      <c r="AK8" s="1" t="str">
        <f t="shared" si="7"/>
        <v/>
      </c>
      <c r="AL8" s="1" t="str">
        <f t="shared" si="8"/>
        <v/>
      </c>
      <c r="AM8" s="1" t="str">
        <f t="shared" si="9"/>
        <v/>
      </c>
      <c r="AO8" s="8" t="str">
        <f t="shared" si="10"/>
        <v xml:space="preserve">PERFORM * FROM "SchData-OLTP-Accounting"."Func_TblChartOfAccount_SET"(varSystemLoginSession, null, null, null, varInstitutionBranchID, null, '1-1100', 'Petty Cash', 62000000000001::bigint, '2016-01-01 00:00:00'::timestamp, null::timestamp); </v>
      </c>
    </row>
    <row r="9" spans="1:41" x14ac:dyDescent="0.25">
      <c r="B9" s="1">
        <v>4</v>
      </c>
      <c r="C9" s="2" t="s">
        <v>13</v>
      </c>
      <c r="D9" s="1" t="s">
        <v>14</v>
      </c>
      <c r="J9" s="1" t="s">
        <v>13</v>
      </c>
      <c r="Q9" s="1" t="str">
        <f t="shared" si="21"/>
        <v>Petty Cash - Head Office</v>
      </c>
      <c r="S9" s="1" t="str">
        <f t="shared" si="11"/>
        <v>1-ACTV</v>
      </c>
      <c r="T9" s="1" t="str">
        <f t="shared" si="12"/>
        <v>1-0000</v>
      </c>
      <c r="U9" s="1" t="str">
        <f t="shared" si="13"/>
        <v>1-1000</v>
      </c>
      <c r="V9" s="1" t="str">
        <f t="shared" si="14"/>
        <v>1-1100</v>
      </c>
      <c r="W9" s="1" t="str">
        <f t="shared" si="15"/>
        <v>1-1101</v>
      </c>
      <c r="X9" s="1" t="str">
        <f t="shared" si="16"/>
        <v/>
      </c>
      <c r="Y9" s="1" t="str">
        <f t="shared" si="17"/>
        <v/>
      </c>
      <c r="Z9" s="1" t="str">
        <f t="shared" si="18"/>
        <v/>
      </c>
      <c r="AA9" s="1" t="str">
        <f t="shared" si="19"/>
        <v/>
      </c>
      <c r="AB9" s="1" t="str">
        <f t="shared" si="20"/>
        <v/>
      </c>
      <c r="AD9" s="1" t="str">
        <f t="shared" si="0"/>
        <v/>
      </c>
      <c r="AE9" s="1" t="str">
        <f t="shared" si="1"/>
        <v/>
      </c>
      <c r="AF9" s="1" t="str">
        <f t="shared" si="2"/>
        <v/>
      </c>
      <c r="AG9" s="1" t="str">
        <f t="shared" si="3"/>
        <v xml:space="preserve">PERFORM * FROM "SchData-OLTP-Accounting"."Func_TblChartOfAccount_SET"(varSystemLoginSession, null, null, null, varInstitutionBranchID, null, '1-1101', 'Petty Cash - Head Office', 62000000000001::bigint, '2016-01-01 00:00:00'::timestamp, null::timestamp); </v>
      </c>
      <c r="AH9" s="1" t="str">
        <f t="shared" si="4"/>
        <v/>
      </c>
      <c r="AI9" s="1" t="str">
        <f t="shared" si="5"/>
        <v/>
      </c>
      <c r="AJ9" s="1" t="str">
        <f t="shared" si="6"/>
        <v/>
      </c>
      <c r="AK9" s="1" t="str">
        <f t="shared" si="7"/>
        <v/>
      </c>
      <c r="AL9" s="1" t="str">
        <f t="shared" si="8"/>
        <v/>
      </c>
      <c r="AM9" s="1" t="str">
        <f t="shared" si="9"/>
        <v/>
      </c>
      <c r="AO9" s="8" t="str">
        <f t="shared" si="10"/>
        <v xml:space="preserve">PERFORM * FROM "SchData-OLTP-Accounting"."Func_TblChartOfAccount_SET"(varSystemLoginSession, null, null, null, varInstitutionBranchID, null, '1-1101', 'Petty Cash - Head Office', 62000000000001::bigint, '2016-01-01 00:00:00'::timestamp, null::timestamp); </v>
      </c>
    </row>
    <row r="10" spans="1:41" x14ac:dyDescent="0.25">
      <c r="B10" s="1">
        <v>4</v>
      </c>
      <c r="C10" s="2" t="s">
        <v>15</v>
      </c>
      <c r="D10" s="1" t="s">
        <v>16</v>
      </c>
      <c r="J10" s="1" t="s">
        <v>15</v>
      </c>
      <c r="Q10" s="1" t="str">
        <f t="shared" si="21"/>
        <v>Petty Cash - Ho Project</v>
      </c>
      <c r="S10" s="1" t="str">
        <f t="shared" si="11"/>
        <v>1-ACTV</v>
      </c>
      <c r="T10" s="1" t="str">
        <f t="shared" si="12"/>
        <v>1-0000</v>
      </c>
      <c r="U10" s="1" t="str">
        <f t="shared" si="13"/>
        <v>1-1000</v>
      </c>
      <c r="V10" s="1" t="str">
        <f t="shared" si="14"/>
        <v>1-1100</v>
      </c>
      <c r="W10" s="1" t="str">
        <f t="shared" si="15"/>
        <v>1-1102</v>
      </c>
      <c r="X10" s="1" t="str">
        <f t="shared" si="16"/>
        <v/>
      </c>
      <c r="Y10" s="1" t="str">
        <f t="shared" si="17"/>
        <v/>
      </c>
      <c r="Z10" s="1" t="str">
        <f t="shared" si="18"/>
        <v/>
      </c>
      <c r="AA10" s="1" t="str">
        <f t="shared" si="19"/>
        <v/>
      </c>
      <c r="AB10" s="1" t="str">
        <f t="shared" si="20"/>
        <v/>
      </c>
      <c r="AD10" s="1" t="str">
        <f t="shared" si="0"/>
        <v/>
      </c>
      <c r="AE10" s="1" t="str">
        <f t="shared" si="1"/>
        <v/>
      </c>
      <c r="AF10" s="1" t="str">
        <f t="shared" si="2"/>
        <v/>
      </c>
      <c r="AG10" s="1" t="str">
        <f t="shared" si="3"/>
        <v xml:space="preserve">PERFORM * FROM "SchData-OLTP-Accounting"."Func_TblChartOfAccount_SET"(varSystemLoginSession, null, null, null, varInstitutionBranchID, null, '1-1102', 'Petty Cash - Ho Project', 62000000000001::bigint, '2016-01-01 00:00:00'::timestamp, null::timestamp); </v>
      </c>
      <c r="AH10" s="1" t="str">
        <f t="shared" si="4"/>
        <v/>
      </c>
      <c r="AI10" s="1" t="str">
        <f t="shared" si="5"/>
        <v/>
      </c>
      <c r="AJ10" s="1" t="str">
        <f t="shared" si="6"/>
        <v/>
      </c>
      <c r="AK10" s="1" t="str">
        <f t="shared" si="7"/>
        <v/>
      </c>
      <c r="AL10" s="1" t="str">
        <f t="shared" si="8"/>
        <v/>
      </c>
      <c r="AM10" s="1" t="str">
        <f t="shared" si="9"/>
        <v/>
      </c>
      <c r="AO10" s="8" t="str">
        <f t="shared" si="10"/>
        <v xml:space="preserve">PERFORM * FROM "SchData-OLTP-Accounting"."Func_TblChartOfAccount_SET"(varSystemLoginSession, null, null, null, varInstitutionBranchID, null, '1-1102', 'Petty Cash - Ho Project', 62000000000001::bigint, '2016-01-01 00:00:00'::timestamp, null::timestamp); </v>
      </c>
    </row>
    <row r="11" spans="1:41" x14ac:dyDescent="0.25">
      <c r="B11" s="1">
        <v>4</v>
      </c>
      <c r="C11" s="2" t="s">
        <v>17</v>
      </c>
      <c r="D11" s="1" t="s">
        <v>18</v>
      </c>
      <c r="J11" s="1" t="s">
        <v>17</v>
      </c>
      <c r="Q11" s="1" t="str">
        <f t="shared" si="21"/>
        <v>Petty Cash - Project</v>
      </c>
      <c r="S11" s="1" t="str">
        <f t="shared" si="11"/>
        <v>1-ACTV</v>
      </c>
      <c r="T11" s="1" t="str">
        <f t="shared" si="12"/>
        <v>1-0000</v>
      </c>
      <c r="U11" s="1" t="str">
        <f t="shared" si="13"/>
        <v>1-1000</v>
      </c>
      <c r="V11" s="1" t="str">
        <f t="shared" si="14"/>
        <v>1-1100</v>
      </c>
      <c r="W11" s="1" t="str">
        <f t="shared" si="15"/>
        <v>1-1103</v>
      </c>
      <c r="X11" s="1" t="str">
        <f t="shared" si="16"/>
        <v/>
      </c>
      <c r="Y11" s="1" t="str">
        <f t="shared" si="17"/>
        <v/>
      </c>
      <c r="Z11" s="1" t="str">
        <f t="shared" si="18"/>
        <v/>
      </c>
      <c r="AA11" s="1" t="str">
        <f t="shared" si="19"/>
        <v/>
      </c>
      <c r="AB11" s="1" t="str">
        <f t="shared" si="20"/>
        <v/>
      </c>
      <c r="AD11" s="1" t="str">
        <f t="shared" si="0"/>
        <v/>
      </c>
      <c r="AE11" s="1" t="str">
        <f t="shared" si="1"/>
        <v/>
      </c>
      <c r="AF11" s="1" t="str">
        <f t="shared" si="2"/>
        <v/>
      </c>
      <c r="AG11" s="1" t="str">
        <f t="shared" si="3"/>
        <v xml:space="preserve">PERFORM * FROM "SchData-OLTP-Accounting"."Func_TblChartOfAccount_SET"(varSystemLoginSession, null, null, null, varInstitutionBranchID, null, '1-1103', 'Petty Cash - Project', 62000000000001::bigint, '2016-01-01 00:00:00'::timestamp, null::timestamp); </v>
      </c>
      <c r="AH11" s="1" t="str">
        <f t="shared" si="4"/>
        <v/>
      </c>
      <c r="AI11" s="1" t="str">
        <f t="shared" si="5"/>
        <v/>
      </c>
      <c r="AJ11" s="1" t="str">
        <f t="shared" si="6"/>
        <v/>
      </c>
      <c r="AK11" s="1" t="str">
        <f t="shared" si="7"/>
        <v/>
      </c>
      <c r="AL11" s="1" t="str">
        <f t="shared" si="8"/>
        <v/>
      </c>
      <c r="AM11" s="1" t="str">
        <f t="shared" si="9"/>
        <v/>
      </c>
      <c r="AO11" s="8" t="str">
        <f t="shared" si="10"/>
        <v xml:space="preserve">PERFORM * FROM "SchData-OLTP-Accounting"."Func_TblChartOfAccount_SET"(varSystemLoginSession, null, null, null, varInstitutionBranchID, null, '1-1103', 'Petty Cash - Project', 62000000000001::bigint, '2016-01-01 00:00:00'::timestamp, null::timestamp); </v>
      </c>
    </row>
    <row r="12" spans="1:41" x14ac:dyDescent="0.25">
      <c r="B12" s="1">
        <v>4</v>
      </c>
      <c r="C12" s="2" t="s">
        <v>19</v>
      </c>
      <c r="D12" s="1" t="s">
        <v>20</v>
      </c>
      <c r="J12" s="1" t="s">
        <v>19</v>
      </c>
      <c r="Q12" s="1" t="str">
        <f t="shared" si="21"/>
        <v>Petty Cash - WH</v>
      </c>
      <c r="S12" s="1" t="str">
        <f t="shared" si="11"/>
        <v>1-ACTV</v>
      </c>
      <c r="T12" s="1" t="str">
        <f t="shared" si="12"/>
        <v>1-0000</v>
      </c>
      <c r="U12" s="1" t="str">
        <f t="shared" si="13"/>
        <v>1-1000</v>
      </c>
      <c r="V12" s="1" t="str">
        <f t="shared" si="14"/>
        <v>1-1100</v>
      </c>
      <c r="W12" s="1" t="str">
        <f t="shared" si="15"/>
        <v>1-1104</v>
      </c>
      <c r="X12" s="1" t="str">
        <f t="shared" si="16"/>
        <v/>
      </c>
      <c r="Y12" s="1" t="str">
        <f t="shared" si="17"/>
        <v/>
      </c>
      <c r="Z12" s="1" t="str">
        <f t="shared" si="18"/>
        <v/>
      </c>
      <c r="AA12" s="1" t="str">
        <f t="shared" si="19"/>
        <v/>
      </c>
      <c r="AB12" s="1" t="str">
        <f t="shared" si="20"/>
        <v/>
      </c>
      <c r="AD12" s="1" t="str">
        <f t="shared" si="0"/>
        <v/>
      </c>
      <c r="AE12" s="1" t="str">
        <f t="shared" si="1"/>
        <v/>
      </c>
      <c r="AF12" s="1" t="str">
        <f t="shared" si="2"/>
        <v/>
      </c>
      <c r="AG12" s="1" t="str">
        <f t="shared" si="3"/>
        <v xml:space="preserve">PERFORM * FROM "SchData-OLTP-Accounting"."Func_TblChartOfAccount_SET"(varSystemLoginSession, null, null, null, varInstitutionBranchID, null, '1-1104', 'Petty Cash - WH', 62000000000001::bigint, '2016-01-01 00:00:00'::timestamp, null::timestamp); </v>
      </c>
      <c r="AH12" s="1" t="str">
        <f t="shared" si="4"/>
        <v/>
      </c>
      <c r="AI12" s="1" t="str">
        <f t="shared" si="5"/>
        <v/>
      </c>
      <c r="AJ12" s="1" t="str">
        <f t="shared" si="6"/>
        <v/>
      </c>
      <c r="AK12" s="1" t="str">
        <f t="shared" si="7"/>
        <v/>
      </c>
      <c r="AL12" s="1" t="str">
        <f t="shared" si="8"/>
        <v/>
      </c>
      <c r="AM12" s="1" t="str">
        <f t="shared" si="9"/>
        <v/>
      </c>
      <c r="AO12" s="8" t="str">
        <f t="shared" si="10"/>
        <v xml:space="preserve">PERFORM * FROM "SchData-OLTP-Accounting"."Func_TblChartOfAccount_SET"(varSystemLoginSession, null, null, null, varInstitutionBranchID, null, '1-1104', 'Petty Cash - WH', 62000000000001::bigint, '2016-01-01 00:00:00'::timestamp, null::timestamp); </v>
      </c>
    </row>
    <row r="13" spans="1:41" x14ac:dyDescent="0.25">
      <c r="B13" s="1">
        <v>2</v>
      </c>
      <c r="C13" s="2" t="s">
        <v>21</v>
      </c>
      <c r="D13" s="1" t="s">
        <v>22</v>
      </c>
      <c r="J13" s="1" t="s">
        <v>21</v>
      </c>
      <c r="Q13" s="1" t="str">
        <f t="shared" si="21"/>
        <v>Petty Cash - Salatiga</v>
      </c>
      <c r="S13" s="1" t="str">
        <f t="shared" si="11"/>
        <v>1-ACTV</v>
      </c>
      <c r="T13" s="1" t="str">
        <f t="shared" si="12"/>
        <v>1-0000</v>
      </c>
      <c r="U13" s="1" t="str">
        <f t="shared" si="13"/>
        <v>1-1000</v>
      </c>
      <c r="V13" s="1" t="str">
        <f t="shared" si="14"/>
        <v>1-1100</v>
      </c>
      <c r="W13" s="1" t="str">
        <f t="shared" si="15"/>
        <v>1-1105</v>
      </c>
      <c r="X13" s="1" t="str">
        <f t="shared" si="16"/>
        <v/>
      </c>
      <c r="Y13" s="1" t="str">
        <f t="shared" si="17"/>
        <v/>
      </c>
      <c r="Z13" s="1" t="str">
        <f t="shared" si="18"/>
        <v/>
      </c>
      <c r="AA13" s="1" t="str">
        <f t="shared" si="19"/>
        <v/>
      </c>
      <c r="AB13" s="1" t="str">
        <f t="shared" si="20"/>
        <v/>
      </c>
      <c r="AD13" s="1" t="str">
        <f t="shared" si="0"/>
        <v/>
      </c>
      <c r="AE13" s="1" t="str">
        <f t="shared" si="1"/>
        <v/>
      </c>
      <c r="AF13" s="1" t="str">
        <f t="shared" si="2"/>
        <v/>
      </c>
      <c r="AG13" s="1" t="str">
        <f t="shared" si="3"/>
        <v xml:space="preserve">PERFORM * FROM "SchData-OLTP-Accounting"."Func_TblChartOfAccount_SET"(varSystemLoginSession, null, null, null, varInstitutionBranchID, null, '1-1105', 'Petty Cash - Salatiga', 62000000000001::bigint, '2016-01-01 00:00:00'::timestamp, null::timestamp); </v>
      </c>
      <c r="AH13" s="1" t="str">
        <f t="shared" si="4"/>
        <v/>
      </c>
      <c r="AI13" s="1" t="str">
        <f t="shared" si="5"/>
        <v/>
      </c>
      <c r="AJ13" s="1" t="str">
        <f t="shared" si="6"/>
        <v/>
      </c>
      <c r="AK13" s="1" t="str">
        <f t="shared" si="7"/>
        <v/>
      </c>
      <c r="AL13" s="1" t="str">
        <f t="shared" si="8"/>
        <v/>
      </c>
      <c r="AM13" s="1" t="str">
        <f t="shared" si="9"/>
        <v/>
      </c>
      <c r="AO13" s="8" t="str">
        <f t="shared" si="10"/>
        <v xml:space="preserve">PERFORM * FROM "SchData-OLTP-Accounting"."Func_TblChartOfAccount_SET"(varSystemLoginSession, null, null, null, varInstitutionBranchID, null, '1-1105', 'Petty Cash - Salatiga', 62000000000001::bigint, '2016-01-01 00:00:00'::timestamp, null::timestamp); </v>
      </c>
    </row>
    <row r="14" spans="1:41" x14ac:dyDescent="0.25">
      <c r="B14" s="1">
        <v>2</v>
      </c>
      <c r="C14" s="2" t="s">
        <v>23</v>
      </c>
      <c r="D14" s="1" t="s">
        <v>24</v>
      </c>
      <c r="J14" s="1" t="s">
        <v>23</v>
      </c>
      <c r="Q14" s="1" t="str">
        <f t="shared" si="21"/>
        <v>Petty Cash - PKU</v>
      </c>
      <c r="S14" s="1" t="str">
        <f t="shared" si="11"/>
        <v>1-ACTV</v>
      </c>
      <c r="T14" s="1" t="str">
        <f t="shared" si="12"/>
        <v>1-0000</v>
      </c>
      <c r="U14" s="1" t="str">
        <f t="shared" si="13"/>
        <v>1-1000</v>
      </c>
      <c r="V14" s="1" t="str">
        <f t="shared" si="14"/>
        <v>1-1100</v>
      </c>
      <c r="W14" s="1" t="str">
        <f t="shared" si="15"/>
        <v>1-1106</v>
      </c>
      <c r="X14" s="1" t="str">
        <f t="shared" si="16"/>
        <v/>
      </c>
      <c r="Y14" s="1" t="str">
        <f t="shared" si="17"/>
        <v/>
      </c>
      <c r="Z14" s="1" t="str">
        <f t="shared" si="18"/>
        <v/>
      </c>
      <c r="AA14" s="1" t="str">
        <f t="shared" si="19"/>
        <v/>
      </c>
      <c r="AB14" s="1" t="str">
        <f t="shared" si="20"/>
        <v/>
      </c>
      <c r="AD14" s="1" t="str">
        <f t="shared" si="0"/>
        <v/>
      </c>
      <c r="AE14" s="1" t="str">
        <f t="shared" si="1"/>
        <v/>
      </c>
      <c r="AF14" s="1" t="str">
        <f t="shared" si="2"/>
        <v/>
      </c>
      <c r="AG14" s="1" t="str">
        <f t="shared" si="3"/>
        <v xml:space="preserve">PERFORM * FROM "SchData-OLTP-Accounting"."Func_TblChartOfAccount_SET"(varSystemLoginSession, null, null, null, varInstitutionBranchID, null, '1-1106', 'Petty Cash - PKU', 62000000000001::bigint, '2016-01-01 00:00:00'::timestamp, null::timestamp); </v>
      </c>
      <c r="AH14" s="1" t="str">
        <f t="shared" si="4"/>
        <v/>
      </c>
      <c r="AI14" s="1" t="str">
        <f t="shared" si="5"/>
        <v/>
      </c>
      <c r="AJ14" s="1" t="str">
        <f t="shared" si="6"/>
        <v/>
      </c>
      <c r="AK14" s="1" t="str">
        <f t="shared" si="7"/>
        <v/>
      </c>
      <c r="AL14" s="1" t="str">
        <f t="shared" si="8"/>
        <v/>
      </c>
      <c r="AM14" s="1" t="str">
        <f t="shared" si="9"/>
        <v/>
      </c>
      <c r="AO14" s="8" t="str">
        <f t="shared" si="10"/>
        <v xml:space="preserve">PERFORM * FROM "SchData-OLTP-Accounting"."Func_TblChartOfAccount_SET"(varSystemLoginSession, null, null, null, varInstitutionBranchID, null, '1-1106', 'Petty Cash - PKU', 62000000000001::bigint, '2016-01-01 00:00:00'::timestamp, null::timestamp); </v>
      </c>
    </row>
    <row r="15" spans="1:41" x14ac:dyDescent="0.25">
      <c r="B15" s="1">
        <v>2</v>
      </c>
      <c r="C15" s="2" t="s">
        <v>25</v>
      </c>
      <c r="D15" s="1" t="s">
        <v>26</v>
      </c>
      <c r="J15" s="1" t="s">
        <v>25</v>
      </c>
      <c r="Q15" s="1" t="str">
        <f t="shared" si="21"/>
        <v>Petty Cash - PWKT</v>
      </c>
      <c r="S15" s="1" t="str">
        <f t="shared" si="11"/>
        <v>1-ACTV</v>
      </c>
      <c r="T15" s="1" t="str">
        <f t="shared" si="12"/>
        <v>1-0000</v>
      </c>
      <c r="U15" s="1" t="str">
        <f t="shared" si="13"/>
        <v>1-1000</v>
      </c>
      <c r="V15" s="1" t="str">
        <f t="shared" si="14"/>
        <v>1-1100</v>
      </c>
      <c r="W15" s="1" t="str">
        <f t="shared" si="15"/>
        <v>1-1107</v>
      </c>
      <c r="X15" s="1" t="str">
        <f t="shared" si="16"/>
        <v/>
      </c>
      <c r="Y15" s="1" t="str">
        <f t="shared" si="17"/>
        <v/>
      </c>
      <c r="Z15" s="1" t="str">
        <f t="shared" si="18"/>
        <v/>
      </c>
      <c r="AA15" s="1" t="str">
        <f t="shared" si="19"/>
        <v/>
      </c>
      <c r="AB15" s="1" t="str">
        <f t="shared" si="20"/>
        <v/>
      </c>
      <c r="AD15" s="1" t="str">
        <f t="shared" si="0"/>
        <v/>
      </c>
      <c r="AE15" s="1" t="str">
        <f t="shared" si="1"/>
        <v/>
      </c>
      <c r="AF15" s="1" t="str">
        <f t="shared" si="2"/>
        <v/>
      </c>
      <c r="AG15" s="1" t="str">
        <f t="shared" si="3"/>
        <v xml:space="preserve">PERFORM * FROM "SchData-OLTP-Accounting"."Func_TblChartOfAccount_SET"(varSystemLoginSession, null, null, null, varInstitutionBranchID, null, '1-1107', 'Petty Cash - PWKT', 62000000000001::bigint, '2016-01-01 00:00:00'::timestamp, null::timestamp); </v>
      </c>
      <c r="AH15" s="1" t="str">
        <f t="shared" si="4"/>
        <v/>
      </c>
      <c r="AI15" s="1" t="str">
        <f t="shared" si="5"/>
        <v/>
      </c>
      <c r="AJ15" s="1" t="str">
        <f t="shared" si="6"/>
        <v/>
      </c>
      <c r="AK15" s="1" t="str">
        <f t="shared" si="7"/>
        <v/>
      </c>
      <c r="AL15" s="1" t="str">
        <f t="shared" si="8"/>
        <v/>
      </c>
      <c r="AM15" s="1" t="str">
        <f t="shared" si="9"/>
        <v/>
      </c>
      <c r="AO15" s="8" t="str">
        <f t="shared" si="10"/>
        <v xml:space="preserve">PERFORM * FROM "SchData-OLTP-Accounting"."Func_TblChartOfAccount_SET"(varSystemLoginSession, null, null, null, varInstitutionBranchID, null, '1-1107', 'Petty Cash - PWKT', 62000000000001::bigint, '2016-01-01 00:00:00'::timestamp, null::timestamp); </v>
      </c>
    </row>
    <row r="16" spans="1:41" x14ac:dyDescent="0.25">
      <c r="B16" s="1">
        <v>2</v>
      </c>
      <c r="C16" s="2" t="s">
        <v>27</v>
      </c>
      <c r="D16" s="1" t="s">
        <v>28</v>
      </c>
      <c r="J16" s="1" t="s">
        <v>27</v>
      </c>
      <c r="Q16" s="1" t="str">
        <f t="shared" si="21"/>
        <v>Petty Cash - Bangka</v>
      </c>
      <c r="S16" s="1" t="str">
        <f t="shared" si="11"/>
        <v>1-ACTV</v>
      </c>
      <c r="T16" s="1" t="str">
        <f t="shared" si="12"/>
        <v>1-0000</v>
      </c>
      <c r="U16" s="1" t="str">
        <f t="shared" si="13"/>
        <v>1-1000</v>
      </c>
      <c r="V16" s="1" t="str">
        <f t="shared" si="14"/>
        <v>1-1100</v>
      </c>
      <c r="W16" s="1" t="str">
        <f t="shared" si="15"/>
        <v>1-1108</v>
      </c>
      <c r="X16" s="1" t="str">
        <f t="shared" si="16"/>
        <v/>
      </c>
      <c r="Y16" s="1" t="str">
        <f t="shared" si="17"/>
        <v/>
      </c>
      <c r="Z16" s="1" t="str">
        <f t="shared" si="18"/>
        <v/>
      </c>
      <c r="AA16" s="1" t="str">
        <f t="shared" si="19"/>
        <v/>
      </c>
      <c r="AB16" s="1" t="str">
        <f t="shared" si="20"/>
        <v/>
      </c>
      <c r="AD16" s="1" t="str">
        <f t="shared" si="0"/>
        <v/>
      </c>
      <c r="AE16" s="1" t="str">
        <f t="shared" si="1"/>
        <v/>
      </c>
      <c r="AF16" s="1" t="str">
        <f t="shared" si="2"/>
        <v/>
      </c>
      <c r="AG16" s="1" t="str">
        <f t="shared" si="3"/>
        <v xml:space="preserve">PERFORM * FROM "SchData-OLTP-Accounting"."Func_TblChartOfAccount_SET"(varSystemLoginSession, null, null, null, varInstitutionBranchID, null, '1-1108', 'Petty Cash - Bangka', 62000000000001::bigint, '2016-01-01 00:00:00'::timestamp, null::timestamp); </v>
      </c>
      <c r="AH16" s="1" t="str">
        <f t="shared" si="4"/>
        <v/>
      </c>
      <c r="AI16" s="1" t="str">
        <f t="shared" si="5"/>
        <v/>
      </c>
      <c r="AJ16" s="1" t="str">
        <f t="shared" si="6"/>
        <v/>
      </c>
      <c r="AK16" s="1" t="str">
        <f t="shared" si="7"/>
        <v/>
      </c>
      <c r="AL16" s="1" t="str">
        <f t="shared" si="8"/>
        <v/>
      </c>
      <c r="AM16" s="1" t="str">
        <f t="shared" si="9"/>
        <v/>
      </c>
      <c r="AO16" s="8" t="str">
        <f t="shared" si="10"/>
        <v xml:space="preserve">PERFORM * FROM "SchData-OLTP-Accounting"."Func_TblChartOfAccount_SET"(varSystemLoginSession, null, null, null, varInstitutionBranchID, null, '1-1108', 'Petty Cash - Bangka', 62000000000001::bigint, '2016-01-01 00:00:00'::timestamp, null::timestamp); </v>
      </c>
    </row>
    <row r="17" spans="2:41" x14ac:dyDescent="0.25">
      <c r="B17" s="1">
        <v>2</v>
      </c>
      <c r="C17" s="2" t="s">
        <v>29</v>
      </c>
      <c r="D17" s="1" t="s">
        <v>30</v>
      </c>
      <c r="I17" s="1" t="s">
        <v>31</v>
      </c>
      <c r="Q17" s="1" t="str">
        <f t="shared" si="21"/>
        <v>Commonwealth - USD</v>
      </c>
      <c r="S17" s="1" t="str">
        <f t="shared" si="11"/>
        <v>1-ACTV</v>
      </c>
      <c r="T17" s="1" t="str">
        <f t="shared" si="12"/>
        <v>1-0000</v>
      </c>
      <c r="U17" s="1" t="str">
        <f t="shared" si="13"/>
        <v>1-1000</v>
      </c>
      <c r="V17" s="1" t="str">
        <f t="shared" si="14"/>
        <v>1-1111</v>
      </c>
      <c r="W17" s="1" t="str">
        <f t="shared" si="15"/>
        <v>1-1108</v>
      </c>
      <c r="X17" s="1" t="str">
        <f t="shared" si="16"/>
        <v/>
      </c>
      <c r="Y17" s="1" t="str">
        <f t="shared" si="17"/>
        <v/>
      </c>
      <c r="Z17" s="1" t="str">
        <f t="shared" si="18"/>
        <v/>
      </c>
      <c r="AA17" s="1" t="str">
        <f t="shared" si="19"/>
        <v/>
      </c>
      <c r="AB17" s="1" t="str">
        <f t="shared" si="20"/>
        <v/>
      </c>
      <c r="AD17" s="1" t="str">
        <f t="shared" si="0"/>
        <v/>
      </c>
      <c r="AE17" s="1" t="str">
        <f t="shared" si="1"/>
        <v/>
      </c>
      <c r="AF17" s="1" t="str">
        <f t="shared" si="2"/>
        <v xml:space="preserve">PERFORM * FROM "SchData-OLTP-Accounting"."Func_TblChartOfAccount_SET"(varSystemLoginSession, null, null, null, varInstitutionBranchID, null, '1-1111', 'Commonwealth - USD', 62000000000001::bigint, '2016-01-01 00:00:00'::timestamp, null::timestamp); </v>
      </c>
      <c r="AG17" s="1" t="str">
        <f t="shared" si="3"/>
        <v/>
      </c>
      <c r="AH17" s="1" t="str">
        <f t="shared" si="4"/>
        <v/>
      </c>
      <c r="AI17" s="1" t="str">
        <f t="shared" si="5"/>
        <v/>
      </c>
      <c r="AJ17" s="1" t="str">
        <f t="shared" si="6"/>
        <v/>
      </c>
      <c r="AK17" s="1" t="str">
        <f t="shared" si="7"/>
        <v/>
      </c>
      <c r="AL17" s="1" t="str">
        <f t="shared" si="8"/>
        <v/>
      </c>
      <c r="AM17" s="1" t="str">
        <f t="shared" si="9"/>
        <v/>
      </c>
      <c r="AO17" s="8" t="str">
        <f t="shared" si="10"/>
        <v xml:space="preserve">PERFORM * FROM "SchData-OLTP-Accounting"."Func_TblChartOfAccount_SET"(varSystemLoginSession, null, null, null, varInstitutionBranchID, null, '1-1111', 'Commonwealth - USD', 62000000000001::bigint, '2016-01-01 00:00:00'::timestamp, null::timestamp); </v>
      </c>
    </row>
    <row r="18" spans="2:41" x14ac:dyDescent="0.25">
      <c r="B18" s="1">
        <v>3</v>
      </c>
      <c r="C18" s="2" t="s">
        <v>32</v>
      </c>
      <c r="D18" s="1" t="s">
        <v>33</v>
      </c>
      <c r="I18" s="1" t="s">
        <v>34</v>
      </c>
      <c r="Q18" s="1" t="str">
        <f t="shared" si="21"/>
        <v>Commonwealth - AUD</v>
      </c>
      <c r="S18" s="1" t="str">
        <f t="shared" si="11"/>
        <v>1-ACTV</v>
      </c>
      <c r="T18" s="1" t="str">
        <f t="shared" si="12"/>
        <v>1-0000</v>
      </c>
      <c r="U18" s="1" t="str">
        <f t="shared" si="13"/>
        <v>1-1000</v>
      </c>
      <c r="V18" s="1" t="str">
        <f t="shared" si="14"/>
        <v>1-1121</v>
      </c>
      <c r="W18" s="1" t="str">
        <f t="shared" si="15"/>
        <v>1-1108</v>
      </c>
      <c r="X18" s="1" t="str">
        <f t="shared" si="16"/>
        <v/>
      </c>
      <c r="Y18" s="1" t="str">
        <f t="shared" si="17"/>
        <v/>
      </c>
      <c r="Z18" s="1" t="str">
        <f t="shared" si="18"/>
        <v/>
      </c>
      <c r="AA18" s="1" t="str">
        <f t="shared" si="19"/>
        <v/>
      </c>
      <c r="AB18" s="1" t="str">
        <f t="shared" si="20"/>
        <v/>
      </c>
      <c r="AD18" s="1" t="str">
        <f t="shared" si="0"/>
        <v/>
      </c>
      <c r="AE18" s="1" t="str">
        <f t="shared" si="1"/>
        <v/>
      </c>
      <c r="AF18" s="1" t="str">
        <f t="shared" si="2"/>
        <v xml:space="preserve">PERFORM * FROM "SchData-OLTP-Accounting"."Func_TblChartOfAccount_SET"(varSystemLoginSession, null, null, null, varInstitutionBranchID, null, '1-1121', 'Commonwealth - AUD', 62000000000001::bigint, '2016-01-01 00:00:00'::timestamp, null::timestamp); </v>
      </c>
      <c r="AG18" s="1" t="str">
        <f t="shared" si="3"/>
        <v/>
      </c>
      <c r="AH18" s="1" t="str">
        <f t="shared" si="4"/>
        <v/>
      </c>
      <c r="AI18" s="1" t="str">
        <f t="shared" si="5"/>
        <v/>
      </c>
      <c r="AJ18" s="1" t="str">
        <f t="shared" si="6"/>
        <v/>
      </c>
      <c r="AK18" s="1" t="str">
        <f t="shared" si="7"/>
        <v/>
      </c>
      <c r="AL18" s="1" t="str">
        <f t="shared" si="8"/>
        <v/>
      </c>
      <c r="AM18" s="1" t="str">
        <f t="shared" si="9"/>
        <v/>
      </c>
      <c r="AO18" s="8" t="str">
        <f t="shared" si="10"/>
        <v xml:space="preserve">PERFORM * FROM "SchData-OLTP-Accounting"."Func_TblChartOfAccount_SET"(varSystemLoginSession, null, null, null, varInstitutionBranchID, null, '1-1121', 'Commonwealth - AUD', 62000000000001::bigint, '2016-01-01 00:00:00'::timestamp, null::timestamp); </v>
      </c>
    </row>
    <row r="19" spans="2:41" x14ac:dyDescent="0.25">
      <c r="B19" s="1">
        <v>3</v>
      </c>
      <c r="C19" s="2" t="s">
        <v>35</v>
      </c>
      <c r="D19" s="1" t="s">
        <v>36</v>
      </c>
      <c r="I19" s="1" t="s">
        <v>35</v>
      </c>
      <c r="Q19" s="1" t="str">
        <f t="shared" si="21"/>
        <v>Commonwealth Oprs - IDR</v>
      </c>
      <c r="S19" s="1" t="str">
        <f t="shared" si="11"/>
        <v>1-ACTV</v>
      </c>
      <c r="T19" s="1" t="str">
        <f t="shared" si="12"/>
        <v>1-0000</v>
      </c>
      <c r="U19" s="1" t="str">
        <f t="shared" si="13"/>
        <v>1-1000</v>
      </c>
      <c r="V19" s="1" t="str">
        <f t="shared" si="14"/>
        <v>1-1125</v>
      </c>
      <c r="W19" s="1" t="str">
        <f t="shared" si="15"/>
        <v>1-1108</v>
      </c>
      <c r="X19" s="1" t="str">
        <f t="shared" si="16"/>
        <v/>
      </c>
      <c r="Y19" s="1" t="str">
        <f t="shared" si="17"/>
        <v/>
      </c>
      <c r="Z19" s="1" t="str">
        <f t="shared" si="18"/>
        <v/>
      </c>
      <c r="AA19" s="1" t="str">
        <f t="shared" si="19"/>
        <v/>
      </c>
      <c r="AB19" s="1" t="str">
        <f t="shared" si="20"/>
        <v/>
      </c>
      <c r="AD19" s="1" t="str">
        <f t="shared" si="0"/>
        <v/>
      </c>
      <c r="AE19" s="1" t="str">
        <f t="shared" si="1"/>
        <v/>
      </c>
      <c r="AF19" s="1" t="str">
        <f t="shared" si="2"/>
        <v xml:space="preserve">PERFORM * FROM "SchData-OLTP-Accounting"."Func_TblChartOfAccount_SET"(varSystemLoginSession, null, null, null, varInstitutionBranchID, null, '1-1125', 'Commonwealth Oprs - IDR', 62000000000001::bigint, '2016-01-01 00:00:00'::timestamp, null::timestamp); </v>
      </c>
      <c r="AG19" s="1" t="str">
        <f t="shared" si="3"/>
        <v/>
      </c>
      <c r="AH19" s="1" t="str">
        <f t="shared" si="4"/>
        <v/>
      </c>
      <c r="AI19" s="1" t="str">
        <f t="shared" si="5"/>
        <v/>
      </c>
      <c r="AJ19" s="1" t="str">
        <f t="shared" si="6"/>
        <v/>
      </c>
      <c r="AK19" s="1" t="str">
        <f t="shared" si="7"/>
        <v/>
      </c>
      <c r="AL19" s="1" t="str">
        <f t="shared" si="8"/>
        <v/>
      </c>
      <c r="AM19" s="1" t="str">
        <f t="shared" si="9"/>
        <v/>
      </c>
      <c r="AO19" s="8" t="str">
        <f t="shared" si="10"/>
        <v xml:space="preserve">PERFORM * FROM "SchData-OLTP-Accounting"."Func_TblChartOfAccount_SET"(varSystemLoginSession, null, null, null, varInstitutionBranchID, null, '1-1125', 'Commonwealth Oprs - IDR', 62000000000001::bigint, '2016-01-01 00:00:00'::timestamp, null::timestamp); </v>
      </c>
    </row>
    <row r="20" spans="2:41" x14ac:dyDescent="0.25">
      <c r="B20" s="1">
        <v>3</v>
      </c>
      <c r="C20" s="2" t="s">
        <v>37</v>
      </c>
      <c r="D20" s="1" t="s">
        <v>38</v>
      </c>
      <c r="I20" s="1" t="s">
        <v>37</v>
      </c>
      <c r="Q20" s="1" t="str">
        <f t="shared" si="21"/>
        <v>Commonwealth Escr - IDR</v>
      </c>
      <c r="S20" s="1" t="str">
        <f t="shared" si="11"/>
        <v>1-ACTV</v>
      </c>
      <c r="T20" s="1" t="str">
        <f t="shared" si="12"/>
        <v>1-0000</v>
      </c>
      <c r="U20" s="1" t="str">
        <f t="shared" si="13"/>
        <v>1-1000</v>
      </c>
      <c r="V20" s="1" t="str">
        <f t="shared" si="14"/>
        <v>1-1126</v>
      </c>
      <c r="W20" s="1" t="str">
        <f t="shared" si="15"/>
        <v>1-1108</v>
      </c>
      <c r="X20" s="1" t="str">
        <f t="shared" si="16"/>
        <v/>
      </c>
      <c r="Y20" s="1" t="str">
        <f t="shared" si="17"/>
        <v/>
      </c>
      <c r="Z20" s="1" t="str">
        <f t="shared" si="18"/>
        <v/>
      </c>
      <c r="AA20" s="1" t="str">
        <f t="shared" si="19"/>
        <v/>
      </c>
      <c r="AB20" s="1" t="str">
        <f t="shared" si="20"/>
        <v/>
      </c>
      <c r="AD20" s="1" t="str">
        <f t="shared" si="0"/>
        <v/>
      </c>
      <c r="AE20" s="1" t="str">
        <f t="shared" si="1"/>
        <v/>
      </c>
      <c r="AF20" s="1" t="str">
        <f t="shared" si="2"/>
        <v xml:space="preserve">PERFORM * FROM "SchData-OLTP-Accounting"."Func_TblChartOfAccount_SET"(varSystemLoginSession, null, null, null, varInstitutionBranchID, null, '1-1126', 'Commonwealth Escr - IDR', 62000000000001::bigint, '2016-01-01 00:00:00'::timestamp, null::timestamp); </v>
      </c>
      <c r="AG20" s="1" t="str">
        <f t="shared" si="3"/>
        <v/>
      </c>
      <c r="AH20" s="1" t="str">
        <f t="shared" si="4"/>
        <v/>
      </c>
      <c r="AI20" s="1" t="str">
        <f t="shared" si="5"/>
        <v/>
      </c>
      <c r="AJ20" s="1" t="str">
        <f t="shared" si="6"/>
        <v/>
      </c>
      <c r="AK20" s="1" t="str">
        <f t="shared" si="7"/>
        <v/>
      </c>
      <c r="AL20" s="1" t="str">
        <f t="shared" si="8"/>
        <v/>
      </c>
      <c r="AM20" s="1" t="str">
        <f t="shared" si="9"/>
        <v/>
      </c>
      <c r="AO20" s="8" t="str">
        <f t="shared" si="10"/>
        <v xml:space="preserve">PERFORM * FROM "SchData-OLTP-Accounting"."Func_TblChartOfAccount_SET"(varSystemLoginSession, null, null, null, varInstitutionBranchID, null, '1-1126', 'Commonwealth Escr - IDR', 62000000000001::bigint, '2016-01-01 00:00:00'::timestamp, null::timestamp); </v>
      </c>
    </row>
    <row r="21" spans="2:41" x14ac:dyDescent="0.25">
      <c r="B21" s="1">
        <v>3</v>
      </c>
      <c r="C21" s="2" t="s">
        <v>39</v>
      </c>
      <c r="D21" s="1" t="s">
        <v>40</v>
      </c>
      <c r="I21" s="1" t="s">
        <v>39</v>
      </c>
      <c r="Q21" s="1" t="str">
        <f t="shared" si="21"/>
        <v>BCA - IDR</v>
      </c>
      <c r="S21" s="1" t="str">
        <f t="shared" si="11"/>
        <v>1-ACTV</v>
      </c>
      <c r="T21" s="1" t="str">
        <f t="shared" si="12"/>
        <v>1-0000</v>
      </c>
      <c r="U21" s="1" t="str">
        <f t="shared" si="13"/>
        <v>1-1000</v>
      </c>
      <c r="V21" s="1" t="str">
        <f t="shared" si="14"/>
        <v>1-1200</v>
      </c>
      <c r="W21" s="1" t="str">
        <f t="shared" si="15"/>
        <v>1-1108</v>
      </c>
      <c r="X21" s="1" t="str">
        <f t="shared" si="16"/>
        <v/>
      </c>
      <c r="Y21" s="1" t="str">
        <f t="shared" si="17"/>
        <v/>
      </c>
      <c r="Z21" s="1" t="str">
        <f t="shared" si="18"/>
        <v/>
      </c>
      <c r="AA21" s="1" t="str">
        <f t="shared" si="19"/>
        <v/>
      </c>
      <c r="AB21" s="1" t="str">
        <f t="shared" si="20"/>
        <v/>
      </c>
      <c r="AD21" s="1" t="str">
        <f t="shared" si="0"/>
        <v/>
      </c>
      <c r="AE21" s="1" t="str">
        <f t="shared" si="1"/>
        <v/>
      </c>
      <c r="AF21" s="1" t="str">
        <f t="shared" si="2"/>
        <v xml:space="preserve">PERFORM * FROM "SchData-OLTP-Accounting"."Func_TblChartOfAccount_SET"(varSystemLoginSession, null, null, null, varInstitutionBranchID, null, '1-1200', 'BCA - IDR', 62000000000001::bigint, '2016-01-01 00:00:00'::timestamp, null::timestamp); </v>
      </c>
      <c r="AG21" s="1" t="str">
        <f t="shared" si="3"/>
        <v/>
      </c>
      <c r="AH21" s="1" t="str">
        <f t="shared" si="4"/>
        <v/>
      </c>
      <c r="AI21" s="1" t="str">
        <f t="shared" si="5"/>
        <v/>
      </c>
      <c r="AJ21" s="1" t="str">
        <f t="shared" si="6"/>
        <v/>
      </c>
      <c r="AK21" s="1" t="str">
        <f t="shared" si="7"/>
        <v/>
      </c>
      <c r="AL21" s="1" t="str">
        <f t="shared" si="8"/>
        <v/>
      </c>
      <c r="AM21" s="1" t="str">
        <f t="shared" si="9"/>
        <v/>
      </c>
      <c r="AO21" s="8" t="str">
        <f t="shared" si="10"/>
        <v xml:space="preserve">PERFORM * FROM "SchData-OLTP-Accounting"."Func_TblChartOfAccount_SET"(varSystemLoginSession, null, null, null, varInstitutionBranchID, null, '1-1200', 'BCA - IDR', 62000000000001::bigint, '2016-01-01 00:00:00'::timestamp, null::timestamp); </v>
      </c>
    </row>
    <row r="22" spans="2:41" x14ac:dyDescent="0.25">
      <c r="B22" s="1">
        <v>3</v>
      </c>
      <c r="C22" s="2" t="s">
        <v>41</v>
      </c>
      <c r="D22" s="1" t="s">
        <v>42</v>
      </c>
      <c r="I22" s="1" t="s">
        <v>41</v>
      </c>
      <c r="Q22" s="1" t="str">
        <f t="shared" si="21"/>
        <v>BCA - Medan</v>
      </c>
      <c r="S22" s="1" t="str">
        <f t="shared" si="11"/>
        <v>1-ACTV</v>
      </c>
      <c r="T22" s="1" t="str">
        <f t="shared" si="12"/>
        <v>1-0000</v>
      </c>
      <c r="U22" s="1" t="str">
        <f t="shared" si="13"/>
        <v>1-1000</v>
      </c>
      <c r="V22" s="1" t="str">
        <f t="shared" si="14"/>
        <v>1-1201</v>
      </c>
      <c r="W22" s="1" t="str">
        <f t="shared" si="15"/>
        <v>1-1108</v>
      </c>
      <c r="X22" s="1" t="str">
        <f t="shared" si="16"/>
        <v/>
      </c>
      <c r="Y22" s="1" t="str">
        <f t="shared" si="17"/>
        <v/>
      </c>
      <c r="Z22" s="1" t="str">
        <f t="shared" si="18"/>
        <v/>
      </c>
      <c r="AA22" s="1" t="str">
        <f t="shared" si="19"/>
        <v/>
      </c>
      <c r="AB22" s="1" t="str">
        <f t="shared" si="20"/>
        <v/>
      </c>
      <c r="AD22" s="1" t="str">
        <f t="shared" si="0"/>
        <v/>
      </c>
      <c r="AE22" s="1" t="str">
        <f t="shared" si="1"/>
        <v/>
      </c>
      <c r="AF22" s="1" t="str">
        <f t="shared" si="2"/>
        <v xml:space="preserve">PERFORM * FROM "SchData-OLTP-Accounting"."Func_TblChartOfAccount_SET"(varSystemLoginSession, null, null, null, varInstitutionBranchID, null, '1-1201', 'BCA - Medan', 62000000000001::bigint, '2016-01-01 00:00:00'::timestamp, null::timestamp); </v>
      </c>
      <c r="AG22" s="1" t="str">
        <f t="shared" si="3"/>
        <v/>
      </c>
      <c r="AH22" s="1" t="str">
        <f t="shared" si="4"/>
        <v/>
      </c>
      <c r="AI22" s="1" t="str">
        <f t="shared" si="5"/>
        <v/>
      </c>
      <c r="AJ22" s="1" t="str">
        <f t="shared" si="6"/>
        <v/>
      </c>
      <c r="AK22" s="1" t="str">
        <f t="shared" si="7"/>
        <v/>
      </c>
      <c r="AL22" s="1" t="str">
        <f t="shared" si="8"/>
        <v/>
      </c>
      <c r="AM22" s="1" t="str">
        <f t="shared" si="9"/>
        <v/>
      </c>
      <c r="AO22" s="8" t="str">
        <f t="shared" si="10"/>
        <v xml:space="preserve">PERFORM * FROM "SchData-OLTP-Accounting"."Func_TblChartOfAccount_SET"(varSystemLoginSession, null, null, null, varInstitutionBranchID, null, '1-1201', 'BCA - Medan', 62000000000001::bigint, '2016-01-01 00:00:00'::timestamp, null::timestamp); </v>
      </c>
    </row>
    <row r="23" spans="2:41" x14ac:dyDescent="0.25">
      <c r="B23" s="1">
        <v>3</v>
      </c>
      <c r="C23" s="2" t="s">
        <v>43</v>
      </c>
      <c r="D23" s="1" t="s">
        <v>44</v>
      </c>
      <c r="I23" s="1" t="s">
        <v>43</v>
      </c>
      <c r="Q23" s="1" t="str">
        <f t="shared" si="21"/>
        <v>BCA - Surabaya</v>
      </c>
      <c r="S23" s="1" t="str">
        <f t="shared" si="11"/>
        <v>1-ACTV</v>
      </c>
      <c r="T23" s="1" t="str">
        <f t="shared" si="12"/>
        <v>1-0000</v>
      </c>
      <c r="U23" s="1" t="str">
        <f t="shared" si="13"/>
        <v>1-1000</v>
      </c>
      <c r="V23" s="1" t="str">
        <f t="shared" si="14"/>
        <v>1-1203</v>
      </c>
      <c r="W23" s="1" t="str">
        <f t="shared" si="15"/>
        <v>1-1108</v>
      </c>
      <c r="X23" s="1" t="str">
        <f t="shared" si="16"/>
        <v/>
      </c>
      <c r="Y23" s="1" t="str">
        <f t="shared" si="17"/>
        <v/>
      </c>
      <c r="Z23" s="1" t="str">
        <f t="shared" si="18"/>
        <v/>
      </c>
      <c r="AA23" s="1" t="str">
        <f t="shared" si="19"/>
        <v/>
      </c>
      <c r="AB23" s="1" t="str">
        <f t="shared" si="20"/>
        <v/>
      </c>
      <c r="AD23" s="1" t="str">
        <f t="shared" si="0"/>
        <v/>
      </c>
      <c r="AE23" s="1" t="str">
        <f t="shared" si="1"/>
        <v/>
      </c>
      <c r="AF23" s="1" t="str">
        <f t="shared" si="2"/>
        <v xml:space="preserve">PERFORM * FROM "SchData-OLTP-Accounting"."Func_TblChartOfAccount_SET"(varSystemLoginSession, null, null, null, varInstitutionBranchID, null, '1-1203', 'BCA - Surabaya', 62000000000001::bigint, '2016-01-01 00:00:00'::timestamp, null::timestamp); </v>
      </c>
      <c r="AG23" s="1" t="str">
        <f t="shared" si="3"/>
        <v/>
      </c>
      <c r="AH23" s="1" t="str">
        <f t="shared" si="4"/>
        <v/>
      </c>
      <c r="AI23" s="1" t="str">
        <f t="shared" si="5"/>
        <v/>
      </c>
      <c r="AJ23" s="1" t="str">
        <f t="shared" si="6"/>
        <v/>
      </c>
      <c r="AK23" s="1" t="str">
        <f t="shared" si="7"/>
        <v/>
      </c>
      <c r="AL23" s="1" t="str">
        <f t="shared" si="8"/>
        <v/>
      </c>
      <c r="AM23" s="1" t="str">
        <f t="shared" si="9"/>
        <v/>
      </c>
      <c r="AO23" s="8" t="str">
        <f t="shared" si="10"/>
        <v xml:space="preserve">PERFORM * FROM "SchData-OLTP-Accounting"."Func_TblChartOfAccount_SET"(varSystemLoginSession, null, null, null, varInstitutionBranchID, null, '1-1203', 'BCA - Surabaya', 62000000000001::bigint, '2016-01-01 00:00:00'::timestamp, null::timestamp); </v>
      </c>
    </row>
    <row r="24" spans="2:41" x14ac:dyDescent="0.25">
      <c r="B24" s="1">
        <v>3</v>
      </c>
      <c r="C24" s="2" t="s">
        <v>45</v>
      </c>
      <c r="D24" s="1" t="s">
        <v>46</v>
      </c>
      <c r="I24" s="1" t="s">
        <v>45</v>
      </c>
      <c r="Q24" s="1" t="str">
        <f t="shared" si="21"/>
        <v>BCA - IDR 0607</v>
      </c>
      <c r="S24" s="1" t="str">
        <f t="shared" si="11"/>
        <v>1-ACTV</v>
      </c>
      <c r="T24" s="1" t="str">
        <f t="shared" si="12"/>
        <v>1-0000</v>
      </c>
      <c r="U24" s="1" t="str">
        <f t="shared" si="13"/>
        <v>1-1000</v>
      </c>
      <c r="V24" s="1" t="str">
        <f t="shared" si="14"/>
        <v>1-1220</v>
      </c>
      <c r="W24" s="1" t="str">
        <f t="shared" si="15"/>
        <v>1-1108</v>
      </c>
      <c r="X24" s="1" t="str">
        <f t="shared" si="16"/>
        <v/>
      </c>
      <c r="Y24" s="1" t="str">
        <f t="shared" si="17"/>
        <v/>
      </c>
      <c r="Z24" s="1" t="str">
        <f t="shared" si="18"/>
        <v/>
      </c>
      <c r="AA24" s="1" t="str">
        <f t="shared" si="19"/>
        <v/>
      </c>
      <c r="AB24" s="1" t="str">
        <f t="shared" si="20"/>
        <v/>
      </c>
      <c r="AD24" s="1" t="str">
        <f t="shared" si="0"/>
        <v/>
      </c>
      <c r="AE24" s="1" t="str">
        <f t="shared" si="1"/>
        <v/>
      </c>
      <c r="AF24" s="1" t="str">
        <f t="shared" si="2"/>
        <v xml:space="preserve">PERFORM * FROM "SchData-OLTP-Accounting"."Func_TblChartOfAccount_SET"(varSystemLoginSession, null, null, null, varInstitutionBranchID, null, '1-1220', 'BCA - IDR 0607', 62000000000001::bigint, '2016-01-01 00:00:00'::timestamp, null::timestamp); </v>
      </c>
      <c r="AG24" s="1" t="str">
        <f t="shared" si="3"/>
        <v/>
      </c>
      <c r="AH24" s="1" t="str">
        <f t="shared" si="4"/>
        <v/>
      </c>
      <c r="AI24" s="1" t="str">
        <f t="shared" si="5"/>
        <v/>
      </c>
      <c r="AJ24" s="1" t="str">
        <f t="shared" si="6"/>
        <v/>
      </c>
      <c r="AK24" s="1" t="str">
        <f t="shared" si="7"/>
        <v/>
      </c>
      <c r="AL24" s="1" t="str">
        <f t="shared" si="8"/>
        <v/>
      </c>
      <c r="AM24" s="1" t="str">
        <f t="shared" si="9"/>
        <v/>
      </c>
      <c r="AO24" s="8" t="str">
        <f t="shared" si="10"/>
        <v xml:space="preserve">PERFORM * FROM "SchData-OLTP-Accounting"."Func_TblChartOfAccount_SET"(varSystemLoginSession, null, null, null, varInstitutionBranchID, null, '1-1220', 'BCA - IDR 0607', 62000000000001::bigint, '2016-01-01 00:00:00'::timestamp, null::timestamp); </v>
      </c>
    </row>
    <row r="25" spans="2:41" x14ac:dyDescent="0.25">
      <c r="B25" s="1">
        <v>3</v>
      </c>
      <c r="C25" s="2" t="s">
        <v>47</v>
      </c>
      <c r="D25" s="1" t="s">
        <v>48</v>
      </c>
      <c r="I25" s="1" t="s">
        <v>47</v>
      </c>
      <c r="Q25" s="1" t="str">
        <f t="shared" si="21"/>
        <v>BII - IDR 0380</v>
      </c>
      <c r="S25" s="1" t="str">
        <f t="shared" si="11"/>
        <v>1-ACTV</v>
      </c>
      <c r="T25" s="1" t="str">
        <f t="shared" si="12"/>
        <v>1-0000</v>
      </c>
      <c r="U25" s="1" t="str">
        <f t="shared" si="13"/>
        <v>1-1000</v>
      </c>
      <c r="V25" s="1" t="str">
        <f t="shared" si="14"/>
        <v>1-1300</v>
      </c>
      <c r="W25" s="1" t="str">
        <f t="shared" si="15"/>
        <v>1-1108</v>
      </c>
      <c r="X25" s="1" t="str">
        <f t="shared" si="16"/>
        <v/>
      </c>
      <c r="Y25" s="1" t="str">
        <f t="shared" si="17"/>
        <v/>
      </c>
      <c r="Z25" s="1" t="str">
        <f t="shared" si="18"/>
        <v/>
      </c>
      <c r="AA25" s="1" t="str">
        <f t="shared" si="19"/>
        <v/>
      </c>
      <c r="AB25" s="1" t="str">
        <f t="shared" si="20"/>
        <v/>
      </c>
      <c r="AD25" s="1" t="str">
        <f t="shared" si="0"/>
        <v/>
      </c>
      <c r="AE25" s="1" t="str">
        <f t="shared" si="1"/>
        <v/>
      </c>
      <c r="AF25" s="1" t="str">
        <f t="shared" si="2"/>
        <v xml:space="preserve">PERFORM * FROM "SchData-OLTP-Accounting"."Func_TblChartOfAccount_SET"(varSystemLoginSession, null, null, null, varInstitutionBranchID, null, '1-1300', 'BII - IDR 0380', 62000000000001::bigint, '2016-01-01 00:00:00'::timestamp, null::timestamp); </v>
      </c>
      <c r="AG25" s="1" t="str">
        <f t="shared" si="3"/>
        <v/>
      </c>
      <c r="AH25" s="1" t="str">
        <f t="shared" si="4"/>
        <v/>
      </c>
      <c r="AI25" s="1" t="str">
        <f t="shared" si="5"/>
        <v/>
      </c>
      <c r="AJ25" s="1" t="str">
        <f t="shared" si="6"/>
        <v/>
      </c>
      <c r="AK25" s="1" t="str">
        <f t="shared" si="7"/>
        <v/>
      </c>
      <c r="AL25" s="1" t="str">
        <f t="shared" si="8"/>
        <v/>
      </c>
      <c r="AM25" s="1" t="str">
        <f t="shared" si="9"/>
        <v/>
      </c>
      <c r="AO25" s="8" t="str">
        <f t="shared" si="10"/>
        <v xml:space="preserve">PERFORM * FROM "SchData-OLTP-Accounting"."Func_TblChartOfAccount_SET"(varSystemLoginSession, null, null, null, varInstitutionBranchID, null, '1-1300', 'BII - IDR 0380', 62000000000001::bigint, '2016-01-01 00:00:00'::timestamp, null::timestamp); </v>
      </c>
    </row>
    <row r="26" spans="2:41" x14ac:dyDescent="0.25">
      <c r="B26" s="1">
        <v>3</v>
      </c>
      <c r="C26" s="2" t="s">
        <v>49</v>
      </c>
      <c r="D26" s="1" t="s">
        <v>50</v>
      </c>
      <c r="I26" s="1" t="s">
        <v>49</v>
      </c>
      <c r="Q26" s="1" t="str">
        <f t="shared" si="21"/>
        <v>BII - IDR2 1070</v>
      </c>
      <c r="S26" s="1" t="str">
        <f t="shared" si="11"/>
        <v>1-ACTV</v>
      </c>
      <c r="T26" s="1" t="str">
        <f t="shared" si="12"/>
        <v>1-0000</v>
      </c>
      <c r="U26" s="1" t="str">
        <f t="shared" si="13"/>
        <v>1-1000</v>
      </c>
      <c r="V26" s="1" t="str">
        <f t="shared" si="14"/>
        <v>1-1400</v>
      </c>
      <c r="W26" s="1" t="str">
        <f t="shared" si="15"/>
        <v>1-1108</v>
      </c>
      <c r="X26" s="1" t="str">
        <f t="shared" si="16"/>
        <v/>
      </c>
      <c r="Y26" s="1" t="str">
        <f t="shared" si="17"/>
        <v/>
      </c>
      <c r="Z26" s="1" t="str">
        <f t="shared" si="18"/>
        <v/>
      </c>
      <c r="AA26" s="1" t="str">
        <f t="shared" si="19"/>
        <v/>
      </c>
      <c r="AB26" s="1" t="str">
        <f t="shared" si="20"/>
        <v/>
      </c>
      <c r="AD26" s="1" t="str">
        <f t="shared" si="0"/>
        <v/>
      </c>
      <c r="AE26" s="1" t="str">
        <f t="shared" si="1"/>
        <v/>
      </c>
      <c r="AF26" s="1" t="str">
        <f t="shared" si="2"/>
        <v xml:space="preserve">PERFORM * FROM "SchData-OLTP-Accounting"."Func_TblChartOfAccount_SET"(varSystemLoginSession, null, null, null, varInstitutionBranchID, null, '1-1400', 'BII - IDR2 1070', 62000000000001::bigint, '2016-01-01 00:00:00'::timestamp, null::timestamp); </v>
      </c>
      <c r="AG26" s="1" t="str">
        <f t="shared" si="3"/>
        <v/>
      </c>
      <c r="AH26" s="1" t="str">
        <f t="shared" si="4"/>
        <v/>
      </c>
      <c r="AI26" s="1" t="str">
        <f t="shared" si="5"/>
        <v/>
      </c>
      <c r="AJ26" s="1" t="str">
        <f t="shared" si="6"/>
        <v/>
      </c>
      <c r="AK26" s="1" t="str">
        <f t="shared" si="7"/>
        <v/>
      </c>
      <c r="AL26" s="1" t="str">
        <f t="shared" si="8"/>
        <v/>
      </c>
      <c r="AM26" s="1" t="str">
        <f t="shared" si="9"/>
        <v/>
      </c>
      <c r="AO26" s="8" t="str">
        <f t="shared" si="10"/>
        <v xml:space="preserve">PERFORM * FROM "SchData-OLTP-Accounting"."Func_TblChartOfAccount_SET"(varSystemLoginSession, null, null, null, varInstitutionBranchID, null, '1-1400', 'BII - IDR2 1070', 62000000000001::bigint, '2016-01-01 00:00:00'::timestamp, null::timestamp); </v>
      </c>
    </row>
    <row r="27" spans="2:41" x14ac:dyDescent="0.25">
      <c r="B27" s="1">
        <v>3</v>
      </c>
      <c r="C27" s="2" t="s">
        <v>51</v>
      </c>
      <c r="D27" s="1" t="s">
        <v>52</v>
      </c>
      <c r="I27" s="1" t="s">
        <v>51</v>
      </c>
      <c r="Q27" s="1" t="str">
        <f t="shared" si="21"/>
        <v>BII - IDR 2304</v>
      </c>
      <c r="S27" s="1" t="str">
        <f t="shared" si="11"/>
        <v>1-ACTV</v>
      </c>
      <c r="T27" s="1" t="str">
        <f t="shared" si="12"/>
        <v>1-0000</v>
      </c>
      <c r="U27" s="1" t="str">
        <f t="shared" si="13"/>
        <v>1-1000</v>
      </c>
      <c r="V27" s="1" t="str">
        <f t="shared" si="14"/>
        <v>1-1500</v>
      </c>
      <c r="W27" s="1" t="str">
        <f t="shared" si="15"/>
        <v>1-1108</v>
      </c>
      <c r="X27" s="1" t="str">
        <f t="shared" si="16"/>
        <v/>
      </c>
      <c r="Y27" s="1" t="str">
        <f t="shared" si="17"/>
        <v/>
      </c>
      <c r="Z27" s="1" t="str">
        <f t="shared" si="18"/>
        <v/>
      </c>
      <c r="AA27" s="1" t="str">
        <f t="shared" si="19"/>
        <v/>
      </c>
      <c r="AB27" s="1" t="str">
        <f t="shared" si="20"/>
        <v/>
      </c>
      <c r="AD27" s="1" t="str">
        <f t="shared" si="0"/>
        <v/>
      </c>
      <c r="AE27" s="1" t="str">
        <f t="shared" si="1"/>
        <v/>
      </c>
      <c r="AF27" s="1" t="str">
        <f t="shared" si="2"/>
        <v xml:space="preserve">PERFORM * FROM "SchData-OLTP-Accounting"."Func_TblChartOfAccount_SET"(varSystemLoginSession, null, null, null, varInstitutionBranchID, null, '1-1500', 'BII - IDR 2304', 62000000000001::bigint, '2016-01-01 00:00:00'::timestamp, null::timestamp); </v>
      </c>
      <c r="AG27" s="1" t="str">
        <f t="shared" si="3"/>
        <v/>
      </c>
      <c r="AH27" s="1" t="str">
        <f t="shared" si="4"/>
        <v/>
      </c>
      <c r="AI27" s="1" t="str">
        <f t="shared" si="5"/>
        <v/>
      </c>
      <c r="AJ27" s="1" t="str">
        <f t="shared" si="6"/>
        <v/>
      </c>
      <c r="AK27" s="1" t="str">
        <f t="shared" si="7"/>
        <v/>
      </c>
      <c r="AL27" s="1" t="str">
        <f t="shared" si="8"/>
        <v/>
      </c>
      <c r="AM27" s="1" t="str">
        <f t="shared" si="9"/>
        <v/>
      </c>
      <c r="AO27" s="8" t="str">
        <f t="shared" si="10"/>
        <v xml:space="preserve">PERFORM * FROM "SchData-OLTP-Accounting"."Func_TblChartOfAccount_SET"(varSystemLoginSession, null, null, null, varInstitutionBranchID, null, '1-1500', 'BII - IDR 2304', 62000000000001::bigint, '2016-01-01 00:00:00'::timestamp, null::timestamp); </v>
      </c>
    </row>
    <row r="28" spans="2:41" x14ac:dyDescent="0.25">
      <c r="B28" s="1">
        <v>3</v>
      </c>
      <c r="C28" s="2" t="s">
        <v>53</v>
      </c>
      <c r="D28" s="1" t="s">
        <v>54</v>
      </c>
      <c r="I28" s="1" t="s">
        <v>55</v>
      </c>
      <c r="Q28" s="1" t="str">
        <f t="shared" si="21"/>
        <v>BII - USD 6153</v>
      </c>
      <c r="S28" s="1" t="str">
        <f t="shared" si="11"/>
        <v>1-ACTV</v>
      </c>
      <c r="T28" s="1" t="str">
        <f t="shared" si="12"/>
        <v>1-0000</v>
      </c>
      <c r="U28" s="1" t="str">
        <f t="shared" si="13"/>
        <v>1-1000</v>
      </c>
      <c r="V28" s="1" t="str">
        <f t="shared" si="14"/>
        <v>1-1601</v>
      </c>
      <c r="W28" s="1" t="str">
        <f t="shared" si="15"/>
        <v>1-1108</v>
      </c>
      <c r="X28" s="1" t="str">
        <f t="shared" si="16"/>
        <v/>
      </c>
      <c r="Y28" s="1" t="str">
        <f t="shared" si="17"/>
        <v/>
      </c>
      <c r="Z28" s="1" t="str">
        <f t="shared" si="18"/>
        <v/>
      </c>
      <c r="AA28" s="1" t="str">
        <f t="shared" si="19"/>
        <v/>
      </c>
      <c r="AB28" s="1" t="str">
        <f t="shared" si="20"/>
        <v/>
      </c>
      <c r="AD28" s="1" t="str">
        <f t="shared" si="0"/>
        <v/>
      </c>
      <c r="AE28" s="1" t="str">
        <f t="shared" si="1"/>
        <v/>
      </c>
      <c r="AF28" s="1" t="str">
        <f t="shared" si="2"/>
        <v xml:space="preserve">PERFORM * FROM "SchData-OLTP-Accounting"."Func_TblChartOfAccount_SET"(varSystemLoginSession, null, null, null, varInstitutionBranchID, null, '1-1601', 'BII - USD 6153', 62000000000001::bigint, '2016-01-01 00:00:00'::timestamp, null::timestamp); </v>
      </c>
      <c r="AG28" s="1" t="str">
        <f t="shared" si="3"/>
        <v/>
      </c>
      <c r="AH28" s="1" t="str">
        <f t="shared" si="4"/>
        <v/>
      </c>
      <c r="AI28" s="1" t="str">
        <f t="shared" si="5"/>
        <v/>
      </c>
      <c r="AJ28" s="1" t="str">
        <f t="shared" si="6"/>
        <v/>
      </c>
      <c r="AK28" s="1" t="str">
        <f t="shared" si="7"/>
        <v/>
      </c>
      <c r="AL28" s="1" t="str">
        <f t="shared" si="8"/>
        <v/>
      </c>
      <c r="AM28" s="1" t="str">
        <f t="shared" si="9"/>
        <v/>
      </c>
      <c r="AO28" s="8" t="str">
        <f t="shared" si="10"/>
        <v xml:space="preserve">PERFORM * FROM "SchData-OLTP-Accounting"."Func_TblChartOfAccount_SET"(varSystemLoginSession, null, null, null, varInstitutionBranchID, null, '1-1601', 'BII - USD 6153', 62000000000001::bigint, '2016-01-01 00:00:00'::timestamp, null::timestamp); </v>
      </c>
    </row>
    <row r="29" spans="2:41" x14ac:dyDescent="0.25">
      <c r="B29" s="1">
        <v>3</v>
      </c>
      <c r="C29" s="2" t="s">
        <v>56</v>
      </c>
      <c r="D29" s="1" t="s">
        <v>57</v>
      </c>
      <c r="I29" s="1" t="s">
        <v>58</v>
      </c>
      <c r="Q29" s="1" t="str">
        <f t="shared" si="21"/>
        <v>BII - USD 6140</v>
      </c>
      <c r="S29" s="1" t="str">
        <f t="shared" si="11"/>
        <v>1-ACTV</v>
      </c>
      <c r="T29" s="1" t="str">
        <f t="shared" si="12"/>
        <v>1-0000</v>
      </c>
      <c r="U29" s="1" t="str">
        <f t="shared" si="13"/>
        <v>1-1000</v>
      </c>
      <c r="V29" s="1" t="str">
        <f t="shared" si="14"/>
        <v>1-1701</v>
      </c>
      <c r="W29" s="1" t="str">
        <f t="shared" si="15"/>
        <v>1-1108</v>
      </c>
      <c r="X29" s="1" t="str">
        <f t="shared" si="16"/>
        <v/>
      </c>
      <c r="Y29" s="1" t="str">
        <f t="shared" si="17"/>
        <v/>
      </c>
      <c r="Z29" s="1" t="str">
        <f t="shared" si="18"/>
        <v/>
      </c>
      <c r="AA29" s="1" t="str">
        <f t="shared" si="19"/>
        <v/>
      </c>
      <c r="AB29" s="1" t="str">
        <f t="shared" si="20"/>
        <v/>
      </c>
      <c r="AD29" s="1" t="str">
        <f t="shared" si="0"/>
        <v/>
      </c>
      <c r="AE29" s="1" t="str">
        <f t="shared" si="1"/>
        <v/>
      </c>
      <c r="AF29" s="1" t="str">
        <f t="shared" si="2"/>
        <v xml:space="preserve">PERFORM * FROM "SchData-OLTP-Accounting"."Func_TblChartOfAccount_SET"(varSystemLoginSession, null, null, null, varInstitutionBranchID, null, '1-1701', 'BII - USD 6140', 62000000000001::bigint, '2016-01-01 00:00:00'::timestamp, null::timestamp); </v>
      </c>
      <c r="AG29" s="1" t="str">
        <f t="shared" si="3"/>
        <v/>
      </c>
      <c r="AH29" s="1" t="str">
        <f t="shared" si="4"/>
        <v/>
      </c>
      <c r="AI29" s="1" t="str">
        <f t="shared" si="5"/>
        <v/>
      </c>
      <c r="AJ29" s="1" t="str">
        <f t="shared" si="6"/>
        <v/>
      </c>
      <c r="AK29" s="1" t="str">
        <f t="shared" si="7"/>
        <v/>
      </c>
      <c r="AL29" s="1" t="str">
        <f t="shared" si="8"/>
        <v/>
      </c>
      <c r="AM29" s="1" t="str">
        <f t="shared" si="9"/>
        <v/>
      </c>
      <c r="AO29" s="8" t="str">
        <f t="shared" si="10"/>
        <v xml:space="preserve">PERFORM * FROM "SchData-OLTP-Accounting"."Func_TblChartOfAccount_SET"(varSystemLoginSession, null, null, null, varInstitutionBranchID, null, '1-1701', 'BII - USD 6140', 62000000000001::bigint, '2016-01-01 00:00:00'::timestamp, null::timestamp); </v>
      </c>
    </row>
    <row r="30" spans="2:41" x14ac:dyDescent="0.25">
      <c r="B30" s="1">
        <v>3</v>
      </c>
      <c r="C30" s="2" t="s">
        <v>59</v>
      </c>
      <c r="D30" s="1" t="s">
        <v>60</v>
      </c>
      <c r="I30" s="1" t="s">
        <v>61</v>
      </c>
      <c r="Q30" s="1" t="str">
        <f t="shared" si="21"/>
        <v>STDE - USD 0287</v>
      </c>
      <c r="S30" s="1" t="str">
        <f t="shared" si="11"/>
        <v>1-ACTV</v>
      </c>
      <c r="T30" s="1" t="str">
        <f t="shared" si="12"/>
        <v>1-0000</v>
      </c>
      <c r="U30" s="1" t="str">
        <f t="shared" si="13"/>
        <v>1-1000</v>
      </c>
      <c r="V30" s="1" t="str">
        <f t="shared" si="14"/>
        <v>1-1801</v>
      </c>
      <c r="W30" s="1" t="str">
        <f t="shared" si="15"/>
        <v>1-1108</v>
      </c>
      <c r="X30" s="1" t="str">
        <f t="shared" si="16"/>
        <v/>
      </c>
      <c r="Y30" s="1" t="str">
        <f t="shared" si="17"/>
        <v/>
      </c>
      <c r="Z30" s="1" t="str">
        <f t="shared" si="18"/>
        <v/>
      </c>
      <c r="AA30" s="1" t="str">
        <f t="shared" si="19"/>
        <v/>
      </c>
      <c r="AB30" s="1" t="str">
        <f t="shared" si="20"/>
        <v/>
      </c>
      <c r="AD30" s="1" t="str">
        <f t="shared" si="0"/>
        <v/>
      </c>
      <c r="AE30" s="1" t="str">
        <f t="shared" si="1"/>
        <v/>
      </c>
      <c r="AF30" s="1" t="str">
        <f t="shared" si="2"/>
        <v xml:space="preserve">PERFORM * FROM "SchData-OLTP-Accounting"."Func_TblChartOfAccount_SET"(varSystemLoginSession, null, null, null, varInstitutionBranchID, null, '1-1801', 'STDE - USD 0287', 62000000000001::bigint, '2016-01-01 00:00:00'::timestamp, null::timestamp); </v>
      </c>
      <c r="AG30" s="1" t="str">
        <f t="shared" si="3"/>
        <v/>
      </c>
      <c r="AH30" s="1" t="str">
        <f t="shared" si="4"/>
        <v/>
      </c>
      <c r="AI30" s="1" t="str">
        <f t="shared" si="5"/>
        <v/>
      </c>
      <c r="AJ30" s="1" t="str">
        <f t="shared" si="6"/>
        <v/>
      </c>
      <c r="AK30" s="1" t="str">
        <f t="shared" si="7"/>
        <v/>
      </c>
      <c r="AL30" s="1" t="str">
        <f t="shared" si="8"/>
        <v/>
      </c>
      <c r="AM30" s="1" t="str">
        <f t="shared" si="9"/>
        <v/>
      </c>
      <c r="AO30" s="8" t="str">
        <f t="shared" si="10"/>
        <v xml:space="preserve">PERFORM * FROM "SchData-OLTP-Accounting"."Func_TblChartOfAccount_SET"(varSystemLoginSession, null, null, null, varInstitutionBranchID, null, '1-1801', 'STDE - USD 0287', 62000000000001::bigint, '2016-01-01 00:00:00'::timestamp, null::timestamp); </v>
      </c>
    </row>
    <row r="31" spans="2:41" x14ac:dyDescent="0.25">
      <c r="B31" s="1">
        <v>3</v>
      </c>
      <c r="C31" s="2" t="s">
        <v>62</v>
      </c>
      <c r="D31" s="1" t="s">
        <v>63</v>
      </c>
      <c r="I31" s="1" t="s">
        <v>64</v>
      </c>
      <c r="Q31" s="1" t="str">
        <f t="shared" si="21"/>
        <v>STDO - USD 0325</v>
      </c>
      <c r="S31" s="1" t="str">
        <f t="shared" si="11"/>
        <v>1-ACTV</v>
      </c>
      <c r="T31" s="1" t="str">
        <f t="shared" si="12"/>
        <v>1-0000</v>
      </c>
      <c r="U31" s="1" t="str">
        <f t="shared" si="13"/>
        <v>1-1000</v>
      </c>
      <c r="V31" s="1" t="str">
        <f t="shared" si="14"/>
        <v>1-1811</v>
      </c>
      <c r="W31" s="1" t="str">
        <f t="shared" si="15"/>
        <v>1-1108</v>
      </c>
      <c r="X31" s="1" t="str">
        <f t="shared" si="16"/>
        <v/>
      </c>
      <c r="Y31" s="1" t="str">
        <f t="shared" si="17"/>
        <v/>
      </c>
      <c r="Z31" s="1" t="str">
        <f t="shared" si="18"/>
        <v/>
      </c>
      <c r="AA31" s="1" t="str">
        <f t="shared" si="19"/>
        <v/>
      </c>
      <c r="AB31" s="1" t="str">
        <f t="shared" si="20"/>
        <v/>
      </c>
      <c r="AD31" s="1" t="str">
        <f t="shared" si="0"/>
        <v/>
      </c>
      <c r="AE31" s="1" t="str">
        <f t="shared" si="1"/>
        <v/>
      </c>
      <c r="AF31" s="1" t="str">
        <f t="shared" si="2"/>
        <v xml:space="preserve">PERFORM * FROM "SchData-OLTP-Accounting"."Func_TblChartOfAccount_SET"(varSystemLoginSession, null, null, null, varInstitutionBranchID, null, '1-1811', 'STDO - USD 0325', 62000000000001::bigint, '2016-01-01 00:00:00'::timestamp, null::timestamp); </v>
      </c>
      <c r="AG31" s="1" t="str">
        <f t="shared" si="3"/>
        <v/>
      </c>
      <c r="AH31" s="1" t="str">
        <f t="shared" si="4"/>
        <v/>
      </c>
      <c r="AI31" s="1" t="str">
        <f t="shared" si="5"/>
        <v/>
      </c>
      <c r="AJ31" s="1" t="str">
        <f t="shared" si="6"/>
        <v/>
      </c>
      <c r="AK31" s="1" t="str">
        <f t="shared" si="7"/>
        <v/>
      </c>
      <c r="AL31" s="1" t="str">
        <f t="shared" si="8"/>
        <v/>
      </c>
      <c r="AM31" s="1" t="str">
        <f t="shared" si="9"/>
        <v/>
      </c>
      <c r="AO31" s="8" t="str">
        <f t="shared" si="10"/>
        <v xml:space="preserve">PERFORM * FROM "SchData-OLTP-Accounting"."Func_TblChartOfAccount_SET"(varSystemLoginSession, null, null, null, varInstitutionBranchID, null, '1-1811', 'STDO - USD 0325', 62000000000001::bigint, '2016-01-01 00:00:00'::timestamp, null::timestamp); </v>
      </c>
    </row>
    <row r="32" spans="2:41" x14ac:dyDescent="0.25">
      <c r="B32" s="1">
        <v>3</v>
      </c>
      <c r="C32" s="2" t="s">
        <v>65</v>
      </c>
      <c r="D32" s="1" t="s">
        <v>66</v>
      </c>
      <c r="I32" s="1" t="s">
        <v>65</v>
      </c>
      <c r="Q32" s="1" t="str">
        <f t="shared" si="21"/>
        <v>STDE - IDR 0376</v>
      </c>
      <c r="S32" s="1" t="str">
        <f t="shared" si="11"/>
        <v>1-ACTV</v>
      </c>
      <c r="T32" s="1" t="str">
        <f t="shared" si="12"/>
        <v>1-0000</v>
      </c>
      <c r="U32" s="1" t="str">
        <f t="shared" si="13"/>
        <v>1-1000</v>
      </c>
      <c r="V32" s="1" t="str">
        <f t="shared" si="14"/>
        <v>1-1820</v>
      </c>
      <c r="W32" s="1" t="str">
        <f t="shared" si="15"/>
        <v>1-1108</v>
      </c>
      <c r="X32" s="1" t="str">
        <f t="shared" si="16"/>
        <v/>
      </c>
      <c r="Y32" s="1" t="str">
        <f t="shared" si="17"/>
        <v/>
      </c>
      <c r="Z32" s="1" t="str">
        <f t="shared" si="18"/>
        <v/>
      </c>
      <c r="AA32" s="1" t="str">
        <f t="shared" si="19"/>
        <v/>
      </c>
      <c r="AB32" s="1" t="str">
        <f t="shared" si="20"/>
        <v/>
      </c>
      <c r="AD32" s="1" t="str">
        <f t="shared" si="0"/>
        <v/>
      </c>
      <c r="AE32" s="1" t="str">
        <f t="shared" si="1"/>
        <v/>
      </c>
      <c r="AF32" s="1" t="str">
        <f t="shared" si="2"/>
        <v xml:space="preserve">PERFORM * FROM "SchData-OLTP-Accounting"."Func_TblChartOfAccount_SET"(varSystemLoginSession, null, null, null, varInstitutionBranchID, null, '1-1820', 'STDE - IDR 0376', 62000000000001::bigint, '2016-01-01 00:00:00'::timestamp, null::timestamp); </v>
      </c>
      <c r="AG32" s="1" t="str">
        <f t="shared" si="3"/>
        <v/>
      </c>
      <c r="AH32" s="1" t="str">
        <f t="shared" si="4"/>
        <v/>
      </c>
      <c r="AI32" s="1" t="str">
        <f t="shared" si="5"/>
        <v/>
      </c>
      <c r="AJ32" s="1" t="str">
        <f t="shared" si="6"/>
        <v/>
      </c>
      <c r="AK32" s="1" t="str">
        <f t="shared" si="7"/>
        <v/>
      </c>
      <c r="AL32" s="1" t="str">
        <f t="shared" si="8"/>
        <v/>
      </c>
      <c r="AM32" s="1" t="str">
        <f t="shared" si="9"/>
        <v/>
      </c>
      <c r="AO32" s="8" t="str">
        <f t="shared" si="10"/>
        <v xml:space="preserve">PERFORM * FROM "SchData-OLTP-Accounting"."Func_TblChartOfAccount_SET"(varSystemLoginSession, null, null, null, varInstitutionBranchID, null, '1-1820', 'STDE - IDR 0376', 62000000000001::bigint, '2016-01-01 00:00:00'::timestamp, null::timestamp); </v>
      </c>
    </row>
    <row r="33" spans="2:41" x14ac:dyDescent="0.25">
      <c r="B33" s="1">
        <v>3</v>
      </c>
      <c r="C33" s="2" t="s">
        <v>67</v>
      </c>
      <c r="D33" s="1" t="s">
        <v>68</v>
      </c>
      <c r="I33" s="1" t="s">
        <v>67</v>
      </c>
      <c r="Q33" s="1" t="str">
        <f t="shared" si="21"/>
        <v>STDO - IDR 0414</v>
      </c>
      <c r="S33" s="1" t="str">
        <f t="shared" si="11"/>
        <v>1-ACTV</v>
      </c>
      <c r="T33" s="1" t="str">
        <f t="shared" si="12"/>
        <v>1-0000</v>
      </c>
      <c r="U33" s="1" t="str">
        <f t="shared" si="13"/>
        <v>1-1000</v>
      </c>
      <c r="V33" s="1" t="str">
        <f t="shared" si="14"/>
        <v>1-1830</v>
      </c>
      <c r="W33" s="1" t="str">
        <f t="shared" si="15"/>
        <v>1-1108</v>
      </c>
      <c r="X33" s="1" t="str">
        <f t="shared" si="16"/>
        <v/>
      </c>
      <c r="Y33" s="1" t="str">
        <f t="shared" si="17"/>
        <v/>
      </c>
      <c r="Z33" s="1" t="str">
        <f t="shared" si="18"/>
        <v/>
      </c>
      <c r="AA33" s="1" t="str">
        <f t="shared" si="19"/>
        <v/>
      </c>
      <c r="AB33" s="1" t="str">
        <f t="shared" si="20"/>
        <v/>
      </c>
      <c r="AD33" s="1" t="str">
        <f t="shared" si="0"/>
        <v/>
      </c>
      <c r="AE33" s="1" t="str">
        <f t="shared" si="1"/>
        <v/>
      </c>
      <c r="AF33" s="1" t="str">
        <f t="shared" si="2"/>
        <v xml:space="preserve">PERFORM * FROM "SchData-OLTP-Accounting"."Func_TblChartOfAccount_SET"(varSystemLoginSession, null, null, null, varInstitutionBranchID, null, '1-1830', 'STDO - IDR 0414', 62000000000001::bigint, '2016-01-01 00:00:00'::timestamp, null::timestamp); </v>
      </c>
      <c r="AG33" s="1" t="str">
        <f t="shared" si="3"/>
        <v/>
      </c>
      <c r="AH33" s="1" t="str">
        <f t="shared" si="4"/>
        <v/>
      </c>
      <c r="AI33" s="1" t="str">
        <f t="shared" si="5"/>
        <v/>
      </c>
      <c r="AJ33" s="1" t="str">
        <f t="shared" si="6"/>
        <v/>
      </c>
      <c r="AK33" s="1" t="str">
        <f t="shared" si="7"/>
        <v/>
      </c>
      <c r="AL33" s="1" t="str">
        <f t="shared" si="8"/>
        <v/>
      </c>
      <c r="AM33" s="1" t="str">
        <f t="shared" si="9"/>
        <v/>
      </c>
      <c r="AO33" s="8" t="str">
        <f t="shared" si="10"/>
        <v xml:space="preserve">PERFORM * FROM "SchData-OLTP-Accounting"."Func_TblChartOfAccount_SET"(varSystemLoginSession, null, null, null, varInstitutionBranchID, null, '1-1830', 'STDO - IDR 0414', 62000000000001::bigint, '2016-01-01 00:00:00'::timestamp, null::timestamp); </v>
      </c>
    </row>
    <row r="34" spans="2:41" x14ac:dyDescent="0.25">
      <c r="B34" s="1">
        <v>3</v>
      </c>
      <c r="C34" s="2" t="s">
        <v>69</v>
      </c>
      <c r="D34" s="1" t="s">
        <v>70</v>
      </c>
      <c r="I34" s="1" t="s">
        <v>69</v>
      </c>
      <c r="Q34" s="1" t="str">
        <f t="shared" si="21"/>
        <v>BRIE - IDR 0300</v>
      </c>
      <c r="S34" s="1" t="str">
        <f t="shared" si="11"/>
        <v>1-ACTV</v>
      </c>
      <c r="T34" s="1" t="str">
        <f t="shared" si="12"/>
        <v>1-0000</v>
      </c>
      <c r="U34" s="1" t="str">
        <f t="shared" si="13"/>
        <v>1-1000</v>
      </c>
      <c r="V34" s="1" t="str">
        <f t="shared" si="14"/>
        <v>1-1840</v>
      </c>
      <c r="W34" s="1" t="str">
        <f t="shared" si="15"/>
        <v>1-1108</v>
      </c>
      <c r="X34" s="1" t="str">
        <f t="shared" si="16"/>
        <v/>
      </c>
      <c r="Y34" s="1" t="str">
        <f t="shared" si="17"/>
        <v/>
      </c>
      <c r="Z34" s="1" t="str">
        <f t="shared" si="18"/>
        <v/>
      </c>
      <c r="AA34" s="1" t="str">
        <f t="shared" si="19"/>
        <v/>
      </c>
      <c r="AB34" s="1" t="str">
        <f t="shared" si="20"/>
        <v/>
      </c>
      <c r="AD34" s="1" t="str">
        <f t="shared" si="0"/>
        <v/>
      </c>
      <c r="AE34" s="1" t="str">
        <f t="shared" si="1"/>
        <v/>
      </c>
      <c r="AF34" s="1" t="str">
        <f t="shared" si="2"/>
        <v xml:space="preserve">PERFORM * FROM "SchData-OLTP-Accounting"."Func_TblChartOfAccount_SET"(varSystemLoginSession, null, null, null, varInstitutionBranchID, null, '1-1840', 'BRIE - IDR 0300', 62000000000001::bigint, '2016-01-01 00:00:00'::timestamp, null::timestamp); </v>
      </c>
      <c r="AG34" s="1" t="str">
        <f t="shared" si="3"/>
        <v/>
      </c>
      <c r="AH34" s="1" t="str">
        <f t="shared" si="4"/>
        <v/>
      </c>
      <c r="AI34" s="1" t="str">
        <f t="shared" si="5"/>
        <v/>
      </c>
      <c r="AJ34" s="1" t="str">
        <f t="shared" si="6"/>
        <v/>
      </c>
      <c r="AK34" s="1" t="str">
        <f t="shared" si="7"/>
        <v/>
      </c>
      <c r="AL34" s="1" t="str">
        <f t="shared" si="8"/>
        <v/>
      </c>
      <c r="AM34" s="1" t="str">
        <f t="shared" si="9"/>
        <v/>
      </c>
      <c r="AO34" s="8" t="str">
        <f t="shared" si="10"/>
        <v xml:space="preserve">PERFORM * FROM "SchData-OLTP-Accounting"."Func_TblChartOfAccount_SET"(varSystemLoginSession, null, null, null, varInstitutionBranchID, null, '1-1840', 'BRIE - IDR 0300', 62000000000001::bigint, '2016-01-01 00:00:00'::timestamp, null::timestamp); </v>
      </c>
    </row>
    <row r="35" spans="2:41" x14ac:dyDescent="0.25">
      <c r="B35" s="1">
        <v>3</v>
      </c>
      <c r="C35" s="2" t="s">
        <v>71</v>
      </c>
      <c r="D35" s="1" t="s">
        <v>72</v>
      </c>
      <c r="I35" s="1" t="s">
        <v>71</v>
      </c>
      <c r="Q35" s="1" t="str">
        <f t="shared" si="21"/>
        <v>BRIO - IDR 8309</v>
      </c>
      <c r="S35" s="1" t="str">
        <f t="shared" si="11"/>
        <v>1-ACTV</v>
      </c>
      <c r="T35" s="1" t="str">
        <f t="shared" si="12"/>
        <v>1-0000</v>
      </c>
      <c r="U35" s="1" t="str">
        <f t="shared" si="13"/>
        <v>1-1000</v>
      </c>
      <c r="V35" s="1" t="str">
        <f t="shared" si="14"/>
        <v>1-1850</v>
      </c>
      <c r="W35" s="1" t="str">
        <f t="shared" si="15"/>
        <v>1-1108</v>
      </c>
      <c r="X35" s="1" t="str">
        <f t="shared" si="16"/>
        <v/>
      </c>
      <c r="Y35" s="1" t="str">
        <f t="shared" si="17"/>
        <v/>
      </c>
      <c r="Z35" s="1" t="str">
        <f t="shared" si="18"/>
        <v/>
      </c>
      <c r="AA35" s="1" t="str">
        <f t="shared" si="19"/>
        <v/>
      </c>
      <c r="AB35" s="1" t="str">
        <f t="shared" si="20"/>
        <v/>
      </c>
      <c r="AD35" s="1" t="str">
        <f t="shared" si="0"/>
        <v/>
      </c>
      <c r="AE35" s="1" t="str">
        <f t="shared" si="1"/>
        <v/>
      </c>
      <c r="AF35" s="1" t="str">
        <f t="shared" si="2"/>
        <v xml:space="preserve">PERFORM * FROM "SchData-OLTP-Accounting"."Func_TblChartOfAccount_SET"(varSystemLoginSession, null, null, null, varInstitutionBranchID, null, '1-1850', 'BRIO - IDR 8309', 62000000000001::bigint, '2016-01-01 00:00:00'::timestamp, null::timestamp); </v>
      </c>
      <c r="AG35" s="1" t="str">
        <f t="shared" si="3"/>
        <v/>
      </c>
      <c r="AH35" s="1" t="str">
        <f t="shared" si="4"/>
        <v/>
      </c>
      <c r="AI35" s="1" t="str">
        <f t="shared" si="5"/>
        <v/>
      </c>
      <c r="AJ35" s="1" t="str">
        <f t="shared" si="6"/>
        <v/>
      </c>
      <c r="AK35" s="1" t="str">
        <f t="shared" si="7"/>
        <v/>
      </c>
      <c r="AL35" s="1" t="str">
        <f t="shared" si="8"/>
        <v/>
      </c>
      <c r="AM35" s="1" t="str">
        <f t="shared" si="9"/>
        <v/>
      </c>
      <c r="AO35" s="8" t="str">
        <f t="shared" si="10"/>
        <v xml:space="preserve">PERFORM * FROM "SchData-OLTP-Accounting"."Func_TblChartOfAccount_SET"(varSystemLoginSession, null, null, null, varInstitutionBranchID, null, '1-1850', 'BRIO - IDR 8309', 62000000000001::bigint, '2016-01-01 00:00:00'::timestamp, null::timestamp); </v>
      </c>
    </row>
    <row r="36" spans="2:41" x14ac:dyDescent="0.25">
      <c r="B36" s="1">
        <v>2</v>
      </c>
      <c r="C36" s="2" t="s">
        <v>73</v>
      </c>
      <c r="D36" s="1" t="s">
        <v>74</v>
      </c>
      <c r="I36" s="2" t="s">
        <v>75</v>
      </c>
      <c r="Q36" s="1" t="str">
        <f t="shared" si="21"/>
        <v>PRTE - USD</v>
      </c>
      <c r="S36" s="1" t="str">
        <f t="shared" si="11"/>
        <v>1-ACTV</v>
      </c>
      <c r="T36" s="1" t="str">
        <f t="shared" si="12"/>
        <v>1-0000</v>
      </c>
      <c r="U36" s="1" t="str">
        <f t="shared" si="13"/>
        <v>1-1000</v>
      </c>
      <c r="V36" s="1" t="str">
        <f t="shared" si="14"/>
        <v>1-1861</v>
      </c>
      <c r="W36" s="1" t="str">
        <f t="shared" si="15"/>
        <v>1-1108</v>
      </c>
      <c r="X36" s="1" t="str">
        <f t="shared" si="16"/>
        <v/>
      </c>
      <c r="Y36" s="1" t="str">
        <f t="shared" si="17"/>
        <v/>
      </c>
      <c r="Z36" s="1" t="str">
        <f t="shared" si="18"/>
        <v/>
      </c>
      <c r="AA36" s="1" t="str">
        <f t="shared" si="19"/>
        <v/>
      </c>
      <c r="AB36" s="1" t="str">
        <f t="shared" si="20"/>
        <v/>
      </c>
      <c r="AD36" s="1" t="str">
        <f t="shared" si="0"/>
        <v/>
      </c>
      <c r="AE36" s="1" t="str">
        <f t="shared" si="1"/>
        <v/>
      </c>
      <c r="AF36" s="1" t="str">
        <f t="shared" si="2"/>
        <v xml:space="preserve">PERFORM * FROM "SchData-OLTP-Accounting"."Func_TblChartOfAccount_SET"(varSystemLoginSession, null, null, null, varInstitutionBranchID, null, '1-1861', 'PRTE - USD', 62000000000001::bigint, '2016-01-01 00:00:00'::timestamp, null::timestamp); </v>
      </c>
      <c r="AG36" s="1" t="str">
        <f t="shared" si="3"/>
        <v/>
      </c>
      <c r="AH36" s="1" t="str">
        <f t="shared" si="4"/>
        <v/>
      </c>
      <c r="AI36" s="1" t="str">
        <f t="shared" si="5"/>
        <v/>
      </c>
      <c r="AJ36" s="1" t="str">
        <f t="shared" si="6"/>
        <v/>
      </c>
      <c r="AK36" s="1" t="str">
        <f t="shared" si="7"/>
        <v/>
      </c>
      <c r="AL36" s="1" t="str">
        <f t="shared" si="8"/>
        <v/>
      </c>
      <c r="AM36" s="1" t="str">
        <f t="shared" si="9"/>
        <v/>
      </c>
      <c r="AO36" s="8" t="str">
        <f t="shared" si="10"/>
        <v xml:space="preserve">PERFORM * FROM "SchData-OLTP-Accounting"."Func_TblChartOfAccount_SET"(varSystemLoginSession, null, null, null, varInstitutionBranchID, null, '1-1861', 'PRTE - USD', 62000000000001::bigint, '2016-01-01 00:00:00'::timestamp, null::timestamp); </v>
      </c>
    </row>
    <row r="37" spans="2:41" x14ac:dyDescent="0.25">
      <c r="B37" s="1">
        <v>2</v>
      </c>
      <c r="C37" s="2" t="s">
        <v>76</v>
      </c>
      <c r="D37" s="1" t="s">
        <v>77</v>
      </c>
      <c r="I37" s="2" t="s">
        <v>78</v>
      </c>
      <c r="Q37" s="1" t="str">
        <f t="shared" si="21"/>
        <v>PRTO - USD</v>
      </c>
      <c r="S37" s="1" t="str">
        <f t="shared" si="11"/>
        <v>1-ACTV</v>
      </c>
      <c r="T37" s="1" t="str">
        <f t="shared" si="12"/>
        <v>1-0000</v>
      </c>
      <c r="U37" s="1" t="str">
        <f t="shared" si="13"/>
        <v>1-1000</v>
      </c>
      <c r="V37" s="1" t="str">
        <f t="shared" si="14"/>
        <v>1-1871</v>
      </c>
      <c r="W37" s="1" t="str">
        <f t="shared" si="15"/>
        <v>1-1108</v>
      </c>
      <c r="X37" s="1" t="str">
        <f t="shared" si="16"/>
        <v/>
      </c>
      <c r="Y37" s="1" t="str">
        <f t="shared" si="17"/>
        <v/>
      </c>
      <c r="Z37" s="1" t="str">
        <f t="shared" si="18"/>
        <v/>
      </c>
      <c r="AA37" s="1" t="str">
        <f t="shared" si="19"/>
        <v/>
      </c>
      <c r="AB37" s="1" t="str">
        <f t="shared" si="20"/>
        <v/>
      </c>
      <c r="AD37" s="1" t="str">
        <f t="shared" si="0"/>
        <v/>
      </c>
      <c r="AE37" s="1" t="str">
        <f t="shared" si="1"/>
        <v/>
      </c>
      <c r="AF37" s="1" t="str">
        <f t="shared" si="2"/>
        <v xml:space="preserve">PERFORM * FROM "SchData-OLTP-Accounting"."Func_TblChartOfAccount_SET"(varSystemLoginSession, null, null, null, varInstitutionBranchID, null, '1-1871', 'PRTO - USD', 62000000000001::bigint, '2016-01-01 00:00:00'::timestamp, null::timestamp); </v>
      </c>
      <c r="AG37" s="1" t="str">
        <f t="shared" si="3"/>
        <v/>
      </c>
      <c r="AH37" s="1" t="str">
        <f t="shared" si="4"/>
        <v/>
      </c>
      <c r="AI37" s="1" t="str">
        <f t="shared" si="5"/>
        <v/>
      </c>
      <c r="AJ37" s="1" t="str">
        <f t="shared" si="6"/>
        <v/>
      </c>
      <c r="AK37" s="1" t="str">
        <f t="shared" si="7"/>
        <v/>
      </c>
      <c r="AL37" s="1" t="str">
        <f t="shared" si="8"/>
        <v/>
      </c>
      <c r="AM37" s="1" t="str">
        <f t="shared" si="9"/>
        <v/>
      </c>
      <c r="AO37" s="8" t="str">
        <f t="shared" si="10"/>
        <v xml:space="preserve">PERFORM * FROM "SchData-OLTP-Accounting"."Func_TblChartOfAccount_SET"(varSystemLoginSession, null, null, null, varInstitutionBranchID, null, '1-1871', 'PRTO - USD', 62000000000001::bigint, '2016-01-01 00:00:00'::timestamp, null::timestamp); </v>
      </c>
    </row>
    <row r="38" spans="2:41" x14ac:dyDescent="0.25">
      <c r="B38" s="1">
        <v>3</v>
      </c>
      <c r="C38" s="2" t="s">
        <v>79</v>
      </c>
      <c r="D38" s="1" t="s">
        <v>80</v>
      </c>
      <c r="I38" s="2" t="s">
        <v>79</v>
      </c>
      <c r="Q38" s="1" t="str">
        <f t="shared" si="21"/>
        <v>PRTE - IDR</v>
      </c>
      <c r="S38" s="1" t="str">
        <f t="shared" si="11"/>
        <v>1-ACTV</v>
      </c>
      <c r="T38" s="1" t="str">
        <f t="shared" si="12"/>
        <v>1-0000</v>
      </c>
      <c r="U38" s="1" t="str">
        <f t="shared" si="13"/>
        <v>1-1000</v>
      </c>
      <c r="V38" s="1" t="str">
        <f t="shared" si="14"/>
        <v>1-1880</v>
      </c>
      <c r="W38" s="1" t="str">
        <f t="shared" si="15"/>
        <v>1-1108</v>
      </c>
      <c r="X38" s="1" t="str">
        <f t="shared" si="16"/>
        <v/>
      </c>
      <c r="Y38" s="1" t="str">
        <f t="shared" si="17"/>
        <v/>
      </c>
      <c r="Z38" s="1" t="str">
        <f t="shared" si="18"/>
        <v/>
      </c>
      <c r="AA38" s="1" t="str">
        <f t="shared" si="19"/>
        <v/>
      </c>
      <c r="AB38" s="1" t="str">
        <f t="shared" si="20"/>
        <v/>
      </c>
      <c r="AD38" s="1" t="str">
        <f t="shared" si="0"/>
        <v/>
      </c>
      <c r="AE38" s="1" t="str">
        <f t="shared" si="1"/>
        <v/>
      </c>
      <c r="AF38" s="1" t="str">
        <f t="shared" si="2"/>
        <v xml:space="preserve">PERFORM * FROM "SchData-OLTP-Accounting"."Func_TblChartOfAccount_SET"(varSystemLoginSession, null, null, null, varInstitutionBranchID, null, '1-1880', 'PRTE - IDR', 62000000000001::bigint, '2016-01-01 00:00:00'::timestamp, null::timestamp); </v>
      </c>
      <c r="AG38" s="1" t="str">
        <f t="shared" si="3"/>
        <v/>
      </c>
      <c r="AH38" s="1" t="str">
        <f t="shared" si="4"/>
        <v/>
      </c>
      <c r="AI38" s="1" t="str">
        <f t="shared" si="5"/>
        <v/>
      </c>
      <c r="AJ38" s="1" t="str">
        <f t="shared" si="6"/>
        <v/>
      </c>
      <c r="AK38" s="1" t="str">
        <f t="shared" si="7"/>
        <v/>
      </c>
      <c r="AL38" s="1" t="str">
        <f t="shared" si="8"/>
        <v/>
      </c>
      <c r="AM38" s="1" t="str">
        <f t="shared" si="9"/>
        <v/>
      </c>
      <c r="AO38" s="8" t="str">
        <f t="shared" si="10"/>
        <v xml:space="preserve">PERFORM * FROM "SchData-OLTP-Accounting"."Func_TblChartOfAccount_SET"(varSystemLoginSession, null, null, null, varInstitutionBranchID, null, '1-1880', 'PRTE - IDR', 62000000000001::bigint, '2016-01-01 00:00:00'::timestamp, null::timestamp); </v>
      </c>
    </row>
    <row r="39" spans="2:41" x14ac:dyDescent="0.25">
      <c r="B39" s="1">
        <v>3</v>
      </c>
      <c r="C39" s="2" t="s">
        <v>81</v>
      </c>
      <c r="D39" s="1" t="s">
        <v>82</v>
      </c>
      <c r="I39" s="2" t="s">
        <v>81</v>
      </c>
      <c r="Q39" s="1" t="str">
        <f t="shared" si="21"/>
        <v>PRTO - IDR</v>
      </c>
      <c r="S39" s="1" t="str">
        <f t="shared" si="11"/>
        <v>1-ACTV</v>
      </c>
      <c r="T39" s="1" t="str">
        <f t="shared" si="12"/>
        <v>1-0000</v>
      </c>
      <c r="U39" s="1" t="str">
        <f t="shared" si="13"/>
        <v>1-1000</v>
      </c>
      <c r="V39" s="1" t="str">
        <f t="shared" si="14"/>
        <v>1-1890</v>
      </c>
      <c r="W39" s="1" t="str">
        <f t="shared" si="15"/>
        <v>1-1108</v>
      </c>
      <c r="X39" s="1" t="str">
        <f t="shared" si="16"/>
        <v/>
      </c>
      <c r="Y39" s="1" t="str">
        <f t="shared" si="17"/>
        <v/>
      </c>
      <c r="Z39" s="1" t="str">
        <f t="shared" si="18"/>
        <v/>
      </c>
      <c r="AA39" s="1" t="str">
        <f t="shared" si="19"/>
        <v/>
      </c>
      <c r="AB39" s="1" t="str">
        <f t="shared" si="20"/>
        <v/>
      </c>
      <c r="AD39" s="1" t="str">
        <f t="shared" si="0"/>
        <v/>
      </c>
      <c r="AE39" s="1" t="str">
        <f t="shared" si="1"/>
        <v/>
      </c>
      <c r="AF39" s="1" t="str">
        <f t="shared" si="2"/>
        <v xml:space="preserve">PERFORM * FROM "SchData-OLTP-Accounting"."Func_TblChartOfAccount_SET"(varSystemLoginSession, null, null, null, varInstitutionBranchID, null, '1-1890', 'PRTO - IDR', 62000000000001::bigint, '2016-01-01 00:00:00'::timestamp, null::timestamp); </v>
      </c>
      <c r="AG39" s="1" t="str">
        <f t="shared" si="3"/>
        <v/>
      </c>
      <c r="AH39" s="1" t="str">
        <f t="shared" si="4"/>
        <v/>
      </c>
      <c r="AI39" s="1" t="str">
        <f t="shared" si="5"/>
        <v/>
      </c>
      <c r="AJ39" s="1" t="str">
        <f t="shared" si="6"/>
        <v/>
      </c>
      <c r="AK39" s="1" t="str">
        <f t="shared" si="7"/>
        <v/>
      </c>
      <c r="AL39" s="1" t="str">
        <f t="shared" si="8"/>
        <v/>
      </c>
      <c r="AM39" s="1" t="str">
        <f t="shared" si="9"/>
        <v/>
      </c>
      <c r="AO39" s="8" t="str">
        <f t="shared" si="10"/>
        <v xml:space="preserve">PERFORM * FROM "SchData-OLTP-Accounting"."Func_TblChartOfAccount_SET"(varSystemLoginSession, null, null, null, varInstitutionBranchID, null, '1-1890', 'PRTO - IDR', 62000000000001::bigint, '2016-01-01 00:00:00'::timestamp, null::timestamp); </v>
      </c>
    </row>
    <row r="40" spans="2:41" x14ac:dyDescent="0.25">
      <c r="B40" s="1">
        <v>3</v>
      </c>
      <c r="C40" s="2" t="s">
        <v>83</v>
      </c>
      <c r="D40" s="1" t="s">
        <v>84</v>
      </c>
      <c r="I40" s="2" t="s">
        <v>83</v>
      </c>
      <c r="Q40" s="1" t="str">
        <f t="shared" si="21"/>
        <v>BRIS - IDR 1006777593</v>
      </c>
      <c r="S40" s="1" t="str">
        <f t="shared" si="11"/>
        <v>1-ACTV</v>
      </c>
      <c r="T40" s="1" t="str">
        <f t="shared" si="12"/>
        <v>1-0000</v>
      </c>
      <c r="U40" s="1" t="str">
        <f t="shared" si="13"/>
        <v>1-1000</v>
      </c>
      <c r="V40" s="1" t="str">
        <f t="shared" si="14"/>
        <v>1-1891</v>
      </c>
      <c r="W40" s="1" t="str">
        <f t="shared" si="15"/>
        <v>1-1108</v>
      </c>
      <c r="X40" s="1" t="str">
        <f t="shared" si="16"/>
        <v/>
      </c>
      <c r="Y40" s="1" t="str">
        <f t="shared" si="17"/>
        <v/>
      </c>
      <c r="Z40" s="1" t="str">
        <f t="shared" si="18"/>
        <v/>
      </c>
      <c r="AA40" s="1" t="str">
        <f t="shared" si="19"/>
        <v/>
      </c>
      <c r="AB40" s="1" t="str">
        <f t="shared" si="20"/>
        <v/>
      </c>
      <c r="AD40" s="1" t="str">
        <f t="shared" si="0"/>
        <v/>
      </c>
      <c r="AE40" s="1" t="str">
        <f t="shared" si="1"/>
        <v/>
      </c>
      <c r="AF40" s="1" t="str">
        <f t="shared" si="2"/>
        <v xml:space="preserve">PERFORM * FROM "SchData-OLTP-Accounting"."Func_TblChartOfAccount_SET"(varSystemLoginSession, null, null, null, varInstitutionBranchID, null, '1-1891', 'BRIS - IDR 1006777593', 62000000000001::bigint, '2016-01-01 00:00:00'::timestamp, null::timestamp); </v>
      </c>
      <c r="AG40" s="1" t="str">
        <f t="shared" si="3"/>
        <v/>
      </c>
      <c r="AH40" s="1" t="str">
        <f t="shared" si="4"/>
        <v/>
      </c>
      <c r="AI40" s="1" t="str">
        <f t="shared" si="5"/>
        <v/>
      </c>
      <c r="AJ40" s="1" t="str">
        <f t="shared" si="6"/>
        <v/>
      </c>
      <c r="AK40" s="1" t="str">
        <f t="shared" si="7"/>
        <v/>
      </c>
      <c r="AL40" s="1" t="str">
        <f t="shared" si="8"/>
        <v/>
      </c>
      <c r="AM40" s="1" t="str">
        <f t="shared" si="9"/>
        <v/>
      </c>
      <c r="AO40" s="8" t="str">
        <f t="shared" si="10"/>
        <v xml:space="preserve">PERFORM * FROM "SchData-OLTP-Accounting"."Func_TblChartOfAccount_SET"(varSystemLoginSession, null, null, null, varInstitutionBranchID, null, '1-1891', 'BRIS - IDR 1006777593', 62000000000001::bigint, '2016-01-01 00:00:00'::timestamp, null::timestamp); </v>
      </c>
    </row>
    <row r="41" spans="2:41" x14ac:dyDescent="0.25">
      <c r="B41" s="1">
        <v>3</v>
      </c>
      <c r="C41" s="2" t="s">
        <v>85</v>
      </c>
      <c r="D41" s="1" t="s">
        <v>86</v>
      </c>
      <c r="I41" s="2" t="s">
        <v>85</v>
      </c>
      <c r="Q41" s="1" t="str">
        <f t="shared" si="21"/>
        <v>CNGE - IDR 2005</v>
      </c>
      <c r="S41" s="1" t="str">
        <f t="shared" si="11"/>
        <v>1-ACTV</v>
      </c>
      <c r="T41" s="1" t="str">
        <f t="shared" si="12"/>
        <v>1-0000</v>
      </c>
      <c r="U41" s="1" t="str">
        <f t="shared" si="13"/>
        <v>1-1000</v>
      </c>
      <c r="V41" s="1" t="str">
        <f t="shared" si="14"/>
        <v>1-1892</v>
      </c>
      <c r="W41" s="1" t="str">
        <f t="shared" si="15"/>
        <v>1-1108</v>
      </c>
      <c r="X41" s="1" t="str">
        <f t="shared" si="16"/>
        <v/>
      </c>
      <c r="Y41" s="1" t="str">
        <f t="shared" si="17"/>
        <v/>
      </c>
      <c r="Z41" s="1" t="str">
        <f t="shared" si="18"/>
        <v/>
      </c>
      <c r="AA41" s="1" t="str">
        <f t="shared" si="19"/>
        <v/>
      </c>
      <c r="AB41" s="1" t="str">
        <f t="shared" si="20"/>
        <v/>
      </c>
      <c r="AD41" s="1" t="str">
        <f t="shared" si="0"/>
        <v/>
      </c>
      <c r="AE41" s="1" t="str">
        <f t="shared" si="1"/>
        <v/>
      </c>
      <c r="AF41" s="1" t="str">
        <f t="shared" si="2"/>
        <v xml:space="preserve">PERFORM * FROM "SchData-OLTP-Accounting"."Func_TblChartOfAccount_SET"(varSystemLoginSession, null, null, null, varInstitutionBranchID, null, '1-1892', 'CNGE - IDR 2005', 62000000000001::bigint, '2016-01-01 00:00:00'::timestamp, null::timestamp); </v>
      </c>
      <c r="AG41" s="1" t="str">
        <f t="shared" si="3"/>
        <v/>
      </c>
      <c r="AH41" s="1" t="str">
        <f t="shared" si="4"/>
        <v/>
      </c>
      <c r="AI41" s="1" t="str">
        <f t="shared" si="5"/>
        <v/>
      </c>
      <c r="AJ41" s="1" t="str">
        <f t="shared" si="6"/>
        <v/>
      </c>
      <c r="AK41" s="1" t="str">
        <f t="shared" si="7"/>
        <v/>
      </c>
      <c r="AL41" s="1" t="str">
        <f t="shared" si="8"/>
        <v/>
      </c>
      <c r="AM41" s="1" t="str">
        <f t="shared" si="9"/>
        <v/>
      </c>
      <c r="AO41" s="8" t="str">
        <f t="shared" si="10"/>
        <v xml:space="preserve">PERFORM * FROM "SchData-OLTP-Accounting"."Func_TblChartOfAccount_SET"(varSystemLoginSession, null, null, null, varInstitutionBranchID, null, '1-1892', 'CNGE - IDR 2005', 62000000000001::bigint, '2016-01-01 00:00:00'::timestamp, null::timestamp); </v>
      </c>
    </row>
    <row r="42" spans="2:41" x14ac:dyDescent="0.25">
      <c r="B42" s="1">
        <v>3</v>
      </c>
      <c r="C42" s="2" t="s">
        <v>87</v>
      </c>
      <c r="D42" s="1" t="s">
        <v>88</v>
      </c>
      <c r="I42" s="2" t="s">
        <v>87</v>
      </c>
      <c r="Q42" s="1" t="str">
        <f t="shared" si="21"/>
        <v>CNGO - IDR 1009</v>
      </c>
      <c r="S42" s="1" t="str">
        <f t="shared" si="11"/>
        <v>1-ACTV</v>
      </c>
      <c r="T42" s="1" t="str">
        <f t="shared" si="12"/>
        <v>1-0000</v>
      </c>
      <c r="U42" s="1" t="str">
        <f t="shared" si="13"/>
        <v>1-1000</v>
      </c>
      <c r="V42" s="1" t="str">
        <f t="shared" si="14"/>
        <v>1-1893</v>
      </c>
      <c r="W42" s="1" t="str">
        <f t="shared" si="15"/>
        <v>1-1108</v>
      </c>
      <c r="X42" s="1" t="str">
        <f t="shared" si="16"/>
        <v/>
      </c>
      <c r="Y42" s="1" t="str">
        <f t="shared" si="17"/>
        <v/>
      </c>
      <c r="Z42" s="1" t="str">
        <f t="shared" si="18"/>
        <v/>
      </c>
      <c r="AA42" s="1" t="str">
        <f t="shared" si="19"/>
        <v/>
      </c>
      <c r="AB42" s="1" t="str">
        <f t="shared" si="20"/>
        <v/>
      </c>
      <c r="AD42" s="1" t="str">
        <f t="shared" si="0"/>
        <v/>
      </c>
      <c r="AE42" s="1" t="str">
        <f t="shared" si="1"/>
        <v/>
      </c>
      <c r="AF42" s="1" t="str">
        <f t="shared" si="2"/>
        <v xml:space="preserve">PERFORM * FROM "SchData-OLTP-Accounting"."Func_TblChartOfAccount_SET"(varSystemLoginSession, null, null, null, varInstitutionBranchID, null, '1-1893', 'CNGO - IDR 1009', 62000000000001::bigint, '2016-01-01 00:00:00'::timestamp, null::timestamp); </v>
      </c>
      <c r="AG42" s="1" t="str">
        <f t="shared" si="3"/>
        <v/>
      </c>
      <c r="AH42" s="1" t="str">
        <f t="shared" si="4"/>
        <v/>
      </c>
      <c r="AI42" s="1" t="str">
        <f t="shared" si="5"/>
        <v/>
      </c>
      <c r="AJ42" s="1" t="str">
        <f t="shared" si="6"/>
        <v/>
      </c>
      <c r="AK42" s="1" t="str">
        <f t="shared" si="7"/>
        <v/>
      </c>
      <c r="AL42" s="1" t="str">
        <f t="shared" si="8"/>
        <v/>
      </c>
      <c r="AM42" s="1" t="str">
        <f t="shared" si="9"/>
        <v/>
      </c>
      <c r="AO42" s="8" t="str">
        <f t="shared" si="10"/>
        <v xml:space="preserve">PERFORM * FROM "SchData-OLTP-Accounting"."Func_TblChartOfAccount_SET"(varSystemLoginSession, null, null, null, varInstitutionBranchID, null, '1-1893', 'CNGO - IDR 1009', 62000000000001::bigint, '2016-01-01 00:00:00'::timestamp, null::timestamp); </v>
      </c>
    </row>
    <row r="43" spans="2:41" x14ac:dyDescent="0.25">
      <c r="B43" s="1">
        <v>3</v>
      </c>
      <c r="C43" s="2" t="s">
        <v>89</v>
      </c>
      <c r="D43" s="1" t="s">
        <v>90</v>
      </c>
      <c r="I43" s="2" t="s">
        <v>89</v>
      </c>
      <c r="Q43" s="1" t="str">
        <f t="shared" si="21"/>
        <v>Muammalat - IDR</v>
      </c>
      <c r="S43" s="1" t="str">
        <f t="shared" si="11"/>
        <v>1-ACTV</v>
      </c>
      <c r="T43" s="1" t="str">
        <f t="shared" si="12"/>
        <v>1-0000</v>
      </c>
      <c r="U43" s="1" t="str">
        <f t="shared" si="13"/>
        <v>1-1000</v>
      </c>
      <c r="V43" s="1" t="str">
        <f t="shared" si="14"/>
        <v>1-1894</v>
      </c>
      <c r="W43" s="1" t="str">
        <f t="shared" si="15"/>
        <v>1-1108</v>
      </c>
      <c r="X43" s="1" t="str">
        <f t="shared" si="16"/>
        <v/>
      </c>
      <c r="Y43" s="1" t="str">
        <f t="shared" si="17"/>
        <v/>
      </c>
      <c r="Z43" s="1" t="str">
        <f t="shared" si="18"/>
        <v/>
      </c>
      <c r="AA43" s="1" t="str">
        <f t="shared" si="19"/>
        <v/>
      </c>
      <c r="AB43" s="1" t="str">
        <f t="shared" si="20"/>
        <v/>
      </c>
      <c r="AD43" s="1" t="str">
        <f t="shared" si="0"/>
        <v/>
      </c>
      <c r="AE43" s="1" t="str">
        <f t="shared" si="1"/>
        <v/>
      </c>
      <c r="AF43" s="1" t="str">
        <f t="shared" si="2"/>
        <v xml:space="preserve">PERFORM * FROM "SchData-OLTP-Accounting"."Func_TblChartOfAccount_SET"(varSystemLoginSession, null, null, null, varInstitutionBranchID, null, '1-1894', 'Muammalat - IDR', 62000000000001::bigint, '2016-01-01 00:00:00'::timestamp, null::timestamp); </v>
      </c>
      <c r="AG43" s="1" t="str">
        <f t="shared" si="3"/>
        <v/>
      </c>
      <c r="AH43" s="1" t="str">
        <f t="shared" si="4"/>
        <v/>
      </c>
      <c r="AI43" s="1" t="str">
        <f t="shared" si="5"/>
        <v/>
      </c>
      <c r="AJ43" s="1" t="str">
        <f t="shared" si="6"/>
        <v/>
      </c>
      <c r="AK43" s="1" t="str">
        <f t="shared" si="7"/>
        <v/>
      </c>
      <c r="AL43" s="1" t="str">
        <f t="shared" si="8"/>
        <v/>
      </c>
      <c r="AM43" s="1" t="str">
        <f t="shared" si="9"/>
        <v/>
      </c>
      <c r="AO43" s="8" t="str">
        <f t="shared" si="10"/>
        <v xml:space="preserve">PERFORM * FROM "SchData-OLTP-Accounting"."Func_TblChartOfAccount_SET"(varSystemLoginSession, null, null, null, varInstitutionBranchID, null, '1-1894', 'Muammalat - IDR', 62000000000001::bigint, '2016-01-01 00:00:00'::timestamp, null::timestamp); </v>
      </c>
    </row>
    <row r="44" spans="2:41" x14ac:dyDescent="0.25">
      <c r="B44" s="1">
        <v>4</v>
      </c>
      <c r="C44" s="2" t="s">
        <v>91</v>
      </c>
      <c r="D44" s="1" t="s">
        <v>92</v>
      </c>
      <c r="I44" s="2" t="s">
        <v>91</v>
      </c>
      <c r="Q44" s="1" t="str">
        <f t="shared" si="21"/>
        <v>Bank BTN - IDR</v>
      </c>
      <c r="S44" s="1" t="str">
        <f t="shared" si="11"/>
        <v>1-ACTV</v>
      </c>
      <c r="T44" s="1" t="str">
        <f t="shared" si="12"/>
        <v>1-0000</v>
      </c>
      <c r="U44" s="1" t="str">
        <f t="shared" si="13"/>
        <v>1-1000</v>
      </c>
      <c r="V44" s="1" t="str">
        <f t="shared" si="14"/>
        <v>1-1895</v>
      </c>
      <c r="W44" s="1" t="str">
        <f t="shared" si="15"/>
        <v>1-1108</v>
      </c>
      <c r="X44" s="1" t="str">
        <f t="shared" si="16"/>
        <v/>
      </c>
      <c r="Y44" s="1" t="str">
        <f t="shared" si="17"/>
        <v/>
      </c>
      <c r="Z44" s="1" t="str">
        <f t="shared" si="18"/>
        <v/>
      </c>
      <c r="AA44" s="1" t="str">
        <f t="shared" si="19"/>
        <v/>
      </c>
      <c r="AB44" s="1" t="str">
        <f t="shared" si="20"/>
        <v/>
      </c>
      <c r="AD44" s="1" t="str">
        <f t="shared" si="0"/>
        <v/>
      </c>
      <c r="AE44" s="1" t="str">
        <f t="shared" si="1"/>
        <v/>
      </c>
      <c r="AF44" s="1" t="str">
        <f t="shared" si="2"/>
        <v xml:space="preserve">PERFORM * FROM "SchData-OLTP-Accounting"."Func_TblChartOfAccount_SET"(varSystemLoginSession, null, null, null, varInstitutionBranchID, null, '1-1895', 'Bank BTN - IDR', 62000000000001::bigint, '2016-01-01 00:00:00'::timestamp, null::timestamp); </v>
      </c>
      <c r="AG44" s="1" t="str">
        <f t="shared" si="3"/>
        <v/>
      </c>
      <c r="AH44" s="1" t="str">
        <f t="shared" si="4"/>
        <v/>
      </c>
      <c r="AI44" s="1" t="str">
        <f t="shared" si="5"/>
        <v/>
      </c>
      <c r="AJ44" s="1" t="str">
        <f t="shared" si="6"/>
        <v/>
      </c>
      <c r="AK44" s="1" t="str">
        <f t="shared" si="7"/>
        <v/>
      </c>
      <c r="AL44" s="1" t="str">
        <f t="shared" si="8"/>
        <v/>
      </c>
      <c r="AM44" s="1" t="str">
        <f t="shared" si="9"/>
        <v/>
      </c>
      <c r="AO44" s="8" t="str">
        <f t="shared" si="10"/>
        <v xml:space="preserve">PERFORM * FROM "SchData-OLTP-Accounting"."Func_TblChartOfAccount_SET"(varSystemLoginSession, null, null, null, varInstitutionBranchID, null, '1-1895', 'Bank BTN - IDR', 62000000000001::bigint, '2016-01-01 00:00:00'::timestamp, null::timestamp); </v>
      </c>
    </row>
    <row r="45" spans="2:41" x14ac:dyDescent="0.25">
      <c r="B45" s="1">
        <v>4</v>
      </c>
      <c r="C45" s="2" t="s">
        <v>93</v>
      </c>
      <c r="D45" s="1" t="s">
        <v>94</v>
      </c>
      <c r="I45" s="2" t="s">
        <v>93</v>
      </c>
      <c r="Q45" s="1" t="str">
        <f t="shared" si="21"/>
        <v>Bank Bengkulu - IDR</v>
      </c>
      <c r="S45" s="1" t="str">
        <f t="shared" si="11"/>
        <v>1-ACTV</v>
      </c>
      <c r="T45" s="1" t="str">
        <f t="shared" si="12"/>
        <v>1-0000</v>
      </c>
      <c r="U45" s="1" t="str">
        <f t="shared" si="13"/>
        <v>1-1000</v>
      </c>
      <c r="V45" s="1" t="str">
        <f t="shared" si="14"/>
        <v>1-1896</v>
      </c>
      <c r="W45" s="1" t="str">
        <f t="shared" si="15"/>
        <v>1-1108</v>
      </c>
      <c r="X45" s="1" t="str">
        <f t="shared" si="16"/>
        <v/>
      </c>
      <c r="Y45" s="1" t="str">
        <f t="shared" si="17"/>
        <v/>
      </c>
      <c r="Z45" s="1" t="str">
        <f t="shared" si="18"/>
        <v/>
      </c>
      <c r="AA45" s="1" t="str">
        <f t="shared" si="19"/>
        <v/>
      </c>
      <c r="AB45" s="1" t="str">
        <f t="shared" si="20"/>
        <v/>
      </c>
      <c r="AD45" s="1" t="str">
        <f t="shared" si="0"/>
        <v/>
      </c>
      <c r="AE45" s="1" t="str">
        <f t="shared" si="1"/>
        <v/>
      </c>
      <c r="AF45" s="1" t="str">
        <f t="shared" si="2"/>
        <v xml:space="preserve">PERFORM * FROM "SchData-OLTP-Accounting"."Func_TblChartOfAccount_SET"(varSystemLoginSession, null, null, null, varInstitutionBranchID, null, '1-1896', 'Bank Bengkulu - IDR', 62000000000001::bigint, '2016-01-01 00:00:00'::timestamp, null::timestamp); </v>
      </c>
      <c r="AG45" s="1" t="str">
        <f t="shared" si="3"/>
        <v/>
      </c>
      <c r="AH45" s="1" t="str">
        <f t="shared" si="4"/>
        <v/>
      </c>
      <c r="AI45" s="1" t="str">
        <f t="shared" si="5"/>
        <v/>
      </c>
      <c r="AJ45" s="1" t="str">
        <f t="shared" si="6"/>
        <v/>
      </c>
      <c r="AK45" s="1" t="str">
        <f t="shared" si="7"/>
        <v/>
      </c>
      <c r="AL45" s="1" t="str">
        <f t="shared" si="8"/>
        <v/>
      </c>
      <c r="AM45" s="1" t="str">
        <f t="shared" si="9"/>
        <v/>
      </c>
      <c r="AO45" s="8" t="str">
        <f t="shared" si="10"/>
        <v xml:space="preserve">PERFORM * FROM "SchData-OLTP-Accounting"."Func_TblChartOfAccount_SET"(varSystemLoginSession, null, null, null, varInstitutionBranchID, null, '1-1896', 'Bank Bengkulu - IDR', 62000000000001::bigint, '2016-01-01 00:00:00'::timestamp, null::timestamp); </v>
      </c>
    </row>
    <row r="46" spans="2:41" x14ac:dyDescent="0.25">
      <c r="I46" s="2" t="s">
        <v>95</v>
      </c>
      <c r="Q46" s="1" t="s">
        <v>96</v>
      </c>
      <c r="S46" s="1" t="str">
        <f t="shared" si="11"/>
        <v>1-ACTV</v>
      </c>
      <c r="T46" s="1" t="str">
        <f t="shared" si="12"/>
        <v>1-0000</v>
      </c>
      <c r="U46" s="1" t="str">
        <f t="shared" si="13"/>
        <v>1-1000</v>
      </c>
      <c r="V46" s="1" t="str">
        <f t="shared" si="14"/>
        <v>1-1897</v>
      </c>
      <c r="W46" s="1" t="str">
        <f t="shared" si="15"/>
        <v>1-1108</v>
      </c>
      <c r="X46" s="1" t="str">
        <f t="shared" si="16"/>
        <v/>
      </c>
      <c r="Y46" s="1" t="str">
        <f t="shared" si="17"/>
        <v/>
      </c>
      <c r="Z46" s="1" t="str">
        <f t="shared" si="18"/>
        <v/>
      </c>
      <c r="AA46" s="1" t="str">
        <f t="shared" si="19"/>
        <v/>
      </c>
      <c r="AB46" s="1" t="str">
        <f t="shared" si="20"/>
        <v/>
      </c>
      <c r="AD46" s="1" t="str">
        <f t="shared" si="0"/>
        <v/>
      </c>
      <c r="AE46" s="1" t="str">
        <f t="shared" si="1"/>
        <v/>
      </c>
      <c r="AF46" s="1" t="str">
        <f t="shared" si="2"/>
        <v xml:space="preserve">PERFORM * FROM "SchData-OLTP-Accounting"."Func_TblChartOfAccount_SET"(varSystemLoginSession, null, null, null, varInstitutionBranchID, null, '1-1897', 'Bank Bukopin - IDR', 62000000000001::bigint, '2016-01-01 00:00:00'::timestamp, null::timestamp); </v>
      </c>
      <c r="AG46" s="1" t="str">
        <f t="shared" si="3"/>
        <v/>
      </c>
      <c r="AH46" s="1" t="str">
        <f t="shared" si="4"/>
        <v/>
      </c>
      <c r="AI46" s="1" t="str">
        <f t="shared" si="5"/>
        <v/>
      </c>
      <c r="AJ46" s="1" t="str">
        <f t="shared" si="6"/>
        <v/>
      </c>
      <c r="AK46" s="1" t="str">
        <f t="shared" si="7"/>
        <v/>
      </c>
      <c r="AL46" s="1" t="str">
        <f t="shared" si="8"/>
        <v/>
      </c>
      <c r="AM46" s="1" t="str">
        <f t="shared" si="9"/>
        <v/>
      </c>
      <c r="AO46" s="8" t="str">
        <f t="shared" si="10"/>
        <v xml:space="preserve">PERFORM * FROM "SchData-OLTP-Accounting"."Func_TblChartOfAccount_SET"(varSystemLoginSession, null, null, null, varInstitutionBranchID, null, '1-1897', 'Bank Bukopin - IDR', 62000000000001::bigint, '2016-01-01 00:00:00'::timestamp, null::timestamp); </v>
      </c>
    </row>
    <row r="47" spans="2:41" x14ac:dyDescent="0.25">
      <c r="I47" s="2" t="s">
        <v>97</v>
      </c>
      <c r="Q47" s="1" t="s">
        <v>98</v>
      </c>
      <c r="S47" s="1" t="str">
        <f t="shared" si="11"/>
        <v>1-ACTV</v>
      </c>
      <c r="T47" s="1" t="str">
        <f t="shared" si="12"/>
        <v>1-0000</v>
      </c>
      <c r="U47" s="1" t="str">
        <f t="shared" si="13"/>
        <v>1-1000</v>
      </c>
      <c r="V47" s="1" t="str">
        <f t="shared" si="14"/>
        <v>1-1898</v>
      </c>
      <c r="W47" s="1" t="str">
        <f t="shared" si="15"/>
        <v>1-1108</v>
      </c>
      <c r="X47" s="1" t="str">
        <f t="shared" si="16"/>
        <v/>
      </c>
      <c r="Y47" s="1" t="str">
        <f t="shared" si="17"/>
        <v/>
      </c>
      <c r="Z47" s="1" t="str">
        <f t="shared" si="18"/>
        <v/>
      </c>
      <c r="AA47" s="1" t="str">
        <f t="shared" si="19"/>
        <v/>
      </c>
      <c r="AB47" s="1" t="str">
        <f t="shared" si="20"/>
        <v/>
      </c>
      <c r="AD47" s="1" t="str">
        <f t="shared" si="0"/>
        <v/>
      </c>
      <c r="AE47" s="1" t="str">
        <f t="shared" si="1"/>
        <v/>
      </c>
      <c r="AF47" s="1" t="str">
        <f t="shared" si="2"/>
        <v xml:space="preserve">PERFORM * FROM "SchData-OLTP-Accounting"."Func_TblChartOfAccount_SET"(varSystemLoginSession, null, null, null, varInstitutionBranchID, null, '1-1898', 'BRI Cabang Putri Hijau Medan - IDR', 62000000000001::bigint, '2016-01-01 00:00:00'::timestamp, null::timestamp); </v>
      </c>
      <c r="AG47" s="1" t="str">
        <f t="shared" si="3"/>
        <v/>
      </c>
      <c r="AH47" s="1" t="str">
        <f t="shared" si="4"/>
        <v/>
      </c>
      <c r="AI47" s="1" t="str">
        <f t="shared" si="5"/>
        <v/>
      </c>
      <c r="AJ47" s="1" t="str">
        <f t="shared" si="6"/>
        <v/>
      </c>
      <c r="AK47" s="1" t="str">
        <f t="shared" si="7"/>
        <v/>
      </c>
      <c r="AL47" s="1" t="str">
        <f t="shared" si="8"/>
        <v/>
      </c>
      <c r="AM47" s="1" t="str">
        <f t="shared" si="9"/>
        <v/>
      </c>
      <c r="AO47" s="8" t="str">
        <f t="shared" si="10"/>
        <v xml:space="preserve">PERFORM * FROM "SchData-OLTP-Accounting"."Func_TblChartOfAccount_SET"(varSystemLoginSession, null, null, null, varInstitutionBranchID, null, '1-1898', 'BRI Cabang Putri Hijau Medan - IDR', 62000000000001::bigint, '2016-01-01 00:00:00'::timestamp, null::timestamp); </v>
      </c>
    </row>
    <row r="48" spans="2:41" x14ac:dyDescent="0.25">
      <c r="B48" s="1">
        <v>3</v>
      </c>
      <c r="C48" s="2" t="s">
        <v>99</v>
      </c>
      <c r="D48" s="1" t="s">
        <v>100</v>
      </c>
      <c r="I48" s="2" t="s">
        <v>99</v>
      </c>
      <c r="Q48" s="1" t="str">
        <f t="shared" si="21"/>
        <v>Money in Transfer</v>
      </c>
      <c r="S48" s="1" t="str">
        <f t="shared" si="11"/>
        <v>1-ACTV</v>
      </c>
      <c r="T48" s="1" t="str">
        <f t="shared" si="12"/>
        <v>1-0000</v>
      </c>
      <c r="U48" s="1" t="str">
        <f t="shared" si="13"/>
        <v>1-1000</v>
      </c>
      <c r="V48" s="1" t="str">
        <f t="shared" si="14"/>
        <v>1-1900</v>
      </c>
      <c r="W48" s="1" t="str">
        <f t="shared" si="15"/>
        <v>1-1108</v>
      </c>
      <c r="X48" s="1" t="str">
        <f t="shared" si="16"/>
        <v/>
      </c>
      <c r="Y48" s="1" t="str">
        <f t="shared" si="17"/>
        <v/>
      </c>
      <c r="Z48" s="1" t="str">
        <f t="shared" si="18"/>
        <v/>
      </c>
      <c r="AA48" s="1" t="str">
        <f t="shared" si="19"/>
        <v/>
      </c>
      <c r="AB48" s="1" t="str">
        <f t="shared" si="20"/>
        <v/>
      </c>
      <c r="AD48" s="1" t="str">
        <f t="shared" si="0"/>
        <v/>
      </c>
      <c r="AE48" s="1" t="str">
        <f t="shared" si="1"/>
        <v/>
      </c>
      <c r="AF48" s="1" t="str">
        <f t="shared" si="2"/>
        <v xml:space="preserve">PERFORM * FROM "SchData-OLTP-Accounting"."Func_TblChartOfAccount_SET"(varSystemLoginSession, null, null, null, varInstitutionBranchID, null, '1-1900', 'Money in Transfer', 62000000000001::bigint, '2016-01-01 00:00:00'::timestamp, null::timestamp); </v>
      </c>
      <c r="AG48" s="1" t="str">
        <f t="shared" si="3"/>
        <v/>
      </c>
      <c r="AH48" s="1" t="str">
        <f t="shared" si="4"/>
        <v/>
      </c>
      <c r="AI48" s="1" t="str">
        <f t="shared" si="5"/>
        <v/>
      </c>
      <c r="AJ48" s="1" t="str">
        <f t="shared" si="6"/>
        <v/>
      </c>
      <c r="AK48" s="1" t="str">
        <f t="shared" si="7"/>
        <v/>
      </c>
      <c r="AL48" s="1" t="str">
        <f t="shared" si="8"/>
        <v/>
      </c>
      <c r="AM48" s="1" t="str">
        <f t="shared" si="9"/>
        <v/>
      </c>
      <c r="AO48" s="8" t="str">
        <f t="shared" si="10"/>
        <v xml:space="preserve">PERFORM * FROM "SchData-OLTP-Accounting"."Func_TblChartOfAccount_SET"(varSystemLoginSession, null, null, null, varInstitutionBranchID, null, '1-1900', 'Money in Transfer', 62000000000001::bigint, '2016-01-01 00:00:00'::timestamp, null::timestamp); </v>
      </c>
    </row>
    <row r="49" spans="2:41" x14ac:dyDescent="0.25">
      <c r="B49" s="1">
        <v>2</v>
      </c>
      <c r="C49" s="2" t="s">
        <v>101</v>
      </c>
      <c r="D49" s="1" t="s">
        <v>102</v>
      </c>
      <c r="H49" s="2" t="s">
        <v>101</v>
      </c>
      <c r="Q49" s="1" t="str">
        <f t="shared" si="21"/>
        <v>Account Receivable</v>
      </c>
      <c r="S49" s="1" t="str">
        <f t="shared" si="11"/>
        <v>1-ACTV</v>
      </c>
      <c r="T49" s="1" t="str">
        <f t="shared" si="12"/>
        <v>1-0000</v>
      </c>
      <c r="U49" s="1" t="str">
        <f t="shared" si="13"/>
        <v>1-2000</v>
      </c>
      <c r="V49" s="1" t="str">
        <f t="shared" si="14"/>
        <v>1-1900</v>
      </c>
      <c r="W49" s="1" t="str">
        <f t="shared" si="15"/>
        <v>1-1108</v>
      </c>
      <c r="X49" s="1" t="str">
        <f t="shared" si="16"/>
        <v/>
      </c>
      <c r="Y49" s="1" t="str">
        <f t="shared" si="17"/>
        <v/>
      </c>
      <c r="Z49" s="1" t="str">
        <f t="shared" si="18"/>
        <v/>
      </c>
      <c r="AA49" s="1" t="str">
        <f t="shared" si="19"/>
        <v/>
      </c>
      <c r="AB49" s="1" t="str">
        <f t="shared" si="20"/>
        <v/>
      </c>
      <c r="AD49" s="1" t="str">
        <f t="shared" si="0"/>
        <v/>
      </c>
      <c r="AE49" s="1" t="str">
        <f t="shared" si="1"/>
        <v xml:space="preserve">PERFORM * FROM "SchData-OLTP-Accounting"."Func_TblChartOfAccount_SET"(varSystemLoginSession, null, null, null, varInstitutionBranchID, null, '1-2000', 'Account Receivable', 62000000000001::bigint, '2016-01-01 00:00:00'::timestamp, null::timestamp); </v>
      </c>
      <c r="AF49" s="1" t="str">
        <f t="shared" si="2"/>
        <v/>
      </c>
      <c r="AG49" s="1" t="str">
        <f t="shared" si="3"/>
        <v/>
      </c>
      <c r="AH49" s="1" t="str">
        <f t="shared" si="4"/>
        <v/>
      </c>
      <c r="AI49" s="1" t="str">
        <f t="shared" si="5"/>
        <v/>
      </c>
      <c r="AJ49" s="1" t="str">
        <f t="shared" si="6"/>
        <v/>
      </c>
      <c r="AK49" s="1" t="str">
        <f t="shared" si="7"/>
        <v/>
      </c>
      <c r="AL49" s="1" t="str">
        <f t="shared" si="8"/>
        <v/>
      </c>
      <c r="AM49" s="1" t="str">
        <f t="shared" si="9"/>
        <v/>
      </c>
      <c r="AO49" s="8" t="str">
        <f t="shared" si="10"/>
        <v xml:space="preserve">PERFORM * FROM "SchData-OLTP-Accounting"."Func_TblChartOfAccount_SET"(varSystemLoginSession, null, null, null, varInstitutionBranchID, null, '1-2000', 'Account Receivable', 62000000000001::bigint, '2016-01-01 00:00:00'::timestamp, null::timestamp); </v>
      </c>
    </row>
    <row r="50" spans="2:41" x14ac:dyDescent="0.25">
      <c r="B50" s="1">
        <v>3</v>
      </c>
      <c r="C50" s="2" t="s">
        <v>103</v>
      </c>
      <c r="D50" s="1" t="s">
        <v>104</v>
      </c>
      <c r="I50" s="2" t="s">
        <v>103</v>
      </c>
      <c r="Q50" s="1" t="str">
        <f t="shared" si="21"/>
        <v>Acct Receivable - IDR</v>
      </c>
      <c r="S50" s="1" t="str">
        <f t="shared" si="11"/>
        <v>1-ACTV</v>
      </c>
      <c r="T50" s="1" t="str">
        <f t="shared" si="12"/>
        <v>1-0000</v>
      </c>
      <c r="U50" s="1" t="str">
        <f t="shared" si="13"/>
        <v>1-2000</v>
      </c>
      <c r="V50" s="1" t="str">
        <f t="shared" si="14"/>
        <v>1-2010</v>
      </c>
      <c r="W50" s="1" t="str">
        <f t="shared" si="15"/>
        <v>1-1108</v>
      </c>
      <c r="X50" s="1" t="str">
        <f t="shared" si="16"/>
        <v/>
      </c>
      <c r="Y50" s="1" t="str">
        <f t="shared" si="17"/>
        <v/>
      </c>
      <c r="Z50" s="1" t="str">
        <f t="shared" si="18"/>
        <v/>
      </c>
      <c r="AA50" s="1" t="str">
        <f t="shared" si="19"/>
        <v/>
      </c>
      <c r="AB50" s="1" t="str">
        <f t="shared" si="20"/>
        <v/>
      </c>
      <c r="AD50" s="1" t="str">
        <f t="shared" si="0"/>
        <v/>
      </c>
      <c r="AE50" s="1" t="str">
        <f t="shared" si="1"/>
        <v/>
      </c>
      <c r="AF50" s="1" t="str">
        <f t="shared" si="2"/>
        <v xml:space="preserve">PERFORM * FROM "SchData-OLTP-Accounting"."Func_TblChartOfAccount_SET"(varSystemLoginSession, null, null, null, varInstitutionBranchID, null, '1-2010', 'Acct Receivable - IDR', 62000000000001::bigint, '2016-01-01 00:00:00'::timestamp, null::timestamp); </v>
      </c>
      <c r="AG50" s="1" t="str">
        <f t="shared" si="3"/>
        <v/>
      </c>
      <c r="AH50" s="1" t="str">
        <f t="shared" si="4"/>
        <v/>
      </c>
      <c r="AI50" s="1" t="str">
        <f t="shared" si="5"/>
        <v/>
      </c>
      <c r="AJ50" s="1" t="str">
        <f t="shared" si="6"/>
        <v/>
      </c>
      <c r="AK50" s="1" t="str">
        <f t="shared" si="7"/>
        <v/>
      </c>
      <c r="AL50" s="1" t="str">
        <f t="shared" si="8"/>
        <v/>
      </c>
      <c r="AM50" s="1" t="str">
        <f t="shared" si="9"/>
        <v/>
      </c>
      <c r="AO50" s="8" t="str">
        <f t="shared" si="10"/>
        <v xml:space="preserve">PERFORM * FROM "SchData-OLTP-Accounting"."Func_TblChartOfAccount_SET"(varSystemLoginSession, null, null, null, varInstitutionBranchID, null, '1-2010', 'Acct Receivable - IDR', 62000000000001::bigint, '2016-01-01 00:00:00'::timestamp, null::timestamp); </v>
      </c>
    </row>
    <row r="51" spans="2:41" x14ac:dyDescent="0.25">
      <c r="B51" s="1">
        <v>3</v>
      </c>
      <c r="C51" s="2" t="s">
        <v>105</v>
      </c>
      <c r="D51" s="1" t="s">
        <v>106</v>
      </c>
      <c r="I51" s="2" t="s">
        <v>107</v>
      </c>
      <c r="Q51" s="1" t="str">
        <f t="shared" si="21"/>
        <v>Acct Receivable - USD</v>
      </c>
      <c r="S51" s="1" t="str">
        <f t="shared" si="11"/>
        <v>1-ACTV</v>
      </c>
      <c r="T51" s="1" t="str">
        <f t="shared" si="12"/>
        <v>1-0000</v>
      </c>
      <c r="U51" s="1" t="str">
        <f t="shared" si="13"/>
        <v>1-2000</v>
      </c>
      <c r="V51" s="1" t="str">
        <f t="shared" si="14"/>
        <v>1-2021</v>
      </c>
      <c r="W51" s="1" t="str">
        <f t="shared" si="15"/>
        <v>1-1108</v>
      </c>
      <c r="X51" s="1" t="str">
        <f t="shared" si="16"/>
        <v/>
      </c>
      <c r="Y51" s="1" t="str">
        <f t="shared" si="17"/>
        <v/>
      </c>
      <c r="Z51" s="1" t="str">
        <f t="shared" si="18"/>
        <v/>
      </c>
      <c r="AA51" s="1" t="str">
        <f t="shared" si="19"/>
        <v/>
      </c>
      <c r="AB51" s="1" t="str">
        <f t="shared" si="20"/>
        <v/>
      </c>
      <c r="AD51" s="1" t="str">
        <f t="shared" si="0"/>
        <v/>
      </c>
      <c r="AE51" s="1" t="str">
        <f t="shared" si="1"/>
        <v/>
      </c>
      <c r="AF51" s="1" t="str">
        <f t="shared" si="2"/>
        <v xml:space="preserve">PERFORM * FROM "SchData-OLTP-Accounting"."Func_TblChartOfAccount_SET"(varSystemLoginSession, null, null, null, varInstitutionBranchID, null, '1-2021', 'Acct Receivable - USD', 62000000000001::bigint, '2016-01-01 00:00:00'::timestamp, null::timestamp); </v>
      </c>
      <c r="AG51" s="1" t="str">
        <f t="shared" si="3"/>
        <v/>
      </c>
      <c r="AH51" s="1" t="str">
        <f t="shared" si="4"/>
        <v/>
      </c>
      <c r="AI51" s="1" t="str">
        <f t="shared" si="5"/>
        <v/>
      </c>
      <c r="AJ51" s="1" t="str">
        <f t="shared" si="6"/>
        <v/>
      </c>
      <c r="AK51" s="1" t="str">
        <f t="shared" si="7"/>
        <v/>
      </c>
      <c r="AL51" s="1" t="str">
        <f t="shared" si="8"/>
        <v/>
      </c>
      <c r="AM51" s="1" t="str">
        <f t="shared" si="9"/>
        <v/>
      </c>
      <c r="AO51" s="8" t="str">
        <f t="shared" si="10"/>
        <v xml:space="preserve">PERFORM * FROM "SchData-OLTP-Accounting"."Func_TblChartOfAccount_SET"(varSystemLoginSession, null, null, null, varInstitutionBranchID, null, '1-2021', 'Acct Receivable - USD', 62000000000001::bigint, '2016-01-01 00:00:00'::timestamp, null::timestamp); </v>
      </c>
    </row>
    <row r="52" spans="2:41" x14ac:dyDescent="0.25">
      <c r="B52" s="1">
        <v>3</v>
      </c>
      <c r="C52" s="2" t="s">
        <v>108</v>
      </c>
      <c r="D52" s="1" t="s">
        <v>109</v>
      </c>
      <c r="I52" s="2" t="s">
        <v>110</v>
      </c>
      <c r="Q52" s="1" t="str">
        <f t="shared" si="21"/>
        <v>Acct Receivable - AUD</v>
      </c>
      <c r="S52" s="1" t="str">
        <f t="shared" si="11"/>
        <v>1-ACTV</v>
      </c>
      <c r="T52" s="1" t="str">
        <f t="shared" si="12"/>
        <v>1-0000</v>
      </c>
      <c r="U52" s="1" t="str">
        <f t="shared" si="13"/>
        <v>1-2000</v>
      </c>
      <c r="V52" s="1" t="str">
        <f t="shared" si="14"/>
        <v>1-2031</v>
      </c>
      <c r="W52" s="1" t="str">
        <f t="shared" si="15"/>
        <v>1-1108</v>
      </c>
      <c r="X52" s="1" t="str">
        <f t="shared" si="16"/>
        <v/>
      </c>
      <c r="Y52" s="1" t="str">
        <f t="shared" si="17"/>
        <v/>
      </c>
      <c r="Z52" s="1" t="str">
        <f t="shared" si="18"/>
        <v/>
      </c>
      <c r="AA52" s="1" t="str">
        <f t="shared" si="19"/>
        <v/>
      </c>
      <c r="AB52" s="1" t="str">
        <f t="shared" si="20"/>
        <v/>
      </c>
      <c r="AD52" s="1" t="str">
        <f t="shared" si="0"/>
        <v/>
      </c>
      <c r="AE52" s="1" t="str">
        <f t="shared" si="1"/>
        <v/>
      </c>
      <c r="AF52" s="1" t="str">
        <f t="shared" si="2"/>
        <v xml:space="preserve">PERFORM * FROM "SchData-OLTP-Accounting"."Func_TblChartOfAccount_SET"(varSystemLoginSession, null, null, null, varInstitutionBranchID, null, '1-2031', 'Acct Receivable - AUD', 62000000000001::bigint, '2016-01-01 00:00:00'::timestamp, null::timestamp); </v>
      </c>
      <c r="AG52" s="1" t="str">
        <f t="shared" si="3"/>
        <v/>
      </c>
      <c r="AH52" s="1" t="str">
        <f t="shared" si="4"/>
        <v/>
      </c>
      <c r="AI52" s="1" t="str">
        <f t="shared" si="5"/>
        <v/>
      </c>
      <c r="AJ52" s="1" t="str">
        <f t="shared" si="6"/>
        <v/>
      </c>
      <c r="AK52" s="1" t="str">
        <f t="shared" si="7"/>
        <v/>
      </c>
      <c r="AL52" s="1" t="str">
        <f t="shared" si="8"/>
        <v/>
      </c>
      <c r="AM52" s="1" t="str">
        <f t="shared" si="9"/>
        <v/>
      </c>
      <c r="AO52" s="8" t="str">
        <f t="shared" si="10"/>
        <v xml:space="preserve">PERFORM * FROM "SchData-OLTP-Accounting"."Func_TblChartOfAccount_SET"(varSystemLoginSession, null, null, null, varInstitutionBranchID, null, '1-2031', 'Acct Receivable - AUD', 62000000000001::bigint, '2016-01-01 00:00:00'::timestamp, null::timestamp); </v>
      </c>
    </row>
    <row r="53" spans="2:41" x14ac:dyDescent="0.25">
      <c r="B53" s="1">
        <v>4</v>
      </c>
      <c r="C53" s="2" t="s">
        <v>111</v>
      </c>
      <c r="D53" s="1" t="s">
        <v>112</v>
      </c>
      <c r="I53" s="2" t="s">
        <v>111</v>
      </c>
      <c r="Q53" s="1" t="str">
        <f t="shared" si="21"/>
        <v>Acct Receivable - Non Trade</v>
      </c>
      <c r="S53" s="1" t="str">
        <f t="shared" si="11"/>
        <v>1-ACTV</v>
      </c>
      <c r="T53" s="1" t="str">
        <f t="shared" si="12"/>
        <v>1-0000</v>
      </c>
      <c r="U53" s="1" t="str">
        <f t="shared" si="13"/>
        <v>1-2000</v>
      </c>
      <c r="V53" s="1" t="str">
        <f t="shared" si="14"/>
        <v>1-2100</v>
      </c>
      <c r="W53" s="1" t="str">
        <f t="shared" si="15"/>
        <v>1-1108</v>
      </c>
      <c r="X53" s="1" t="str">
        <f t="shared" si="16"/>
        <v/>
      </c>
      <c r="Y53" s="1" t="str">
        <f t="shared" si="17"/>
        <v/>
      </c>
      <c r="Z53" s="1" t="str">
        <f t="shared" si="18"/>
        <v/>
      </c>
      <c r="AA53" s="1" t="str">
        <f t="shared" si="19"/>
        <v/>
      </c>
      <c r="AB53" s="1" t="str">
        <f t="shared" si="20"/>
        <v/>
      </c>
      <c r="AD53" s="1" t="str">
        <f t="shared" si="0"/>
        <v/>
      </c>
      <c r="AE53" s="1" t="str">
        <f t="shared" si="1"/>
        <v/>
      </c>
      <c r="AF53" s="1" t="str">
        <f t="shared" si="2"/>
        <v xml:space="preserve">PERFORM * FROM "SchData-OLTP-Accounting"."Func_TblChartOfAccount_SET"(varSystemLoginSession, null, null, null, varInstitutionBranchID, null, '1-2100', 'Acct Receivable - Non Trade', 62000000000001::bigint, '2016-01-01 00:00:00'::timestamp, null::timestamp); </v>
      </c>
      <c r="AG53" s="1" t="str">
        <f t="shared" si="3"/>
        <v/>
      </c>
      <c r="AH53" s="1" t="str">
        <f t="shared" si="4"/>
        <v/>
      </c>
      <c r="AI53" s="1" t="str">
        <f t="shared" si="5"/>
        <v/>
      </c>
      <c r="AJ53" s="1" t="str">
        <f t="shared" si="6"/>
        <v/>
      </c>
      <c r="AK53" s="1" t="str">
        <f t="shared" si="7"/>
        <v/>
      </c>
      <c r="AL53" s="1" t="str">
        <f t="shared" si="8"/>
        <v/>
      </c>
      <c r="AM53" s="1" t="str">
        <f t="shared" si="9"/>
        <v/>
      </c>
      <c r="AO53" s="8" t="str">
        <f t="shared" si="10"/>
        <v xml:space="preserve">PERFORM * FROM "SchData-OLTP-Accounting"."Func_TblChartOfAccount_SET"(varSystemLoginSession, null, null, null, varInstitutionBranchID, null, '1-2100', 'Acct Receivable - Non Trade', 62000000000001::bigint, '2016-01-01 00:00:00'::timestamp, null::timestamp); </v>
      </c>
    </row>
    <row r="54" spans="2:41" x14ac:dyDescent="0.25">
      <c r="B54" s="1">
        <v>3</v>
      </c>
      <c r="C54" s="2" t="s">
        <v>113</v>
      </c>
      <c r="D54" s="1" t="s">
        <v>114</v>
      </c>
      <c r="I54" s="2" t="s">
        <v>113</v>
      </c>
      <c r="Q54" s="1" t="str">
        <f t="shared" si="21"/>
        <v>Inter Company Receivable</v>
      </c>
      <c r="S54" s="1" t="str">
        <f t="shared" si="11"/>
        <v>1-ACTV</v>
      </c>
      <c r="T54" s="1" t="str">
        <f t="shared" si="12"/>
        <v>1-0000</v>
      </c>
      <c r="U54" s="1" t="str">
        <f t="shared" si="13"/>
        <v>1-2000</v>
      </c>
      <c r="V54" s="1" t="str">
        <f t="shared" si="14"/>
        <v>1-2200</v>
      </c>
      <c r="W54" s="1" t="str">
        <f t="shared" si="15"/>
        <v>1-1108</v>
      </c>
      <c r="X54" s="1" t="str">
        <f t="shared" si="16"/>
        <v/>
      </c>
      <c r="Y54" s="1" t="str">
        <f t="shared" si="17"/>
        <v/>
      </c>
      <c r="Z54" s="1" t="str">
        <f t="shared" si="18"/>
        <v/>
      </c>
      <c r="AA54" s="1" t="str">
        <f t="shared" si="19"/>
        <v/>
      </c>
      <c r="AB54" s="1" t="str">
        <f t="shared" si="20"/>
        <v/>
      </c>
      <c r="AD54" s="1" t="str">
        <f t="shared" si="0"/>
        <v/>
      </c>
      <c r="AE54" s="1" t="str">
        <f t="shared" si="1"/>
        <v/>
      </c>
      <c r="AF54" s="1" t="str">
        <f t="shared" si="2"/>
        <v xml:space="preserve">PERFORM * FROM "SchData-OLTP-Accounting"."Func_TblChartOfAccount_SET"(varSystemLoginSession, null, null, null, varInstitutionBranchID, null, '1-2200', 'Inter Company Receivable', 62000000000001::bigint, '2016-01-01 00:00:00'::timestamp, null::timestamp); </v>
      </c>
      <c r="AG54" s="1" t="str">
        <f t="shared" si="3"/>
        <v/>
      </c>
      <c r="AH54" s="1" t="str">
        <f t="shared" si="4"/>
        <v/>
      </c>
      <c r="AI54" s="1" t="str">
        <f t="shared" si="5"/>
        <v/>
      </c>
      <c r="AJ54" s="1" t="str">
        <f t="shared" si="6"/>
        <v/>
      </c>
      <c r="AK54" s="1" t="str">
        <f t="shared" si="7"/>
        <v/>
      </c>
      <c r="AL54" s="1" t="str">
        <f t="shared" si="8"/>
        <v/>
      </c>
      <c r="AM54" s="1" t="str">
        <f t="shared" si="9"/>
        <v/>
      </c>
      <c r="AO54" s="8" t="str">
        <f t="shared" si="10"/>
        <v xml:space="preserve">PERFORM * FROM "SchData-OLTP-Accounting"."Func_TblChartOfAccount_SET"(varSystemLoginSession, null, null, null, varInstitutionBranchID, null, '1-2200', 'Inter Company Receivable', 62000000000001::bigint, '2016-01-01 00:00:00'::timestamp, null::timestamp); </v>
      </c>
    </row>
    <row r="55" spans="2:41" x14ac:dyDescent="0.25">
      <c r="B55" s="1">
        <v>4</v>
      </c>
      <c r="C55" s="2" t="s">
        <v>115</v>
      </c>
      <c r="D55" s="1" t="s">
        <v>116</v>
      </c>
      <c r="J55" s="2" t="s">
        <v>115</v>
      </c>
      <c r="Q55" s="1" t="str">
        <f t="shared" si="21"/>
        <v>I/C Receivable to DHD</v>
      </c>
      <c r="S55" s="1" t="str">
        <f t="shared" si="11"/>
        <v>1-ACTV</v>
      </c>
      <c r="T55" s="1" t="str">
        <f t="shared" si="12"/>
        <v>1-0000</v>
      </c>
      <c r="U55" s="1" t="str">
        <f t="shared" si="13"/>
        <v>1-2000</v>
      </c>
      <c r="V55" s="1" t="str">
        <f t="shared" si="14"/>
        <v>1-2200</v>
      </c>
      <c r="W55" s="1" t="str">
        <f t="shared" si="15"/>
        <v>1-2210</v>
      </c>
      <c r="X55" s="1" t="str">
        <f t="shared" si="16"/>
        <v/>
      </c>
      <c r="Y55" s="1" t="str">
        <f t="shared" si="17"/>
        <v/>
      </c>
      <c r="Z55" s="1" t="str">
        <f t="shared" si="18"/>
        <v/>
      </c>
      <c r="AA55" s="1" t="str">
        <f t="shared" si="19"/>
        <v/>
      </c>
      <c r="AB55" s="1" t="str">
        <f t="shared" si="20"/>
        <v/>
      </c>
      <c r="AD55" s="1" t="str">
        <f t="shared" si="0"/>
        <v/>
      </c>
      <c r="AE55" s="1" t="str">
        <f t="shared" si="1"/>
        <v/>
      </c>
      <c r="AF55" s="1" t="str">
        <f t="shared" si="2"/>
        <v/>
      </c>
      <c r="AG55" s="1" t="str">
        <f t="shared" si="3"/>
        <v xml:space="preserve">PERFORM * FROM "SchData-OLTP-Accounting"."Func_TblChartOfAccount_SET"(varSystemLoginSession, null, null, null, varInstitutionBranchID, null, '1-2210', 'I/C Receivable to DHD', 62000000000001::bigint, '2016-01-01 00:00:00'::timestamp, null::timestamp); </v>
      </c>
      <c r="AH55" s="1" t="str">
        <f t="shared" si="4"/>
        <v/>
      </c>
      <c r="AI55" s="1" t="str">
        <f t="shared" si="5"/>
        <v/>
      </c>
      <c r="AJ55" s="1" t="str">
        <f t="shared" si="6"/>
        <v/>
      </c>
      <c r="AK55" s="1" t="str">
        <f t="shared" si="7"/>
        <v/>
      </c>
      <c r="AL55" s="1" t="str">
        <f t="shared" si="8"/>
        <v/>
      </c>
      <c r="AM55" s="1" t="str">
        <f t="shared" si="9"/>
        <v/>
      </c>
      <c r="AO55" s="8" t="str">
        <f t="shared" si="10"/>
        <v xml:space="preserve">PERFORM * FROM "SchData-OLTP-Accounting"."Func_TblChartOfAccount_SET"(varSystemLoginSession, null, null, null, varInstitutionBranchID, null, '1-2210', 'I/C Receivable to DHD', 62000000000001::bigint, '2016-01-01 00:00:00'::timestamp, null::timestamp); </v>
      </c>
    </row>
    <row r="56" spans="2:41" x14ac:dyDescent="0.25">
      <c r="B56" s="1">
        <v>4</v>
      </c>
      <c r="C56" s="2" t="s">
        <v>117</v>
      </c>
      <c r="D56" s="1" t="s">
        <v>118</v>
      </c>
      <c r="J56" s="2" t="s">
        <v>117</v>
      </c>
      <c r="Q56" s="1" t="str">
        <f t="shared" si="21"/>
        <v>I/C Receivable to EML</v>
      </c>
      <c r="S56" s="1" t="str">
        <f t="shared" si="11"/>
        <v>1-ACTV</v>
      </c>
      <c r="T56" s="1" t="str">
        <f t="shared" si="12"/>
        <v>1-0000</v>
      </c>
      <c r="U56" s="1" t="str">
        <f t="shared" si="13"/>
        <v>1-2000</v>
      </c>
      <c r="V56" s="1" t="str">
        <f t="shared" si="14"/>
        <v>1-2200</v>
      </c>
      <c r="W56" s="1" t="str">
        <f t="shared" si="15"/>
        <v>1-2220</v>
      </c>
      <c r="X56" s="1" t="str">
        <f t="shared" si="16"/>
        <v/>
      </c>
      <c r="Y56" s="1" t="str">
        <f t="shared" si="17"/>
        <v/>
      </c>
      <c r="Z56" s="1" t="str">
        <f t="shared" si="18"/>
        <v/>
      </c>
      <c r="AA56" s="1" t="str">
        <f t="shared" si="19"/>
        <v/>
      </c>
      <c r="AB56" s="1" t="str">
        <f t="shared" si="20"/>
        <v/>
      </c>
      <c r="AD56" s="1" t="str">
        <f t="shared" si="0"/>
        <v/>
      </c>
      <c r="AE56" s="1" t="str">
        <f t="shared" si="1"/>
        <v/>
      </c>
      <c r="AF56" s="1" t="str">
        <f t="shared" si="2"/>
        <v/>
      </c>
      <c r="AG56" s="1" t="str">
        <f t="shared" si="3"/>
        <v xml:space="preserve">PERFORM * FROM "SchData-OLTP-Accounting"."Func_TblChartOfAccount_SET"(varSystemLoginSession, null, null, null, varInstitutionBranchID, null, '1-2220', 'I/C Receivable to EML', 62000000000001::bigint, '2016-01-01 00:00:00'::timestamp, null::timestamp); </v>
      </c>
      <c r="AH56" s="1" t="str">
        <f t="shared" si="4"/>
        <v/>
      </c>
      <c r="AI56" s="1" t="str">
        <f t="shared" si="5"/>
        <v/>
      </c>
      <c r="AJ56" s="1" t="str">
        <f t="shared" si="6"/>
        <v/>
      </c>
      <c r="AK56" s="1" t="str">
        <f t="shared" si="7"/>
        <v/>
      </c>
      <c r="AL56" s="1" t="str">
        <f t="shared" si="8"/>
        <v/>
      </c>
      <c r="AM56" s="1" t="str">
        <f t="shared" si="9"/>
        <v/>
      </c>
      <c r="AO56" s="8" t="str">
        <f t="shared" si="10"/>
        <v xml:space="preserve">PERFORM * FROM "SchData-OLTP-Accounting"."Func_TblChartOfAccount_SET"(varSystemLoginSession, null, null, null, varInstitutionBranchID, null, '1-2220', 'I/C Receivable to EML', 62000000000001::bigint, '2016-01-01 00:00:00'::timestamp, null::timestamp); </v>
      </c>
    </row>
    <row r="57" spans="2:41" x14ac:dyDescent="0.25">
      <c r="B57" s="1">
        <v>4</v>
      </c>
      <c r="C57" s="2" t="s">
        <v>119</v>
      </c>
      <c r="D57" s="1" t="s">
        <v>120</v>
      </c>
      <c r="J57" s="2" t="s">
        <v>119</v>
      </c>
      <c r="Q57" s="1" t="str">
        <f t="shared" si="21"/>
        <v>I/C Receivable to HED</v>
      </c>
      <c r="S57" s="1" t="str">
        <f t="shared" si="11"/>
        <v>1-ACTV</v>
      </c>
      <c r="T57" s="1" t="str">
        <f t="shared" si="12"/>
        <v>1-0000</v>
      </c>
      <c r="U57" s="1" t="str">
        <f t="shared" si="13"/>
        <v>1-2000</v>
      </c>
      <c r="V57" s="1" t="str">
        <f t="shared" si="14"/>
        <v>1-2200</v>
      </c>
      <c r="W57" s="1" t="str">
        <f t="shared" si="15"/>
        <v>1-2230</v>
      </c>
      <c r="X57" s="1" t="str">
        <f t="shared" si="16"/>
        <v/>
      </c>
      <c r="Y57" s="1" t="str">
        <f t="shared" si="17"/>
        <v/>
      </c>
      <c r="Z57" s="1" t="str">
        <f t="shared" si="18"/>
        <v/>
      </c>
      <c r="AA57" s="1" t="str">
        <f t="shared" si="19"/>
        <v/>
      </c>
      <c r="AB57" s="1" t="str">
        <f t="shared" si="20"/>
        <v/>
      </c>
      <c r="AD57" s="1" t="str">
        <f t="shared" si="0"/>
        <v/>
      </c>
      <c r="AE57" s="1" t="str">
        <f t="shared" si="1"/>
        <v/>
      </c>
      <c r="AF57" s="1" t="str">
        <f t="shared" si="2"/>
        <v/>
      </c>
      <c r="AG57" s="1" t="str">
        <f t="shared" si="3"/>
        <v xml:space="preserve">PERFORM * FROM "SchData-OLTP-Accounting"."Func_TblChartOfAccount_SET"(varSystemLoginSession, null, null, null, varInstitutionBranchID, null, '1-2230', 'I/C Receivable to HED', 62000000000001::bigint, '2016-01-01 00:00:00'::timestamp, null::timestamp); </v>
      </c>
      <c r="AH57" s="1" t="str">
        <f t="shared" si="4"/>
        <v/>
      </c>
      <c r="AI57" s="1" t="str">
        <f t="shared" si="5"/>
        <v/>
      </c>
      <c r="AJ57" s="1" t="str">
        <f t="shared" si="6"/>
        <v/>
      </c>
      <c r="AK57" s="1" t="str">
        <f t="shared" si="7"/>
        <v/>
      </c>
      <c r="AL57" s="1" t="str">
        <f t="shared" si="8"/>
        <v/>
      </c>
      <c r="AM57" s="1" t="str">
        <f t="shared" si="9"/>
        <v/>
      </c>
      <c r="AO57" s="8" t="str">
        <f t="shared" si="10"/>
        <v xml:space="preserve">PERFORM * FROM "SchData-OLTP-Accounting"."Func_TblChartOfAccount_SET"(varSystemLoginSession, null, null, null, varInstitutionBranchID, null, '1-2230', 'I/C Receivable to HED', 62000000000001::bigint, '2016-01-01 00:00:00'::timestamp, null::timestamp); </v>
      </c>
    </row>
    <row r="58" spans="2:41" x14ac:dyDescent="0.25">
      <c r="B58" s="1">
        <v>2</v>
      </c>
      <c r="C58" s="2" t="s">
        <v>121</v>
      </c>
      <c r="D58" s="1" t="s">
        <v>122</v>
      </c>
      <c r="J58" s="2" t="s">
        <v>121</v>
      </c>
      <c r="Q58" s="1" t="str">
        <f t="shared" si="21"/>
        <v>I/C Receivable to KHA</v>
      </c>
      <c r="S58" s="1" t="str">
        <f t="shared" si="11"/>
        <v>1-ACTV</v>
      </c>
      <c r="T58" s="1" t="str">
        <f t="shared" si="12"/>
        <v>1-0000</v>
      </c>
      <c r="U58" s="1" t="str">
        <f t="shared" si="13"/>
        <v>1-2000</v>
      </c>
      <c r="V58" s="1" t="str">
        <f t="shared" si="14"/>
        <v>1-2200</v>
      </c>
      <c r="W58" s="1" t="str">
        <f t="shared" si="15"/>
        <v>1-2240</v>
      </c>
      <c r="X58" s="1" t="str">
        <f t="shared" si="16"/>
        <v/>
      </c>
      <c r="Y58" s="1" t="str">
        <f t="shared" si="17"/>
        <v/>
      </c>
      <c r="Z58" s="1" t="str">
        <f t="shared" si="18"/>
        <v/>
      </c>
      <c r="AA58" s="1" t="str">
        <f t="shared" si="19"/>
        <v/>
      </c>
      <c r="AB58" s="1" t="str">
        <f t="shared" si="20"/>
        <v/>
      </c>
      <c r="AD58" s="1" t="str">
        <f t="shared" si="0"/>
        <v/>
      </c>
      <c r="AE58" s="1" t="str">
        <f t="shared" si="1"/>
        <v/>
      </c>
      <c r="AF58" s="1" t="str">
        <f t="shared" si="2"/>
        <v/>
      </c>
      <c r="AG58" s="1" t="str">
        <f t="shared" si="3"/>
        <v xml:space="preserve">PERFORM * FROM "SchData-OLTP-Accounting"."Func_TblChartOfAccount_SET"(varSystemLoginSession, null, null, null, varInstitutionBranchID, null, '1-2240', 'I/C Receivable to KHA', 62000000000001::bigint, '2016-01-01 00:00:00'::timestamp, null::timestamp); </v>
      </c>
      <c r="AH58" s="1" t="str">
        <f t="shared" si="4"/>
        <v/>
      </c>
      <c r="AI58" s="1" t="str">
        <f t="shared" si="5"/>
        <v/>
      </c>
      <c r="AJ58" s="1" t="str">
        <f t="shared" si="6"/>
        <v/>
      </c>
      <c r="AK58" s="1" t="str">
        <f t="shared" si="7"/>
        <v/>
      </c>
      <c r="AL58" s="1" t="str">
        <f t="shared" si="8"/>
        <v/>
      </c>
      <c r="AM58" s="1" t="str">
        <f t="shared" si="9"/>
        <v/>
      </c>
      <c r="AO58" s="8" t="str">
        <f t="shared" si="10"/>
        <v xml:space="preserve">PERFORM * FROM "SchData-OLTP-Accounting"."Func_TblChartOfAccount_SET"(varSystemLoginSession, null, null, null, varInstitutionBranchID, null, '1-2240', 'I/C Receivable to KHA', 62000000000001::bigint, '2016-01-01 00:00:00'::timestamp, null::timestamp); </v>
      </c>
    </row>
    <row r="59" spans="2:41" x14ac:dyDescent="0.25">
      <c r="B59" s="1">
        <v>3</v>
      </c>
      <c r="C59" s="2" t="s">
        <v>123</v>
      </c>
      <c r="D59" s="1" t="s">
        <v>124</v>
      </c>
      <c r="I59" s="2" t="s">
        <v>123</v>
      </c>
      <c r="Q59" s="1" t="str">
        <f>D59</f>
        <v>Allowance for doubtfull acct</v>
      </c>
      <c r="S59" s="1" t="str">
        <f t="shared" si="11"/>
        <v>1-ACTV</v>
      </c>
      <c r="T59" s="1" t="str">
        <f t="shared" si="12"/>
        <v>1-0000</v>
      </c>
      <c r="U59" s="1" t="str">
        <f t="shared" si="13"/>
        <v>1-2000</v>
      </c>
      <c r="V59" s="1" t="str">
        <f t="shared" si="14"/>
        <v>1-2500</v>
      </c>
      <c r="W59" s="1" t="str">
        <f t="shared" si="15"/>
        <v>1-2240</v>
      </c>
      <c r="X59" s="1" t="str">
        <f t="shared" si="16"/>
        <v/>
      </c>
      <c r="Y59" s="1" t="str">
        <f t="shared" si="17"/>
        <v/>
      </c>
      <c r="Z59" s="1" t="str">
        <f t="shared" si="18"/>
        <v/>
      </c>
      <c r="AA59" s="1" t="str">
        <f t="shared" si="19"/>
        <v/>
      </c>
      <c r="AB59" s="1" t="str">
        <f t="shared" si="20"/>
        <v/>
      </c>
      <c r="AD59" s="1" t="str">
        <f t="shared" si="0"/>
        <v/>
      </c>
      <c r="AE59" s="1" t="str">
        <f t="shared" si="1"/>
        <v/>
      </c>
      <c r="AF59" s="1" t="str">
        <f t="shared" si="2"/>
        <v xml:space="preserve">PERFORM * FROM "SchData-OLTP-Accounting"."Func_TblChartOfAccount_SET"(varSystemLoginSession, null, null, null, varInstitutionBranchID, null, '1-2500', 'Allowance for doubtfull acct', 62000000000001::bigint, '2016-01-01 00:00:00'::timestamp, null::timestamp); </v>
      </c>
      <c r="AG59" s="1" t="str">
        <f t="shared" si="3"/>
        <v/>
      </c>
      <c r="AH59" s="1" t="str">
        <f t="shared" si="4"/>
        <v/>
      </c>
      <c r="AI59" s="1" t="str">
        <f t="shared" si="5"/>
        <v/>
      </c>
      <c r="AJ59" s="1" t="str">
        <f t="shared" si="6"/>
        <v/>
      </c>
      <c r="AK59" s="1" t="str">
        <f t="shared" si="7"/>
        <v/>
      </c>
      <c r="AL59" s="1" t="str">
        <f t="shared" si="8"/>
        <v/>
      </c>
      <c r="AM59" s="1" t="str">
        <f t="shared" si="9"/>
        <v/>
      </c>
      <c r="AO59" s="8" t="str">
        <f t="shared" si="10"/>
        <v xml:space="preserve">PERFORM * FROM "SchData-OLTP-Accounting"."Func_TblChartOfAccount_SET"(varSystemLoginSession, null, null, null, varInstitutionBranchID, null, '1-2500', 'Allowance for doubtfull acct', 62000000000001::bigint, '2016-01-01 00:00:00'::timestamp, null::timestamp); </v>
      </c>
    </row>
    <row r="60" spans="2:41" x14ac:dyDescent="0.25">
      <c r="B60" s="1">
        <v>2</v>
      </c>
      <c r="C60" s="2" t="s">
        <v>125</v>
      </c>
      <c r="D60" s="1" t="s">
        <v>126</v>
      </c>
      <c r="H60" s="2" t="s">
        <v>125</v>
      </c>
      <c r="Q60" s="1" t="str">
        <f t="shared" si="21"/>
        <v>Inventory</v>
      </c>
      <c r="S60" s="1" t="str">
        <f t="shared" si="11"/>
        <v>1-ACTV</v>
      </c>
      <c r="T60" s="1" t="str">
        <f t="shared" si="12"/>
        <v>1-0000</v>
      </c>
      <c r="U60" s="1" t="str">
        <f t="shared" si="13"/>
        <v>1-3000</v>
      </c>
      <c r="V60" s="1" t="str">
        <f t="shared" si="14"/>
        <v>1-2500</v>
      </c>
      <c r="W60" s="1" t="str">
        <f t="shared" si="15"/>
        <v>1-2240</v>
      </c>
      <c r="X60" s="1" t="str">
        <f t="shared" si="16"/>
        <v/>
      </c>
      <c r="Y60" s="1" t="str">
        <f t="shared" si="17"/>
        <v/>
      </c>
      <c r="Z60" s="1" t="str">
        <f t="shared" si="18"/>
        <v/>
      </c>
      <c r="AA60" s="1" t="str">
        <f t="shared" si="19"/>
        <v/>
      </c>
      <c r="AB60" s="1" t="str">
        <f t="shared" si="20"/>
        <v/>
      </c>
      <c r="AD60" s="1" t="str">
        <f t="shared" si="0"/>
        <v/>
      </c>
      <c r="AE60" s="1" t="str">
        <f t="shared" si="1"/>
        <v xml:space="preserve">PERFORM * FROM "SchData-OLTP-Accounting"."Func_TblChartOfAccount_SET"(varSystemLoginSession, null, null, null, varInstitutionBranchID, null, '1-3000', 'Inventory', 62000000000001::bigint, '2016-01-01 00:00:00'::timestamp, null::timestamp); </v>
      </c>
      <c r="AF60" s="1" t="str">
        <f t="shared" si="2"/>
        <v/>
      </c>
      <c r="AG60" s="1" t="str">
        <f t="shared" si="3"/>
        <v/>
      </c>
      <c r="AH60" s="1" t="str">
        <f t="shared" si="4"/>
        <v/>
      </c>
      <c r="AI60" s="1" t="str">
        <f t="shared" si="5"/>
        <v/>
      </c>
      <c r="AJ60" s="1" t="str">
        <f t="shared" si="6"/>
        <v/>
      </c>
      <c r="AK60" s="1" t="str">
        <f t="shared" si="7"/>
        <v/>
      </c>
      <c r="AL60" s="1" t="str">
        <f t="shared" si="8"/>
        <v/>
      </c>
      <c r="AM60" s="1" t="str">
        <f t="shared" si="9"/>
        <v/>
      </c>
      <c r="AO60" s="8" t="str">
        <f t="shared" si="10"/>
        <v xml:space="preserve">PERFORM * FROM "SchData-OLTP-Accounting"."Func_TblChartOfAccount_SET"(varSystemLoginSession, null, null, null, varInstitutionBranchID, null, '1-3000', 'Inventory', 62000000000001::bigint, '2016-01-01 00:00:00'::timestamp, null::timestamp); </v>
      </c>
    </row>
    <row r="61" spans="2:41" x14ac:dyDescent="0.25">
      <c r="B61" s="1">
        <v>3</v>
      </c>
      <c r="C61" s="2" t="s">
        <v>127</v>
      </c>
      <c r="D61" s="1" t="s">
        <v>128</v>
      </c>
      <c r="I61" s="2" t="s">
        <v>127</v>
      </c>
      <c r="Q61" s="1" t="str">
        <f t="shared" si="21"/>
        <v>Inventory - WHS Jakarta</v>
      </c>
      <c r="S61" s="1" t="str">
        <f t="shared" si="11"/>
        <v>1-ACTV</v>
      </c>
      <c r="T61" s="1" t="str">
        <f t="shared" si="12"/>
        <v>1-0000</v>
      </c>
      <c r="U61" s="1" t="str">
        <f t="shared" si="13"/>
        <v>1-3000</v>
      </c>
      <c r="V61" s="1" t="str">
        <f t="shared" si="14"/>
        <v>1-3001</v>
      </c>
      <c r="W61" s="1" t="str">
        <f t="shared" si="15"/>
        <v>1-2240</v>
      </c>
      <c r="X61" s="1" t="str">
        <f t="shared" si="16"/>
        <v/>
      </c>
      <c r="Y61" s="1" t="str">
        <f t="shared" si="17"/>
        <v/>
      </c>
      <c r="Z61" s="1" t="str">
        <f t="shared" si="18"/>
        <v/>
      </c>
      <c r="AA61" s="1" t="str">
        <f t="shared" si="19"/>
        <v/>
      </c>
      <c r="AB61" s="1" t="str">
        <f t="shared" si="20"/>
        <v/>
      </c>
      <c r="AD61" s="1" t="str">
        <f t="shared" si="0"/>
        <v/>
      </c>
      <c r="AE61" s="1" t="str">
        <f t="shared" si="1"/>
        <v/>
      </c>
      <c r="AF61" s="1" t="str">
        <f t="shared" si="2"/>
        <v xml:space="preserve">PERFORM * FROM "SchData-OLTP-Accounting"."Func_TblChartOfAccount_SET"(varSystemLoginSession, null, null, null, varInstitutionBranchID, null, '1-3001', 'Inventory - WHS Jakarta', 62000000000001::bigint, '2016-01-01 00:00:00'::timestamp, null::timestamp); </v>
      </c>
      <c r="AG61" s="1" t="str">
        <f t="shared" si="3"/>
        <v/>
      </c>
      <c r="AH61" s="1" t="str">
        <f t="shared" si="4"/>
        <v/>
      </c>
      <c r="AI61" s="1" t="str">
        <f t="shared" si="5"/>
        <v/>
      </c>
      <c r="AJ61" s="1" t="str">
        <f t="shared" si="6"/>
        <v/>
      </c>
      <c r="AK61" s="1" t="str">
        <f t="shared" si="7"/>
        <v/>
      </c>
      <c r="AL61" s="1" t="str">
        <f t="shared" si="8"/>
        <v/>
      </c>
      <c r="AM61" s="1" t="str">
        <f t="shared" si="9"/>
        <v/>
      </c>
      <c r="AO61" s="8" t="str">
        <f t="shared" si="10"/>
        <v xml:space="preserve">PERFORM * FROM "SchData-OLTP-Accounting"."Func_TblChartOfAccount_SET"(varSystemLoginSession, null, null, null, varInstitutionBranchID, null, '1-3001', 'Inventory - WHS Jakarta', 62000000000001::bigint, '2016-01-01 00:00:00'::timestamp, null::timestamp); </v>
      </c>
    </row>
    <row r="62" spans="2:41" x14ac:dyDescent="0.25">
      <c r="B62" s="1">
        <v>3</v>
      </c>
      <c r="C62" s="2" t="s">
        <v>129</v>
      </c>
      <c r="D62" s="1" t="s">
        <v>130</v>
      </c>
      <c r="I62" s="2" t="s">
        <v>129</v>
      </c>
      <c r="Q62" s="1" t="str">
        <f t="shared" si="21"/>
        <v>Inventory - WHS Medan</v>
      </c>
      <c r="S62" s="1" t="str">
        <f t="shared" si="11"/>
        <v>1-ACTV</v>
      </c>
      <c r="T62" s="1" t="str">
        <f t="shared" si="12"/>
        <v>1-0000</v>
      </c>
      <c r="U62" s="1" t="str">
        <f t="shared" si="13"/>
        <v>1-3000</v>
      </c>
      <c r="V62" s="1" t="str">
        <f t="shared" si="14"/>
        <v>1-3002</v>
      </c>
      <c r="W62" s="1" t="str">
        <f t="shared" si="15"/>
        <v>1-2240</v>
      </c>
      <c r="X62" s="1" t="str">
        <f t="shared" si="16"/>
        <v/>
      </c>
      <c r="Y62" s="1" t="str">
        <f t="shared" si="17"/>
        <v/>
      </c>
      <c r="Z62" s="1" t="str">
        <f t="shared" si="18"/>
        <v/>
      </c>
      <c r="AA62" s="1" t="str">
        <f t="shared" si="19"/>
        <v/>
      </c>
      <c r="AB62" s="1" t="str">
        <f t="shared" si="20"/>
        <v/>
      </c>
      <c r="AD62" s="1" t="str">
        <f t="shared" si="0"/>
        <v/>
      </c>
      <c r="AE62" s="1" t="str">
        <f t="shared" si="1"/>
        <v/>
      </c>
      <c r="AF62" s="1" t="str">
        <f t="shared" si="2"/>
        <v xml:space="preserve">PERFORM * FROM "SchData-OLTP-Accounting"."Func_TblChartOfAccount_SET"(varSystemLoginSession, null, null, null, varInstitutionBranchID, null, '1-3002', 'Inventory - WHS Medan', 62000000000001::bigint, '2016-01-01 00:00:00'::timestamp, null::timestamp); </v>
      </c>
      <c r="AG62" s="1" t="str">
        <f t="shared" si="3"/>
        <v/>
      </c>
      <c r="AH62" s="1" t="str">
        <f t="shared" si="4"/>
        <v/>
      </c>
      <c r="AI62" s="1" t="str">
        <f t="shared" si="5"/>
        <v/>
      </c>
      <c r="AJ62" s="1" t="str">
        <f t="shared" si="6"/>
        <v/>
      </c>
      <c r="AK62" s="1" t="str">
        <f t="shared" si="7"/>
        <v/>
      </c>
      <c r="AL62" s="1" t="str">
        <f t="shared" si="8"/>
        <v/>
      </c>
      <c r="AM62" s="1" t="str">
        <f t="shared" si="9"/>
        <v/>
      </c>
      <c r="AO62" s="8" t="str">
        <f t="shared" si="10"/>
        <v xml:space="preserve">PERFORM * FROM "SchData-OLTP-Accounting"."Func_TblChartOfAccount_SET"(varSystemLoginSession, null, null, null, varInstitutionBranchID, null, '1-3002', 'Inventory - WHS Medan', 62000000000001::bigint, '2016-01-01 00:00:00'::timestamp, null::timestamp); </v>
      </c>
    </row>
    <row r="63" spans="2:41" x14ac:dyDescent="0.25">
      <c r="B63" s="1">
        <v>3</v>
      </c>
      <c r="C63" s="2" t="s">
        <v>131</v>
      </c>
      <c r="D63" s="1" t="s">
        <v>132</v>
      </c>
      <c r="I63" s="2" t="s">
        <v>131</v>
      </c>
      <c r="Q63" s="1" t="str">
        <f t="shared" si="21"/>
        <v>Inventory - WHS Surabaya</v>
      </c>
      <c r="S63" s="1" t="str">
        <f t="shared" si="11"/>
        <v>1-ACTV</v>
      </c>
      <c r="T63" s="1" t="str">
        <f t="shared" si="12"/>
        <v>1-0000</v>
      </c>
      <c r="U63" s="1" t="str">
        <f t="shared" si="13"/>
        <v>1-3000</v>
      </c>
      <c r="V63" s="1" t="str">
        <f t="shared" si="14"/>
        <v>1-3003</v>
      </c>
      <c r="W63" s="1" t="str">
        <f t="shared" si="15"/>
        <v>1-2240</v>
      </c>
      <c r="X63" s="1" t="str">
        <f t="shared" si="16"/>
        <v/>
      </c>
      <c r="Y63" s="1" t="str">
        <f t="shared" si="17"/>
        <v/>
      </c>
      <c r="Z63" s="1" t="str">
        <f t="shared" si="18"/>
        <v/>
      </c>
      <c r="AA63" s="1" t="str">
        <f t="shared" si="19"/>
        <v/>
      </c>
      <c r="AB63" s="1" t="str">
        <f t="shared" si="20"/>
        <v/>
      </c>
      <c r="AD63" s="1" t="str">
        <f t="shared" si="0"/>
        <v/>
      </c>
      <c r="AE63" s="1" t="str">
        <f t="shared" si="1"/>
        <v/>
      </c>
      <c r="AF63" s="1" t="str">
        <f t="shared" si="2"/>
        <v xml:space="preserve">PERFORM * FROM "SchData-OLTP-Accounting"."Func_TblChartOfAccount_SET"(varSystemLoginSession, null, null, null, varInstitutionBranchID, null, '1-3003', 'Inventory - WHS Surabaya', 62000000000001::bigint, '2016-01-01 00:00:00'::timestamp, null::timestamp); </v>
      </c>
      <c r="AG63" s="1" t="str">
        <f t="shared" si="3"/>
        <v/>
      </c>
      <c r="AH63" s="1" t="str">
        <f t="shared" si="4"/>
        <v/>
      </c>
      <c r="AI63" s="1" t="str">
        <f t="shared" si="5"/>
        <v/>
      </c>
      <c r="AJ63" s="1" t="str">
        <f t="shared" si="6"/>
        <v/>
      </c>
      <c r="AK63" s="1" t="str">
        <f t="shared" si="7"/>
        <v/>
      </c>
      <c r="AL63" s="1" t="str">
        <f t="shared" si="8"/>
        <v/>
      </c>
      <c r="AM63" s="1" t="str">
        <f t="shared" si="9"/>
        <v/>
      </c>
      <c r="AO63" s="8" t="str">
        <f t="shared" si="10"/>
        <v xml:space="preserve">PERFORM * FROM "SchData-OLTP-Accounting"."Func_TblChartOfAccount_SET"(varSystemLoginSession, null, null, null, varInstitutionBranchID, null, '1-3003', 'Inventory - WHS Surabaya', 62000000000001::bigint, '2016-01-01 00:00:00'::timestamp, null::timestamp); </v>
      </c>
    </row>
    <row r="64" spans="2:41" x14ac:dyDescent="0.25">
      <c r="B64" s="1">
        <v>3</v>
      </c>
      <c r="C64" s="2" t="s">
        <v>133</v>
      </c>
      <c r="D64" s="1" t="s">
        <v>134</v>
      </c>
      <c r="I64" s="2" t="s">
        <v>133</v>
      </c>
      <c r="Q64" s="1" t="str">
        <f t="shared" si="21"/>
        <v>Inventory - WHS Palubaru</v>
      </c>
      <c r="S64" s="1" t="str">
        <f t="shared" si="11"/>
        <v>1-ACTV</v>
      </c>
      <c r="T64" s="1" t="str">
        <f t="shared" si="12"/>
        <v>1-0000</v>
      </c>
      <c r="U64" s="1" t="str">
        <f t="shared" si="13"/>
        <v>1-3000</v>
      </c>
      <c r="V64" s="1" t="str">
        <f t="shared" si="14"/>
        <v>1-3004</v>
      </c>
      <c r="W64" s="1" t="str">
        <f t="shared" si="15"/>
        <v>1-2240</v>
      </c>
      <c r="X64" s="1" t="str">
        <f t="shared" si="16"/>
        <v/>
      </c>
      <c r="Y64" s="1" t="str">
        <f t="shared" si="17"/>
        <v/>
      </c>
      <c r="Z64" s="1" t="str">
        <f t="shared" si="18"/>
        <v/>
      </c>
      <c r="AA64" s="1" t="str">
        <f t="shared" si="19"/>
        <v/>
      </c>
      <c r="AB64" s="1" t="str">
        <f t="shared" si="20"/>
        <v/>
      </c>
      <c r="AD64" s="1" t="str">
        <f t="shared" si="0"/>
        <v/>
      </c>
      <c r="AE64" s="1" t="str">
        <f t="shared" si="1"/>
        <v/>
      </c>
      <c r="AF64" s="1" t="str">
        <f t="shared" si="2"/>
        <v xml:space="preserve">PERFORM * FROM "SchData-OLTP-Accounting"."Func_TblChartOfAccount_SET"(varSystemLoginSession, null, null, null, varInstitutionBranchID, null, '1-3004', 'Inventory - WHS Palubaru', 62000000000001::bigint, '2016-01-01 00:00:00'::timestamp, null::timestamp); </v>
      </c>
      <c r="AG64" s="1" t="str">
        <f t="shared" si="3"/>
        <v/>
      </c>
      <c r="AH64" s="1" t="str">
        <f t="shared" si="4"/>
        <v/>
      </c>
      <c r="AI64" s="1" t="str">
        <f t="shared" si="5"/>
        <v/>
      </c>
      <c r="AJ64" s="1" t="str">
        <f t="shared" si="6"/>
        <v/>
      </c>
      <c r="AK64" s="1" t="str">
        <f t="shared" si="7"/>
        <v/>
      </c>
      <c r="AL64" s="1" t="str">
        <f t="shared" si="8"/>
        <v/>
      </c>
      <c r="AM64" s="1" t="str">
        <f t="shared" si="9"/>
        <v/>
      </c>
      <c r="AO64" s="8" t="str">
        <f t="shared" si="10"/>
        <v xml:space="preserve">PERFORM * FROM "SchData-OLTP-Accounting"."Func_TblChartOfAccount_SET"(varSystemLoginSession, null, null, null, varInstitutionBranchID, null, '1-3004', 'Inventory - WHS Palubaru', 62000000000001::bigint, '2016-01-01 00:00:00'::timestamp, null::timestamp); </v>
      </c>
    </row>
    <row r="65" spans="2:41" x14ac:dyDescent="0.25">
      <c r="B65" s="1">
        <v>3</v>
      </c>
      <c r="C65" s="2" t="s">
        <v>135</v>
      </c>
      <c r="D65" s="1" t="s">
        <v>136</v>
      </c>
      <c r="I65" s="2" t="s">
        <v>135</v>
      </c>
      <c r="Q65" s="1" t="str">
        <f t="shared" si="21"/>
        <v>Inventory - WHS Malili</v>
      </c>
      <c r="S65" s="1" t="str">
        <f t="shared" si="11"/>
        <v>1-ACTV</v>
      </c>
      <c r="T65" s="1" t="str">
        <f t="shared" si="12"/>
        <v>1-0000</v>
      </c>
      <c r="U65" s="1" t="str">
        <f t="shared" si="13"/>
        <v>1-3000</v>
      </c>
      <c r="V65" s="1" t="str">
        <f t="shared" si="14"/>
        <v>1-3005</v>
      </c>
      <c r="W65" s="1" t="str">
        <f t="shared" si="15"/>
        <v>1-2240</v>
      </c>
      <c r="X65" s="1" t="str">
        <f t="shared" si="16"/>
        <v/>
      </c>
      <c r="Y65" s="1" t="str">
        <f t="shared" si="17"/>
        <v/>
      </c>
      <c r="Z65" s="1" t="str">
        <f t="shared" si="18"/>
        <v/>
      </c>
      <c r="AA65" s="1" t="str">
        <f t="shared" si="19"/>
        <v/>
      </c>
      <c r="AB65" s="1" t="str">
        <f t="shared" si="20"/>
        <v/>
      </c>
      <c r="AD65" s="1" t="str">
        <f t="shared" si="0"/>
        <v/>
      </c>
      <c r="AE65" s="1" t="str">
        <f t="shared" si="1"/>
        <v/>
      </c>
      <c r="AF65" s="1" t="str">
        <f t="shared" si="2"/>
        <v xml:space="preserve">PERFORM * FROM "SchData-OLTP-Accounting"."Func_TblChartOfAccount_SET"(varSystemLoginSession, null, null, null, varInstitutionBranchID, null, '1-3005', 'Inventory - WHS Malili', 62000000000001::bigint, '2016-01-01 00:00:00'::timestamp, null::timestamp); </v>
      </c>
      <c r="AG65" s="1" t="str">
        <f t="shared" si="3"/>
        <v/>
      </c>
      <c r="AH65" s="1" t="str">
        <f t="shared" si="4"/>
        <v/>
      </c>
      <c r="AI65" s="1" t="str">
        <f t="shared" si="5"/>
        <v/>
      </c>
      <c r="AJ65" s="1" t="str">
        <f t="shared" si="6"/>
        <v/>
      </c>
      <c r="AK65" s="1" t="str">
        <f t="shared" si="7"/>
        <v/>
      </c>
      <c r="AL65" s="1" t="str">
        <f t="shared" si="8"/>
        <v/>
      </c>
      <c r="AM65" s="1" t="str">
        <f t="shared" si="9"/>
        <v/>
      </c>
      <c r="AO65" s="8" t="str">
        <f t="shared" si="10"/>
        <v xml:space="preserve">PERFORM * FROM "SchData-OLTP-Accounting"."Func_TblChartOfAccount_SET"(varSystemLoginSession, null, null, null, varInstitutionBranchID, null, '1-3005', 'Inventory - WHS Malili', 62000000000001::bigint, '2016-01-01 00:00:00'::timestamp, null::timestamp); </v>
      </c>
    </row>
    <row r="66" spans="2:41" x14ac:dyDescent="0.25">
      <c r="B66" s="1">
        <v>3</v>
      </c>
      <c r="C66" s="2" t="s">
        <v>137</v>
      </c>
      <c r="D66" s="1" t="s">
        <v>138</v>
      </c>
      <c r="I66" s="2" t="s">
        <v>137</v>
      </c>
      <c r="Q66" s="1" t="str">
        <f t="shared" si="21"/>
        <v>Inventory - WHS Siwa</v>
      </c>
      <c r="S66" s="1" t="str">
        <f t="shared" si="11"/>
        <v>1-ACTV</v>
      </c>
      <c r="T66" s="1" t="str">
        <f t="shared" si="12"/>
        <v>1-0000</v>
      </c>
      <c r="U66" s="1" t="str">
        <f t="shared" si="13"/>
        <v>1-3000</v>
      </c>
      <c r="V66" s="1" t="str">
        <f t="shared" si="14"/>
        <v>1-3006</v>
      </c>
      <c r="W66" s="1" t="str">
        <f t="shared" si="15"/>
        <v>1-2240</v>
      </c>
      <c r="X66" s="1" t="str">
        <f t="shared" si="16"/>
        <v/>
      </c>
      <c r="Y66" s="1" t="str">
        <f t="shared" si="17"/>
        <v/>
      </c>
      <c r="Z66" s="1" t="str">
        <f t="shared" si="18"/>
        <v/>
      </c>
      <c r="AA66" s="1" t="str">
        <f t="shared" si="19"/>
        <v/>
      </c>
      <c r="AB66" s="1" t="str">
        <f t="shared" si="20"/>
        <v/>
      </c>
      <c r="AD66" s="1" t="str">
        <f t="shared" si="0"/>
        <v/>
      </c>
      <c r="AE66" s="1" t="str">
        <f t="shared" si="1"/>
        <v/>
      </c>
      <c r="AF66" s="1" t="str">
        <f t="shared" si="2"/>
        <v xml:space="preserve">PERFORM * FROM "SchData-OLTP-Accounting"."Func_TblChartOfAccount_SET"(varSystemLoginSession, null, null, null, varInstitutionBranchID, null, '1-3006', 'Inventory - WHS Siwa', 62000000000001::bigint, '2016-01-01 00:00:00'::timestamp, null::timestamp); </v>
      </c>
      <c r="AG66" s="1" t="str">
        <f t="shared" si="3"/>
        <v/>
      </c>
      <c r="AH66" s="1" t="str">
        <f t="shared" si="4"/>
        <v/>
      </c>
      <c r="AI66" s="1" t="str">
        <f t="shared" si="5"/>
        <v/>
      </c>
      <c r="AJ66" s="1" t="str">
        <f t="shared" si="6"/>
        <v/>
      </c>
      <c r="AK66" s="1" t="str">
        <f t="shared" si="7"/>
        <v/>
      </c>
      <c r="AL66" s="1" t="str">
        <f t="shared" si="8"/>
        <v/>
      </c>
      <c r="AM66" s="1" t="str">
        <f t="shared" si="9"/>
        <v/>
      </c>
      <c r="AO66" s="8" t="str">
        <f t="shared" si="10"/>
        <v xml:space="preserve">PERFORM * FROM "SchData-OLTP-Accounting"."Func_TblChartOfAccount_SET"(varSystemLoginSession, null, null, null, varInstitutionBranchID, null, '1-3006', 'Inventory - WHS Siwa', 62000000000001::bigint, '2016-01-01 00:00:00'::timestamp, null::timestamp); </v>
      </c>
    </row>
    <row r="67" spans="2:41" x14ac:dyDescent="0.25">
      <c r="B67" s="1">
        <v>3</v>
      </c>
      <c r="C67" s="2" t="s">
        <v>139</v>
      </c>
      <c r="D67" s="1" t="s">
        <v>140</v>
      </c>
      <c r="I67" s="2" t="s">
        <v>139</v>
      </c>
      <c r="Q67" s="1" t="str">
        <f t="shared" si="21"/>
        <v>Inventory - WHS Balikpapan</v>
      </c>
      <c r="S67" s="1" t="str">
        <f t="shared" si="11"/>
        <v>1-ACTV</v>
      </c>
      <c r="T67" s="1" t="str">
        <f t="shared" si="12"/>
        <v>1-0000</v>
      </c>
      <c r="U67" s="1" t="str">
        <f t="shared" si="13"/>
        <v>1-3000</v>
      </c>
      <c r="V67" s="1" t="str">
        <f t="shared" si="14"/>
        <v>1-3007</v>
      </c>
      <c r="W67" s="1" t="str">
        <f t="shared" si="15"/>
        <v>1-2240</v>
      </c>
      <c r="X67" s="1" t="str">
        <f t="shared" si="16"/>
        <v/>
      </c>
      <c r="Y67" s="1" t="str">
        <f t="shared" si="17"/>
        <v/>
      </c>
      <c r="Z67" s="1" t="str">
        <f t="shared" si="18"/>
        <v/>
      </c>
      <c r="AA67" s="1" t="str">
        <f t="shared" si="19"/>
        <v/>
      </c>
      <c r="AB67" s="1" t="str">
        <f t="shared" si="20"/>
        <v/>
      </c>
      <c r="AD67" s="1" t="str">
        <f t="shared" si="0"/>
        <v/>
      </c>
      <c r="AE67" s="1" t="str">
        <f t="shared" si="1"/>
        <v/>
      </c>
      <c r="AF67" s="1" t="str">
        <f t="shared" si="2"/>
        <v xml:space="preserve">PERFORM * FROM "SchData-OLTP-Accounting"."Func_TblChartOfAccount_SET"(varSystemLoginSession, null, null, null, varInstitutionBranchID, null, '1-3007', 'Inventory - WHS Balikpapan', 62000000000001::bigint, '2016-01-01 00:00:00'::timestamp, null::timestamp); </v>
      </c>
      <c r="AG67" s="1" t="str">
        <f t="shared" si="3"/>
        <v/>
      </c>
      <c r="AH67" s="1" t="str">
        <f t="shared" si="4"/>
        <v/>
      </c>
      <c r="AI67" s="1" t="str">
        <f t="shared" si="5"/>
        <v/>
      </c>
      <c r="AJ67" s="1" t="str">
        <f t="shared" si="6"/>
        <v/>
      </c>
      <c r="AK67" s="1" t="str">
        <f t="shared" si="7"/>
        <v/>
      </c>
      <c r="AL67" s="1" t="str">
        <f t="shared" si="8"/>
        <v/>
      </c>
      <c r="AM67" s="1" t="str">
        <f t="shared" si="9"/>
        <v/>
      </c>
      <c r="AO67" s="8" t="str">
        <f t="shared" si="10"/>
        <v xml:space="preserve">PERFORM * FROM "SchData-OLTP-Accounting"."Func_TblChartOfAccount_SET"(varSystemLoginSession, null, null, null, varInstitutionBranchID, null, '1-3007', 'Inventory - WHS Balikpapan', 62000000000001::bigint, '2016-01-01 00:00:00'::timestamp, null::timestamp); </v>
      </c>
    </row>
    <row r="68" spans="2:41" x14ac:dyDescent="0.25">
      <c r="B68" s="1">
        <v>3</v>
      </c>
      <c r="C68" s="2" t="s">
        <v>141</v>
      </c>
      <c r="D68" s="1" t="s">
        <v>142</v>
      </c>
      <c r="I68" s="2" t="s">
        <v>141</v>
      </c>
      <c r="Q68" s="1" t="str">
        <f t="shared" si="21"/>
        <v>Inventory - WHS Banjarmasin</v>
      </c>
      <c r="S68" s="1" t="str">
        <f t="shared" si="11"/>
        <v>1-ACTV</v>
      </c>
      <c r="T68" s="1" t="str">
        <f t="shared" si="12"/>
        <v>1-0000</v>
      </c>
      <c r="U68" s="1" t="str">
        <f t="shared" si="13"/>
        <v>1-3000</v>
      </c>
      <c r="V68" s="1" t="str">
        <f t="shared" si="14"/>
        <v>1-3008</v>
      </c>
      <c r="W68" s="1" t="str">
        <f t="shared" si="15"/>
        <v>1-2240</v>
      </c>
      <c r="X68" s="1" t="str">
        <f t="shared" si="16"/>
        <v/>
      </c>
      <c r="Y68" s="1" t="str">
        <f t="shared" si="17"/>
        <v/>
      </c>
      <c r="Z68" s="1" t="str">
        <f t="shared" si="18"/>
        <v/>
      </c>
      <c r="AA68" s="1" t="str">
        <f t="shared" si="19"/>
        <v/>
      </c>
      <c r="AB68" s="1" t="str">
        <f t="shared" si="20"/>
        <v/>
      </c>
      <c r="AD68" s="1" t="str">
        <f t="shared" si="0"/>
        <v/>
      </c>
      <c r="AE68" s="1" t="str">
        <f t="shared" si="1"/>
        <v/>
      </c>
      <c r="AF68" s="1" t="str">
        <f t="shared" si="2"/>
        <v xml:space="preserve">PERFORM * FROM "SchData-OLTP-Accounting"."Func_TblChartOfAccount_SET"(varSystemLoginSession, null, null, null, varInstitutionBranchID, null, '1-3008', 'Inventory - WHS Banjarmasin', 62000000000001::bigint, '2016-01-01 00:00:00'::timestamp, null::timestamp); </v>
      </c>
      <c r="AG68" s="1" t="str">
        <f t="shared" si="3"/>
        <v/>
      </c>
      <c r="AH68" s="1" t="str">
        <f t="shared" si="4"/>
        <v/>
      </c>
      <c r="AI68" s="1" t="str">
        <f t="shared" si="5"/>
        <v/>
      </c>
      <c r="AJ68" s="1" t="str">
        <f t="shared" si="6"/>
        <v/>
      </c>
      <c r="AK68" s="1" t="str">
        <f t="shared" si="7"/>
        <v/>
      </c>
      <c r="AL68" s="1" t="str">
        <f t="shared" si="8"/>
        <v/>
      </c>
      <c r="AM68" s="1" t="str">
        <f t="shared" si="9"/>
        <v/>
      </c>
      <c r="AO68" s="8" t="str">
        <f t="shared" si="10"/>
        <v xml:space="preserve">PERFORM * FROM "SchData-OLTP-Accounting"."Func_TblChartOfAccount_SET"(varSystemLoginSession, null, null, null, varInstitutionBranchID, null, '1-3008', 'Inventory - WHS Banjarmasin', 62000000000001::bigint, '2016-01-01 00:00:00'::timestamp, null::timestamp); </v>
      </c>
    </row>
    <row r="69" spans="2:41" x14ac:dyDescent="0.25">
      <c r="B69" s="1">
        <v>3</v>
      </c>
      <c r="C69" s="2" t="s">
        <v>143</v>
      </c>
      <c r="D69" s="1" t="s">
        <v>144</v>
      </c>
      <c r="I69" s="2" t="s">
        <v>143</v>
      </c>
      <c r="Q69" s="1" t="str">
        <f t="shared" si="21"/>
        <v>Inventory - WHS Toli-toli</v>
      </c>
      <c r="S69" s="1" t="str">
        <f t="shared" si="11"/>
        <v>1-ACTV</v>
      </c>
      <c r="T69" s="1" t="str">
        <f t="shared" si="12"/>
        <v>1-0000</v>
      </c>
      <c r="U69" s="1" t="str">
        <f t="shared" si="13"/>
        <v>1-3000</v>
      </c>
      <c r="V69" s="1" t="str">
        <f t="shared" si="14"/>
        <v>1-3009</v>
      </c>
      <c r="W69" s="1" t="str">
        <f t="shared" si="15"/>
        <v>1-2240</v>
      </c>
      <c r="X69" s="1" t="str">
        <f t="shared" si="16"/>
        <v/>
      </c>
      <c r="Y69" s="1" t="str">
        <f t="shared" si="17"/>
        <v/>
      </c>
      <c r="Z69" s="1" t="str">
        <f t="shared" si="18"/>
        <v/>
      </c>
      <c r="AA69" s="1" t="str">
        <f t="shared" si="19"/>
        <v/>
      </c>
      <c r="AB69" s="1" t="str">
        <f t="shared" si="20"/>
        <v/>
      </c>
      <c r="AD69" s="1" t="str">
        <f t="shared" ref="AD69:AD132" si="22">IF(EXACT(T69, T68), "", CONCATENATE("PERFORM * FROM ""SchData-OLTP-Accounting"".""Func_TblChartOfAccount_SET""(varSystemLoginSession, null, null, null, varInstitutionBranchID, null, '", T69, "', '", $Q69, "', 62000000000001::bigint, '2016-01-01 00:00:00'::timestamp, null::timestamp); "))</f>
        <v/>
      </c>
      <c r="AE69" s="1" t="str">
        <f t="shared" ref="AE69:AE132" si="23">IF(EXACT(U69, U68), "", CONCATENATE("PERFORM * FROM ""SchData-OLTP-Accounting"".""Func_TblChartOfAccount_SET""(varSystemLoginSession, null, null, null, varInstitutionBranchID, null, '", U69, "', '", $Q69, "', 62000000000001::bigint, '2016-01-01 00:00:00'::timestamp, null::timestamp); "))</f>
        <v/>
      </c>
      <c r="AF69" s="1" t="str">
        <f t="shared" ref="AF69:AF132" si="24">IF(EXACT(V69, V68), "", CONCATENATE("PERFORM * FROM ""SchData-OLTP-Accounting"".""Func_TblChartOfAccount_SET""(varSystemLoginSession, null, null, null, varInstitutionBranchID, null, '", V69, "', '", $Q69, "', 62000000000001::bigint, '2016-01-01 00:00:00'::timestamp, null::timestamp); "))</f>
        <v xml:space="preserve">PERFORM * FROM "SchData-OLTP-Accounting"."Func_TblChartOfAccount_SET"(varSystemLoginSession, null, null, null, varInstitutionBranchID, null, '1-3009', 'Inventory - WHS Toli-toli', 62000000000001::bigint, '2016-01-01 00:00:00'::timestamp, null::timestamp); </v>
      </c>
      <c r="AG69" s="1" t="str">
        <f t="shared" ref="AG69:AG132" si="25">IF(EXACT(W69, W68), "", CONCATENATE("PERFORM * FROM ""SchData-OLTP-Accounting"".""Func_TblChartOfAccount_SET""(varSystemLoginSession, null, null, null, varInstitutionBranchID, null, '", W69, "', '", $Q69, "', 62000000000001::bigint, '2016-01-01 00:00:00'::timestamp, null::timestamp); "))</f>
        <v/>
      </c>
      <c r="AH69" s="1" t="str">
        <f t="shared" ref="AH69:AH132" si="26">IF(EXACT(X69, X68), "", CONCATENATE("PERFORM * FROM ""SchData-OLTP-Accounting"".""Func_TblChartOfAccount_SET""(varSystemLoginSession, null, null, null, varInstitutionBranchID, null, '", X69, "', '", $Q69, "', 62000000000001::bigint, '2016-01-01 00:00:00'::timestamp, null::timestamp); "))</f>
        <v/>
      </c>
      <c r="AI69" s="1" t="str">
        <f t="shared" ref="AI69:AI132" si="27">IF(EXACT(Y69, Y68), "", CONCATENATE("PERFORM * FROM ""SchData-OLTP-Accounting"".""Func_TblChartOfAccount_SET""(varSystemLoginSession, null, null, null, varInstitutionBranchID, null, '", Y69, "', '", $Q69, "', 62000000000001::bigint, '2016-01-01 00:00:00'::timestamp, null::timestamp); "))</f>
        <v/>
      </c>
      <c r="AJ69" s="1" t="str">
        <f t="shared" ref="AJ69:AJ132" si="28">IF(EXACT(Z69, Z68), "", CONCATENATE("PERFORM * FROM ""SchData-OLTP-Accounting"".""Func_TblChartOfAccount_SET""(varSystemLoginSession, null, null, null, varInstitutionBranchID, null, '", Z69, "', '", $Q69, "', 62000000000001::bigint, '2016-01-01 00:00:00'::timestamp, null::timestamp); "))</f>
        <v/>
      </c>
      <c r="AK69" s="1" t="str">
        <f t="shared" ref="AK69:AK132" si="29">IF(EXACT(AA69, AA68), "", CONCATENATE("PERFORM * FROM ""SchData-OLTP-Accounting"".""Func_TblChartOfAccount_SET""(varSystemLoginSession, null, null, null, varInstitutionBranchID, null, '", AA69, "', '", $Q69, "', 62000000000001::bigint, '2016-01-01 00:00:00'::timestamp, null::timestamp); "))</f>
        <v/>
      </c>
      <c r="AL69" s="1" t="str">
        <f t="shared" ref="AL69:AL132" si="30">IF(EXACT(AB69, AB68), "", CONCATENATE("PERFORM * FROM ""SchData-OLTP-Accounting"".""Func_TblChartOfAccount_SET""(varSystemLoginSession, null, null, null, varInstitutionBranchID, null, '", AB69, "', '", $Q69, "', 62000000000001::bigint, '2016-01-01 00:00:00'::timestamp, null::timestamp); "))</f>
        <v/>
      </c>
      <c r="AM69" s="1" t="str">
        <f t="shared" ref="AM69:AM132" si="31">IF(EXACT(AC69, AC68), "", CONCATENATE("PERFORM * FROM ""SchData-OLTP-Accounting"".""Func_TblChartOfAccount_SET""(varSystemLoginSession, null, null, null, varInstitutionBranchID, null, '", AC69, "', '", $Q69, "', 62000000000001::bigint, '2016-01-01 00:00:00'::timestamp, null::timestamp); "))</f>
        <v/>
      </c>
      <c r="AO69" s="8" t="str">
        <f t="shared" si="10"/>
        <v xml:space="preserve">PERFORM * FROM "SchData-OLTP-Accounting"."Func_TblChartOfAccount_SET"(varSystemLoginSession, null, null, null, varInstitutionBranchID, null, '1-3009', 'Inventory - WHS Toli-toli', 62000000000001::bigint, '2016-01-01 00:00:00'::timestamp, null::timestamp); </v>
      </c>
    </row>
    <row r="70" spans="2:41" x14ac:dyDescent="0.25">
      <c r="B70" s="1">
        <v>3</v>
      </c>
      <c r="C70" s="2" t="s">
        <v>145</v>
      </c>
      <c r="D70" s="1" t="s">
        <v>146</v>
      </c>
      <c r="I70" s="2" t="s">
        <v>145</v>
      </c>
      <c r="Q70" s="1" t="str">
        <f t="shared" si="21"/>
        <v>Inventory - WHS Maumere</v>
      </c>
      <c r="S70" s="1" t="str">
        <f t="shared" ref="S70:S133" si="32">IF(EXACT($F70, ""), IF(EXACT($S69, ""), "", $S69), $F70)</f>
        <v>1-ACTV</v>
      </c>
      <c r="T70" s="1" t="str">
        <f t="shared" ref="T70:T133" si="33">IF(EXACT($G70, ""), IF(EXACT($T69, ""), "", $T69), $G70)</f>
        <v>1-0000</v>
      </c>
      <c r="U70" s="1" t="str">
        <f t="shared" ref="U70:U133" si="34">IF(EXACT($H70, ""), IF(EXACT($U69, ""), "", $U69), $H70)</f>
        <v>1-3000</v>
      </c>
      <c r="V70" s="1" t="str">
        <f t="shared" ref="V70:V133" si="35">IF(EXACT($I70, ""), IF(EXACT($V69, ""), "", $V69), $I70)</f>
        <v>1-3010</v>
      </c>
      <c r="W70" s="1" t="str">
        <f t="shared" ref="W70:W133" si="36">IF(EXACT($J70, ""), IF(EXACT($W69, ""), "", $W69), $J70)</f>
        <v>1-2240</v>
      </c>
      <c r="X70" s="1" t="str">
        <f t="shared" ref="X70:X133" si="37">IF(EXACT($K70, ""), IF(EXACT($X69, ""), "", $X69), $K70)</f>
        <v/>
      </c>
      <c r="Y70" s="1" t="str">
        <f t="shared" ref="Y70:Y133" si="38">IF(EXACT($L70, ""), IF(EXACT($Y69, ""), "", $Y69), $L70)</f>
        <v/>
      </c>
      <c r="Z70" s="1" t="str">
        <f t="shared" ref="Z70:Z133" si="39">IF(EXACT($M70, ""), IF(EXACT($Z69, ""), "", $Z69), $M70)</f>
        <v/>
      </c>
      <c r="AA70" s="1" t="str">
        <f t="shared" ref="AA70:AA133" si="40">IF(EXACT($N70, ""), IF(EXACT($AA69, ""), "", $AA69), $N70)</f>
        <v/>
      </c>
      <c r="AB70" s="1" t="str">
        <f t="shared" ref="AB70:AB133" si="41">IF(EXACT($O70, ""), IF(EXACT($AB69, ""), "", $AB69), $O70)</f>
        <v/>
      </c>
      <c r="AD70" s="1" t="str">
        <f t="shared" si="22"/>
        <v/>
      </c>
      <c r="AE70" s="1" t="str">
        <f t="shared" si="23"/>
        <v/>
      </c>
      <c r="AF70" s="1" t="str">
        <f t="shared" si="24"/>
        <v xml:space="preserve">PERFORM * FROM "SchData-OLTP-Accounting"."Func_TblChartOfAccount_SET"(varSystemLoginSession, null, null, null, varInstitutionBranchID, null, '1-3010', 'Inventory - WHS Maumere', 62000000000001::bigint, '2016-01-01 00:00:00'::timestamp, null::timestamp); </v>
      </c>
      <c r="AG70" s="1" t="str">
        <f t="shared" si="25"/>
        <v/>
      </c>
      <c r="AH70" s="1" t="str">
        <f t="shared" si="26"/>
        <v/>
      </c>
      <c r="AI70" s="1" t="str">
        <f t="shared" si="27"/>
        <v/>
      </c>
      <c r="AJ70" s="1" t="str">
        <f t="shared" si="28"/>
        <v/>
      </c>
      <c r="AK70" s="1" t="str">
        <f t="shared" si="29"/>
        <v/>
      </c>
      <c r="AL70" s="1" t="str">
        <f t="shared" si="30"/>
        <v/>
      </c>
      <c r="AM70" s="1" t="str">
        <f t="shared" si="31"/>
        <v/>
      </c>
      <c r="AO70" s="8" t="str">
        <f t="shared" si="10"/>
        <v xml:space="preserve">PERFORM * FROM "SchData-OLTP-Accounting"."Func_TblChartOfAccount_SET"(varSystemLoginSession, null, null, null, varInstitutionBranchID, null, '1-3010', 'Inventory - WHS Maumere', 62000000000001::bigint, '2016-01-01 00:00:00'::timestamp, null::timestamp); </v>
      </c>
    </row>
    <row r="71" spans="2:41" x14ac:dyDescent="0.25">
      <c r="B71" s="1">
        <v>3</v>
      </c>
      <c r="C71" s="2" t="s">
        <v>147</v>
      </c>
      <c r="D71" s="1" t="s">
        <v>148</v>
      </c>
      <c r="I71" s="2" t="s">
        <v>147</v>
      </c>
      <c r="Q71" s="1" t="str">
        <f t="shared" ref="Q71:Q134" si="42">D71</f>
        <v>Inventory - Supplies</v>
      </c>
      <c r="S71" s="1" t="str">
        <f t="shared" si="32"/>
        <v>1-ACTV</v>
      </c>
      <c r="T71" s="1" t="str">
        <f t="shared" si="33"/>
        <v>1-0000</v>
      </c>
      <c r="U71" s="1" t="str">
        <f t="shared" si="34"/>
        <v>1-3000</v>
      </c>
      <c r="V71" s="1" t="str">
        <f t="shared" si="35"/>
        <v>1-3100</v>
      </c>
      <c r="W71" s="1" t="str">
        <f t="shared" si="36"/>
        <v>1-2240</v>
      </c>
      <c r="X71" s="1" t="str">
        <f t="shared" si="37"/>
        <v/>
      </c>
      <c r="Y71" s="1" t="str">
        <f t="shared" si="38"/>
        <v/>
      </c>
      <c r="Z71" s="1" t="str">
        <f t="shared" si="39"/>
        <v/>
      </c>
      <c r="AA71" s="1" t="str">
        <f t="shared" si="40"/>
        <v/>
      </c>
      <c r="AB71" s="1" t="str">
        <f t="shared" si="41"/>
        <v/>
      </c>
      <c r="AD71" s="1" t="str">
        <f t="shared" si="22"/>
        <v/>
      </c>
      <c r="AE71" s="1" t="str">
        <f t="shared" si="23"/>
        <v/>
      </c>
      <c r="AF71" s="1" t="str">
        <f t="shared" si="24"/>
        <v xml:space="preserve">PERFORM * FROM "SchData-OLTP-Accounting"."Func_TblChartOfAccount_SET"(varSystemLoginSession, null, null, null, varInstitutionBranchID, null, '1-3100', 'Inventory - Supplies', 62000000000001::bigint, '2016-01-01 00:00:00'::timestamp, null::timestamp); </v>
      </c>
      <c r="AG71" s="1" t="str">
        <f t="shared" si="25"/>
        <v/>
      </c>
      <c r="AH71" s="1" t="str">
        <f t="shared" si="26"/>
        <v/>
      </c>
      <c r="AI71" s="1" t="str">
        <f t="shared" si="27"/>
        <v/>
      </c>
      <c r="AJ71" s="1" t="str">
        <f t="shared" si="28"/>
        <v/>
      </c>
      <c r="AK71" s="1" t="str">
        <f t="shared" si="29"/>
        <v/>
      </c>
      <c r="AL71" s="1" t="str">
        <f t="shared" si="30"/>
        <v/>
      </c>
      <c r="AM71" s="1" t="str">
        <f t="shared" si="31"/>
        <v/>
      </c>
      <c r="AO71" s="8" t="str">
        <f t="shared" ref="AO71:AO134" si="43">IF(NOT(EXACT(AD71, "")), AD71, IF(NOT(EXACT(AE71, "")), AE71, IF(NOT(EXACT(AF71, "")), AF71, IF(NOT(EXACT(AG71, "")), AG71, IF(NOT(EXACT(AH71, "")), AH71, IF(NOT(EXACT(AI71, "")), AI71, IF(NOT(EXACT(AJ71, "")), AJ71, IF(NOT(EXACT(AK71, "")), AK71, IF(NOT(EXACT(AL71, "")), AL71, IF(NOT(EXACT(AM71, "")), AM71, ""))))))))))</f>
        <v xml:space="preserve">PERFORM * FROM "SchData-OLTP-Accounting"."Func_TblChartOfAccount_SET"(varSystemLoginSession, null, null, null, varInstitutionBranchID, null, '1-3100', 'Inventory - Supplies', 62000000000001::bigint, '2016-01-01 00:00:00'::timestamp, null::timestamp); </v>
      </c>
    </row>
    <row r="72" spans="2:41" x14ac:dyDescent="0.25">
      <c r="B72" s="1">
        <v>2</v>
      </c>
      <c r="C72" s="2" t="s">
        <v>149</v>
      </c>
      <c r="D72" s="1" t="s">
        <v>150</v>
      </c>
      <c r="H72" s="2" t="s">
        <v>149</v>
      </c>
      <c r="Q72" s="1" t="str">
        <f t="shared" si="42"/>
        <v>Other Current Assets</v>
      </c>
      <c r="S72" s="1" t="str">
        <f t="shared" si="32"/>
        <v>1-ACTV</v>
      </c>
      <c r="T72" s="1" t="str">
        <f t="shared" si="33"/>
        <v>1-0000</v>
      </c>
      <c r="U72" s="1" t="str">
        <f t="shared" si="34"/>
        <v>1-4000</v>
      </c>
      <c r="V72" s="1" t="str">
        <f t="shared" si="35"/>
        <v>1-3100</v>
      </c>
      <c r="W72" s="1" t="str">
        <f t="shared" si="36"/>
        <v>1-2240</v>
      </c>
      <c r="X72" s="1" t="str">
        <f t="shared" si="37"/>
        <v/>
      </c>
      <c r="Y72" s="1" t="str">
        <f t="shared" si="38"/>
        <v/>
      </c>
      <c r="Z72" s="1" t="str">
        <f t="shared" si="39"/>
        <v/>
      </c>
      <c r="AA72" s="1" t="str">
        <f t="shared" si="40"/>
        <v/>
      </c>
      <c r="AB72" s="1" t="str">
        <f t="shared" si="41"/>
        <v/>
      </c>
      <c r="AD72" s="1" t="str">
        <f t="shared" si="22"/>
        <v/>
      </c>
      <c r="AE72" s="1" t="str">
        <f t="shared" si="23"/>
        <v xml:space="preserve">PERFORM * FROM "SchData-OLTP-Accounting"."Func_TblChartOfAccount_SET"(varSystemLoginSession, null, null, null, varInstitutionBranchID, null, '1-4000', 'Other Current Assets', 62000000000001::bigint, '2016-01-01 00:00:00'::timestamp, null::timestamp); </v>
      </c>
      <c r="AF72" s="1" t="str">
        <f t="shared" si="24"/>
        <v/>
      </c>
      <c r="AG72" s="1" t="str">
        <f t="shared" si="25"/>
        <v/>
      </c>
      <c r="AH72" s="1" t="str">
        <f t="shared" si="26"/>
        <v/>
      </c>
      <c r="AI72" s="1" t="str">
        <f t="shared" si="27"/>
        <v/>
      </c>
      <c r="AJ72" s="1" t="str">
        <f t="shared" si="28"/>
        <v/>
      </c>
      <c r="AK72" s="1" t="str">
        <f t="shared" si="29"/>
        <v/>
      </c>
      <c r="AL72" s="1" t="str">
        <f t="shared" si="30"/>
        <v/>
      </c>
      <c r="AM72" s="1" t="str">
        <f t="shared" si="31"/>
        <v/>
      </c>
      <c r="AO72" s="8" t="str">
        <f t="shared" si="43"/>
        <v xml:space="preserve">PERFORM * FROM "SchData-OLTP-Accounting"."Func_TblChartOfAccount_SET"(varSystemLoginSession, null, null, null, varInstitutionBranchID, null, '1-4000', 'Other Current Assets', 62000000000001::bigint, '2016-01-01 00:00:00'::timestamp, null::timestamp); </v>
      </c>
    </row>
    <row r="73" spans="2:41" x14ac:dyDescent="0.25">
      <c r="B73" s="1">
        <v>3</v>
      </c>
      <c r="C73" s="2" t="s">
        <v>151</v>
      </c>
      <c r="D73" s="1" t="s">
        <v>152</v>
      </c>
      <c r="I73" s="2" t="s">
        <v>151</v>
      </c>
      <c r="Q73" s="1" t="str">
        <f t="shared" si="42"/>
        <v>Paid in Advance</v>
      </c>
      <c r="S73" s="1" t="str">
        <f t="shared" si="32"/>
        <v>1-ACTV</v>
      </c>
      <c r="T73" s="1" t="str">
        <f t="shared" si="33"/>
        <v>1-0000</v>
      </c>
      <c r="U73" s="1" t="str">
        <f t="shared" si="34"/>
        <v>1-4000</v>
      </c>
      <c r="V73" s="1" t="str">
        <f t="shared" si="35"/>
        <v>1-4100</v>
      </c>
      <c r="W73" s="1" t="str">
        <f t="shared" si="36"/>
        <v>1-2240</v>
      </c>
      <c r="X73" s="1" t="str">
        <f t="shared" si="37"/>
        <v/>
      </c>
      <c r="Y73" s="1" t="str">
        <f t="shared" si="38"/>
        <v/>
      </c>
      <c r="Z73" s="1" t="str">
        <f t="shared" si="39"/>
        <v/>
      </c>
      <c r="AA73" s="1" t="str">
        <f t="shared" si="40"/>
        <v/>
      </c>
      <c r="AB73" s="1" t="str">
        <f t="shared" si="41"/>
        <v/>
      </c>
      <c r="AD73" s="1" t="str">
        <f t="shared" si="22"/>
        <v/>
      </c>
      <c r="AE73" s="1" t="str">
        <f t="shared" si="23"/>
        <v/>
      </c>
      <c r="AF73" s="1" t="str">
        <f t="shared" si="24"/>
        <v xml:space="preserve">PERFORM * FROM "SchData-OLTP-Accounting"."Func_TblChartOfAccount_SET"(varSystemLoginSession, null, null, null, varInstitutionBranchID, null, '1-4100', 'Paid in Advance', 62000000000001::bigint, '2016-01-01 00:00:00'::timestamp, null::timestamp); </v>
      </c>
      <c r="AG73" s="1" t="str">
        <f t="shared" si="25"/>
        <v/>
      </c>
      <c r="AH73" s="1" t="str">
        <f t="shared" si="26"/>
        <v/>
      </c>
      <c r="AI73" s="1" t="str">
        <f t="shared" si="27"/>
        <v/>
      </c>
      <c r="AJ73" s="1" t="str">
        <f t="shared" si="28"/>
        <v/>
      </c>
      <c r="AK73" s="1" t="str">
        <f t="shared" si="29"/>
        <v/>
      </c>
      <c r="AL73" s="1" t="str">
        <f t="shared" si="30"/>
        <v/>
      </c>
      <c r="AM73" s="1" t="str">
        <f t="shared" si="31"/>
        <v/>
      </c>
      <c r="AO73" s="8" t="str">
        <f t="shared" si="43"/>
        <v xml:space="preserve">PERFORM * FROM "SchData-OLTP-Accounting"."Func_TblChartOfAccount_SET"(varSystemLoginSession, null, null, null, varInstitutionBranchID, null, '1-4100', 'Paid in Advance', 62000000000001::bigint, '2016-01-01 00:00:00'::timestamp, null::timestamp); </v>
      </c>
    </row>
    <row r="74" spans="2:41" x14ac:dyDescent="0.25">
      <c r="B74" s="1">
        <v>3</v>
      </c>
      <c r="C74" s="2" t="s">
        <v>153</v>
      </c>
      <c r="D74" s="1" t="s">
        <v>154</v>
      </c>
      <c r="I74" s="2" t="s">
        <v>153</v>
      </c>
      <c r="Q74" s="1" t="str">
        <f t="shared" si="42"/>
        <v>Advance</v>
      </c>
      <c r="S74" s="1" t="str">
        <f t="shared" si="32"/>
        <v>1-ACTV</v>
      </c>
      <c r="T74" s="1" t="str">
        <f t="shared" si="33"/>
        <v>1-0000</v>
      </c>
      <c r="U74" s="1" t="str">
        <f t="shared" si="34"/>
        <v>1-4000</v>
      </c>
      <c r="V74" s="1" t="str">
        <f t="shared" si="35"/>
        <v>1-4110</v>
      </c>
      <c r="W74" s="1" t="str">
        <f t="shared" si="36"/>
        <v>1-2240</v>
      </c>
      <c r="X74" s="1" t="str">
        <f t="shared" si="37"/>
        <v/>
      </c>
      <c r="Y74" s="1" t="str">
        <f t="shared" si="38"/>
        <v/>
      </c>
      <c r="Z74" s="1" t="str">
        <f t="shared" si="39"/>
        <v/>
      </c>
      <c r="AA74" s="1" t="str">
        <f t="shared" si="40"/>
        <v/>
      </c>
      <c r="AB74" s="1" t="str">
        <f t="shared" si="41"/>
        <v/>
      </c>
      <c r="AD74" s="1" t="str">
        <f t="shared" si="22"/>
        <v/>
      </c>
      <c r="AE74" s="1" t="str">
        <f t="shared" si="23"/>
        <v/>
      </c>
      <c r="AF74" s="1" t="str">
        <f t="shared" si="24"/>
        <v xml:space="preserve">PERFORM * FROM "SchData-OLTP-Accounting"."Func_TblChartOfAccount_SET"(varSystemLoginSession, null, null, null, varInstitutionBranchID, null, '1-4110', 'Advance', 62000000000001::bigint, '2016-01-01 00:00:00'::timestamp, null::timestamp); </v>
      </c>
      <c r="AG74" s="1" t="str">
        <f t="shared" si="25"/>
        <v/>
      </c>
      <c r="AH74" s="1" t="str">
        <f t="shared" si="26"/>
        <v/>
      </c>
      <c r="AI74" s="1" t="str">
        <f t="shared" si="27"/>
        <v/>
      </c>
      <c r="AJ74" s="1" t="str">
        <f t="shared" si="28"/>
        <v/>
      </c>
      <c r="AK74" s="1" t="str">
        <f t="shared" si="29"/>
        <v/>
      </c>
      <c r="AL74" s="1" t="str">
        <f t="shared" si="30"/>
        <v/>
      </c>
      <c r="AM74" s="1" t="str">
        <f t="shared" si="31"/>
        <v/>
      </c>
      <c r="AO74" s="8" t="str">
        <f t="shared" si="43"/>
        <v xml:space="preserve">PERFORM * FROM "SchData-OLTP-Accounting"."Func_TblChartOfAccount_SET"(varSystemLoginSession, null, null, null, varInstitutionBranchID, null, '1-4110', 'Advance', 62000000000001::bigint, '2016-01-01 00:00:00'::timestamp, null::timestamp); </v>
      </c>
    </row>
    <row r="75" spans="2:41" x14ac:dyDescent="0.25">
      <c r="B75" s="1">
        <v>3</v>
      </c>
      <c r="C75" s="2" t="s">
        <v>155</v>
      </c>
      <c r="D75" s="1" t="s">
        <v>156</v>
      </c>
      <c r="I75" s="2" t="s">
        <v>155</v>
      </c>
      <c r="Q75" s="1" t="str">
        <f t="shared" si="42"/>
        <v>Advanced for Operational</v>
      </c>
      <c r="S75" s="1" t="str">
        <f t="shared" si="32"/>
        <v>1-ACTV</v>
      </c>
      <c r="T75" s="1" t="str">
        <f t="shared" si="33"/>
        <v>1-0000</v>
      </c>
      <c r="U75" s="1" t="str">
        <f t="shared" si="34"/>
        <v>1-4000</v>
      </c>
      <c r="V75" s="1" t="str">
        <f t="shared" si="35"/>
        <v>1-4200</v>
      </c>
      <c r="W75" s="1" t="str">
        <f t="shared" si="36"/>
        <v>1-2240</v>
      </c>
      <c r="X75" s="1" t="str">
        <f t="shared" si="37"/>
        <v/>
      </c>
      <c r="Y75" s="1" t="str">
        <f t="shared" si="38"/>
        <v/>
      </c>
      <c r="Z75" s="1" t="str">
        <f t="shared" si="39"/>
        <v/>
      </c>
      <c r="AA75" s="1" t="str">
        <f t="shared" si="40"/>
        <v/>
      </c>
      <c r="AB75" s="1" t="str">
        <f t="shared" si="41"/>
        <v/>
      </c>
      <c r="AD75" s="1" t="str">
        <f t="shared" si="22"/>
        <v/>
      </c>
      <c r="AE75" s="1" t="str">
        <f t="shared" si="23"/>
        <v/>
      </c>
      <c r="AF75" s="1" t="str">
        <f t="shared" si="24"/>
        <v xml:space="preserve">PERFORM * FROM "SchData-OLTP-Accounting"."Func_TblChartOfAccount_SET"(varSystemLoginSession, null, null, null, varInstitutionBranchID, null, '1-4200', 'Advanced for Operational', 62000000000001::bigint, '2016-01-01 00:00:00'::timestamp, null::timestamp); </v>
      </c>
      <c r="AG75" s="1" t="str">
        <f t="shared" si="25"/>
        <v/>
      </c>
      <c r="AH75" s="1" t="str">
        <f t="shared" si="26"/>
        <v/>
      </c>
      <c r="AI75" s="1" t="str">
        <f t="shared" si="27"/>
        <v/>
      </c>
      <c r="AJ75" s="1" t="str">
        <f t="shared" si="28"/>
        <v/>
      </c>
      <c r="AK75" s="1" t="str">
        <f t="shared" si="29"/>
        <v/>
      </c>
      <c r="AL75" s="1" t="str">
        <f t="shared" si="30"/>
        <v/>
      </c>
      <c r="AM75" s="1" t="str">
        <f t="shared" si="31"/>
        <v/>
      </c>
      <c r="AO75" s="8" t="str">
        <f t="shared" si="43"/>
        <v xml:space="preserve">PERFORM * FROM "SchData-OLTP-Accounting"."Func_TblChartOfAccount_SET"(varSystemLoginSession, null, null, null, varInstitutionBranchID, null, '1-4200', 'Advanced for Operational', 62000000000001::bigint, '2016-01-01 00:00:00'::timestamp, null::timestamp); </v>
      </c>
    </row>
    <row r="76" spans="2:41" x14ac:dyDescent="0.25">
      <c r="B76" s="1">
        <v>3</v>
      </c>
      <c r="C76" s="2" t="s">
        <v>157</v>
      </c>
      <c r="D76" s="1" t="s">
        <v>158</v>
      </c>
      <c r="I76" s="2" t="s">
        <v>157</v>
      </c>
      <c r="Q76" s="1" t="str">
        <f t="shared" si="42"/>
        <v>Suspense</v>
      </c>
      <c r="S76" s="1" t="str">
        <f t="shared" si="32"/>
        <v>1-ACTV</v>
      </c>
      <c r="T76" s="1" t="str">
        <f t="shared" si="33"/>
        <v>1-0000</v>
      </c>
      <c r="U76" s="1" t="str">
        <f t="shared" si="34"/>
        <v>1-4000</v>
      </c>
      <c r="V76" s="1" t="str">
        <f t="shared" si="35"/>
        <v>1-4300</v>
      </c>
      <c r="W76" s="1" t="str">
        <f t="shared" si="36"/>
        <v>1-2240</v>
      </c>
      <c r="X76" s="1" t="str">
        <f t="shared" si="37"/>
        <v/>
      </c>
      <c r="Y76" s="1" t="str">
        <f t="shared" si="38"/>
        <v/>
      </c>
      <c r="Z76" s="1" t="str">
        <f t="shared" si="39"/>
        <v/>
      </c>
      <c r="AA76" s="1" t="str">
        <f t="shared" si="40"/>
        <v/>
      </c>
      <c r="AB76" s="1" t="str">
        <f t="shared" si="41"/>
        <v/>
      </c>
      <c r="AD76" s="1" t="str">
        <f t="shared" si="22"/>
        <v/>
      </c>
      <c r="AE76" s="1" t="str">
        <f t="shared" si="23"/>
        <v/>
      </c>
      <c r="AF76" s="1" t="str">
        <f t="shared" si="24"/>
        <v xml:space="preserve">PERFORM * FROM "SchData-OLTP-Accounting"."Func_TblChartOfAccount_SET"(varSystemLoginSession, null, null, null, varInstitutionBranchID, null, '1-4300', 'Suspense', 62000000000001::bigint, '2016-01-01 00:00:00'::timestamp, null::timestamp); </v>
      </c>
      <c r="AG76" s="1" t="str">
        <f t="shared" si="25"/>
        <v/>
      </c>
      <c r="AH76" s="1" t="str">
        <f t="shared" si="26"/>
        <v/>
      </c>
      <c r="AI76" s="1" t="str">
        <f t="shared" si="27"/>
        <v/>
      </c>
      <c r="AJ76" s="1" t="str">
        <f t="shared" si="28"/>
        <v/>
      </c>
      <c r="AK76" s="1" t="str">
        <f t="shared" si="29"/>
        <v/>
      </c>
      <c r="AL76" s="1" t="str">
        <f t="shared" si="30"/>
        <v/>
      </c>
      <c r="AM76" s="1" t="str">
        <f t="shared" si="31"/>
        <v/>
      </c>
      <c r="AO76" s="8" t="str">
        <f t="shared" si="43"/>
        <v xml:space="preserve">PERFORM * FROM "SchData-OLTP-Accounting"."Func_TblChartOfAccount_SET"(varSystemLoginSession, null, null, null, varInstitutionBranchID, null, '1-4300', 'Suspense', 62000000000001::bigint, '2016-01-01 00:00:00'::timestamp, null::timestamp); </v>
      </c>
    </row>
    <row r="77" spans="2:41" x14ac:dyDescent="0.25">
      <c r="B77" s="1">
        <v>3</v>
      </c>
      <c r="C77" s="2" t="s">
        <v>159</v>
      </c>
      <c r="D77" s="1" t="s">
        <v>160</v>
      </c>
      <c r="I77" s="2" t="s">
        <v>159</v>
      </c>
      <c r="Q77" s="1" t="str">
        <f t="shared" si="42"/>
        <v>GST - Input Tax</v>
      </c>
      <c r="S77" s="1" t="str">
        <f t="shared" si="32"/>
        <v>1-ACTV</v>
      </c>
      <c r="T77" s="1" t="str">
        <f t="shared" si="33"/>
        <v>1-0000</v>
      </c>
      <c r="U77" s="1" t="str">
        <f t="shared" si="34"/>
        <v>1-4000</v>
      </c>
      <c r="V77" s="1" t="str">
        <f t="shared" si="35"/>
        <v>1-4400</v>
      </c>
      <c r="W77" s="1" t="str">
        <f t="shared" si="36"/>
        <v>1-2240</v>
      </c>
      <c r="X77" s="1" t="str">
        <f t="shared" si="37"/>
        <v/>
      </c>
      <c r="Y77" s="1" t="str">
        <f t="shared" si="38"/>
        <v/>
      </c>
      <c r="Z77" s="1" t="str">
        <f t="shared" si="39"/>
        <v/>
      </c>
      <c r="AA77" s="1" t="str">
        <f t="shared" si="40"/>
        <v/>
      </c>
      <c r="AB77" s="1" t="str">
        <f t="shared" si="41"/>
        <v/>
      </c>
      <c r="AD77" s="1" t="str">
        <f t="shared" si="22"/>
        <v/>
      </c>
      <c r="AE77" s="1" t="str">
        <f t="shared" si="23"/>
        <v/>
      </c>
      <c r="AF77" s="1" t="str">
        <f t="shared" si="24"/>
        <v xml:space="preserve">PERFORM * FROM "SchData-OLTP-Accounting"."Func_TblChartOfAccount_SET"(varSystemLoginSession, null, null, null, varInstitutionBranchID, null, '1-4400', 'GST - Input Tax', 62000000000001::bigint, '2016-01-01 00:00:00'::timestamp, null::timestamp); </v>
      </c>
      <c r="AG77" s="1" t="str">
        <f t="shared" si="25"/>
        <v/>
      </c>
      <c r="AH77" s="1" t="str">
        <f t="shared" si="26"/>
        <v/>
      </c>
      <c r="AI77" s="1" t="str">
        <f t="shared" si="27"/>
        <v/>
      </c>
      <c r="AJ77" s="1" t="str">
        <f t="shared" si="28"/>
        <v/>
      </c>
      <c r="AK77" s="1" t="str">
        <f t="shared" si="29"/>
        <v/>
      </c>
      <c r="AL77" s="1" t="str">
        <f t="shared" si="30"/>
        <v/>
      </c>
      <c r="AM77" s="1" t="str">
        <f t="shared" si="31"/>
        <v/>
      </c>
      <c r="AO77" s="8" t="str">
        <f t="shared" si="43"/>
        <v xml:space="preserve">PERFORM * FROM "SchData-OLTP-Accounting"."Func_TblChartOfAccount_SET"(varSystemLoginSession, null, null, null, varInstitutionBranchID, null, '1-4400', 'GST - Input Tax', 62000000000001::bigint, '2016-01-01 00:00:00'::timestamp, null::timestamp); </v>
      </c>
    </row>
    <row r="78" spans="2:41" x14ac:dyDescent="0.25">
      <c r="B78" s="1">
        <v>3</v>
      </c>
      <c r="C78" s="2" t="s">
        <v>161</v>
      </c>
      <c r="D78" s="1" t="s">
        <v>162</v>
      </c>
      <c r="I78" s="2" t="s">
        <v>161</v>
      </c>
      <c r="Q78" s="1" t="str">
        <f t="shared" si="42"/>
        <v>Security Deposit</v>
      </c>
      <c r="S78" s="1" t="str">
        <f t="shared" si="32"/>
        <v>1-ACTV</v>
      </c>
      <c r="T78" s="1" t="str">
        <f t="shared" si="33"/>
        <v>1-0000</v>
      </c>
      <c r="U78" s="1" t="str">
        <f t="shared" si="34"/>
        <v>1-4000</v>
      </c>
      <c r="V78" s="1" t="str">
        <f t="shared" si="35"/>
        <v>1-4500</v>
      </c>
      <c r="W78" s="1" t="str">
        <f t="shared" si="36"/>
        <v>1-2240</v>
      </c>
      <c r="X78" s="1" t="str">
        <f t="shared" si="37"/>
        <v/>
      </c>
      <c r="Y78" s="1" t="str">
        <f t="shared" si="38"/>
        <v/>
      </c>
      <c r="Z78" s="1" t="str">
        <f t="shared" si="39"/>
        <v/>
      </c>
      <c r="AA78" s="1" t="str">
        <f t="shared" si="40"/>
        <v/>
      </c>
      <c r="AB78" s="1" t="str">
        <f t="shared" si="41"/>
        <v/>
      </c>
      <c r="AD78" s="1" t="str">
        <f t="shared" si="22"/>
        <v/>
      </c>
      <c r="AE78" s="1" t="str">
        <f t="shared" si="23"/>
        <v/>
      </c>
      <c r="AF78" s="1" t="str">
        <f t="shared" si="24"/>
        <v xml:space="preserve">PERFORM * FROM "SchData-OLTP-Accounting"."Func_TblChartOfAccount_SET"(varSystemLoginSession, null, null, null, varInstitutionBranchID, null, '1-4500', 'Security Deposit', 62000000000001::bigint, '2016-01-01 00:00:00'::timestamp, null::timestamp); </v>
      </c>
      <c r="AG78" s="1" t="str">
        <f t="shared" si="25"/>
        <v/>
      </c>
      <c r="AH78" s="1" t="str">
        <f t="shared" si="26"/>
        <v/>
      </c>
      <c r="AI78" s="1" t="str">
        <f t="shared" si="27"/>
        <v/>
      </c>
      <c r="AJ78" s="1" t="str">
        <f t="shared" si="28"/>
        <v/>
      </c>
      <c r="AK78" s="1" t="str">
        <f t="shared" si="29"/>
        <v/>
      </c>
      <c r="AL78" s="1" t="str">
        <f t="shared" si="30"/>
        <v/>
      </c>
      <c r="AM78" s="1" t="str">
        <f t="shared" si="31"/>
        <v/>
      </c>
      <c r="AO78" s="8" t="str">
        <f t="shared" si="43"/>
        <v xml:space="preserve">PERFORM * FROM "SchData-OLTP-Accounting"."Func_TblChartOfAccount_SET"(varSystemLoginSession, null, null, null, varInstitutionBranchID, null, '1-4500', 'Security Deposit', 62000000000001::bigint, '2016-01-01 00:00:00'::timestamp, null::timestamp); </v>
      </c>
    </row>
    <row r="79" spans="2:41" x14ac:dyDescent="0.25">
      <c r="B79" s="1">
        <v>3</v>
      </c>
      <c r="C79" s="2" t="s">
        <v>163</v>
      </c>
      <c r="D79" s="1" t="s">
        <v>164</v>
      </c>
      <c r="I79" s="2" t="s">
        <v>163</v>
      </c>
      <c r="Q79" s="1" t="str">
        <f t="shared" si="42"/>
        <v>Other Prepayment</v>
      </c>
      <c r="S79" s="1" t="str">
        <f t="shared" si="32"/>
        <v>1-ACTV</v>
      </c>
      <c r="T79" s="1" t="str">
        <f t="shared" si="33"/>
        <v>1-0000</v>
      </c>
      <c r="U79" s="1" t="str">
        <f t="shared" si="34"/>
        <v>1-4000</v>
      </c>
      <c r="V79" s="1" t="str">
        <f t="shared" si="35"/>
        <v>1-4600</v>
      </c>
      <c r="W79" s="1" t="str">
        <f t="shared" si="36"/>
        <v>1-2240</v>
      </c>
      <c r="X79" s="1" t="str">
        <f t="shared" si="37"/>
        <v/>
      </c>
      <c r="Y79" s="1" t="str">
        <f t="shared" si="38"/>
        <v/>
      </c>
      <c r="Z79" s="1" t="str">
        <f t="shared" si="39"/>
        <v/>
      </c>
      <c r="AA79" s="1" t="str">
        <f t="shared" si="40"/>
        <v/>
      </c>
      <c r="AB79" s="1" t="str">
        <f t="shared" si="41"/>
        <v/>
      </c>
      <c r="AD79" s="1" t="str">
        <f t="shared" si="22"/>
        <v/>
      </c>
      <c r="AE79" s="1" t="str">
        <f t="shared" si="23"/>
        <v/>
      </c>
      <c r="AF79" s="1" t="str">
        <f t="shared" si="24"/>
        <v xml:space="preserve">PERFORM * FROM "SchData-OLTP-Accounting"."Func_TblChartOfAccount_SET"(varSystemLoginSession, null, null, null, varInstitutionBranchID, null, '1-4600', 'Other Prepayment', 62000000000001::bigint, '2016-01-01 00:00:00'::timestamp, null::timestamp); </v>
      </c>
      <c r="AG79" s="1" t="str">
        <f t="shared" si="25"/>
        <v/>
      </c>
      <c r="AH79" s="1" t="str">
        <f t="shared" si="26"/>
        <v/>
      </c>
      <c r="AI79" s="1" t="str">
        <f t="shared" si="27"/>
        <v/>
      </c>
      <c r="AJ79" s="1" t="str">
        <f t="shared" si="28"/>
        <v/>
      </c>
      <c r="AK79" s="1" t="str">
        <f t="shared" si="29"/>
        <v/>
      </c>
      <c r="AL79" s="1" t="str">
        <f t="shared" si="30"/>
        <v/>
      </c>
      <c r="AM79" s="1" t="str">
        <f t="shared" si="31"/>
        <v/>
      </c>
      <c r="AO79" s="8" t="str">
        <f t="shared" si="43"/>
        <v xml:space="preserve">PERFORM * FROM "SchData-OLTP-Accounting"."Func_TblChartOfAccount_SET"(varSystemLoginSession, null, null, null, varInstitutionBranchID, null, '1-4600', 'Other Prepayment', 62000000000001::bigint, '2016-01-01 00:00:00'::timestamp, null::timestamp); </v>
      </c>
    </row>
    <row r="80" spans="2:41" x14ac:dyDescent="0.25">
      <c r="B80" s="1">
        <v>3</v>
      </c>
      <c r="C80" s="2" t="s">
        <v>165</v>
      </c>
      <c r="D80" s="1" t="s">
        <v>166</v>
      </c>
      <c r="I80" s="2" t="s">
        <v>165</v>
      </c>
      <c r="Q80" s="1" t="str">
        <f t="shared" si="42"/>
        <v>Prepaid Tax</v>
      </c>
      <c r="S80" s="1" t="str">
        <f t="shared" si="32"/>
        <v>1-ACTV</v>
      </c>
      <c r="T80" s="1" t="str">
        <f t="shared" si="33"/>
        <v>1-0000</v>
      </c>
      <c r="U80" s="1" t="str">
        <f t="shared" si="34"/>
        <v>1-4000</v>
      </c>
      <c r="V80" s="1" t="str">
        <f t="shared" si="35"/>
        <v>1-4700</v>
      </c>
      <c r="W80" s="1" t="str">
        <f t="shared" si="36"/>
        <v>1-2240</v>
      </c>
      <c r="X80" s="1" t="str">
        <f t="shared" si="37"/>
        <v/>
      </c>
      <c r="Y80" s="1" t="str">
        <f t="shared" si="38"/>
        <v/>
      </c>
      <c r="Z80" s="1" t="str">
        <f t="shared" si="39"/>
        <v/>
      </c>
      <c r="AA80" s="1" t="str">
        <f t="shared" si="40"/>
        <v/>
      </c>
      <c r="AB80" s="1" t="str">
        <f t="shared" si="41"/>
        <v/>
      </c>
      <c r="AD80" s="1" t="str">
        <f t="shared" si="22"/>
        <v/>
      </c>
      <c r="AE80" s="1" t="str">
        <f t="shared" si="23"/>
        <v/>
      </c>
      <c r="AF80" s="1" t="str">
        <f t="shared" si="24"/>
        <v xml:space="preserve">PERFORM * FROM "SchData-OLTP-Accounting"."Func_TblChartOfAccount_SET"(varSystemLoginSession, null, null, null, varInstitutionBranchID, null, '1-4700', 'Prepaid Tax', 62000000000001::bigint, '2016-01-01 00:00:00'::timestamp, null::timestamp); </v>
      </c>
      <c r="AG80" s="1" t="str">
        <f t="shared" si="25"/>
        <v/>
      </c>
      <c r="AH80" s="1" t="str">
        <f t="shared" si="26"/>
        <v/>
      </c>
      <c r="AI80" s="1" t="str">
        <f t="shared" si="27"/>
        <v/>
      </c>
      <c r="AJ80" s="1" t="str">
        <f t="shared" si="28"/>
        <v/>
      </c>
      <c r="AK80" s="1" t="str">
        <f t="shared" si="29"/>
        <v/>
      </c>
      <c r="AL80" s="1" t="str">
        <f t="shared" si="30"/>
        <v/>
      </c>
      <c r="AM80" s="1" t="str">
        <f t="shared" si="31"/>
        <v/>
      </c>
      <c r="AO80" s="8" t="str">
        <f t="shared" si="43"/>
        <v xml:space="preserve">PERFORM * FROM "SchData-OLTP-Accounting"."Func_TblChartOfAccount_SET"(varSystemLoginSession, null, null, null, varInstitutionBranchID, null, '1-4700', 'Prepaid Tax', 62000000000001::bigint, '2016-01-01 00:00:00'::timestamp, null::timestamp); </v>
      </c>
    </row>
    <row r="81" spans="2:41" x14ac:dyDescent="0.25">
      <c r="B81" s="1">
        <v>3</v>
      </c>
      <c r="C81" s="2" t="s">
        <v>167</v>
      </c>
      <c r="D81" s="1" t="s">
        <v>168</v>
      </c>
      <c r="I81" s="2" t="s">
        <v>167</v>
      </c>
      <c r="Q81" s="1" t="str">
        <f t="shared" si="42"/>
        <v>Deferred Tax Asset</v>
      </c>
      <c r="S81" s="1" t="str">
        <f t="shared" si="32"/>
        <v>1-ACTV</v>
      </c>
      <c r="T81" s="1" t="str">
        <f t="shared" si="33"/>
        <v>1-0000</v>
      </c>
      <c r="U81" s="1" t="str">
        <f t="shared" si="34"/>
        <v>1-4000</v>
      </c>
      <c r="V81" s="1" t="str">
        <f t="shared" si="35"/>
        <v>1-4701</v>
      </c>
      <c r="W81" s="1" t="str">
        <f t="shared" si="36"/>
        <v>1-2240</v>
      </c>
      <c r="X81" s="1" t="str">
        <f t="shared" si="37"/>
        <v/>
      </c>
      <c r="Y81" s="1" t="str">
        <f t="shared" si="38"/>
        <v/>
      </c>
      <c r="Z81" s="1" t="str">
        <f t="shared" si="39"/>
        <v/>
      </c>
      <c r="AA81" s="1" t="str">
        <f t="shared" si="40"/>
        <v/>
      </c>
      <c r="AB81" s="1" t="str">
        <f t="shared" si="41"/>
        <v/>
      </c>
      <c r="AD81" s="1" t="str">
        <f t="shared" si="22"/>
        <v/>
      </c>
      <c r="AE81" s="1" t="str">
        <f t="shared" si="23"/>
        <v/>
      </c>
      <c r="AF81" s="1" t="str">
        <f t="shared" si="24"/>
        <v xml:space="preserve">PERFORM * FROM "SchData-OLTP-Accounting"."Func_TblChartOfAccount_SET"(varSystemLoginSession, null, null, null, varInstitutionBranchID, null, '1-4701', 'Deferred Tax Asset', 62000000000001::bigint, '2016-01-01 00:00:00'::timestamp, null::timestamp); </v>
      </c>
      <c r="AG81" s="1" t="str">
        <f t="shared" si="25"/>
        <v/>
      </c>
      <c r="AH81" s="1" t="str">
        <f t="shared" si="26"/>
        <v/>
      </c>
      <c r="AI81" s="1" t="str">
        <f t="shared" si="27"/>
        <v/>
      </c>
      <c r="AJ81" s="1" t="str">
        <f t="shared" si="28"/>
        <v/>
      </c>
      <c r="AK81" s="1" t="str">
        <f t="shared" si="29"/>
        <v/>
      </c>
      <c r="AL81" s="1" t="str">
        <f t="shared" si="30"/>
        <v/>
      </c>
      <c r="AM81" s="1" t="str">
        <f t="shared" si="31"/>
        <v/>
      </c>
      <c r="AO81" s="8" t="str">
        <f t="shared" si="43"/>
        <v xml:space="preserve">PERFORM * FROM "SchData-OLTP-Accounting"."Func_TblChartOfAccount_SET"(varSystemLoginSession, null, null, null, varInstitutionBranchID, null, '1-4701', 'Deferred Tax Asset', 62000000000001::bigint, '2016-01-01 00:00:00'::timestamp, null::timestamp); </v>
      </c>
    </row>
    <row r="82" spans="2:41" x14ac:dyDescent="0.25">
      <c r="B82" s="1">
        <v>3</v>
      </c>
      <c r="C82" s="2" t="s">
        <v>169</v>
      </c>
      <c r="D82" s="1" t="s">
        <v>166</v>
      </c>
      <c r="I82" s="2" t="s">
        <v>169</v>
      </c>
      <c r="Q82" s="1" t="str">
        <f t="shared" si="42"/>
        <v>Prepaid Tax</v>
      </c>
      <c r="S82" s="1" t="str">
        <f t="shared" si="32"/>
        <v>1-ACTV</v>
      </c>
      <c r="T82" s="1" t="str">
        <f t="shared" si="33"/>
        <v>1-0000</v>
      </c>
      <c r="U82" s="1" t="str">
        <f t="shared" si="34"/>
        <v>1-4000</v>
      </c>
      <c r="V82" s="1" t="str">
        <f t="shared" si="35"/>
        <v>1-4710</v>
      </c>
      <c r="W82" s="1" t="str">
        <f t="shared" si="36"/>
        <v>1-2240</v>
      </c>
      <c r="X82" s="1" t="str">
        <f t="shared" si="37"/>
        <v/>
      </c>
      <c r="Y82" s="1" t="str">
        <f t="shared" si="38"/>
        <v/>
      </c>
      <c r="Z82" s="1" t="str">
        <f t="shared" si="39"/>
        <v/>
      </c>
      <c r="AA82" s="1" t="str">
        <f t="shared" si="40"/>
        <v/>
      </c>
      <c r="AB82" s="1" t="str">
        <f t="shared" si="41"/>
        <v/>
      </c>
      <c r="AD82" s="1" t="str">
        <f t="shared" si="22"/>
        <v/>
      </c>
      <c r="AE82" s="1" t="str">
        <f t="shared" si="23"/>
        <v/>
      </c>
      <c r="AF82" s="1" t="str">
        <f t="shared" si="24"/>
        <v xml:space="preserve">PERFORM * FROM "SchData-OLTP-Accounting"."Func_TblChartOfAccount_SET"(varSystemLoginSession, null, null, null, varInstitutionBranchID, null, '1-4710', 'Prepaid Tax', 62000000000001::bigint, '2016-01-01 00:00:00'::timestamp, null::timestamp); </v>
      </c>
      <c r="AG82" s="1" t="str">
        <f t="shared" si="25"/>
        <v/>
      </c>
      <c r="AH82" s="1" t="str">
        <f t="shared" si="26"/>
        <v/>
      </c>
      <c r="AI82" s="1" t="str">
        <f t="shared" si="27"/>
        <v/>
      </c>
      <c r="AJ82" s="1" t="str">
        <f t="shared" si="28"/>
        <v/>
      </c>
      <c r="AK82" s="1" t="str">
        <f t="shared" si="29"/>
        <v/>
      </c>
      <c r="AL82" s="1" t="str">
        <f t="shared" si="30"/>
        <v/>
      </c>
      <c r="AM82" s="1" t="str">
        <f t="shared" si="31"/>
        <v/>
      </c>
      <c r="AO82" s="8" t="str">
        <f t="shared" si="43"/>
        <v xml:space="preserve">PERFORM * FROM "SchData-OLTP-Accounting"."Func_TblChartOfAccount_SET"(varSystemLoginSession, null, null, null, varInstitutionBranchID, null, '1-4710', 'Prepaid Tax', 62000000000001::bigint, '2016-01-01 00:00:00'::timestamp, null::timestamp); </v>
      </c>
    </row>
    <row r="83" spans="2:41" x14ac:dyDescent="0.25">
      <c r="B83" s="1">
        <v>4</v>
      </c>
      <c r="C83" s="2" t="s">
        <v>170</v>
      </c>
      <c r="D83" s="1" t="s">
        <v>171</v>
      </c>
      <c r="J83" s="2" t="s">
        <v>170</v>
      </c>
      <c r="Q83" s="1" t="str">
        <f t="shared" si="42"/>
        <v>Prepaid Tax 21</v>
      </c>
      <c r="S83" s="1" t="str">
        <f t="shared" si="32"/>
        <v>1-ACTV</v>
      </c>
      <c r="T83" s="1" t="str">
        <f t="shared" si="33"/>
        <v>1-0000</v>
      </c>
      <c r="U83" s="1" t="str">
        <f t="shared" si="34"/>
        <v>1-4000</v>
      </c>
      <c r="V83" s="1" t="str">
        <f t="shared" si="35"/>
        <v>1-4710</v>
      </c>
      <c r="W83" s="1" t="str">
        <f t="shared" si="36"/>
        <v>1-4715</v>
      </c>
      <c r="X83" s="1" t="str">
        <f t="shared" si="37"/>
        <v/>
      </c>
      <c r="Y83" s="1" t="str">
        <f t="shared" si="38"/>
        <v/>
      </c>
      <c r="Z83" s="1" t="str">
        <f t="shared" si="39"/>
        <v/>
      </c>
      <c r="AA83" s="1" t="str">
        <f t="shared" si="40"/>
        <v/>
      </c>
      <c r="AB83" s="1" t="str">
        <f t="shared" si="41"/>
        <v/>
      </c>
      <c r="AD83" s="1" t="str">
        <f t="shared" si="22"/>
        <v/>
      </c>
      <c r="AE83" s="1" t="str">
        <f t="shared" si="23"/>
        <v/>
      </c>
      <c r="AF83" s="1" t="str">
        <f t="shared" si="24"/>
        <v/>
      </c>
      <c r="AG83" s="1" t="str">
        <f t="shared" si="25"/>
        <v xml:space="preserve">PERFORM * FROM "SchData-OLTP-Accounting"."Func_TblChartOfAccount_SET"(varSystemLoginSession, null, null, null, varInstitutionBranchID, null, '1-4715', 'Prepaid Tax 21', 62000000000001::bigint, '2016-01-01 00:00:00'::timestamp, null::timestamp); </v>
      </c>
      <c r="AH83" s="1" t="str">
        <f t="shared" si="26"/>
        <v/>
      </c>
      <c r="AI83" s="1" t="str">
        <f t="shared" si="27"/>
        <v/>
      </c>
      <c r="AJ83" s="1" t="str">
        <f t="shared" si="28"/>
        <v/>
      </c>
      <c r="AK83" s="1" t="str">
        <f t="shared" si="29"/>
        <v/>
      </c>
      <c r="AL83" s="1" t="str">
        <f t="shared" si="30"/>
        <v/>
      </c>
      <c r="AM83" s="1" t="str">
        <f t="shared" si="31"/>
        <v/>
      </c>
      <c r="AO83" s="8" t="str">
        <f t="shared" si="43"/>
        <v xml:space="preserve">PERFORM * FROM "SchData-OLTP-Accounting"."Func_TblChartOfAccount_SET"(varSystemLoginSession, null, null, null, varInstitutionBranchID, null, '1-4715', 'Prepaid Tax 21', 62000000000001::bigint, '2016-01-01 00:00:00'::timestamp, null::timestamp); </v>
      </c>
    </row>
    <row r="84" spans="2:41" x14ac:dyDescent="0.25">
      <c r="B84" s="1">
        <v>4</v>
      </c>
      <c r="C84" s="2" t="s">
        <v>172</v>
      </c>
      <c r="D84" s="1" t="s">
        <v>173</v>
      </c>
      <c r="J84" s="2" t="s">
        <v>172</v>
      </c>
      <c r="Q84" s="1" t="str">
        <f t="shared" si="42"/>
        <v>Prepaid Tax 22</v>
      </c>
      <c r="S84" s="1" t="str">
        <f t="shared" si="32"/>
        <v>1-ACTV</v>
      </c>
      <c r="T84" s="1" t="str">
        <f t="shared" si="33"/>
        <v>1-0000</v>
      </c>
      <c r="U84" s="1" t="str">
        <f t="shared" si="34"/>
        <v>1-4000</v>
      </c>
      <c r="V84" s="1" t="str">
        <f t="shared" si="35"/>
        <v>1-4710</v>
      </c>
      <c r="W84" s="1" t="str">
        <f t="shared" si="36"/>
        <v>1-4716</v>
      </c>
      <c r="X84" s="1" t="str">
        <f t="shared" si="37"/>
        <v/>
      </c>
      <c r="Y84" s="1" t="str">
        <f t="shared" si="38"/>
        <v/>
      </c>
      <c r="Z84" s="1" t="str">
        <f t="shared" si="39"/>
        <v/>
      </c>
      <c r="AA84" s="1" t="str">
        <f t="shared" si="40"/>
        <v/>
      </c>
      <c r="AB84" s="1" t="str">
        <f t="shared" si="41"/>
        <v/>
      </c>
      <c r="AD84" s="1" t="str">
        <f t="shared" si="22"/>
        <v/>
      </c>
      <c r="AE84" s="1" t="str">
        <f t="shared" si="23"/>
        <v/>
      </c>
      <c r="AF84" s="1" t="str">
        <f t="shared" si="24"/>
        <v/>
      </c>
      <c r="AG84" s="1" t="str">
        <f t="shared" si="25"/>
        <v xml:space="preserve">PERFORM * FROM "SchData-OLTP-Accounting"."Func_TblChartOfAccount_SET"(varSystemLoginSession, null, null, null, varInstitutionBranchID, null, '1-4716', 'Prepaid Tax 22', 62000000000001::bigint, '2016-01-01 00:00:00'::timestamp, null::timestamp); </v>
      </c>
      <c r="AH84" s="1" t="str">
        <f t="shared" si="26"/>
        <v/>
      </c>
      <c r="AI84" s="1" t="str">
        <f t="shared" si="27"/>
        <v/>
      </c>
      <c r="AJ84" s="1" t="str">
        <f t="shared" si="28"/>
        <v/>
      </c>
      <c r="AK84" s="1" t="str">
        <f t="shared" si="29"/>
        <v/>
      </c>
      <c r="AL84" s="1" t="str">
        <f t="shared" si="30"/>
        <v/>
      </c>
      <c r="AM84" s="1" t="str">
        <f t="shared" si="31"/>
        <v/>
      </c>
      <c r="AO84" s="8" t="str">
        <f t="shared" si="43"/>
        <v xml:space="preserve">PERFORM * FROM "SchData-OLTP-Accounting"."Func_TblChartOfAccount_SET"(varSystemLoginSession, null, null, null, varInstitutionBranchID, null, '1-4716', 'Prepaid Tax 22', 62000000000001::bigint, '2016-01-01 00:00:00'::timestamp, null::timestamp); </v>
      </c>
    </row>
    <row r="85" spans="2:41" x14ac:dyDescent="0.25">
      <c r="B85" s="1">
        <v>4</v>
      </c>
      <c r="C85" s="2" t="s">
        <v>174</v>
      </c>
      <c r="D85" s="1" t="s">
        <v>175</v>
      </c>
      <c r="J85" s="2" t="s">
        <v>174</v>
      </c>
      <c r="Q85" s="1" t="str">
        <f t="shared" si="42"/>
        <v>Prepaid Tax 23</v>
      </c>
      <c r="S85" s="1" t="str">
        <f t="shared" si="32"/>
        <v>1-ACTV</v>
      </c>
      <c r="T85" s="1" t="str">
        <f t="shared" si="33"/>
        <v>1-0000</v>
      </c>
      <c r="U85" s="1" t="str">
        <f t="shared" si="34"/>
        <v>1-4000</v>
      </c>
      <c r="V85" s="1" t="str">
        <f t="shared" si="35"/>
        <v>1-4710</v>
      </c>
      <c r="W85" s="1" t="str">
        <f t="shared" si="36"/>
        <v>1-4717</v>
      </c>
      <c r="X85" s="1" t="str">
        <f t="shared" si="37"/>
        <v/>
      </c>
      <c r="Y85" s="1" t="str">
        <f t="shared" si="38"/>
        <v/>
      </c>
      <c r="Z85" s="1" t="str">
        <f t="shared" si="39"/>
        <v/>
      </c>
      <c r="AA85" s="1" t="str">
        <f t="shared" si="40"/>
        <v/>
      </c>
      <c r="AB85" s="1" t="str">
        <f t="shared" si="41"/>
        <v/>
      </c>
      <c r="AD85" s="1" t="str">
        <f t="shared" si="22"/>
        <v/>
      </c>
      <c r="AE85" s="1" t="str">
        <f t="shared" si="23"/>
        <v/>
      </c>
      <c r="AF85" s="1" t="str">
        <f t="shared" si="24"/>
        <v/>
      </c>
      <c r="AG85" s="1" t="str">
        <f t="shared" si="25"/>
        <v xml:space="preserve">PERFORM * FROM "SchData-OLTP-Accounting"."Func_TblChartOfAccount_SET"(varSystemLoginSession, null, null, null, varInstitutionBranchID, null, '1-4717', 'Prepaid Tax 23', 62000000000001::bigint, '2016-01-01 00:00:00'::timestamp, null::timestamp); </v>
      </c>
      <c r="AH85" s="1" t="str">
        <f t="shared" si="26"/>
        <v/>
      </c>
      <c r="AI85" s="1" t="str">
        <f t="shared" si="27"/>
        <v/>
      </c>
      <c r="AJ85" s="1" t="str">
        <f t="shared" si="28"/>
        <v/>
      </c>
      <c r="AK85" s="1" t="str">
        <f t="shared" si="29"/>
        <v/>
      </c>
      <c r="AL85" s="1" t="str">
        <f t="shared" si="30"/>
        <v/>
      </c>
      <c r="AM85" s="1" t="str">
        <f t="shared" si="31"/>
        <v/>
      </c>
      <c r="AO85" s="8" t="str">
        <f t="shared" si="43"/>
        <v xml:space="preserve">PERFORM * FROM "SchData-OLTP-Accounting"."Func_TblChartOfAccount_SET"(varSystemLoginSession, null, null, null, varInstitutionBranchID, null, '1-4717', 'Prepaid Tax 23', 62000000000001::bigint, '2016-01-01 00:00:00'::timestamp, null::timestamp); </v>
      </c>
    </row>
    <row r="86" spans="2:41" x14ac:dyDescent="0.25">
      <c r="B86" s="1">
        <v>4</v>
      </c>
      <c r="C86" s="2" t="s">
        <v>176</v>
      </c>
      <c r="D86" s="1" t="s">
        <v>177</v>
      </c>
      <c r="J86" s="2" t="s">
        <v>176</v>
      </c>
      <c r="Q86" s="1" t="str">
        <f t="shared" si="42"/>
        <v>Prepaid Tax 25</v>
      </c>
      <c r="S86" s="1" t="str">
        <f t="shared" si="32"/>
        <v>1-ACTV</v>
      </c>
      <c r="T86" s="1" t="str">
        <f t="shared" si="33"/>
        <v>1-0000</v>
      </c>
      <c r="U86" s="1" t="str">
        <f t="shared" si="34"/>
        <v>1-4000</v>
      </c>
      <c r="V86" s="1" t="str">
        <f t="shared" si="35"/>
        <v>1-4710</v>
      </c>
      <c r="W86" s="1" t="str">
        <f t="shared" si="36"/>
        <v>1-4718</v>
      </c>
      <c r="X86" s="1" t="str">
        <f t="shared" si="37"/>
        <v/>
      </c>
      <c r="Y86" s="1" t="str">
        <f t="shared" si="38"/>
        <v/>
      </c>
      <c r="Z86" s="1" t="str">
        <f t="shared" si="39"/>
        <v/>
      </c>
      <c r="AA86" s="1" t="str">
        <f t="shared" si="40"/>
        <v/>
      </c>
      <c r="AB86" s="1" t="str">
        <f t="shared" si="41"/>
        <v/>
      </c>
      <c r="AD86" s="1" t="str">
        <f t="shared" si="22"/>
        <v/>
      </c>
      <c r="AE86" s="1" t="str">
        <f t="shared" si="23"/>
        <v/>
      </c>
      <c r="AF86" s="1" t="str">
        <f t="shared" si="24"/>
        <v/>
      </c>
      <c r="AG86" s="1" t="str">
        <f t="shared" si="25"/>
        <v xml:space="preserve">PERFORM * FROM "SchData-OLTP-Accounting"."Func_TblChartOfAccount_SET"(varSystemLoginSession, null, null, null, varInstitutionBranchID, null, '1-4718', 'Prepaid Tax 25', 62000000000001::bigint, '2016-01-01 00:00:00'::timestamp, null::timestamp); </v>
      </c>
      <c r="AH86" s="1" t="str">
        <f t="shared" si="26"/>
        <v/>
      </c>
      <c r="AI86" s="1" t="str">
        <f t="shared" si="27"/>
        <v/>
      </c>
      <c r="AJ86" s="1" t="str">
        <f t="shared" si="28"/>
        <v/>
      </c>
      <c r="AK86" s="1" t="str">
        <f t="shared" si="29"/>
        <v/>
      </c>
      <c r="AL86" s="1" t="str">
        <f t="shared" si="30"/>
        <v/>
      </c>
      <c r="AM86" s="1" t="str">
        <f t="shared" si="31"/>
        <v/>
      </c>
      <c r="AO86" s="8" t="str">
        <f t="shared" si="43"/>
        <v xml:space="preserve">PERFORM * FROM "SchData-OLTP-Accounting"."Func_TblChartOfAccount_SET"(varSystemLoginSession, null, null, null, varInstitutionBranchID, null, '1-4718', 'Prepaid Tax 25', 62000000000001::bigint, '2016-01-01 00:00:00'::timestamp, null::timestamp); </v>
      </c>
    </row>
    <row r="87" spans="2:41" x14ac:dyDescent="0.25">
      <c r="B87" s="1">
        <v>3</v>
      </c>
      <c r="C87" s="2" t="s">
        <v>178</v>
      </c>
      <c r="D87" s="1" t="s">
        <v>179</v>
      </c>
      <c r="I87" s="2" t="s">
        <v>178</v>
      </c>
      <c r="Q87" s="1" t="str">
        <f t="shared" si="42"/>
        <v>Unbilled Receivable</v>
      </c>
      <c r="S87" s="1" t="str">
        <f t="shared" si="32"/>
        <v>1-ACTV</v>
      </c>
      <c r="T87" s="1" t="str">
        <f t="shared" si="33"/>
        <v>1-0000</v>
      </c>
      <c r="U87" s="1" t="str">
        <f t="shared" si="34"/>
        <v>1-4000</v>
      </c>
      <c r="V87" s="1" t="str">
        <f t="shared" si="35"/>
        <v>1-4800</v>
      </c>
      <c r="W87" s="1" t="str">
        <f t="shared" si="36"/>
        <v>1-4718</v>
      </c>
      <c r="X87" s="1" t="str">
        <f t="shared" si="37"/>
        <v/>
      </c>
      <c r="Y87" s="1" t="str">
        <f t="shared" si="38"/>
        <v/>
      </c>
      <c r="Z87" s="1" t="str">
        <f t="shared" si="39"/>
        <v/>
      </c>
      <c r="AA87" s="1" t="str">
        <f t="shared" si="40"/>
        <v/>
      </c>
      <c r="AB87" s="1" t="str">
        <f t="shared" si="41"/>
        <v/>
      </c>
      <c r="AD87" s="1" t="str">
        <f t="shared" si="22"/>
        <v/>
      </c>
      <c r="AE87" s="1" t="str">
        <f t="shared" si="23"/>
        <v/>
      </c>
      <c r="AF87" s="1" t="str">
        <f t="shared" si="24"/>
        <v xml:space="preserve">PERFORM * FROM "SchData-OLTP-Accounting"."Func_TblChartOfAccount_SET"(varSystemLoginSession, null, null, null, varInstitutionBranchID, null, '1-4800', 'Unbilled Receivable', 62000000000001::bigint, '2016-01-01 00:00:00'::timestamp, null::timestamp); </v>
      </c>
      <c r="AG87" s="1" t="str">
        <f t="shared" si="25"/>
        <v/>
      </c>
      <c r="AH87" s="1" t="str">
        <f t="shared" si="26"/>
        <v/>
      </c>
      <c r="AI87" s="1" t="str">
        <f t="shared" si="27"/>
        <v/>
      </c>
      <c r="AJ87" s="1" t="str">
        <f t="shared" si="28"/>
        <v/>
      </c>
      <c r="AK87" s="1" t="str">
        <f t="shared" si="29"/>
        <v/>
      </c>
      <c r="AL87" s="1" t="str">
        <f t="shared" si="30"/>
        <v/>
      </c>
      <c r="AM87" s="1" t="str">
        <f t="shared" si="31"/>
        <v/>
      </c>
      <c r="AO87" s="8" t="str">
        <f t="shared" si="43"/>
        <v xml:space="preserve">PERFORM * FROM "SchData-OLTP-Accounting"."Func_TblChartOfAccount_SET"(varSystemLoginSession, null, null, null, varInstitutionBranchID, null, '1-4800', 'Unbilled Receivable', 62000000000001::bigint, '2016-01-01 00:00:00'::timestamp, null::timestamp); </v>
      </c>
    </row>
    <row r="88" spans="2:41" x14ac:dyDescent="0.25">
      <c r="B88" s="1">
        <v>3</v>
      </c>
      <c r="C88" s="2" t="s">
        <v>180</v>
      </c>
      <c r="D88" s="1" t="s">
        <v>181</v>
      </c>
      <c r="I88" s="2" t="s">
        <v>180</v>
      </c>
      <c r="Q88" s="1" t="str">
        <f t="shared" si="42"/>
        <v>Work in Progress</v>
      </c>
      <c r="S88" s="1" t="str">
        <f t="shared" si="32"/>
        <v>1-ACTV</v>
      </c>
      <c r="T88" s="1" t="str">
        <f t="shared" si="33"/>
        <v>1-0000</v>
      </c>
      <c r="U88" s="1" t="str">
        <f t="shared" si="34"/>
        <v>1-4000</v>
      </c>
      <c r="V88" s="1" t="str">
        <f t="shared" si="35"/>
        <v>1-4900</v>
      </c>
      <c r="W88" s="1" t="str">
        <f t="shared" si="36"/>
        <v>1-4718</v>
      </c>
      <c r="X88" s="1" t="str">
        <f t="shared" si="37"/>
        <v/>
      </c>
      <c r="Y88" s="1" t="str">
        <f t="shared" si="38"/>
        <v/>
      </c>
      <c r="Z88" s="1" t="str">
        <f t="shared" si="39"/>
        <v/>
      </c>
      <c r="AA88" s="1" t="str">
        <f t="shared" si="40"/>
        <v/>
      </c>
      <c r="AB88" s="1" t="str">
        <f t="shared" si="41"/>
        <v/>
      </c>
      <c r="AD88" s="1" t="str">
        <f t="shared" si="22"/>
        <v/>
      </c>
      <c r="AE88" s="1" t="str">
        <f t="shared" si="23"/>
        <v/>
      </c>
      <c r="AF88" s="1" t="str">
        <f t="shared" si="24"/>
        <v xml:space="preserve">PERFORM * FROM "SchData-OLTP-Accounting"."Func_TblChartOfAccount_SET"(varSystemLoginSession, null, null, null, varInstitutionBranchID, null, '1-4900', 'Work in Progress', 62000000000001::bigint, '2016-01-01 00:00:00'::timestamp, null::timestamp); </v>
      </c>
      <c r="AG88" s="1" t="str">
        <f t="shared" si="25"/>
        <v/>
      </c>
      <c r="AH88" s="1" t="str">
        <f t="shared" si="26"/>
        <v/>
      </c>
      <c r="AI88" s="1" t="str">
        <f t="shared" si="27"/>
        <v/>
      </c>
      <c r="AJ88" s="1" t="str">
        <f t="shared" si="28"/>
        <v/>
      </c>
      <c r="AK88" s="1" t="str">
        <f t="shared" si="29"/>
        <v/>
      </c>
      <c r="AL88" s="1" t="str">
        <f t="shared" si="30"/>
        <v/>
      </c>
      <c r="AM88" s="1" t="str">
        <f t="shared" si="31"/>
        <v/>
      </c>
      <c r="AO88" s="8" t="str">
        <f t="shared" si="43"/>
        <v xml:space="preserve">PERFORM * FROM "SchData-OLTP-Accounting"."Func_TblChartOfAccount_SET"(varSystemLoginSession, null, null, null, varInstitutionBranchID, null, '1-4900', 'Work in Progress', 62000000000001::bigint, '2016-01-01 00:00:00'::timestamp, null::timestamp); </v>
      </c>
    </row>
    <row r="89" spans="2:41" x14ac:dyDescent="0.25">
      <c r="B89" s="1">
        <v>2</v>
      </c>
      <c r="C89" s="2" t="s">
        <v>182</v>
      </c>
      <c r="D89" s="1" t="s">
        <v>183</v>
      </c>
      <c r="H89" s="2" t="s">
        <v>182</v>
      </c>
      <c r="Q89" s="1" t="str">
        <f t="shared" si="42"/>
        <v>Long Term Assets</v>
      </c>
      <c r="S89" s="1" t="str">
        <f t="shared" si="32"/>
        <v>1-ACTV</v>
      </c>
      <c r="T89" s="1" t="str">
        <f t="shared" si="33"/>
        <v>1-0000</v>
      </c>
      <c r="U89" s="1" t="str">
        <f t="shared" si="34"/>
        <v>1-5000</v>
      </c>
      <c r="V89" s="1" t="str">
        <f t="shared" si="35"/>
        <v>1-4900</v>
      </c>
      <c r="W89" s="1" t="str">
        <f t="shared" si="36"/>
        <v>1-4718</v>
      </c>
      <c r="X89" s="1" t="str">
        <f t="shared" si="37"/>
        <v/>
      </c>
      <c r="Y89" s="1" t="str">
        <f t="shared" si="38"/>
        <v/>
      </c>
      <c r="Z89" s="1" t="str">
        <f t="shared" si="39"/>
        <v/>
      </c>
      <c r="AA89" s="1" t="str">
        <f t="shared" si="40"/>
        <v/>
      </c>
      <c r="AB89" s="1" t="str">
        <f t="shared" si="41"/>
        <v/>
      </c>
      <c r="AD89" s="1" t="str">
        <f t="shared" si="22"/>
        <v/>
      </c>
      <c r="AE89" s="1" t="str">
        <f t="shared" si="23"/>
        <v xml:space="preserve">PERFORM * FROM "SchData-OLTP-Accounting"."Func_TblChartOfAccount_SET"(varSystemLoginSession, null, null, null, varInstitutionBranchID, null, '1-5000', 'Long Term Assets', 62000000000001::bigint, '2016-01-01 00:00:00'::timestamp, null::timestamp); </v>
      </c>
      <c r="AF89" s="1" t="str">
        <f t="shared" si="24"/>
        <v/>
      </c>
      <c r="AG89" s="1" t="str">
        <f t="shared" si="25"/>
        <v/>
      </c>
      <c r="AH89" s="1" t="str">
        <f t="shared" si="26"/>
        <v/>
      </c>
      <c r="AI89" s="1" t="str">
        <f t="shared" si="27"/>
        <v/>
      </c>
      <c r="AJ89" s="1" t="str">
        <f t="shared" si="28"/>
        <v/>
      </c>
      <c r="AK89" s="1" t="str">
        <f t="shared" si="29"/>
        <v/>
      </c>
      <c r="AL89" s="1" t="str">
        <f t="shared" si="30"/>
        <v/>
      </c>
      <c r="AM89" s="1" t="str">
        <f t="shared" si="31"/>
        <v/>
      </c>
      <c r="AO89" s="8" t="str">
        <f t="shared" si="43"/>
        <v xml:space="preserve">PERFORM * FROM "SchData-OLTP-Accounting"."Func_TblChartOfAccount_SET"(varSystemLoginSession, null, null, null, varInstitutionBranchID, null, '1-5000', 'Long Term Assets', 62000000000001::bigint, '2016-01-01 00:00:00'::timestamp, null::timestamp); </v>
      </c>
    </row>
    <row r="90" spans="2:41" x14ac:dyDescent="0.25">
      <c r="B90" s="1">
        <v>3</v>
      </c>
      <c r="C90" s="2" t="s">
        <v>184</v>
      </c>
      <c r="D90" s="1" t="s">
        <v>185</v>
      </c>
      <c r="I90" s="2" t="s">
        <v>184</v>
      </c>
      <c r="Q90" s="1" t="str">
        <f t="shared" si="42"/>
        <v>Investasi Saham DHD</v>
      </c>
      <c r="S90" s="1" t="str">
        <f t="shared" si="32"/>
        <v>1-ACTV</v>
      </c>
      <c r="T90" s="1" t="str">
        <f t="shared" si="33"/>
        <v>1-0000</v>
      </c>
      <c r="U90" s="1" t="str">
        <f t="shared" si="34"/>
        <v>1-5000</v>
      </c>
      <c r="V90" s="1" t="str">
        <f t="shared" si="35"/>
        <v>1-5101</v>
      </c>
      <c r="W90" s="1" t="str">
        <f t="shared" si="36"/>
        <v>1-4718</v>
      </c>
      <c r="X90" s="1" t="str">
        <f t="shared" si="37"/>
        <v/>
      </c>
      <c r="Y90" s="1" t="str">
        <f t="shared" si="38"/>
        <v/>
      </c>
      <c r="Z90" s="1" t="str">
        <f t="shared" si="39"/>
        <v/>
      </c>
      <c r="AA90" s="1" t="str">
        <f t="shared" si="40"/>
        <v/>
      </c>
      <c r="AB90" s="1" t="str">
        <f t="shared" si="41"/>
        <v/>
      </c>
      <c r="AD90" s="1" t="str">
        <f t="shared" si="22"/>
        <v/>
      </c>
      <c r="AE90" s="1" t="str">
        <f t="shared" si="23"/>
        <v/>
      </c>
      <c r="AF90" s="1" t="str">
        <f t="shared" si="24"/>
        <v xml:space="preserve">PERFORM * FROM "SchData-OLTP-Accounting"."Func_TblChartOfAccount_SET"(varSystemLoginSession, null, null, null, varInstitutionBranchID, null, '1-5101', 'Investasi Saham DHD', 62000000000001::bigint, '2016-01-01 00:00:00'::timestamp, null::timestamp); </v>
      </c>
      <c r="AG90" s="1" t="str">
        <f t="shared" si="25"/>
        <v/>
      </c>
      <c r="AH90" s="1" t="str">
        <f t="shared" si="26"/>
        <v/>
      </c>
      <c r="AI90" s="1" t="str">
        <f t="shared" si="27"/>
        <v/>
      </c>
      <c r="AJ90" s="1" t="str">
        <f t="shared" si="28"/>
        <v/>
      </c>
      <c r="AK90" s="1" t="str">
        <f t="shared" si="29"/>
        <v/>
      </c>
      <c r="AL90" s="1" t="str">
        <f t="shared" si="30"/>
        <v/>
      </c>
      <c r="AM90" s="1" t="str">
        <f t="shared" si="31"/>
        <v/>
      </c>
      <c r="AO90" s="8" t="str">
        <f t="shared" si="43"/>
        <v xml:space="preserve">PERFORM * FROM "SchData-OLTP-Accounting"."Func_TblChartOfAccount_SET"(varSystemLoginSession, null, null, null, varInstitutionBranchID, null, '1-5101', 'Investasi Saham DHD', 62000000000001::bigint, '2016-01-01 00:00:00'::timestamp, null::timestamp); </v>
      </c>
    </row>
    <row r="91" spans="2:41" x14ac:dyDescent="0.25">
      <c r="B91" s="1">
        <v>3</v>
      </c>
      <c r="C91" s="2" t="s">
        <v>186</v>
      </c>
      <c r="D91" s="1" t="s">
        <v>187</v>
      </c>
      <c r="I91" s="2" t="s">
        <v>186</v>
      </c>
      <c r="Q91" s="1" t="str">
        <f t="shared" si="42"/>
        <v>Investasi Saham KHA</v>
      </c>
      <c r="S91" s="1" t="str">
        <f t="shared" si="32"/>
        <v>1-ACTV</v>
      </c>
      <c r="T91" s="1" t="str">
        <f t="shared" si="33"/>
        <v>1-0000</v>
      </c>
      <c r="U91" s="1" t="str">
        <f t="shared" si="34"/>
        <v>1-5000</v>
      </c>
      <c r="V91" s="1" t="str">
        <f t="shared" si="35"/>
        <v>1-5102</v>
      </c>
      <c r="W91" s="1" t="str">
        <f t="shared" si="36"/>
        <v>1-4718</v>
      </c>
      <c r="X91" s="1" t="str">
        <f t="shared" si="37"/>
        <v/>
      </c>
      <c r="Y91" s="1" t="str">
        <f t="shared" si="38"/>
        <v/>
      </c>
      <c r="Z91" s="1" t="str">
        <f t="shared" si="39"/>
        <v/>
      </c>
      <c r="AA91" s="1" t="str">
        <f t="shared" si="40"/>
        <v/>
      </c>
      <c r="AB91" s="1" t="str">
        <f t="shared" si="41"/>
        <v/>
      </c>
      <c r="AD91" s="1" t="str">
        <f t="shared" si="22"/>
        <v/>
      </c>
      <c r="AE91" s="1" t="str">
        <f t="shared" si="23"/>
        <v/>
      </c>
      <c r="AF91" s="1" t="str">
        <f t="shared" si="24"/>
        <v xml:space="preserve">PERFORM * FROM "SchData-OLTP-Accounting"."Func_TblChartOfAccount_SET"(varSystemLoginSession, null, null, null, varInstitutionBranchID, null, '1-5102', 'Investasi Saham KHA', 62000000000001::bigint, '2016-01-01 00:00:00'::timestamp, null::timestamp); </v>
      </c>
      <c r="AG91" s="1" t="str">
        <f t="shared" si="25"/>
        <v/>
      </c>
      <c r="AH91" s="1" t="str">
        <f t="shared" si="26"/>
        <v/>
      </c>
      <c r="AI91" s="1" t="str">
        <f t="shared" si="27"/>
        <v/>
      </c>
      <c r="AJ91" s="1" t="str">
        <f t="shared" si="28"/>
        <v/>
      </c>
      <c r="AK91" s="1" t="str">
        <f t="shared" si="29"/>
        <v/>
      </c>
      <c r="AL91" s="1" t="str">
        <f t="shared" si="30"/>
        <v/>
      </c>
      <c r="AM91" s="1" t="str">
        <f t="shared" si="31"/>
        <v/>
      </c>
      <c r="AO91" s="8" t="str">
        <f t="shared" si="43"/>
        <v xml:space="preserve">PERFORM * FROM "SchData-OLTP-Accounting"."Func_TblChartOfAccount_SET"(varSystemLoginSession, null, null, null, varInstitutionBranchID, null, '1-5102', 'Investasi Saham KHA', 62000000000001::bigint, '2016-01-01 00:00:00'::timestamp, null::timestamp); </v>
      </c>
    </row>
    <row r="92" spans="2:41" x14ac:dyDescent="0.25">
      <c r="B92" s="1">
        <v>2</v>
      </c>
      <c r="C92" s="2" t="s">
        <v>188</v>
      </c>
      <c r="D92" s="1" t="s">
        <v>189</v>
      </c>
      <c r="H92" s="2" t="s">
        <v>188</v>
      </c>
      <c r="Q92" s="1" t="str">
        <f t="shared" si="42"/>
        <v>Fixed Assets</v>
      </c>
      <c r="S92" s="1" t="str">
        <f t="shared" si="32"/>
        <v>1-ACTV</v>
      </c>
      <c r="T92" s="1" t="str">
        <f t="shared" si="33"/>
        <v>1-0000</v>
      </c>
      <c r="U92" s="1" t="str">
        <f t="shared" si="34"/>
        <v>1-6000</v>
      </c>
      <c r="V92" s="1" t="str">
        <f t="shared" si="35"/>
        <v>1-5102</v>
      </c>
      <c r="W92" s="1" t="str">
        <f t="shared" si="36"/>
        <v>1-4718</v>
      </c>
      <c r="X92" s="1" t="str">
        <f t="shared" si="37"/>
        <v/>
      </c>
      <c r="Y92" s="1" t="str">
        <f t="shared" si="38"/>
        <v/>
      </c>
      <c r="Z92" s="1" t="str">
        <f t="shared" si="39"/>
        <v/>
      </c>
      <c r="AA92" s="1" t="str">
        <f t="shared" si="40"/>
        <v/>
      </c>
      <c r="AB92" s="1" t="str">
        <f t="shared" si="41"/>
        <v/>
      </c>
      <c r="AD92" s="1" t="str">
        <f t="shared" si="22"/>
        <v/>
      </c>
      <c r="AE92" s="1" t="str">
        <f t="shared" si="23"/>
        <v xml:space="preserve">PERFORM * FROM "SchData-OLTP-Accounting"."Func_TblChartOfAccount_SET"(varSystemLoginSession, null, null, null, varInstitutionBranchID, null, '1-6000', 'Fixed Assets', 62000000000001::bigint, '2016-01-01 00:00:00'::timestamp, null::timestamp); </v>
      </c>
      <c r="AF92" s="1" t="str">
        <f t="shared" si="24"/>
        <v/>
      </c>
      <c r="AG92" s="1" t="str">
        <f t="shared" si="25"/>
        <v/>
      </c>
      <c r="AH92" s="1" t="str">
        <f t="shared" si="26"/>
        <v/>
      </c>
      <c r="AI92" s="1" t="str">
        <f t="shared" si="27"/>
        <v/>
      </c>
      <c r="AJ92" s="1" t="str">
        <f t="shared" si="28"/>
        <v/>
      </c>
      <c r="AK92" s="1" t="str">
        <f t="shared" si="29"/>
        <v/>
      </c>
      <c r="AL92" s="1" t="str">
        <f t="shared" si="30"/>
        <v/>
      </c>
      <c r="AM92" s="1" t="str">
        <f t="shared" si="31"/>
        <v/>
      </c>
      <c r="AO92" s="8" t="str">
        <f t="shared" si="43"/>
        <v xml:space="preserve">PERFORM * FROM "SchData-OLTP-Accounting"."Func_TblChartOfAccount_SET"(varSystemLoginSession, null, null, null, varInstitutionBranchID, null, '1-6000', 'Fixed Assets', 62000000000001::bigint, '2016-01-01 00:00:00'::timestamp, null::timestamp); </v>
      </c>
    </row>
    <row r="93" spans="2:41" x14ac:dyDescent="0.25">
      <c r="B93" s="1">
        <v>3</v>
      </c>
      <c r="C93" s="2" t="s">
        <v>190</v>
      </c>
      <c r="D93" s="1" t="s">
        <v>191</v>
      </c>
      <c r="I93" s="2" t="s">
        <v>190</v>
      </c>
      <c r="Q93" s="1" t="str">
        <f t="shared" si="42"/>
        <v>Building - Improvement</v>
      </c>
      <c r="S93" s="1" t="str">
        <f t="shared" si="32"/>
        <v>1-ACTV</v>
      </c>
      <c r="T93" s="1" t="str">
        <f t="shared" si="33"/>
        <v>1-0000</v>
      </c>
      <c r="U93" s="1" t="str">
        <f t="shared" si="34"/>
        <v>1-6000</v>
      </c>
      <c r="V93" s="1" t="str">
        <f t="shared" si="35"/>
        <v>1-6100</v>
      </c>
      <c r="W93" s="1" t="str">
        <f t="shared" si="36"/>
        <v>1-4718</v>
      </c>
      <c r="X93" s="1" t="str">
        <f t="shared" si="37"/>
        <v/>
      </c>
      <c r="Y93" s="1" t="str">
        <f t="shared" si="38"/>
        <v/>
      </c>
      <c r="Z93" s="1" t="str">
        <f t="shared" si="39"/>
        <v/>
      </c>
      <c r="AA93" s="1" t="str">
        <f t="shared" si="40"/>
        <v/>
      </c>
      <c r="AB93" s="1" t="str">
        <f t="shared" si="41"/>
        <v/>
      </c>
      <c r="AD93" s="1" t="str">
        <f t="shared" si="22"/>
        <v/>
      </c>
      <c r="AE93" s="1" t="str">
        <f t="shared" si="23"/>
        <v/>
      </c>
      <c r="AF93" s="1" t="str">
        <f t="shared" si="24"/>
        <v xml:space="preserve">PERFORM * FROM "SchData-OLTP-Accounting"."Func_TblChartOfAccount_SET"(varSystemLoginSession, null, null, null, varInstitutionBranchID, null, '1-6100', 'Building - Improvement', 62000000000001::bigint, '2016-01-01 00:00:00'::timestamp, null::timestamp); </v>
      </c>
      <c r="AG93" s="1" t="str">
        <f t="shared" si="25"/>
        <v/>
      </c>
      <c r="AH93" s="1" t="str">
        <f t="shared" si="26"/>
        <v/>
      </c>
      <c r="AI93" s="1" t="str">
        <f t="shared" si="27"/>
        <v/>
      </c>
      <c r="AJ93" s="1" t="str">
        <f t="shared" si="28"/>
        <v/>
      </c>
      <c r="AK93" s="1" t="str">
        <f t="shared" si="29"/>
        <v/>
      </c>
      <c r="AL93" s="1" t="str">
        <f t="shared" si="30"/>
        <v/>
      </c>
      <c r="AM93" s="1" t="str">
        <f t="shared" si="31"/>
        <v/>
      </c>
      <c r="AO93" s="8" t="str">
        <f t="shared" si="43"/>
        <v xml:space="preserve">PERFORM * FROM "SchData-OLTP-Accounting"."Func_TblChartOfAccount_SET"(varSystemLoginSession, null, null, null, varInstitutionBranchID, null, '1-6100', 'Building - Improvement', 62000000000001::bigint, '2016-01-01 00:00:00'::timestamp, null::timestamp); </v>
      </c>
    </row>
    <row r="94" spans="2:41" x14ac:dyDescent="0.25">
      <c r="B94" s="1">
        <v>3</v>
      </c>
      <c r="C94" s="2" t="s">
        <v>192</v>
      </c>
      <c r="D94" s="1" t="s">
        <v>193</v>
      </c>
      <c r="I94" s="2" t="s">
        <v>192</v>
      </c>
      <c r="Q94" s="1" t="str">
        <f t="shared" si="42"/>
        <v>Building - Office</v>
      </c>
      <c r="S94" s="1" t="str">
        <f t="shared" si="32"/>
        <v>1-ACTV</v>
      </c>
      <c r="T94" s="1" t="str">
        <f t="shared" si="33"/>
        <v>1-0000</v>
      </c>
      <c r="U94" s="1" t="str">
        <f t="shared" si="34"/>
        <v>1-6000</v>
      </c>
      <c r="V94" s="1" t="str">
        <f t="shared" si="35"/>
        <v>1-6110</v>
      </c>
      <c r="W94" s="1" t="str">
        <f t="shared" si="36"/>
        <v>1-4718</v>
      </c>
      <c r="X94" s="1" t="str">
        <f t="shared" si="37"/>
        <v/>
      </c>
      <c r="Y94" s="1" t="str">
        <f t="shared" si="38"/>
        <v/>
      </c>
      <c r="Z94" s="1" t="str">
        <f t="shared" si="39"/>
        <v/>
      </c>
      <c r="AA94" s="1" t="str">
        <f t="shared" si="40"/>
        <v/>
      </c>
      <c r="AB94" s="1" t="str">
        <f t="shared" si="41"/>
        <v/>
      </c>
      <c r="AD94" s="1" t="str">
        <f t="shared" si="22"/>
        <v/>
      </c>
      <c r="AE94" s="1" t="str">
        <f t="shared" si="23"/>
        <v/>
      </c>
      <c r="AF94" s="1" t="str">
        <f t="shared" si="24"/>
        <v xml:space="preserve">PERFORM * FROM "SchData-OLTP-Accounting"."Func_TblChartOfAccount_SET"(varSystemLoginSession, null, null, null, varInstitutionBranchID, null, '1-6110', 'Building - Office', 62000000000001::bigint, '2016-01-01 00:00:00'::timestamp, null::timestamp); </v>
      </c>
      <c r="AG94" s="1" t="str">
        <f t="shared" si="25"/>
        <v/>
      </c>
      <c r="AH94" s="1" t="str">
        <f t="shared" si="26"/>
        <v/>
      </c>
      <c r="AI94" s="1" t="str">
        <f t="shared" si="27"/>
        <v/>
      </c>
      <c r="AJ94" s="1" t="str">
        <f t="shared" si="28"/>
        <v/>
      </c>
      <c r="AK94" s="1" t="str">
        <f t="shared" si="29"/>
        <v/>
      </c>
      <c r="AL94" s="1" t="str">
        <f t="shared" si="30"/>
        <v/>
      </c>
      <c r="AM94" s="1" t="str">
        <f t="shared" si="31"/>
        <v/>
      </c>
      <c r="AO94" s="8" t="str">
        <f t="shared" si="43"/>
        <v xml:space="preserve">PERFORM * FROM "SchData-OLTP-Accounting"."Func_TblChartOfAccount_SET"(varSystemLoginSession, null, null, null, varInstitutionBranchID, null, '1-6110', 'Building - Office', 62000000000001::bigint, '2016-01-01 00:00:00'::timestamp, null::timestamp); </v>
      </c>
    </row>
    <row r="95" spans="2:41" x14ac:dyDescent="0.25">
      <c r="B95" s="1">
        <v>3</v>
      </c>
      <c r="C95" s="2" t="s">
        <v>194</v>
      </c>
      <c r="D95" s="1" t="s">
        <v>195</v>
      </c>
      <c r="I95" s="2" t="s">
        <v>194</v>
      </c>
      <c r="Q95" s="1" t="str">
        <f t="shared" si="42"/>
        <v>Info Tech Equipment</v>
      </c>
      <c r="S95" s="1" t="str">
        <f t="shared" si="32"/>
        <v>1-ACTV</v>
      </c>
      <c r="T95" s="1" t="str">
        <f t="shared" si="33"/>
        <v>1-0000</v>
      </c>
      <c r="U95" s="1" t="str">
        <f t="shared" si="34"/>
        <v>1-6000</v>
      </c>
      <c r="V95" s="1" t="str">
        <f t="shared" si="35"/>
        <v>1-6200</v>
      </c>
      <c r="W95" s="1" t="str">
        <f t="shared" si="36"/>
        <v>1-4718</v>
      </c>
      <c r="X95" s="1" t="str">
        <f t="shared" si="37"/>
        <v/>
      </c>
      <c r="Y95" s="1" t="str">
        <f t="shared" si="38"/>
        <v/>
      </c>
      <c r="Z95" s="1" t="str">
        <f t="shared" si="39"/>
        <v/>
      </c>
      <c r="AA95" s="1" t="str">
        <f t="shared" si="40"/>
        <v/>
      </c>
      <c r="AB95" s="1" t="str">
        <f t="shared" si="41"/>
        <v/>
      </c>
      <c r="AD95" s="1" t="str">
        <f t="shared" si="22"/>
        <v/>
      </c>
      <c r="AE95" s="1" t="str">
        <f t="shared" si="23"/>
        <v/>
      </c>
      <c r="AF95" s="1" t="str">
        <f t="shared" si="24"/>
        <v xml:space="preserve">PERFORM * FROM "SchData-OLTP-Accounting"."Func_TblChartOfAccount_SET"(varSystemLoginSession, null, null, null, varInstitutionBranchID, null, '1-6200', 'Info Tech Equipment', 62000000000001::bigint, '2016-01-01 00:00:00'::timestamp, null::timestamp); </v>
      </c>
      <c r="AG95" s="1" t="str">
        <f t="shared" si="25"/>
        <v/>
      </c>
      <c r="AH95" s="1" t="str">
        <f t="shared" si="26"/>
        <v/>
      </c>
      <c r="AI95" s="1" t="str">
        <f t="shared" si="27"/>
        <v/>
      </c>
      <c r="AJ95" s="1" t="str">
        <f t="shared" si="28"/>
        <v/>
      </c>
      <c r="AK95" s="1" t="str">
        <f t="shared" si="29"/>
        <v/>
      </c>
      <c r="AL95" s="1" t="str">
        <f t="shared" si="30"/>
        <v/>
      </c>
      <c r="AM95" s="1" t="str">
        <f t="shared" si="31"/>
        <v/>
      </c>
      <c r="AO95" s="8" t="str">
        <f t="shared" si="43"/>
        <v xml:space="preserve">PERFORM * FROM "SchData-OLTP-Accounting"."Func_TblChartOfAccount_SET"(varSystemLoginSession, null, null, null, varInstitutionBranchID, null, '1-6200', 'Info Tech Equipment', 62000000000001::bigint, '2016-01-01 00:00:00'::timestamp, null::timestamp); </v>
      </c>
    </row>
    <row r="96" spans="2:41" x14ac:dyDescent="0.25">
      <c r="B96" s="1">
        <v>3</v>
      </c>
      <c r="C96" s="2" t="s">
        <v>196</v>
      </c>
      <c r="D96" s="1" t="s">
        <v>197</v>
      </c>
      <c r="I96" s="2" t="s">
        <v>196</v>
      </c>
      <c r="Q96" s="1" t="str">
        <f t="shared" si="42"/>
        <v>Office Machine &amp; Equipment</v>
      </c>
      <c r="S96" s="1" t="str">
        <f t="shared" si="32"/>
        <v>1-ACTV</v>
      </c>
      <c r="T96" s="1" t="str">
        <f t="shared" si="33"/>
        <v>1-0000</v>
      </c>
      <c r="U96" s="1" t="str">
        <f t="shared" si="34"/>
        <v>1-6000</v>
      </c>
      <c r="V96" s="1" t="str">
        <f t="shared" si="35"/>
        <v>1-6300</v>
      </c>
      <c r="W96" s="1" t="str">
        <f t="shared" si="36"/>
        <v>1-4718</v>
      </c>
      <c r="X96" s="1" t="str">
        <f t="shared" si="37"/>
        <v/>
      </c>
      <c r="Y96" s="1" t="str">
        <f t="shared" si="38"/>
        <v/>
      </c>
      <c r="Z96" s="1" t="str">
        <f t="shared" si="39"/>
        <v/>
      </c>
      <c r="AA96" s="1" t="str">
        <f t="shared" si="40"/>
        <v/>
      </c>
      <c r="AB96" s="1" t="str">
        <f t="shared" si="41"/>
        <v/>
      </c>
      <c r="AD96" s="1" t="str">
        <f t="shared" si="22"/>
        <v/>
      </c>
      <c r="AE96" s="1" t="str">
        <f t="shared" si="23"/>
        <v/>
      </c>
      <c r="AF96" s="1" t="str">
        <f t="shared" si="24"/>
        <v xml:space="preserve">PERFORM * FROM "SchData-OLTP-Accounting"."Func_TblChartOfAccount_SET"(varSystemLoginSession, null, null, null, varInstitutionBranchID, null, '1-6300', 'Office Machine &amp; Equipment', 62000000000001::bigint, '2016-01-01 00:00:00'::timestamp, null::timestamp); </v>
      </c>
      <c r="AG96" s="1" t="str">
        <f t="shared" si="25"/>
        <v/>
      </c>
      <c r="AH96" s="1" t="str">
        <f t="shared" si="26"/>
        <v/>
      </c>
      <c r="AI96" s="1" t="str">
        <f t="shared" si="27"/>
        <v/>
      </c>
      <c r="AJ96" s="1" t="str">
        <f t="shared" si="28"/>
        <v/>
      </c>
      <c r="AK96" s="1" t="str">
        <f t="shared" si="29"/>
        <v/>
      </c>
      <c r="AL96" s="1" t="str">
        <f t="shared" si="30"/>
        <v/>
      </c>
      <c r="AM96" s="1" t="str">
        <f t="shared" si="31"/>
        <v/>
      </c>
      <c r="AO96" s="8" t="str">
        <f t="shared" si="43"/>
        <v xml:space="preserve">PERFORM * FROM "SchData-OLTP-Accounting"."Func_TblChartOfAccount_SET"(varSystemLoginSession, null, null, null, varInstitutionBranchID, null, '1-6300', 'Office Machine &amp; Equipment', 62000000000001::bigint, '2016-01-01 00:00:00'::timestamp, null::timestamp); </v>
      </c>
    </row>
    <row r="97" spans="2:41" x14ac:dyDescent="0.25">
      <c r="B97" s="1">
        <v>3</v>
      </c>
      <c r="C97" s="2" t="s">
        <v>198</v>
      </c>
      <c r="D97" s="1" t="s">
        <v>199</v>
      </c>
      <c r="I97" s="2" t="s">
        <v>198</v>
      </c>
      <c r="Q97" s="1" t="str">
        <f t="shared" si="42"/>
        <v>Sundry Plant &amp; Equipment</v>
      </c>
      <c r="S97" s="1" t="str">
        <f t="shared" si="32"/>
        <v>1-ACTV</v>
      </c>
      <c r="T97" s="1" t="str">
        <f t="shared" si="33"/>
        <v>1-0000</v>
      </c>
      <c r="U97" s="1" t="str">
        <f t="shared" si="34"/>
        <v>1-6000</v>
      </c>
      <c r="V97" s="1" t="str">
        <f t="shared" si="35"/>
        <v>1-6400</v>
      </c>
      <c r="W97" s="1" t="str">
        <f t="shared" si="36"/>
        <v>1-4718</v>
      </c>
      <c r="X97" s="1" t="str">
        <f t="shared" si="37"/>
        <v/>
      </c>
      <c r="Y97" s="1" t="str">
        <f t="shared" si="38"/>
        <v/>
      </c>
      <c r="Z97" s="1" t="str">
        <f t="shared" si="39"/>
        <v/>
      </c>
      <c r="AA97" s="1" t="str">
        <f t="shared" si="40"/>
        <v/>
      </c>
      <c r="AB97" s="1" t="str">
        <f t="shared" si="41"/>
        <v/>
      </c>
      <c r="AD97" s="1" t="str">
        <f t="shared" si="22"/>
        <v/>
      </c>
      <c r="AE97" s="1" t="str">
        <f t="shared" si="23"/>
        <v/>
      </c>
      <c r="AF97" s="1" t="str">
        <f t="shared" si="24"/>
        <v xml:space="preserve">PERFORM * FROM "SchData-OLTP-Accounting"."Func_TblChartOfAccount_SET"(varSystemLoginSession, null, null, null, varInstitutionBranchID, null, '1-6400', 'Sundry Plant &amp; Equipment', 62000000000001::bigint, '2016-01-01 00:00:00'::timestamp, null::timestamp); </v>
      </c>
      <c r="AG97" s="1" t="str">
        <f t="shared" si="25"/>
        <v/>
      </c>
      <c r="AH97" s="1" t="str">
        <f t="shared" si="26"/>
        <v/>
      </c>
      <c r="AI97" s="1" t="str">
        <f t="shared" si="27"/>
        <v/>
      </c>
      <c r="AJ97" s="1" t="str">
        <f t="shared" si="28"/>
        <v/>
      </c>
      <c r="AK97" s="1" t="str">
        <f t="shared" si="29"/>
        <v/>
      </c>
      <c r="AL97" s="1" t="str">
        <f t="shared" si="30"/>
        <v/>
      </c>
      <c r="AM97" s="1" t="str">
        <f t="shared" si="31"/>
        <v/>
      </c>
      <c r="AO97" s="8" t="str">
        <f t="shared" si="43"/>
        <v xml:space="preserve">PERFORM * FROM "SchData-OLTP-Accounting"."Func_TblChartOfAccount_SET"(varSystemLoginSession, null, null, null, varInstitutionBranchID, null, '1-6400', 'Sundry Plant &amp; Equipment', 62000000000001::bigint, '2016-01-01 00:00:00'::timestamp, null::timestamp); </v>
      </c>
    </row>
    <row r="98" spans="2:41" x14ac:dyDescent="0.25">
      <c r="B98" s="1">
        <v>3</v>
      </c>
      <c r="C98" s="2" t="s">
        <v>200</v>
      </c>
      <c r="D98" s="1" t="s">
        <v>201</v>
      </c>
      <c r="I98" s="2" t="s">
        <v>200</v>
      </c>
      <c r="Q98" s="1" t="str">
        <f t="shared" si="42"/>
        <v>Test Equipment</v>
      </c>
      <c r="S98" s="1" t="str">
        <f t="shared" si="32"/>
        <v>1-ACTV</v>
      </c>
      <c r="T98" s="1" t="str">
        <f t="shared" si="33"/>
        <v>1-0000</v>
      </c>
      <c r="U98" s="1" t="str">
        <f t="shared" si="34"/>
        <v>1-6000</v>
      </c>
      <c r="V98" s="1" t="str">
        <f t="shared" si="35"/>
        <v>1-6500</v>
      </c>
      <c r="W98" s="1" t="str">
        <f t="shared" si="36"/>
        <v>1-4718</v>
      </c>
      <c r="X98" s="1" t="str">
        <f t="shared" si="37"/>
        <v/>
      </c>
      <c r="Y98" s="1" t="str">
        <f t="shared" si="38"/>
        <v/>
      </c>
      <c r="Z98" s="1" t="str">
        <f t="shared" si="39"/>
        <v/>
      </c>
      <c r="AA98" s="1" t="str">
        <f t="shared" si="40"/>
        <v/>
      </c>
      <c r="AB98" s="1" t="str">
        <f t="shared" si="41"/>
        <v/>
      </c>
      <c r="AD98" s="1" t="str">
        <f t="shared" si="22"/>
        <v/>
      </c>
      <c r="AE98" s="1" t="str">
        <f t="shared" si="23"/>
        <v/>
      </c>
      <c r="AF98" s="1" t="str">
        <f t="shared" si="24"/>
        <v xml:space="preserve">PERFORM * FROM "SchData-OLTP-Accounting"."Func_TblChartOfAccount_SET"(varSystemLoginSession, null, null, null, varInstitutionBranchID, null, '1-6500', 'Test Equipment', 62000000000001::bigint, '2016-01-01 00:00:00'::timestamp, null::timestamp); </v>
      </c>
      <c r="AG98" s="1" t="str">
        <f t="shared" si="25"/>
        <v/>
      </c>
      <c r="AH98" s="1" t="str">
        <f t="shared" si="26"/>
        <v/>
      </c>
      <c r="AI98" s="1" t="str">
        <f t="shared" si="27"/>
        <v/>
      </c>
      <c r="AJ98" s="1" t="str">
        <f t="shared" si="28"/>
        <v/>
      </c>
      <c r="AK98" s="1" t="str">
        <f t="shared" si="29"/>
        <v/>
      </c>
      <c r="AL98" s="1" t="str">
        <f t="shared" si="30"/>
        <v/>
      </c>
      <c r="AM98" s="1" t="str">
        <f t="shared" si="31"/>
        <v/>
      </c>
      <c r="AO98" s="8" t="str">
        <f t="shared" si="43"/>
        <v xml:space="preserve">PERFORM * FROM "SchData-OLTP-Accounting"."Func_TblChartOfAccount_SET"(varSystemLoginSession, null, null, null, varInstitutionBranchID, null, '1-6500', 'Test Equipment', 62000000000001::bigint, '2016-01-01 00:00:00'::timestamp, null::timestamp); </v>
      </c>
    </row>
    <row r="99" spans="2:41" x14ac:dyDescent="0.25">
      <c r="B99" s="1">
        <v>3</v>
      </c>
      <c r="C99" s="2" t="s">
        <v>202</v>
      </c>
      <c r="D99" s="1" t="s">
        <v>203</v>
      </c>
      <c r="I99" s="2" t="s">
        <v>202</v>
      </c>
      <c r="Q99" s="1" t="str">
        <f t="shared" si="42"/>
        <v>Motor Vehicle</v>
      </c>
      <c r="S99" s="1" t="str">
        <f t="shared" si="32"/>
        <v>1-ACTV</v>
      </c>
      <c r="T99" s="1" t="str">
        <f t="shared" si="33"/>
        <v>1-0000</v>
      </c>
      <c r="U99" s="1" t="str">
        <f t="shared" si="34"/>
        <v>1-6000</v>
      </c>
      <c r="V99" s="1" t="str">
        <f t="shared" si="35"/>
        <v>1-6600</v>
      </c>
      <c r="W99" s="1" t="str">
        <f t="shared" si="36"/>
        <v>1-4718</v>
      </c>
      <c r="X99" s="1" t="str">
        <f t="shared" si="37"/>
        <v/>
      </c>
      <c r="Y99" s="1" t="str">
        <f t="shared" si="38"/>
        <v/>
      </c>
      <c r="Z99" s="1" t="str">
        <f t="shared" si="39"/>
        <v/>
      </c>
      <c r="AA99" s="1" t="str">
        <f t="shared" si="40"/>
        <v/>
      </c>
      <c r="AB99" s="1" t="str">
        <f t="shared" si="41"/>
        <v/>
      </c>
      <c r="AD99" s="1" t="str">
        <f t="shared" si="22"/>
        <v/>
      </c>
      <c r="AE99" s="1" t="str">
        <f t="shared" si="23"/>
        <v/>
      </c>
      <c r="AF99" s="1" t="str">
        <f t="shared" si="24"/>
        <v xml:space="preserve">PERFORM * FROM "SchData-OLTP-Accounting"."Func_TblChartOfAccount_SET"(varSystemLoginSession, null, null, null, varInstitutionBranchID, null, '1-6600', 'Motor Vehicle', 62000000000001::bigint, '2016-01-01 00:00:00'::timestamp, null::timestamp); </v>
      </c>
      <c r="AG99" s="1" t="str">
        <f t="shared" si="25"/>
        <v/>
      </c>
      <c r="AH99" s="1" t="str">
        <f t="shared" si="26"/>
        <v/>
      </c>
      <c r="AI99" s="1" t="str">
        <f t="shared" si="27"/>
        <v/>
      </c>
      <c r="AJ99" s="1" t="str">
        <f t="shared" si="28"/>
        <v/>
      </c>
      <c r="AK99" s="1" t="str">
        <f t="shared" si="29"/>
        <v/>
      </c>
      <c r="AL99" s="1" t="str">
        <f t="shared" si="30"/>
        <v/>
      </c>
      <c r="AM99" s="1" t="str">
        <f t="shared" si="31"/>
        <v/>
      </c>
      <c r="AO99" s="8" t="str">
        <f t="shared" si="43"/>
        <v xml:space="preserve">PERFORM * FROM "SchData-OLTP-Accounting"."Func_TblChartOfAccount_SET"(varSystemLoginSession, null, null, null, varInstitutionBranchID, null, '1-6600', 'Motor Vehicle', 62000000000001::bigint, '2016-01-01 00:00:00'::timestamp, null::timestamp); </v>
      </c>
    </row>
    <row r="100" spans="2:41" x14ac:dyDescent="0.25">
      <c r="B100" s="1">
        <v>3</v>
      </c>
      <c r="C100" s="2" t="s">
        <v>204</v>
      </c>
      <c r="D100" s="1" t="s">
        <v>205</v>
      </c>
      <c r="I100" s="2" t="s">
        <v>204</v>
      </c>
      <c r="Q100" s="1" t="str">
        <f t="shared" si="42"/>
        <v>Tools</v>
      </c>
      <c r="S100" s="1" t="str">
        <f t="shared" si="32"/>
        <v>1-ACTV</v>
      </c>
      <c r="T100" s="1" t="str">
        <f t="shared" si="33"/>
        <v>1-0000</v>
      </c>
      <c r="U100" s="1" t="str">
        <f t="shared" si="34"/>
        <v>1-6000</v>
      </c>
      <c r="V100" s="1" t="str">
        <f t="shared" si="35"/>
        <v>1-6700</v>
      </c>
      <c r="W100" s="1" t="str">
        <f t="shared" si="36"/>
        <v>1-4718</v>
      </c>
      <c r="X100" s="1" t="str">
        <f t="shared" si="37"/>
        <v/>
      </c>
      <c r="Y100" s="1" t="str">
        <f t="shared" si="38"/>
        <v/>
      </c>
      <c r="Z100" s="1" t="str">
        <f t="shared" si="39"/>
        <v/>
      </c>
      <c r="AA100" s="1" t="str">
        <f t="shared" si="40"/>
        <v/>
      </c>
      <c r="AB100" s="1" t="str">
        <f t="shared" si="41"/>
        <v/>
      </c>
      <c r="AD100" s="1" t="str">
        <f t="shared" si="22"/>
        <v/>
      </c>
      <c r="AE100" s="1" t="str">
        <f t="shared" si="23"/>
        <v/>
      </c>
      <c r="AF100" s="1" t="str">
        <f t="shared" si="24"/>
        <v xml:space="preserve">PERFORM * FROM "SchData-OLTP-Accounting"."Func_TblChartOfAccount_SET"(varSystemLoginSession, null, null, null, varInstitutionBranchID, null, '1-6700', 'Tools', 62000000000001::bigint, '2016-01-01 00:00:00'::timestamp, null::timestamp); </v>
      </c>
      <c r="AG100" s="1" t="str">
        <f t="shared" si="25"/>
        <v/>
      </c>
      <c r="AH100" s="1" t="str">
        <f t="shared" si="26"/>
        <v/>
      </c>
      <c r="AI100" s="1" t="str">
        <f t="shared" si="27"/>
        <v/>
      </c>
      <c r="AJ100" s="1" t="str">
        <f t="shared" si="28"/>
        <v/>
      </c>
      <c r="AK100" s="1" t="str">
        <f t="shared" si="29"/>
        <v/>
      </c>
      <c r="AL100" s="1" t="str">
        <f t="shared" si="30"/>
        <v/>
      </c>
      <c r="AM100" s="1" t="str">
        <f t="shared" si="31"/>
        <v/>
      </c>
      <c r="AO100" s="8" t="str">
        <f t="shared" si="43"/>
        <v xml:space="preserve">PERFORM * FROM "SchData-OLTP-Accounting"."Func_TblChartOfAccount_SET"(varSystemLoginSession, null, null, null, varInstitutionBranchID, null, '1-6700', 'Tools', 62000000000001::bigint, '2016-01-01 00:00:00'::timestamp, null::timestamp); </v>
      </c>
    </row>
    <row r="101" spans="2:41" x14ac:dyDescent="0.25">
      <c r="B101" s="1">
        <v>3</v>
      </c>
      <c r="C101" s="2" t="s">
        <v>206</v>
      </c>
      <c r="D101" s="1" t="s">
        <v>207</v>
      </c>
      <c r="I101" s="2" t="s">
        <v>206</v>
      </c>
      <c r="Q101" s="1" t="str">
        <f t="shared" si="42"/>
        <v>Furniture Fitting</v>
      </c>
      <c r="S101" s="1" t="str">
        <f t="shared" si="32"/>
        <v>1-ACTV</v>
      </c>
      <c r="T101" s="1" t="str">
        <f t="shared" si="33"/>
        <v>1-0000</v>
      </c>
      <c r="U101" s="1" t="str">
        <f t="shared" si="34"/>
        <v>1-6000</v>
      </c>
      <c r="V101" s="1" t="str">
        <f t="shared" si="35"/>
        <v>1-6800</v>
      </c>
      <c r="W101" s="1" t="str">
        <f t="shared" si="36"/>
        <v>1-4718</v>
      </c>
      <c r="X101" s="1" t="str">
        <f t="shared" si="37"/>
        <v/>
      </c>
      <c r="Y101" s="1" t="str">
        <f t="shared" si="38"/>
        <v/>
      </c>
      <c r="Z101" s="1" t="str">
        <f t="shared" si="39"/>
        <v/>
      </c>
      <c r="AA101" s="1" t="str">
        <f t="shared" si="40"/>
        <v/>
      </c>
      <c r="AB101" s="1" t="str">
        <f t="shared" si="41"/>
        <v/>
      </c>
      <c r="AD101" s="1" t="str">
        <f t="shared" si="22"/>
        <v/>
      </c>
      <c r="AE101" s="1" t="str">
        <f t="shared" si="23"/>
        <v/>
      </c>
      <c r="AF101" s="1" t="str">
        <f t="shared" si="24"/>
        <v xml:space="preserve">PERFORM * FROM "SchData-OLTP-Accounting"."Func_TblChartOfAccount_SET"(varSystemLoginSession, null, null, null, varInstitutionBranchID, null, '1-6800', 'Furniture Fitting', 62000000000001::bigint, '2016-01-01 00:00:00'::timestamp, null::timestamp); </v>
      </c>
      <c r="AG101" s="1" t="str">
        <f t="shared" si="25"/>
        <v/>
      </c>
      <c r="AH101" s="1" t="str">
        <f t="shared" si="26"/>
        <v/>
      </c>
      <c r="AI101" s="1" t="str">
        <f t="shared" si="27"/>
        <v/>
      </c>
      <c r="AJ101" s="1" t="str">
        <f t="shared" si="28"/>
        <v/>
      </c>
      <c r="AK101" s="1" t="str">
        <f t="shared" si="29"/>
        <v/>
      </c>
      <c r="AL101" s="1" t="str">
        <f t="shared" si="30"/>
        <v/>
      </c>
      <c r="AM101" s="1" t="str">
        <f t="shared" si="31"/>
        <v/>
      </c>
      <c r="AO101" s="8" t="str">
        <f t="shared" si="43"/>
        <v xml:space="preserve">PERFORM * FROM "SchData-OLTP-Accounting"."Func_TblChartOfAccount_SET"(varSystemLoginSession, null, null, null, varInstitutionBranchID, null, '1-6800', 'Furniture Fitting', 62000000000001::bigint, '2016-01-01 00:00:00'::timestamp, null::timestamp); </v>
      </c>
    </row>
    <row r="102" spans="2:41" x14ac:dyDescent="0.25">
      <c r="B102" s="1">
        <v>3</v>
      </c>
      <c r="C102" s="2" t="s">
        <v>208</v>
      </c>
      <c r="D102" s="1" t="s">
        <v>209</v>
      </c>
      <c r="I102" s="2" t="s">
        <v>208</v>
      </c>
      <c r="Q102" s="1" t="str">
        <f t="shared" si="42"/>
        <v>Mobile Phone</v>
      </c>
      <c r="S102" s="1" t="str">
        <f t="shared" si="32"/>
        <v>1-ACTV</v>
      </c>
      <c r="T102" s="1" t="str">
        <f t="shared" si="33"/>
        <v>1-0000</v>
      </c>
      <c r="U102" s="1" t="str">
        <f t="shared" si="34"/>
        <v>1-6000</v>
      </c>
      <c r="V102" s="1" t="str">
        <f t="shared" si="35"/>
        <v>1-6900</v>
      </c>
      <c r="W102" s="1" t="str">
        <f t="shared" si="36"/>
        <v>1-4718</v>
      </c>
      <c r="X102" s="1" t="str">
        <f t="shared" si="37"/>
        <v/>
      </c>
      <c r="Y102" s="1" t="str">
        <f t="shared" si="38"/>
        <v/>
      </c>
      <c r="Z102" s="1" t="str">
        <f t="shared" si="39"/>
        <v/>
      </c>
      <c r="AA102" s="1" t="str">
        <f t="shared" si="40"/>
        <v/>
      </c>
      <c r="AB102" s="1" t="str">
        <f t="shared" si="41"/>
        <v/>
      </c>
      <c r="AD102" s="1" t="str">
        <f t="shared" si="22"/>
        <v/>
      </c>
      <c r="AE102" s="1" t="str">
        <f t="shared" si="23"/>
        <v/>
      </c>
      <c r="AF102" s="1" t="str">
        <f t="shared" si="24"/>
        <v xml:space="preserve">PERFORM * FROM "SchData-OLTP-Accounting"."Func_TblChartOfAccount_SET"(varSystemLoginSession, null, null, null, varInstitutionBranchID, null, '1-6900', 'Mobile Phone', 62000000000001::bigint, '2016-01-01 00:00:00'::timestamp, null::timestamp); </v>
      </c>
      <c r="AG102" s="1" t="str">
        <f t="shared" si="25"/>
        <v/>
      </c>
      <c r="AH102" s="1" t="str">
        <f t="shared" si="26"/>
        <v/>
      </c>
      <c r="AI102" s="1" t="str">
        <f t="shared" si="27"/>
        <v/>
      </c>
      <c r="AJ102" s="1" t="str">
        <f t="shared" si="28"/>
        <v/>
      </c>
      <c r="AK102" s="1" t="str">
        <f t="shared" si="29"/>
        <v/>
      </c>
      <c r="AL102" s="1" t="str">
        <f t="shared" si="30"/>
        <v/>
      </c>
      <c r="AM102" s="1" t="str">
        <f t="shared" si="31"/>
        <v/>
      </c>
      <c r="AO102" s="8" t="str">
        <f t="shared" si="43"/>
        <v xml:space="preserve">PERFORM * FROM "SchData-OLTP-Accounting"."Func_TblChartOfAccount_SET"(varSystemLoginSession, null, null, null, varInstitutionBranchID, null, '1-6900', 'Mobile Phone', 62000000000001::bigint, '2016-01-01 00:00:00'::timestamp, null::timestamp); </v>
      </c>
    </row>
    <row r="103" spans="2:41" x14ac:dyDescent="0.25">
      <c r="B103" s="1">
        <v>2</v>
      </c>
      <c r="C103" s="2" t="s">
        <v>210</v>
      </c>
      <c r="D103" s="1" t="s">
        <v>211</v>
      </c>
      <c r="H103" s="2" t="s">
        <v>210</v>
      </c>
      <c r="Q103" s="1" t="str">
        <f t="shared" si="42"/>
        <v>Accum Depreciation</v>
      </c>
      <c r="S103" s="1" t="str">
        <f t="shared" si="32"/>
        <v>1-ACTV</v>
      </c>
      <c r="T103" s="1" t="str">
        <f t="shared" si="33"/>
        <v>1-0000</v>
      </c>
      <c r="U103" s="1" t="str">
        <f t="shared" si="34"/>
        <v>1-7000</v>
      </c>
      <c r="V103" s="1" t="str">
        <f t="shared" si="35"/>
        <v>1-6900</v>
      </c>
      <c r="W103" s="1" t="str">
        <f t="shared" si="36"/>
        <v>1-4718</v>
      </c>
      <c r="X103" s="1" t="str">
        <f t="shared" si="37"/>
        <v/>
      </c>
      <c r="Y103" s="1" t="str">
        <f t="shared" si="38"/>
        <v/>
      </c>
      <c r="Z103" s="1" t="str">
        <f t="shared" si="39"/>
        <v/>
      </c>
      <c r="AA103" s="1" t="str">
        <f t="shared" si="40"/>
        <v/>
      </c>
      <c r="AB103" s="1" t="str">
        <f t="shared" si="41"/>
        <v/>
      </c>
      <c r="AD103" s="1" t="str">
        <f t="shared" si="22"/>
        <v/>
      </c>
      <c r="AE103" s="1" t="str">
        <f t="shared" si="23"/>
        <v xml:space="preserve">PERFORM * FROM "SchData-OLTP-Accounting"."Func_TblChartOfAccount_SET"(varSystemLoginSession, null, null, null, varInstitutionBranchID, null, '1-7000', 'Accum Depreciation', 62000000000001::bigint, '2016-01-01 00:00:00'::timestamp, null::timestamp); </v>
      </c>
      <c r="AF103" s="1" t="str">
        <f t="shared" si="24"/>
        <v/>
      </c>
      <c r="AG103" s="1" t="str">
        <f t="shared" si="25"/>
        <v/>
      </c>
      <c r="AH103" s="1" t="str">
        <f t="shared" si="26"/>
        <v/>
      </c>
      <c r="AI103" s="1" t="str">
        <f t="shared" si="27"/>
        <v/>
      </c>
      <c r="AJ103" s="1" t="str">
        <f t="shared" si="28"/>
        <v/>
      </c>
      <c r="AK103" s="1" t="str">
        <f t="shared" si="29"/>
        <v/>
      </c>
      <c r="AL103" s="1" t="str">
        <f t="shared" si="30"/>
        <v/>
      </c>
      <c r="AM103" s="1" t="str">
        <f t="shared" si="31"/>
        <v/>
      </c>
      <c r="AO103" s="8" t="str">
        <f t="shared" si="43"/>
        <v xml:space="preserve">PERFORM * FROM "SchData-OLTP-Accounting"."Func_TblChartOfAccount_SET"(varSystemLoginSession, null, null, null, varInstitutionBranchID, null, '1-7000', 'Accum Depreciation', 62000000000001::bigint, '2016-01-01 00:00:00'::timestamp, null::timestamp); </v>
      </c>
    </row>
    <row r="104" spans="2:41" x14ac:dyDescent="0.25">
      <c r="B104" s="1">
        <v>3</v>
      </c>
      <c r="C104" s="2" t="s">
        <v>212</v>
      </c>
      <c r="D104" s="1" t="s">
        <v>213</v>
      </c>
      <c r="I104" s="2" t="s">
        <v>212</v>
      </c>
      <c r="Q104" s="1" t="str">
        <f t="shared" si="42"/>
        <v>Accum Depr Building Improvement</v>
      </c>
      <c r="S104" s="1" t="str">
        <f t="shared" si="32"/>
        <v>1-ACTV</v>
      </c>
      <c r="T104" s="1" t="str">
        <f t="shared" si="33"/>
        <v>1-0000</v>
      </c>
      <c r="U104" s="1" t="str">
        <f t="shared" si="34"/>
        <v>1-7000</v>
      </c>
      <c r="V104" s="1" t="str">
        <f t="shared" si="35"/>
        <v>1-7100</v>
      </c>
      <c r="W104" s="1" t="str">
        <f t="shared" si="36"/>
        <v>1-4718</v>
      </c>
      <c r="X104" s="1" t="str">
        <f t="shared" si="37"/>
        <v/>
      </c>
      <c r="Y104" s="1" t="str">
        <f t="shared" si="38"/>
        <v/>
      </c>
      <c r="Z104" s="1" t="str">
        <f t="shared" si="39"/>
        <v/>
      </c>
      <c r="AA104" s="1" t="str">
        <f t="shared" si="40"/>
        <v/>
      </c>
      <c r="AB104" s="1" t="str">
        <f t="shared" si="41"/>
        <v/>
      </c>
      <c r="AD104" s="1" t="str">
        <f t="shared" si="22"/>
        <v/>
      </c>
      <c r="AE104" s="1" t="str">
        <f t="shared" si="23"/>
        <v/>
      </c>
      <c r="AF104" s="1" t="str">
        <f t="shared" si="24"/>
        <v xml:space="preserve">PERFORM * FROM "SchData-OLTP-Accounting"."Func_TblChartOfAccount_SET"(varSystemLoginSession, null, null, null, varInstitutionBranchID, null, '1-7100', 'Accum Depr Building Improvement', 62000000000001::bigint, '2016-01-01 00:00:00'::timestamp, null::timestamp); </v>
      </c>
      <c r="AG104" s="1" t="str">
        <f t="shared" si="25"/>
        <v/>
      </c>
      <c r="AH104" s="1" t="str">
        <f t="shared" si="26"/>
        <v/>
      </c>
      <c r="AI104" s="1" t="str">
        <f t="shared" si="27"/>
        <v/>
      </c>
      <c r="AJ104" s="1" t="str">
        <f t="shared" si="28"/>
        <v/>
      </c>
      <c r="AK104" s="1" t="str">
        <f t="shared" si="29"/>
        <v/>
      </c>
      <c r="AL104" s="1" t="str">
        <f t="shared" si="30"/>
        <v/>
      </c>
      <c r="AM104" s="1" t="str">
        <f t="shared" si="31"/>
        <v/>
      </c>
      <c r="AO104" s="8" t="str">
        <f t="shared" si="43"/>
        <v xml:space="preserve">PERFORM * FROM "SchData-OLTP-Accounting"."Func_TblChartOfAccount_SET"(varSystemLoginSession, null, null, null, varInstitutionBranchID, null, '1-7100', 'Accum Depr Building Improvement', 62000000000001::bigint, '2016-01-01 00:00:00'::timestamp, null::timestamp); </v>
      </c>
    </row>
    <row r="105" spans="2:41" x14ac:dyDescent="0.25">
      <c r="B105" s="1">
        <v>3</v>
      </c>
      <c r="C105" s="2" t="s">
        <v>214</v>
      </c>
      <c r="D105" s="1" t="s">
        <v>215</v>
      </c>
      <c r="I105" s="2" t="s">
        <v>214</v>
      </c>
      <c r="Q105" s="1" t="str">
        <f t="shared" si="42"/>
        <v>Accum Depr Building Office</v>
      </c>
      <c r="S105" s="1" t="str">
        <f t="shared" si="32"/>
        <v>1-ACTV</v>
      </c>
      <c r="T105" s="1" t="str">
        <f t="shared" si="33"/>
        <v>1-0000</v>
      </c>
      <c r="U105" s="1" t="str">
        <f t="shared" si="34"/>
        <v>1-7000</v>
      </c>
      <c r="V105" s="1" t="str">
        <f t="shared" si="35"/>
        <v>1-7110</v>
      </c>
      <c r="W105" s="1" t="str">
        <f t="shared" si="36"/>
        <v>1-4718</v>
      </c>
      <c r="X105" s="1" t="str">
        <f t="shared" si="37"/>
        <v/>
      </c>
      <c r="Y105" s="1" t="str">
        <f t="shared" si="38"/>
        <v/>
      </c>
      <c r="Z105" s="1" t="str">
        <f t="shared" si="39"/>
        <v/>
      </c>
      <c r="AA105" s="1" t="str">
        <f t="shared" si="40"/>
        <v/>
      </c>
      <c r="AB105" s="1" t="str">
        <f t="shared" si="41"/>
        <v/>
      </c>
      <c r="AD105" s="1" t="str">
        <f t="shared" si="22"/>
        <v/>
      </c>
      <c r="AE105" s="1" t="str">
        <f t="shared" si="23"/>
        <v/>
      </c>
      <c r="AF105" s="1" t="str">
        <f t="shared" si="24"/>
        <v xml:space="preserve">PERFORM * FROM "SchData-OLTP-Accounting"."Func_TblChartOfAccount_SET"(varSystemLoginSession, null, null, null, varInstitutionBranchID, null, '1-7110', 'Accum Depr Building Office', 62000000000001::bigint, '2016-01-01 00:00:00'::timestamp, null::timestamp); </v>
      </c>
      <c r="AG105" s="1" t="str">
        <f t="shared" si="25"/>
        <v/>
      </c>
      <c r="AH105" s="1" t="str">
        <f t="shared" si="26"/>
        <v/>
      </c>
      <c r="AI105" s="1" t="str">
        <f t="shared" si="27"/>
        <v/>
      </c>
      <c r="AJ105" s="1" t="str">
        <f t="shared" si="28"/>
        <v/>
      </c>
      <c r="AK105" s="1" t="str">
        <f t="shared" si="29"/>
        <v/>
      </c>
      <c r="AL105" s="1" t="str">
        <f t="shared" si="30"/>
        <v/>
      </c>
      <c r="AM105" s="1" t="str">
        <f t="shared" si="31"/>
        <v/>
      </c>
      <c r="AO105" s="8" t="str">
        <f t="shared" si="43"/>
        <v xml:space="preserve">PERFORM * FROM "SchData-OLTP-Accounting"."Func_TblChartOfAccount_SET"(varSystemLoginSession, null, null, null, varInstitutionBranchID, null, '1-7110', 'Accum Depr Building Office', 62000000000001::bigint, '2016-01-01 00:00:00'::timestamp, null::timestamp); </v>
      </c>
    </row>
    <row r="106" spans="2:41" x14ac:dyDescent="0.25">
      <c r="B106" s="1">
        <v>3</v>
      </c>
      <c r="C106" s="2" t="s">
        <v>216</v>
      </c>
      <c r="D106" s="1" t="s">
        <v>217</v>
      </c>
      <c r="I106" s="2" t="s">
        <v>216</v>
      </c>
      <c r="Q106" s="1" t="str">
        <f t="shared" si="42"/>
        <v>Accum Depr Info Tech Equipt</v>
      </c>
      <c r="S106" s="1" t="str">
        <f t="shared" si="32"/>
        <v>1-ACTV</v>
      </c>
      <c r="T106" s="1" t="str">
        <f t="shared" si="33"/>
        <v>1-0000</v>
      </c>
      <c r="U106" s="1" t="str">
        <f t="shared" si="34"/>
        <v>1-7000</v>
      </c>
      <c r="V106" s="1" t="str">
        <f t="shared" si="35"/>
        <v>1-7200</v>
      </c>
      <c r="W106" s="1" t="str">
        <f t="shared" si="36"/>
        <v>1-4718</v>
      </c>
      <c r="X106" s="1" t="str">
        <f t="shared" si="37"/>
        <v/>
      </c>
      <c r="Y106" s="1" t="str">
        <f t="shared" si="38"/>
        <v/>
      </c>
      <c r="Z106" s="1" t="str">
        <f t="shared" si="39"/>
        <v/>
      </c>
      <c r="AA106" s="1" t="str">
        <f t="shared" si="40"/>
        <v/>
      </c>
      <c r="AB106" s="1" t="str">
        <f t="shared" si="41"/>
        <v/>
      </c>
      <c r="AD106" s="1" t="str">
        <f t="shared" si="22"/>
        <v/>
      </c>
      <c r="AE106" s="1" t="str">
        <f t="shared" si="23"/>
        <v/>
      </c>
      <c r="AF106" s="1" t="str">
        <f t="shared" si="24"/>
        <v xml:space="preserve">PERFORM * FROM "SchData-OLTP-Accounting"."Func_TblChartOfAccount_SET"(varSystemLoginSession, null, null, null, varInstitutionBranchID, null, '1-7200', 'Accum Depr Info Tech Equipt', 62000000000001::bigint, '2016-01-01 00:00:00'::timestamp, null::timestamp); </v>
      </c>
      <c r="AG106" s="1" t="str">
        <f t="shared" si="25"/>
        <v/>
      </c>
      <c r="AH106" s="1" t="str">
        <f t="shared" si="26"/>
        <v/>
      </c>
      <c r="AI106" s="1" t="str">
        <f t="shared" si="27"/>
        <v/>
      </c>
      <c r="AJ106" s="1" t="str">
        <f t="shared" si="28"/>
        <v/>
      </c>
      <c r="AK106" s="1" t="str">
        <f t="shared" si="29"/>
        <v/>
      </c>
      <c r="AL106" s="1" t="str">
        <f t="shared" si="30"/>
        <v/>
      </c>
      <c r="AM106" s="1" t="str">
        <f t="shared" si="31"/>
        <v/>
      </c>
      <c r="AO106" s="8" t="str">
        <f t="shared" si="43"/>
        <v xml:space="preserve">PERFORM * FROM "SchData-OLTP-Accounting"."Func_TblChartOfAccount_SET"(varSystemLoginSession, null, null, null, varInstitutionBranchID, null, '1-7200', 'Accum Depr Info Tech Equipt', 62000000000001::bigint, '2016-01-01 00:00:00'::timestamp, null::timestamp); </v>
      </c>
    </row>
    <row r="107" spans="2:41" x14ac:dyDescent="0.25">
      <c r="B107" s="1">
        <v>3</v>
      </c>
      <c r="C107" s="2" t="s">
        <v>218</v>
      </c>
      <c r="D107" s="1" t="s">
        <v>219</v>
      </c>
      <c r="I107" s="2" t="s">
        <v>218</v>
      </c>
      <c r="Q107" s="1" t="str">
        <f t="shared" si="42"/>
        <v>Accum Depr Office Mach &amp; Equip</v>
      </c>
      <c r="S107" s="1" t="str">
        <f t="shared" si="32"/>
        <v>1-ACTV</v>
      </c>
      <c r="T107" s="1" t="str">
        <f t="shared" si="33"/>
        <v>1-0000</v>
      </c>
      <c r="U107" s="1" t="str">
        <f t="shared" si="34"/>
        <v>1-7000</v>
      </c>
      <c r="V107" s="1" t="str">
        <f t="shared" si="35"/>
        <v>1-7300</v>
      </c>
      <c r="W107" s="1" t="str">
        <f t="shared" si="36"/>
        <v>1-4718</v>
      </c>
      <c r="X107" s="1" t="str">
        <f t="shared" si="37"/>
        <v/>
      </c>
      <c r="Y107" s="1" t="str">
        <f t="shared" si="38"/>
        <v/>
      </c>
      <c r="Z107" s="1" t="str">
        <f t="shared" si="39"/>
        <v/>
      </c>
      <c r="AA107" s="1" t="str">
        <f t="shared" si="40"/>
        <v/>
      </c>
      <c r="AB107" s="1" t="str">
        <f t="shared" si="41"/>
        <v/>
      </c>
      <c r="AD107" s="1" t="str">
        <f t="shared" si="22"/>
        <v/>
      </c>
      <c r="AE107" s="1" t="str">
        <f t="shared" si="23"/>
        <v/>
      </c>
      <c r="AF107" s="1" t="str">
        <f t="shared" si="24"/>
        <v xml:space="preserve">PERFORM * FROM "SchData-OLTP-Accounting"."Func_TblChartOfAccount_SET"(varSystemLoginSession, null, null, null, varInstitutionBranchID, null, '1-7300', 'Accum Depr Office Mach &amp; Equip', 62000000000001::bigint, '2016-01-01 00:00:00'::timestamp, null::timestamp); </v>
      </c>
      <c r="AG107" s="1" t="str">
        <f t="shared" si="25"/>
        <v/>
      </c>
      <c r="AH107" s="1" t="str">
        <f t="shared" si="26"/>
        <v/>
      </c>
      <c r="AI107" s="1" t="str">
        <f t="shared" si="27"/>
        <v/>
      </c>
      <c r="AJ107" s="1" t="str">
        <f t="shared" si="28"/>
        <v/>
      </c>
      <c r="AK107" s="1" t="str">
        <f t="shared" si="29"/>
        <v/>
      </c>
      <c r="AL107" s="1" t="str">
        <f t="shared" si="30"/>
        <v/>
      </c>
      <c r="AM107" s="1" t="str">
        <f t="shared" si="31"/>
        <v/>
      </c>
      <c r="AO107" s="8" t="str">
        <f t="shared" si="43"/>
        <v xml:space="preserve">PERFORM * FROM "SchData-OLTP-Accounting"."Func_TblChartOfAccount_SET"(varSystemLoginSession, null, null, null, varInstitutionBranchID, null, '1-7300', 'Accum Depr Office Mach &amp; Equip', 62000000000001::bigint, '2016-01-01 00:00:00'::timestamp, null::timestamp); </v>
      </c>
    </row>
    <row r="108" spans="2:41" x14ac:dyDescent="0.25">
      <c r="B108" s="1">
        <v>3</v>
      </c>
      <c r="C108" s="2" t="s">
        <v>220</v>
      </c>
      <c r="D108" s="1" t="s">
        <v>221</v>
      </c>
      <c r="I108" s="2" t="s">
        <v>220</v>
      </c>
      <c r="Q108" s="1" t="str">
        <f t="shared" si="42"/>
        <v>Accum Depr Sundry Palnt &amp; Eq.</v>
      </c>
      <c r="S108" s="1" t="str">
        <f t="shared" si="32"/>
        <v>1-ACTV</v>
      </c>
      <c r="T108" s="1" t="str">
        <f t="shared" si="33"/>
        <v>1-0000</v>
      </c>
      <c r="U108" s="1" t="str">
        <f t="shared" si="34"/>
        <v>1-7000</v>
      </c>
      <c r="V108" s="1" t="str">
        <f t="shared" si="35"/>
        <v>1-7400</v>
      </c>
      <c r="W108" s="1" t="str">
        <f t="shared" si="36"/>
        <v>1-4718</v>
      </c>
      <c r="X108" s="1" t="str">
        <f t="shared" si="37"/>
        <v/>
      </c>
      <c r="Y108" s="1" t="str">
        <f t="shared" si="38"/>
        <v/>
      </c>
      <c r="Z108" s="1" t="str">
        <f t="shared" si="39"/>
        <v/>
      </c>
      <c r="AA108" s="1" t="str">
        <f t="shared" si="40"/>
        <v/>
      </c>
      <c r="AB108" s="1" t="str">
        <f t="shared" si="41"/>
        <v/>
      </c>
      <c r="AD108" s="1" t="str">
        <f t="shared" si="22"/>
        <v/>
      </c>
      <c r="AE108" s="1" t="str">
        <f t="shared" si="23"/>
        <v/>
      </c>
      <c r="AF108" s="1" t="str">
        <f t="shared" si="24"/>
        <v xml:space="preserve">PERFORM * FROM "SchData-OLTP-Accounting"."Func_TblChartOfAccount_SET"(varSystemLoginSession, null, null, null, varInstitutionBranchID, null, '1-7400', 'Accum Depr Sundry Palnt &amp; Eq.', 62000000000001::bigint, '2016-01-01 00:00:00'::timestamp, null::timestamp); </v>
      </c>
      <c r="AG108" s="1" t="str">
        <f t="shared" si="25"/>
        <v/>
      </c>
      <c r="AH108" s="1" t="str">
        <f t="shared" si="26"/>
        <v/>
      </c>
      <c r="AI108" s="1" t="str">
        <f t="shared" si="27"/>
        <v/>
      </c>
      <c r="AJ108" s="1" t="str">
        <f t="shared" si="28"/>
        <v/>
      </c>
      <c r="AK108" s="1" t="str">
        <f t="shared" si="29"/>
        <v/>
      </c>
      <c r="AL108" s="1" t="str">
        <f t="shared" si="30"/>
        <v/>
      </c>
      <c r="AM108" s="1" t="str">
        <f t="shared" si="31"/>
        <v/>
      </c>
      <c r="AO108" s="8" t="str">
        <f t="shared" si="43"/>
        <v xml:space="preserve">PERFORM * FROM "SchData-OLTP-Accounting"."Func_TblChartOfAccount_SET"(varSystemLoginSession, null, null, null, varInstitutionBranchID, null, '1-7400', 'Accum Depr Sundry Palnt &amp; Eq.', 62000000000001::bigint, '2016-01-01 00:00:00'::timestamp, null::timestamp); </v>
      </c>
    </row>
    <row r="109" spans="2:41" x14ac:dyDescent="0.25">
      <c r="B109" s="1">
        <v>3</v>
      </c>
      <c r="C109" s="2" t="s">
        <v>222</v>
      </c>
      <c r="D109" s="1" t="s">
        <v>223</v>
      </c>
      <c r="I109" s="2" t="s">
        <v>222</v>
      </c>
      <c r="Q109" s="1" t="str">
        <f t="shared" si="42"/>
        <v>Accum Depr Test Equipment</v>
      </c>
      <c r="S109" s="1" t="str">
        <f t="shared" si="32"/>
        <v>1-ACTV</v>
      </c>
      <c r="T109" s="1" t="str">
        <f t="shared" si="33"/>
        <v>1-0000</v>
      </c>
      <c r="U109" s="1" t="str">
        <f t="shared" si="34"/>
        <v>1-7000</v>
      </c>
      <c r="V109" s="1" t="str">
        <f t="shared" si="35"/>
        <v>1-7500</v>
      </c>
      <c r="W109" s="1" t="str">
        <f t="shared" si="36"/>
        <v>1-4718</v>
      </c>
      <c r="X109" s="1" t="str">
        <f t="shared" si="37"/>
        <v/>
      </c>
      <c r="Y109" s="1" t="str">
        <f t="shared" si="38"/>
        <v/>
      </c>
      <c r="Z109" s="1" t="str">
        <f t="shared" si="39"/>
        <v/>
      </c>
      <c r="AA109" s="1" t="str">
        <f t="shared" si="40"/>
        <v/>
      </c>
      <c r="AB109" s="1" t="str">
        <f t="shared" si="41"/>
        <v/>
      </c>
      <c r="AD109" s="1" t="str">
        <f t="shared" si="22"/>
        <v/>
      </c>
      <c r="AE109" s="1" t="str">
        <f t="shared" si="23"/>
        <v/>
      </c>
      <c r="AF109" s="1" t="str">
        <f t="shared" si="24"/>
        <v xml:space="preserve">PERFORM * FROM "SchData-OLTP-Accounting"."Func_TblChartOfAccount_SET"(varSystemLoginSession, null, null, null, varInstitutionBranchID, null, '1-7500', 'Accum Depr Test Equipment', 62000000000001::bigint, '2016-01-01 00:00:00'::timestamp, null::timestamp); </v>
      </c>
      <c r="AG109" s="1" t="str">
        <f t="shared" si="25"/>
        <v/>
      </c>
      <c r="AH109" s="1" t="str">
        <f t="shared" si="26"/>
        <v/>
      </c>
      <c r="AI109" s="1" t="str">
        <f t="shared" si="27"/>
        <v/>
      </c>
      <c r="AJ109" s="1" t="str">
        <f t="shared" si="28"/>
        <v/>
      </c>
      <c r="AK109" s="1" t="str">
        <f t="shared" si="29"/>
        <v/>
      </c>
      <c r="AL109" s="1" t="str">
        <f t="shared" si="30"/>
        <v/>
      </c>
      <c r="AM109" s="1" t="str">
        <f t="shared" si="31"/>
        <v/>
      </c>
      <c r="AO109" s="8" t="str">
        <f t="shared" si="43"/>
        <v xml:space="preserve">PERFORM * FROM "SchData-OLTP-Accounting"."Func_TblChartOfAccount_SET"(varSystemLoginSession, null, null, null, varInstitutionBranchID, null, '1-7500', 'Accum Depr Test Equipment', 62000000000001::bigint, '2016-01-01 00:00:00'::timestamp, null::timestamp); </v>
      </c>
    </row>
    <row r="110" spans="2:41" x14ac:dyDescent="0.25">
      <c r="B110" s="1">
        <v>3</v>
      </c>
      <c r="C110" s="2" t="s">
        <v>224</v>
      </c>
      <c r="D110" s="1" t="s">
        <v>225</v>
      </c>
      <c r="I110" s="2" t="s">
        <v>224</v>
      </c>
      <c r="Q110" s="1" t="str">
        <f t="shared" si="42"/>
        <v>Accum Depr Motor Vehicle</v>
      </c>
      <c r="S110" s="1" t="str">
        <f t="shared" si="32"/>
        <v>1-ACTV</v>
      </c>
      <c r="T110" s="1" t="str">
        <f t="shared" si="33"/>
        <v>1-0000</v>
      </c>
      <c r="U110" s="1" t="str">
        <f t="shared" si="34"/>
        <v>1-7000</v>
      </c>
      <c r="V110" s="1" t="str">
        <f t="shared" si="35"/>
        <v>1-7600</v>
      </c>
      <c r="W110" s="1" t="str">
        <f t="shared" si="36"/>
        <v>1-4718</v>
      </c>
      <c r="X110" s="1" t="str">
        <f t="shared" si="37"/>
        <v/>
      </c>
      <c r="Y110" s="1" t="str">
        <f t="shared" si="38"/>
        <v/>
      </c>
      <c r="Z110" s="1" t="str">
        <f t="shared" si="39"/>
        <v/>
      </c>
      <c r="AA110" s="1" t="str">
        <f t="shared" si="40"/>
        <v/>
      </c>
      <c r="AB110" s="1" t="str">
        <f t="shared" si="41"/>
        <v/>
      </c>
      <c r="AD110" s="1" t="str">
        <f t="shared" si="22"/>
        <v/>
      </c>
      <c r="AE110" s="1" t="str">
        <f t="shared" si="23"/>
        <v/>
      </c>
      <c r="AF110" s="1" t="str">
        <f t="shared" si="24"/>
        <v xml:space="preserve">PERFORM * FROM "SchData-OLTP-Accounting"."Func_TblChartOfAccount_SET"(varSystemLoginSession, null, null, null, varInstitutionBranchID, null, '1-7600', 'Accum Depr Motor Vehicle', 62000000000001::bigint, '2016-01-01 00:00:00'::timestamp, null::timestamp); </v>
      </c>
      <c r="AG110" s="1" t="str">
        <f t="shared" si="25"/>
        <v/>
      </c>
      <c r="AH110" s="1" t="str">
        <f t="shared" si="26"/>
        <v/>
      </c>
      <c r="AI110" s="1" t="str">
        <f t="shared" si="27"/>
        <v/>
      </c>
      <c r="AJ110" s="1" t="str">
        <f t="shared" si="28"/>
        <v/>
      </c>
      <c r="AK110" s="1" t="str">
        <f t="shared" si="29"/>
        <v/>
      </c>
      <c r="AL110" s="1" t="str">
        <f t="shared" si="30"/>
        <v/>
      </c>
      <c r="AM110" s="1" t="str">
        <f t="shared" si="31"/>
        <v/>
      </c>
      <c r="AO110" s="8" t="str">
        <f t="shared" si="43"/>
        <v xml:space="preserve">PERFORM * FROM "SchData-OLTP-Accounting"."Func_TblChartOfAccount_SET"(varSystemLoginSession, null, null, null, varInstitutionBranchID, null, '1-7600', 'Accum Depr Motor Vehicle', 62000000000001::bigint, '2016-01-01 00:00:00'::timestamp, null::timestamp); </v>
      </c>
    </row>
    <row r="111" spans="2:41" x14ac:dyDescent="0.25">
      <c r="B111" s="1">
        <v>3</v>
      </c>
      <c r="C111" s="2" t="s">
        <v>226</v>
      </c>
      <c r="D111" s="1" t="s">
        <v>227</v>
      </c>
      <c r="I111" s="2" t="s">
        <v>226</v>
      </c>
      <c r="Q111" s="1" t="str">
        <f t="shared" si="42"/>
        <v>Accum Depr Tools</v>
      </c>
      <c r="S111" s="1" t="str">
        <f t="shared" si="32"/>
        <v>1-ACTV</v>
      </c>
      <c r="T111" s="1" t="str">
        <f t="shared" si="33"/>
        <v>1-0000</v>
      </c>
      <c r="U111" s="1" t="str">
        <f t="shared" si="34"/>
        <v>1-7000</v>
      </c>
      <c r="V111" s="1" t="str">
        <f t="shared" si="35"/>
        <v>1-7700</v>
      </c>
      <c r="W111" s="1" t="str">
        <f t="shared" si="36"/>
        <v>1-4718</v>
      </c>
      <c r="X111" s="1" t="str">
        <f t="shared" si="37"/>
        <v/>
      </c>
      <c r="Y111" s="1" t="str">
        <f t="shared" si="38"/>
        <v/>
      </c>
      <c r="Z111" s="1" t="str">
        <f t="shared" si="39"/>
        <v/>
      </c>
      <c r="AA111" s="1" t="str">
        <f t="shared" si="40"/>
        <v/>
      </c>
      <c r="AB111" s="1" t="str">
        <f t="shared" si="41"/>
        <v/>
      </c>
      <c r="AD111" s="1" t="str">
        <f t="shared" si="22"/>
        <v/>
      </c>
      <c r="AE111" s="1" t="str">
        <f t="shared" si="23"/>
        <v/>
      </c>
      <c r="AF111" s="1" t="str">
        <f t="shared" si="24"/>
        <v xml:space="preserve">PERFORM * FROM "SchData-OLTP-Accounting"."Func_TblChartOfAccount_SET"(varSystemLoginSession, null, null, null, varInstitutionBranchID, null, '1-7700', 'Accum Depr Tools', 62000000000001::bigint, '2016-01-01 00:00:00'::timestamp, null::timestamp); </v>
      </c>
      <c r="AG111" s="1" t="str">
        <f t="shared" si="25"/>
        <v/>
      </c>
      <c r="AH111" s="1" t="str">
        <f t="shared" si="26"/>
        <v/>
      </c>
      <c r="AI111" s="1" t="str">
        <f t="shared" si="27"/>
        <v/>
      </c>
      <c r="AJ111" s="1" t="str">
        <f t="shared" si="28"/>
        <v/>
      </c>
      <c r="AK111" s="1" t="str">
        <f t="shared" si="29"/>
        <v/>
      </c>
      <c r="AL111" s="1" t="str">
        <f t="shared" si="30"/>
        <v/>
      </c>
      <c r="AM111" s="1" t="str">
        <f t="shared" si="31"/>
        <v/>
      </c>
      <c r="AO111" s="8" t="str">
        <f t="shared" si="43"/>
        <v xml:space="preserve">PERFORM * FROM "SchData-OLTP-Accounting"."Func_TblChartOfAccount_SET"(varSystemLoginSession, null, null, null, varInstitutionBranchID, null, '1-7700', 'Accum Depr Tools', 62000000000001::bigint, '2016-01-01 00:00:00'::timestamp, null::timestamp); </v>
      </c>
    </row>
    <row r="112" spans="2:41" x14ac:dyDescent="0.25">
      <c r="B112" s="1">
        <v>3</v>
      </c>
      <c r="C112" s="2" t="s">
        <v>228</v>
      </c>
      <c r="D112" s="1" t="s">
        <v>229</v>
      </c>
      <c r="I112" s="2" t="s">
        <v>228</v>
      </c>
      <c r="Q112" s="1" t="str">
        <f t="shared" si="42"/>
        <v>Accum Depr Furniture Fitting</v>
      </c>
      <c r="S112" s="1" t="str">
        <f t="shared" si="32"/>
        <v>1-ACTV</v>
      </c>
      <c r="T112" s="1" t="str">
        <f t="shared" si="33"/>
        <v>1-0000</v>
      </c>
      <c r="U112" s="1" t="str">
        <f t="shared" si="34"/>
        <v>1-7000</v>
      </c>
      <c r="V112" s="1" t="str">
        <f t="shared" si="35"/>
        <v>1-7800</v>
      </c>
      <c r="W112" s="1" t="str">
        <f t="shared" si="36"/>
        <v>1-4718</v>
      </c>
      <c r="X112" s="1" t="str">
        <f t="shared" si="37"/>
        <v/>
      </c>
      <c r="Y112" s="1" t="str">
        <f t="shared" si="38"/>
        <v/>
      </c>
      <c r="Z112" s="1" t="str">
        <f t="shared" si="39"/>
        <v/>
      </c>
      <c r="AA112" s="1" t="str">
        <f t="shared" si="40"/>
        <v/>
      </c>
      <c r="AB112" s="1" t="str">
        <f t="shared" si="41"/>
        <v/>
      </c>
      <c r="AD112" s="1" t="str">
        <f t="shared" si="22"/>
        <v/>
      </c>
      <c r="AE112" s="1" t="str">
        <f t="shared" si="23"/>
        <v/>
      </c>
      <c r="AF112" s="1" t="str">
        <f t="shared" si="24"/>
        <v xml:space="preserve">PERFORM * FROM "SchData-OLTP-Accounting"."Func_TblChartOfAccount_SET"(varSystemLoginSession, null, null, null, varInstitutionBranchID, null, '1-7800', 'Accum Depr Furniture Fitting', 62000000000001::bigint, '2016-01-01 00:00:00'::timestamp, null::timestamp); </v>
      </c>
      <c r="AG112" s="1" t="str">
        <f t="shared" si="25"/>
        <v/>
      </c>
      <c r="AH112" s="1" t="str">
        <f t="shared" si="26"/>
        <v/>
      </c>
      <c r="AI112" s="1" t="str">
        <f t="shared" si="27"/>
        <v/>
      </c>
      <c r="AJ112" s="1" t="str">
        <f t="shared" si="28"/>
        <v/>
      </c>
      <c r="AK112" s="1" t="str">
        <f t="shared" si="29"/>
        <v/>
      </c>
      <c r="AL112" s="1" t="str">
        <f t="shared" si="30"/>
        <v/>
      </c>
      <c r="AM112" s="1" t="str">
        <f t="shared" si="31"/>
        <v/>
      </c>
      <c r="AO112" s="8" t="str">
        <f t="shared" si="43"/>
        <v xml:space="preserve">PERFORM * FROM "SchData-OLTP-Accounting"."Func_TblChartOfAccount_SET"(varSystemLoginSession, null, null, null, varInstitutionBranchID, null, '1-7800', 'Accum Depr Furniture Fitting', 62000000000001::bigint, '2016-01-01 00:00:00'::timestamp, null::timestamp); </v>
      </c>
    </row>
    <row r="113" spans="2:41" x14ac:dyDescent="0.25">
      <c r="B113" s="1">
        <v>3</v>
      </c>
      <c r="C113" s="2" t="s">
        <v>230</v>
      </c>
      <c r="D113" s="1" t="s">
        <v>231</v>
      </c>
      <c r="I113" s="2" t="s">
        <v>230</v>
      </c>
      <c r="Q113" s="1" t="str">
        <f t="shared" si="42"/>
        <v>Accum Depr Mobile Phone</v>
      </c>
      <c r="S113" s="1" t="str">
        <f t="shared" si="32"/>
        <v>1-ACTV</v>
      </c>
      <c r="T113" s="1" t="str">
        <f t="shared" si="33"/>
        <v>1-0000</v>
      </c>
      <c r="U113" s="1" t="str">
        <f t="shared" si="34"/>
        <v>1-7000</v>
      </c>
      <c r="V113" s="1" t="str">
        <f t="shared" si="35"/>
        <v>1-7900</v>
      </c>
      <c r="W113" s="1" t="str">
        <f t="shared" si="36"/>
        <v>1-4718</v>
      </c>
      <c r="X113" s="1" t="str">
        <f t="shared" si="37"/>
        <v/>
      </c>
      <c r="Y113" s="1" t="str">
        <f t="shared" si="38"/>
        <v/>
      </c>
      <c r="Z113" s="1" t="str">
        <f t="shared" si="39"/>
        <v/>
      </c>
      <c r="AA113" s="1" t="str">
        <f t="shared" si="40"/>
        <v/>
      </c>
      <c r="AB113" s="1" t="str">
        <f t="shared" si="41"/>
        <v/>
      </c>
      <c r="AD113" s="1" t="str">
        <f t="shared" si="22"/>
        <v/>
      </c>
      <c r="AE113" s="1" t="str">
        <f t="shared" si="23"/>
        <v/>
      </c>
      <c r="AF113" s="1" t="str">
        <f t="shared" si="24"/>
        <v xml:space="preserve">PERFORM * FROM "SchData-OLTP-Accounting"."Func_TblChartOfAccount_SET"(varSystemLoginSession, null, null, null, varInstitutionBranchID, null, '1-7900', 'Accum Depr Mobile Phone', 62000000000001::bigint, '2016-01-01 00:00:00'::timestamp, null::timestamp); </v>
      </c>
      <c r="AG113" s="1" t="str">
        <f t="shared" si="25"/>
        <v/>
      </c>
      <c r="AH113" s="1" t="str">
        <f t="shared" si="26"/>
        <v/>
      </c>
      <c r="AI113" s="1" t="str">
        <f t="shared" si="27"/>
        <v/>
      </c>
      <c r="AJ113" s="1" t="str">
        <f t="shared" si="28"/>
        <v/>
      </c>
      <c r="AK113" s="1" t="str">
        <f t="shared" si="29"/>
        <v/>
      </c>
      <c r="AL113" s="1" t="str">
        <f t="shared" si="30"/>
        <v/>
      </c>
      <c r="AM113" s="1" t="str">
        <f t="shared" si="31"/>
        <v/>
      </c>
      <c r="AO113" s="8" t="str">
        <f t="shared" si="43"/>
        <v xml:space="preserve">PERFORM * FROM "SchData-OLTP-Accounting"."Func_TblChartOfAccount_SET"(varSystemLoginSession, null, null, null, varInstitutionBranchID, null, '1-7900', 'Accum Depr Mobile Phone', 62000000000001::bigint, '2016-01-01 00:00:00'::timestamp, null::timestamp); </v>
      </c>
    </row>
    <row r="114" spans="2:41" x14ac:dyDescent="0.25">
      <c r="B114" s="1">
        <v>2</v>
      </c>
      <c r="C114" s="2" t="s">
        <v>232</v>
      </c>
      <c r="D114" s="1" t="s">
        <v>233</v>
      </c>
      <c r="H114" s="2" t="s">
        <v>232</v>
      </c>
      <c r="Q114" s="1" t="str">
        <f t="shared" si="42"/>
        <v>Other Assets</v>
      </c>
      <c r="S114" s="1" t="str">
        <f t="shared" si="32"/>
        <v>1-ACTV</v>
      </c>
      <c r="T114" s="1" t="str">
        <f t="shared" si="33"/>
        <v>1-0000</v>
      </c>
      <c r="U114" s="1" t="str">
        <f t="shared" si="34"/>
        <v>1-8000</v>
      </c>
      <c r="V114" s="1" t="str">
        <f t="shared" si="35"/>
        <v>1-7900</v>
      </c>
      <c r="W114" s="1" t="str">
        <f t="shared" si="36"/>
        <v>1-4718</v>
      </c>
      <c r="X114" s="1" t="str">
        <f t="shared" si="37"/>
        <v/>
      </c>
      <c r="Y114" s="1" t="str">
        <f t="shared" si="38"/>
        <v/>
      </c>
      <c r="Z114" s="1" t="str">
        <f t="shared" si="39"/>
        <v/>
      </c>
      <c r="AA114" s="1" t="str">
        <f t="shared" si="40"/>
        <v/>
      </c>
      <c r="AB114" s="1" t="str">
        <f t="shared" si="41"/>
        <v/>
      </c>
      <c r="AD114" s="1" t="str">
        <f t="shared" si="22"/>
        <v/>
      </c>
      <c r="AE114" s="1" t="str">
        <f t="shared" si="23"/>
        <v xml:space="preserve">PERFORM * FROM "SchData-OLTP-Accounting"."Func_TblChartOfAccount_SET"(varSystemLoginSession, null, null, null, varInstitutionBranchID, null, '1-8000', 'Other Assets', 62000000000001::bigint, '2016-01-01 00:00:00'::timestamp, null::timestamp); </v>
      </c>
      <c r="AF114" s="1" t="str">
        <f t="shared" si="24"/>
        <v/>
      </c>
      <c r="AG114" s="1" t="str">
        <f t="shared" si="25"/>
        <v/>
      </c>
      <c r="AH114" s="1" t="str">
        <f t="shared" si="26"/>
        <v/>
      </c>
      <c r="AI114" s="1" t="str">
        <f t="shared" si="27"/>
        <v/>
      </c>
      <c r="AJ114" s="1" t="str">
        <f t="shared" si="28"/>
        <v/>
      </c>
      <c r="AK114" s="1" t="str">
        <f t="shared" si="29"/>
        <v/>
      </c>
      <c r="AL114" s="1" t="str">
        <f t="shared" si="30"/>
        <v/>
      </c>
      <c r="AM114" s="1" t="str">
        <f t="shared" si="31"/>
        <v/>
      </c>
      <c r="AO114" s="8" t="str">
        <f t="shared" si="43"/>
        <v xml:space="preserve">PERFORM * FROM "SchData-OLTP-Accounting"."Func_TblChartOfAccount_SET"(varSystemLoginSession, null, null, null, varInstitutionBranchID, null, '1-8000', 'Other Assets', 62000000000001::bigint, '2016-01-01 00:00:00'::timestamp, null::timestamp); </v>
      </c>
    </row>
    <row r="115" spans="2:41" x14ac:dyDescent="0.25">
      <c r="B115" s="1">
        <v>3</v>
      </c>
      <c r="C115" s="2" t="s">
        <v>234</v>
      </c>
      <c r="D115" s="1" t="s">
        <v>235</v>
      </c>
      <c r="I115" s="2" t="s">
        <v>234</v>
      </c>
      <c r="Q115" s="1" t="str">
        <f t="shared" si="42"/>
        <v>Pre Opr Costproject - Material</v>
      </c>
      <c r="S115" s="1" t="str">
        <f t="shared" si="32"/>
        <v>1-ACTV</v>
      </c>
      <c r="T115" s="1" t="str">
        <f t="shared" si="33"/>
        <v>1-0000</v>
      </c>
      <c r="U115" s="1" t="str">
        <f t="shared" si="34"/>
        <v>1-8000</v>
      </c>
      <c r="V115" s="1" t="str">
        <f t="shared" si="35"/>
        <v>1-8100</v>
      </c>
      <c r="W115" s="1" t="str">
        <f t="shared" si="36"/>
        <v>1-4718</v>
      </c>
      <c r="X115" s="1" t="str">
        <f t="shared" si="37"/>
        <v/>
      </c>
      <c r="Y115" s="1" t="str">
        <f t="shared" si="38"/>
        <v/>
      </c>
      <c r="Z115" s="1" t="str">
        <f t="shared" si="39"/>
        <v/>
      </c>
      <c r="AA115" s="1" t="str">
        <f t="shared" si="40"/>
        <v/>
      </c>
      <c r="AB115" s="1" t="str">
        <f t="shared" si="41"/>
        <v/>
      </c>
      <c r="AD115" s="1" t="str">
        <f t="shared" si="22"/>
        <v/>
      </c>
      <c r="AE115" s="1" t="str">
        <f t="shared" si="23"/>
        <v/>
      </c>
      <c r="AF115" s="1" t="str">
        <f t="shared" si="24"/>
        <v xml:space="preserve">PERFORM * FROM "SchData-OLTP-Accounting"."Func_TblChartOfAccount_SET"(varSystemLoginSession, null, null, null, varInstitutionBranchID, null, '1-8100', 'Pre Opr Costproject - Material', 62000000000001::bigint, '2016-01-01 00:00:00'::timestamp, null::timestamp); </v>
      </c>
      <c r="AG115" s="1" t="str">
        <f t="shared" si="25"/>
        <v/>
      </c>
      <c r="AH115" s="1" t="str">
        <f t="shared" si="26"/>
        <v/>
      </c>
      <c r="AI115" s="1" t="str">
        <f t="shared" si="27"/>
        <v/>
      </c>
      <c r="AJ115" s="1" t="str">
        <f t="shared" si="28"/>
        <v/>
      </c>
      <c r="AK115" s="1" t="str">
        <f t="shared" si="29"/>
        <v/>
      </c>
      <c r="AL115" s="1" t="str">
        <f t="shared" si="30"/>
        <v/>
      </c>
      <c r="AM115" s="1" t="str">
        <f t="shared" si="31"/>
        <v/>
      </c>
      <c r="AO115" s="8" t="str">
        <f t="shared" si="43"/>
        <v xml:space="preserve">PERFORM * FROM "SchData-OLTP-Accounting"."Func_TblChartOfAccount_SET"(varSystemLoginSession, null, null, null, varInstitutionBranchID, null, '1-8100', 'Pre Opr Costproject - Material', 62000000000001::bigint, '2016-01-01 00:00:00'::timestamp, null::timestamp); </v>
      </c>
    </row>
    <row r="116" spans="2:41" x14ac:dyDescent="0.25">
      <c r="B116" s="1">
        <v>3</v>
      </c>
      <c r="C116" s="2" t="s">
        <v>236</v>
      </c>
      <c r="D116" s="1" t="s">
        <v>237</v>
      </c>
      <c r="I116" s="2" t="s">
        <v>236</v>
      </c>
      <c r="Q116" s="1" t="str">
        <f t="shared" si="42"/>
        <v>Pre Opr Costproject-Labor Cost</v>
      </c>
      <c r="S116" s="1" t="str">
        <f t="shared" si="32"/>
        <v>1-ACTV</v>
      </c>
      <c r="T116" s="1" t="str">
        <f t="shared" si="33"/>
        <v>1-0000</v>
      </c>
      <c r="U116" s="1" t="str">
        <f t="shared" si="34"/>
        <v>1-8000</v>
      </c>
      <c r="V116" s="1" t="str">
        <f t="shared" si="35"/>
        <v>1-8200</v>
      </c>
      <c r="W116" s="1" t="str">
        <f t="shared" si="36"/>
        <v>1-4718</v>
      </c>
      <c r="X116" s="1" t="str">
        <f t="shared" si="37"/>
        <v/>
      </c>
      <c r="Y116" s="1" t="str">
        <f t="shared" si="38"/>
        <v/>
      </c>
      <c r="Z116" s="1" t="str">
        <f t="shared" si="39"/>
        <v/>
      </c>
      <c r="AA116" s="1" t="str">
        <f t="shared" si="40"/>
        <v/>
      </c>
      <c r="AB116" s="1" t="str">
        <f t="shared" si="41"/>
        <v/>
      </c>
      <c r="AD116" s="1" t="str">
        <f t="shared" si="22"/>
        <v/>
      </c>
      <c r="AE116" s="1" t="str">
        <f t="shared" si="23"/>
        <v/>
      </c>
      <c r="AF116" s="1" t="str">
        <f t="shared" si="24"/>
        <v xml:space="preserve">PERFORM * FROM "SchData-OLTP-Accounting"."Func_TblChartOfAccount_SET"(varSystemLoginSession, null, null, null, varInstitutionBranchID, null, '1-8200', 'Pre Opr Costproject-Labor Cost', 62000000000001::bigint, '2016-01-01 00:00:00'::timestamp, null::timestamp); </v>
      </c>
      <c r="AG116" s="1" t="str">
        <f t="shared" si="25"/>
        <v/>
      </c>
      <c r="AH116" s="1" t="str">
        <f t="shared" si="26"/>
        <v/>
      </c>
      <c r="AI116" s="1" t="str">
        <f t="shared" si="27"/>
        <v/>
      </c>
      <c r="AJ116" s="1" t="str">
        <f t="shared" si="28"/>
        <v/>
      </c>
      <c r="AK116" s="1" t="str">
        <f t="shared" si="29"/>
        <v/>
      </c>
      <c r="AL116" s="1" t="str">
        <f t="shared" si="30"/>
        <v/>
      </c>
      <c r="AM116" s="1" t="str">
        <f t="shared" si="31"/>
        <v/>
      </c>
      <c r="AO116" s="8" t="str">
        <f t="shared" si="43"/>
        <v xml:space="preserve">PERFORM * FROM "SchData-OLTP-Accounting"."Func_TblChartOfAccount_SET"(varSystemLoginSession, null, null, null, varInstitutionBranchID, null, '1-8200', 'Pre Opr Costproject-Labor Cost', 62000000000001::bigint, '2016-01-01 00:00:00'::timestamp, null::timestamp); </v>
      </c>
    </row>
    <row r="117" spans="2:41" x14ac:dyDescent="0.25">
      <c r="B117" s="1">
        <v>3</v>
      </c>
      <c r="C117" s="2" t="s">
        <v>238</v>
      </c>
      <c r="D117" s="1" t="s">
        <v>239</v>
      </c>
      <c r="I117" s="2" t="s">
        <v>238</v>
      </c>
      <c r="Q117" s="1" t="str">
        <f t="shared" si="42"/>
        <v>Pre Opr Costproject - Overhead</v>
      </c>
      <c r="S117" s="1" t="str">
        <f t="shared" si="32"/>
        <v>1-ACTV</v>
      </c>
      <c r="T117" s="1" t="str">
        <f t="shared" si="33"/>
        <v>1-0000</v>
      </c>
      <c r="U117" s="1" t="str">
        <f t="shared" si="34"/>
        <v>1-8000</v>
      </c>
      <c r="V117" s="1" t="str">
        <f t="shared" si="35"/>
        <v>1-8300</v>
      </c>
      <c r="W117" s="1" t="str">
        <f t="shared" si="36"/>
        <v>1-4718</v>
      </c>
      <c r="X117" s="1" t="str">
        <f t="shared" si="37"/>
        <v/>
      </c>
      <c r="Y117" s="1" t="str">
        <f t="shared" si="38"/>
        <v/>
      </c>
      <c r="Z117" s="1" t="str">
        <f t="shared" si="39"/>
        <v/>
      </c>
      <c r="AA117" s="1" t="str">
        <f t="shared" si="40"/>
        <v/>
      </c>
      <c r="AB117" s="1" t="str">
        <f t="shared" si="41"/>
        <v/>
      </c>
      <c r="AD117" s="1" t="str">
        <f t="shared" si="22"/>
        <v/>
      </c>
      <c r="AE117" s="1" t="str">
        <f t="shared" si="23"/>
        <v/>
      </c>
      <c r="AF117" s="1" t="str">
        <f t="shared" si="24"/>
        <v xml:space="preserve">PERFORM * FROM "SchData-OLTP-Accounting"."Func_TblChartOfAccount_SET"(varSystemLoginSession, null, null, null, varInstitutionBranchID, null, '1-8300', 'Pre Opr Costproject - Overhead', 62000000000001::bigint, '2016-01-01 00:00:00'::timestamp, null::timestamp); </v>
      </c>
      <c r="AG117" s="1" t="str">
        <f t="shared" si="25"/>
        <v/>
      </c>
      <c r="AH117" s="1" t="str">
        <f t="shared" si="26"/>
        <v/>
      </c>
      <c r="AI117" s="1" t="str">
        <f t="shared" si="27"/>
        <v/>
      </c>
      <c r="AJ117" s="1" t="str">
        <f t="shared" si="28"/>
        <v/>
      </c>
      <c r="AK117" s="1" t="str">
        <f t="shared" si="29"/>
        <v/>
      </c>
      <c r="AL117" s="1" t="str">
        <f t="shared" si="30"/>
        <v/>
      </c>
      <c r="AM117" s="1" t="str">
        <f t="shared" si="31"/>
        <v/>
      </c>
      <c r="AO117" s="8" t="str">
        <f t="shared" si="43"/>
        <v xml:space="preserve">PERFORM * FROM "SchData-OLTP-Accounting"."Func_TblChartOfAccount_SET"(varSystemLoginSession, null, null, null, varInstitutionBranchID, null, '1-8300', 'Pre Opr Costproject - Overhead', 62000000000001::bigint, '2016-01-01 00:00:00'::timestamp, null::timestamp); </v>
      </c>
    </row>
    <row r="118" spans="2:41" x14ac:dyDescent="0.25">
      <c r="B118" s="1">
        <v>3</v>
      </c>
      <c r="C118" s="2" t="s">
        <v>240</v>
      </c>
      <c r="D118" s="1" t="s">
        <v>241</v>
      </c>
      <c r="I118" s="2" t="s">
        <v>240</v>
      </c>
      <c r="Q118" s="1" t="str">
        <f t="shared" si="42"/>
        <v>Other Asset</v>
      </c>
      <c r="S118" s="1" t="str">
        <f t="shared" si="32"/>
        <v>1-ACTV</v>
      </c>
      <c r="T118" s="1" t="str">
        <f t="shared" si="33"/>
        <v>1-0000</v>
      </c>
      <c r="U118" s="1" t="str">
        <f t="shared" si="34"/>
        <v>1-8000</v>
      </c>
      <c r="V118" s="1" t="str">
        <f t="shared" si="35"/>
        <v>1-9000</v>
      </c>
      <c r="W118" s="1" t="str">
        <f t="shared" si="36"/>
        <v>1-4718</v>
      </c>
      <c r="X118" s="1" t="str">
        <f t="shared" si="37"/>
        <v/>
      </c>
      <c r="Y118" s="1" t="str">
        <f t="shared" si="38"/>
        <v/>
      </c>
      <c r="Z118" s="1" t="str">
        <f t="shared" si="39"/>
        <v/>
      </c>
      <c r="AA118" s="1" t="str">
        <f t="shared" si="40"/>
        <v/>
      </c>
      <c r="AB118" s="1" t="str">
        <f t="shared" si="41"/>
        <v/>
      </c>
      <c r="AD118" s="1" t="str">
        <f t="shared" si="22"/>
        <v/>
      </c>
      <c r="AE118" s="1" t="str">
        <f t="shared" si="23"/>
        <v/>
      </c>
      <c r="AF118" s="1" t="str">
        <f t="shared" si="24"/>
        <v xml:space="preserve">PERFORM * FROM "SchData-OLTP-Accounting"."Func_TblChartOfAccount_SET"(varSystemLoginSession, null, null, null, varInstitutionBranchID, null, '1-9000', 'Other Asset', 62000000000001::bigint, '2016-01-01 00:00:00'::timestamp, null::timestamp); </v>
      </c>
      <c r="AG118" s="1" t="str">
        <f t="shared" si="25"/>
        <v/>
      </c>
      <c r="AH118" s="1" t="str">
        <f t="shared" si="26"/>
        <v/>
      </c>
      <c r="AI118" s="1" t="str">
        <f t="shared" si="27"/>
        <v/>
      </c>
      <c r="AJ118" s="1" t="str">
        <f t="shared" si="28"/>
        <v/>
      </c>
      <c r="AK118" s="1" t="str">
        <f t="shared" si="29"/>
        <v/>
      </c>
      <c r="AL118" s="1" t="str">
        <f t="shared" si="30"/>
        <v/>
      </c>
      <c r="AM118" s="1" t="str">
        <f t="shared" si="31"/>
        <v/>
      </c>
      <c r="AO118" s="8" t="str">
        <f t="shared" si="43"/>
        <v xml:space="preserve">PERFORM * FROM "SchData-OLTP-Accounting"."Func_TblChartOfAccount_SET"(varSystemLoginSession, null, null, null, varInstitutionBranchID, null, '1-9000', 'Other Asset', 62000000000001::bigint, '2016-01-01 00:00:00'::timestamp, null::timestamp); </v>
      </c>
    </row>
    <row r="119" spans="2:41" x14ac:dyDescent="0.25">
      <c r="F119" s="1" t="s">
        <v>242</v>
      </c>
      <c r="I119" s="2"/>
      <c r="Q119" s="1" t="s">
        <v>243</v>
      </c>
      <c r="S119" s="1" t="str">
        <f t="shared" si="32"/>
        <v>2-PASV</v>
      </c>
      <c r="T119" s="1" t="str">
        <f t="shared" si="33"/>
        <v>1-0000</v>
      </c>
      <c r="U119" s="1" t="str">
        <f t="shared" si="34"/>
        <v>1-8000</v>
      </c>
      <c r="V119" s="1" t="str">
        <f t="shared" si="35"/>
        <v>1-9000</v>
      </c>
      <c r="W119" s="1" t="str">
        <f t="shared" si="36"/>
        <v>1-4718</v>
      </c>
      <c r="X119" s="1" t="str">
        <f t="shared" si="37"/>
        <v/>
      </c>
      <c r="Y119" s="1" t="str">
        <f t="shared" si="38"/>
        <v/>
      </c>
      <c r="Z119" s="1" t="str">
        <f t="shared" si="39"/>
        <v/>
      </c>
      <c r="AA119" s="1" t="str">
        <f t="shared" si="40"/>
        <v/>
      </c>
      <c r="AB119" s="1" t="str">
        <f t="shared" si="41"/>
        <v/>
      </c>
      <c r="AD119" s="1" t="str">
        <f t="shared" si="22"/>
        <v/>
      </c>
      <c r="AE119" s="1" t="str">
        <f t="shared" si="23"/>
        <v/>
      </c>
      <c r="AF119" s="1" t="str">
        <f t="shared" si="24"/>
        <v/>
      </c>
      <c r="AG119" s="1" t="str">
        <f t="shared" si="25"/>
        <v/>
      </c>
      <c r="AH119" s="1" t="str">
        <f t="shared" si="26"/>
        <v/>
      </c>
      <c r="AI119" s="1" t="str">
        <f t="shared" si="27"/>
        <v/>
      </c>
      <c r="AJ119" s="1" t="str">
        <f t="shared" si="28"/>
        <v/>
      </c>
      <c r="AK119" s="1" t="str">
        <f t="shared" si="29"/>
        <v/>
      </c>
      <c r="AL119" s="1" t="str">
        <f t="shared" si="30"/>
        <v/>
      </c>
      <c r="AM119" s="1" t="str">
        <f t="shared" si="31"/>
        <v/>
      </c>
      <c r="AO119" s="8" t="str">
        <f t="shared" si="43"/>
        <v/>
      </c>
    </row>
    <row r="120" spans="2:41" x14ac:dyDescent="0.25">
      <c r="B120" s="1">
        <v>1</v>
      </c>
      <c r="C120" s="2" t="s">
        <v>244</v>
      </c>
      <c r="D120" s="1" t="s">
        <v>245</v>
      </c>
      <c r="G120" s="2" t="s">
        <v>244</v>
      </c>
      <c r="Q120" s="1" t="str">
        <f t="shared" si="42"/>
        <v>Liabilities</v>
      </c>
      <c r="S120" s="1" t="str">
        <f t="shared" si="32"/>
        <v>2-PASV</v>
      </c>
      <c r="T120" s="1" t="str">
        <f t="shared" si="33"/>
        <v>2-0000</v>
      </c>
      <c r="U120" s="1" t="str">
        <f t="shared" si="34"/>
        <v>1-8000</v>
      </c>
      <c r="V120" s="1" t="str">
        <f t="shared" si="35"/>
        <v>1-9000</v>
      </c>
      <c r="W120" s="1" t="str">
        <f t="shared" si="36"/>
        <v>1-4718</v>
      </c>
      <c r="X120" s="1" t="str">
        <f t="shared" si="37"/>
        <v/>
      </c>
      <c r="Y120" s="1" t="str">
        <f t="shared" si="38"/>
        <v/>
      </c>
      <c r="Z120" s="1" t="str">
        <f t="shared" si="39"/>
        <v/>
      </c>
      <c r="AA120" s="1" t="str">
        <f t="shared" si="40"/>
        <v/>
      </c>
      <c r="AB120" s="1" t="str">
        <f t="shared" si="41"/>
        <v/>
      </c>
      <c r="AD120" s="1" t="str">
        <f t="shared" si="22"/>
        <v xml:space="preserve">PERFORM * FROM "SchData-OLTP-Accounting"."Func_TblChartOfAccount_SET"(varSystemLoginSession, null, null, null, varInstitutionBranchID, null, '2-0000', 'Liabilities', 62000000000001::bigint, '2016-01-01 00:00:00'::timestamp, null::timestamp); </v>
      </c>
      <c r="AE120" s="1" t="str">
        <f t="shared" si="23"/>
        <v/>
      </c>
      <c r="AF120" s="1" t="str">
        <f t="shared" si="24"/>
        <v/>
      </c>
      <c r="AG120" s="1" t="str">
        <f t="shared" si="25"/>
        <v/>
      </c>
      <c r="AH120" s="1" t="str">
        <f t="shared" si="26"/>
        <v/>
      </c>
      <c r="AI120" s="1" t="str">
        <f t="shared" si="27"/>
        <v/>
      </c>
      <c r="AJ120" s="1" t="str">
        <f t="shared" si="28"/>
        <v/>
      </c>
      <c r="AK120" s="1" t="str">
        <f t="shared" si="29"/>
        <v/>
      </c>
      <c r="AL120" s="1" t="str">
        <f t="shared" si="30"/>
        <v/>
      </c>
      <c r="AM120" s="1" t="str">
        <f t="shared" si="31"/>
        <v/>
      </c>
      <c r="AO120" s="8" t="str">
        <f t="shared" si="43"/>
        <v xml:space="preserve">PERFORM * FROM "SchData-OLTP-Accounting"."Func_TblChartOfAccount_SET"(varSystemLoginSession, null, null, null, varInstitutionBranchID, null, '2-0000', 'Liabilities', 62000000000001::bigint, '2016-01-01 00:00:00'::timestamp, null::timestamp); </v>
      </c>
    </row>
    <row r="121" spans="2:41" x14ac:dyDescent="0.25">
      <c r="B121" s="1">
        <v>2</v>
      </c>
      <c r="C121" s="2" t="s">
        <v>246</v>
      </c>
      <c r="D121" s="1" t="s">
        <v>247</v>
      </c>
      <c r="H121" s="2" t="s">
        <v>246</v>
      </c>
      <c r="Q121" s="1" t="str">
        <f t="shared" si="42"/>
        <v>Current Liabilities</v>
      </c>
      <c r="S121" s="1" t="str">
        <f t="shared" si="32"/>
        <v>2-PASV</v>
      </c>
      <c r="T121" s="1" t="str">
        <f t="shared" si="33"/>
        <v>2-0000</v>
      </c>
      <c r="U121" s="1" t="str">
        <f t="shared" si="34"/>
        <v>2-1000</v>
      </c>
      <c r="V121" s="1" t="str">
        <f t="shared" si="35"/>
        <v>1-9000</v>
      </c>
      <c r="W121" s="1" t="str">
        <f t="shared" si="36"/>
        <v>1-4718</v>
      </c>
      <c r="X121" s="1" t="str">
        <f t="shared" si="37"/>
        <v/>
      </c>
      <c r="Y121" s="1" t="str">
        <f t="shared" si="38"/>
        <v/>
      </c>
      <c r="Z121" s="1" t="str">
        <f t="shared" si="39"/>
        <v/>
      </c>
      <c r="AA121" s="1" t="str">
        <f t="shared" si="40"/>
        <v/>
      </c>
      <c r="AB121" s="1" t="str">
        <f t="shared" si="41"/>
        <v/>
      </c>
      <c r="AD121" s="1" t="str">
        <f t="shared" si="22"/>
        <v/>
      </c>
      <c r="AE121" s="1" t="str">
        <f t="shared" si="23"/>
        <v xml:space="preserve">PERFORM * FROM "SchData-OLTP-Accounting"."Func_TblChartOfAccount_SET"(varSystemLoginSession, null, null, null, varInstitutionBranchID, null, '2-1000', 'Current Liabilities', 62000000000001::bigint, '2016-01-01 00:00:00'::timestamp, null::timestamp); </v>
      </c>
      <c r="AF121" s="1" t="str">
        <f t="shared" si="24"/>
        <v/>
      </c>
      <c r="AG121" s="1" t="str">
        <f t="shared" si="25"/>
        <v/>
      </c>
      <c r="AH121" s="1" t="str">
        <f t="shared" si="26"/>
        <v/>
      </c>
      <c r="AI121" s="1" t="str">
        <f t="shared" si="27"/>
        <v/>
      </c>
      <c r="AJ121" s="1" t="str">
        <f t="shared" si="28"/>
        <v/>
      </c>
      <c r="AK121" s="1" t="str">
        <f t="shared" si="29"/>
        <v/>
      </c>
      <c r="AL121" s="1" t="str">
        <f t="shared" si="30"/>
        <v/>
      </c>
      <c r="AM121" s="1" t="str">
        <f t="shared" si="31"/>
        <v/>
      </c>
      <c r="AO121" s="8" t="str">
        <f t="shared" si="43"/>
        <v xml:space="preserve">PERFORM * FROM "SchData-OLTP-Accounting"."Func_TblChartOfAccount_SET"(varSystemLoginSession, null, null, null, varInstitutionBranchID, null, '2-1000', 'Current Liabilities', 62000000000001::bigint, '2016-01-01 00:00:00'::timestamp, null::timestamp); </v>
      </c>
    </row>
    <row r="122" spans="2:41" x14ac:dyDescent="0.25">
      <c r="B122" s="1">
        <v>3</v>
      </c>
      <c r="C122" s="2" t="s">
        <v>248</v>
      </c>
      <c r="D122" s="1" t="s">
        <v>249</v>
      </c>
      <c r="I122" s="2" t="s">
        <v>248</v>
      </c>
      <c r="Q122" s="1" t="str">
        <f t="shared" si="42"/>
        <v>Accounts Payable</v>
      </c>
      <c r="S122" s="1" t="str">
        <f t="shared" si="32"/>
        <v>2-PASV</v>
      </c>
      <c r="T122" s="1" t="str">
        <f t="shared" si="33"/>
        <v>2-0000</v>
      </c>
      <c r="U122" s="1" t="str">
        <f t="shared" si="34"/>
        <v>2-1000</v>
      </c>
      <c r="V122" s="1" t="str">
        <f t="shared" si="35"/>
        <v>2-1100</v>
      </c>
      <c r="W122" s="1" t="str">
        <f t="shared" si="36"/>
        <v>1-4718</v>
      </c>
      <c r="X122" s="1" t="str">
        <f t="shared" si="37"/>
        <v/>
      </c>
      <c r="Y122" s="1" t="str">
        <f t="shared" si="38"/>
        <v/>
      </c>
      <c r="Z122" s="1" t="str">
        <f t="shared" si="39"/>
        <v/>
      </c>
      <c r="AA122" s="1" t="str">
        <f t="shared" si="40"/>
        <v/>
      </c>
      <c r="AB122" s="1" t="str">
        <f t="shared" si="41"/>
        <v/>
      </c>
      <c r="AD122" s="1" t="str">
        <f t="shared" si="22"/>
        <v/>
      </c>
      <c r="AE122" s="1" t="str">
        <f t="shared" si="23"/>
        <v/>
      </c>
      <c r="AF122" s="1" t="str">
        <f t="shared" si="24"/>
        <v xml:space="preserve">PERFORM * FROM "SchData-OLTP-Accounting"."Func_TblChartOfAccount_SET"(varSystemLoginSession, null, null, null, varInstitutionBranchID, null, '2-1100', 'Accounts Payable', 62000000000001::bigint, '2016-01-01 00:00:00'::timestamp, null::timestamp); </v>
      </c>
      <c r="AG122" s="1" t="str">
        <f t="shared" si="25"/>
        <v/>
      </c>
      <c r="AH122" s="1" t="str">
        <f t="shared" si="26"/>
        <v/>
      </c>
      <c r="AI122" s="1" t="str">
        <f t="shared" si="27"/>
        <v/>
      </c>
      <c r="AJ122" s="1" t="str">
        <f t="shared" si="28"/>
        <v/>
      </c>
      <c r="AK122" s="1" t="str">
        <f t="shared" si="29"/>
        <v/>
      </c>
      <c r="AL122" s="1" t="str">
        <f t="shared" si="30"/>
        <v/>
      </c>
      <c r="AM122" s="1" t="str">
        <f t="shared" si="31"/>
        <v/>
      </c>
      <c r="AO122" s="8" t="str">
        <f t="shared" si="43"/>
        <v xml:space="preserve">PERFORM * FROM "SchData-OLTP-Accounting"."Func_TblChartOfAccount_SET"(varSystemLoginSession, null, null, null, varInstitutionBranchID, null, '2-1100', 'Accounts Payable', 62000000000001::bigint, '2016-01-01 00:00:00'::timestamp, null::timestamp); </v>
      </c>
    </row>
    <row r="123" spans="2:41" x14ac:dyDescent="0.25">
      <c r="B123" s="1">
        <v>3</v>
      </c>
      <c r="C123" s="2" t="s">
        <v>250</v>
      </c>
      <c r="D123" s="1" t="s">
        <v>251</v>
      </c>
      <c r="J123" s="2" t="s">
        <v>250</v>
      </c>
      <c r="Q123" s="1" t="str">
        <f t="shared" si="42"/>
        <v>Accounts Payable - IDR</v>
      </c>
      <c r="S123" s="1" t="str">
        <f t="shared" si="32"/>
        <v>2-PASV</v>
      </c>
      <c r="T123" s="1" t="str">
        <f t="shared" si="33"/>
        <v>2-0000</v>
      </c>
      <c r="U123" s="1" t="str">
        <f t="shared" si="34"/>
        <v>2-1000</v>
      </c>
      <c r="V123" s="1" t="str">
        <f t="shared" si="35"/>
        <v>2-1100</v>
      </c>
      <c r="W123" s="1" t="str">
        <f t="shared" si="36"/>
        <v>2-1110</v>
      </c>
      <c r="X123" s="1" t="str">
        <f t="shared" si="37"/>
        <v/>
      </c>
      <c r="Y123" s="1" t="str">
        <f t="shared" si="38"/>
        <v/>
      </c>
      <c r="Z123" s="1" t="str">
        <f t="shared" si="39"/>
        <v/>
      </c>
      <c r="AA123" s="1" t="str">
        <f t="shared" si="40"/>
        <v/>
      </c>
      <c r="AB123" s="1" t="str">
        <f t="shared" si="41"/>
        <v/>
      </c>
      <c r="AD123" s="1" t="str">
        <f t="shared" si="22"/>
        <v/>
      </c>
      <c r="AE123" s="1" t="str">
        <f t="shared" si="23"/>
        <v/>
      </c>
      <c r="AF123" s="1" t="str">
        <f t="shared" si="24"/>
        <v/>
      </c>
      <c r="AG123" s="1" t="str">
        <f t="shared" si="25"/>
        <v xml:space="preserve">PERFORM * FROM "SchData-OLTP-Accounting"."Func_TblChartOfAccount_SET"(varSystemLoginSession, null, null, null, varInstitutionBranchID, null, '2-1110', 'Accounts Payable - IDR', 62000000000001::bigint, '2016-01-01 00:00:00'::timestamp, null::timestamp); </v>
      </c>
      <c r="AH123" s="1" t="str">
        <f t="shared" si="26"/>
        <v/>
      </c>
      <c r="AI123" s="1" t="str">
        <f t="shared" si="27"/>
        <v/>
      </c>
      <c r="AJ123" s="1" t="str">
        <f t="shared" si="28"/>
        <v/>
      </c>
      <c r="AK123" s="1" t="str">
        <f t="shared" si="29"/>
        <v/>
      </c>
      <c r="AL123" s="1" t="str">
        <f t="shared" si="30"/>
        <v/>
      </c>
      <c r="AM123" s="1" t="str">
        <f t="shared" si="31"/>
        <v/>
      </c>
      <c r="AO123" s="8" t="str">
        <f t="shared" si="43"/>
        <v xml:space="preserve">PERFORM * FROM "SchData-OLTP-Accounting"."Func_TblChartOfAccount_SET"(varSystemLoginSession, null, null, null, varInstitutionBranchID, null, '2-1110', 'Accounts Payable - IDR', 62000000000001::bigint, '2016-01-01 00:00:00'::timestamp, null::timestamp); </v>
      </c>
    </row>
    <row r="124" spans="2:41" x14ac:dyDescent="0.25">
      <c r="B124" s="1">
        <v>3</v>
      </c>
      <c r="C124" s="2" t="s">
        <v>252</v>
      </c>
      <c r="D124" s="1" t="s">
        <v>253</v>
      </c>
      <c r="J124" s="2" t="s">
        <v>254</v>
      </c>
      <c r="Q124" s="1" t="str">
        <f t="shared" si="42"/>
        <v>Accounts Payable - USD</v>
      </c>
      <c r="S124" s="1" t="str">
        <f t="shared" si="32"/>
        <v>2-PASV</v>
      </c>
      <c r="T124" s="1" t="str">
        <f t="shared" si="33"/>
        <v>2-0000</v>
      </c>
      <c r="U124" s="1" t="str">
        <f t="shared" si="34"/>
        <v>2-1000</v>
      </c>
      <c r="V124" s="1" t="str">
        <f t="shared" si="35"/>
        <v>2-1100</v>
      </c>
      <c r="W124" s="1" t="str">
        <f t="shared" si="36"/>
        <v>2-1121</v>
      </c>
      <c r="X124" s="1" t="str">
        <f t="shared" si="37"/>
        <v/>
      </c>
      <c r="Y124" s="1" t="str">
        <f t="shared" si="38"/>
        <v/>
      </c>
      <c r="Z124" s="1" t="str">
        <f t="shared" si="39"/>
        <v/>
      </c>
      <c r="AA124" s="1" t="str">
        <f t="shared" si="40"/>
        <v/>
      </c>
      <c r="AB124" s="1" t="str">
        <f t="shared" si="41"/>
        <v/>
      </c>
      <c r="AD124" s="1" t="str">
        <f t="shared" si="22"/>
        <v/>
      </c>
      <c r="AE124" s="1" t="str">
        <f t="shared" si="23"/>
        <v/>
      </c>
      <c r="AF124" s="1" t="str">
        <f t="shared" si="24"/>
        <v/>
      </c>
      <c r="AG124" s="1" t="str">
        <f t="shared" si="25"/>
        <v xml:space="preserve">PERFORM * FROM "SchData-OLTP-Accounting"."Func_TblChartOfAccount_SET"(varSystemLoginSession, null, null, null, varInstitutionBranchID, null, '2-1121', 'Accounts Payable - USD', 62000000000001::bigint, '2016-01-01 00:00:00'::timestamp, null::timestamp); </v>
      </c>
      <c r="AH124" s="1" t="str">
        <f t="shared" si="26"/>
        <v/>
      </c>
      <c r="AI124" s="1" t="str">
        <f t="shared" si="27"/>
        <v/>
      </c>
      <c r="AJ124" s="1" t="str">
        <f t="shared" si="28"/>
        <v/>
      </c>
      <c r="AK124" s="1" t="str">
        <f t="shared" si="29"/>
        <v/>
      </c>
      <c r="AL124" s="1" t="str">
        <f t="shared" si="30"/>
        <v/>
      </c>
      <c r="AM124" s="1" t="str">
        <f t="shared" si="31"/>
        <v/>
      </c>
      <c r="AO124" s="8" t="str">
        <f t="shared" si="43"/>
        <v xml:space="preserve">PERFORM * FROM "SchData-OLTP-Accounting"."Func_TblChartOfAccount_SET"(varSystemLoginSession, null, null, null, varInstitutionBranchID, null, '2-1121', 'Accounts Payable - USD', 62000000000001::bigint, '2016-01-01 00:00:00'::timestamp, null::timestamp); </v>
      </c>
    </row>
    <row r="125" spans="2:41" x14ac:dyDescent="0.25">
      <c r="B125" s="1">
        <v>3</v>
      </c>
      <c r="C125" s="2" t="s">
        <v>255</v>
      </c>
      <c r="D125" s="1" t="s">
        <v>256</v>
      </c>
      <c r="J125" s="2" t="s">
        <v>257</v>
      </c>
      <c r="Q125" s="1" t="str">
        <f t="shared" si="42"/>
        <v>Accounts Payable - AUD</v>
      </c>
      <c r="S125" s="1" t="str">
        <f t="shared" si="32"/>
        <v>2-PASV</v>
      </c>
      <c r="T125" s="1" t="str">
        <f t="shared" si="33"/>
        <v>2-0000</v>
      </c>
      <c r="U125" s="1" t="str">
        <f t="shared" si="34"/>
        <v>2-1000</v>
      </c>
      <c r="V125" s="1" t="str">
        <f t="shared" si="35"/>
        <v>2-1100</v>
      </c>
      <c r="W125" s="1" t="str">
        <f t="shared" si="36"/>
        <v>2-1131</v>
      </c>
      <c r="X125" s="1" t="str">
        <f t="shared" si="37"/>
        <v/>
      </c>
      <c r="Y125" s="1" t="str">
        <f t="shared" si="38"/>
        <v/>
      </c>
      <c r="Z125" s="1" t="str">
        <f t="shared" si="39"/>
        <v/>
      </c>
      <c r="AA125" s="1" t="str">
        <f t="shared" si="40"/>
        <v/>
      </c>
      <c r="AB125" s="1" t="str">
        <f t="shared" si="41"/>
        <v/>
      </c>
      <c r="AD125" s="1" t="str">
        <f t="shared" si="22"/>
        <v/>
      </c>
      <c r="AE125" s="1" t="str">
        <f t="shared" si="23"/>
        <v/>
      </c>
      <c r="AF125" s="1" t="str">
        <f t="shared" si="24"/>
        <v/>
      </c>
      <c r="AG125" s="1" t="str">
        <f t="shared" si="25"/>
        <v xml:space="preserve">PERFORM * FROM "SchData-OLTP-Accounting"."Func_TblChartOfAccount_SET"(varSystemLoginSession, null, null, null, varInstitutionBranchID, null, '2-1131', 'Accounts Payable - AUD', 62000000000001::bigint, '2016-01-01 00:00:00'::timestamp, null::timestamp); </v>
      </c>
      <c r="AH125" s="1" t="str">
        <f t="shared" si="26"/>
        <v/>
      </c>
      <c r="AI125" s="1" t="str">
        <f t="shared" si="27"/>
        <v/>
      </c>
      <c r="AJ125" s="1" t="str">
        <f t="shared" si="28"/>
        <v/>
      </c>
      <c r="AK125" s="1" t="str">
        <f t="shared" si="29"/>
        <v/>
      </c>
      <c r="AL125" s="1" t="str">
        <f t="shared" si="30"/>
        <v/>
      </c>
      <c r="AM125" s="1" t="str">
        <f t="shared" si="31"/>
        <v/>
      </c>
      <c r="AO125" s="8" t="str">
        <f t="shared" si="43"/>
        <v xml:space="preserve">PERFORM * FROM "SchData-OLTP-Accounting"."Func_TblChartOfAccount_SET"(varSystemLoginSession, null, null, null, varInstitutionBranchID, null, '2-1131', 'Accounts Payable - AUD', 62000000000001::bigint, '2016-01-01 00:00:00'::timestamp, null::timestamp); </v>
      </c>
    </row>
    <row r="126" spans="2:41" x14ac:dyDescent="0.25">
      <c r="B126" s="1">
        <v>3</v>
      </c>
      <c r="C126" s="2" t="s">
        <v>258</v>
      </c>
      <c r="D126" s="1" t="s">
        <v>259</v>
      </c>
      <c r="J126" s="2" t="s">
        <v>258</v>
      </c>
      <c r="Q126" s="1" t="str">
        <f t="shared" si="42"/>
        <v>Accounts Payable - BM</v>
      </c>
      <c r="S126" s="1" t="str">
        <f t="shared" si="32"/>
        <v>2-PASV</v>
      </c>
      <c r="T126" s="1" t="str">
        <f t="shared" si="33"/>
        <v>2-0000</v>
      </c>
      <c r="U126" s="1" t="str">
        <f t="shared" si="34"/>
        <v>2-1000</v>
      </c>
      <c r="V126" s="1" t="str">
        <f t="shared" si="35"/>
        <v>2-1100</v>
      </c>
      <c r="W126" s="1" t="str">
        <f t="shared" si="36"/>
        <v>2-1200</v>
      </c>
      <c r="X126" s="1" t="str">
        <f t="shared" si="37"/>
        <v/>
      </c>
      <c r="Y126" s="1" t="str">
        <f t="shared" si="38"/>
        <v/>
      </c>
      <c r="Z126" s="1" t="str">
        <f t="shared" si="39"/>
        <v/>
      </c>
      <c r="AA126" s="1" t="str">
        <f t="shared" si="40"/>
        <v/>
      </c>
      <c r="AB126" s="1" t="str">
        <f t="shared" si="41"/>
        <v/>
      </c>
      <c r="AD126" s="1" t="str">
        <f t="shared" si="22"/>
        <v/>
      </c>
      <c r="AE126" s="1" t="str">
        <f t="shared" si="23"/>
        <v/>
      </c>
      <c r="AF126" s="1" t="str">
        <f t="shared" si="24"/>
        <v/>
      </c>
      <c r="AG126" s="1" t="str">
        <f t="shared" si="25"/>
        <v xml:space="preserve">PERFORM * FROM "SchData-OLTP-Accounting"."Func_TblChartOfAccount_SET"(varSystemLoginSession, null, null, null, varInstitutionBranchID, null, '2-1200', 'Accounts Payable - BM', 62000000000001::bigint, '2016-01-01 00:00:00'::timestamp, null::timestamp); </v>
      </c>
      <c r="AH126" s="1" t="str">
        <f t="shared" si="26"/>
        <v/>
      </c>
      <c r="AI126" s="1" t="str">
        <f t="shared" si="27"/>
        <v/>
      </c>
      <c r="AJ126" s="1" t="str">
        <f t="shared" si="28"/>
        <v/>
      </c>
      <c r="AK126" s="1" t="str">
        <f t="shared" si="29"/>
        <v/>
      </c>
      <c r="AL126" s="1" t="str">
        <f t="shared" si="30"/>
        <v/>
      </c>
      <c r="AM126" s="1" t="str">
        <f t="shared" si="31"/>
        <v/>
      </c>
      <c r="AO126" s="8" t="str">
        <f t="shared" si="43"/>
        <v xml:space="preserve">PERFORM * FROM "SchData-OLTP-Accounting"."Func_TblChartOfAccount_SET"(varSystemLoginSession, null, null, null, varInstitutionBranchID, null, '2-1200', 'Accounts Payable - BM', 62000000000001::bigint, '2016-01-01 00:00:00'::timestamp, null::timestamp); </v>
      </c>
    </row>
    <row r="127" spans="2:41" x14ac:dyDescent="0.25">
      <c r="B127" s="1">
        <v>3</v>
      </c>
      <c r="C127" s="2" t="s">
        <v>260</v>
      </c>
      <c r="D127" s="1" t="s">
        <v>261</v>
      </c>
      <c r="I127" s="2" t="s">
        <v>260</v>
      </c>
      <c r="Q127" s="1" t="str">
        <f t="shared" si="42"/>
        <v>Accrued Expenses</v>
      </c>
      <c r="S127" s="1" t="str">
        <f t="shared" si="32"/>
        <v>2-PASV</v>
      </c>
      <c r="T127" s="1" t="str">
        <f t="shared" si="33"/>
        <v>2-0000</v>
      </c>
      <c r="U127" s="1" t="str">
        <f t="shared" si="34"/>
        <v>2-1000</v>
      </c>
      <c r="V127" s="1" t="str">
        <f t="shared" si="35"/>
        <v>2-1300</v>
      </c>
      <c r="W127" s="1" t="str">
        <f t="shared" si="36"/>
        <v>2-1200</v>
      </c>
      <c r="X127" s="1" t="str">
        <f t="shared" si="37"/>
        <v/>
      </c>
      <c r="Y127" s="1" t="str">
        <f t="shared" si="38"/>
        <v/>
      </c>
      <c r="Z127" s="1" t="str">
        <f t="shared" si="39"/>
        <v/>
      </c>
      <c r="AA127" s="1" t="str">
        <f t="shared" si="40"/>
        <v/>
      </c>
      <c r="AB127" s="1" t="str">
        <f t="shared" si="41"/>
        <v/>
      </c>
      <c r="AD127" s="1" t="str">
        <f t="shared" si="22"/>
        <v/>
      </c>
      <c r="AE127" s="1" t="str">
        <f t="shared" si="23"/>
        <v/>
      </c>
      <c r="AF127" s="1" t="str">
        <f t="shared" si="24"/>
        <v xml:space="preserve">PERFORM * FROM "SchData-OLTP-Accounting"."Func_TblChartOfAccount_SET"(varSystemLoginSession, null, null, null, varInstitutionBranchID, null, '2-1300', 'Accrued Expenses', 62000000000001::bigint, '2016-01-01 00:00:00'::timestamp, null::timestamp); </v>
      </c>
      <c r="AG127" s="1" t="str">
        <f t="shared" si="25"/>
        <v/>
      </c>
      <c r="AH127" s="1" t="str">
        <f t="shared" si="26"/>
        <v/>
      </c>
      <c r="AI127" s="1" t="str">
        <f t="shared" si="27"/>
        <v/>
      </c>
      <c r="AJ127" s="1" t="str">
        <f t="shared" si="28"/>
        <v/>
      </c>
      <c r="AK127" s="1" t="str">
        <f t="shared" si="29"/>
        <v/>
      </c>
      <c r="AL127" s="1" t="str">
        <f t="shared" si="30"/>
        <v/>
      </c>
      <c r="AM127" s="1" t="str">
        <f t="shared" si="31"/>
        <v/>
      </c>
      <c r="AO127" s="8" t="str">
        <f t="shared" si="43"/>
        <v xml:space="preserve">PERFORM * FROM "SchData-OLTP-Accounting"."Func_TblChartOfAccount_SET"(varSystemLoginSession, null, null, null, varInstitutionBranchID, null, '2-1300', 'Accrued Expenses', 62000000000001::bigint, '2016-01-01 00:00:00'::timestamp, null::timestamp); </v>
      </c>
    </row>
    <row r="128" spans="2:41" x14ac:dyDescent="0.25">
      <c r="B128" s="1">
        <v>3</v>
      </c>
      <c r="C128" s="2" t="s">
        <v>262</v>
      </c>
      <c r="D128" s="1" t="s">
        <v>263</v>
      </c>
      <c r="J128" s="2" t="s">
        <v>262</v>
      </c>
      <c r="Q128" s="1" t="str">
        <f t="shared" si="42"/>
        <v>Accrued Inventory</v>
      </c>
      <c r="S128" s="1" t="str">
        <f t="shared" si="32"/>
        <v>2-PASV</v>
      </c>
      <c r="T128" s="1" t="str">
        <f t="shared" si="33"/>
        <v>2-0000</v>
      </c>
      <c r="U128" s="1" t="str">
        <f t="shared" si="34"/>
        <v>2-1000</v>
      </c>
      <c r="V128" s="1" t="str">
        <f t="shared" si="35"/>
        <v>2-1300</v>
      </c>
      <c r="W128" s="1" t="str">
        <f t="shared" si="36"/>
        <v>2-1301</v>
      </c>
      <c r="X128" s="1" t="str">
        <f t="shared" si="37"/>
        <v/>
      </c>
      <c r="Y128" s="1" t="str">
        <f t="shared" si="38"/>
        <v/>
      </c>
      <c r="Z128" s="1" t="str">
        <f t="shared" si="39"/>
        <v/>
      </c>
      <c r="AA128" s="1" t="str">
        <f t="shared" si="40"/>
        <v/>
      </c>
      <c r="AB128" s="1" t="str">
        <f t="shared" si="41"/>
        <v/>
      </c>
      <c r="AD128" s="1" t="str">
        <f t="shared" si="22"/>
        <v/>
      </c>
      <c r="AE128" s="1" t="str">
        <f t="shared" si="23"/>
        <v/>
      </c>
      <c r="AF128" s="1" t="str">
        <f t="shared" si="24"/>
        <v/>
      </c>
      <c r="AG128" s="1" t="str">
        <f t="shared" si="25"/>
        <v xml:space="preserve">PERFORM * FROM "SchData-OLTP-Accounting"."Func_TblChartOfAccount_SET"(varSystemLoginSession, null, null, null, varInstitutionBranchID, null, '2-1301', 'Accrued Inventory', 62000000000001::bigint, '2016-01-01 00:00:00'::timestamp, null::timestamp); </v>
      </c>
      <c r="AH128" s="1" t="str">
        <f t="shared" si="26"/>
        <v/>
      </c>
      <c r="AI128" s="1" t="str">
        <f t="shared" si="27"/>
        <v/>
      </c>
      <c r="AJ128" s="1" t="str">
        <f t="shared" si="28"/>
        <v/>
      </c>
      <c r="AK128" s="1" t="str">
        <f t="shared" si="29"/>
        <v/>
      </c>
      <c r="AL128" s="1" t="str">
        <f t="shared" si="30"/>
        <v/>
      </c>
      <c r="AM128" s="1" t="str">
        <f t="shared" si="31"/>
        <v/>
      </c>
      <c r="AO128" s="8" t="str">
        <f t="shared" si="43"/>
        <v xml:space="preserve">PERFORM * FROM "SchData-OLTP-Accounting"."Func_TblChartOfAccount_SET"(varSystemLoginSession, null, null, null, varInstitutionBranchID, null, '2-1301', 'Accrued Inventory', 62000000000001::bigint, '2016-01-01 00:00:00'::timestamp, null::timestamp); </v>
      </c>
    </row>
    <row r="129" spans="2:41" x14ac:dyDescent="0.25">
      <c r="B129" s="1">
        <v>3</v>
      </c>
      <c r="C129" s="2" t="s">
        <v>264</v>
      </c>
      <c r="D129" s="1" t="s">
        <v>265</v>
      </c>
      <c r="J129" s="2" t="s">
        <v>264</v>
      </c>
      <c r="Q129" s="1" t="str">
        <f t="shared" si="42"/>
        <v>Month end CFS Accrual</v>
      </c>
      <c r="S129" s="1" t="str">
        <f t="shared" si="32"/>
        <v>2-PASV</v>
      </c>
      <c r="T129" s="1" t="str">
        <f t="shared" si="33"/>
        <v>2-0000</v>
      </c>
      <c r="U129" s="1" t="str">
        <f t="shared" si="34"/>
        <v>2-1000</v>
      </c>
      <c r="V129" s="1" t="str">
        <f t="shared" si="35"/>
        <v>2-1300</v>
      </c>
      <c r="W129" s="1" t="str">
        <f t="shared" si="36"/>
        <v>2-1310</v>
      </c>
      <c r="X129" s="1" t="str">
        <f t="shared" si="37"/>
        <v/>
      </c>
      <c r="Y129" s="1" t="str">
        <f t="shared" si="38"/>
        <v/>
      </c>
      <c r="Z129" s="1" t="str">
        <f t="shared" si="39"/>
        <v/>
      </c>
      <c r="AA129" s="1" t="str">
        <f t="shared" si="40"/>
        <v/>
      </c>
      <c r="AB129" s="1" t="str">
        <f t="shared" si="41"/>
        <v/>
      </c>
      <c r="AD129" s="1" t="str">
        <f t="shared" si="22"/>
        <v/>
      </c>
      <c r="AE129" s="1" t="str">
        <f t="shared" si="23"/>
        <v/>
      </c>
      <c r="AF129" s="1" t="str">
        <f t="shared" si="24"/>
        <v/>
      </c>
      <c r="AG129" s="1" t="str">
        <f t="shared" si="25"/>
        <v xml:space="preserve">PERFORM * FROM "SchData-OLTP-Accounting"."Func_TblChartOfAccount_SET"(varSystemLoginSession, null, null, null, varInstitutionBranchID, null, '2-1310', 'Month end CFS Accrual', 62000000000001::bigint, '2016-01-01 00:00:00'::timestamp, null::timestamp); </v>
      </c>
      <c r="AH129" s="1" t="str">
        <f t="shared" si="26"/>
        <v/>
      </c>
      <c r="AI129" s="1" t="str">
        <f t="shared" si="27"/>
        <v/>
      </c>
      <c r="AJ129" s="1" t="str">
        <f t="shared" si="28"/>
        <v/>
      </c>
      <c r="AK129" s="1" t="str">
        <f t="shared" si="29"/>
        <v/>
      </c>
      <c r="AL129" s="1" t="str">
        <f t="shared" si="30"/>
        <v/>
      </c>
      <c r="AM129" s="1" t="str">
        <f t="shared" si="31"/>
        <v/>
      </c>
      <c r="AO129" s="8" t="str">
        <f t="shared" si="43"/>
        <v xml:space="preserve">PERFORM * FROM "SchData-OLTP-Accounting"."Func_TblChartOfAccount_SET"(varSystemLoginSession, null, null, null, varInstitutionBranchID, null, '2-1310', 'Month end CFS Accrual', 62000000000001::bigint, '2016-01-01 00:00:00'::timestamp, null::timestamp); </v>
      </c>
    </row>
    <row r="130" spans="2:41" x14ac:dyDescent="0.25">
      <c r="B130" s="1">
        <v>3</v>
      </c>
      <c r="C130" s="2" t="s">
        <v>266</v>
      </c>
      <c r="D130" s="1" t="s">
        <v>267</v>
      </c>
      <c r="I130" s="2" t="s">
        <v>266</v>
      </c>
      <c r="Q130" s="1" t="str">
        <f t="shared" si="42"/>
        <v>Unearned Revenue</v>
      </c>
      <c r="S130" s="1" t="str">
        <f t="shared" si="32"/>
        <v>2-PASV</v>
      </c>
      <c r="T130" s="1" t="str">
        <f t="shared" si="33"/>
        <v>2-0000</v>
      </c>
      <c r="U130" s="1" t="str">
        <f t="shared" si="34"/>
        <v>2-1000</v>
      </c>
      <c r="V130" s="1" t="str">
        <f t="shared" si="35"/>
        <v>2-1400</v>
      </c>
      <c r="W130" s="1" t="str">
        <f t="shared" si="36"/>
        <v>2-1310</v>
      </c>
      <c r="X130" s="1" t="str">
        <f t="shared" si="37"/>
        <v/>
      </c>
      <c r="Y130" s="1" t="str">
        <f t="shared" si="38"/>
        <v/>
      </c>
      <c r="Z130" s="1" t="str">
        <f t="shared" si="39"/>
        <v/>
      </c>
      <c r="AA130" s="1" t="str">
        <f t="shared" si="40"/>
        <v/>
      </c>
      <c r="AB130" s="1" t="str">
        <f t="shared" si="41"/>
        <v/>
      </c>
      <c r="AD130" s="1" t="str">
        <f t="shared" si="22"/>
        <v/>
      </c>
      <c r="AE130" s="1" t="str">
        <f t="shared" si="23"/>
        <v/>
      </c>
      <c r="AF130" s="1" t="str">
        <f t="shared" si="24"/>
        <v xml:space="preserve">PERFORM * FROM "SchData-OLTP-Accounting"."Func_TblChartOfAccount_SET"(varSystemLoginSession, null, null, null, varInstitutionBranchID, null, '2-1400', 'Unearned Revenue', 62000000000001::bigint, '2016-01-01 00:00:00'::timestamp, null::timestamp); </v>
      </c>
      <c r="AG130" s="1" t="str">
        <f t="shared" si="25"/>
        <v/>
      </c>
      <c r="AH130" s="1" t="str">
        <f t="shared" si="26"/>
        <v/>
      </c>
      <c r="AI130" s="1" t="str">
        <f t="shared" si="27"/>
        <v/>
      </c>
      <c r="AJ130" s="1" t="str">
        <f t="shared" si="28"/>
        <v/>
      </c>
      <c r="AK130" s="1" t="str">
        <f t="shared" si="29"/>
        <v/>
      </c>
      <c r="AL130" s="1" t="str">
        <f t="shared" si="30"/>
        <v/>
      </c>
      <c r="AM130" s="1" t="str">
        <f t="shared" si="31"/>
        <v/>
      </c>
      <c r="AO130" s="8" t="str">
        <f t="shared" si="43"/>
        <v xml:space="preserve">PERFORM * FROM "SchData-OLTP-Accounting"."Func_TblChartOfAccount_SET"(varSystemLoginSession, null, null, null, varInstitutionBranchID, null, '2-1400', 'Unearned Revenue', 62000000000001::bigint, '2016-01-01 00:00:00'::timestamp, null::timestamp); </v>
      </c>
    </row>
    <row r="131" spans="2:41" x14ac:dyDescent="0.25">
      <c r="B131" s="1">
        <v>3</v>
      </c>
      <c r="C131" s="2" t="s">
        <v>268</v>
      </c>
      <c r="D131" s="1" t="s">
        <v>269</v>
      </c>
      <c r="I131" s="2" t="s">
        <v>268</v>
      </c>
      <c r="Q131" s="1" t="str">
        <f t="shared" si="42"/>
        <v>Witholding Tax</v>
      </c>
      <c r="S131" s="1" t="str">
        <f t="shared" si="32"/>
        <v>2-PASV</v>
      </c>
      <c r="T131" s="1" t="str">
        <f t="shared" si="33"/>
        <v>2-0000</v>
      </c>
      <c r="U131" s="1" t="str">
        <f t="shared" si="34"/>
        <v>2-1000</v>
      </c>
      <c r="V131" s="1" t="str">
        <f t="shared" si="35"/>
        <v>2-2100</v>
      </c>
      <c r="W131" s="1" t="str">
        <f t="shared" si="36"/>
        <v>2-1310</v>
      </c>
      <c r="X131" s="1" t="str">
        <f t="shared" si="37"/>
        <v/>
      </c>
      <c r="Y131" s="1" t="str">
        <f t="shared" si="38"/>
        <v/>
      </c>
      <c r="Z131" s="1" t="str">
        <f t="shared" si="39"/>
        <v/>
      </c>
      <c r="AA131" s="1" t="str">
        <f t="shared" si="40"/>
        <v/>
      </c>
      <c r="AB131" s="1" t="str">
        <f t="shared" si="41"/>
        <v/>
      </c>
      <c r="AD131" s="1" t="str">
        <f t="shared" si="22"/>
        <v/>
      </c>
      <c r="AE131" s="1" t="str">
        <f t="shared" si="23"/>
        <v/>
      </c>
      <c r="AF131" s="1" t="str">
        <f t="shared" si="24"/>
        <v xml:space="preserve">PERFORM * FROM "SchData-OLTP-Accounting"."Func_TblChartOfAccount_SET"(varSystemLoginSession, null, null, null, varInstitutionBranchID, null, '2-2100', 'Witholding Tax', 62000000000001::bigint, '2016-01-01 00:00:00'::timestamp, null::timestamp); </v>
      </c>
      <c r="AG131" s="1" t="str">
        <f t="shared" si="25"/>
        <v/>
      </c>
      <c r="AH131" s="1" t="str">
        <f t="shared" si="26"/>
        <v/>
      </c>
      <c r="AI131" s="1" t="str">
        <f t="shared" si="27"/>
        <v/>
      </c>
      <c r="AJ131" s="1" t="str">
        <f t="shared" si="28"/>
        <v/>
      </c>
      <c r="AK131" s="1" t="str">
        <f t="shared" si="29"/>
        <v/>
      </c>
      <c r="AL131" s="1" t="str">
        <f t="shared" si="30"/>
        <v/>
      </c>
      <c r="AM131" s="1" t="str">
        <f t="shared" si="31"/>
        <v/>
      </c>
      <c r="AO131" s="8" t="str">
        <f t="shared" si="43"/>
        <v xml:space="preserve">PERFORM * FROM "SchData-OLTP-Accounting"."Func_TblChartOfAccount_SET"(varSystemLoginSession, null, null, null, varInstitutionBranchID, null, '2-2100', 'Witholding Tax', 62000000000001::bigint, '2016-01-01 00:00:00'::timestamp, null::timestamp); </v>
      </c>
    </row>
    <row r="132" spans="2:41" x14ac:dyDescent="0.25">
      <c r="B132" s="1">
        <v>3</v>
      </c>
      <c r="C132" s="2" t="s">
        <v>270</v>
      </c>
      <c r="D132" s="1" t="s">
        <v>271</v>
      </c>
      <c r="I132" s="2" t="s">
        <v>270</v>
      </c>
      <c r="Q132" s="1" t="str">
        <f t="shared" si="42"/>
        <v>GST - Output Tax</v>
      </c>
      <c r="S132" s="1" t="str">
        <f t="shared" si="32"/>
        <v>2-PASV</v>
      </c>
      <c r="T132" s="1" t="str">
        <f t="shared" si="33"/>
        <v>2-0000</v>
      </c>
      <c r="U132" s="1" t="str">
        <f t="shared" si="34"/>
        <v>2-1000</v>
      </c>
      <c r="V132" s="1" t="str">
        <f t="shared" si="35"/>
        <v>2-3100</v>
      </c>
      <c r="W132" s="1" t="str">
        <f t="shared" si="36"/>
        <v>2-1310</v>
      </c>
      <c r="X132" s="1" t="str">
        <f t="shared" si="37"/>
        <v/>
      </c>
      <c r="Y132" s="1" t="str">
        <f t="shared" si="38"/>
        <v/>
      </c>
      <c r="Z132" s="1" t="str">
        <f t="shared" si="39"/>
        <v/>
      </c>
      <c r="AA132" s="1" t="str">
        <f t="shared" si="40"/>
        <v/>
      </c>
      <c r="AB132" s="1" t="str">
        <f t="shared" si="41"/>
        <v/>
      </c>
      <c r="AD132" s="1" t="str">
        <f t="shared" si="22"/>
        <v/>
      </c>
      <c r="AE132" s="1" t="str">
        <f t="shared" si="23"/>
        <v/>
      </c>
      <c r="AF132" s="1" t="str">
        <f t="shared" si="24"/>
        <v xml:space="preserve">PERFORM * FROM "SchData-OLTP-Accounting"."Func_TblChartOfAccount_SET"(varSystemLoginSession, null, null, null, varInstitutionBranchID, null, '2-3100', 'GST - Output Tax', 62000000000001::bigint, '2016-01-01 00:00:00'::timestamp, null::timestamp); </v>
      </c>
      <c r="AG132" s="1" t="str">
        <f t="shared" si="25"/>
        <v/>
      </c>
      <c r="AH132" s="1" t="str">
        <f t="shared" si="26"/>
        <v/>
      </c>
      <c r="AI132" s="1" t="str">
        <f t="shared" si="27"/>
        <v/>
      </c>
      <c r="AJ132" s="1" t="str">
        <f t="shared" si="28"/>
        <v/>
      </c>
      <c r="AK132" s="1" t="str">
        <f t="shared" si="29"/>
        <v/>
      </c>
      <c r="AL132" s="1" t="str">
        <f t="shared" si="30"/>
        <v/>
      </c>
      <c r="AM132" s="1" t="str">
        <f t="shared" si="31"/>
        <v/>
      </c>
      <c r="AO132" s="8" t="str">
        <f t="shared" si="43"/>
        <v xml:space="preserve">PERFORM * FROM "SchData-OLTP-Accounting"."Func_TblChartOfAccount_SET"(varSystemLoginSession, null, null, null, varInstitutionBranchID, null, '2-3100', 'GST - Output Tax', 62000000000001::bigint, '2016-01-01 00:00:00'::timestamp, null::timestamp); </v>
      </c>
    </row>
    <row r="133" spans="2:41" x14ac:dyDescent="0.25">
      <c r="B133" s="1">
        <v>3</v>
      </c>
      <c r="C133" s="2" t="s">
        <v>272</v>
      </c>
      <c r="D133" s="1" t="s">
        <v>273</v>
      </c>
      <c r="I133" s="2" t="s">
        <v>272</v>
      </c>
      <c r="Q133" s="1" t="str">
        <f t="shared" si="42"/>
        <v>Defferred Tax Liability</v>
      </c>
      <c r="S133" s="1" t="str">
        <f t="shared" si="32"/>
        <v>2-PASV</v>
      </c>
      <c r="T133" s="1" t="str">
        <f t="shared" si="33"/>
        <v>2-0000</v>
      </c>
      <c r="U133" s="1" t="str">
        <f t="shared" si="34"/>
        <v>2-1000</v>
      </c>
      <c r="V133" s="1" t="str">
        <f t="shared" si="35"/>
        <v>2-3300</v>
      </c>
      <c r="W133" s="1" t="str">
        <f t="shared" si="36"/>
        <v>2-1310</v>
      </c>
      <c r="X133" s="1" t="str">
        <f t="shared" si="37"/>
        <v/>
      </c>
      <c r="Y133" s="1" t="str">
        <f t="shared" si="38"/>
        <v/>
      </c>
      <c r="Z133" s="1" t="str">
        <f t="shared" si="39"/>
        <v/>
      </c>
      <c r="AA133" s="1" t="str">
        <f t="shared" si="40"/>
        <v/>
      </c>
      <c r="AB133" s="1" t="str">
        <f t="shared" si="41"/>
        <v/>
      </c>
      <c r="AD133" s="1" t="str">
        <f t="shared" ref="AD133:AD196" si="44">IF(EXACT(T133, T132), "", CONCATENATE("PERFORM * FROM ""SchData-OLTP-Accounting"".""Func_TblChartOfAccount_SET""(varSystemLoginSession, null, null, null, varInstitutionBranchID, null, '", T133, "', '", $Q133, "', 62000000000001::bigint, '2016-01-01 00:00:00'::timestamp, null::timestamp); "))</f>
        <v/>
      </c>
      <c r="AE133" s="1" t="str">
        <f t="shared" ref="AE133:AE196" si="45">IF(EXACT(U133, U132), "", CONCATENATE("PERFORM * FROM ""SchData-OLTP-Accounting"".""Func_TblChartOfAccount_SET""(varSystemLoginSession, null, null, null, varInstitutionBranchID, null, '", U133, "', '", $Q133, "', 62000000000001::bigint, '2016-01-01 00:00:00'::timestamp, null::timestamp); "))</f>
        <v/>
      </c>
      <c r="AF133" s="1" t="str">
        <f t="shared" ref="AF133:AF196" si="46">IF(EXACT(V133, V132), "", CONCATENATE("PERFORM * FROM ""SchData-OLTP-Accounting"".""Func_TblChartOfAccount_SET""(varSystemLoginSession, null, null, null, varInstitutionBranchID, null, '", V133, "', '", $Q133, "', 62000000000001::bigint, '2016-01-01 00:00:00'::timestamp, null::timestamp); "))</f>
        <v xml:space="preserve">PERFORM * FROM "SchData-OLTP-Accounting"."Func_TblChartOfAccount_SET"(varSystemLoginSession, null, null, null, varInstitutionBranchID, null, '2-3300', 'Defferred Tax Liability', 62000000000001::bigint, '2016-01-01 00:00:00'::timestamp, null::timestamp); </v>
      </c>
      <c r="AG133" s="1" t="str">
        <f t="shared" ref="AG133:AG196" si="47">IF(EXACT(W133, W132), "", CONCATENATE("PERFORM * FROM ""SchData-OLTP-Accounting"".""Func_TblChartOfAccount_SET""(varSystemLoginSession, null, null, null, varInstitutionBranchID, null, '", W133, "', '", $Q133, "', 62000000000001::bigint, '2016-01-01 00:00:00'::timestamp, null::timestamp); "))</f>
        <v/>
      </c>
      <c r="AH133" s="1" t="str">
        <f t="shared" ref="AH133:AH196" si="48">IF(EXACT(X133, X132), "", CONCATENATE("PERFORM * FROM ""SchData-OLTP-Accounting"".""Func_TblChartOfAccount_SET""(varSystemLoginSession, null, null, null, varInstitutionBranchID, null, '", X133, "', '", $Q133, "', 62000000000001::bigint, '2016-01-01 00:00:00'::timestamp, null::timestamp); "))</f>
        <v/>
      </c>
      <c r="AI133" s="1" t="str">
        <f t="shared" ref="AI133:AI196" si="49">IF(EXACT(Y133, Y132), "", CONCATENATE("PERFORM * FROM ""SchData-OLTP-Accounting"".""Func_TblChartOfAccount_SET""(varSystemLoginSession, null, null, null, varInstitutionBranchID, null, '", Y133, "', '", $Q133, "', 62000000000001::bigint, '2016-01-01 00:00:00'::timestamp, null::timestamp); "))</f>
        <v/>
      </c>
      <c r="AJ133" s="1" t="str">
        <f t="shared" ref="AJ133:AJ196" si="50">IF(EXACT(Z133, Z132), "", CONCATENATE("PERFORM * FROM ""SchData-OLTP-Accounting"".""Func_TblChartOfAccount_SET""(varSystemLoginSession, null, null, null, varInstitutionBranchID, null, '", Z133, "', '", $Q133, "', 62000000000001::bigint, '2016-01-01 00:00:00'::timestamp, null::timestamp); "))</f>
        <v/>
      </c>
      <c r="AK133" s="1" t="str">
        <f t="shared" ref="AK133:AK196" si="51">IF(EXACT(AA133, AA132), "", CONCATENATE("PERFORM * FROM ""SchData-OLTP-Accounting"".""Func_TblChartOfAccount_SET""(varSystemLoginSession, null, null, null, varInstitutionBranchID, null, '", AA133, "', '", $Q133, "', 62000000000001::bigint, '2016-01-01 00:00:00'::timestamp, null::timestamp); "))</f>
        <v/>
      </c>
      <c r="AL133" s="1" t="str">
        <f t="shared" ref="AL133:AL196" si="52">IF(EXACT(AB133, AB132), "", CONCATENATE("PERFORM * FROM ""SchData-OLTP-Accounting"".""Func_TblChartOfAccount_SET""(varSystemLoginSession, null, null, null, varInstitutionBranchID, null, '", AB133, "', '", $Q133, "', 62000000000001::bigint, '2016-01-01 00:00:00'::timestamp, null::timestamp); "))</f>
        <v/>
      </c>
      <c r="AM133" s="1" t="str">
        <f t="shared" ref="AM133:AM196" si="53">IF(EXACT(AC133, AC132), "", CONCATENATE("PERFORM * FROM ""SchData-OLTP-Accounting"".""Func_TblChartOfAccount_SET""(varSystemLoginSession, null, null, null, varInstitutionBranchID, null, '", AC133, "', '", $Q133, "', 62000000000001::bigint, '2016-01-01 00:00:00'::timestamp, null::timestamp); "))</f>
        <v/>
      </c>
      <c r="AO133" s="8" t="str">
        <f t="shared" si="43"/>
        <v xml:space="preserve">PERFORM * FROM "SchData-OLTP-Accounting"."Func_TblChartOfAccount_SET"(varSystemLoginSession, null, null, null, varInstitutionBranchID, null, '2-3300', 'Defferred Tax Liability', 62000000000001::bigint, '2016-01-01 00:00:00'::timestamp, null::timestamp); </v>
      </c>
    </row>
    <row r="134" spans="2:41" x14ac:dyDescent="0.25">
      <c r="B134" s="1">
        <v>3</v>
      </c>
      <c r="C134" s="2" t="s">
        <v>274</v>
      </c>
      <c r="D134" s="1" t="s">
        <v>275</v>
      </c>
      <c r="I134" s="2" t="s">
        <v>274</v>
      </c>
      <c r="Q134" s="1" t="str">
        <f t="shared" si="42"/>
        <v>Provision for Tax</v>
      </c>
      <c r="S134" s="1" t="str">
        <f t="shared" ref="S134:S197" si="54">IF(EXACT($F134, ""), IF(EXACT($S133, ""), "", $S133), $F134)</f>
        <v>2-PASV</v>
      </c>
      <c r="T134" s="1" t="str">
        <f t="shared" ref="T134:T197" si="55">IF(EXACT($G134, ""), IF(EXACT($T133, ""), "", $T133), $G134)</f>
        <v>2-0000</v>
      </c>
      <c r="U134" s="1" t="str">
        <f t="shared" ref="U134:U197" si="56">IF(EXACT($H134, ""), IF(EXACT($U133, ""), "", $U133), $H134)</f>
        <v>2-1000</v>
      </c>
      <c r="V134" s="1" t="str">
        <f t="shared" ref="V134:V197" si="57">IF(EXACT($I134, ""), IF(EXACT($V133, ""), "", $V133), $I134)</f>
        <v>2-3500</v>
      </c>
      <c r="W134" s="1" t="str">
        <f t="shared" ref="W134:W197" si="58">IF(EXACT($J134, ""), IF(EXACT($W133, ""), "", $W133), $J134)</f>
        <v>2-1310</v>
      </c>
      <c r="X134" s="1" t="str">
        <f t="shared" ref="X134:X197" si="59">IF(EXACT($K134, ""), IF(EXACT($X133, ""), "", $X133), $K134)</f>
        <v/>
      </c>
      <c r="Y134" s="1" t="str">
        <f t="shared" ref="Y134:Y197" si="60">IF(EXACT($L134, ""), IF(EXACT($Y133, ""), "", $Y133), $L134)</f>
        <v/>
      </c>
      <c r="Z134" s="1" t="str">
        <f t="shared" ref="Z134:Z197" si="61">IF(EXACT($M134, ""), IF(EXACT($Z133, ""), "", $Z133), $M134)</f>
        <v/>
      </c>
      <c r="AA134" s="1" t="str">
        <f t="shared" ref="AA134:AA197" si="62">IF(EXACT($N134, ""), IF(EXACT($AA133, ""), "", $AA133), $N134)</f>
        <v/>
      </c>
      <c r="AB134" s="1" t="str">
        <f t="shared" ref="AB134:AB197" si="63">IF(EXACT($O134, ""), IF(EXACT($AB133, ""), "", $AB133), $O134)</f>
        <v/>
      </c>
      <c r="AD134" s="1" t="str">
        <f t="shared" si="44"/>
        <v/>
      </c>
      <c r="AE134" s="1" t="str">
        <f t="shared" si="45"/>
        <v/>
      </c>
      <c r="AF134" s="1" t="str">
        <f t="shared" si="46"/>
        <v xml:space="preserve">PERFORM * FROM "SchData-OLTP-Accounting"."Func_TblChartOfAccount_SET"(varSystemLoginSession, null, null, null, varInstitutionBranchID, null, '2-3500', 'Provision for Tax', 62000000000001::bigint, '2016-01-01 00:00:00'::timestamp, null::timestamp); </v>
      </c>
      <c r="AG134" s="1" t="str">
        <f t="shared" si="47"/>
        <v/>
      </c>
      <c r="AH134" s="1" t="str">
        <f t="shared" si="48"/>
        <v/>
      </c>
      <c r="AI134" s="1" t="str">
        <f t="shared" si="49"/>
        <v/>
      </c>
      <c r="AJ134" s="1" t="str">
        <f t="shared" si="50"/>
        <v/>
      </c>
      <c r="AK134" s="1" t="str">
        <f t="shared" si="51"/>
        <v/>
      </c>
      <c r="AL134" s="1" t="str">
        <f t="shared" si="52"/>
        <v/>
      </c>
      <c r="AM134" s="1" t="str">
        <f t="shared" si="53"/>
        <v/>
      </c>
      <c r="AO134" s="8" t="str">
        <f t="shared" si="43"/>
        <v xml:space="preserve">PERFORM * FROM "SchData-OLTP-Accounting"."Func_TblChartOfAccount_SET"(varSystemLoginSession, null, null, null, varInstitutionBranchID, null, '2-3500', 'Provision for Tax', 62000000000001::bigint, '2016-01-01 00:00:00'::timestamp, null::timestamp); </v>
      </c>
    </row>
    <row r="135" spans="2:41" x14ac:dyDescent="0.25">
      <c r="B135" s="1">
        <v>4</v>
      </c>
      <c r="C135" s="2" t="s">
        <v>276</v>
      </c>
      <c r="D135" s="1" t="s">
        <v>277</v>
      </c>
      <c r="J135" s="2" t="s">
        <v>276</v>
      </c>
      <c r="Q135" s="1" t="str">
        <f t="shared" ref="Q135:Q198" si="64">D135</f>
        <v>Provision Tax 21</v>
      </c>
      <c r="S135" s="1" t="str">
        <f t="shared" si="54"/>
        <v>2-PASV</v>
      </c>
      <c r="T135" s="1" t="str">
        <f t="shared" si="55"/>
        <v>2-0000</v>
      </c>
      <c r="U135" s="1" t="str">
        <f t="shared" si="56"/>
        <v>2-1000</v>
      </c>
      <c r="V135" s="1" t="str">
        <f t="shared" si="57"/>
        <v>2-3500</v>
      </c>
      <c r="W135" s="1" t="str">
        <f t="shared" si="58"/>
        <v>2-3510</v>
      </c>
      <c r="X135" s="1" t="str">
        <f t="shared" si="59"/>
        <v/>
      </c>
      <c r="Y135" s="1" t="str">
        <f t="shared" si="60"/>
        <v/>
      </c>
      <c r="Z135" s="1" t="str">
        <f t="shared" si="61"/>
        <v/>
      </c>
      <c r="AA135" s="1" t="str">
        <f t="shared" si="62"/>
        <v/>
      </c>
      <c r="AB135" s="1" t="str">
        <f t="shared" si="63"/>
        <v/>
      </c>
      <c r="AD135" s="1" t="str">
        <f t="shared" si="44"/>
        <v/>
      </c>
      <c r="AE135" s="1" t="str">
        <f t="shared" si="45"/>
        <v/>
      </c>
      <c r="AF135" s="1" t="str">
        <f t="shared" si="46"/>
        <v/>
      </c>
      <c r="AG135" s="1" t="str">
        <f t="shared" si="47"/>
        <v xml:space="preserve">PERFORM * FROM "SchData-OLTP-Accounting"."Func_TblChartOfAccount_SET"(varSystemLoginSession, null, null, null, varInstitutionBranchID, null, '2-3510', 'Provision Tax 21', 62000000000001::bigint, '2016-01-01 00:00:00'::timestamp, null::timestamp); </v>
      </c>
      <c r="AH135" s="1" t="str">
        <f t="shared" si="48"/>
        <v/>
      </c>
      <c r="AI135" s="1" t="str">
        <f t="shared" si="49"/>
        <v/>
      </c>
      <c r="AJ135" s="1" t="str">
        <f t="shared" si="50"/>
        <v/>
      </c>
      <c r="AK135" s="1" t="str">
        <f t="shared" si="51"/>
        <v/>
      </c>
      <c r="AL135" s="1" t="str">
        <f t="shared" si="52"/>
        <v/>
      </c>
      <c r="AM135" s="1" t="str">
        <f t="shared" si="53"/>
        <v/>
      </c>
      <c r="AO135" s="8" t="str">
        <f t="shared" ref="AO135:AO198" si="65">IF(NOT(EXACT(AD135, "")), AD135, IF(NOT(EXACT(AE135, "")), AE135, IF(NOT(EXACT(AF135, "")), AF135, IF(NOT(EXACT(AG135, "")), AG135, IF(NOT(EXACT(AH135, "")), AH135, IF(NOT(EXACT(AI135, "")), AI135, IF(NOT(EXACT(AJ135, "")), AJ135, IF(NOT(EXACT(AK135, "")), AK135, IF(NOT(EXACT(AL135, "")), AL135, IF(NOT(EXACT(AM135, "")), AM135, ""))))))))))</f>
        <v xml:space="preserve">PERFORM * FROM "SchData-OLTP-Accounting"."Func_TblChartOfAccount_SET"(varSystemLoginSession, null, null, null, varInstitutionBranchID, null, '2-3510', 'Provision Tax 21', 62000000000001::bigint, '2016-01-01 00:00:00'::timestamp, null::timestamp); </v>
      </c>
    </row>
    <row r="136" spans="2:41" x14ac:dyDescent="0.25">
      <c r="B136" s="1">
        <v>4</v>
      </c>
      <c r="C136" s="2" t="s">
        <v>278</v>
      </c>
      <c r="D136" s="1" t="s">
        <v>279</v>
      </c>
      <c r="J136" s="2" t="s">
        <v>278</v>
      </c>
      <c r="Q136" s="1" t="str">
        <f t="shared" si="64"/>
        <v>Provision Tax 22</v>
      </c>
      <c r="S136" s="1" t="str">
        <f t="shared" si="54"/>
        <v>2-PASV</v>
      </c>
      <c r="T136" s="1" t="str">
        <f t="shared" si="55"/>
        <v>2-0000</v>
      </c>
      <c r="U136" s="1" t="str">
        <f t="shared" si="56"/>
        <v>2-1000</v>
      </c>
      <c r="V136" s="1" t="str">
        <f t="shared" si="57"/>
        <v>2-3500</v>
      </c>
      <c r="W136" s="1" t="str">
        <f t="shared" si="58"/>
        <v>2-3520</v>
      </c>
      <c r="X136" s="1" t="str">
        <f t="shared" si="59"/>
        <v/>
      </c>
      <c r="Y136" s="1" t="str">
        <f t="shared" si="60"/>
        <v/>
      </c>
      <c r="Z136" s="1" t="str">
        <f t="shared" si="61"/>
        <v/>
      </c>
      <c r="AA136" s="1" t="str">
        <f t="shared" si="62"/>
        <v/>
      </c>
      <c r="AB136" s="1" t="str">
        <f t="shared" si="63"/>
        <v/>
      </c>
      <c r="AD136" s="1" t="str">
        <f t="shared" si="44"/>
        <v/>
      </c>
      <c r="AE136" s="1" t="str">
        <f t="shared" si="45"/>
        <v/>
      </c>
      <c r="AF136" s="1" t="str">
        <f t="shared" si="46"/>
        <v/>
      </c>
      <c r="AG136" s="1" t="str">
        <f t="shared" si="47"/>
        <v xml:space="preserve">PERFORM * FROM "SchData-OLTP-Accounting"."Func_TblChartOfAccount_SET"(varSystemLoginSession, null, null, null, varInstitutionBranchID, null, '2-3520', 'Provision Tax 22', 62000000000001::bigint, '2016-01-01 00:00:00'::timestamp, null::timestamp); </v>
      </c>
      <c r="AH136" s="1" t="str">
        <f t="shared" si="48"/>
        <v/>
      </c>
      <c r="AI136" s="1" t="str">
        <f t="shared" si="49"/>
        <v/>
      </c>
      <c r="AJ136" s="1" t="str">
        <f t="shared" si="50"/>
        <v/>
      </c>
      <c r="AK136" s="1" t="str">
        <f t="shared" si="51"/>
        <v/>
      </c>
      <c r="AL136" s="1" t="str">
        <f t="shared" si="52"/>
        <v/>
      </c>
      <c r="AM136" s="1" t="str">
        <f t="shared" si="53"/>
        <v/>
      </c>
      <c r="AO136" s="8" t="str">
        <f t="shared" si="65"/>
        <v xml:space="preserve">PERFORM * FROM "SchData-OLTP-Accounting"."Func_TblChartOfAccount_SET"(varSystemLoginSession, null, null, null, varInstitutionBranchID, null, '2-3520', 'Provision Tax 22', 62000000000001::bigint, '2016-01-01 00:00:00'::timestamp, null::timestamp); </v>
      </c>
    </row>
    <row r="137" spans="2:41" x14ac:dyDescent="0.25">
      <c r="B137" s="1">
        <v>4</v>
      </c>
      <c r="C137" s="2" t="s">
        <v>280</v>
      </c>
      <c r="D137" s="1" t="s">
        <v>281</v>
      </c>
      <c r="J137" s="2" t="s">
        <v>280</v>
      </c>
      <c r="Q137" s="1" t="str">
        <f t="shared" si="64"/>
        <v>Provision Tax 23</v>
      </c>
      <c r="S137" s="1" t="str">
        <f t="shared" si="54"/>
        <v>2-PASV</v>
      </c>
      <c r="T137" s="1" t="str">
        <f t="shared" si="55"/>
        <v>2-0000</v>
      </c>
      <c r="U137" s="1" t="str">
        <f t="shared" si="56"/>
        <v>2-1000</v>
      </c>
      <c r="V137" s="1" t="str">
        <f t="shared" si="57"/>
        <v>2-3500</v>
      </c>
      <c r="W137" s="1" t="str">
        <f t="shared" si="58"/>
        <v>2-3530</v>
      </c>
      <c r="X137" s="1" t="str">
        <f t="shared" si="59"/>
        <v/>
      </c>
      <c r="Y137" s="1" t="str">
        <f t="shared" si="60"/>
        <v/>
      </c>
      <c r="Z137" s="1" t="str">
        <f t="shared" si="61"/>
        <v/>
      </c>
      <c r="AA137" s="1" t="str">
        <f t="shared" si="62"/>
        <v/>
      </c>
      <c r="AB137" s="1" t="str">
        <f t="shared" si="63"/>
        <v/>
      </c>
      <c r="AD137" s="1" t="str">
        <f t="shared" si="44"/>
        <v/>
      </c>
      <c r="AE137" s="1" t="str">
        <f t="shared" si="45"/>
        <v/>
      </c>
      <c r="AF137" s="1" t="str">
        <f t="shared" si="46"/>
        <v/>
      </c>
      <c r="AG137" s="1" t="str">
        <f t="shared" si="47"/>
        <v xml:space="preserve">PERFORM * FROM "SchData-OLTP-Accounting"."Func_TblChartOfAccount_SET"(varSystemLoginSession, null, null, null, varInstitutionBranchID, null, '2-3530', 'Provision Tax 23', 62000000000001::bigint, '2016-01-01 00:00:00'::timestamp, null::timestamp); </v>
      </c>
      <c r="AH137" s="1" t="str">
        <f t="shared" si="48"/>
        <v/>
      </c>
      <c r="AI137" s="1" t="str">
        <f t="shared" si="49"/>
        <v/>
      </c>
      <c r="AJ137" s="1" t="str">
        <f t="shared" si="50"/>
        <v/>
      </c>
      <c r="AK137" s="1" t="str">
        <f t="shared" si="51"/>
        <v/>
      </c>
      <c r="AL137" s="1" t="str">
        <f t="shared" si="52"/>
        <v/>
      </c>
      <c r="AM137" s="1" t="str">
        <f t="shared" si="53"/>
        <v/>
      </c>
      <c r="AO137" s="8" t="str">
        <f t="shared" si="65"/>
        <v xml:space="preserve">PERFORM * FROM "SchData-OLTP-Accounting"."Func_TblChartOfAccount_SET"(varSystemLoginSession, null, null, null, varInstitutionBranchID, null, '2-3530', 'Provision Tax 23', 62000000000001::bigint, '2016-01-01 00:00:00'::timestamp, null::timestamp); </v>
      </c>
    </row>
    <row r="138" spans="2:41" x14ac:dyDescent="0.25">
      <c r="B138" s="1">
        <v>4</v>
      </c>
      <c r="C138" s="2" t="s">
        <v>282</v>
      </c>
      <c r="D138" s="1" t="s">
        <v>283</v>
      </c>
      <c r="J138" s="2" t="s">
        <v>282</v>
      </c>
      <c r="Q138" s="1" t="str">
        <f t="shared" si="64"/>
        <v>Provision Tax 25</v>
      </c>
      <c r="S138" s="1" t="str">
        <f t="shared" si="54"/>
        <v>2-PASV</v>
      </c>
      <c r="T138" s="1" t="str">
        <f t="shared" si="55"/>
        <v>2-0000</v>
      </c>
      <c r="U138" s="1" t="str">
        <f t="shared" si="56"/>
        <v>2-1000</v>
      </c>
      <c r="V138" s="1" t="str">
        <f t="shared" si="57"/>
        <v>2-3500</v>
      </c>
      <c r="W138" s="1" t="str">
        <f t="shared" si="58"/>
        <v>2-3540</v>
      </c>
      <c r="X138" s="1" t="str">
        <f t="shared" si="59"/>
        <v/>
      </c>
      <c r="Y138" s="1" t="str">
        <f t="shared" si="60"/>
        <v/>
      </c>
      <c r="Z138" s="1" t="str">
        <f t="shared" si="61"/>
        <v/>
      </c>
      <c r="AA138" s="1" t="str">
        <f t="shared" si="62"/>
        <v/>
      </c>
      <c r="AB138" s="1" t="str">
        <f t="shared" si="63"/>
        <v/>
      </c>
      <c r="AD138" s="1" t="str">
        <f t="shared" si="44"/>
        <v/>
      </c>
      <c r="AE138" s="1" t="str">
        <f t="shared" si="45"/>
        <v/>
      </c>
      <c r="AF138" s="1" t="str">
        <f t="shared" si="46"/>
        <v/>
      </c>
      <c r="AG138" s="1" t="str">
        <f t="shared" si="47"/>
        <v xml:space="preserve">PERFORM * FROM "SchData-OLTP-Accounting"."Func_TblChartOfAccount_SET"(varSystemLoginSession, null, null, null, varInstitutionBranchID, null, '2-3540', 'Provision Tax 25', 62000000000001::bigint, '2016-01-01 00:00:00'::timestamp, null::timestamp); </v>
      </c>
      <c r="AH138" s="1" t="str">
        <f t="shared" si="48"/>
        <v/>
      </c>
      <c r="AI138" s="1" t="str">
        <f t="shared" si="49"/>
        <v/>
      </c>
      <c r="AJ138" s="1" t="str">
        <f t="shared" si="50"/>
        <v/>
      </c>
      <c r="AK138" s="1" t="str">
        <f t="shared" si="51"/>
        <v/>
      </c>
      <c r="AL138" s="1" t="str">
        <f t="shared" si="52"/>
        <v/>
      </c>
      <c r="AM138" s="1" t="str">
        <f t="shared" si="53"/>
        <v/>
      </c>
      <c r="AO138" s="8" t="str">
        <f t="shared" si="65"/>
        <v xml:space="preserve">PERFORM * FROM "SchData-OLTP-Accounting"."Func_TblChartOfAccount_SET"(varSystemLoginSession, null, null, null, varInstitutionBranchID, null, '2-3540', 'Provision Tax 25', 62000000000001::bigint, '2016-01-01 00:00:00'::timestamp, null::timestamp); </v>
      </c>
    </row>
    <row r="139" spans="2:41" x14ac:dyDescent="0.25">
      <c r="B139" s="1">
        <v>3</v>
      </c>
      <c r="C139" s="2" t="s">
        <v>284</v>
      </c>
      <c r="D139" s="1" t="s">
        <v>285</v>
      </c>
      <c r="I139" s="2" t="s">
        <v>284</v>
      </c>
      <c r="Q139" s="1" t="str">
        <f t="shared" si="64"/>
        <v>Tax Paid Current Year</v>
      </c>
      <c r="S139" s="1" t="str">
        <f t="shared" si="54"/>
        <v>2-PASV</v>
      </c>
      <c r="T139" s="1" t="str">
        <f t="shared" si="55"/>
        <v>2-0000</v>
      </c>
      <c r="U139" s="1" t="str">
        <f t="shared" si="56"/>
        <v>2-1000</v>
      </c>
      <c r="V139" s="1" t="str">
        <f t="shared" si="57"/>
        <v>2-3600</v>
      </c>
      <c r="W139" s="1" t="str">
        <f t="shared" si="58"/>
        <v>2-3540</v>
      </c>
      <c r="X139" s="1" t="str">
        <f t="shared" si="59"/>
        <v/>
      </c>
      <c r="Y139" s="1" t="str">
        <f t="shared" si="60"/>
        <v/>
      </c>
      <c r="Z139" s="1" t="str">
        <f t="shared" si="61"/>
        <v/>
      </c>
      <c r="AA139" s="1" t="str">
        <f t="shared" si="62"/>
        <v/>
      </c>
      <c r="AB139" s="1" t="str">
        <f t="shared" si="63"/>
        <v/>
      </c>
      <c r="AD139" s="1" t="str">
        <f t="shared" si="44"/>
        <v/>
      </c>
      <c r="AE139" s="1" t="str">
        <f t="shared" si="45"/>
        <v/>
      </c>
      <c r="AF139" s="1" t="str">
        <f t="shared" si="46"/>
        <v xml:space="preserve">PERFORM * FROM "SchData-OLTP-Accounting"."Func_TblChartOfAccount_SET"(varSystemLoginSession, null, null, null, varInstitutionBranchID, null, '2-3600', 'Tax Paid Current Year', 62000000000001::bigint, '2016-01-01 00:00:00'::timestamp, null::timestamp); </v>
      </c>
      <c r="AG139" s="1" t="str">
        <f t="shared" si="47"/>
        <v/>
      </c>
      <c r="AH139" s="1" t="str">
        <f t="shared" si="48"/>
        <v/>
      </c>
      <c r="AI139" s="1" t="str">
        <f t="shared" si="49"/>
        <v/>
      </c>
      <c r="AJ139" s="1" t="str">
        <f t="shared" si="50"/>
        <v/>
      </c>
      <c r="AK139" s="1" t="str">
        <f t="shared" si="51"/>
        <v/>
      </c>
      <c r="AL139" s="1" t="str">
        <f t="shared" si="52"/>
        <v/>
      </c>
      <c r="AM139" s="1" t="str">
        <f t="shared" si="53"/>
        <v/>
      </c>
      <c r="AO139" s="8" t="str">
        <f t="shared" si="65"/>
        <v xml:space="preserve">PERFORM * FROM "SchData-OLTP-Accounting"."Func_TblChartOfAccount_SET"(varSystemLoginSession, null, null, null, varInstitutionBranchID, null, '2-3600', 'Tax Paid Current Year', 62000000000001::bigint, '2016-01-01 00:00:00'::timestamp, null::timestamp); </v>
      </c>
    </row>
    <row r="140" spans="2:41" x14ac:dyDescent="0.25">
      <c r="B140" s="1">
        <v>3</v>
      </c>
      <c r="C140" s="2" t="s">
        <v>286</v>
      </c>
      <c r="D140" s="1" t="s">
        <v>287</v>
      </c>
      <c r="I140" s="2" t="s">
        <v>286</v>
      </c>
      <c r="Q140" s="1" t="str">
        <f t="shared" si="64"/>
        <v>Provision for Tax Current Year</v>
      </c>
      <c r="S140" s="1" t="str">
        <f t="shared" si="54"/>
        <v>2-PASV</v>
      </c>
      <c r="T140" s="1" t="str">
        <f t="shared" si="55"/>
        <v>2-0000</v>
      </c>
      <c r="U140" s="1" t="str">
        <f t="shared" si="56"/>
        <v>2-1000</v>
      </c>
      <c r="V140" s="1" t="str">
        <f t="shared" si="57"/>
        <v>2-3700</v>
      </c>
      <c r="W140" s="1" t="str">
        <f t="shared" si="58"/>
        <v>2-3540</v>
      </c>
      <c r="X140" s="1" t="str">
        <f t="shared" si="59"/>
        <v/>
      </c>
      <c r="Y140" s="1" t="str">
        <f t="shared" si="60"/>
        <v/>
      </c>
      <c r="Z140" s="1" t="str">
        <f t="shared" si="61"/>
        <v/>
      </c>
      <c r="AA140" s="1" t="str">
        <f t="shared" si="62"/>
        <v/>
      </c>
      <c r="AB140" s="1" t="str">
        <f t="shared" si="63"/>
        <v/>
      </c>
      <c r="AD140" s="1" t="str">
        <f t="shared" si="44"/>
        <v/>
      </c>
      <c r="AE140" s="1" t="str">
        <f t="shared" si="45"/>
        <v/>
      </c>
      <c r="AF140" s="1" t="str">
        <f t="shared" si="46"/>
        <v xml:space="preserve">PERFORM * FROM "SchData-OLTP-Accounting"."Func_TblChartOfAccount_SET"(varSystemLoginSession, null, null, null, varInstitutionBranchID, null, '2-3700', 'Provision for Tax Current Year', 62000000000001::bigint, '2016-01-01 00:00:00'::timestamp, null::timestamp); </v>
      </c>
      <c r="AG140" s="1" t="str">
        <f t="shared" si="47"/>
        <v/>
      </c>
      <c r="AH140" s="1" t="str">
        <f t="shared" si="48"/>
        <v/>
      </c>
      <c r="AI140" s="1" t="str">
        <f t="shared" si="49"/>
        <v/>
      </c>
      <c r="AJ140" s="1" t="str">
        <f t="shared" si="50"/>
        <v/>
      </c>
      <c r="AK140" s="1" t="str">
        <f t="shared" si="51"/>
        <v/>
      </c>
      <c r="AL140" s="1" t="str">
        <f t="shared" si="52"/>
        <v/>
      </c>
      <c r="AM140" s="1" t="str">
        <f t="shared" si="53"/>
        <v/>
      </c>
      <c r="AO140" s="8" t="str">
        <f t="shared" si="65"/>
        <v xml:space="preserve">PERFORM * FROM "SchData-OLTP-Accounting"."Func_TblChartOfAccount_SET"(varSystemLoginSession, null, null, null, varInstitutionBranchID, null, '2-3700', 'Provision for Tax Current Year', 62000000000001::bigint, '2016-01-01 00:00:00'::timestamp, null::timestamp); </v>
      </c>
    </row>
    <row r="141" spans="2:41" x14ac:dyDescent="0.25">
      <c r="B141" s="1">
        <v>3</v>
      </c>
      <c r="C141" s="2" t="s">
        <v>288</v>
      </c>
      <c r="D141" s="1" t="s">
        <v>289</v>
      </c>
      <c r="I141" s="2" t="s">
        <v>288</v>
      </c>
      <c r="Q141" s="1" t="str">
        <f t="shared" si="64"/>
        <v>Provision for Bonus THR</v>
      </c>
      <c r="S141" s="1" t="str">
        <f t="shared" si="54"/>
        <v>2-PASV</v>
      </c>
      <c r="T141" s="1" t="str">
        <f t="shared" si="55"/>
        <v>2-0000</v>
      </c>
      <c r="U141" s="1" t="str">
        <f t="shared" si="56"/>
        <v>2-1000</v>
      </c>
      <c r="V141" s="1" t="str">
        <f t="shared" si="57"/>
        <v>2-4100</v>
      </c>
      <c r="W141" s="1" t="str">
        <f t="shared" si="58"/>
        <v>2-3540</v>
      </c>
      <c r="X141" s="1" t="str">
        <f t="shared" si="59"/>
        <v/>
      </c>
      <c r="Y141" s="1" t="str">
        <f t="shared" si="60"/>
        <v/>
      </c>
      <c r="Z141" s="1" t="str">
        <f t="shared" si="61"/>
        <v/>
      </c>
      <c r="AA141" s="1" t="str">
        <f t="shared" si="62"/>
        <v/>
      </c>
      <c r="AB141" s="1" t="str">
        <f t="shared" si="63"/>
        <v/>
      </c>
      <c r="AD141" s="1" t="str">
        <f t="shared" si="44"/>
        <v/>
      </c>
      <c r="AE141" s="1" t="str">
        <f t="shared" si="45"/>
        <v/>
      </c>
      <c r="AF141" s="1" t="str">
        <f t="shared" si="46"/>
        <v xml:space="preserve">PERFORM * FROM "SchData-OLTP-Accounting"."Func_TblChartOfAccount_SET"(varSystemLoginSession, null, null, null, varInstitutionBranchID, null, '2-4100', 'Provision for Bonus THR', 62000000000001::bigint, '2016-01-01 00:00:00'::timestamp, null::timestamp); </v>
      </c>
      <c r="AG141" s="1" t="str">
        <f t="shared" si="47"/>
        <v/>
      </c>
      <c r="AH141" s="1" t="str">
        <f t="shared" si="48"/>
        <v/>
      </c>
      <c r="AI141" s="1" t="str">
        <f t="shared" si="49"/>
        <v/>
      </c>
      <c r="AJ141" s="1" t="str">
        <f t="shared" si="50"/>
        <v/>
      </c>
      <c r="AK141" s="1" t="str">
        <f t="shared" si="51"/>
        <v/>
      </c>
      <c r="AL141" s="1" t="str">
        <f t="shared" si="52"/>
        <v/>
      </c>
      <c r="AM141" s="1" t="str">
        <f t="shared" si="53"/>
        <v/>
      </c>
      <c r="AO141" s="8" t="str">
        <f t="shared" si="65"/>
        <v xml:space="preserve">PERFORM * FROM "SchData-OLTP-Accounting"."Func_TblChartOfAccount_SET"(varSystemLoginSession, null, null, null, varInstitutionBranchID, null, '2-4100', 'Provision for Bonus THR', 62000000000001::bigint, '2016-01-01 00:00:00'::timestamp, null::timestamp); </v>
      </c>
    </row>
    <row r="142" spans="2:41" x14ac:dyDescent="0.25">
      <c r="B142" s="1">
        <v>2</v>
      </c>
      <c r="C142" s="2" t="s">
        <v>290</v>
      </c>
      <c r="D142" s="1" t="s">
        <v>291</v>
      </c>
      <c r="H142" s="2" t="s">
        <v>290</v>
      </c>
      <c r="Q142" s="1" t="str">
        <f t="shared" si="64"/>
        <v>Long Term Liabilities</v>
      </c>
      <c r="S142" s="1" t="str">
        <f t="shared" si="54"/>
        <v>2-PASV</v>
      </c>
      <c r="T142" s="1" t="str">
        <f t="shared" si="55"/>
        <v>2-0000</v>
      </c>
      <c r="U142" s="1" t="str">
        <f t="shared" si="56"/>
        <v>2-5000</v>
      </c>
      <c r="V142" s="1" t="str">
        <f t="shared" si="57"/>
        <v>2-4100</v>
      </c>
      <c r="W142" s="1" t="str">
        <f t="shared" si="58"/>
        <v>2-3540</v>
      </c>
      <c r="X142" s="1" t="str">
        <f t="shared" si="59"/>
        <v/>
      </c>
      <c r="Y142" s="1" t="str">
        <f t="shared" si="60"/>
        <v/>
      </c>
      <c r="Z142" s="1" t="str">
        <f t="shared" si="61"/>
        <v/>
      </c>
      <c r="AA142" s="1" t="str">
        <f t="shared" si="62"/>
        <v/>
      </c>
      <c r="AB142" s="1" t="str">
        <f t="shared" si="63"/>
        <v/>
      </c>
      <c r="AD142" s="1" t="str">
        <f t="shared" si="44"/>
        <v/>
      </c>
      <c r="AE142" s="1" t="str">
        <f t="shared" si="45"/>
        <v xml:space="preserve">PERFORM * FROM "SchData-OLTP-Accounting"."Func_TblChartOfAccount_SET"(varSystemLoginSession, null, null, null, varInstitutionBranchID, null, '2-5000', 'Long Term Liabilities', 62000000000001::bigint, '2016-01-01 00:00:00'::timestamp, null::timestamp); </v>
      </c>
      <c r="AF142" s="1" t="str">
        <f t="shared" si="46"/>
        <v/>
      </c>
      <c r="AG142" s="1" t="str">
        <f t="shared" si="47"/>
        <v/>
      </c>
      <c r="AH142" s="1" t="str">
        <f t="shared" si="48"/>
        <v/>
      </c>
      <c r="AI142" s="1" t="str">
        <f t="shared" si="49"/>
        <v/>
      </c>
      <c r="AJ142" s="1" t="str">
        <f t="shared" si="50"/>
        <v/>
      </c>
      <c r="AK142" s="1" t="str">
        <f t="shared" si="51"/>
        <v/>
      </c>
      <c r="AL142" s="1" t="str">
        <f t="shared" si="52"/>
        <v/>
      </c>
      <c r="AM142" s="1" t="str">
        <f t="shared" si="53"/>
        <v/>
      </c>
      <c r="AO142" s="8" t="str">
        <f t="shared" si="65"/>
        <v xml:space="preserve">PERFORM * FROM "SchData-OLTP-Accounting"."Func_TblChartOfAccount_SET"(varSystemLoginSession, null, null, null, varInstitutionBranchID, null, '2-5000', 'Long Term Liabilities', 62000000000001::bigint, '2016-01-01 00:00:00'::timestamp, null::timestamp); </v>
      </c>
    </row>
    <row r="143" spans="2:41" x14ac:dyDescent="0.25">
      <c r="B143" s="1">
        <v>3</v>
      </c>
      <c r="C143" s="2" t="s">
        <v>292</v>
      </c>
      <c r="D143" s="1" t="s">
        <v>293</v>
      </c>
      <c r="I143" s="2" t="s">
        <v>292</v>
      </c>
      <c r="Q143" s="1" t="str">
        <f t="shared" si="64"/>
        <v>Account Payable - Non Current</v>
      </c>
      <c r="S143" s="1" t="str">
        <f t="shared" si="54"/>
        <v>2-PASV</v>
      </c>
      <c r="T143" s="1" t="str">
        <f t="shared" si="55"/>
        <v>2-0000</v>
      </c>
      <c r="U143" s="1" t="str">
        <f t="shared" si="56"/>
        <v>2-5000</v>
      </c>
      <c r="V143" s="1" t="str">
        <f t="shared" si="57"/>
        <v>2-5100</v>
      </c>
      <c r="W143" s="1" t="str">
        <f t="shared" si="58"/>
        <v>2-3540</v>
      </c>
      <c r="X143" s="1" t="str">
        <f t="shared" si="59"/>
        <v/>
      </c>
      <c r="Y143" s="1" t="str">
        <f t="shared" si="60"/>
        <v/>
      </c>
      <c r="Z143" s="1" t="str">
        <f t="shared" si="61"/>
        <v/>
      </c>
      <c r="AA143" s="1" t="str">
        <f t="shared" si="62"/>
        <v/>
      </c>
      <c r="AB143" s="1" t="str">
        <f t="shared" si="63"/>
        <v/>
      </c>
      <c r="AD143" s="1" t="str">
        <f t="shared" si="44"/>
        <v/>
      </c>
      <c r="AE143" s="1" t="str">
        <f t="shared" si="45"/>
        <v/>
      </c>
      <c r="AF143" s="1" t="str">
        <f t="shared" si="46"/>
        <v xml:space="preserve">PERFORM * FROM "SchData-OLTP-Accounting"."Func_TblChartOfAccount_SET"(varSystemLoginSession, null, null, null, varInstitutionBranchID, null, '2-5100', 'Account Payable - Non Current', 62000000000001::bigint, '2016-01-01 00:00:00'::timestamp, null::timestamp); </v>
      </c>
      <c r="AG143" s="1" t="str">
        <f t="shared" si="47"/>
        <v/>
      </c>
      <c r="AH143" s="1" t="str">
        <f t="shared" si="48"/>
        <v/>
      </c>
      <c r="AI143" s="1" t="str">
        <f t="shared" si="49"/>
        <v/>
      </c>
      <c r="AJ143" s="1" t="str">
        <f t="shared" si="50"/>
        <v/>
      </c>
      <c r="AK143" s="1" t="str">
        <f t="shared" si="51"/>
        <v/>
      </c>
      <c r="AL143" s="1" t="str">
        <f t="shared" si="52"/>
        <v/>
      </c>
      <c r="AM143" s="1" t="str">
        <f t="shared" si="53"/>
        <v/>
      </c>
      <c r="AO143" s="8" t="str">
        <f t="shared" si="65"/>
        <v xml:space="preserve">PERFORM * FROM "SchData-OLTP-Accounting"."Func_TblChartOfAccount_SET"(varSystemLoginSession, null, null, null, varInstitutionBranchID, null, '2-5100', 'Account Payable - Non Current', 62000000000001::bigint, '2016-01-01 00:00:00'::timestamp, null::timestamp); </v>
      </c>
    </row>
    <row r="144" spans="2:41" x14ac:dyDescent="0.25">
      <c r="B144" s="1">
        <v>2</v>
      </c>
      <c r="C144" s="2" t="s">
        <v>294</v>
      </c>
      <c r="D144" s="1" t="s">
        <v>295</v>
      </c>
      <c r="J144" s="2" t="s">
        <v>294</v>
      </c>
      <c r="Q144" s="1" t="str">
        <f t="shared" si="64"/>
        <v>I/C Payable PT KHA</v>
      </c>
      <c r="S144" s="1" t="str">
        <f t="shared" si="54"/>
        <v>2-PASV</v>
      </c>
      <c r="T144" s="1" t="str">
        <f t="shared" si="55"/>
        <v>2-0000</v>
      </c>
      <c r="U144" s="1" t="str">
        <f t="shared" si="56"/>
        <v>2-5000</v>
      </c>
      <c r="V144" s="1" t="str">
        <f t="shared" si="57"/>
        <v>2-5100</v>
      </c>
      <c r="W144" s="1" t="str">
        <f t="shared" si="58"/>
        <v>2-5110</v>
      </c>
      <c r="X144" s="1" t="str">
        <f t="shared" si="59"/>
        <v/>
      </c>
      <c r="Y144" s="1" t="str">
        <f t="shared" si="60"/>
        <v/>
      </c>
      <c r="Z144" s="1" t="str">
        <f t="shared" si="61"/>
        <v/>
      </c>
      <c r="AA144" s="1" t="str">
        <f t="shared" si="62"/>
        <v/>
      </c>
      <c r="AB144" s="1" t="str">
        <f t="shared" si="63"/>
        <v/>
      </c>
      <c r="AD144" s="1" t="str">
        <f t="shared" si="44"/>
        <v/>
      </c>
      <c r="AE144" s="1" t="str">
        <f t="shared" si="45"/>
        <v/>
      </c>
      <c r="AF144" s="1" t="str">
        <f t="shared" si="46"/>
        <v/>
      </c>
      <c r="AG144" s="1" t="str">
        <f t="shared" si="47"/>
        <v xml:space="preserve">PERFORM * FROM "SchData-OLTP-Accounting"."Func_TblChartOfAccount_SET"(varSystemLoginSession, null, null, null, varInstitutionBranchID, null, '2-5110', 'I/C Payable PT KHA', 62000000000001::bigint, '2016-01-01 00:00:00'::timestamp, null::timestamp); </v>
      </c>
      <c r="AH144" s="1" t="str">
        <f t="shared" si="48"/>
        <v/>
      </c>
      <c r="AI144" s="1" t="str">
        <f t="shared" si="49"/>
        <v/>
      </c>
      <c r="AJ144" s="1" t="str">
        <f t="shared" si="50"/>
        <v/>
      </c>
      <c r="AK144" s="1" t="str">
        <f t="shared" si="51"/>
        <v/>
      </c>
      <c r="AL144" s="1" t="str">
        <f t="shared" si="52"/>
        <v/>
      </c>
      <c r="AM144" s="1" t="str">
        <f t="shared" si="53"/>
        <v/>
      </c>
      <c r="AO144" s="8" t="str">
        <f t="shared" si="65"/>
        <v xml:space="preserve">PERFORM * FROM "SchData-OLTP-Accounting"."Func_TblChartOfAccount_SET"(varSystemLoginSession, null, null, null, varInstitutionBranchID, null, '2-5110', 'I/C Payable PT KHA', 62000000000001::bigint, '2016-01-01 00:00:00'::timestamp, null::timestamp); </v>
      </c>
    </row>
    <row r="145" spans="2:41" x14ac:dyDescent="0.25">
      <c r="B145" s="1">
        <v>2</v>
      </c>
      <c r="C145" s="2" t="s">
        <v>296</v>
      </c>
      <c r="D145" s="1" t="s">
        <v>297</v>
      </c>
      <c r="J145" s="2" t="s">
        <v>296</v>
      </c>
      <c r="Q145" s="1" t="str">
        <f t="shared" si="64"/>
        <v>I/C Payable to PT. DHD</v>
      </c>
      <c r="S145" s="1" t="str">
        <f t="shared" si="54"/>
        <v>2-PASV</v>
      </c>
      <c r="T145" s="1" t="str">
        <f t="shared" si="55"/>
        <v>2-0000</v>
      </c>
      <c r="U145" s="1" t="str">
        <f t="shared" si="56"/>
        <v>2-5000</v>
      </c>
      <c r="V145" s="1" t="str">
        <f t="shared" si="57"/>
        <v>2-5100</v>
      </c>
      <c r="W145" s="1" t="str">
        <f t="shared" si="58"/>
        <v>2-5120</v>
      </c>
      <c r="X145" s="1" t="str">
        <f t="shared" si="59"/>
        <v/>
      </c>
      <c r="Y145" s="1" t="str">
        <f t="shared" si="60"/>
        <v/>
      </c>
      <c r="Z145" s="1" t="str">
        <f t="shared" si="61"/>
        <v/>
      </c>
      <c r="AA145" s="1" t="str">
        <f t="shared" si="62"/>
        <v/>
      </c>
      <c r="AB145" s="1" t="str">
        <f t="shared" si="63"/>
        <v/>
      </c>
      <c r="AD145" s="1" t="str">
        <f t="shared" si="44"/>
        <v/>
      </c>
      <c r="AE145" s="1" t="str">
        <f t="shared" si="45"/>
        <v/>
      </c>
      <c r="AF145" s="1" t="str">
        <f t="shared" si="46"/>
        <v/>
      </c>
      <c r="AG145" s="1" t="str">
        <f t="shared" si="47"/>
        <v xml:space="preserve">PERFORM * FROM "SchData-OLTP-Accounting"."Func_TblChartOfAccount_SET"(varSystemLoginSession, null, null, null, varInstitutionBranchID, null, '2-5120', 'I/C Payable to PT. DHD', 62000000000001::bigint, '2016-01-01 00:00:00'::timestamp, null::timestamp); </v>
      </c>
      <c r="AH145" s="1" t="str">
        <f t="shared" si="48"/>
        <v/>
      </c>
      <c r="AI145" s="1" t="str">
        <f t="shared" si="49"/>
        <v/>
      </c>
      <c r="AJ145" s="1" t="str">
        <f t="shared" si="50"/>
        <v/>
      </c>
      <c r="AK145" s="1" t="str">
        <f t="shared" si="51"/>
        <v/>
      </c>
      <c r="AL145" s="1" t="str">
        <f t="shared" si="52"/>
        <v/>
      </c>
      <c r="AM145" s="1" t="str">
        <f t="shared" si="53"/>
        <v/>
      </c>
      <c r="AO145" s="8" t="str">
        <f t="shared" si="65"/>
        <v xml:space="preserve">PERFORM * FROM "SchData-OLTP-Accounting"."Func_TblChartOfAccount_SET"(varSystemLoginSession, null, null, null, varInstitutionBranchID, null, '2-5120', 'I/C Payable to PT. DHD', 62000000000001::bigint, '2016-01-01 00:00:00'::timestamp, null::timestamp); </v>
      </c>
    </row>
    <row r="146" spans="2:41" x14ac:dyDescent="0.25">
      <c r="B146" s="1">
        <v>3</v>
      </c>
      <c r="C146" s="2" t="s">
        <v>298</v>
      </c>
      <c r="D146" s="1" t="s">
        <v>299</v>
      </c>
      <c r="I146" s="2" t="s">
        <v>298</v>
      </c>
      <c r="Q146" s="1" t="str">
        <f t="shared" si="64"/>
        <v>Bank Loan</v>
      </c>
      <c r="S146" s="1" t="str">
        <f t="shared" si="54"/>
        <v>2-PASV</v>
      </c>
      <c r="T146" s="1" t="str">
        <f t="shared" si="55"/>
        <v>2-0000</v>
      </c>
      <c r="U146" s="1" t="str">
        <f t="shared" si="56"/>
        <v>2-5000</v>
      </c>
      <c r="V146" s="1" t="str">
        <f t="shared" si="57"/>
        <v>2-5200</v>
      </c>
      <c r="W146" s="1" t="str">
        <f t="shared" si="58"/>
        <v>2-5120</v>
      </c>
      <c r="X146" s="1" t="str">
        <f t="shared" si="59"/>
        <v/>
      </c>
      <c r="Y146" s="1" t="str">
        <f t="shared" si="60"/>
        <v/>
      </c>
      <c r="Z146" s="1" t="str">
        <f t="shared" si="61"/>
        <v/>
      </c>
      <c r="AA146" s="1" t="str">
        <f t="shared" si="62"/>
        <v/>
      </c>
      <c r="AB146" s="1" t="str">
        <f t="shared" si="63"/>
        <v/>
      </c>
      <c r="AD146" s="1" t="str">
        <f t="shared" si="44"/>
        <v/>
      </c>
      <c r="AE146" s="1" t="str">
        <f t="shared" si="45"/>
        <v/>
      </c>
      <c r="AF146" s="1" t="str">
        <f t="shared" si="46"/>
        <v xml:space="preserve">PERFORM * FROM "SchData-OLTP-Accounting"."Func_TblChartOfAccount_SET"(varSystemLoginSession, null, null, null, varInstitutionBranchID, null, '2-5200', 'Bank Loan', 62000000000001::bigint, '2016-01-01 00:00:00'::timestamp, null::timestamp); </v>
      </c>
      <c r="AG146" s="1" t="str">
        <f t="shared" si="47"/>
        <v/>
      </c>
      <c r="AH146" s="1" t="str">
        <f t="shared" si="48"/>
        <v/>
      </c>
      <c r="AI146" s="1" t="str">
        <f t="shared" si="49"/>
        <v/>
      </c>
      <c r="AJ146" s="1" t="str">
        <f t="shared" si="50"/>
        <v/>
      </c>
      <c r="AK146" s="1" t="str">
        <f t="shared" si="51"/>
        <v/>
      </c>
      <c r="AL146" s="1" t="str">
        <f t="shared" si="52"/>
        <v/>
      </c>
      <c r="AM146" s="1" t="str">
        <f t="shared" si="53"/>
        <v/>
      </c>
      <c r="AO146" s="8" t="str">
        <f t="shared" si="65"/>
        <v xml:space="preserve">PERFORM * FROM "SchData-OLTP-Accounting"."Func_TblChartOfAccount_SET"(varSystemLoginSession, null, null, null, varInstitutionBranchID, null, '2-5200', 'Bank Loan', 62000000000001::bigint, '2016-01-01 00:00:00'::timestamp, null::timestamp); </v>
      </c>
    </row>
    <row r="147" spans="2:41" x14ac:dyDescent="0.25">
      <c r="B147" s="1">
        <v>3</v>
      </c>
      <c r="C147" s="2" t="s">
        <v>300</v>
      </c>
      <c r="D147" s="1" t="s">
        <v>301</v>
      </c>
      <c r="I147" s="2" t="s">
        <v>300</v>
      </c>
      <c r="Q147" s="1" t="str">
        <f t="shared" si="64"/>
        <v>Downer Loan</v>
      </c>
      <c r="S147" s="1" t="str">
        <f t="shared" si="54"/>
        <v>2-PASV</v>
      </c>
      <c r="T147" s="1" t="str">
        <f t="shared" si="55"/>
        <v>2-0000</v>
      </c>
      <c r="U147" s="1" t="str">
        <f t="shared" si="56"/>
        <v>2-5000</v>
      </c>
      <c r="V147" s="1" t="str">
        <f t="shared" si="57"/>
        <v>2-5300</v>
      </c>
      <c r="W147" s="1" t="str">
        <f t="shared" si="58"/>
        <v>2-5120</v>
      </c>
      <c r="X147" s="1" t="str">
        <f t="shared" si="59"/>
        <v/>
      </c>
      <c r="Y147" s="1" t="str">
        <f t="shared" si="60"/>
        <v/>
      </c>
      <c r="Z147" s="1" t="str">
        <f t="shared" si="61"/>
        <v/>
      </c>
      <c r="AA147" s="1" t="str">
        <f t="shared" si="62"/>
        <v/>
      </c>
      <c r="AB147" s="1" t="str">
        <f t="shared" si="63"/>
        <v/>
      </c>
      <c r="AD147" s="1" t="str">
        <f t="shared" si="44"/>
        <v/>
      </c>
      <c r="AE147" s="1" t="str">
        <f t="shared" si="45"/>
        <v/>
      </c>
      <c r="AF147" s="1" t="str">
        <f t="shared" si="46"/>
        <v xml:space="preserve">PERFORM * FROM "SchData-OLTP-Accounting"."Func_TblChartOfAccount_SET"(varSystemLoginSession, null, null, null, varInstitutionBranchID, null, '2-5300', 'Downer Loan', 62000000000001::bigint, '2016-01-01 00:00:00'::timestamp, null::timestamp); </v>
      </c>
      <c r="AG147" s="1" t="str">
        <f t="shared" si="47"/>
        <v/>
      </c>
      <c r="AH147" s="1" t="str">
        <f t="shared" si="48"/>
        <v/>
      </c>
      <c r="AI147" s="1" t="str">
        <f t="shared" si="49"/>
        <v/>
      </c>
      <c r="AJ147" s="1" t="str">
        <f t="shared" si="50"/>
        <v/>
      </c>
      <c r="AK147" s="1" t="str">
        <f t="shared" si="51"/>
        <v/>
      </c>
      <c r="AL147" s="1" t="str">
        <f t="shared" si="52"/>
        <v/>
      </c>
      <c r="AM147" s="1" t="str">
        <f t="shared" si="53"/>
        <v/>
      </c>
      <c r="AO147" s="8" t="str">
        <f t="shared" si="65"/>
        <v xml:space="preserve">PERFORM * FROM "SchData-OLTP-Accounting"."Func_TblChartOfAccount_SET"(varSystemLoginSession, null, null, null, varInstitutionBranchID, null, '2-5300', 'Downer Loan', 62000000000001::bigint, '2016-01-01 00:00:00'::timestamp, null::timestamp); </v>
      </c>
    </row>
    <row r="148" spans="2:41" x14ac:dyDescent="0.25">
      <c r="B148" s="1">
        <v>3</v>
      </c>
      <c r="C148" s="2" t="s">
        <v>302</v>
      </c>
      <c r="D148" s="1" t="s">
        <v>303</v>
      </c>
      <c r="I148" s="2" t="s">
        <v>302</v>
      </c>
      <c r="Q148" s="1" t="str">
        <f t="shared" si="64"/>
        <v>Internal Loan</v>
      </c>
      <c r="S148" s="1" t="str">
        <f t="shared" si="54"/>
        <v>2-PASV</v>
      </c>
      <c r="T148" s="1" t="str">
        <f t="shared" si="55"/>
        <v>2-0000</v>
      </c>
      <c r="U148" s="1" t="str">
        <f t="shared" si="56"/>
        <v>2-5000</v>
      </c>
      <c r="V148" s="1" t="str">
        <f t="shared" si="57"/>
        <v>2-5400</v>
      </c>
      <c r="W148" s="1" t="str">
        <f t="shared" si="58"/>
        <v>2-5120</v>
      </c>
      <c r="X148" s="1" t="str">
        <f t="shared" si="59"/>
        <v/>
      </c>
      <c r="Y148" s="1" t="str">
        <f t="shared" si="60"/>
        <v/>
      </c>
      <c r="Z148" s="1" t="str">
        <f t="shared" si="61"/>
        <v/>
      </c>
      <c r="AA148" s="1" t="str">
        <f t="shared" si="62"/>
        <v/>
      </c>
      <c r="AB148" s="1" t="str">
        <f t="shared" si="63"/>
        <v/>
      </c>
      <c r="AD148" s="1" t="str">
        <f t="shared" si="44"/>
        <v/>
      </c>
      <c r="AE148" s="1" t="str">
        <f t="shared" si="45"/>
        <v/>
      </c>
      <c r="AF148" s="1" t="str">
        <f t="shared" si="46"/>
        <v xml:space="preserve">PERFORM * FROM "SchData-OLTP-Accounting"."Func_TblChartOfAccount_SET"(varSystemLoginSession, null, null, null, varInstitutionBranchID, null, '2-5400', 'Internal Loan', 62000000000001::bigint, '2016-01-01 00:00:00'::timestamp, null::timestamp); </v>
      </c>
      <c r="AG148" s="1" t="str">
        <f t="shared" si="47"/>
        <v/>
      </c>
      <c r="AH148" s="1" t="str">
        <f t="shared" si="48"/>
        <v/>
      </c>
      <c r="AI148" s="1" t="str">
        <f t="shared" si="49"/>
        <v/>
      </c>
      <c r="AJ148" s="1" t="str">
        <f t="shared" si="50"/>
        <v/>
      </c>
      <c r="AK148" s="1" t="str">
        <f t="shared" si="51"/>
        <v/>
      </c>
      <c r="AL148" s="1" t="str">
        <f t="shared" si="52"/>
        <v/>
      </c>
      <c r="AM148" s="1" t="str">
        <f t="shared" si="53"/>
        <v/>
      </c>
      <c r="AO148" s="8" t="str">
        <f t="shared" si="65"/>
        <v xml:space="preserve">PERFORM * FROM "SchData-OLTP-Accounting"."Func_TblChartOfAccount_SET"(varSystemLoginSession, null, null, null, varInstitutionBranchID, null, '2-5400', 'Internal Loan', 62000000000001::bigint, '2016-01-01 00:00:00'::timestamp, null::timestamp); </v>
      </c>
    </row>
    <row r="149" spans="2:41" x14ac:dyDescent="0.25">
      <c r="B149" s="1">
        <v>3</v>
      </c>
      <c r="C149" s="2" t="s">
        <v>304</v>
      </c>
      <c r="D149" s="1" t="s">
        <v>305</v>
      </c>
      <c r="I149" s="2" t="s">
        <v>304</v>
      </c>
      <c r="Q149" s="1" t="str">
        <f t="shared" si="64"/>
        <v>Other Loan</v>
      </c>
      <c r="S149" s="1" t="str">
        <f t="shared" si="54"/>
        <v>2-PASV</v>
      </c>
      <c r="T149" s="1" t="str">
        <f t="shared" si="55"/>
        <v>2-0000</v>
      </c>
      <c r="U149" s="1" t="str">
        <f t="shared" si="56"/>
        <v>2-5000</v>
      </c>
      <c r="V149" s="1" t="str">
        <f t="shared" si="57"/>
        <v>2-5500</v>
      </c>
      <c r="W149" s="1" t="str">
        <f t="shared" si="58"/>
        <v>2-5120</v>
      </c>
      <c r="X149" s="1" t="str">
        <f t="shared" si="59"/>
        <v/>
      </c>
      <c r="Y149" s="1" t="str">
        <f t="shared" si="60"/>
        <v/>
      </c>
      <c r="Z149" s="1" t="str">
        <f t="shared" si="61"/>
        <v/>
      </c>
      <c r="AA149" s="1" t="str">
        <f t="shared" si="62"/>
        <v/>
      </c>
      <c r="AB149" s="1" t="str">
        <f t="shared" si="63"/>
        <v/>
      </c>
      <c r="AD149" s="1" t="str">
        <f t="shared" si="44"/>
        <v/>
      </c>
      <c r="AE149" s="1" t="str">
        <f t="shared" si="45"/>
        <v/>
      </c>
      <c r="AF149" s="1" t="str">
        <f t="shared" si="46"/>
        <v xml:space="preserve">PERFORM * FROM "SchData-OLTP-Accounting"."Func_TblChartOfAccount_SET"(varSystemLoginSession, null, null, null, varInstitutionBranchID, null, '2-5500', 'Other Loan', 62000000000001::bigint, '2016-01-01 00:00:00'::timestamp, null::timestamp); </v>
      </c>
      <c r="AG149" s="1" t="str">
        <f t="shared" si="47"/>
        <v/>
      </c>
      <c r="AH149" s="1" t="str">
        <f t="shared" si="48"/>
        <v/>
      </c>
      <c r="AI149" s="1" t="str">
        <f t="shared" si="49"/>
        <v/>
      </c>
      <c r="AJ149" s="1" t="str">
        <f t="shared" si="50"/>
        <v/>
      </c>
      <c r="AK149" s="1" t="str">
        <f t="shared" si="51"/>
        <v/>
      </c>
      <c r="AL149" s="1" t="str">
        <f t="shared" si="52"/>
        <v/>
      </c>
      <c r="AM149" s="1" t="str">
        <f t="shared" si="53"/>
        <v/>
      </c>
      <c r="AO149" s="8" t="str">
        <f t="shared" si="65"/>
        <v xml:space="preserve">PERFORM * FROM "SchData-OLTP-Accounting"."Func_TblChartOfAccount_SET"(varSystemLoginSession, null, null, null, varInstitutionBranchID, null, '2-5500', 'Other Loan', 62000000000001::bigint, '2016-01-01 00:00:00'::timestamp, null::timestamp); </v>
      </c>
    </row>
    <row r="150" spans="2:41" x14ac:dyDescent="0.25">
      <c r="B150" s="1">
        <v>3</v>
      </c>
      <c r="C150" s="2" t="s">
        <v>306</v>
      </c>
      <c r="D150" s="1" t="s">
        <v>307</v>
      </c>
      <c r="I150" s="2" t="s">
        <v>306</v>
      </c>
      <c r="Q150" s="1" t="str">
        <f t="shared" si="64"/>
        <v>Employee Provision</v>
      </c>
      <c r="S150" s="1" t="str">
        <f t="shared" si="54"/>
        <v>2-PASV</v>
      </c>
      <c r="T150" s="1" t="str">
        <f t="shared" si="55"/>
        <v>2-0000</v>
      </c>
      <c r="U150" s="1" t="str">
        <f t="shared" si="56"/>
        <v>2-5000</v>
      </c>
      <c r="V150" s="1" t="str">
        <f t="shared" si="57"/>
        <v>2-6100</v>
      </c>
      <c r="W150" s="1" t="str">
        <f t="shared" si="58"/>
        <v>2-5120</v>
      </c>
      <c r="X150" s="1" t="str">
        <f t="shared" si="59"/>
        <v/>
      </c>
      <c r="Y150" s="1" t="str">
        <f t="shared" si="60"/>
        <v/>
      </c>
      <c r="Z150" s="1" t="str">
        <f t="shared" si="61"/>
        <v/>
      </c>
      <c r="AA150" s="1" t="str">
        <f t="shared" si="62"/>
        <v/>
      </c>
      <c r="AB150" s="1" t="str">
        <f t="shared" si="63"/>
        <v/>
      </c>
      <c r="AD150" s="1" t="str">
        <f t="shared" si="44"/>
        <v/>
      </c>
      <c r="AE150" s="1" t="str">
        <f t="shared" si="45"/>
        <v/>
      </c>
      <c r="AF150" s="1" t="str">
        <f t="shared" si="46"/>
        <v xml:space="preserve">PERFORM * FROM "SchData-OLTP-Accounting"."Func_TblChartOfAccount_SET"(varSystemLoginSession, null, null, null, varInstitutionBranchID, null, '2-6100', 'Employee Provision', 62000000000001::bigint, '2016-01-01 00:00:00'::timestamp, null::timestamp); </v>
      </c>
      <c r="AG150" s="1" t="str">
        <f t="shared" si="47"/>
        <v/>
      </c>
      <c r="AH150" s="1" t="str">
        <f t="shared" si="48"/>
        <v/>
      </c>
      <c r="AI150" s="1" t="str">
        <f t="shared" si="49"/>
        <v/>
      </c>
      <c r="AJ150" s="1" t="str">
        <f t="shared" si="50"/>
        <v/>
      </c>
      <c r="AK150" s="1" t="str">
        <f t="shared" si="51"/>
        <v/>
      </c>
      <c r="AL150" s="1" t="str">
        <f t="shared" si="52"/>
        <v/>
      </c>
      <c r="AM150" s="1" t="str">
        <f t="shared" si="53"/>
        <v/>
      </c>
      <c r="AO150" s="8" t="str">
        <f t="shared" si="65"/>
        <v xml:space="preserve">PERFORM * FROM "SchData-OLTP-Accounting"."Func_TblChartOfAccount_SET"(varSystemLoginSession, null, null, null, varInstitutionBranchID, null, '2-6100', 'Employee Provision', 62000000000001::bigint, '2016-01-01 00:00:00'::timestamp, null::timestamp); </v>
      </c>
    </row>
    <row r="151" spans="2:41" x14ac:dyDescent="0.25">
      <c r="B151" s="1">
        <v>3</v>
      </c>
      <c r="C151" s="2" t="s">
        <v>308</v>
      </c>
      <c r="D151" s="1" t="s">
        <v>309</v>
      </c>
      <c r="I151" s="2" t="s">
        <v>308</v>
      </c>
      <c r="Q151" s="1" t="str">
        <f t="shared" si="64"/>
        <v>Deferred Tax Liabilities</v>
      </c>
      <c r="S151" s="1" t="str">
        <f t="shared" si="54"/>
        <v>2-PASV</v>
      </c>
      <c r="T151" s="1" t="str">
        <f t="shared" si="55"/>
        <v>2-0000</v>
      </c>
      <c r="U151" s="1" t="str">
        <f t="shared" si="56"/>
        <v>2-5000</v>
      </c>
      <c r="V151" s="1" t="str">
        <f t="shared" si="57"/>
        <v>2-8100</v>
      </c>
      <c r="W151" s="1" t="str">
        <f t="shared" si="58"/>
        <v>2-5120</v>
      </c>
      <c r="X151" s="1" t="str">
        <f t="shared" si="59"/>
        <v/>
      </c>
      <c r="Y151" s="1" t="str">
        <f t="shared" si="60"/>
        <v/>
      </c>
      <c r="Z151" s="1" t="str">
        <f t="shared" si="61"/>
        <v/>
      </c>
      <c r="AA151" s="1" t="str">
        <f t="shared" si="62"/>
        <v/>
      </c>
      <c r="AB151" s="1" t="str">
        <f t="shared" si="63"/>
        <v/>
      </c>
      <c r="AD151" s="1" t="str">
        <f t="shared" si="44"/>
        <v/>
      </c>
      <c r="AE151" s="1" t="str">
        <f t="shared" si="45"/>
        <v/>
      </c>
      <c r="AF151" s="1" t="str">
        <f t="shared" si="46"/>
        <v xml:space="preserve">PERFORM * FROM "SchData-OLTP-Accounting"."Func_TblChartOfAccount_SET"(varSystemLoginSession, null, null, null, varInstitutionBranchID, null, '2-8100', 'Deferred Tax Liabilities', 62000000000001::bigint, '2016-01-01 00:00:00'::timestamp, null::timestamp); </v>
      </c>
      <c r="AG151" s="1" t="str">
        <f t="shared" si="47"/>
        <v/>
      </c>
      <c r="AH151" s="1" t="str">
        <f t="shared" si="48"/>
        <v/>
      </c>
      <c r="AI151" s="1" t="str">
        <f t="shared" si="49"/>
        <v/>
      </c>
      <c r="AJ151" s="1" t="str">
        <f t="shared" si="50"/>
        <v/>
      </c>
      <c r="AK151" s="1" t="str">
        <f t="shared" si="51"/>
        <v/>
      </c>
      <c r="AL151" s="1" t="str">
        <f t="shared" si="52"/>
        <v/>
      </c>
      <c r="AM151" s="1" t="str">
        <f t="shared" si="53"/>
        <v/>
      </c>
      <c r="AO151" s="8" t="str">
        <f t="shared" si="65"/>
        <v xml:space="preserve">PERFORM * FROM "SchData-OLTP-Accounting"."Func_TblChartOfAccount_SET"(varSystemLoginSession, null, null, null, varInstitutionBranchID, null, '2-8100', 'Deferred Tax Liabilities', 62000000000001::bigint, '2016-01-01 00:00:00'::timestamp, null::timestamp); </v>
      </c>
    </row>
    <row r="152" spans="2:41" x14ac:dyDescent="0.25">
      <c r="B152" s="1">
        <v>1</v>
      </c>
      <c r="C152" s="2" t="s">
        <v>310</v>
      </c>
      <c r="D152" s="1" t="s">
        <v>311</v>
      </c>
      <c r="G152" s="2" t="s">
        <v>310</v>
      </c>
      <c r="Q152" s="1" t="str">
        <f t="shared" si="64"/>
        <v>Equity</v>
      </c>
      <c r="S152" s="1" t="str">
        <f t="shared" si="54"/>
        <v>2-PASV</v>
      </c>
      <c r="T152" s="1" t="str">
        <f t="shared" si="55"/>
        <v>3-0000</v>
      </c>
      <c r="U152" s="1" t="str">
        <f t="shared" si="56"/>
        <v>2-5000</v>
      </c>
      <c r="V152" s="1" t="str">
        <f t="shared" si="57"/>
        <v>2-8100</v>
      </c>
      <c r="W152" s="1" t="str">
        <f t="shared" si="58"/>
        <v>2-5120</v>
      </c>
      <c r="X152" s="1" t="str">
        <f t="shared" si="59"/>
        <v/>
      </c>
      <c r="Y152" s="1" t="str">
        <f t="shared" si="60"/>
        <v/>
      </c>
      <c r="Z152" s="1" t="str">
        <f t="shared" si="61"/>
        <v/>
      </c>
      <c r="AA152" s="1" t="str">
        <f t="shared" si="62"/>
        <v/>
      </c>
      <c r="AB152" s="1" t="str">
        <f t="shared" si="63"/>
        <v/>
      </c>
      <c r="AD152" s="1" t="str">
        <f t="shared" si="44"/>
        <v xml:space="preserve">PERFORM * FROM "SchData-OLTP-Accounting"."Func_TblChartOfAccount_SET"(varSystemLoginSession, null, null, null, varInstitutionBranchID, null, '3-0000', 'Equity', 62000000000001::bigint, '2016-01-01 00:00:00'::timestamp, null::timestamp); </v>
      </c>
      <c r="AE152" s="1" t="str">
        <f t="shared" si="45"/>
        <v/>
      </c>
      <c r="AF152" s="1" t="str">
        <f t="shared" si="46"/>
        <v/>
      </c>
      <c r="AG152" s="1" t="str">
        <f t="shared" si="47"/>
        <v/>
      </c>
      <c r="AH152" s="1" t="str">
        <f t="shared" si="48"/>
        <v/>
      </c>
      <c r="AI152" s="1" t="str">
        <f t="shared" si="49"/>
        <v/>
      </c>
      <c r="AJ152" s="1" t="str">
        <f t="shared" si="50"/>
        <v/>
      </c>
      <c r="AK152" s="1" t="str">
        <f t="shared" si="51"/>
        <v/>
      </c>
      <c r="AL152" s="1" t="str">
        <f t="shared" si="52"/>
        <v/>
      </c>
      <c r="AM152" s="1" t="str">
        <f t="shared" si="53"/>
        <v/>
      </c>
      <c r="AO152" s="8" t="str">
        <f t="shared" si="65"/>
        <v xml:space="preserve">PERFORM * FROM "SchData-OLTP-Accounting"."Func_TblChartOfAccount_SET"(varSystemLoginSession, null, null, null, varInstitutionBranchID, null, '3-0000', 'Equity', 62000000000001::bigint, '2016-01-01 00:00:00'::timestamp, null::timestamp); </v>
      </c>
    </row>
    <row r="153" spans="2:41" x14ac:dyDescent="0.25">
      <c r="B153" s="1">
        <v>2</v>
      </c>
      <c r="C153" s="2" t="s">
        <v>312</v>
      </c>
      <c r="D153" s="1" t="s">
        <v>313</v>
      </c>
      <c r="H153" s="2" t="s">
        <v>312</v>
      </c>
      <c r="Q153" s="1" t="str">
        <f t="shared" si="64"/>
        <v>Share Capital</v>
      </c>
      <c r="S153" s="1" t="str">
        <f t="shared" si="54"/>
        <v>2-PASV</v>
      </c>
      <c r="T153" s="1" t="str">
        <f t="shared" si="55"/>
        <v>3-0000</v>
      </c>
      <c r="U153" s="1" t="str">
        <f t="shared" si="56"/>
        <v>3-1000</v>
      </c>
      <c r="V153" s="1" t="str">
        <f t="shared" si="57"/>
        <v>2-8100</v>
      </c>
      <c r="W153" s="1" t="str">
        <f t="shared" si="58"/>
        <v>2-5120</v>
      </c>
      <c r="X153" s="1" t="str">
        <f t="shared" si="59"/>
        <v/>
      </c>
      <c r="Y153" s="1" t="str">
        <f t="shared" si="60"/>
        <v/>
      </c>
      <c r="Z153" s="1" t="str">
        <f t="shared" si="61"/>
        <v/>
      </c>
      <c r="AA153" s="1" t="str">
        <f t="shared" si="62"/>
        <v/>
      </c>
      <c r="AB153" s="1" t="str">
        <f t="shared" si="63"/>
        <v/>
      </c>
      <c r="AD153" s="1" t="str">
        <f t="shared" si="44"/>
        <v/>
      </c>
      <c r="AE153" s="1" t="str">
        <f t="shared" si="45"/>
        <v xml:space="preserve">PERFORM * FROM "SchData-OLTP-Accounting"."Func_TblChartOfAccount_SET"(varSystemLoginSession, null, null, null, varInstitutionBranchID, null, '3-1000', 'Share Capital', 62000000000001::bigint, '2016-01-01 00:00:00'::timestamp, null::timestamp); </v>
      </c>
      <c r="AF153" s="1" t="str">
        <f t="shared" si="46"/>
        <v/>
      </c>
      <c r="AG153" s="1" t="str">
        <f t="shared" si="47"/>
        <v/>
      </c>
      <c r="AH153" s="1" t="str">
        <f t="shared" si="48"/>
        <v/>
      </c>
      <c r="AI153" s="1" t="str">
        <f t="shared" si="49"/>
        <v/>
      </c>
      <c r="AJ153" s="1" t="str">
        <f t="shared" si="50"/>
        <v/>
      </c>
      <c r="AK153" s="1" t="str">
        <f t="shared" si="51"/>
        <v/>
      </c>
      <c r="AL153" s="1" t="str">
        <f t="shared" si="52"/>
        <v/>
      </c>
      <c r="AM153" s="1" t="str">
        <f t="shared" si="53"/>
        <v/>
      </c>
      <c r="AO153" s="8" t="str">
        <f t="shared" si="65"/>
        <v xml:space="preserve">PERFORM * FROM "SchData-OLTP-Accounting"."Func_TblChartOfAccount_SET"(varSystemLoginSession, null, null, null, varInstitutionBranchID, null, '3-1000', 'Share Capital', 62000000000001::bigint, '2016-01-01 00:00:00'::timestamp, null::timestamp); </v>
      </c>
    </row>
    <row r="154" spans="2:41" x14ac:dyDescent="0.25">
      <c r="B154" s="1">
        <v>2</v>
      </c>
      <c r="C154" s="2" t="s">
        <v>314</v>
      </c>
      <c r="D154" s="1" t="s">
        <v>315</v>
      </c>
      <c r="H154" s="2" t="s">
        <v>314</v>
      </c>
      <c r="Q154" s="1" t="str">
        <f t="shared" si="64"/>
        <v>R/E Profits/Losses Prev Year</v>
      </c>
      <c r="S154" s="1" t="str">
        <f t="shared" si="54"/>
        <v>2-PASV</v>
      </c>
      <c r="T154" s="1" t="str">
        <f t="shared" si="55"/>
        <v>3-0000</v>
      </c>
      <c r="U154" s="1" t="str">
        <f t="shared" si="56"/>
        <v>3-2000</v>
      </c>
      <c r="V154" s="1" t="str">
        <f t="shared" si="57"/>
        <v>2-8100</v>
      </c>
      <c r="W154" s="1" t="str">
        <f t="shared" si="58"/>
        <v>2-5120</v>
      </c>
      <c r="X154" s="1" t="str">
        <f t="shared" si="59"/>
        <v/>
      </c>
      <c r="Y154" s="1" t="str">
        <f t="shared" si="60"/>
        <v/>
      </c>
      <c r="Z154" s="1" t="str">
        <f t="shared" si="61"/>
        <v/>
      </c>
      <c r="AA154" s="1" t="str">
        <f t="shared" si="62"/>
        <v/>
      </c>
      <c r="AB154" s="1" t="str">
        <f t="shared" si="63"/>
        <v/>
      </c>
      <c r="AD154" s="1" t="str">
        <f t="shared" si="44"/>
        <v/>
      </c>
      <c r="AE154" s="1" t="str">
        <f t="shared" si="45"/>
        <v xml:space="preserve">PERFORM * FROM "SchData-OLTP-Accounting"."Func_TblChartOfAccount_SET"(varSystemLoginSession, null, null, null, varInstitutionBranchID, null, '3-2000', 'R/E Profits/Losses Prev Year', 62000000000001::bigint, '2016-01-01 00:00:00'::timestamp, null::timestamp); </v>
      </c>
      <c r="AF154" s="1" t="str">
        <f t="shared" si="46"/>
        <v/>
      </c>
      <c r="AG154" s="1" t="str">
        <f t="shared" si="47"/>
        <v/>
      </c>
      <c r="AH154" s="1" t="str">
        <f t="shared" si="48"/>
        <v/>
      </c>
      <c r="AI154" s="1" t="str">
        <f t="shared" si="49"/>
        <v/>
      </c>
      <c r="AJ154" s="1" t="str">
        <f t="shared" si="50"/>
        <v/>
      </c>
      <c r="AK154" s="1" t="str">
        <f t="shared" si="51"/>
        <v/>
      </c>
      <c r="AL154" s="1" t="str">
        <f t="shared" si="52"/>
        <v/>
      </c>
      <c r="AM154" s="1" t="str">
        <f t="shared" si="53"/>
        <v/>
      </c>
      <c r="AO154" s="8" t="str">
        <f t="shared" si="65"/>
        <v xml:space="preserve">PERFORM * FROM "SchData-OLTP-Accounting"."Func_TblChartOfAccount_SET"(varSystemLoginSession, null, null, null, varInstitutionBranchID, null, '3-2000', 'R/E Profits/Losses Prev Year', 62000000000001::bigint, '2016-01-01 00:00:00'::timestamp, null::timestamp); </v>
      </c>
    </row>
    <row r="155" spans="2:41" x14ac:dyDescent="0.25">
      <c r="B155" s="1">
        <v>2</v>
      </c>
      <c r="C155" s="2" t="s">
        <v>316</v>
      </c>
      <c r="D155" s="1" t="s">
        <v>317</v>
      </c>
      <c r="H155" s="2" t="s">
        <v>316</v>
      </c>
      <c r="Q155" s="1" t="str">
        <f t="shared" si="64"/>
        <v>Current Year Earnings</v>
      </c>
      <c r="S155" s="1" t="str">
        <f t="shared" si="54"/>
        <v>2-PASV</v>
      </c>
      <c r="T155" s="1" t="str">
        <f t="shared" si="55"/>
        <v>3-0000</v>
      </c>
      <c r="U155" s="1" t="str">
        <f t="shared" si="56"/>
        <v>3-3000</v>
      </c>
      <c r="V155" s="1" t="str">
        <f t="shared" si="57"/>
        <v>2-8100</v>
      </c>
      <c r="W155" s="1" t="str">
        <f t="shared" si="58"/>
        <v>2-5120</v>
      </c>
      <c r="X155" s="1" t="str">
        <f t="shared" si="59"/>
        <v/>
      </c>
      <c r="Y155" s="1" t="str">
        <f t="shared" si="60"/>
        <v/>
      </c>
      <c r="Z155" s="1" t="str">
        <f t="shared" si="61"/>
        <v/>
      </c>
      <c r="AA155" s="1" t="str">
        <f t="shared" si="62"/>
        <v/>
      </c>
      <c r="AB155" s="1" t="str">
        <f t="shared" si="63"/>
        <v/>
      </c>
      <c r="AD155" s="1" t="str">
        <f t="shared" si="44"/>
        <v/>
      </c>
      <c r="AE155" s="1" t="str">
        <f t="shared" si="45"/>
        <v xml:space="preserve">PERFORM * FROM "SchData-OLTP-Accounting"."Func_TblChartOfAccount_SET"(varSystemLoginSession, null, null, null, varInstitutionBranchID, null, '3-3000', 'Current Year Earnings', 62000000000001::bigint, '2016-01-01 00:00:00'::timestamp, null::timestamp); </v>
      </c>
      <c r="AF155" s="1" t="str">
        <f t="shared" si="46"/>
        <v/>
      </c>
      <c r="AG155" s="1" t="str">
        <f t="shared" si="47"/>
        <v/>
      </c>
      <c r="AH155" s="1" t="str">
        <f t="shared" si="48"/>
        <v/>
      </c>
      <c r="AI155" s="1" t="str">
        <f t="shared" si="49"/>
        <v/>
      </c>
      <c r="AJ155" s="1" t="str">
        <f t="shared" si="50"/>
        <v/>
      </c>
      <c r="AK155" s="1" t="str">
        <f t="shared" si="51"/>
        <v/>
      </c>
      <c r="AL155" s="1" t="str">
        <f t="shared" si="52"/>
        <v/>
      </c>
      <c r="AM155" s="1" t="str">
        <f t="shared" si="53"/>
        <v/>
      </c>
      <c r="AO155" s="8" t="str">
        <f t="shared" si="65"/>
        <v xml:space="preserve">PERFORM * FROM "SchData-OLTP-Accounting"."Func_TblChartOfAccount_SET"(varSystemLoginSession, null, null, null, varInstitutionBranchID, null, '3-3000', 'Current Year Earnings', 62000000000001::bigint, '2016-01-01 00:00:00'::timestamp, null::timestamp); </v>
      </c>
    </row>
    <row r="156" spans="2:41" x14ac:dyDescent="0.25">
      <c r="H156" s="2"/>
      <c r="I156" s="1" t="s">
        <v>318</v>
      </c>
      <c r="Q156" s="1" t="s">
        <v>319</v>
      </c>
      <c r="S156" s="1" t="str">
        <f t="shared" si="54"/>
        <v>2-PASV</v>
      </c>
      <c r="T156" s="1" t="str">
        <f t="shared" si="55"/>
        <v>3-0000</v>
      </c>
      <c r="U156" s="1" t="str">
        <f t="shared" si="56"/>
        <v>3-3000</v>
      </c>
      <c r="V156" s="1" t="str">
        <f t="shared" si="57"/>
        <v>4-1EAT</v>
      </c>
      <c r="W156" s="1" t="str">
        <f t="shared" si="58"/>
        <v>2-5120</v>
      </c>
      <c r="X156" s="1" t="str">
        <f t="shared" si="59"/>
        <v/>
      </c>
      <c r="Y156" s="1" t="str">
        <f t="shared" si="60"/>
        <v/>
      </c>
      <c r="Z156" s="1" t="str">
        <f t="shared" si="61"/>
        <v/>
      </c>
      <c r="AA156" s="1" t="str">
        <f t="shared" si="62"/>
        <v/>
      </c>
      <c r="AB156" s="1" t="str">
        <f t="shared" si="63"/>
        <v/>
      </c>
      <c r="AD156" s="1" t="str">
        <f t="shared" si="44"/>
        <v/>
      </c>
      <c r="AE156" s="1" t="str">
        <f t="shared" si="45"/>
        <v/>
      </c>
      <c r="AF156" s="1" t="str">
        <f t="shared" si="46"/>
        <v xml:space="preserve">PERFORM * FROM "SchData-OLTP-Accounting"."Func_TblChartOfAccount_SET"(varSystemLoginSession, null, null, null, varInstitutionBranchID, null, '4-1EAT', 'Earnings After Tax (EAT)', 62000000000001::bigint, '2016-01-01 00:00:00'::timestamp, null::timestamp); </v>
      </c>
      <c r="AG156" s="1" t="str">
        <f t="shared" si="47"/>
        <v/>
      </c>
      <c r="AH156" s="1" t="str">
        <f t="shared" si="48"/>
        <v/>
      </c>
      <c r="AI156" s="1" t="str">
        <f t="shared" si="49"/>
        <v/>
      </c>
      <c r="AJ156" s="1" t="str">
        <f t="shared" si="50"/>
        <v/>
      </c>
      <c r="AK156" s="1" t="str">
        <f t="shared" si="51"/>
        <v/>
      </c>
      <c r="AL156" s="1" t="str">
        <f t="shared" si="52"/>
        <v/>
      </c>
      <c r="AM156" s="1" t="str">
        <f t="shared" si="53"/>
        <v/>
      </c>
      <c r="AO156" s="8" t="str">
        <f t="shared" si="65"/>
        <v xml:space="preserve">PERFORM * FROM "SchData-OLTP-Accounting"."Func_TblChartOfAccount_SET"(varSystemLoginSession, null, null, null, varInstitutionBranchID, null, '4-1EAT', 'Earnings After Tax (EAT)', 62000000000001::bigint, '2016-01-01 00:00:00'::timestamp, null::timestamp); </v>
      </c>
    </row>
    <row r="157" spans="2:41" x14ac:dyDescent="0.25">
      <c r="H157" s="2"/>
      <c r="J157" s="1" t="s">
        <v>320</v>
      </c>
      <c r="Q157" s="1" t="s">
        <v>321</v>
      </c>
      <c r="S157" s="1" t="str">
        <f t="shared" si="54"/>
        <v>2-PASV</v>
      </c>
      <c r="T157" s="1" t="str">
        <f t="shared" si="55"/>
        <v>3-0000</v>
      </c>
      <c r="U157" s="1" t="str">
        <f t="shared" si="56"/>
        <v>3-3000</v>
      </c>
      <c r="V157" s="1" t="str">
        <f t="shared" si="57"/>
        <v>4-1EAT</v>
      </c>
      <c r="W157" s="1" t="str">
        <f t="shared" si="58"/>
        <v>4-2EBT</v>
      </c>
      <c r="X157" s="1" t="str">
        <f t="shared" si="59"/>
        <v/>
      </c>
      <c r="Y157" s="1" t="str">
        <f t="shared" si="60"/>
        <v/>
      </c>
      <c r="Z157" s="1" t="str">
        <f t="shared" si="61"/>
        <v/>
      </c>
      <c r="AA157" s="1" t="str">
        <f t="shared" si="62"/>
        <v/>
      </c>
      <c r="AB157" s="1" t="str">
        <f t="shared" si="63"/>
        <v/>
      </c>
      <c r="AD157" s="1" t="str">
        <f t="shared" si="44"/>
        <v/>
      </c>
      <c r="AE157" s="1" t="str">
        <f t="shared" si="45"/>
        <v/>
      </c>
      <c r="AF157" s="1" t="str">
        <f t="shared" si="46"/>
        <v/>
      </c>
      <c r="AG157" s="1" t="str">
        <f t="shared" si="47"/>
        <v xml:space="preserve">PERFORM * FROM "SchData-OLTP-Accounting"."Func_TblChartOfAccount_SET"(varSystemLoginSession, null, null, null, varInstitutionBranchID, null, '4-2EBT', 'Earnings Before Tax (EBT)', 62000000000001::bigint, '2016-01-01 00:00:00'::timestamp, null::timestamp); </v>
      </c>
      <c r="AH157" s="1" t="str">
        <f t="shared" si="48"/>
        <v/>
      </c>
      <c r="AI157" s="1" t="str">
        <f t="shared" si="49"/>
        <v/>
      </c>
      <c r="AJ157" s="1" t="str">
        <f t="shared" si="50"/>
        <v/>
      </c>
      <c r="AK157" s="1" t="str">
        <f t="shared" si="51"/>
        <v/>
      </c>
      <c r="AL157" s="1" t="str">
        <f t="shared" si="52"/>
        <v/>
      </c>
      <c r="AM157" s="1" t="str">
        <f t="shared" si="53"/>
        <v/>
      </c>
      <c r="AO157" s="8" t="str">
        <f t="shared" si="65"/>
        <v xml:space="preserve">PERFORM * FROM "SchData-OLTP-Accounting"."Func_TblChartOfAccount_SET"(varSystemLoginSession, null, null, null, varInstitutionBranchID, null, '4-2EBT', 'Earnings Before Tax (EBT)', 62000000000001::bigint, '2016-01-01 00:00:00'::timestamp, null::timestamp); </v>
      </c>
    </row>
    <row r="158" spans="2:41" x14ac:dyDescent="0.25">
      <c r="H158" s="2"/>
      <c r="K158" s="1" t="s">
        <v>322</v>
      </c>
      <c r="Q158" s="1" t="s">
        <v>323</v>
      </c>
      <c r="S158" s="1" t="str">
        <f t="shared" si="54"/>
        <v>2-PASV</v>
      </c>
      <c r="T158" s="1" t="str">
        <f t="shared" si="55"/>
        <v>3-0000</v>
      </c>
      <c r="U158" s="1" t="str">
        <f t="shared" si="56"/>
        <v>3-3000</v>
      </c>
      <c r="V158" s="1" t="str">
        <f t="shared" si="57"/>
        <v>4-1EAT</v>
      </c>
      <c r="W158" s="1" t="str">
        <f t="shared" si="58"/>
        <v>4-2EBT</v>
      </c>
      <c r="X158" s="1" t="str">
        <f t="shared" si="59"/>
        <v>4-3OPF</v>
      </c>
      <c r="Y158" s="1" t="str">
        <f t="shared" si="60"/>
        <v/>
      </c>
      <c r="Z158" s="1" t="str">
        <f t="shared" si="61"/>
        <v/>
      </c>
      <c r="AA158" s="1" t="str">
        <f t="shared" si="62"/>
        <v/>
      </c>
      <c r="AB158" s="1" t="str">
        <f t="shared" si="63"/>
        <v/>
      </c>
      <c r="AD158" s="1" t="str">
        <f t="shared" si="44"/>
        <v/>
      </c>
      <c r="AE158" s="1" t="str">
        <f t="shared" si="45"/>
        <v/>
      </c>
      <c r="AF158" s="1" t="str">
        <f t="shared" si="46"/>
        <v/>
      </c>
      <c r="AG158" s="1" t="str">
        <f t="shared" si="47"/>
        <v/>
      </c>
      <c r="AH158" s="1" t="str">
        <f t="shared" si="48"/>
        <v xml:space="preserve">PERFORM * FROM "SchData-OLTP-Accounting"."Func_TblChartOfAccount_SET"(varSystemLoginSession, null, null, null, varInstitutionBranchID, null, '4-3OPF', 'Operating Profit', 62000000000001::bigint, '2016-01-01 00:00:00'::timestamp, null::timestamp); </v>
      </c>
      <c r="AI158" s="1" t="str">
        <f t="shared" si="49"/>
        <v/>
      </c>
      <c r="AJ158" s="1" t="str">
        <f t="shared" si="50"/>
        <v/>
      </c>
      <c r="AK158" s="1" t="str">
        <f t="shared" si="51"/>
        <v/>
      </c>
      <c r="AL158" s="1" t="str">
        <f t="shared" si="52"/>
        <v/>
      </c>
      <c r="AM158" s="1" t="str">
        <f t="shared" si="53"/>
        <v/>
      </c>
      <c r="AO158" s="8" t="str">
        <f t="shared" si="65"/>
        <v xml:space="preserve">PERFORM * FROM "SchData-OLTP-Accounting"."Func_TblChartOfAccount_SET"(varSystemLoginSession, null, null, null, varInstitutionBranchID, null, '4-3OPF', 'Operating Profit', 62000000000001::bigint, '2016-01-01 00:00:00'::timestamp, null::timestamp); </v>
      </c>
    </row>
    <row r="159" spans="2:41" x14ac:dyDescent="0.25">
      <c r="H159" s="2"/>
      <c r="L159" s="1" t="s">
        <v>324</v>
      </c>
      <c r="Q159" s="1" t="s">
        <v>325</v>
      </c>
      <c r="S159" s="1" t="str">
        <f t="shared" si="54"/>
        <v>2-PASV</v>
      </c>
      <c r="T159" s="1" t="str">
        <f t="shared" si="55"/>
        <v>3-0000</v>
      </c>
      <c r="U159" s="1" t="str">
        <f t="shared" si="56"/>
        <v>3-3000</v>
      </c>
      <c r="V159" s="1" t="str">
        <f t="shared" si="57"/>
        <v>4-1EAT</v>
      </c>
      <c r="W159" s="1" t="str">
        <f t="shared" si="58"/>
        <v>4-2EBT</v>
      </c>
      <c r="X159" s="1" t="str">
        <f t="shared" si="59"/>
        <v>4-3OPF</v>
      </c>
      <c r="Y159" s="1" t="str">
        <f t="shared" si="60"/>
        <v>4-4GPF</v>
      </c>
      <c r="Z159" s="1" t="str">
        <f t="shared" si="61"/>
        <v/>
      </c>
      <c r="AA159" s="1" t="str">
        <f t="shared" si="62"/>
        <v/>
      </c>
      <c r="AB159" s="1" t="str">
        <f t="shared" si="63"/>
        <v/>
      </c>
      <c r="AD159" s="1" t="str">
        <f t="shared" si="44"/>
        <v/>
      </c>
      <c r="AE159" s="1" t="str">
        <f t="shared" si="45"/>
        <v/>
      </c>
      <c r="AF159" s="1" t="str">
        <f t="shared" si="46"/>
        <v/>
      </c>
      <c r="AG159" s="1" t="str">
        <f t="shared" si="47"/>
        <v/>
      </c>
      <c r="AH159" s="1" t="str">
        <f t="shared" si="48"/>
        <v/>
      </c>
      <c r="AI159" s="1" t="str">
        <f t="shared" si="49"/>
        <v xml:space="preserve">PERFORM * FROM "SchData-OLTP-Accounting"."Func_TblChartOfAccount_SET"(varSystemLoginSession, null, null, null, varInstitutionBranchID, null, '4-4GPF', 'Gross Profit', 62000000000001::bigint, '2016-01-01 00:00:00'::timestamp, null::timestamp); </v>
      </c>
      <c r="AJ159" s="1" t="str">
        <f t="shared" si="50"/>
        <v/>
      </c>
      <c r="AK159" s="1" t="str">
        <f t="shared" si="51"/>
        <v/>
      </c>
      <c r="AL159" s="1" t="str">
        <f t="shared" si="52"/>
        <v/>
      </c>
      <c r="AM159" s="1" t="str">
        <f t="shared" si="53"/>
        <v/>
      </c>
      <c r="AO159" s="8" t="str">
        <f t="shared" si="65"/>
        <v xml:space="preserve">PERFORM * FROM "SchData-OLTP-Accounting"."Func_TblChartOfAccount_SET"(varSystemLoginSession, null, null, null, varInstitutionBranchID, null, '4-4GPF', 'Gross Profit', 62000000000001::bigint, '2016-01-01 00:00:00'::timestamp, null::timestamp); </v>
      </c>
    </row>
    <row r="160" spans="2:41" x14ac:dyDescent="0.25">
      <c r="B160" s="1">
        <v>1</v>
      </c>
      <c r="C160" s="2" t="s">
        <v>326</v>
      </c>
      <c r="D160" s="1" t="s">
        <v>327</v>
      </c>
      <c r="M160" s="2" t="s">
        <v>326</v>
      </c>
      <c r="Q160" s="1" t="str">
        <f t="shared" si="64"/>
        <v>Revenue</v>
      </c>
      <c r="S160" s="1" t="str">
        <f t="shared" si="54"/>
        <v>2-PASV</v>
      </c>
      <c r="T160" s="1" t="str">
        <f t="shared" si="55"/>
        <v>3-0000</v>
      </c>
      <c r="U160" s="1" t="str">
        <f t="shared" si="56"/>
        <v>3-3000</v>
      </c>
      <c r="V160" s="1" t="str">
        <f t="shared" si="57"/>
        <v>4-1EAT</v>
      </c>
      <c r="W160" s="1" t="str">
        <f t="shared" si="58"/>
        <v>4-2EBT</v>
      </c>
      <c r="X160" s="1" t="str">
        <f t="shared" si="59"/>
        <v>4-3OPF</v>
      </c>
      <c r="Y160" s="1" t="str">
        <f t="shared" si="60"/>
        <v>4-4GPF</v>
      </c>
      <c r="Z160" s="1" t="str">
        <f t="shared" si="61"/>
        <v>4-0000</v>
      </c>
      <c r="AA160" s="1" t="str">
        <f t="shared" si="62"/>
        <v/>
      </c>
      <c r="AB160" s="1" t="str">
        <f t="shared" si="63"/>
        <v/>
      </c>
      <c r="AD160" s="1" t="str">
        <f t="shared" si="44"/>
        <v/>
      </c>
      <c r="AE160" s="1" t="str">
        <f t="shared" si="45"/>
        <v/>
      </c>
      <c r="AF160" s="1" t="str">
        <f t="shared" si="46"/>
        <v/>
      </c>
      <c r="AG160" s="1" t="str">
        <f t="shared" si="47"/>
        <v/>
      </c>
      <c r="AH160" s="1" t="str">
        <f t="shared" si="48"/>
        <v/>
      </c>
      <c r="AI160" s="1" t="str">
        <f t="shared" si="49"/>
        <v/>
      </c>
      <c r="AJ160" s="1" t="str">
        <f t="shared" si="50"/>
        <v xml:space="preserve">PERFORM * FROM "SchData-OLTP-Accounting"."Func_TblChartOfAccount_SET"(varSystemLoginSession, null, null, null, varInstitutionBranchID, null, '4-0000', 'Revenue', 62000000000001::bigint, '2016-01-01 00:00:00'::timestamp, null::timestamp); </v>
      </c>
      <c r="AK160" s="1" t="str">
        <f t="shared" si="51"/>
        <v/>
      </c>
      <c r="AL160" s="1" t="str">
        <f t="shared" si="52"/>
        <v/>
      </c>
      <c r="AM160" s="1" t="str">
        <f t="shared" si="53"/>
        <v/>
      </c>
      <c r="AO160" s="8" t="str">
        <f t="shared" si="65"/>
        <v xml:space="preserve">PERFORM * FROM "SchData-OLTP-Accounting"."Func_TblChartOfAccount_SET"(varSystemLoginSession, null, null, null, varInstitutionBranchID, null, '4-0000', 'Revenue', 62000000000001::bigint, '2016-01-01 00:00:00'::timestamp, null::timestamp); </v>
      </c>
    </row>
    <row r="161" spans="2:41" x14ac:dyDescent="0.25">
      <c r="B161" s="1">
        <v>2</v>
      </c>
      <c r="C161" s="2" t="s">
        <v>328</v>
      </c>
      <c r="D161" s="1" t="s">
        <v>329</v>
      </c>
      <c r="N161" s="2" t="s">
        <v>328</v>
      </c>
      <c r="Q161" s="1" t="str">
        <f t="shared" si="64"/>
        <v>Completed Project</v>
      </c>
      <c r="S161" s="1" t="str">
        <f t="shared" si="54"/>
        <v>2-PASV</v>
      </c>
      <c r="T161" s="1" t="str">
        <f t="shared" si="55"/>
        <v>3-0000</v>
      </c>
      <c r="U161" s="1" t="str">
        <f t="shared" si="56"/>
        <v>3-3000</v>
      </c>
      <c r="V161" s="1" t="str">
        <f t="shared" si="57"/>
        <v>4-1EAT</v>
      </c>
      <c r="W161" s="1" t="str">
        <f t="shared" si="58"/>
        <v>4-2EBT</v>
      </c>
      <c r="X161" s="1" t="str">
        <f t="shared" si="59"/>
        <v>4-3OPF</v>
      </c>
      <c r="Y161" s="1" t="str">
        <f t="shared" si="60"/>
        <v>4-4GPF</v>
      </c>
      <c r="Z161" s="1" t="str">
        <f t="shared" si="61"/>
        <v>4-0000</v>
      </c>
      <c r="AA161" s="1" t="str">
        <f t="shared" si="62"/>
        <v>4-1000</v>
      </c>
      <c r="AB161" s="1" t="str">
        <f t="shared" si="63"/>
        <v/>
      </c>
      <c r="AD161" s="1" t="str">
        <f t="shared" si="44"/>
        <v/>
      </c>
      <c r="AE161" s="1" t="str">
        <f t="shared" si="45"/>
        <v/>
      </c>
      <c r="AF161" s="1" t="str">
        <f t="shared" si="46"/>
        <v/>
      </c>
      <c r="AG161" s="1" t="str">
        <f t="shared" si="47"/>
        <v/>
      </c>
      <c r="AH161" s="1" t="str">
        <f t="shared" si="48"/>
        <v/>
      </c>
      <c r="AI161" s="1" t="str">
        <f t="shared" si="49"/>
        <v/>
      </c>
      <c r="AJ161" s="1" t="str">
        <f t="shared" si="50"/>
        <v/>
      </c>
      <c r="AK161" s="1" t="str">
        <f t="shared" si="51"/>
        <v xml:space="preserve">PERFORM * FROM "SchData-OLTP-Accounting"."Func_TblChartOfAccount_SET"(varSystemLoginSession, null, null, null, varInstitutionBranchID, null, '4-1000', 'Completed Project', 62000000000001::bigint, '2016-01-01 00:00:00'::timestamp, null::timestamp); </v>
      </c>
      <c r="AL161" s="1" t="str">
        <f t="shared" si="52"/>
        <v/>
      </c>
      <c r="AM161" s="1" t="str">
        <f t="shared" si="53"/>
        <v/>
      </c>
      <c r="AO161" s="8" t="str">
        <f t="shared" si="65"/>
        <v xml:space="preserve">PERFORM * FROM "SchData-OLTP-Accounting"."Func_TblChartOfAccount_SET"(varSystemLoginSession, null, null, null, varInstitutionBranchID, null, '4-1000', 'Completed Project', 62000000000001::bigint, '2016-01-01 00:00:00'::timestamp, null::timestamp); </v>
      </c>
    </row>
    <row r="162" spans="2:41" x14ac:dyDescent="0.25">
      <c r="B162" s="1">
        <v>2</v>
      </c>
      <c r="C162" s="2" t="s">
        <v>330</v>
      </c>
      <c r="D162" s="1" t="s">
        <v>331</v>
      </c>
      <c r="N162" s="2" t="s">
        <v>330</v>
      </c>
      <c r="Q162" s="1" t="str">
        <f t="shared" si="64"/>
        <v>Construction Project</v>
      </c>
      <c r="S162" s="1" t="str">
        <f t="shared" si="54"/>
        <v>2-PASV</v>
      </c>
      <c r="T162" s="1" t="str">
        <f t="shared" si="55"/>
        <v>3-0000</v>
      </c>
      <c r="U162" s="1" t="str">
        <f t="shared" si="56"/>
        <v>3-3000</v>
      </c>
      <c r="V162" s="1" t="str">
        <f t="shared" si="57"/>
        <v>4-1EAT</v>
      </c>
      <c r="W162" s="1" t="str">
        <f t="shared" si="58"/>
        <v>4-2EBT</v>
      </c>
      <c r="X162" s="1" t="str">
        <f t="shared" si="59"/>
        <v>4-3OPF</v>
      </c>
      <c r="Y162" s="1" t="str">
        <f t="shared" si="60"/>
        <v>4-4GPF</v>
      </c>
      <c r="Z162" s="1" t="str">
        <f t="shared" si="61"/>
        <v>4-0000</v>
      </c>
      <c r="AA162" s="1" t="str">
        <f t="shared" si="62"/>
        <v>4-2000</v>
      </c>
      <c r="AB162" s="1" t="str">
        <f t="shared" si="63"/>
        <v/>
      </c>
      <c r="AD162" s="1" t="str">
        <f t="shared" si="44"/>
        <v/>
      </c>
      <c r="AE162" s="1" t="str">
        <f t="shared" si="45"/>
        <v/>
      </c>
      <c r="AF162" s="1" t="str">
        <f t="shared" si="46"/>
        <v/>
      </c>
      <c r="AG162" s="1" t="str">
        <f t="shared" si="47"/>
        <v/>
      </c>
      <c r="AH162" s="1" t="str">
        <f t="shared" si="48"/>
        <v/>
      </c>
      <c r="AI162" s="1" t="str">
        <f t="shared" si="49"/>
        <v/>
      </c>
      <c r="AJ162" s="1" t="str">
        <f t="shared" si="50"/>
        <v/>
      </c>
      <c r="AK162" s="1" t="str">
        <f t="shared" si="51"/>
        <v xml:space="preserve">PERFORM * FROM "SchData-OLTP-Accounting"."Func_TblChartOfAccount_SET"(varSystemLoginSession, null, null, null, varInstitutionBranchID, null, '4-2000', 'Construction Project', 62000000000001::bigint, '2016-01-01 00:00:00'::timestamp, null::timestamp); </v>
      </c>
      <c r="AL162" s="1" t="str">
        <f t="shared" si="52"/>
        <v/>
      </c>
      <c r="AM162" s="1" t="str">
        <f t="shared" si="53"/>
        <v/>
      </c>
      <c r="AO162" s="8" t="str">
        <f t="shared" si="65"/>
        <v xml:space="preserve">PERFORM * FROM "SchData-OLTP-Accounting"."Func_TblChartOfAccount_SET"(varSystemLoginSession, null, null, null, varInstitutionBranchID, null, '4-2000', 'Construction Project', 62000000000001::bigint, '2016-01-01 00:00:00'::timestamp, null::timestamp); </v>
      </c>
    </row>
    <row r="163" spans="2:41" x14ac:dyDescent="0.25">
      <c r="B163" s="1">
        <v>2</v>
      </c>
      <c r="C163" s="2" t="s">
        <v>332</v>
      </c>
      <c r="D163" s="1" t="s">
        <v>333</v>
      </c>
      <c r="N163" s="2" t="s">
        <v>332</v>
      </c>
      <c r="Q163" s="1" t="str">
        <f t="shared" si="64"/>
        <v>WIP Adjustment</v>
      </c>
      <c r="S163" s="1" t="str">
        <f t="shared" si="54"/>
        <v>2-PASV</v>
      </c>
      <c r="T163" s="1" t="str">
        <f t="shared" si="55"/>
        <v>3-0000</v>
      </c>
      <c r="U163" s="1" t="str">
        <f t="shared" si="56"/>
        <v>3-3000</v>
      </c>
      <c r="V163" s="1" t="str">
        <f t="shared" si="57"/>
        <v>4-1EAT</v>
      </c>
      <c r="W163" s="1" t="str">
        <f t="shared" si="58"/>
        <v>4-2EBT</v>
      </c>
      <c r="X163" s="1" t="str">
        <f t="shared" si="59"/>
        <v>4-3OPF</v>
      </c>
      <c r="Y163" s="1" t="str">
        <f t="shared" si="60"/>
        <v>4-4GPF</v>
      </c>
      <c r="Z163" s="1" t="str">
        <f t="shared" si="61"/>
        <v>4-0000</v>
      </c>
      <c r="AA163" s="1" t="str">
        <f t="shared" si="62"/>
        <v>4-3000</v>
      </c>
      <c r="AB163" s="1" t="str">
        <f t="shared" si="63"/>
        <v/>
      </c>
      <c r="AD163" s="1" t="str">
        <f t="shared" si="44"/>
        <v/>
      </c>
      <c r="AE163" s="1" t="str">
        <f t="shared" si="45"/>
        <v/>
      </c>
      <c r="AF163" s="1" t="str">
        <f t="shared" si="46"/>
        <v/>
      </c>
      <c r="AG163" s="1" t="str">
        <f t="shared" si="47"/>
        <v/>
      </c>
      <c r="AH163" s="1" t="str">
        <f t="shared" si="48"/>
        <v/>
      </c>
      <c r="AI163" s="1" t="str">
        <f t="shared" si="49"/>
        <v/>
      </c>
      <c r="AJ163" s="1" t="str">
        <f t="shared" si="50"/>
        <v/>
      </c>
      <c r="AK163" s="1" t="str">
        <f t="shared" si="51"/>
        <v xml:space="preserve">PERFORM * FROM "SchData-OLTP-Accounting"."Func_TblChartOfAccount_SET"(varSystemLoginSession, null, null, null, varInstitutionBranchID, null, '4-3000', 'WIP Adjustment', 62000000000001::bigint, '2016-01-01 00:00:00'::timestamp, null::timestamp); </v>
      </c>
      <c r="AL163" s="1" t="str">
        <f t="shared" si="52"/>
        <v/>
      </c>
      <c r="AM163" s="1" t="str">
        <f t="shared" si="53"/>
        <v/>
      </c>
      <c r="AO163" s="8" t="str">
        <f t="shared" si="65"/>
        <v xml:space="preserve">PERFORM * FROM "SchData-OLTP-Accounting"."Func_TblChartOfAccount_SET"(varSystemLoginSession, null, null, null, varInstitutionBranchID, null, '4-3000', 'WIP Adjustment', 62000000000001::bigint, '2016-01-01 00:00:00'::timestamp, null::timestamp); </v>
      </c>
    </row>
    <row r="164" spans="2:41" x14ac:dyDescent="0.25">
      <c r="B164" s="1">
        <v>2</v>
      </c>
      <c r="C164" s="2" t="s">
        <v>334</v>
      </c>
      <c r="D164" s="1" t="s">
        <v>335</v>
      </c>
      <c r="N164" s="2" t="s">
        <v>334</v>
      </c>
      <c r="Q164" s="1" t="str">
        <f t="shared" si="64"/>
        <v>Under/Overclaim Adjustment</v>
      </c>
      <c r="S164" s="1" t="str">
        <f t="shared" si="54"/>
        <v>2-PASV</v>
      </c>
      <c r="T164" s="1" t="str">
        <f t="shared" si="55"/>
        <v>3-0000</v>
      </c>
      <c r="U164" s="1" t="str">
        <f t="shared" si="56"/>
        <v>3-3000</v>
      </c>
      <c r="V164" s="1" t="str">
        <f t="shared" si="57"/>
        <v>4-1EAT</v>
      </c>
      <c r="W164" s="1" t="str">
        <f t="shared" si="58"/>
        <v>4-2EBT</v>
      </c>
      <c r="X164" s="1" t="str">
        <f t="shared" si="59"/>
        <v>4-3OPF</v>
      </c>
      <c r="Y164" s="1" t="str">
        <f t="shared" si="60"/>
        <v>4-4GPF</v>
      </c>
      <c r="Z164" s="1" t="str">
        <f t="shared" si="61"/>
        <v>4-0000</v>
      </c>
      <c r="AA164" s="1" t="str">
        <f t="shared" si="62"/>
        <v>4-3005</v>
      </c>
      <c r="AB164" s="1" t="str">
        <f t="shared" si="63"/>
        <v/>
      </c>
      <c r="AD164" s="1" t="str">
        <f t="shared" si="44"/>
        <v/>
      </c>
      <c r="AE164" s="1" t="str">
        <f t="shared" si="45"/>
        <v/>
      </c>
      <c r="AF164" s="1" t="str">
        <f t="shared" si="46"/>
        <v/>
      </c>
      <c r="AG164" s="1" t="str">
        <f t="shared" si="47"/>
        <v/>
      </c>
      <c r="AH164" s="1" t="str">
        <f t="shared" si="48"/>
        <v/>
      </c>
      <c r="AI164" s="1" t="str">
        <f t="shared" si="49"/>
        <v/>
      </c>
      <c r="AJ164" s="1" t="str">
        <f t="shared" si="50"/>
        <v/>
      </c>
      <c r="AK164" s="1" t="str">
        <f t="shared" si="51"/>
        <v xml:space="preserve">PERFORM * FROM "SchData-OLTP-Accounting"."Func_TblChartOfAccount_SET"(varSystemLoginSession, null, null, null, varInstitutionBranchID, null, '4-3005', 'Under/Overclaim Adjustment', 62000000000001::bigint, '2016-01-01 00:00:00'::timestamp, null::timestamp); </v>
      </c>
      <c r="AL164" s="1" t="str">
        <f t="shared" si="52"/>
        <v/>
      </c>
      <c r="AM164" s="1" t="str">
        <f t="shared" si="53"/>
        <v/>
      </c>
      <c r="AO164" s="8" t="str">
        <f t="shared" si="65"/>
        <v xml:space="preserve">PERFORM * FROM "SchData-OLTP-Accounting"."Func_TblChartOfAccount_SET"(varSystemLoginSession, null, null, null, varInstitutionBranchID, null, '4-3005', 'Under/Overclaim Adjustment', 62000000000001::bigint, '2016-01-01 00:00:00'::timestamp, null::timestamp); </v>
      </c>
    </row>
    <row r="165" spans="2:41" x14ac:dyDescent="0.25">
      <c r="B165" s="1">
        <v>2</v>
      </c>
      <c r="C165" s="2" t="s">
        <v>336</v>
      </c>
      <c r="D165" s="1" t="s">
        <v>337</v>
      </c>
      <c r="N165" s="2" t="s">
        <v>336</v>
      </c>
      <c r="Q165" s="1" t="str">
        <f t="shared" si="64"/>
        <v>Discount</v>
      </c>
      <c r="S165" s="1" t="str">
        <f t="shared" si="54"/>
        <v>2-PASV</v>
      </c>
      <c r="T165" s="1" t="str">
        <f t="shared" si="55"/>
        <v>3-0000</v>
      </c>
      <c r="U165" s="1" t="str">
        <f t="shared" si="56"/>
        <v>3-3000</v>
      </c>
      <c r="V165" s="1" t="str">
        <f t="shared" si="57"/>
        <v>4-1EAT</v>
      </c>
      <c r="W165" s="1" t="str">
        <f t="shared" si="58"/>
        <v>4-2EBT</v>
      </c>
      <c r="X165" s="1" t="str">
        <f t="shared" si="59"/>
        <v>4-3OPF</v>
      </c>
      <c r="Y165" s="1" t="str">
        <f t="shared" si="60"/>
        <v>4-4GPF</v>
      </c>
      <c r="Z165" s="1" t="str">
        <f t="shared" si="61"/>
        <v>4-0000</v>
      </c>
      <c r="AA165" s="1" t="str">
        <f t="shared" si="62"/>
        <v>4-7000</v>
      </c>
      <c r="AB165" s="1" t="str">
        <f t="shared" si="63"/>
        <v/>
      </c>
      <c r="AD165" s="1" t="str">
        <f t="shared" si="44"/>
        <v/>
      </c>
      <c r="AE165" s="1" t="str">
        <f t="shared" si="45"/>
        <v/>
      </c>
      <c r="AF165" s="1" t="str">
        <f t="shared" si="46"/>
        <v/>
      </c>
      <c r="AG165" s="1" t="str">
        <f t="shared" si="47"/>
        <v/>
      </c>
      <c r="AH165" s="1" t="str">
        <f t="shared" si="48"/>
        <v/>
      </c>
      <c r="AI165" s="1" t="str">
        <f t="shared" si="49"/>
        <v/>
      </c>
      <c r="AJ165" s="1" t="str">
        <f t="shared" si="50"/>
        <v/>
      </c>
      <c r="AK165" s="1" t="str">
        <f t="shared" si="51"/>
        <v xml:space="preserve">PERFORM * FROM "SchData-OLTP-Accounting"."Func_TblChartOfAccount_SET"(varSystemLoginSession, null, null, null, varInstitutionBranchID, null, '4-7000', 'Discount', 62000000000001::bigint, '2016-01-01 00:00:00'::timestamp, null::timestamp); </v>
      </c>
      <c r="AL165" s="1" t="str">
        <f t="shared" si="52"/>
        <v/>
      </c>
      <c r="AM165" s="1" t="str">
        <f t="shared" si="53"/>
        <v/>
      </c>
      <c r="AO165" s="8" t="str">
        <f t="shared" si="65"/>
        <v xml:space="preserve">PERFORM * FROM "SchData-OLTP-Accounting"."Func_TblChartOfAccount_SET"(varSystemLoginSession, null, null, null, varInstitutionBranchID, null, '4-7000', 'Discount', 62000000000001::bigint, '2016-01-01 00:00:00'::timestamp, null::timestamp); </v>
      </c>
    </row>
    <row r="166" spans="2:41" x14ac:dyDescent="0.25">
      <c r="B166" s="1">
        <v>2</v>
      </c>
      <c r="C166" s="2" t="s">
        <v>338</v>
      </c>
      <c r="D166" s="1" t="s">
        <v>339</v>
      </c>
      <c r="N166" s="2" t="s">
        <v>338</v>
      </c>
      <c r="Q166" s="1" t="str">
        <f t="shared" si="64"/>
        <v>Commision</v>
      </c>
      <c r="S166" s="1" t="str">
        <f t="shared" si="54"/>
        <v>2-PASV</v>
      </c>
      <c r="T166" s="1" t="str">
        <f t="shared" si="55"/>
        <v>3-0000</v>
      </c>
      <c r="U166" s="1" t="str">
        <f t="shared" si="56"/>
        <v>3-3000</v>
      </c>
      <c r="V166" s="1" t="str">
        <f t="shared" si="57"/>
        <v>4-1EAT</v>
      </c>
      <c r="W166" s="1" t="str">
        <f t="shared" si="58"/>
        <v>4-2EBT</v>
      </c>
      <c r="X166" s="1" t="str">
        <f t="shared" si="59"/>
        <v>4-3OPF</v>
      </c>
      <c r="Y166" s="1" t="str">
        <f t="shared" si="60"/>
        <v>4-4GPF</v>
      </c>
      <c r="Z166" s="1" t="str">
        <f t="shared" si="61"/>
        <v>4-0000</v>
      </c>
      <c r="AA166" s="1" t="str">
        <f t="shared" si="62"/>
        <v>4-8000</v>
      </c>
      <c r="AB166" s="1" t="str">
        <f t="shared" si="63"/>
        <v/>
      </c>
      <c r="AD166" s="1" t="str">
        <f t="shared" si="44"/>
        <v/>
      </c>
      <c r="AE166" s="1" t="str">
        <f t="shared" si="45"/>
        <v/>
      </c>
      <c r="AF166" s="1" t="str">
        <f t="shared" si="46"/>
        <v/>
      </c>
      <c r="AG166" s="1" t="str">
        <f t="shared" si="47"/>
        <v/>
      </c>
      <c r="AH166" s="1" t="str">
        <f t="shared" si="48"/>
        <v/>
      </c>
      <c r="AI166" s="1" t="str">
        <f t="shared" si="49"/>
        <v/>
      </c>
      <c r="AJ166" s="1" t="str">
        <f t="shared" si="50"/>
        <v/>
      </c>
      <c r="AK166" s="1" t="str">
        <f t="shared" si="51"/>
        <v xml:space="preserve">PERFORM * FROM "SchData-OLTP-Accounting"."Func_TblChartOfAccount_SET"(varSystemLoginSession, null, null, null, varInstitutionBranchID, null, '4-8000', 'Commision', 62000000000001::bigint, '2016-01-01 00:00:00'::timestamp, null::timestamp); </v>
      </c>
      <c r="AL166" s="1" t="str">
        <f t="shared" si="52"/>
        <v/>
      </c>
      <c r="AM166" s="1" t="str">
        <f t="shared" si="53"/>
        <v/>
      </c>
      <c r="AO166" s="8" t="str">
        <f t="shared" si="65"/>
        <v xml:space="preserve">PERFORM * FROM "SchData-OLTP-Accounting"."Func_TblChartOfAccount_SET"(varSystemLoginSession, null, null, null, varInstitutionBranchID, null, '4-8000', 'Commision', 62000000000001::bigint, '2016-01-01 00:00:00'::timestamp, null::timestamp); </v>
      </c>
    </row>
    <row r="167" spans="2:41" x14ac:dyDescent="0.25">
      <c r="B167" s="1">
        <v>1</v>
      </c>
      <c r="C167" s="2" t="s">
        <v>340</v>
      </c>
      <c r="D167" s="1" t="s">
        <v>341</v>
      </c>
      <c r="M167" s="2" t="s">
        <v>340</v>
      </c>
      <c r="Q167" s="1" t="str">
        <f t="shared" si="64"/>
        <v>Cost of Sales</v>
      </c>
      <c r="S167" s="1" t="str">
        <f t="shared" si="54"/>
        <v>2-PASV</v>
      </c>
      <c r="T167" s="1" t="str">
        <f t="shared" si="55"/>
        <v>3-0000</v>
      </c>
      <c r="U167" s="1" t="str">
        <f t="shared" si="56"/>
        <v>3-3000</v>
      </c>
      <c r="V167" s="1" t="str">
        <f t="shared" si="57"/>
        <v>4-1EAT</v>
      </c>
      <c r="W167" s="1" t="str">
        <f t="shared" si="58"/>
        <v>4-2EBT</v>
      </c>
      <c r="X167" s="1" t="str">
        <f t="shared" si="59"/>
        <v>4-3OPF</v>
      </c>
      <c r="Y167" s="1" t="str">
        <f t="shared" si="60"/>
        <v>4-4GPF</v>
      </c>
      <c r="Z167" s="1" t="str">
        <f t="shared" si="61"/>
        <v>5-0000</v>
      </c>
      <c r="AA167" s="1" t="str">
        <f t="shared" si="62"/>
        <v>4-8000</v>
      </c>
      <c r="AB167" s="1" t="str">
        <f t="shared" si="63"/>
        <v/>
      </c>
      <c r="AD167" s="1" t="str">
        <f t="shared" si="44"/>
        <v/>
      </c>
      <c r="AE167" s="1" t="str">
        <f t="shared" si="45"/>
        <v/>
      </c>
      <c r="AF167" s="1" t="str">
        <f t="shared" si="46"/>
        <v/>
      </c>
      <c r="AG167" s="1" t="str">
        <f t="shared" si="47"/>
        <v/>
      </c>
      <c r="AH167" s="1" t="str">
        <f t="shared" si="48"/>
        <v/>
      </c>
      <c r="AI167" s="1" t="str">
        <f t="shared" si="49"/>
        <v/>
      </c>
      <c r="AJ167" s="1" t="str">
        <f t="shared" si="50"/>
        <v xml:space="preserve">PERFORM * FROM "SchData-OLTP-Accounting"."Func_TblChartOfAccount_SET"(varSystemLoginSession, null, null, null, varInstitutionBranchID, null, '5-0000', 'Cost of Sales', 62000000000001::bigint, '2016-01-01 00:00:00'::timestamp, null::timestamp); </v>
      </c>
      <c r="AK167" s="1" t="str">
        <f t="shared" si="51"/>
        <v/>
      </c>
      <c r="AL167" s="1" t="str">
        <f t="shared" si="52"/>
        <v/>
      </c>
      <c r="AM167" s="1" t="str">
        <f t="shared" si="53"/>
        <v/>
      </c>
      <c r="AO167" s="8" t="str">
        <f t="shared" si="65"/>
        <v xml:space="preserve">PERFORM * FROM "SchData-OLTP-Accounting"."Func_TblChartOfAccount_SET"(varSystemLoginSession, null, null, null, varInstitutionBranchID, null, '5-0000', 'Cost of Sales', 62000000000001::bigint, '2016-01-01 00:00:00'::timestamp, null::timestamp); </v>
      </c>
    </row>
    <row r="168" spans="2:41" x14ac:dyDescent="0.25">
      <c r="B168" s="1">
        <v>2</v>
      </c>
      <c r="C168" s="2" t="s">
        <v>342</v>
      </c>
      <c r="D168" s="1" t="s">
        <v>343</v>
      </c>
      <c r="N168" s="2" t="s">
        <v>342</v>
      </c>
      <c r="Q168" s="1" t="str">
        <f t="shared" si="64"/>
        <v>Cost in Progress</v>
      </c>
      <c r="S168" s="1" t="str">
        <f t="shared" si="54"/>
        <v>2-PASV</v>
      </c>
      <c r="T168" s="1" t="str">
        <f t="shared" si="55"/>
        <v>3-0000</v>
      </c>
      <c r="U168" s="1" t="str">
        <f t="shared" si="56"/>
        <v>3-3000</v>
      </c>
      <c r="V168" s="1" t="str">
        <f t="shared" si="57"/>
        <v>4-1EAT</v>
      </c>
      <c r="W168" s="1" t="str">
        <f t="shared" si="58"/>
        <v>4-2EBT</v>
      </c>
      <c r="X168" s="1" t="str">
        <f t="shared" si="59"/>
        <v>4-3OPF</v>
      </c>
      <c r="Y168" s="1" t="str">
        <f t="shared" si="60"/>
        <v>4-4GPF</v>
      </c>
      <c r="Z168" s="1" t="str">
        <f t="shared" si="61"/>
        <v>5-0000</v>
      </c>
      <c r="AA168" s="1" t="str">
        <f t="shared" si="62"/>
        <v>5-0100</v>
      </c>
      <c r="AB168" s="1" t="str">
        <f t="shared" si="63"/>
        <v/>
      </c>
      <c r="AD168" s="1" t="str">
        <f t="shared" si="44"/>
        <v/>
      </c>
      <c r="AE168" s="1" t="str">
        <f t="shared" si="45"/>
        <v/>
      </c>
      <c r="AF168" s="1" t="str">
        <f t="shared" si="46"/>
        <v/>
      </c>
      <c r="AG168" s="1" t="str">
        <f t="shared" si="47"/>
        <v/>
      </c>
      <c r="AH168" s="1" t="str">
        <f t="shared" si="48"/>
        <v/>
      </c>
      <c r="AI168" s="1" t="str">
        <f t="shared" si="49"/>
        <v/>
      </c>
      <c r="AJ168" s="1" t="str">
        <f t="shared" si="50"/>
        <v/>
      </c>
      <c r="AK168" s="1" t="str">
        <f t="shared" si="51"/>
        <v xml:space="preserve">PERFORM * FROM "SchData-OLTP-Accounting"."Func_TblChartOfAccount_SET"(varSystemLoginSession, null, null, null, varInstitutionBranchID, null, '5-0100', 'Cost in Progress', 62000000000001::bigint, '2016-01-01 00:00:00'::timestamp, null::timestamp); </v>
      </c>
      <c r="AL168" s="1" t="str">
        <f t="shared" si="52"/>
        <v/>
      </c>
      <c r="AM168" s="1" t="str">
        <f t="shared" si="53"/>
        <v/>
      </c>
      <c r="AO168" s="8" t="str">
        <f t="shared" si="65"/>
        <v xml:space="preserve">PERFORM * FROM "SchData-OLTP-Accounting"."Func_TblChartOfAccount_SET"(varSystemLoginSession, null, null, null, varInstitutionBranchID, null, '5-0100', 'Cost in Progress', 62000000000001::bigint, '2016-01-01 00:00:00'::timestamp, null::timestamp); </v>
      </c>
    </row>
    <row r="169" spans="2:41" x14ac:dyDescent="0.25">
      <c r="B169" s="1">
        <v>2</v>
      </c>
      <c r="C169" s="2" t="s">
        <v>344</v>
      </c>
      <c r="D169" s="1" t="s">
        <v>345</v>
      </c>
      <c r="N169" s="2" t="s">
        <v>344</v>
      </c>
      <c r="Q169" s="1" t="str">
        <f t="shared" si="64"/>
        <v>Manual Accrual</v>
      </c>
      <c r="S169" s="1" t="str">
        <f t="shared" si="54"/>
        <v>2-PASV</v>
      </c>
      <c r="T169" s="1" t="str">
        <f t="shared" si="55"/>
        <v>3-0000</v>
      </c>
      <c r="U169" s="1" t="str">
        <f t="shared" si="56"/>
        <v>3-3000</v>
      </c>
      <c r="V169" s="1" t="str">
        <f t="shared" si="57"/>
        <v>4-1EAT</v>
      </c>
      <c r="W169" s="1" t="str">
        <f t="shared" si="58"/>
        <v>4-2EBT</v>
      </c>
      <c r="X169" s="1" t="str">
        <f t="shared" si="59"/>
        <v>4-3OPF</v>
      </c>
      <c r="Y169" s="1" t="str">
        <f t="shared" si="60"/>
        <v>4-4GPF</v>
      </c>
      <c r="Z169" s="1" t="str">
        <f t="shared" si="61"/>
        <v>5-0000</v>
      </c>
      <c r="AA169" s="1" t="str">
        <f t="shared" si="62"/>
        <v>5-0150</v>
      </c>
      <c r="AB169" s="1" t="str">
        <f t="shared" si="63"/>
        <v/>
      </c>
      <c r="AD169" s="1" t="str">
        <f t="shared" si="44"/>
        <v/>
      </c>
      <c r="AE169" s="1" t="str">
        <f t="shared" si="45"/>
        <v/>
      </c>
      <c r="AF169" s="1" t="str">
        <f t="shared" si="46"/>
        <v/>
      </c>
      <c r="AG169" s="1" t="str">
        <f t="shared" si="47"/>
        <v/>
      </c>
      <c r="AH169" s="1" t="str">
        <f t="shared" si="48"/>
        <v/>
      </c>
      <c r="AI169" s="1" t="str">
        <f t="shared" si="49"/>
        <v/>
      </c>
      <c r="AJ169" s="1" t="str">
        <f t="shared" si="50"/>
        <v/>
      </c>
      <c r="AK169" s="1" t="str">
        <f t="shared" si="51"/>
        <v xml:space="preserve">PERFORM * FROM "SchData-OLTP-Accounting"."Func_TblChartOfAccount_SET"(varSystemLoginSession, null, null, null, varInstitutionBranchID, null, '5-0150', 'Manual Accrual', 62000000000001::bigint, '2016-01-01 00:00:00'::timestamp, null::timestamp); </v>
      </c>
      <c r="AL169" s="1" t="str">
        <f t="shared" si="52"/>
        <v/>
      </c>
      <c r="AM169" s="1" t="str">
        <f t="shared" si="53"/>
        <v/>
      </c>
      <c r="AO169" s="8" t="str">
        <f t="shared" si="65"/>
        <v xml:space="preserve">PERFORM * FROM "SchData-OLTP-Accounting"."Func_TblChartOfAccount_SET"(varSystemLoginSession, null, null, null, varInstitutionBranchID, null, '5-0150', 'Manual Accrual', 62000000000001::bigint, '2016-01-01 00:00:00'::timestamp, null::timestamp); </v>
      </c>
    </row>
    <row r="170" spans="2:41" x14ac:dyDescent="0.25">
      <c r="B170" s="1">
        <v>2</v>
      </c>
      <c r="C170" s="2" t="s">
        <v>346</v>
      </c>
      <c r="D170" s="1" t="s">
        <v>347</v>
      </c>
      <c r="N170" s="2" t="s">
        <v>346</v>
      </c>
      <c r="Q170" s="1" t="str">
        <f t="shared" si="64"/>
        <v>Cost of Material</v>
      </c>
      <c r="S170" s="1" t="str">
        <f t="shared" si="54"/>
        <v>2-PASV</v>
      </c>
      <c r="T170" s="1" t="str">
        <f t="shared" si="55"/>
        <v>3-0000</v>
      </c>
      <c r="U170" s="1" t="str">
        <f t="shared" si="56"/>
        <v>3-3000</v>
      </c>
      <c r="V170" s="1" t="str">
        <f t="shared" si="57"/>
        <v>4-1EAT</v>
      </c>
      <c r="W170" s="1" t="str">
        <f t="shared" si="58"/>
        <v>4-2EBT</v>
      </c>
      <c r="X170" s="1" t="str">
        <f t="shared" si="59"/>
        <v>4-3OPF</v>
      </c>
      <c r="Y170" s="1" t="str">
        <f t="shared" si="60"/>
        <v>4-4GPF</v>
      </c>
      <c r="Z170" s="1" t="str">
        <f t="shared" si="61"/>
        <v>5-0000</v>
      </c>
      <c r="AA170" s="1" t="str">
        <f t="shared" si="62"/>
        <v>5-1000</v>
      </c>
      <c r="AB170" s="1" t="str">
        <f t="shared" si="63"/>
        <v/>
      </c>
      <c r="AD170" s="1" t="str">
        <f t="shared" si="44"/>
        <v/>
      </c>
      <c r="AE170" s="1" t="str">
        <f t="shared" si="45"/>
        <v/>
      </c>
      <c r="AF170" s="1" t="str">
        <f t="shared" si="46"/>
        <v/>
      </c>
      <c r="AG170" s="1" t="str">
        <f t="shared" si="47"/>
        <v/>
      </c>
      <c r="AH170" s="1" t="str">
        <f t="shared" si="48"/>
        <v/>
      </c>
      <c r="AI170" s="1" t="str">
        <f t="shared" si="49"/>
        <v/>
      </c>
      <c r="AJ170" s="1" t="str">
        <f t="shared" si="50"/>
        <v/>
      </c>
      <c r="AK170" s="1" t="str">
        <f t="shared" si="51"/>
        <v xml:space="preserve">PERFORM * FROM "SchData-OLTP-Accounting"."Func_TblChartOfAccount_SET"(varSystemLoginSession, null, null, null, varInstitutionBranchID, null, '5-1000', 'Cost of Material', 62000000000001::bigint, '2016-01-01 00:00:00'::timestamp, null::timestamp); </v>
      </c>
      <c r="AL170" s="1" t="str">
        <f t="shared" si="52"/>
        <v/>
      </c>
      <c r="AM170" s="1" t="str">
        <f t="shared" si="53"/>
        <v/>
      </c>
      <c r="AO170" s="8" t="str">
        <f t="shared" si="65"/>
        <v xml:space="preserve">PERFORM * FROM "SchData-OLTP-Accounting"."Func_TblChartOfAccount_SET"(varSystemLoginSession, null, null, null, varInstitutionBranchID, null, '5-1000', 'Cost of Material', 62000000000001::bigint, '2016-01-01 00:00:00'::timestamp, null::timestamp); </v>
      </c>
    </row>
    <row r="171" spans="2:41" x14ac:dyDescent="0.25">
      <c r="B171" s="1">
        <v>3</v>
      </c>
      <c r="C171" s="2" t="s">
        <v>348</v>
      </c>
      <c r="D171" s="1" t="s">
        <v>349</v>
      </c>
      <c r="O171" s="2" t="s">
        <v>348</v>
      </c>
      <c r="Q171" s="21" t="str">
        <f t="shared" si="64"/>
        <v>Opening Balance - Material</v>
      </c>
      <c r="S171" s="1" t="str">
        <f t="shared" si="54"/>
        <v>2-PASV</v>
      </c>
      <c r="T171" s="1" t="str">
        <f t="shared" si="55"/>
        <v>3-0000</v>
      </c>
      <c r="U171" s="1" t="str">
        <f t="shared" si="56"/>
        <v>3-3000</v>
      </c>
      <c r="V171" s="1" t="str">
        <f t="shared" si="57"/>
        <v>4-1EAT</v>
      </c>
      <c r="W171" s="1" t="str">
        <f t="shared" si="58"/>
        <v>4-2EBT</v>
      </c>
      <c r="X171" s="1" t="str">
        <f t="shared" si="59"/>
        <v>4-3OPF</v>
      </c>
      <c r="Y171" s="1" t="str">
        <f t="shared" si="60"/>
        <v>4-4GPF</v>
      </c>
      <c r="Z171" s="1" t="str">
        <f t="shared" si="61"/>
        <v>5-0000</v>
      </c>
      <c r="AA171" s="1" t="str">
        <f t="shared" si="62"/>
        <v>5-1000</v>
      </c>
      <c r="AB171" s="1" t="str">
        <f t="shared" si="63"/>
        <v>5-1010</v>
      </c>
      <c r="AD171" s="1" t="str">
        <f t="shared" si="44"/>
        <v/>
      </c>
      <c r="AE171" s="1" t="str">
        <f t="shared" si="45"/>
        <v/>
      </c>
      <c r="AF171" s="1" t="str">
        <f t="shared" si="46"/>
        <v/>
      </c>
      <c r="AG171" s="1" t="str">
        <f t="shared" si="47"/>
        <v/>
      </c>
      <c r="AH171" s="1" t="str">
        <f t="shared" si="48"/>
        <v/>
      </c>
      <c r="AI171" s="1" t="str">
        <f t="shared" si="49"/>
        <v/>
      </c>
      <c r="AJ171" s="1" t="str">
        <f t="shared" si="50"/>
        <v/>
      </c>
      <c r="AK171" s="1" t="str">
        <f t="shared" si="51"/>
        <v/>
      </c>
      <c r="AL171" s="1" t="str">
        <f t="shared" si="52"/>
        <v xml:space="preserve">PERFORM * FROM "SchData-OLTP-Accounting"."Func_TblChartOfAccount_SET"(varSystemLoginSession, null, null, null, varInstitutionBranchID, null, '5-1010', 'Opening Balance - Material', 62000000000001::bigint, '2016-01-01 00:00:00'::timestamp, null::timestamp); </v>
      </c>
      <c r="AM171" s="1" t="str">
        <f t="shared" si="53"/>
        <v/>
      </c>
      <c r="AO171" s="8" t="str">
        <f t="shared" si="65"/>
        <v xml:space="preserve">PERFORM * FROM "SchData-OLTP-Accounting"."Func_TblChartOfAccount_SET"(varSystemLoginSession, null, null, null, varInstitutionBranchID, null, '5-1010', 'Opening Balance - Material', 62000000000001::bigint, '2016-01-01 00:00:00'::timestamp, null::timestamp); </v>
      </c>
    </row>
    <row r="172" spans="2:41" x14ac:dyDescent="0.25">
      <c r="B172" s="1">
        <v>3</v>
      </c>
      <c r="C172" s="2" t="s">
        <v>350</v>
      </c>
      <c r="D172" s="1" t="s">
        <v>351</v>
      </c>
      <c r="O172" s="2" t="s">
        <v>350</v>
      </c>
      <c r="Q172" s="21" t="str">
        <f t="shared" si="64"/>
        <v>Opening Balance - Supplies</v>
      </c>
      <c r="S172" s="1" t="str">
        <f t="shared" si="54"/>
        <v>2-PASV</v>
      </c>
      <c r="T172" s="1" t="str">
        <f t="shared" si="55"/>
        <v>3-0000</v>
      </c>
      <c r="U172" s="1" t="str">
        <f t="shared" si="56"/>
        <v>3-3000</v>
      </c>
      <c r="V172" s="1" t="str">
        <f t="shared" si="57"/>
        <v>4-1EAT</v>
      </c>
      <c r="W172" s="1" t="str">
        <f t="shared" si="58"/>
        <v>4-2EBT</v>
      </c>
      <c r="X172" s="1" t="str">
        <f t="shared" si="59"/>
        <v>4-3OPF</v>
      </c>
      <c r="Y172" s="1" t="str">
        <f t="shared" si="60"/>
        <v>4-4GPF</v>
      </c>
      <c r="Z172" s="1" t="str">
        <f t="shared" si="61"/>
        <v>5-0000</v>
      </c>
      <c r="AA172" s="1" t="str">
        <f t="shared" si="62"/>
        <v>5-1000</v>
      </c>
      <c r="AB172" s="1" t="str">
        <f t="shared" si="63"/>
        <v>5-1020</v>
      </c>
      <c r="AD172" s="1" t="str">
        <f t="shared" si="44"/>
        <v/>
      </c>
      <c r="AE172" s="1" t="str">
        <f t="shared" si="45"/>
        <v/>
      </c>
      <c r="AF172" s="1" t="str">
        <f t="shared" si="46"/>
        <v/>
      </c>
      <c r="AG172" s="1" t="str">
        <f t="shared" si="47"/>
        <v/>
      </c>
      <c r="AH172" s="1" t="str">
        <f t="shared" si="48"/>
        <v/>
      </c>
      <c r="AI172" s="1" t="str">
        <f t="shared" si="49"/>
        <v/>
      </c>
      <c r="AJ172" s="1" t="str">
        <f t="shared" si="50"/>
        <v/>
      </c>
      <c r="AK172" s="1" t="str">
        <f t="shared" si="51"/>
        <v/>
      </c>
      <c r="AL172" s="1" t="str">
        <f t="shared" si="52"/>
        <v xml:space="preserve">PERFORM * FROM "SchData-OLTP-Accounting"."Func_TblChartOfAccount_SET"(varSystemLoginSession, null, null, null, varInstitutionBranchID, null, '5-1020', 'Opening Balance - Supplies', 62000000000001::bigint, '2016-01-01 00:00:00'::timestamp, null::timestamp); </v>
      </c>
      <c r="AM172" s="1" t="str">
        <f t="shared" si="53"/>
        <v/>
      </c>
      <c r="AO172" s="8" t="str">
        <f t="shared" si="65"/>
        <v xml:space="preserve">PERFORM * FROM "SchData-OLTP-Accounting"."Func_TblChartOfAccount_SET"(varSystemLoginSession, null, null, null, varInstitutionBranchID, null, '5-1020', 'Opening Balance - Supplies', 62000000000001::bigint, '2016-01-01 00:00:00'::timestamp, null::timestamp); </v>
      </c>
    </row>
    <row r="173" spans="2:41" x14ac:dyDescent="0.25">
      <c r="B173" s="1">
        <v>3</v>
      </c>
      <c r="C173" s="2" t="s">
        <v>352</v>
      </c>
      <c r="D173" s="1" t="s">
        <v>353</v>
      </c>
      <c r="O173" s="2" t="s">
        <v>352</v>
      </c>
      <c r="Q173" s="21" t="str">
        <f t="shared" si="64"/>
        <v>Purchase - Material</v>
      </c>
      <c r="S173" s="1" t="str">
        <f t="shared" si="54"/>
        <v>2-PASV</v>
      </c>
      <c r="T173" s="1" t="str">
        <f t="shared" si="55"/>
        <v>3-0000</v>
      </c>
      <c r="U173" s="1" t="str">
        <f t="shared" si="56"/>
        <v>3-3000</v>
      </c>
      <c r="V173" s="1" t="str">
        <f t="shared" si="57"/>
        <v>4-1EAT</v>
      </c>
      <c r="W173" s="1" t="str">
        <f t="shared" si="58"/>
        <v>4-2EBT</v>
      </c>
      <c r="X173" s="1" t="str">
        <f t="shared" si="59"/>
        <v>4-3OPF</v>
      </c>
      <c r="Y173" s="1" t="str">
        <f t="shared" si="60"/>
        <v>4-4GPF</v>
      </c>
      <c r="Z173" s="1" t="str">
        <f t="shared" si="61"/>
        <v>5-0000</v>
      </c>
      <c r="AA173" s="1" t="str">
        <f t="shared" si="62"/>
        <v>5-1000</v>
      </c>
      <c r="AB173" s="1" t="str">
        <f t="shared" si="63"/>
        <v>5-1030</v>
      </c>
      <c r="AD173" s="1" t="str">
        <f t="shared" si="44"/>
        <v/>
      </c>
      <c r="AE173" s="1" t="str">
        <f t="shared" si="45"/>
        <v/>
      </c>
      <c r="AF173" s="1" t="str">
        <f t="shared" si="46"/>
        <v/>
      </c>
      <c r="AG173" s="1" t="str">
        <f t="shared" si="47"/>
        <v/>
      </c>
      <c r="AH173" s="1" t="str">
        <f t="shared" si="48"/>
        <v/>
      </c>
      <c r="AI173" s="1" t="str">
        <f t="shared" si="49"/>
        <v/>
      </c>
      <c r="AJ173" s="1" t="str">
        <f t="shared" si="50"/>
        <v/>
      </c>
      <c r="AK173" s="1" t="str">
        <f t="shared" si="51"/>
        <v/>
      </c>
      <c r="AL173" s="1" t="str">
        <f t="shared" si="52"/>
        <v xml:space="preserve">PERFORM * FROM "SchData-OLTP-Accounting"."Func_TblChartOfAccount_SET"(varSystemLoginSession, null, null, null, varInstitutionBranchID, null, '5-1030', 'Purchase - Material', 62000000000001::bigint, '2016-01-01 00:00:00'::timestamp, null::timestamp); </v>
      </c>
      <c r="AM173" s="1" t="str">
        <f t="shared" si="53"/>
        <v/>
      </c>
      <c r="AO173" s="8" t="str">
        <f t="shared" si="65"/>
        <v xml:space="preserve">PERFORM * FROM "SchData-OLTP-Accounting"."Func_TblChartOfAccount_SET"(varSystemLoginSession, null, null, null, varInstitutionBranchID, null, '5-1030', 'Purchase - Material', 62000000000001::bigint, '2016-01-01 00:00:00'::timestamp, null::timestamp); </v>
      </c>
    </row>
    <row r="174" spans="2:41" x14ac:dyDescent="0.25">
      <c r="B174" s="1">
        <v>3</v>
      </c>
      <c r="C174" s="2" t="s">
        <v>354</v>
      </c>
      <c r="D174" s="1" t="s">
        <v>355</v>
      </c>
      <c r="O174" s="2" t="s">
        <v>354</v>
      </c>
      <c r="Q174" s="21" t="str">
        <f t="shared" si="64"/>
        <v>Purchase - Supplies</v>
      </c>
      <c r="S174" s="1" t="str">
        <f t="shared" si="54"/>
        <v>2-PASV</v>
      </c>
      <c r="T174" s="1" t="str">
        <f t="shared" si="55"/>
        <v>3-0000</v>
      </c>
      <c r="U174" s="1" t="str">
        <f t="shared" si="56"/>
        <v>3-3000</v>
      </c>
      <c r="V174" s="1" t="str">
        <f t="shared" si="57"/>
        <v>4-1EAT</v>
      </c>
      <c r="W174" s="1" t="str">
        <f t="shared" si="58"/>
        <v>4-2EBT</v>
      </c>
      <c r="X174" s="1" t="str">
        <f t="shared" si="59"/>
        <v>4-3OPF</v>
      </c>
      <c r="Y174" s="1" t="str">
        <f t="shared" si="60"/>
        <v>4-4GPF</v>
      </c>
      <c r="Z174" s="1" t="str">
        <f t="shared" si="61"/>
        <v>5-0000</v>
      </c>
      <c r="AA174" s="1" t="str">
        <f t="shared" si="62"/>
        <v>5-1000</v>
      </c>
      <c r="AB174" s="1" t="str">
        <f t="shared" si="63"/>
        <v>5-1040</v>
      </c>
      <c r="AD174" s="1" t="str">
        <f t="shared" si="44"/>
        <v/>
      </c>
      <c r="AE174" s="1" t="str">
        <f t="shared" si="45"/>
        <v/>
      </c>
      <c r="AF174" s="1" t="str">
        <f t="shared" si="46"/>
        <v/>
      </c>
      <c r="AG174" s="1" t="str">
        <f t="shared" si="47"/>
        <v/>
      </c>
      <c r="AH174" s="1" t="str">
        <f t="shared" si="48"/>
        <v/>
      </c>
      <c r="AI174" s="1" t="str">
        <f t="shared" si="49"/>
        <v/>
      </c>
      <c r="AJ174" s="1" t="str">
        <f t="shared" si="50"/>
        <v/>
      </c>
      <c r="AK174" s="1" t="str">
        <f t="shared" si="51"/>
        <v/>
      </c>
      <c r="AL174" s="1" t="str">
        <f t="shared" si="52"/>
        <v xml:space="preserve">PERFORM * FROM "SchData-OLTP-Accounting"."Func_TblChartOfAccount_SET"(varSystemLoginSession, null, null, null, varInstitutionBranchID, null, '5-1040', 'Purchase - Supplies', 62000000000001::bigint, '2016-01-01 00:00:00'::timestamp, null::timestamp); </v>
      </c>
      <c r="AM174" s="1" t="str">
        <f t="shared" si="53"/>
        <v/>
      </c>
      <c r="AO174" s="8" t="str">
        <f t="shared" si="65"/>
        <v xml:space="preserve">PERFORM * FROM "SchData-OLTP-Accounting"."Func_TblChartOfAccount_SET"(varSystemLoginSession, null, null, null, varInstitutionBranchID, null, '5-1040', 'Purchase - Supplies', 62000000000001::bigint, '2016-01-01 00:00:00'::timestamp, null::timestamp); </v>
      </c>
    </row>
    <row r="175" spans="2:41" x14ac:dyDescent="0.25">
      <c r="B175" s="1">
        <v>3</v>
      </c>
      <c r="C175" s="2" t="s">
        <v>356</v>
      </c>
      <c r="D175" s="1" t="s">
        <v>357</v>
      </c>
      <c r="O175" s="2" t="s">
        <v>356</v>
      </c>
      <c r="Q175" s="21" t="str">
        <f t="shared" si="64"/>
        <v>Ending Balance - Material</v>
      </c>
      <c r="S175" s="1" t="str">
        <f t="shared" si="54"/>
        <v>2-PASV</v>
      </c>
      <c r="T175" s="1" t="str">
        <f t="shared" si="55"/>
        <v>3-0000</v>
      </c>
      <c r="U175" s="1" t="str">
        <f t="shared" si="56"/>
        <v>3-3000</v>
      </c>
      <c r="V175" s="1" t="str">
        <f t="shared" si="57"/>
        <v>4-1EAT</v>
      </c>
      <c r="W175" s="1" t="str">
        <f t="shared" si="58"/>
        <v>4-2EBT</v>
      </c>
      <c r="X175" s="1" t="str">
        <f t="shared" si="59"/>
        <v>4-3OPF</v>
      </c>
      <c r="Y175" s="1" t="str">
        <f t="shared" si="60"/>
        <v>4-4GPF</v>
      </c>
      <c r="Z175" s="1" t="str">
        <f t="shared" si="61"/>
        <v>5-0000</v>
      </c>
      <c r="AA175" s="1" t="str">
        <f t="shared" si="62"/>
        <v>5-1000</v>
      </c>
      <c r="AB175" s="1" t="str">
        <f t="shared" si="63"/>
        <v>5-1050</v>
      </c>
      <c r="AD175" s="1" t="str">
        <f t="shared" si="44"/>
        <v/>
      </c>
      <c r="AE175" s="1" t="str">
        <f t="shared" si="45"/>
        <v/>
      </c>
      <c r="AF175" s="1" t="str">
        <f t="shared" si="46"/>
        <v/>
      </c>
      <c r="AG175" s="1" t="str">
        <f t="shared" si="47"/>
        <v/>
      </c>
      <c r="AH175" s="1" t="str">
        <f t="shared" si="48"/>
        <v/>
      </c>
      <c r="AI175" s="1" t="str">
        <f t="shared" si="49"/>
        <v/>
      </c>
      <c r="AJ175" s="1" t="str">
        <f t="shared" si="50"/>
        <v/>
      </c>
      <c r="AK175" s="1" t="str">
        <f t="shared" si="51"/>
        <v/>
      </c>
      <c r="AL175" s="1" t="str">
        <f t="shared" si="52"/>
        <v xml:space="preserve">PERFORM * FROM "SchData-OLTP-Accounting"."Func_TblChartOfAccount_SET"(varSystemLoginSession, null, null, null, varInstitutionBranchID, null, '5-1050', 'Ending Balance - Material', 62000000000001::bigint, '2016-01-01 00:00:00'::timestamp, null::timestamp); </v>
      </c>
      <c r="AM175" s="1" t="str">
        <f t="shared" si="53"/>
        <v/>
      </c>
      <c r="AO175" s="8" t="str">
        <f t="shared" si="65"/>
        <v xml:space="preserve">PERFORM * FROM "SchData-OLTP-Accounting"."Func_TblChartOfAccount_SET"(varSystemLoginSession, null, null, null, varInstitutionBranchID, null, '5-1050', 'Ending Balance - Material', 62000000000001::bigint, '2016-01-01 00:00:00'::timestamp, null::timestamp); </v>
      </c>
    </row>
    <row r="176" spans="2:41" x14ac:dyDescent="0.25">
      <c r="B176" s="1">
        <v>3</v>
      </c>
      <c r="C176" s="2" t="s">
        <v>358</v>
      </c>
      <c r="D176" s="1" t="s">
        <v>359</v>
      </c>
      <c r="O176" s="2" t="s">
        <v>358</v>
      </c>
      <c r="Q176" s="21" t="str">
        <f t="shared" si="64"/>
        <v>Ending Balance - Supplies</v>
      </c>
      <c r="S176" s="1" t="str">
        <f t="shared" si="54"/>
        <v>2-PASV</v>
      </c>
      <c r="T176" s="1" t="str">
        <f t="shared" si="55"/>
        <v>3-0000</v>
      </c>
      <c r="U176" s="1" t="str">
        <f t="shared" si="56"/>
        <v>3-3000</v>
      </c>
      <c r="V176" s="1" t="str">
        <f t="shared" si="57"/>
        <v>4-1EAT</v>
      </c>
      <c r="W176" s="1" t="str">
        <f t="shared" si="58"/>
        <v>4-2EBT</v>
      </c>
      <c r="X176" s="1" t="str">
        <f t="shared" si="59"/>
        <v>4-3OPF</v>
      </c>
      <c r="Y176" s="1" t="str">
        <f t="shared" si="60"/>
        <v>4-4GPF</v>
      </c>
      <c r="Z176" s="1" t="str">
        <f t="shared" si="61"/>
        <v>5-0000</v>
      </c>
      <c r="AA176" s="1" t="str">
        <f t="shared" si="62"/>
        <v>5-1000</v>
      </c>
      <c r="AB176" s="1" t="str">
        <f t="shared" si="63"/>
        <v>5-1060</v>
      </c>
      <c r="AD176" s="1" t="str">
        <f t="shared" si="44"/>
        <v/>
      </c>
      <c r="AE176" s="1" t="str">
        <f t="shared" si="45"/>
        <v/>
      </c>
      <c r="AF176" s="1" t="str">
        <f t="shared" si="46"/>
        <v/>
      </c>
      <c r="AG176" s="1" t="str">
        <f t="shared" si="47"/>
        <v/>
      </c>
      <c r="AH176" s="1" t="str">
        <f t="shared" si="48"/>
        <v/>
      </c>
      <c r="AI176" s="1" t="str">
        <f t="shared" si="49"/>
        <v/>
      </c>
      <c r="AJ176" s="1" t="str">
        <f t="shared" si="50"/>
        <v/>
      </c>
      <c r="AK176" s="1" t="str">
        <f t="shared" si="51"/>
        <v/>
      </c>
      <c r="AL176" s="1" t="str">
        <f t="shared" si="52"/>
        <v xml:space="preserve">PERFORM * FROM "SchData-OLTP-Accounting"."Func_TblChartOfAccount_SET"(varSystemLoginSession, null, null, null, varInstitutionBranchID, null, '5-1060', 'Ending Balance - Supplies', 62000000000001::bigint, '2016-01-01 00:00:00'::timestamp, null::timestamp); </v>
      </c>
      <c r="AM176" s="1" t="str">
        <f t="shared" si="53"/>
        <v/>
      </c>
      <c r="AO176" s="8" t="str">
        <f t="shared" si="65"/>
        <v xml:space="preserve">PERFORM * FROM "SchData-OLTP-Accounting"."Func_TblChartOfAccount_SET"(varSystemLoginSession, null, null, null, varInstitutionBranchID, null, '5-1060', 'Ending Balance - Supplies', 62000000000001::bigint, '2016-01-01 00:00:00'::timestamp, null::timestamp); </v>
      </c>
    </row>
    <row r="177" spans="2:41" x14ac:dyDescent="0.25">
      <c r="B177" s="1">
        <v>3</v>
      </c>
      <c r="C177" s="2" t="s">
        <v>360</v>
      </c>
      <c r="D177" s="1" t="s">
        <v>361</v>
      </c>
      <c r="O177" s="2" t="s">
        <v>360</v>
      </c>
      <c r="Q177" s="21" t="str">
        <f t="shared" si="64"/>
        <v>Material Used</v>
      </c>
      <c r="S177" s="1" t="str">
        <f t="shared" si="54"/>
        <v>2-PASV</v>
      </c>
      <c r="T177" s="1" t="str">
        <f t="shared" si="55"/>
        <v>3-0000</v>
      </c>
      <c r="U177" s="1" t="str">
        <f t="shared" si="56"/>
        <v>3-3000</v>
      </c>
      <c r="V177" s="1" t="str">
        <f t="shared" si="57"/>
        <v>4-1EAT</v>
      </c>
      <c r="W177" s="1" t="str">
        <f t="shared" si="58"/>
        <v>4-2EBT</v>
      </c>
      <c r="X177" s="1" t="str">
        <f t="shared" si="59"/>
        <v>4-3OPF</v>
      </c>
      <c r="Y177" s="1" t="str">
        <f t="shared" si="60"/>
        <v>4-4GPF</v>
      </c>
      <c r="Z177" s="1" t="str">
        <f t="shared" si="61"/>
        <v>5-0000</v>
      </c>
      <c r="AA177" s="1" t="str">
        <f t="shared" si="62"/>
        <v>5-1000</v>
      </c>
      <c r="AB177" s="1" t="str">
        <f t="shared" si="63"/>
        <v>5-1070</v>
      </c>
      <c r="AD177" s="1" t="str">
        <f t="shared" si="44"/>
        <v/>
      </c>
      <c r="AE177" s="1" t="str">
        <f t="shared" si="45"/>
        <v/>
      </c>
      <c r="AF177" s="1" t="str">
        <f t="shared" si="46"/>
        <v/>
      </c>
      <c r="AG177" s="1" t="str">
        <f t="shared" si="47"/>
        <v/>
      </c>
      <c r="AH177" s="1" t="str">
        <f t="shared" si="48"/>
        <v/>
      </c>
      <c r="AI177" s="1" t="str">
        <f t="shared" si="49"/>
        <v/>
      </c>
      <c r="AJ177" s="1" t="str">
        <f t="shared" si="50"/>
        <v/>
      </c>
      <c r="AK177" s="1" t="str">
        <f t="shared" si="51"/>
        <v/>
      </c>
      <c r="AL177" s="1" t="str">
        <f t="shared" si="52"/>
        <v xml:space="preserve">PERFORM * FROM "SchData-OLTP-Accounting"."Func_TblChartOfAccount_SET"(varSystemLoginSession, null, null, null, varInstitutionBranchID, null, '5-1070', 'Material Used', 62000000000001::bigint, '2016-01-01 00:00:00'::timestamp, null::timestamp); </v>
      </c>
      <c r="AM177" s="1" t="str">
        <f t="shared" si="53"/>
        <v/>
      </c>
      <c r="AO177" s="8" t="str">
        <f t="shared" si="65"/>
        <v xml:space="preserve">PERFORM * FROM "SchData-OLTP-Accounting"."Func_TblChartOfAccount_SET"(varSystemLoginSession, null, null, null, varInstitutionBranchID, null, '5-1070', 'Material Used', 62000000000001::bigint, '2016-01-01 00:00:00'::timestamp, null::timestamp); </v>
      </c>
    </row>
    <row r="178" spans="2:41" x14ac:dyDescent="0.25">
      <c r="B178" s="1">
        <v>3</v>
      </c>
      <c r="C178" s="2" t="s">
        <v>362</v>
      </c>
      <c r="D178" s="1" t="s">
        <v>363</v>
      </c>
      <c r="O178" s="2" t="s">
        <v>362</v>
      </c>
      <c r="Q178" s="21" t="str">
        <f t="shared" si="64"/>
        <v>Supplies Used</v>
      </c>
      <c r="S178" s="1" t="str">
        <f t="shared" si="54"/>
        <v>2-PASV</v>
      </c>
      <c r="T178" s="1" t="str">
        <f t="shared" si="55"/>
        <v>3-0000</v>
      </c>
      <c r="U178" s="1" t="str">
        <f t="shared" si="56"/>
        <v>3-3000</v>
      </c>
      <c r="V178" s="1" t="str">
        <f t="shared" si="57"/>
        <v>4-1EAT</v>
      </c>
      <c r="W178" s="1" t="str">
        <f t="shared" si="58"/>
        <v>4-2EBT</v>
      </c>
      <c r="X178" s="1" t="str">
        <f t="shared" si="59"/>
        <v>4-3OPF</v>
      </c>
      <c r="Y178" s="1" t="str">
        <f t="shared" si="60"/>
        <v>4-4GPF</v>
      </c>
      <c r="Z178" s="1" t="str">
        <f t="shared" si="61"/>
        <v>5-0000</v>
      </c>
      <c r="AA178" s="1" t="str">
        <f t="shared" si="62"/>
        <v>5-1000</v>
      </c>
      <c r="AB178" s="1" t="str">
        <f t="shared" si="63"/>
        <v>5-1080</v>
      </c>
      <c r="AD178" s="1" t="str">
        <f t="shared" si="44"/>
        <v/>
      </c>
      <c r="AE178" s="1" t="str">
        <f t="shared" si="45"/>
        <v/>
      </c>
      <c r="AF178" s="1" t="str">
        <f t="shared" si="46"/>
        <v/>
      </c>
      <c r="AG178" s="1" t="str">
        <f t="shared" si="47"/>
        <v/>
      </c>
      <c r="AH178" s="1" t="str">
        <f t="shared" si="48"/>
        <v/>
      </c>
      <c r="AI178" s="1" t="str">
        <f t="shared" si="49"/>
        <v/>
      </c>
      <c r="AJ178" s="1" t="str">
        <f t="shared" si="50"/>
        <v/>
      </c>
      <c r="AK178" s="1" t="str">
        <f t="shared" si="51"/>
        <v/>
      </c>
      <c r="AL178" s="1" t="str">
        <f t="shared" si="52"/>
        <v xml:space="preserve">PERFORM * FROM "SchData-OLTP-Accounting"."Func_TblChartOfAccount_SET"(varSystemLoginSession, null, null, null, varInstitutionBranchID, null, '5-1080', 'Supplies Used', 62000000000001::bigint, '2016-01-01 00:00:00'::timestamp, null::timestamp); </v>
      </c>
      <c r="AM178" s="1" t="str">
        <f t="shared" si="53"/>
        <v/>
      </c>
      <c r="AO178" s="8" t="str">
        <f t="shared" si="65"/>
        <v xml:space="preserve">PERFORM * FROM "SchData-OLTP-Accounting"."Func_TblChartOfAccount_SET"(varSystemLoginSession, null, null, null, varInstitutionBranchID, null, '5-1080', 'Supplies Used', 62000000000001::bigint, '2016-01-01 00:00:00'::timestamp, null::timestamp); </v>
      </c>
    </row>
    <row r="179" spans="2:41" x14ac:dyDescent="0.25">
      <c r="B179" s="1">
        <v>3</v>
      </c>
      <c r="C179" s="2" t="s">
        <v>364</v>
      </c>
      <c r="D179" s="1" t="s">
        <v>365</v>
      </c>
      <c r="O179" s="2" t="s">
        <v>364</v>
      </c>
      <c r="Q179" s="21" t="str">
        <f t="shared" si="64"/>
        <v>Material Other</v>
      </c>
      <c r="S179" s="1" t="str">
        <f t="shared" si="54"/>
        <v>2-PASV</v>
      </c>
      <c r="T179" s="1" t="str">
        <f t="shared" si="55"/>
        <v>3-0000</v>
      </c>
      <c r="U179" s="1" t="str">
        <f t="shared" si="56"/>
        <v>3-3000</v>
      </c>
      <c r="V179" s="1" t="str">
        <f t="shared" si="57"/>
        <v>4-1EAT</v>
      </c>
      <c r="W179" s="1" t="str">
        <f t="shared" si="58"/>
        <v>4-2EBT</v>
      </c>
      <c r="X179" s="1" t="str">
        <f t="shared" si="59"/>
        <v>4-3OPF</v>
      </c>
      <c r="Y179" s="1" t="str">
        <f t="shared" si="60"/>
        <v>4-4GPF</v>
      </c>
      <c r="Z179" s="1" t="str">
        <f t="shared" si="61"/>
        <v>5-0000</v>
      </c>
      <c r="AA179" s="1" t="str">
        <f t="shared" si="62"/>
        <v>5-1000</v>
      </c>
      <c r="AB179" s="1" t="str">
        <f t="shared" si="63"/>
        <v>5-1100</v>
      </c>
      <c r="AD179" s="1" t="str">
        <f t="shared" si="44"/>
        <v/>
      </c>
      <c r="AE179" s="1" t="str">
        <f t="shared" si="45"/>
        <v/>
      </c>
      <c r="AF179" s="1" t="str">
        <f t="shared" si="46"/>
        <v/>
      </c>
      <c r="AG179" s="1" t="str">
        <f t="shared" si="47"/>
        <v/>
      </c>
      <c r="AH179" s="1" t="str">
        <f t="shared" si="48"/>
        <v/>
      </c>
      <c r="AI179" s="1" t="str">
        <f t="shared" si="49"/>
        <v/>
      </c>
      <c r="AJ179" s="1" t="str">
        <f t="shared" si="50"/>
        <v/>
      </c>
      <c r="AK179" s="1" t="str">
        <f t="shared" si="51"/>
        <v/>
      </c>
      <c r="AL179" s="1" t="str">
        <f t="shared" si="52"/>
        <v xml:space="preserve">PERFORM * FROM "SchData-OLTP-Accounting"."Func_TblChartOfAccount_SET"(varSystemLoginSession, null, null, null, varInstitutionBranchID, null, '5-1100', 'Material Other', 62000000000001::bigint, '2016-01-01 00:00:00'::timestamp, null::timestamp); </v>
      </c>
      <c r="AM179" s="1" t="str">
        <f t="shared" si="53"/>
        <v/>
      </c>
      <c r="AO179" s="8" t="str">
        <f t="shared" si="65"/>
        <v xml:space="preserve">PERFORM * FROM "SchData-OLTP-Accounting"."Func_TblChartOfAccount_SET"(varSystemLoginSession, null, null, null, varInstitutionBranchID, null, '5-1100', 'Material Other', 62000000000001::bigint, '2016-01-01 00:00:00'::timestamp, null::timestamp); </v>
      </c>
    </row>
    <row r="180" spans="2:41" x14ac:dyDescent="0.25">
      <c r="B180" s="1">
        <v>3</v>
      </c>
      <c r="C180" s="2" t="s">
        <v>366</v>
      </c>
      <c r="D180" s="1" t="s">
        <v>367</v>
      </c>
      <c r="O180" s="2" t="s">
        <v>366</v>
      </c>
      <c r="Q180" s="21" t="str">
        <f t="shared" si="64"/>
        <v>IT Hardware Purchase</v>
      </c>
      <c r="S180" s="1" t="str">
        <f t="shared" si="54"/>
        <v>2-PASV</v>
      </c>
      <c r="T180" s="1" t="str">
        <f t="shared" si="55"/>
        <v>3-0000</v>
      </c>
      <c r="U180" s="1" t="str">
        <f t="shared" si="56"/>
        <v>3-3000</v>
      </c>
      <c r="V180" s="1" t="str">
        <f t="shared" si="57"/>
        <v>4-1EAT</v>
      </c>
      <c r="W180" s="1" t="str">
        <f t="shared" si="58"/>
        <v>4-2EBT</v>
      </c>
      <c r="X180" s="1" t="str">
        <f t="shared" si="59"/>
        <v>4-3OPF</v>
      </c>
      <c r="Y180" s="1" t="str">
        <f t="shared" si="60"/>
        <v>4-4GPF</v>
      </c>
      <c r="Z180" s="1" t="str">
        <f t="shared" si="61"/>
        <v>5-0000</v>
      </c>
      <c r="AA180" s="1" t="str">
        <f t="shared" si="62"/>
        <v>5-1000</v>
      </c>
      <c r="AB180" s="1" t="str">
        <f t="shared" si="63"/>
        <v>5-1110</v>
      </c>
      <c r="AD180" s="1" t="str">
        <f t="shared" si="44"/>
        <v/>
      </c>
      <c r="AE180" s="1" t="str">
        <f t="shared" si="45"/>
        <v/>
      </c>
      <c r="AF180" s="1" t="str">
        <f t="shared" si="46"/>
        <v/>
      </c>
      <c r="AG180" s="1" t="str">
        <f t="shared" si="47"/>
        <v/>
      </c>
      <c r="AH180" s="1" t="str">
        <f t="shared" si="48"/>
        <v/>
      </c>
      <c r="AI180" s="1" t="str">
        <f t="shared" si="49"/>
        <v/>
      </c>
      <c r="AJ180" s="1" t="str">
        <f t="shared" si="50"/>
        <v/>
      </c>
      <c r="AK180" s="1" t="str">
        <f t="shared" si="51"/>
        <v/>
      </c>
      <c r="AL180" s="1" t="str">
        <f t="shared" si="52"/>
        <v xml:space="preserve">PERFORM * FROM "SchData-OLTP-Accounting"."Func_TblChartOfAccount_SET"(varSystemLoginSession, null, null, null, varInstitutionBranchID, null, '5-1110', 'IT Hardware Purchase', 62000000000001::bigint, '2016-01-01 00:00:00'::timestamp, null::timestamp); </v>
      </c>
      <c r="AM180" s="1" t="str">
        <f t="shared" si="53"/>
        <v/>
      </c>
      <c r="AO180" s="8" t="str">
        <f t="shared" si="65"/>
        <v xml:space="preserve">PERFORM * FROM "SchData-OLTP-Accounting"."Func_TblChartOfAccount_SET"(varSystemLoginSession, null, null, null, varInstitutionBranchID, null, '5-1110', 'IT Hardware Purchase', 62000000000001::bigint, '2016-01-01 00:00:00'::timestamp, null::timestamp); </v>
      </c>
    </row>
    <row r="181" spans="2:41" x14ac:dyDescent="0.25">
      <c r="B181" s="1">
        <v>2</v>
      </c>
      <c r="C181" s="2" t="s">
        <v>368</v>
      </c>
      <c r="D181" s="1" t="s">
        <v>369</v>
      </c>
      <c r="N181" s="2" t="s">
        <v>368</v>
      </c>
      <c r="Q181" s="1" t="str">
        <f t="shared" si="64"/>
        <v>Salary Expenses</v>
      </c>
      <c r="S181" s="1" t="str">
        <f t="shared" si="54"/>
        <v>2-PASV</v>
      </c>
      <c r="T181" s="1" t="str">
        <f t="shared" si="55"/>
        <v>3-0000</v>
      </c>
      <c r="U181" s="1" t="str">
        <f t="shared" si="56"/>
        <v>3-3000</v>
      </c>
      <c r="V181" s="1" t="str">
        <f t="shared" si="57"/>
        <v>4-1EAT</v>
      </c>
      <c r="W181" s="1" t="str">
        <f t="shared" si="58"/>
        <v>4-2EBT</v>
      </c>
      <c r="X181" s="1" t="str">
        <f t="shared" si="59"/>
        <v>4-3OPF</v>
      </c>
      <c r="Y181" s="1" t="str">
        <f t="shared" si="60"/>
        <v>4-4GPF</v>
      </c>
      <c r="Z181" s="1" t="str">
        <f t="shared" si="61"/>
        <v>5-0000</v>
      </c>
      <c r="AA181" s="1" t="str">
        <f t="shared" si="62"/>
        <v>5-2000</v>
      </c>
      <c r="AB181" s="1" t="str">
        <f t="shared" si="63"/>
        <v>5-1110</v>
      </c>
      <c r="AD181" s="1" t="str">
        <f t="shared" si="44"/>
        <v/>
      </c>
      <c r="AE181" s="1" t="str">
        <f t="shared" si="45"/>
        <v/>
      </c>
      <c r="AF181" s="1" t="str">
        <f t="shared" si="46"/>
        <v/>
      </c>
      <c r="AG181" s="1" t="str">
        <f t="shared" si="47"/>
        <v/>
      </c>
      <c r="AH181" s="1" t="str">
        <f t="shared" si="48"/>
        <v/>
      </c>
      <c r="AI181" s="1" t="str">
        <f t="shared" si="49"/>
        <v/>
      </c>
      <c r="AJ181" s="1" t="str">
        <f t="shared" si="50"/>
        <v/>
      </c>
      <c r="AK181" s="1" t="str">
        <f t="shared" si="51"/>
        <v xml:space="preserve">PERFORM * FROM "SchData-OLTP-Accounting"."Func_TblChartOfAccount_SET"(varSystemLoginSession, null, null, null, varInstitutionBranchID, null, '5-2000', 'Salary Expenses', 62000000000001::bigint, '2016-01-01 00:00:00'::timestamp, null::timestamp); </v>
      </c>
      <c r="AL181" s="1" t="str">
        <f t="shared" si="52"/>
        <v/>
      </c>
      <c r="AM181" s="1" t="str">
        <f t="shared" si="53"/>
        <v/>
      </c>
      <c r="AO181" s="8" t="str">
        <f t="shared" si="65"/>
        <v xml:space="preserve">PERFORM * FROM "SchData-OLTP-Accounting"."Func_TblChartOfAccount_SET"(varSystemLoginSession, null, null, null, varInstitutionBranchID, null, '5-2000', 'Salary Expenses', 62000000000001::bigint, '2016-01-01 00:00:00'::timestamp, null::timestamp); </v>
      </c>
    </row>
    <row r="182" spans="2:41" x14ac:dyDescent="0.25">
      <c r="B182" s="1">
        <v>3</v>
      </c>
      <c r="C182" s="2" t="s">
        <v>370</v>
      </c>
      <c r="D182" s="1" t="s">
        <v>371</v>
      </c>
      <c r="O182" s="2" t="s">
        <v>370</v>
      </c>
      <c r="Q182" s="22" t="str">
        <f t="shared" si="64"/>
        <v>Salary Daily Worker</v>
      </c>
      <c r="S182" s="1" t="str">
        <f t="shared" si="54"/>
        <v>2-PASV</v>
      </c>
      <c r="T182" s="1" t="str">
        <f t="shared" si="55"/>
        <v>3-0000</v>
      </c>
      <c r="U182" s="1" t="str">
        <f t="shared" si="56"/>
        <v>3-3000</v>
      </c>
      <c r="V182" s="1" t="str">
        <f t="shared" si="57"/>
        <v>4-1EAT</v>
      </c>
      <c r="W182" s="1" t="str">
        <f t="shared" si="58"/>
        <v>4-2EBT</v>
      </c>
      <c r="X182" s="1" t="str">
        <f t="shared" si="59"/>
        <v>4-3OPF</v>
      </c>
      <c r="Y182" s="1" t="str">
        <f t="shared" si="60"/>
        <v>4-4GPF</v>
      </c>
      <c r="Z182" s="1" t="str">
        <f t="shared" si="61"/>
        <v>5-0000</v>
      </c>
      <c r="AA182" s="1" t="str">
        <f t="shared" si="62"/>
        <v>5-2000</v>
      </c>
      <c r="AB182" s="1" t="str">
        <f t="shared" si="63"/>
        <v>5-2005</v>
      </c>
      <c r="AD182" s="1" t="str">
        <f t="shared" si="44"/>
        <v/>
      </c>
      <c r="AE182" s="1" t="str">
        <f t="shared" si="45"/>
        <v/>
      </c>
      <c r="AF182" s="1" t="str">
        <f t="shared" si="46"/>
        <v/>
      </c>
      <c r="AG182" s="1" t="str">
        <f t="shared" si="47"/>
        <v/>
      </c>
      <c r="AH182" s="1" t="str">
        <f t="shared" si="48"/>
        <v/>
      </c>
      <c r="AI182" s="1" t="str">
        <f t="shared" si="49"/>
        <v/>
      </c>
      <c r="AJ182" s="1" t="str">
        <f t="shared" si="50"/>
        <v/>
      </c>
      <c r="AK182" s="1" t="str">
        <f t="shared" si="51"/>
        <v/>
      </c>
      <c r="AL182" s="1" t="str">
        <f t="shared" si="52"/>
        <v xml:space="preserve">PERFORM * FROM "SchData-OLTP-Accounting"."Func_TblChartOfAccount_SET"(varSystemLoginSession, null, null, null, varInstitutionBranchID, null, '5-2005', 'Salary Daily Worker', 62000000000001::bigint, '2016-01-01 00:00:00'::timestamp, null::timestamp); </v>
      </c>
      <c r="AM182" s="1" t="str">
        <f t="shared" si="53"/>
        <v/>
      </c>
      <c r="AO182" s="8" t="str">
        <f t="shared" si="65"/>
        <v xml:space="preserve">PERFORM * FROM "SchData-OLTP-Accounting"."Func_TblChartOfAccount_SET"(varSystemLoginSession, null, null, null, varInstitutionBranchID, null, '5-2005', 'Salary Daily Worker', 62000000000001::bigint, '2016-01-01 00:00:00'::timestamp, null::timestamp); </v>
      </c>
    </row>
    <row r="183" spans="2:41" x14ac:dyDescent="0.25">
      <c r="B183" s="1">
        <v>3</v>
      </c>
      <c r="C183" s="2" t="s">
        <v>372</v>
      </c>
      <c r="D183" s="1" t="s">
        <v>373</v>
      </c>
      <c r="O183" s="2" t="s">
        <v>372</v>
      </c>
      <c r="Q183" s="22" t="str">
        <f t="shared" si="64"/>
        <v>Salary Direct</v>
      </c>
      <c r="S183" s="1" t="str">
        <f t="shared" si="54"/>
        <v>2-PASV</v>
      </c>
      <c r="T183" s="1" t="str">
        <f t="shared" si="55"/>
        <v>3-0000</v>
      </c>
      <c r="U183" s="1" t="str">
        <f t="shared" si="56"/>
        <v>3-3000</v>
      </c>
      <c r="V183" s="1" t="str">
        <f t="shared" si="57"/>
        <v>4-1EAT</v>
      </c>
      <c r="W183" s="1" t="str">
        <f t="shared" si="58"/>
        <v>4-2EBT</v>
      </c>
      <c r="X183" s="1" t="str">
        <f t="shared" si="59"/>
        <v>4-3OPF</v>
      </c>
      <c r="Y183" s="1" t="str">
        <f t="shared" si="60"/>
        <v>4-4GPF</v>
      </c>
      <c r="Z183" s="1" t="str">
        <f t="shared" si="61"/>
        <v>5-0000</v>
      </c>
      <c r="AA183" s="1" t="str">
        <f t="shared" si="62"/>
        <v>5-2000</v>
      </c>
      <c r="AB183" s="1" t="str">
        <f t="shared" si="63"/>
        <v>5-2010</v>
      </c>
      <c r="AD183" s="1" t="str">
        <f t="shared" si="44"/>
        <v/>
      </c>
      <c r="AE183" s="1" t="str">
        <f t="shared" si="45"/>
        <v/>
      </c>
      <c r="AF183" s="1" t="str">
        <f t="shared" si="46"/>
        <v/>
      </c>
      <c r="AG183" s="1" t="str">
        <f t="shared" si="47"/>
        <v/>
      </c>
      <c r="AH183" s="1" t="str">
        <f t="shared" si="48"/>
        <v/>
      </c>
      <c r="AI183" s="1" t="str">
        <f t="shared" si="49"/>
        <v/>
      </c>
      <c r="AJ183" s="1" t="str">
        <f t="shared" si="50"/>
        <v/>
      </c>
      <c r="AK183" s="1" t="str">
        <f t="shared" si="51"/>
        <v/>
      </c>
      <c r="AL183" s="1" t="str">
        <f t="shared" si="52"/>
        <v xml:space="preserve">PERFORM * FROM "SchData-OLTP-Accounting"."Func_TblChartOfAccount_SET"(varSystemLoginSession, null, null, null, varInstitutionBranchID, null, '5-2010', 'Salary Direct', 62000000000001::bigint, '2016-01-01 00:00:00'::timestamp, null::timestamp); </v>
      </c>
      <c r="AM183" s="1" t="str">
        <f t="shared" si="53"/>
        <v/>
      </c>
      <c r="AO183" s="8" t="str">
        <f t="shared" si="65"/>
        <v xml:space="preserve">PERFORM * FROM "SchData-OLTP-Accounting"."Func_TblChartOfAccount_SET"(varSystemLoginSession, null, null, null, varInstitutionBranchID, null, '5-2010', 'Salary Direct', 62000000000001::bigint, '2016-01-01 00:00:00'::timestamp, null::timestamp); </v>
      </c>
    </row>
    <row r="184" spans="2:41" x14ac:dyDescent="0.25">
      <c r="B184" s="1">
        <v>3</v>
      </c>
      <c r="C184" s="2" t="s">
        <v>374</v>
      </c>
      <c r="D184" s="1" t="s">
        <v>375</v>
      </c>
      <c r="O184" s="2" t="s">
        <v>374</v>
      </c>
      <c r="Q184" s="22" t="str">
        <f t="shared" si="64"/>
        <v>Salary Indirect</v>
      </c>
      <c r="S184" s="1" t="str">
        <f t="shared" si="54"/>
        <v>2-PASV</v>
      </c>
      <c r="T184" s="1" t="str">
        <f t="shared" si="55"/>
        <v>3-0000</v>
      </c>
      <c r="U184" s="1" t="str">
        <f t="shared" si="56"/>
        <v>3-3000</v>
      </c>
      <c r="V184" s="1" t="str">
        <f t="shared" si="57"/>
        <v>4-1EAT</v>
      </c>
      <c r="W184" s="1" t="str">
        <f t="shared" si="58"/>
        <v>4-2EBT</v>
      </c>
      <c r="X184" s="1" t="str">
        <f t="shared" si="59"/>
        <v>4-3OPF</v>
      </c>
      <c r="Y184" s="1" t="str">
        <f t="shared" si="60"/>
        <v>4-4GPF</v>
      </c>
      <c r="Z184" s="1" t="str">
        <f t="shared" si="61"/>
        <v>5-0000</v>
      </c>
      <c r="AA184" s="1" t="str">
        <f t="shared" si="62"/>
        <v>5-2000</v>
      </c>
      <c r="AB184" s="1" t="str">
        <f t="shared" si="63"/>
        <v>5-2020</v>
      </c>
      <c r="AD184" s="1" t="str">
        <f t="shared" si="44"/>
        <v/>
      </c>
      <c r="AE184" s="1" t="str">
        <f t="shared" si="45"/>
        <v/>
      </c>
      <c r="AF184" s="1" t="str">
        <f t="shared" si="46"/>
        <v/>
      </c>
      <c r="AG184" s="1" t="str">
        <f t="shared" si="47"/>
        <v/>
      </c>
      <c r="AH184" s="1" t="str">
        <f t="shared" si="48"/>
        <v/>
      </c>
      <c r="AI184" s="1" t="str">
        <f t="shared" si="49"/>
        <v/>
      </c>
      <c r="AJ184" s="1" t="str">
        <f t="shared" si="50"/>
        <v/>
      </c>
      <c r="AK184" s="1" t="str">
        <f t="shared" si="51"/>
        <v/>
      </c>
      <c r="AL184" s="1" t="str">
        <f t="shared" si="52"/>
        <v xml:space="preserve">PERFORM * FROM "SchData-OLTP-Accounting"."Func_TblChartOfAccount_SET"(varSystemLoginSession, null, null, null, varInstitutionBranchID, null, '5-2020', 'Salary Indirect', 62000000000001::bigint, '2016-01-01 00:00:00'::timestamp, null::timestamp); </v>
      </c>
      <c r="AM184" s="1" t="str">
        <f t="shared" si="53"/>
        <v/>
      </c>
      <c r="AO184" s="8" t="str">
        <f t="shared" si="65"/>
        <v xml:space="preserve">PERFORM * FROM "SchData-OLTP-Accounting"."Func_TblChartOfAccount_SET"(varSystemLoginSession, null, null, null, varInstitutionBranchID, null, '5-2020', 'Salary Indirect', 62000000000001::bigint, '2016-01-01 00:00:00'::timestamp, null::timestamp); </v>
      </c>
    </row>
    <row r="185" spans="2:41" x14ac:dyDescent="0.25">
      <c r="B185" s="1">
        <v>3</v>
      </c>
      <c r="C185" s="2" t="s">
        <v>376</v>
      </c>
      <c r="D185" s="1" t="s">
        <v>377</v>
      </c>
      <c r="O185" s="2" t="s">
        <v>376</v>
      </c>
      <c r="Q185" s="22" t="str">
        <f t="shared" si="64"/>
        <v>Overtime Direct</v>
      </c>
      <c r="S185" s="1" t="str">
        <f t="shared" si="54"/>
        <v>2-PASV</v>
      </c>
      <c r="T185" s="1" t="str">
        <f t="shared" si="55"/>
        <v>3-0000</v>
      </c>
      <c r="U185" s="1" t="str">
        <f t="shared" si="56"/>
        <v>3-3000</v>
      </c>
      <c r="V185" s="1" t="str">
        <f t="shared" si="57"/>
        <v>4-1EAT</v>
      </c>
      <c r="W185" s="1" t="str">
        <f t="shared" si="58"/>
        <v>4-2EBT</v>
      </c>
      <c r="X185" s="1" t="str">
        <f t="shared" si="59"/>
        <v>4-3OPF</v>
      </c>
      <c r="Y185" s="1" t="str">
        <f t="shared" si="60"/>
        <v>4-4GPF</v>
      </c>
      <c r="Z185" s="1" t="str">
        <f t="shared" si="61"/>
        <v>5-0000</v>
      </c>
      <c r="AA185" s="1" t="str">
        <f t="shared" si="62"/>
        <v>5-2000</v>
      </c>
      <c r="AB185" s="1" t="str">
        <f t="shared" si="63"/>
        <v>5-2110</v>
      </c>
      <c r="AD185" s="1" t="str">
        <f t="shared" si="44"/>
        <v/>
      </c>
      <c r="AE185" s="1" t="str">
        <f t="shared" si="45"/>
        <v/>
      </c>
      <c r="AF185" s="1" t="str">
        <f t="shared" si="46"/>
        <v/>
      </c>
      <c r="AG185" s="1" t="str">
        <f t="shared" si="47"/>
        <v/>
      </c>
      <c r="AH185" s="1" t="str">
        <f t="shared" si="48"/>
        <v/>
      </c>
      <c r="AI185" s="1" t="str">
        <f t="shared" si="49"/>
        <v/>
      </c>
      <c r="AJ185" s="1" t="str">
        <f t="shared" si="50"/>
        <v/>
      </c>
      <c r="AK185" s="1" t="str">
        <f t="shared" si="51"/>
        <v/>
      </c>
      <c r="AL185" s="1" t="str">
        <f t="shared" si="52"/>
        <v xml:space="preserve">PERFORM * FROM "SchData-OLTP-Accounting"."Func_TblChartOfAccount_SET"(varSystemLoginSession, null, null, null, varInstitutionBranchID, null, '5-2110', 'Overtime Direct', 62000000000001::bigint, '2016-01-01 00:00:00'::timestamp, null::timestamp); </v>
      </c>
      <c r="AM185" s="1" t="str">
        <f t="shared" si="53"/>
        <v/>
      </c>
      <c r="AO185" s="8" t="str">
        <f t="shared" si="65"/>
        <v xml:space="preserve">PERFORM * FROM "SchData-OLTP-Accounting"."Func_TblChartOfAccount_SET"(varSystemLoginSession, null, null, null, varInstitutionBranchID, null, '5-2110', 'Overtime Direct', 62000000000001::bigint, '2016-01-01 00:00:00'::timestamp, null::timestamp); </v>
      </c>
    </row>
    <row r="186" spans="2:41" x14ac:dyDescent="0.25">
      <c r="B186" s="1">
        <v>3</v>
      </c>
      <c r="C186" s="2" t="s">
        <v>378</v>
      </c>
      <c r="D186" s="1" t="s">
        <v>379</v>
      </c>
      <c r="O186" s="2" t="s">
        <v>378</v>
      </c>
      <c r="Q186" s="22" t="str">
        <f t="shared" si="64"/>
        <v>Overtime Indirect</v>
      </c>
      <c r="S186" s="1" t="str">
        <f t="shared" si="54"/>
        <v>2-PASV</v>
      </c>
      <c r="T186" s="1" t="str">
        <f t="shared" si="55"/>
        <v>3-0000</v>
      </c>
      <c r="U186" s="1" t="str">
        <f t="shared" si="56"/>
        <v>3-3000</v>
      </c>
      <c r="V186" s="1" t="str">
        <f t="shared" si="57"/>
        <v>4-1EAT</v>
      </c>
      <c r="W186" s="1" t="str">
        <f t="shared" si="58"/>
        <v>4-2EBT</v>
      </c>
      <c r="X186" s="1" t="str">
        <f t="shared" si="59"/>
        <v>4-3OPF</v>
      </c>
      <c r="Y186" s="1" t="str">
        <f t="shared" si="60"/>
        <v>4-4GPF</v>
      </c>
      <c r="Z186" s="1" t="str">
        <f t="shared" si="61"/>
        <v>5-0000</v>
      </c>
      <c r="AA186" s="1" t="str">
        <f t="shared" si="62"/>
        <v>5-2000</v>
      </c>
      <c r="AB186" s="1" t="str">
        <f t="shared" si="63"/>
        <v>5-2120</v>
      </c>
      <c r="AD186" s="1" t="str">
        <f t="shared" si="44"/>
        <v/>
      </c>
      <c r="AE186" s="1" t="str">
        <f t="shared" si="45"/>
        <v/>
      </c>
      <c r="AF186" s="1" t="str">
        <f t="shared" si="46"/>
        <v/>
      </c>
      <c r="AG186" s="1" t="str">
        <f t="shared" si="47"/>
        <v/>
      </c>
      <c r="AH186" s="1" t="str">
        <f t="shared" si="48"/>
        <v/>
      </c>
      <c r="AI186" s="1" t="str">
        <f t="shared" si="49"/>
        <v/>
      </c>
      <c r="AJ186" s="1" t="str">
        <f t="shared" si="50"/>
        <v/>
      </c>
      <c r="AK186" s="1" t="str">
        <f t="shared" si="51"/>
        <v/>
      </c>
      <c r="AL186" s="1" t="str">
        <f t="shared" si="52"/>
        <v xml:space="preserve">PERFORM * FROM "SchData-OLTP-Accounting"."Func_TblChartOfAccount_SET"(varSystemLoginSession, null, null, null, varInstitutionBranchID, null, '5-2120', 'Overtime Indirect', 62000000000001::bigint, '2016-01-01 00:00:00'::timestamp, null::timestamp); </v>
      </c>
      <c r="AM186" s="1" t="str">
        <f t="shared" si="53"/>
        <v/>
      </c>
      <c r="AO186" s="8" t="str">
        <f t="shared" si="65"/>
        <v xml:space="preserve">PERFORM * FROM "SchData-OLTP-Accounting"."Func_TblChartOfAccount_SET"(varSystemLoginSession, null, null, null, varInstitutionBranchID, null, '5-2120', 'Overtime Indirect', 62000000000001::bigint, '2016-01-01 00:00:00'::timestamp, null::timestamp); </v>
      </c>
    </row>
    <row r="187" spans="2:41" x14ac:dyDescent="0.25">
      <c r="B187" s="1">
        <v>3</v>
      </c>
      <c r="C187" s="2" t="s">
        <v>380</v>
      </c>
      <c r="D187" s="1" t="s">
        <v>381</v>
      </c>
      <c r="O187" s="2" t="s">
        <v>380</v>
      </c>
      <c r="Q187" s="22" t="str">
        <f t="shared" si="64"/>
        <v>Jamsostek Direct</v>
      </c>
      <c r="S187" s="1" t="str">
        <f t="shared" si="54"/>
        <v>2-PASV</v>
      </c>
      <c r="T187" s="1" t="str">
        <f t="shared" si="55"/>
        <v>3-0000</v>
      </c>
      <c r="U187" s="1" t="str">
        <f t="shared" si="56"/>
        <v>3-3000</v>
      </c>
      <c r="V187" s="1" t="str">
        <f t="shared" si="57"/>
        <v>4-1EAT</v>
      </c>
      <c r="W187" s="1" t="str">
        <f t="shared" si="58"/>
        <v>4-2EBT</v>
      </c>
      <c r="X187" s="1" t="str">
        <f t="shared" si="59"/>
        <v>4-3OPF</v>
      </c>
      <c r="Y187" s="1" t="str">
        <f t="shared" si="60"/>
        <v>4-4GPF</v>
      </c>
      <c r="Z187" s="1" t="str">
        <f t="shared" si="61"/>
        <v>5-0000</v>
      </c>
      <c r="AA187" s="1" t="str">
        <f t="shared" si="62"/>
        <v>5-2000</v>
      </c>
      <c r="AB187" s="1" t="str">
        <f t="shared" si="63"/>
        <v>5-2210</v>
      </c>
      <c r="AD187" s="1" t="str">
        <f t="shared" si="44"/>
        <v/>
      </c>
      <c r="AE187" s="1" t="str">
        <f t="shared" si="45"/>
        <v/>
      </c>
      <c r="AF187" s="1" t="str">
        <f t="shared" si="46"/>
        <v/>
      </c>
      <c r="AG187" s="1" t="str">
        <f t="shared" si="47"/>
        <v/>
      </c>
      <c r="AH187" s="1" t="str">
        <f t="shared" si="48"/>
        <v/>
      </c>
      <c r="AI187" s="1" t="str">
        <f t="shared" si="49"/>
        <v/>
      </c>
      <c r="AJ187" s="1" t="str">
        <f t="shared" si="50"/>
        <v/>
      </c>
      <c r="AK187" s="1" t="str">
        <f t="shared" si="51"/>
        <v/>
      </c>
      <c r="AL187" s="1" t="str">
        <f t="shared" si="52"/>
        <v xml:space="preserve">PERFORM * FROM "SchData-OLTP-Accounting"."Func_TblChartOfAccount_SET"(varSystemLoginSession, null, null, null, varInstitutionBranchID, null, '5-2210', 'Jamsostek Direct', 62000000000001::bigint, '2016-01-01 00:00:00'::timestamp, null::timestamp); </v>
      </c>
      <c r="AM187" s="1" t="str">
        <f t="shared" si="53"/>
        <v/>
      </c>
      <c r="AO187" s="8" t="str">
        <f t="shared" si="65"/>
        <v xml:space="preserve">PERFORM * FROM "SchData-OLTP-Accounting"."Func_TblChartOfAccount_SET"(varSystemLoginSession, null, null, null, varInstitutionBranchID, null, '5-2210', 'Jamsostek Direct', 62000000000001::bigint, '2016-01-01 00:00:00'::timestamp, null::timestamp); </v>
      </c>
    </row>
    <row r="188" spans="2:41" x14ac:dyDescent="0.25">
      <c r="B188" s="1">
        <v>3</v>
      </c>
      <c r="C188" s="2" t="s">
        <v>382</v>
      </c>
      <c r="D188" s="1" t="s">
        <v>383</v>
      </c>
      <c r="O188" s="2" t="s">
        <v>382</v>
      </c>
      <c r="Q188" s="22" t="str">
        <f t="shared" si="64"/>
        <v>Jamsostek Indirect</v>
      </c>
      <c r="S188" s="1" t="str">
        <f t="shared" si="54"/>
        <v>2-PASV</v>
      </c>
      <c r="T188" s="1" t="str">
        <f t="shared" si="55"/>
        <v>3-0000</v>
      </c>
      <c r="U188" s="1" t="str">
        <f t="shared" si="56"/>
        <v>3-3000</v>
      </c>
      <c r="V188" s="1" t="str">
        <f t="shared" si="57"/>
        <v>4-1EAT</v>
      </c>
      <c r="W188" s="1" t="str">
        <f t="shared" si="58"/>
        <v>4-2EBT</v>
      </c>
      <c r="X188" s="1" t="str">
        <f t="shared" si="59"/>
        <v>4-3OPF</v>
      </c>
      <c r="Y188" s="1" t="str">
        <f t="shared" si="60"/>
        <v>4-4GPF</v>
      </c>
      <c r="Z188" s="1" t="str">
        <f t="shared" si="61"/>
        <v>5-0000</v>
      </c>
      <c r="AA188" s="1" t="str">
        <f t="shared" si="62"/>
        <v>5-2000</v>
      </c>
      <c r="AB188" s="1" t="str">
        <f t="shared" si="63"/>
        <v>5-2220</v>
      </c>
      <c r="AD188" s="1" t="str">
        <f t="shared" si="44"/>
        <v/>
      </c>
      <c r="AE188" s="1" t="str">
        <f t="shared" si="45"/>
        <v/>
      </c>
      <c r="AF188" s="1" t="str">
        <f t="shared" si="46"/>
        <v/>
      </c>
      <c r="AG188" s="1" t="str">
        <f t="shared" si="47"/>
        <v/>
      </c>
      <c r="AH188" s="1" t="str">
        <f t="shared" si="48"/>
        <v/>
      </c>
      <c r="AI188" s="1" t="str">
        <f t="shared" si="49"/>
        <v/>
      </c>
      <c r="AJ188" s="1" t="str">
        <f t="shared" si="50"/>
        <v/>
      </c>
      <c r="AK188" s="1" t="str">
        <f t="shared" si="51"/>
        <v/>
      </c>
      <c r="AL188" s="1" t="str">
        <f t="shared" si="52"/>
        <v xml:space="preserve">PERFORM * FROM "SchData-OLTP-Accounting"."Func_TblChartOfAccount_SET"(varSystemLoginSession, null, null, null, varInstitutionBranchID, null, '5-2220', 'Jamsostek Indirect', 62000000000001::bigint, '2016-01-01 00:00:00'::timestamp, null::timestamp); </v>
      </c>
      <c r="AM188" s="1" t="str">
        <f t="shared" si="53"/>
        <v/>
      </c>
      <c r="AO188" s="8" t="str">
        <f t="shared" si="65"/>
        <v xml:space="preserve">PERFORM * FROM "SchData-OLTP-Accounting"."Func_TblChartOfAccount_SET"(varSystemLoginSession, null, null, null, varInstitutionBranchID, null, '5-2220', 'Jamsostek Indirect', 62000000000001::bigint, '2016-01-01 00:00:00'::timestamp, null::timestamp); </v>
      </c>
    </row>
    <row r="189" spans="2:41" x14ac:dyDescent="0.25">
      <c r="B189" s="1">
        <v>3</v>
      </c>
      <c r="C189" s="2" t="s">
        <v>384</v>
      </c>
      <c r="D189" s="1" t="s">
        <v>385</v>
      </c>
      <c r="O189" s="2" t="s">
        <v>384</v>
      </c>
      <c r="Q189" s="22" t="str">
        <f t="shared" si="64"/>
        <v>Bonus,THR-Direct</v>
      </c>
      <c r="S189" s="1" t="str">
        <f t="shared" si="54"/>
        <v>2-PASV</v>
      </c>
      <c r="T189" s="1" t="str">
        <f t="shared" si="55"/>
        <v>3-0000</v>
      </c>
      <c r="U189" s="1" t="str">
        <f t="shared" si="56"/>
        <v>3-3000</v>
      </c>
      <c r="V189" s="1" t="str">
        <f t="shared" si="57"/>
        <v>4-1EAT</v>
      </c>
      <c r="W189" s="1" t="str">
        <f t="shared" si="58"/>
        <v>4-2EBT</v>
      </c>
      <c r="X189" s="1" t="str">
        <f t="shared" si="59"/>
        <v>4-3OPF</v>
      </c>
      <c r="Y189" s="1" t="str">
        <f t="shared" si="60"/>
        <v>4-4GPF</v>
      </c>
      <c r="Z189" s="1" t="str">
        <f t="shared" si="61"/>
        <v>5-0000</v>
      </c>
      <c r="AA189" s="1" t="str">
        <f t="shared" si="62"/>
        <v>5-2000</v>
      </c>
      <c r="AB189" s="1" t="str">
        <f t="shared" si="63"/>
        <v>5-2310</v>
      </c>
      <c r="AD189" s="1" t="str">
        <f t="shared" si="44"/>
        <v/>
      </c>
      <c r="AE189" s="1" t="str">
        <f t="shared" si="45"/>
        <v/>
      </c>
      <c r="AF189" s="1" t="str">
        <f t="shared" si="46"/>
        <v/>
      </c>
      <c r="AG189" s="1" t="str">
        <f t="shared" si="47"/>
        <v/>
      </c>
      <c r="AH189" s="1" t="str">
        <f t="shared" si="48"/>
        <v/>
      </c>
      <c r="AI189" s="1" t="str">
        <f t="shared" si="49"/>
        <v/>
      </c>
      <c r="AJ189" s="1" t="str">
        <f t="shared" si="50"/>
        <v/>
      </c>
      <c r="AK189" s="1" t="str">
        <f t="shared" si="51"/>
        <v/>
      </c>
      <c r="AL189" s="1" t="str">
        <f t="shared" si="52"/>
        <v xml:space="preserve">PERFORM * FROM "SchData-OLTP-Accounting"."Func_TblChartOfAccount_SET"(varSystemLoginSession, null, null, null, varInstitutionBranchID, null, '5-2310', 'Bonus,THR-Direct', 62000000000001::bigint, '2016-01-01 00:00:00'::timestamp, null::timestamp); </v>
      </c>
      <c r="AM189" s="1" t="str">
        <f t="shared" si="53"/>
        <v/>
      </c>
      <c r="AO189" s="8" t="str">
        <f t="shared" si="65"/>
        <v xml:space="preserve">PERFORM * FROM "SchData-OLTP-Accounting"."Func_TblChartOfAccount_SET"(varSystemLoginSession, null, null, null, varInstitutionBranchID, null, '5-2310', 'Bonus,THR-Direct', 62000000000001::bigint, '2016-01-01 00:00:00'::timestamp, null::timestamp); </v>
      </c>
    </row>
    <row r="190" spans="2:41" x14ac:dyDescent="0.25">
      <c r="B190" s="1">
        <v>3</v>
      </c>
      <c r="C190" s="2" t="s">
        <v>386</v>
      </c>
      <c r="D190" s="1" t="s">
        <v>387</v>
      </c>
      <c r="O190" s="2" t="s">
        <v>386</v>
      </c>
      <c r="Q190" s="22" t="str">
        <f t="shared" si="64"/>
        <v>Performance Bonus-Direct</v>
      </c>
      <c r="S190" s="1" t="str">
        <f t="shared" si="54"/>
        <v>2-PASV</v>
      </c>
      <c r="T190" s="1" t="str">
        <f t="shared" si="55"/>
        <v>3-0000</v>
      </c>
      <c r="U190" s="1" t="str">
        <f t="shared" si="56"/>
        <v>3-3000</v>
      </c>
      <c r="V190" s="1" t="str">
        <f t="shared" si="57"/>
        <v>4-1EAT</v>
      </c>
      <c r="W190" s="1" t="str">
        <f t="shared" si="58"/>
        <v>4-2EBT</v>
      </c>
      <c r="X190" s="1" t="str">
        <f t="shared" si="59"/>
        <v>4-3OPF</v>
      </c>
      <c r="Y190" s="1" t="str">
        <f t="shared" si="60"/>
        <v>4-4GPF</v>
      </c>
      <c r="Z190" s="1" t="str">
        <f t="shared" si="61"/>
        <v>5-0000</v>
      </c>
      <c r="AA190" s="1" t="str">
        <f t="shared" si="62"/>
        <v>5-2000</v>
      </c>
      <c r="AB190" s="1" t="str">
        <f t="shared" si="63"/>
        <v>5-2315</v>
      </c>
      <c r="AD190" s="1" t="str">
        <f t="shared" si="44"/>
        <v/>
      </c>
      <c r="AE190" s="1" t="str">
        <f t="shared" si="45"/>
        <v/>
      </c>
      <c r="AF190" s="1" t="str">
        <f t="shared" si="46"/>
        <v/>
      </c>
      <c r="AG190" s="1" t="str">
        <f t="shared" si="47"/>
        <v/>
      </c>
      <c r="AH190" s="1" t="str">
        <f t="shared" si="48"/>
        <v/>
      </c>
      <c r="AI190" s="1" t="str">
        <f t="shared" si="49"/>
        <v/>
      </c>
      <c r="AJ190" s="1" t="str">
        <f t="shared" si="50"/>
        <v/>
      </c>
      <c r="AK190" s="1" t="str">
        <f t="shared" si="51"/>
        <v/>
      </c>
      <c r="AL190" s="1" t="str">
        <f t="shared" si="52"/>
        <v xml:space="preserve">PERFORM * FROM "SchData-OLTP-Accounting"."Func_TblChartOfAccount_SET"(varSystemLoginSession, null, null, null, varInstitutionBranchID, null, '5-2315', 'Performance Bonus-Direct', 62000000000001::bigint, '2016-01-01 00:00:00'::timestamp, null::timestamp); </v>
      </c>
      <c r="AM190" s="1" t="str">
        <f t="shared" si="53"/>
        <v/>
      </c>
      <c r="AO190" s="8" t="str">
        <f t="shared" si="65"/>
        <v xml:space="preserve">PERFORM * FROM "SchData-OLTP-Accounting"."Func_TblChartOfAccount_SET"(varSystemLoginSession, null, null, null, varInstitutionBranchID, null, '5-2315', 'Performance Bonus-Direct', 62000000000001::bigint, '2016-01-01 00:00:00'::timestamp, null::timestamp); </v>
      </c>
    </row>
    <row r="191" spans="2:41" x14ac:dyDescent="0.25">
      <c r="B191" s="1">
        <v>3</v>
      </c>
      <c r="C191" s="2" t="s">
        <v>388</v>
      </c>
      <c r="D191" s="1" t="s">
        <v>389</v>
      </c>
      <c r="O191" s="2" t="s">
        <v>388</v>
      </c>
      <c r="Q191" s="22" t="str">
        <f t="shared" si="64"/>
        <v>Bonus,THR-Indirect</v>
      </c>
      <c r="S191" s="1" t="str">
        <f t="shared" si="54"/>
        <v>2-PASV</v>
      </c>
      <c r="T191" s="1" t="str">
        <f t="shared" si="55"/>
        <v>3-0000</v>
      </c>
      <c r="U191" s="1" t="str">
        <f t="shared" si="56"/>
        <v>3-3000</v>
      </c>
      <c r="V191" s="1" t="str">
        <f t="shared" si="57"/>
        <v>4-1EAT</v>
      </c>
      <c r="W191" s="1" t="str">
        <f t="shared" si="58"/>
        <v>4-2EBT</v>
      </c>
      <c r="X191" s="1" t="str">
        <f t="shared" si="59"/>
        <v>4-3OPF</v>
      </c>
      <c r="Y191" s="1" t="str">
        <f t="shared" si="60"/>
        <v>4-4GPF</v>
      </c>
      <c r="Z191" s="1" t="str">
        <f t="shared" si="61"/>
        <v>5-0000</v>
      </c>
      <c r="AA191" s="1" t="str">
        <f t="shared" si="62"/>
        <v>5-2000</v>
      </c>
      <c r="AB191" s="1" t="str">
        <f t="shared" si="63"/>
        <v>5-2320</v>
      </c>
      <c r="AD191" s="1" t="str">
        <f t="shared" si="44"/>
        <v/>
      </c>
      <c r="AE191" s="1" t="str">
        <f t="shared" si="45"/>
        <v/>
      </c>
      <c r="AF191" s="1" t="str">
        <f t="shared" si="46"/>
        <v/>
      </c>
      <c r="AG191" s="1" t="str">
        <f t="shared" si="47"/>
        <v/>
      </c>
      <c r="AH191" s="1" t="str">
        <f t="shared" si="48"/>
        <v/>
      </c>
      <c r="AI191" s="1" t="str">
        <f t="shared" si="49"/>
        <v/>
      </c>
      <c r="AJ191" s="1" t="str">
        <f t="shared" si="50"/>
        <v/>
      </c>
      <c r="AK191" s="1" t="str">
        <f t="shared" si="51"/>
        <v/>
      </c>
      <c r="AL191" s="1" t="str">
        <f t="shared" si="52"/>
        <v xml:space="preserve">PERFORM * FROM "SchData-OLTP-Accounting"."Func_TblChartOfAccount_SET"(varSystemLoginSession, null, null, null, varInstitutionBranchID, null, '5-2320', 'Bonus,THR-Indirect', 62000000000001::bigint, '2016-01-01 00:00:00'::timestamp, null::timestamp); </v>
      </c>
      <c r="AM191" s="1" t="str">
        <f t="shared" si="53"/>
        <v/>
      </c>
      <c r="AO191" s="8" t="str">
        <f t="shared" si="65"/>
        <v xml:space="preserve">PERFORM * FROM "SchData-OLTP-Accounting"."Func_TblChartOfAccount_SET"(varSystemLoginSession, null, null, null, varInstitutionBranchID, null, '5-2320', 'Bonus,THR-Indirect', 62000000000001::bigint, '2016-01-01 00:00:00'::timestamp, null::timestamp); </v>
      </c>
    </row>
    <row r="192" spans="2:41" x14ac:dyDescent="0.25">
      <c r="B192" s="1">
        <v>3</v>
      </c>
      <c r="C192" s="2" t="s">
        <v>390</v>
      </c>
      <c r="D192" s="1" t="s">
        <v>391</v>
      </c>
      <c r="O192" s="2" t="s">
        <v>390</v>
      </c>
      <c r="Q192" s="22" t="str">
        <f t="shared" si="64"/>
        <v>Performance Bonus-Indirect</v>
      </c>
      <c r="S192" s="1" t="str">
        <f t="shared" si="54"/>
        <v>2-PASV</v>
      </c>
      <c r="T192" s="1" t="str">
        <f t="shared" si="55"/>
        <v>3-0000</v>
      </c>
      <c r="U192" s="1" t="str">
        <f t="shared" si="56"/>
        <v>3-3000</v>
      </c>
      <c r="V192" s="1" t="str">
        <f t="shared" si="57"/>
        <v>4-1EAT</v>
      </c>
      <c r="W192" s="1" t="str">
        <f t="shared" si="58"/>
        <v>4-2EBT</v>
      </c>
      <c r="X192" s="1" t="str">
        <f t="shared" si="59"/>
        <v>4-3OPF</v>
      </c>
      <c r="Y192" s="1" t="str">
        <f t="shared" si="60"/>
        <v>4-4GPF</v>
      </c>
      <c r="Z192" s="1" t="str">
        <f t="shared" si="61"/>
        <v>5-0000</v>
      </c>
      <c r="AA192" s="1" t="str">
        <f t="shared" si="62"/>
        <v>5-2000</v>
      </c>
      <c r="AB192" s="1" t="str">
        <f t="shared" si="63"/>
        <v>5-2325</v>
      </c>
      <c r="AD192" s="1" t="str">
        <f t="shared" si="44"/>
        <v/>
      </c>
      <c r="AE192" s="1" t="str">
        <f t="shared" si="45"/>
        <v/>
      </c>
      <c r="AF192" s="1" t="str">
        <f t="shared" si="46"/>
        <v/>
      </c>
      <c r="AG192" s="1" t="str">
        <f t="shared" si="47"/>
        <v/>
      </c>
      <c r="AH192" s="1" t="str">
        <f t="shared" si="48"/>
        <v/>
      </c>
      <c r="AI192" s="1" t="str">
        <f t="shared" si="49"/>
        <v/>
      </c>
      <c r="AJ192" s="1" t="str">
        <f t="shared" si="50"/>
        <v/>
      </c>
      <c r="AK192" s="1" t="str">
        <f t="shared" si="51"/>
        <v/>
      </c>
      <c r="AL192" s="1" t="str">
        <f t="shared" si="52"/>
        <v xml:space="preserve">PERFORM * FROM "SchData-OLTP-Accounting"."Func_TblChartOfAccount_SET"(varSystemLoginSession, null, null, null, varInstitutionBranchID, null, '5-2325', 'Performance Bonus-Indirect', 62000000000001::bigint, '2016-01-01 00:00:00'::timestamp, null::timestamp); </v>
      </c>
      <c r="AM192" s="1" t="str">
        <f t="shared" si="53"/>
        <v/>
      </c>
      <c r="AO192" s="8" t="str">
        <f t="shared" si="65"/>
        <v xml:space="preserve">PERFORM * FROM "SchData-OLTP-Accounting"."Func_TblChartOfAccount_SET"(varSystemLoginSession, null, null, null, varInstitutionBranchID, null, '5-2325', 'Performance Bonus-Indirect', 62000000000001::bigint, '2016-01-01 00:00:00'::timestamp, null::timestamp); </v>
      </c>
    </row>
    <row r="193" spans="2:41" x14ac:dyDescent="0.25">
      <c r="B193" s="1">
        <v>3</v>
      </c>
      <c r="C193" s="2" t="s">
        <v>392</v>
      </c>
      <c r="D193" s="1" t="s">
        <v>393</v>
      </c>
      <c r="O193" s="2" t="s">
        <v>392</v>
      </c>
      <c r="Q193" s="22" t="str">
        <f t="shared" si="64"/>
        <v>Personal Income Tax-Direct</v>
      </c>
      <c r="S193" s="1" t="str">
        <f t="shared" si="54"/>
        <v>2-PASV</v>
      </c>
      <c r="T193" s="1" t="str">
        <f t="shared" si="55"/>
        <v>3-0000</v>
      </c>
      <c r="U193" s="1" t="str">
        <f t="shared" si="56"/>
        <v>3-3000</v>
      </c>
      <c r="V193" s="1" t="str">
        <f t="shared" si="57"/>
        <v>4-1EAT</v>
      </c>
      <c r="W193" s="1" t="str">
        <f t="shared" si="58"/>
        <v>4-2EBT</v>
      </c>
      <c r="X193" s="1" t="str">
        <f t="shared" si="59"/>
        <v>4-3OPF</v>
      </c>
      <c r="Y193" s="1" t="str">
        <f t="shared" si="60"/>
        <v>4-4GPF</v>
      </c>
      <c r="Z193" s="1" t="str">
        <f t="shared" si="61"/>
        <v>5-0000</v>
      </c>
      <c r="AA193" s="1" t="str">
        <f t="shared" si="62"/>
        <v>5-2000</v>
      </c>
      <c r="AB193" s="1" t="str">
        <f t="shared" si="63"/>
        <v>5-2410</v>
      </c>
      <c r="AD193" s="1" t="str">
        <f t="shared" si="44"/>
        <v/>
      </c>
      <c r="AE193" s="1" t="str">
        <f t="shared" si="45"/>
        <v/>
      </c>
      <c r="AF193" s="1" t="str">
        <f t="shared" si="46"/>
        <v/>
      </c>
      <c r="AG193" s="1" t="str">
        <f t="shared" si="47"/>
        <v/>
      </c>
      <c r="AH193" s="1" t="str">
        <f t="shared" si="48"/>
        <v/>
      </c>
      <c r="AI193" s="1" t="str">
        <f t="shared" si="49"/>
        <v/>
      </c>
      <c r="AJ193" s="1" t="str">
        <f t="shared" si="50"/>
        <v/>
      </c>
      <c r="AK193" s="1" t="str">
        <f t="shared" si="51"/>
        <v/>
      </c>
      <c r="AL193" s="1" t="str">
        <f t="shared" si="52"/>
        <v xml:space="preserve">PERFORM * FROM "SchData-OLTP-Accounting"."Func_TblChartOfAccount_SET"(varSystemLoginSession, null, null, null, varInstitutionBranchID, null, '5-2410', 'Personal Income Tax-Direct', 62000000000001::bigint, '2016-01-01 00:00:00'::timestamp, null::timestamp); </v>
      </c>
      <c r="AM193" s="1" t="str">
        <f t="shared" si="53"/>
        <v/>
      </c>
      <c r="AO193" s="8" t="str">
        <f t="shared" si="65"/>
        <v xml:space="preserve">PERFORM * FROM "SchData-OLTP-Accounting"."Func_TblChartOfAccount_SET"(varSystemLoginSession, null, null, null, varInstitutionBranchID, null, '5-2410', 'Personal Income Tax-Direct', 62000000000001::bigint, '2016-01-01 00:00:00'::timestamp, null::timestamp); </v>
      </c>
    </row>
    <row r="194" spans="2:41" x14ac:dyDescent="0.25">
      <c r="B194" s="1">
        <v>3</v>
      </c>
      <c r="C194" s="2" t="s">
        <v>394</v>
      </c>
      <c r="D194" s="1" t="s">
        <v>395</v>
      </c>
      <c r="O194" s="2" t="s">
        <v>394</v>
      </c>
      <c r="Q194" s="22" t="str">
        <f t="shared" si="64"/>
        <v>Personal Income Tax-Indirect</v>
      </c>
      <c r="S194" s="1" t="str">
        <f t="shared" si="54"/>
        <v>2-PASV</v>
      </c>
      <c r="T194" s="1" t="str">
        <f t="shared" si="55"/>
        <v>3-0000</v>
      </c>
      <c r="U194" s="1" t="str">
        <f t="shared" si="56"/>
        <v>3-3000</v>
      </c>
      <c r="V194" s="1" t="str">
        <f t="shared" si="57"/>
        <v>4-1EAT</v>
      </c>
      <c r="W194" s="1" t="str">
        <f t="shared" si="58"/>
        <v>4-2EBT</v>
      </c>
      <c r="X194" s="1" t="str">
        <f t="shared" si="59"/>
        <v>4-3OPF</v>
      </c>
      <c r="Y194" s="1" t="str">
        <f t="shared" si="60"/>
        <v>4-4GPF</v>
      </c>
      <c r="Z194" s="1" t="str">
        <f t="shared" si="61"/>
        <v>5-0000</v>
      </c>
      <c r="AA194" s="1" t="str">
        <f t="shared" si="62"/>
        <v>5-2000</v>
      </c>
      <c r="AB194" s="1" t="str">
        <f t="shared" si="63"/>
        <v>5-2420</v>
      </c>
      <c r="AD194" s="1" t="str">
        <f t="shared" si="44"/>
        <v/>
      </c>
      <c r="AE194" s="1" t="str">
        <f t="shared" si="45"/>
        <v/>
      </c>
      <c r="AF194" s="1" t="str">
        <f t="shared" si="46"/>
        <v/>
      </c>
      <c r="AG194" s="1" t="str">
        <f t="shared" si="47"/>
        <v/>
      </c>
      <c r="AH194" s="1" t="str">
        <f t="shared" si="48"/>
        <v/>
      </c>
      <c r="AI194" s="1" t="str">
        <f t="shared" si="49"/>
        <v/>
      </c>
      <c r="AJ194" s="1" t="str">
        <f t="shared" si="50"/>
        <v/>
      </c>
      <c r="AK194" s="1" t="str">
        <f t="shared" si="51"/>
        <v/>
      </c>
      <c r="AL194" s="1" t="str">
        <f t="shared" si="52"/>
        <v xml:space="preserve">PERFORM * FROM "SchData-OLTP-Accounting"."Func_TblChartOfAccount_SET"(varSystemLoginSession, null, null, null, varInstitutionBranchID, null, '5-2420', 'Personal Income Tax-Indirect', 62000000000001::bigint, '2016-01-01 00:00:00'::timestamp, null::timestamp); </v>
      </c>
      <c r="AM194" s="1" t="str">
        <f t="shared" si="53"/>
        <v/>
      </c>
      <c r="AO194" s="8" t="str">
        <f t="shared" si="65"/>
        <v xml:space="preserve">PERFORM * FROM "SchData-OLTP-Accounting"."Func_TblChartOfAccount_SET"(varSystemLoginSession, null, null, null, varInstitutionBranchID, null, '5-2420', 'Personal Income Tax-Indirect', 62000000000001::bigint, '2016-01-01 00:00:00'::timestamp, null::timestamp); </v>
      </c>
    </row>
    <row r="195" spans="2:41" x14ac:dyDescent="0.25">
      <c r="B195" s="1">
        <v>3</v>
      </c>
      <c r="C195" s="2" t="s">
        <v>396</v>
      </c>
      <c r="D195" s="1" t="s">
        <v>397</v>
      </c>
      <c r="O195" s="2" t="s">
        <v>396</v>
      </c>
      <c r="Q195" s="22" t="str">
        <f t="shared" si="64"/>
        <v>Uniform,Protect Clothe-Direct</v>
      </c>
      <c r="S195" s="1" t="str">
        <f t="shared" si="54"/>
        <v>2-PASV</v>
      </c>
      <c r="T195" s="1" t="str">
        <f t="shared" si="55"/>
        <v>3-0000</v>
      </c>
      <c r="U195" s="1" t="str">
        <f t="shared" si="56"/>
        <v>3-3000</v>
      </c>
      <c r="V195" s="1" t="str">
        <f t="shared" si="57"/>
        <v>4-1EAT</v>
      </c>
      <c r="W195" s="1" t="str">
        <f t="shared" si="58"/>
        <v>4-2EBT</v>
      </c>
      <c r="X195" s="1" t="str">
        <f t="shared" si="59"/>
        <v>4-3OPF</v>
      </c>
      <c r="Y195" s="1" t="str">
        <f t="shared" si="60"/>
        <v>4-4GPF</v>
      </c>
      <c r="Z195" s="1" t="str">
        <f t="shared" si="61"/>
        <v>5-0000</v>
      </c>
      <c r="AA195" s="1" t="str">
        <f t="shared" si="62"/>
        <v>5-2000</v>
      </c>
      <c r="AB195" s="1" t="str">
        <f t="shared" si="63"/>
        <v>5-2510</v>
      </c>
      <c r="AD195" s="1" t="str">
        <f t="shared" si="44"/>
        <v/>
      </c>
      <c r="AE195" s="1" t="str">
        <f t="shared" si="45"/>
        <v/>
      </c>
      <c r="AF195" s="1" t="str">
        <f t="shared" si="46"/>
        <v/>
      </c>
      <c r="AG195" s="1" t="str">
        <f t="shared" si="47"/>
        <v/>
      </c>
      <c r="AH195" s="1" t="str">
        <f t="shared" si="48"/>
        <v/>
      </c>
      <c r="AI195" s="1" t="str">
        <f t="shared" si="49"/>
        <v/>
      </c>
      <c r="AJ195" s="1" t="str">
        <f t="shared" si="50"/>
        <v/>
      </c>
      <c r="AK195" s="1" t="str">
        <f t="shared" si="51"/>
        <v/>
      </c>
      <c r="AL195" s="1" t="str">
        <f t="shared" si="52"/>
        <v xml:space="preserve">PERFORM * FROM "SchData-OLTP-Accounting"."Func_TblChartOfAccount_SET"(varSystemLoginSession, null, null, null, varInstitutionBranchID, null, '5-2510', 'Uniform,Protect Clothe-Direct', 62000000000001::bigint, '2016-01-01 00:00:00'::timestamp, null::timestamp); </v>
      </c>
      <c r="AM195" s="1" t="str">
        <f t="shared" si="53"/>
        <v/>
      </c>
      <c r="AO195" s="8" t="str">
        <f t="shared" si="65"/>
        <v xml:space="preserve">PERFORM * FROM "SchData-OLTP-Accounting"."Func_TblChartOfAccount_SET"(varSystemLoginSession, null, null, null, varInstitutionBranchID, null, '5-2510', 'Uniform,Protect Clothe-Direct', 62000000000001::bigint, '2016-01-01 00:00:00'::timestamp, null::timestamp); </v>
      </c>
    </row>
    <row r="196" spans="2:41" x14ac:dyDescent="0.25">
      <c r="B196" s="1">
        <v>3</v>
      </c>
      <c r="C196" s="2" t="s">
        <v>398</v>
      </c>
      <c r="D196" s="1" t="s">
        <v>399</v>
      </c>
      <c r="O196" s="2" t="s">
        <v>398</v>
      </c>
      <c r="Q196" s="22" t="str">
        <f t="shared" si="64"/>
        <v>Uniform,Protect Cloth-Indirect</v>
      </c>
      <c r="S196" s="1" t="str">
        <f t="shared" si="54"/>
        <v>2-PASV</v>
      </c>
      <c r="T196" s="1" t="str">
        <f t="shared" si="55"/>
        <v>3-0000</v>
      </c>
      <c r="U196" s="1" t="str">
        <f t="shared" si="56"/>
        <v>3-3000</v>
      </c>
      <c r="V196" s="1" t="str">
        <f t="shared" si="57"/>
        <v>4-1EAT</v>
      </c>
      <c r="W196" s="1" t="str">
        <f t="shared" si="58"/>
        <v>4-2EBT</v>
      </c>
      <c r="X196" s="1" t="str">
        <f t="shared" si="59"/>
        <v>4-3OPF</v>
      </c>
      <c r="Y196" s="1" t="str">
        <f t="shared" si="60"/>
        <v>4-4GPF</v>
      </c>
      <c r="Z196" s="1" t="str">
        <f t="shared" si="61"/>
        <v>5-0000</v>
      </c>
      <c r="AA196" s="1" t="str">
        <f t="shared" si="62"/>
        <v>5-2000</v>
      </c>
      <c r="AB196" s="1" t="str">
        <f t="shared" si="63"/>
        <v>5-2520</v>
      </c>
      <c r="AD196" s="1" t="str">
        <f t="shared" si="44"/>
        <v/>
      </c>
      <c r="AE196" s="1" t="str">
        <f t="shared" si="45"/>
        <v/>
      </c>
      <c r="AF196" s="1" t="str">
        <f t="shared" si="46"/>
        <v/>
      </c>
      <c r="AG196" s="1" t="str">
        <f t="shared" si="47"/>
        <v/>
      </c>
      <c r="AH196" s="1" t="str">
        <f t="shared" si="48"/>
        <v/>
      </c>
      <c r="AI196" s="1" t="str">
        <f t="shared" si="49"/>
        <v/>
      </c>
      <c r="AJ196" s="1" t="str">
        <f t="shared" si="50"/>
        <v/>
      </c>
      <c r="AK196" s="1" t="str">
        <f t="shared" si="51"/>
        <v/>
      </c>
      <c r="AL196" s="1" t="str">
        <f t="shared" si="52"/>
        <v xml:space="preserve">PERFORM * FROM "SchData-OLTP-Accounting"."Func_TblChartOfAccount_SET"(varSystemLoginSession, null, null, null, varInstitutionBranchID, null, '5-2520', 'Uniform,Protect Cloth-Indirect', 62000000000001::bigint, '2016-01-01 00:00:00'::timestamp, null::timestamp); </v>
      </c>
      <c r="AM196" s="1" t="str">
        <f t="shared" si="53"/>
        <v/>
      </c>
      <c r="AO196" s="8" t="str">
        <f t="shared" si="65"/>
        <v xml:space="preserve">PERFORM * FROM "SchData-OLTP-Accounting"."Func_TblChartOfAccount_SET"(varSystemLoginSession, null, null, null, varInstitutionBranchID, null, '5-2520', 'Uniform,Protect Cloth-Indirect', 62000000000001::bigint, '2016-01-01 00:00:00'::timestamp, null::timestamp); </v>
      </c>
    </row>
    <row r="197" spans="2:41" x14ac:dyDescent="0.25">
      <c r="B197" s="1">
        <v>3</v>
      </c>
      <c r="C197" s="2" t="s">
        <v>400</v>
      </c>
      <c r="D197" s="1" t="s">
        <v>401</v>
      </c>
      <c r="O197" s="2" t="s">
        <v>400</v>
      </c>
      <c r="Q197" s="22" t="str">
        <f t="shared" si="64"/>
        <v>Business Trip Allowance</v>
      </c>
      <c r="S197" s="1" t="str">
        <f t="shared" si="54"/>
        <v>2-PASV</v>
      </c>
      <c r="T197" s="1" t="str">
        <f t="shared" si="55"/>
        <v>3-0000</v>
      </c>
      <c r="U197" s="1" t="str">
        <f t="shared" si="56"/>
        <v>3-3000</v>
      </c>
      <c r="V197" s="1" t="str">
        <f t="shared" si="57"/>
        <v>4-1EAT</v>
      </c>
      <c r="W197" s="1" t="str">
        <f t="shared" si="58"/>
        <v>4-2EBT</v>
      </c>
      <c r="X197" s="1" t="str">
        <f t="shared" si="59"/>
        <v>4-3OPF</v>
      </c>
      <c r="Y197" s="1" t="str">
        <f t="shared" si="60"/>
        <v>4-4GPF</v>
      </c>
      <c r="Z197" s="1" t="str">
        <f t="shared" si="61"/>
        <v>5-0000</v>
      </c>
      <c r="AA197" s="1" t="str">
        <f t="shared" si="62"/>
        <v>5-2000</v>
      </c>
      <c r="AB197" s="1" t="str">
        <f t="shared" si="63"/>
        <v>5-2600</v>
      </c>
      <c r="AD197" s="1" t="str">
        <f t="shared" ref="AD197:AD260" si="66">IF(EXACT(T197, T196), "", CONCATENATE("PERFORM * FROM ""SchData-OLTP-Accounting"".""Func_TblChartOfAccount_SET""(varSystemLoginSession, null, null, null, varInstitutionBranchID, null, '", T197, "', '", $Q197, "', 62000000000001::bigint, '2016-01-01 00:00:00'::timestamp, null::timestamp); "))</f>
        <v/>
      </c>
      <c r="AE197" s="1" t="str">
        <f t="shared" ref="AE197:AE260" si="67">IF(EXACT(U197, U196), "", CONCATENATE("PERFORM * FROM ""SchData-OLTP-Accounting"".""Func_TblChartOfAccount_SET""(varSystemLoginSession, null, null, null, varInstitutionBranchID, null, '", U197, "', '", $Q197, "', 62000000000001::bigint, '2016-01-01 00:00:00'::timestamp, null::timestamp); "))</f>
        <v/>
      </c>
      <c r="AF197" s="1" t="str">
        <f t="shared" ref="AF197:AF260" si="68">IF(EXACT(V197, V196), "", CONCATENATE("PERFORM * FROM ""SchData-OLTP-Accounting"".""Func_TblChartOfAccount_SET""(varSystemLoginSession, null, null, null, varInstitutionBranchID, null, '", V197, "', '", $Q197, "', 62000000000001::bigint, '2016-01-01 00:00:00'::timestamp, null::timestamp); "))</f>
        <v/>
      </c>
      <c r="AG197" s="1" t="str">
        <f t="shared" ref="AG197:AG260" si="69">IF(EXACT(W197, W196), "", CONCATENATE("PERFORM * FROM ""SchData-OLTP-Accounting"".""Func_TblChartOfAccount_SET""(varSystemLoginSession, null, null, null, varInstitutionBranchID, null, '", W197, "', '", $Q197, "', 62000000000001::bigint, '2016-01-01 00:00:00'::timestamp, null::timestamp); "))</f>
        <v/>
      </c>
      <c r="AH197" s="1" t="str">
        <f t="shared" ref="AH197:AH260" si="70">IF(EXACT(X197, X196), "", CONCATENATE("PERFORM * FROM ""SchData-OLTP-Accounting"".""Func_TblChartOfAccount_SET""(varSystemLoginSession, null, null, null, varInstitutionBranchID, null, '", X197, "', '", $Q197, "', 62000000000001::bigint, '2016-01-01 00:00:00'::timestamp, null::timestamp); "))</f>
        <v/>
      </c>
      <c r="AI197" s="1" t="str">
        <f t="shared" ref="AI197:AI260" si="71">IF(EXACT(Y197, Y196), "", CONCATENATE("PERFORM * FROM ""SchData-OLTP-Accounting"".""Func_TblChartOfAccount_SET""(varSystemLoginSession, null, null, null, varInstitutionBranchID, null, '", Y197, "', '", $Q197, "', 62000000000001::bigint, '2016-01-01 00:00:00'::timestamp, null::timestamp); "))</f>
        <v/>
      </c>
      <c r="AJ197" s="1" t="str">
        <f t="shared" ref="AJ197:AJ260" si="72">IF(EXACT(Z197, Z196), "", CONCATENATE("PERFORM * FROM ""SchData-OLTP-Accounting"".""Func_TblChartOfAccount_SET""(varSystemLoginSession, null, null, null, varInstitutionBranchID, null, '", Z197, "', '", $Q197, "', 62000000000001::bigint, '2016-01-01 00:00:00'::timestamp, null::timestamp); "))</f>
        <v/>
      </c>
      <c r="AK197" s="1" t="str">
        <f t="shared" ref="AK197:AK260" si="73">IF(EXACT(AA197, AA196), "", CONCATENATE("PERFORM * FROM ""SchData-OLTP-Accounting"".""Func_TblChartOfAccount_SET""(varSystemLoginSession, null, null, null, varInstitutionBranchID, null, '", AA197, "', '", $Q197, "', 62000000000001::bigint, '2016-01-01 00:00:00'::timestamp, null::timestamp); "))</f>
        <v/>
      </c>
      <c r="AL197" s="1" t="str">
        <f t="shared" ref="AL197:AL260" si="74">IF(EXACT(AB197, AB196), "", CONCATENATE("PERFORM * FROM ""SchData-OLTP-Accounting"".""Func_TblChartOfAccount_SET""(varSystemLoginSession, null, null, null, varInstitutionBranchID, null, '", AB197, "', '", $Q197, "', 62000000000001::bigint, '2016-01-01 00:00:00'::timestamp, null::timestamp); "))</f>
        <v xml:space="preserve">PERFORM * FROM "SchData-OLTP-Accounting"."Func_TblChartOfAccount_SET"(varSystemLoginSession, null, null, null, varInstitutionBranchID, null, '5-2600', 'Business Trip Allowance', 62000000000001::bigint, '2016-01-01 00:00:00'::timestamp, null::timestamp); </v>
      </c>
      <c r="AM197" s="1" t="str">
        <f t="shared" ref="AM197:AM260" si="75">IF(EXACT(AC197, AC196), "", CONCATENATE("PERFORM * FROM ""SchData-OLTP-Accounting"".""Func_TblChartOfAccount_SET""(varSystemLoginSession, null, null, null, varInstitutionBranchID, null, '", AC197, "', '", $Q197, "', 62000000000001::bigint, '2016-01-01 00:00:00'::timestamp, null::timestamp); "))</f>
        <v/>
      </c>
      <c r="AO197" s="8" t="str">
        <f t="shared" si="65"/>
        <v xml:space="preserve">PERFORM * FROM "SchData-OLTP-Accounting"."Func_TblChartOfAccount_SET"(varSystemLoginSession, null, null, null, varInstitutionBranchID, null, '5-2600', 'Business Trip Allowance', 62000000000001::bigint, '2016-01-01 00:00:00'::timestamp, null::timestamp); </v>
      </c>
    </row>
    <row r="198" spans="2:41" x14ac:dyDescent="0.25">
      <c r="B198" s="1">
        <v>3</v>
      </c>
      <c r="C198" s="2" t="s">
        <v>402</v>
      </c>
      <c r="D198" s="1" t="s">
        <v>403</v>
      </c>
      <c r="O198" s="2" t="s">
        <v>402</v>
      </c>
      <c r="Q198" s="22" t="str">
        <f t="shared" si="64"/>
        <v>Meal</v>
      </c>
      <c r="S198" s="1" t="str">
        <f t="shared" ref="S198:S261" si="76">IF(EXACT($F198, ""), IF(EXACT($S197, ""), "", $S197), $F198)</f>
        <v>2-PASV</v>
      </c>
      <c r="T198" s="1" t="str">
        <f t="shared" ref="T198:T261" si="77">IF(EXACT($G198, ""), IF(EXACT($T197, ""), "", $T197), $G198)</f>
        <v>3-0000</v>
      </c>
      <c r="U198" s="1" t="str">
        <f t="shared" ref="U198:U261" si="78">IF(EXACT($H198, ""), IF(EXACT($U197, ""), "", $U197), $H198)</f>
        <v>3-3000</v>
      </c>
      <c r="V198" s="1" t="str">
        <f t="shared" ref="V198:V261" si="79">IF(EXACT($I198, ""), IF(EXACT($V197, ""), "", $V197), $I198)</f>
        <v>4-1EAT</v>
      </c>
      <c r="W198" s="1" t="str">
        <f t="shared" ref="W198:W261" si="80">IF(EXACT($J198, ""), IF(EXACT($W197, ""), "", $W197), $J198)</f>
        <v>4-2EBT</v>
      </c>
      <c r="X198" s="1" t="str">
        <f t="shared" ref="X198:X261" si="81">IF(EXACT($K198, ""), IF(EXACT($X197, ""), "", $X197), $K198)</f>
        <v>4-3OPF</v>
      </c>
      <c r="Y198" s="1" t="str">
        <f t="shared" ref="Y198:Y261" si="82">IF(EXACT($L198, ""), IF(EXACT($Y197, ""), "", $Y197), $L198)</f>
        <v>4-4GPF</v>
      </c>
      <c r="Z198" s="1" t="str">
        <f t="shared" ref="Z198:Z261" si="83">IF(EXACT($M198, ""), IF(EXACT($Z197, ""), "", $Z197), $M198)</f>
        <v>5-0000</v>
      </c>
      <c r="AA198" s="1" t="str">
        <f t="shared" ref="AA198:AA261" si="84">IF(EXACT($N198, ""), IF(EXACT($AA197, ""), "", $AA197), $N198)</f>
        <v>5-2000</v>
      </c>
      <c r="AB198" s="1" t="str">
        <f t="shared" ref="AB198:AB261" si="85">IF(EXACT($O198, ""), IF(EXACT($AB197, ""), "", $AB197), $O198)</f>
        <v>5-2700</v>
      </c>
      <c r="AD198" s="1" t="str">
        <f t="shared" si="66"/>
        <v/>
      </c>
      <c r="AE198" s="1" t="str">
        <f t="shared" si="67"/>
        <v/>
      </c>
      <c r="AF198" s="1" t="str">
        <f t="shared" si="68"/>
        <v/>
      </c>
      <c r="AG198" s="1" t="str">
        <f t="shared" si="69"/>
        <v/>
      </c>
      <c r="AH198" s="1" t="str">
        <f t="shared" si="70"/>
        <v/>
      </c>
      <c r="AI198" s="1" t="str">
        <f t="shared" si="71"/>
        <v/>
      </c>
      <c r="AJ198" s="1" t="str">
        <f t="shared" si="72"/>
        <v/>
      </c>
      <c r="AK198" s="1" t="str">
        <f t="shared" si="73"/>
        <v/>
      </c>
      <c r="AL198" s="1" t="str">
        <f t="shared" si="74"/>
        <v xml:space="preserve">PERFORM * FROM "SchData-OLTP-Accounting"."Func_TblChartOfAccount_SET"(varSystemLoginSession, null, null, null, varInstitutionBranchID, null, '5-2700', 'Meal', 62000000000001::bigint, '2016-01-01 00:00:00'::timestamp, null::timestamp); </v>
      </c>
      <c r="AM198" s="1" t="str">
        <f t="shared" si="75"/>
        <v/>
      </c>
      <c r="AO198" s="8" t="str">
        <f t="shared" si="65"/>
        <v xml:space="preserve">PERFORM * FROM "SchData-OLTP-Accounting"."Func_TblChartOfAccount_SET"(varSystemLoginSession, null, null, null, varInstitutionBranchID, null, '5-2700', 'Meal', 62000000000001::bigint, '2016-01-01 00:00:00'::timestamp, null::timestamp); </v>
      </c>
    </row>
    <row r="199" spans="2:41" x14ac:dyDescent="0.25">
      <c r="B199" s="1">
        <v>3</v>
      </c>
      <c r="C199" s="2" t="s">
        <v>404</v>
      </c>
      <c r="D199" s="1" t="s">
        <v>405</v>
      </c>
      <c r="O199" s="2" t="s">
        <v>404</v>
      </c>
      <c r="Q199" s="22" t="str">
        <f t="shared" ref="Q199:Q262" si="86">D199</f>
        <v>Severance Pay - Project</v>
      </c>
      <c r="S199" s="1" t="str">
        <f t="shared" si="76"/>
        <v>2-PASV</v>
      </c>
      <c r="T199" s="1" t="str">
        <f t="shared" si="77"/>
        <v>3-0000</v>
      </c>
      <c r="U199" s="1" t="str">
        <f t="shared" si="78"/>
        <v>3-3000</v>
      </c>
      <c r="V199" s="1" t="str">
        <f t="shared" si="79"/>
        <v>4-1EAT</v>
      </c>
      <c r="W199" s="1" t="str">
        <f t="shared" si="80"/>
        <v>4-2EBT</v>
      </c>
      <c r="X199" s="1" t="str">
        <f t="shared" si="81"/>
        <v>4-3OPF</v>
      </c>
      <c r="Y199" s="1" t="str">
        <f t="shared" si="82"/>
        <v>4-4GPF</v>
      </c>
      <c r="Z199" s="1" t="str">
        <f t="shared" si="83"/>
        <v>5-0000</v>
      </c>
      <c r="AA199" s="1" t="str">
        <f t="shared" si="84"/>
        <v>5-2000</v>
      </c>
      <c r="AB199" s="1" t="str">
        <f t="shared" si="85"/>
        <v>5-2800</v>
      </c>
      <c r="AD199" s="1" t="str">
        <f t="shared" si="66"/>
        <v/>
      </c>
      <c r="AE199" s="1" t="str">
        <f t="shared" si="67"/>
        <v/>
      </c>
      <c r="AF199" s="1" t="str">
        <f t="shared" si="68"/>
        <v/>
      </c>
      <c r="AG199" s="1" t="str">
        <f t="shared" si="69"/>
        <v/>
      </c>
      <c r="AH199" s="1" t="str">
        <f t="shared" si="70"/>
        <v/>
      </c>
      <c r="AI199" s="1" t="str">
        <f t="shared" si="71"/>
        <v/>
      </c>
      <c r="AJ199" s="1" t="str">
        <f t="shared" si="72"/>
        <v/>
      </c>
      <c r="AK199" s="1" t="str">
        <f t="shared" si="73"/>
        <v/>
      </c>
      <c r="AL199" s="1" t="str">
        <f t="shared" si="74"/>
        <v xml:space="preserve">PERFORM * FROM "SchData-OLTP-Accounting"."Func_TblChartOfAccount_SET"(varSystemLoginSession, null, null, null, varInstitutionBranchID, null, '5-2800', 'Severance Pay - Project', 62000000000001::bigint, '2016-01-01 00:00:00'::timestamp, null::timestamp); </v>
      </c>
      <c r="AM199" s="1" t="str">
        <f t="shared" si="75"/>
        <v/>
      </c>
      <c r="AO199" s="8" t="str">
        <f t="shared" ref="AO199:AO262" si="87">IF(NOT(EXACT(AD199, "")), AD199, IF(NOT(EXACT(AE199, "")), AE199, IF(NOT(EXACT(AF199, "")), AF199, IF(NOT(EXACT(AG199, "")), AG199, IF(NOT(EXACT(AH199, "")), AH199, IF(NOT(EXACT(AI199, "")), AI199, IF(NOT(EXACT(AJ199, "")), AJ199, IF(NOT(EXACT(AK199, "")), AK199, IF(NOT(EXACT(AL199, "")), AL199, IF(NOT(EXACT(AM199, "")), AM199, ""))))))))))</f>
        <v xml:space="preserve">PERFORM * FROM "SchData-OLTP-Accounting"."Func_TblChartOfAccount_SET"(varSystemLoginSession, null, null, null, varInstitutionBranchID, null, '5-2800', 'Severance Pay - Project', 62000000000001::bigint, '2016-01-01 00:00:00'::timestamp, null::timestamp); </v>
      </c>
    </row>
    <row r="200" spans="2:41" x14ac:dyDescent="0.25">
      <c r="B200" s="1">
        <v>3</v>
      </c>
      <c r="C200" s="2" t="s">
        <v>406</v>
      </c>
      <c r="D200" s="1" t="s">
        <v>407</v>
      </c>
      <c r="O200" s="2" t="s">
        <v>406</v>
      </c>
      <c r="Q200" s="22" t="str">
        <f t="shared" si="86"/>
        <v>Sub Contractor</v>
      </c>
      <c r="S200" s="1" t="str">
        <f t="shared" si="76"/>
        <v>2-PASV</v>
      </c>
      <c r="T200" s="1" t="str">
        <f t="shared" si="77"/>
        <v>3-0000</v>
      </c>
      <c r="U200" s="1" t="str">
        <f t="shared" si="78"/>
        <v>3-3000</v>
      </c>
      <c r="V200" s="1" t="str">
        <f t="shared" si="79"/>
        <v>4-1EAT</v>
      </c>
      <c r="W200" s="1" t="str">
        <f t="shared" si="80"/>
        <v>4-2EBT</v>
      </c>
      <c r="X200" s="1" t="str">
        <f t="shared" si="81"/>
        <v>4-3OPF</v>
      </c>
      <c r="Y200" s="1" t="str">
        <f t="shared" si="82"/>
        <v>4-4GPF</v>
      </c>
      <c r="Z200" s="1" t="str">
        <f t="shared" si="83"/>
        <v>5-0000</v>
      </c>
      <c r="AA200" s="1" t="str">
        <f t="shared" si="84"/>
        <v>5-2000</v>
      </c>
      <c r="AB200" s="1" t="str">
        <f t="shared" si="85"/>
        <v>5-2900</v>
      </c>
      <c r="AD200" s="1" t="str">
        <f t="shared" si="66"/>
        <v/>
      </c>
      <c r="AE200" s="1" t="str">
        <f t="shared" si="67"/>
        <v/>
      </c>
      <c r="AF200" s="1" t="str">
        <f t="shared" si="68"/>
        <v/>
      </c>
      <c r="AG200" s="1" t="str">
        <f t="shared" si="69"/>
        <v/>
      </c>
      <c r="AH200" s="1" t="str">
        <f t="shared" si="70"/>
        <v/>
      </c>
      <c r="AI200" s="1" t="str">
        <f t="shared" si="71"/>
        <v/>
      </c>
      <c r="AJ200" s="1" t="str">
        <f t="shared" si="72"/>
        <v/>
      </c>
      <c r="AK200" s="1" t="str">
        <f t="shared" si="73"/>
        <v/>
      </c>
      <c r="AL200" s="1" t="str">
        <f t="shared" si="74"/>
        <v xml:space="preserve">PERFORM * FROM "SchData-OLTP-Accounting"."Func_TblChartOfAccount_SET"(varSystemLoginSession, null, null, null, varInstitutionBranchID, null, '5-2900', 'Sub Contractor', 62000000000001::bigint, '2016-01-01 00:00:00'::timestamp, null::timestamp); </v>
      </c>
      <c r="AM200" s="1" t="str">
        <f t="shared" si="75"/>
        <v/>
      </c>
      <c r="AO200" s="8" t="str">
        <f t="shared" si="87"/>
        <v xml:space="preserve">PERFORM * FROM "SchData-OLTP-Accounting"."Func_TblChartOfAccount_SET"(varSystemLoginSession, null, null, null, varInstitutionBranchID, null, '5-2900', 'Sub Contractor', 62000000000001::bigint, '2016-01-01 00:00:00'::timestamp, null::timestamp); </v>
      </c>
    </row>
    <row r="201" spans="2:41" x14ac:dyDescent="0.25">
      <c r="B201" s="1">
        <v>2</v>
      </c>
      <c r="C201" s="2" t="s">
        <v>408</v>
      </c>
      <c r="D201" s="1" t="s">
        <v>409</v>
      </c>
      <c r="N201" s="2" t="s">
        <v>408</v>
      </c>
      <c r="Q201" s="1" t="str">
        <f t="shared" si="86"/>
        <v>Overhead Expenses</v>
      </c>
      <c r="S201" s="1" t="str">
        <f t="shared" si="76"/>
        <v>2-PASV</v>
      </c>
      <c r="T201" s="1" t="str">
        <f t="shared" si="77"/>
        <v>3-0000</v>
      </c>
      <c r="U201" s="1" t="str">
        <f t="shared" si="78"/>
        <v>3-3000</v>
      </c>
      <c r="V201" s="1" t="str">
        <f t="shared" si="79"/>
        <v>4-1EAT</v>
      </c>
      <c r="W201" s="1" t="str">
        <f t="shared" si="80"/>
        <v>4-2EBT</v>
      </c>
      <c r="X201" s="1" t="str">
        <f t="shared" si="81"/>
        <v>4-3OPF</v>
      </c>
      <c r="Y201" s="1" t="str">
        <f t="shared" si="82"/>
        <v>4-4GPF</v>
      </c>
      <c r="Z201" s="1" t="str">
        <f t="shared" si="83"/>
        <v>5-0000</v>
      </c>
      <c r="AA201" s="1" t="str">
        <f t="shared" si="84"/>
        <v>5-3000</v>
      </c>
      <c r="AB201" s="1" t="str">
        <f t="shared" si="85"/>
        <v>5-2900</v>
      </c>
      <c r="AD201" s="1" t="str">
        <f t="shared" si="66"/>
        <v/>
      </c>
      <c r="AE201" s="1" t="str">
        <f t="shared" si="67"/>
        <v/>
      </c>
      <c r="AF201" s="1" t="str">
        <f t="shared" si="68"/>
        <v/>
      </c>
      <c r="AG201" s="1" t="str">
        <f t="shared" si="69"/>
        <v/>
      </c>
      <c r="AH201" s="1" t="str">
        <f t="shared" si="70"/>
        <v/>
      </c>
      <c r="AI201" s="1" t="str">
        <f t="shared" si="71"/>
        <v/>
      </c>
      <c r="AJ201" s="1" t="str">
        <f t="shared" si="72"/>
        <v/>
      </c>
      <c r="AK201" s="1" t="str">
        <f t="shared" si="73"/>
        <v xml:space="preserve">PERFORM * FROM "SchData-OLTP-Accounting"."Func_TblChartOfAccount_SET"(varSystemLoginSession, null, null, null, varInstitutionBranchID, null, '5-3000', 'Overhead Expenses', 62000000000001::bigint, '2016-01-01 00:00:00'::timestamp, null::timestamp); </v>
      </c>
      <c r="AL201" s="1" t="str">
        <f t="shared" si="74"/>
        <v/>
      </c>
      <c r="AM201" s="1" t="str">
        <f t="shared" si="75"/>
        <v/>
      </c>
      <c r="AO201" s="8" t="str">
        <f t="shared" si="87"/>
        <v xml:space="preserve">PERFORM * FROM "SchData-OLTP-Accounting"."Func_TblChartOfAccount_SET"(varSystemLoginSession, null, null, null, varInstitutionBranchID, null, '5-3000', 'Overhead Expenses', 62000000000001::bigint, '2016-01-01 00:00:00'::timestamp, null::timestamp); </v>
      </c>
    </row>
    <row r="202" spans="2:41" x14ac:dyDescent="0.25">
      <c r="B202" s="1">
        <v>3</v>
      </c>
      <c r="C202" s="2" t="s">
        <v>410</v>
      </c>
      <c r="D202" s="1" t="s">
        <v>411</v>
      </c>
      <c r="O202" s="2" t="s">
        <v>410</v>
      </c>
      <c r="Q202" s="23" t="str">
        <f t="shared" si="86"/>
        <v>Consumables</v>
      </c>
      <c r="S202" s="1" t="str">
        <f t="shared" si="76"/>
        <v>2-PASV</v>
      </c>
      <c r="T202" s="1" t="str">
        <f t="shared" si="77"/>
        <v>3-0000</v>
      </c>
      <c r="U202" s="1" t="str">
        <f t="shared" si="78"/>
        <v>3-3000</v>
      </c>
      <c r="V202" s="1" t="str">
        <f t="shared" si="79"/>
        <v>4-1EAT</v>
      </c>
      <c r="W202" s="1" t="str">
        <f t="shared" si="80"/>
        <v>4-2EBT</v>
      </c>
      <c r="X202" s="1" t="str">
        <f t="shared" si="81"/>
        <v>4-3OPF</v>
      </c>
      <c r="Y202" s="1" t="str">
        <f t="shared" si="82"/>
        <v>4-4GPF</v>
      </c>
      <c r="Z202" s="1" t="str">
        <f t="shared" si="83"/>
        <v>5-0000</v>
      </c>
      <c r="AA202" s="1" t="str">
        <f t="shared" si="84"/>
        <v>5-3000</v>
      </c>
      <c r="AB202" s="1" t="str">
        <f t="shared" si="85"/>
        <v>5-3010</v>
      </c>
      <c r="AD202" s="1" t="str">
        <f t="shared" si="66"/>
        <v/>
      </c>
      <c r="AE202" s="1" t="str">
        <f t="shared" si="67"/>
        <v/>
      </c>
      <c r="AF202" s="1" t="str">
        <f t="shared" si="68"/>
        <v/>
      </c>
      <c r="AG202" s="1" t="str">
        <f t="shared" si="69"/>
        <v/>
      </c>
      <c r="AH202" s="1" t="str">
        <f t="shared" si="70"/>
        <v/>
      </c>
      <c r="AI202" s="1" t="str">
        <f t="shared" si="71"/>
        <v/>
      </c>
      <c r="AJ202" s="1" t="str">
        <f t="shared" si="72"/>
        <v/>
      </c>
      <c r="AK202" s="1" t="str">
        <f t="shared" si="73"/>
        <v/>
      </c>
      <c r="AL202" s="1" t="str">
        <f t="shared" si="74"/>
        <v xml:space="preserve">PERFORM * FROM "SchData-OLTP-Accounting"."Func_TblChartOfAccount_SET"(varSystemLoginSession, null, null, null, varInstitutionBranchID, null, '5-3010', 'Consumables', 62000000000001::bigint, '2016-01-01 00:00:00'::timestamp, null::timestamp); </v>
      </c>
      <c r="AM202" s="1" t="str">
        <f t="shared" si="75"/>
        <v/>
      </c>
      <c r="AO202" s="8" t="str">
        <f t="shared" si="87"/>
        <v xml:space="preserve">PERFORM * FROM "SchData-OLTP-Accounting"."Func_TblChartOfAccount_SET"(varSystemLoginSession, null, null, null, varInstitutionBranchID, null, '5-3010', 'Consumables', 62000000000001::bigint, '2016-01-01 00:00:00'::timestamp, null::timestamp); </v>
      </c>
    </row>
    <row r="203" spans="2:41" x14ac:dyDescent="0.25">
      <c r="B203" s="1">
        <v>3</v>
      </c>
      <c r="C203" s="2" t="s">
        <v>412</v>
      </c>
      <c r="D203" s="1" t="s">
        <v>413</v>
      </c>
      <c r="O203" s="2" t="s">
        <v>412</v>
      </c>
      <c r="Q203" s="23" t="str">
        <f t="shared" si="86"/>
        <v>Spare Parts</v>
      </c>
      <c r="S203" s="1" t="str">
        <f t="shared" si="76"/>
        <v>2-PASV</v>
      </c>
      <c r="T203" s="1" t="str">
        <f t="shared" si="77"/>
        <v>3-0000</v>
      </c>
      <c r="U203" s="1" t="str">
        <f t="shared" si="78"/>
        <v>3-3000</v>
      </c>
      <c r="V203" s="1" t="str">
        <f t="shared" si="79"/>
        <v>4-1EAT</v>
      </c>
      <c r="W203" s="1" t="str">
        <f t="shared" si="80"/>
        <v>4-2EBT</v>
      </c>
      <c r="X203" s="1" t="str">
        <f t="shared" si="81"/>
        <v>4-3OPF</v>
      </c>
      <c r="Y203" s="1" t="str">
        <f t="shared" si="82"/>
        <v>4-4GPF</v>
      </c>
      <c r="Z203" s="1" t="str">
        <f t="shared" si="83"/>
        <v>5-0000</v>
      </c>
      <c r="AA203" s="1" t="str">
        <f t="shared" si="84"/>
        <v>5-3000</v>
      </c>
      <c r="AB203" s="1" t="str">
        <f t="shared" si="85"/>
        <v>5-3020</v>
      </c>
      <c r="AD203" s="1" t="str">
        <f t="shared" si="66"/>
        <v/>
      </c>
      <c r="AE203" s="1" t="str">
        <f t="shared" si="67"/>
        <v/>
      </c>
      <c r="AF203" s="1" t="str">
        <f t="shared" si="68"/>
        <v/>
      </c>
      <c r="AG203" s="1" t="str">
        <f t="shared" si="69"/>
        <v/>
      </c>
      <c r="AH203" s="1" t="str">
        <f t="shared" si="70"/>
        <v/>
      </c>
      <c r="AI203" s="1" t="str">
        <f t="shared" si="71"/>
        <v/>
      </c>
      <c r="AJ203" s="1" t="str">
        <f t="shared" si="72"/>
        <v/>
      </c>
      <c r="AK203" s="1" t="str">
        <f t="shared" si="73"/>
        <v/>
      </c>
      <c r="AL203" s="1" t="str">
        <f t="shared" si="74"/>
        <v xml:space="preserve">PERFORM * FROM "SchData-OLTP-Accounting"."Func_TblChartOfAccount_SET"(varSystemLoginSession, null, null, null, varInstitutionBranchID, null, '5-3020', 'Spare Parts', 62000000000001::bigint, '2016-01-01 00:00:00'::timestamp, null::timestamp); </v>
      </c>
      <c r="AM203" s="1" t="str">
        <f t="shared" si="75"/>
        <v/>
      </c>
      <c r="AO203" s="8" t="str">
        <f t="shared" si="87"/>
        <v xml:space="preserve">PERFORM * FROM "SchData-OLTP-Accounting"."Func_TblChartOfAccount_SET"(varSystemLoginSession, null, null, null, varInstitutionBranchID, null, '5-3020', 'Spare Parts', 62000000000001::bigint, '2016-01-01 00:00:00'::timestamp, null::timestamp); </v>
      </c>
    </row>
    <row r="204" spans="2:41" x14ac:dyDescent="0.25">
      <c r="B204" s="1">
        <v>3</v>
      </c>
      <c r="C204" s="2" t="s">
        <v>414</v>
      </c>
      <c r="D204" s="1" t="s">
        <v>205</v>
      </c>
      <c r="O204" s="2" t="s">
        <v>414</v>
      </c>
      <c r="Q204" s="23" t="str">
        <f t="shared" si="86"/>
        <v>Tools</v>
      </c>
      <c r="S204" s="1" t="str">
        <f t="shared" si="76"/>
        <v>2-PASV</v>
      </c>
      <c r="T204" s="1" t="str">
        <f t="shared" si="77"/>
        <v>3-0000</v>
      </c>
      <c r="U204" s="1" t="str">
        <f t="shared" si="78"/>
        <v>3-3000</v>
      </c>
      <c r="V204" s="1" t="str">
        <f t="shared" si="79"/>
        <v>4-1EAT</v>
      </c>
      <c r="W204" s="1" t="str">
        <f t="shared" si="80"/>
        <v>4-2EBT</v>
      </c>
      <c r="X204" s="1" t="str">
        <f t="shared" si="81"/>
        <v>4-3OPF</v>
      </c>
      <c r="Y204" s="1" t="str">
        <f t="shared" si="82"/>
        <v>4-4GPF</v>
      </c>
      <c r="Z204" s="1" t="str">
        <f t="shared" si="83"/>
        <v>5-0000</v>
      </c>
      <c r="AA204" s="1" t="str">
        <f t="shared" si="84"/>
        <v>5-3000</v>
      </c>
      <c r="AB204" s="1" t="str">
        <f t="shared" si="85"/>
        <v>5-3030</v>
      </c>
      <c r="AD204" s="1" t="str">
        <f t="shared" si="66"/>
        <v/>
      </c>
      <c r="AE204" s="1" t="str">
        <f t="shared" si="67"/>
        <v/>
      </c>
      <c r="AF204" s="1" t="str">
        <f t="shared" si="68"/>
        <v/>
      </c>
      <c r="AG204" s="1" t="str">
        <f t="shared" si="69"/>
        <v/>
      </c>
      <c r="AH204" s="1" t="str">
        <f t="shared" si="70"/>
        <v/>
      </c>
      <c r="AI204" s="1" t="str">
        <f t="shared" si="71"/>
        <v/>
      </c>
      <c r="AJ204" s="1" t="str">
        <f t="shared" si="72"/>
        <v/>
      </c>
      <c r="AK204" s="1" t="str">
        <f t="shared" si="73"/>
        <v/>
      </c>
      <c r="AL204" s="1" t="str">
        <f t="shared" si="74"/>
        <v xml:space="preserve">PERFORM * FROM "SchData-OLTP-Accounting"."Func_TblChartOfAccount_SET"(varSystemLoginSession, null, null, null, varInstitutionBranchID, null, '5-3030', 'Tools', 62000000000001::bigint, '2016-01-01 00:00:00'::timestamp, null::timestamp); </v>
      </c>
      <c r="AM204" s="1" t="str">
        <f t="shared" si="75"/>
        <v/>
      </c>
      <c r="AO204" s="8" t="str">
        <f t="shared" si="87"/>
        <v xml:space="preserve">PERFORM * FROM "SchData-OLTP-Accounting"."Func_TblChartOfAccount_SET"(varSystemLoginSession, null, null, null, varInstitutionBranchID, null, '5-3030', 'Tools', 62000000000001::bigint, '2016-01-01 00:00:00'::timestamp, null::timestamp); </v>
      </c>
    </row>
    <row r="205" spans="2:41" x14ac:dyDescent="0.25">
      <c r="B205" s="1">
        <v>3</v>
      </c>
      <c r="C205" s="2" t="s">
        <v>415</v>
      </c>
      <c r="D205" s="1" t="s">
        <v>416</v>
      </c>
      <c r="O205" s="2" t="s">
        <v>415</v>
      </c>
      <c r="Q205" s="23" t="str">
        <f t="shared" si="86"/>
        <v>Utilities</v>
      </c>
      <c r="S205" s="1" t="str">
        <f t="shared" si="76"/>
        <v>2-PASV</v>
      </c>
      <c r="T205" s="1" t="str">
        <f t="shared" si="77"/>
        <v>3-0000</v>
      </c>
      <c r="U205" s="1" t="str">
        <f t="shared" si="78"/>
        <v>3-3000</v>
      </c>
      <c r="V205" s="1" t="str">
        <f t="shared" si="79"/>
        <v>4-1EAT</v>
      </c>
      <c r="W205" s="1" t="str">
        <f t="shared" si="80"/>
        <v>4-2EBT</v>
      </c>
      <c r="X205" s="1" t="str">
        <f t="shared" si="81"/>
        <v>4-3OPF</v>
      </c>
      <c r="Y205" s="1" t="str">
        <f t="shared" si="82"/>
        <v>4-4GPF</v>
      </c>
      <c r="Z205" s="1" t="str">
        <f t="shared" si="83"/>
        <v>5-0000</v>
      </c>
      <c r="AA205" s="1" t="str">
        <f t="shared" si="84"/>
        <v>5-3000</v>
      </c>
      <c r="AB205" s="1" t="str">
        <f t="shared" si="85"/>
        <v>5-3040</v>
      </c>
      <c r="AD205" s="1" t="str">
        <f t="shared" si="66"/>
        <v/>
      </c>
      <c r="AE205" s="1" t="str">
        <f t="shared" si="67"/>
        <v/>
      </c>
      <c r="AF205" s="1" t="str">
        <f t="shared" si="68"/>
        <v/>
      </c>
      <c r="AG205" s="1" t="str">
        <f t="shared" si="69"/>
        <v/>
      </c>
      <c r="AH205" s="1" t="str">
        <f t="shared" si="70"/>
        <v/>
      </c>
      <c r="AI205" s="1" t="str">
        <f t="shared" si="71"/>
        <v/>
      </c>
      <c r="AJ205" s="1" t="str">
        <f t="shared" si="72"/>
        <v/>
      </c>
      <c r="AK205" s="1" t="str">
        <f t="shared" si="73"/>
        <v/>
      </c>
      <c r="AL205" s="1" t="str">
        <f t="shared" si="74"/>
        <v xml:space="preserve">PERFORM * FROM "SchData-OLTP-Accounting"."Func_TblChartOfAccount_SET"(varSystemLoginSession, null, null, null, varInstitutionBranchID, null, '5-3040', 'Utilities', 62000000000001::bigint, '2016-01-01 00:00:00'::timestamp, null::timestamp); </v>
      </c>
      <c r="AM205" s="1" t="str">
        <f t="shared" si="75"/>
        <v/>
      </c>
      <c r="AO205" s="8" t="str">
        <f t="shared" si="87"/>
        <v xml:space="preserve">PERFORM * FROM "SchData-OLTP-Accounting"."Func_TblChartOfAccount_SET"(varSystemLoginSession, null, null, null, varInstitutionBranchID, null, '5-3040', 'Utilities', 62000000000001::bigint, '2016-01-01 00:00:00'::timestamp, null::timestamp); </v>
      </c>
    </row>
    <row r="206" spans="2:41" x14ac:dyDescent="0.25">
      <c r="B206" s="1">
        <v>3</v>
      </c>
      <c r="C206" s="2" t="s">
        <v>417</v>
      </c>
      <c r="D206" s="1" t="s">
        <v>418</v>
      </c>
      <c r="O206" s="2" t="s">
        <v>417</v>
      </c>
      <c r="Q206" s="23" t="str">
        <f t="shared" si="86"/>
        <v>Stationery &amp; Printing</v>
      </c>
      <c r="S206" s="1" t="str">
        <f t="shared" si="76"/>
        <v>2-PASV</v>
      </c>
      <c r="T206" s="1" t="str">
        <f t="shared" si="77"/>
        <v>3-0000</v>
      </c>
      <c r="U206" s="1" t="str">
        <f t="shared" si="78"/>
        <v>3-3000</v>
      </c>
      <c r="V206" s="1" t="str">
        <f t="shared" si="79"/>
        <v>4-1EAT</v>
      </c>
      <c r="W206" s="1" t="str">
        <f t="shared" si="80"/>
        <v>4-2EBT</v>
      </c>
      <c r="X206" s="1" t="str">
        <f t="shared" si="81"/>
        <v>4-3OPF</v>
      </c>
      <c r="Y206" s="1" t="str">
        <f t="shared" si="82"/>
        <v>4-4GPF</v>
      </c>
      <c r="Z206" s="1" t="str">
        <f t="shared" si="83"/>
        <v>5-0000</v>
      </c>
      <c r="AA206" s="1" t="str">
        <f t="shared" si="84"/>
        <v>5-3000</v>
      </c>
      <c r="AB206" s="1" t="str">
        <f t="shared" si="85"/>
        <v>5-3110</v>
      </c>
      <c r="AD206" s="1" t="str">
        <f t="shared" si="66"/>
        <v/>
      </c>
      <c r="AE206" s="1" t="str">
        <f t="shared" si="67"/>
        <v/>
      </c>
      <c r="AF206" s="1" t="str">
        <f t="shared" si="68"/>
        <v/>
      </c>
      <c r="AG206" s="1" t="str">
        <f t="shared" si="69"/>
        <v/>
      </c>
      <c r="AH206" s="1" t="str">
        <f t="shared" si="70"/>
        <v/>
      </c>
      <c r="AI206" s="1" t="str">
        <f t="shared" si="71"/>
        <v/>
      </c>
      <c r="AJ206" s="1" t="str">
        <f t="shared" si="72"/>
        <v/>
      </c>
      <c r="AK206" s="1" t="str">
        <f t="shared" si="73"/>
        <v/>
      </c>
      <c r="AL206" s="1" t="str">
        <f t="shared" si="74"/>
        <v xml:space="preserve">PERFORM * FROM "SchData-OLTP-Accounting"."Func_TblChartOfAccount_SET"(varSystemLoginSession, null, null, null, varInstitutionBranchID, null, '5-3110', 'Stationery &amp; Printing', 62000000000001::bigint, '2016-01-01 00:00:00'::timestamp, null::timestamp); </v>
      </c>
      <c r="AM206" s="1" t="str">
        <f t="shared" si="75"/>
        <v/>
      </c>
      <c r="AO206" s="8" t="str">
        <f t="shared" si="87"/>
        <v xml:space="preserve">PERFORM * FROM "SchData-OLTP-Accounting"."Func_TblChartOfAccount_SET"(varSystemLoginSession, null, null, null, varInstitutionBranchID, null, '5-3110', 'Stationery &amp; Printing', 62000000000001::bigint, '2016-01-01 00:00:00'::timestamp, null::timestamp); </v>
      </c>
    </row>
    <row r="207" spans="2:41" x14ac:dyDescent="0.25">
      <c r="B207" s="1">
        <v>3</v>
      </c>
      <c r="C207" s="2" t="s">
        <v>419</v>
      </c>
      <c r="D207" s="1" t="s">
        <v>420</v>
      </c>
      <c r="O207" s="2" t="s">
        <v>419</v>
      </c>
      <c r="Q207" s="23" t="str">
        <f t="shared" si="86"/>
        <v>Postage &amp; Courier Service</v>
      </c>
      <c r="S207" s="1" t="str">
        <f t="shared" si="76"/>
        <v>2-PASV</v>
      </c>
      <c r="T207" s="1" t="str">
        <f t="shared" si="77"/>
        <v>3-0000</v>
      </c>
      <c r="U207" s="1" t="str">
        <f t="shared" si="78"/>
        <v>3-3000</v>
      </c>
      <c r="V207" s="1" t="str">
        <f t="shared" si="79"/>
        <v>4-1EAT</v>
      </c>
      <c r="W207" s="1" t="str">
        <f t="shared" si="80"/>
        <v>4-2EBT</v>
      </c>
      <c r="X207" s="1" t="str">
        <f t="shared" si="81"/>
        <v>4-3OPF</v>
      </c>
      <c r="Y207" s="1" t="str">
        <f t="shared" si="82"/>
        <v>4-4GPF</v>
      </c>
      <c r="Z207" s="1" t="str">
        <f t="shared" si="83"/>
        <v>5-0000</v>
      </c>
      <c r="AA207" s="1" t="str">
        <f t="shared" si="84"/>
        <v>5-3000</v>
      </c>
      <c r="AB207" s="1" t="str">
        <f t="shared" si="85"/>
        <v>5-3120</v>
      </c>
      <c r="AD207" s="1" t="str">
        <f t="shared" si="66"/>
        <v/>
      </c>
      <c r="AE207" s="1" t="str">
        <f t="shared" si="67"/>
        <v/>
      </c>
      <c r="AF207" s="1" t="str">
        <f t="shared" si="68"/>
        <v/>
      </c>
      <c r="AG207" s="1" t="str">
        <f t="shared" si="69"/>
        <v/>
      </c>
      <c r="AH207" s="1" t="str">
        <f t="shared" si="70"/>
        <v/>
      </c>
      <c r="AI207" s="1" t="str">
        <f t="shared" si="71"/>
        <v/>
      </c>
      <c r="AJ207" s="1" t="str">
        <f t="shared" si="72"/>
        <v/>
      </c>
      <c r="AK207" s="1" t="str">
        <f t="shared" si="73"/>
        <v/>
      </c>
      <c r="AL207" s="1" t="str">
        <f t="shared" si="74"/>
        <v xml:space="preserve">PERFORM * FROM "SchData-OLTP-Accounting"."Func_TblChartOfAccount_SET"(varSystemLoginSession, null, null, null, varInstitutionBranchID, null, '5-3120', 'Postage &amp; Courier Service', 62000000000001::bigint, '2016-01-01 00:00:00'::timestamp, null::timestamp); </v>
      </c>
      <c r="AM207" s="1" t="str">
        <f t="shared" si="75"/>
        <v/>
      </c>
      <c r="AO207" s="8" t="str">
        <f t="shared" si="87"/>
        <v xml:space="preserve">PERFORM * FROM "SchData-OLTP-Accounting"."Func_TblChartOfAccount_SET"(varSystemLoginSession, null, null, null, varInstitutionBranchID, null, '5-3120', 'Postage &amp; Courier Service', 62000000000001::bigint, '2016-01-01 00:00:00'::timestamp, null::timestamp); </v>
      </c>
    </row>
    <row r="208" spans="2:41" x14ac:dyDescent="0.25">
      <c r="B208" s="1">
        <v>3</v>
      </c>
      <c r="C208" s="2" t="s">
        <v>421</v>
      </c>
      <c r="D208" s="1" t="s">
        <v>422</v>
      </c>
      <c r="O208" s="2" t="s">
        <v>421</v>
      </c>
      <c r="Q208" s="23" t="str">
        <f t="shared" si="86"/>
        <v>Telephone Expenses</v>
      </c>
      <c r="S208" s="1" t="str">
        <f t="shared" si="76"/>
        <v>2-PASV</v>
      </c>
      <c r="T208" s="1" t="str">
        <f t="shared" si="77"/>
        <v>3-0000</v>
      </c>
      <c r="U208" s="1" t="str">
        <f t="shared" si="78"/>
        <v>3-3000</v>
      </c>
      <c r="V208" s="1" t="str">
        <f t="shared" si="79"/>
        <v>4-1EAT</v>
      </c>
      <c r="W208" s="1" t="str">
        <f t="shared" si="80"/>
        <v>4-2EBT</v>
      </c>
      <c r="X208" s="1" t="str">
        <f t="shared" si="81"/>
        <v>4-3OPF</v>
      </c>
      <c r="Y208" s="1" t="str">
        <f t="shared" si="82"/>
        <v>4-4GPF</v>
      </c>
      <c r="Z208" s="1" t="str">
        <f t="shared" si="83"/>
        <v>5-0000</v>
      </c>
      <c r="AA208" s="1" t="str">
        <f t="shared" si="84"/>
        <v>5-3000</v>
      </c>
      <c r="AB208" s="1" t="str">
        <f t="shared" si="85"/>
        <v>5-3210</v>
      </c>
      <c r="AD208" s="1" t="str">
        <f t="shared" si="66"/>
        <v/>
      </c>
      <c r="AE208" s="1" t="str">
        <f t="shared" si="67"/>
        <v/>
      </c>
      <c r="AF208" s="1" t="str">
        <f t="shared" si="68"/>
        <v/>
      </c>
      <c r="AG208" s="1" t="str">
        <f t="shared" si="69"/>
        <v/>
      </c>
      <c r="AH208" s="1" t="str">
        <f t="shared" si="70"/>
        <v/>
      </c>
      <c r="AI208" s="1" t="str">
        <f t="shared" si="71"/>
        <v/>
      </c>
      <c r="AJ208" s="1" t="str">
        <f t="shared" si="72"/>
        <v/>
      </c>
      <c r="AK208" s="1" t="str">
        <f t="shared" si="73"/>
        <v/>
      </c>
      <c r="AL208" s="1" t="str">
        <f t="shared" si="74"/>
        <v xml:space="preserve">PERFORM * FROM "SchData-OLTP-Accounting"."Func_TblChartOfAccount_SET"(varSystemLoginSession, null, null, null, varInstitutionBranchID, null, '5-3210', 'Telephone Expenses', 62000000000001::bigint, '2016-01-01 00:00:00'::timestamp, null::timestamp); </v>
      </c>
      <c r="AM208" s="1" t="str">
        <f t="shared" si="75"/>
        <v/>
      </c>
      <c r="AO208" s="8" t="str">
        <f t="shared" si="87"/>
        <v xml:space="preserve">PERFORM * FROM "SchData-OLTP-Accounting"."Func_TblChartOfAccount_SET"(varSystemLoginSession, null, null, null, varInstitutionBranchID, null, '5-3210', 'Telephone Expenses', 62000000000001::bigint, '2016-01-01 00:00:00'::timestamp, null::timestamp); </v>
      </c>
    </row>
    <row r="209" spans="2:41" x14ac:dyDescent="0.25">
      <c r="B209" s="1">
        <v>3</v>
      </c>
      <c r="C209" s="2" t="s">
        <v>423</v>
      </c>
      <c r="D209" s="1" t="s">
        <v>209</v>
      </c>
      <c r="O209" s="2" t="s">
        <v>423</v>
      </c>
      <c r="Q209" s="23" t="str">
        <f t="shared" si="86"/>
        <v>Mobile Phone</v>
      </c>
      <c r="S209" s="1" t="str">
        <f t="shared" si="76"/>
        <v>2-PASV</v>
      </c>
      <c r="T209" s="1" t="str">
        <f t="shared" si="77"/>
        <v>3-0000</v>
      </c>
      <c r="U209" s="1" t="str">
        <f t="shared" si="78"/>
        <v>3-3000</v>
      </c>
      <c r="V209" s="1" t="str">
        <f t="shared" si="79"/>
        <v>4-1EAT</v>
      </c>
      <c r="W209" s="1" t="str">
        <f t="shared" si="80"/>
        <v>4-2EBT</v>
      </c>
      <c r="X209" s="1" t="str">
        <f t="shared" si="81"/>
        <v>4-3OPF</v>
      </c>
      <c r="Y209" s="1" t="str">
        <f t="shared" si="82"/>
        <v>4-4GPF</v>
      </c>
      <c r="Z209" s="1" t="str">
        <f t="shared" si="83"/>
        <v>5-0000</v>
      </c>
      <c r="AA209" s="1" t="str">
        <f t="shared" si="84"/>
        <v>5-3000</v>
      </c>
      <c r="AB209" s="1" t="str">
        <f t="shared" si="85"/>
        <v>5-3220</v>
      </c>
      <c r="AD209" s="1" t="str">
        <f t="shared" si="66"/>
        <v/>
      </c>
      <c r="AE209" s="1" t="str">
        <f t="shared" si="67"/>
        <v/>
      </c>
      <c r="AF209" s="1" t="str">
        <f t="shared" si="68"/>
        <v/>
      </c>
      <c r="AG209" s="1" t="str">
        <f t="shared" si="69"/>
        <v/>
      </c>
      <c r="AH209" s="1" t="str">
        <f t="shared" si="70"/>
        <v/>
      </c>
      <c r="AI209" s="1" t="str">
        <f t="shared" si="71"/>
        <v/>
      </c>
      <c r="AJ209" s="1" t="str">
        <f t="shared" si="72"/>
        <v/>
      </c>
      <c r="AK209" s="1" t="str">
        <f t="shared" si="73"/>
        <v/>
      </c>
      <c r="AL209" s="1" t="str">
        <f t="shared" si="74"/>
        <v xml:space="preserve">PERFORM * FROM "SchData-OLTP-Accounting"."Func_TblChartOfAccount_SET"(varSystemLoginSession, null, null, null, varInstitutionBranchID, null, '5-3220', 'Mobile Phone', 62000000000001::bigint, '2016-01-01 00:00:00'::timestamp, null::timestamp); </v>
      </c>
      <c r="AM209" s="1" t="str">
        <f t="shared" si="75"/>
        <v/>
      </c>
      <c r="AO209" s="8" t="str">
        <f t="shared" si="87"/>
        <v xml:space="preserve">PERFORM * FROM "SchData-OLTP-Accounting"."Func_TblChartOfAccount_SET"(varSystemLoginSession, null, null, null, varInstitutionBranchID, null, '5-3220', 'Mobile Phone', 62000000000001::bigint, '2016-01-01 00:00:00'::timestamp, null::timestamp); </v>
      </c>
    </row>
    <row r="210" spans="2:41" x14ac:dyDescent="0.25">
      <c r="B210" s="1">
        <v>3</v>
      </c>
      <c r="C210" s="2" t="s">
        <v>424</v>
      </c>
      <c r="D210" s="1" t="s">
        <v>425</v>
      </c>
      <c r="O210" s="2" t="s">
        <v>424</v>
      </c>
      <c r="Q210" s="23" t="str">
        <f t="shared" si="86"/>
        <v>Insurance Expenses</v>
      </c>
      <c r="S210" s="1" t="str">
        <f t="shared" si="76"/>
        <v>2-PASV</v>
      </c>
      <c r="T210" s="1" t="str">
        <f t="shared" si="77"/>
        <v>3-0000</v>
      </c>
      <c r="U210" s="1" t="str">
        <f t="shared" si="78"/>
        <v>3-3000</v>
      </c>
      <c r="V210" s="1" t="str">
        <f t="shared" si="79"/>
        <v>4-1EAT</v>
      </c>
      <c r="W210" s="1" t="str">
        <f t="shared" si="80"/>
        <v>4-2EBT</v>
      </c>
      <c r="X210" s="1" t="str">
        <f t="shared" si="81"/>
        <v>4-3OPF</v>
      </c>
      <c r="Y210" s="1" t="str">
        <f t="shared" si="82"/>
        <v>4-4GPF</v>
      </c>
      <c r="Z210" s="1" t="str">
        <f t="shared" si="83"/>
        <v>5-0000</v>
      </c>
      <c r="AA210" s="1" t="str">
        <f t="shared" si="84"/>
        <v>5-3000</v>
      </c>
      <c r="AB210" s="1" t="str">
        <f t="shared" si="85"/>
        <v>5-3300</v>
      </c>
      <c r="AD210" s="1" t="str">
        <f t="shared" si="66"/>
        <v/>
      </c>
      <c r="AE210" s="1" t="str">
        <f t="shared" si="67"/>
        <v/>
      </c>
      <c r="AF210" s="1" t="str">
        <f t="shared" si="68"/>
        <v/>
      </c>
      <c r="AG210" s="1" t="str">
        <f t="shared" si="69"/>
        <v/>
      </c>
      <c r="AH210" s="1" t="str">
        <f t="shared" si="70"/>
        <v/>
      </c>
      <c r="AI210" s="1" t="str">
        <f t="shared" si="71"/>
        <v/>
      </c>
      <c r="AJ210" s="1" t="str">
        <f t="shared" si="72"/>
        <v/>
      </c>
      <c r="AK210" s="1" t="str">
        <f t="shared" si="73"/>
        <v/>
      </c>
      <c r="AL210" s="1" t="str">
        <f t="shared" si="74"/>
        <v xml:space="preserve">PERFORM * FROM "SchData-OLTP-Accounting"."Func_TblChartOfAccount_SET"(varSystemLoginSession, null, null, null, varInstitutionBranchID, null, '5-3300', 'Insurance Expenses', 62000000000001::bigint, '2016-01-01 00:00:00'::timestamp, null::timestamp); </v>
      </c>
      <c r="AM210" s="1" t="str">
        <f t="shared" si="75"/>
        <v/>
      </c>
      <c r="AO210" s="8" t="str">
        <f t="shared" si="87"/>
        <v xml:space="preserve">PERFORM * FROM "SchData-OLTP-Accounting"."Func_TblChartOfAccount_SET"(varSystemLoginSession, null, null, null, varInstitutionBranchID, null, '5-3300', 'Insurance Expenses', 62000000000001::bigint, '2016-01-01 00:00:00'::timestamp, null::timestamp); </v>
      </c>
    </row>
    <row r="211" spans="2:41" x14ac:dyDescent="0.25">
      <c r="B211" s="1">
        <v>3</v>
      </c>
      <c r="C211" s="2" t="s">
        <v>426</v>
      </c>
      <c r="D211" s="1" t="s">
        <v>427</v>
      </c>
      <c r="O211" s="2" t="s">
        <v>426</v>
      </c>
      <c r="Q211" s="23" t="str">
        <f t="shared" si="86"/>
        <v>Property Rental/Lease</v>
      </c>
      <c r="S211" s="1" t="str">
        <f t="shared" si="76"/>
        <v>2-PASV</v>
      </c>
      <c r="T211" s="1" t="str">
        <f t="shared" si="77"/>
        <v>3-0000</v>
      </c>
      <c r="U211" s="1" t="str">
        <f t="shared" si="78"/>
        <v>3-3000</v>
      </c>
      <c r="V211" s="1" t="str">
        <f t="shared" si="79"/>
        <v>4-1EAT</v>
      </c>
      <c r="W211" s="1" t="str">
        <f t="shared" si="80"/>
        <v>4-2EBT</v>
      </c>
      <c r="X211" s="1" t="str">
        <f t="shared" si="81"/>
        <v>4-3OPF</v>
      </c>
      <c r="Y211" s="1" t="str">
        <f t="shared" si="82"/>
        <v>4-4GPF</v>
      </c>
      <c r="Z211" s="1" t="str">
        <f t="shared" si="83"/>
        <v>5-0000</v>
      </c>
      <c r="AA211" s="1" t="str">
        <f t="shared" si="84"/>
        <v>5-3000</v>
      </c>
      <c r="AB211" s="1" t="str">
        <f t="shared" si="85"/>
        <v>5-3410</v>
      </c>
      <c r="AD211" s="1" t="str">
        <f t="shared" si="66"/>
        <v/>
      </c>
      <c r="AE211" s="1" t="str">
        <f t="shared" si="67"/>
        <v/>
      </c>
      <c r="AF211" s="1" t="str">
        <f t="shared" si="68"/>
        <v/>
      </c>
      <c r="AG211" s="1" t="str">
        <f t="shared" si="69"/>
        <v/>
      </c>
      <c r="AH211" s="1" t="str">
        <f t="shared" si="70"/>
        <v/>
      </c>
      <c r="AI211" s="1" t="str">
        <f t="shared" si="71"/>
        <v/>
      </c>
      <c r="AJ211" s="1" t="str">
        <f t="shared" si="72"/>
        <v/>
      </c>
      <c r="AK211" s="1" t="str">
        <f t="shared" si="73"/>
        <v/>
      </c>
      <c r="AL211" s="1" t="str">
        <f t="shared" si="74"/>
        <v xml:space="preserve">PERFORM * FROM "SchData-OLTP-Accounting"."Func_TblChartOfAccount_SET"(varSystemLoginSession, null, null, null, varInstitutionBranchID, null, '5-3410', 'Property Rental/Lease', 62000000000001::bigint, '2016-01-01 00:00:00'::timestamp, null::timestamp); </v>
      </c>
      <c r="AM211" s="1" t="str">
        <f t="shared" si="75"/>
        <v/>
      </c>
      <c r="AO211" s="8" t="str">
        <f t="shared" si="87"/>
        <v xml:space="preserve">PERFORM * FROM "SchData-OLTP-Accounting"."Func_TblChartOfAccount_SET"(varSystemLoginSession, null, null, null, varInstitutionBranchID, null, '5-3410', 'Property Rental/Lease', 62000000000001::bigint, '2016-01-01 00:00:00'::timestamp, null::timestamp); </v>
      </c>
    </row>
    <row r="212" spans="2:41" x14ac:dyDescent="0.25">
      <c r="B212" s="1">
        <v>3</v>
      </c>
      <c r="C212" s="2" t="s">
        <v>428</v>
      </c>
      <c r="D212" s="1" t="s">
        <v>429</v>
      </c>
      <c r="O212" s="2" t="s">
        <v>428</v>
      </c>
      <c r="Q212" s="23" t="str">
        <f t="shared" si="86"/>
        <v>Hire of Other Plant &amp; Equipt</v>
      </c>
      <c r="S212" s="1" t="str">
        <f t="shared" si="76"/>
        <v>2-PASV</v>
      </c>
      <c r="T212" s="1" t="str">
        <f t="shared" si="77"/>
        <v>3-0000</v>
      </c>
      <c r="U212" s="1" t="str">
        <f t="shared" si="78"/>
        <v>3-3000</v>
      </c>
      <c r="V212" s="1" t="str">
        <f t="shared" si="79"/>
        <v>4-1EAT</v>
      </c>
      <c r="W212" s="1" t="str">
        <f t="shared" si="80"/>
        <v>4-2EBT</v>
      </c>
      <c r="X212" s="1" t="str">
        <f t="shared" si="81"/>
        <v>4-3OPF</v>
      </c>
      <c r="Y212" s="1" t="str">
        <f t="shared" si="82"/>
        <v>4-4GPF</v>
      </c>
      <c r="Z212" s="1" t="str">
        <f t="shared" si="83"/>
        <v>5-0000</v>
      </c>
      <c r="AA212" s="1" t="str">
        <f t="shared" si="84"/>
        <v>5-3000</v>
      </c>
      <c r="AB212" s="1" t="str">
        <f t="shared" si="85"/>
        <v>5-3420</v>
      </c>
      <c r="AD212" s="1" t="str">
        <f t="shared" si="66"/>
        <v/>
      </c>
      <c r="AE212" s="1" t="str">
        <f t="shared" si="67"/>
        <v/>
      </c>
      <c r="AF212" s="1" t="str">
        <f t="shared" si="68"/>
        <v/>
      </c>
      <c r="AG212" s="1" t="str">
        <f t="shared" si="69"/>
        <v/>
      </c>
      <c r="AH212" s="1" t="str">
        <f t="shared" si="70"/>
        <v/>
      </c>
      <c r="AI212" s="1" t="str">
        <f t="shared" si="71"/>
        <v/>
      </c>
      <c r="AJ212" s="1" t="str">
        <f t="shared" si="72"/>
        <v/>
      </c>
      <c r="AK212" s="1" t="str">
        <f t="shared" si="73"/>
        <v/>
      </c>
      <c r="AL212" s="1" t="str">
        <f t="shared" si="74"/>
        <v xml:space="preserve">PERFORM * FROM "SchData-OLTP-Accounting"."Func_TblChartOfAccount_SET"(varSystemLoginSession, null, null, null, varInstitutionBranchID, null, '5-3420', 'Hire of Other Plant &amp; Equipt', 62000000000001::bigint, '2016-01-01 00:00:00'::timestamp, null::timestamp); </v>
      </c>
      <c r="AM212" s="1" t="str">
        <f t="shared" si="75"/>
        <v/>
      </c>
      <c r="AO212" s="8" t="str">
        <f t="shared" si="87"/>
        <v xml:space="preserve">PERFORM * FROM "SchData-OLTP-Accounting"."Func_TblChartOfAccount_SET"(varSystemLoginSession, null, null, null, varInstitutionBranchID, null, '5-3420', 'Hire of Other Plant &amp; Equipt', 62000000000001::bigint, '2016-01-01 00:00:00'::timestamp, null::timestamp); </v>
      </c>
    </row>
    <row r="213" spans="2:41" x14ac:dyDescent="0.25">
      <c r="B213" s="1">
        <v>3</v>
      </c>
      <c r="C213" s="2" t="s">
        <v>430</v>
      </c>
      <c r="D213" s="1" t="s">
        <v>431</v>
      </c>
      <c r="O213" s="2" t="s">
        <v>430</v>
      </c>
      <c r="Q213" s="23" t="str">
        <f t="shared" si="86"/>
        <v>Property Repair &amp; Maintenance</v>
      </c>
      <c r="S213" s="1" t="str">
        <f t="shared" si="76"/>
        <v>2-PASV</v>
      </c>
      <c r="T213" s="1" t="str">
        <f t="shared" si="77"/>
        <v>3-0000</v>
      </c>
      <c r="U213" s="1" t="str">
        <f t="shared" si="78"/>
        <v>3-3000</v>
      </c>
      <c r="V213" s="1" t="str">
        <f t="shared" si="79"/>
        <v>4-1EAT</v>
      </c>
      <c r="W213" s="1" t="str">
        <f t="shared" si="80"/>
        <v>4-2EBT</v>
      </c>
      <c r="X213" s="1" t="str">
        <f t="shared" si="81"/>
        <v>4-3OPF</v>
      </c>
      <c r="Y213" s="1" t="str">
        <f t="shared" si="82"/>
        <v>4-4GPF</v>
      </c>
      <c r="Z213" s="1" t="str">
        <f t="shared" si="83"/>
        <v>5-0000</v>
      </c>
      <c r="AA213" s="1" t="str">
        <f t="shared" si="84"/>
        <v>5-3000</v>
      </c>
      <c r="AB213" s="1" t="str">
        <f t="shared" si="85"/>
        <v>5-3430</v>
      </c>
      <c r="AD213" s="1" t="str">
        <f t="shared" si="66"/>
        <v/>
      </c>
      <c r="AE213" s="1" t="str">
        <f t="shared" si="67"/>
        <v/>
      </c>
      <c r="AF213" s="1" t="str">
        <f t="shared" si="68"/>
        <v/>
      </c>
      <c r="AG213" s="1" t="str">
        <f t="shared" si="69"/>
        <v/>
      </c>
      <c r="AH213" s="1" t="str">
        <f t="shared" si="70"/>
        <v/>
      </c>
      <c r="AI213" s="1" t="str">
        <f t="shared" si="71"/>
        <v/>
      </c>
      <c r="AJ213" s="1" t="str">
        <f t="shared" si="72"/>
        <v/>
      </c>
      <c r="AK213" s="1" t="str">
        <f t="shared" si="73"/>
        <v/>
      </c>
      <c r="AL213" s="1" t="str">
        <f t="shared" si="74"/>
        <v xml:space="preserve">PERFORM * FROM "SchData-OLTP-Accounting"."Func_TblChartOfAccount_SET"(varSystemLoginSession, null, null, null, varInstitutionBranchID, null, '5-3430', 'Property Repair &amp; Maintenance', 62000000000001::bigint, '2016-01-01 00:00:00'::timestamp, null::timestamp); </v>
      </c>
      <c r="AM213" s="1" t="str">
        <f t="shared" si="75"/>
        <v/>
      </c>
      <c r="AO213" s="8" t="str">
        <f t="shared" si="87"/>
        <v xml:space="preserve">PERFORM * FROM "SchData-OLTP-Accounting"."Func_TblChartOfAccount_SET"(varSystemLoginSession, null, null, null, varInstitutionBranchID, null, '5-3430', 'Property Repair &amp; Maintenance', 62000000000001::bigint, '2016-01-01 00:00:00'::timestamp, null::timestamp); </v>
      </c>
    </row>
    <row r="214" spans="2:41" x14ac:dyDescent="0.25">
      <c r="B214" s="1">
        <v>3</v>
      </c>
      <c r="C214" s="2" t="s">
        <v>432</v>
      </c>
      <c r="D214" s="1" t="s">
        <v>433</v>
      </c>
      <c r="O214" s="2" t="s">
        <v>432</v>
      </c>
      <c r="Q214" s="23" t="str">
        <f t="shared" si="86"/>
        <v>IT Expenses</v>
      </c>
      <c r="S214" s="1" t="str">
        <f t="shared" si="76"/>
        <v>2-PASV</v>
      </c>
      <c r="T214" s="1" t="str">
        <f t="shared" si="77"/>
        <v>3-0000</v>
      </c>
      <c r="U214" s="1" t="str">
        <f t="shared" si="78"/>
        <v>3-3000</v>
      </c>
      <c r="V214" s="1" t="str">
        <f t="shared" si="79"/>
        <v>4-1EAT</v>
      </c>
      <c r="W214" s="1" t="str">
        <f t="shared" si="80"/>
        <v>4-2EBT</v>
      </c>
      <c r="X214" s="1" t="str">
        <f t="shared" si="81"/>
        <v>4-3OPF</v>
      </c>
      <c r="Y214" s="1" t="str">
        <f t="shared" si="82"/>
        <v>4-4GPF</v>
      </c>
      <c r="Z214" s="1" t="str">
        <f t="shared" si="83"/>
        <v>5-0000</v>
      </c>
      <c r="AA214" s="1" t="str">
        <f t="shared" si="84"/>
        <v>5-3000</v>
      </c>
      <c r="AB214" s="1" t="str">
        <f t="shared" si="85"/>
        <v>5-3440</v>
      </c>
      <c r="AD214" s="1" t="str">
        <f t="shared" si="66"/>
        <v/>
      </c>
      <c r="AE214" s="1" t="str">
        <f t="shared" si="67"/>
        <v/>
      </c>
      <c r="AF214" s="1" t="str">
        <f t="shared" si="68"/>
        <v/>
      </c>
      <c r="AG214" s="1" t="str">
        <f t="shared" si="69"/>
        <v/>
      </c>
      <c r="AH214" s="1" t="str">
        <f t="shared" si="70"/>
        <v/>
      </c>
      <c r="AI214" s="1" t="str">
        <f t="shared" si="71"/>
        <v/>
      </c>
      <c r="AJ214" s="1" t="str">
        <f t="shared" si="72"/>
        <v/>
      </c>
      <c r="AK214" s="1" t="str">
        <f t="shared" si="73"/>
        <v/>
      </c>
      <c r="AL214" s="1" t="str">
        <f t="shared" si="74"/>
        <v xml:space="preserve">PERFORM * FROM "SchData-OLTP-Accounting"."Func_TblChartOfAccount_SET"(varSystemLoginSession, null, null, null, varInstitutionBranchID, null, '5-3440', 'IT Expenses', 62000000000001::bigint, '2016-01-01 00:00:00'::timestamp, null::timestamp); </v>
      </c>
      <c r="AM214" s="1" t="str">
        <f t="shared" si="75"/>
        <v/>
      </c>
      <c r="AO214" s="8" t="str">
        <f t="shared" si="87"/>
        <v xml:space="preserve">PERFORM * FROM "SchData-OLTP-Accounting"."Func_TblChartOfAccount_SET"(varSystemLoginSession, null, null, null, varInstitutionBranchID, null, '5-3440', 'IT Expenses', 62000000000001::bigint, '2016-01-01 00:00:00'::timestamp, null::timestamp); </v>
      </c>
    </row>
    <row r="215" spans="2:41" x14ac:dyDescent="0.25">
      <c r="B215" s="1">
        <v>3</v>
      </c>
      <c r="C215" s="2" t="s">
        <v>434</v>
      </c>
      <c r="D215" s="1" t="s">
        <v>435</v>
      </c>
      <c r="O215" s="2" t="s">
        <v>434</v>
      </c>
      <c r="Q215" s="23" t="str">
        <f t="shared" si="86"/>
        <v>Hire of Motor Vehicle</v>
      </c>
      <c r="S215" s="1" t="str">
        <f t="shared" si="76"/>
        <v>2-PASV</v>
      </c>
      <c r="T215" s="1" t="str">
        <f t="shared" si="77"/>
        <v>3-0000</v>
      </c>
      <c r="U215" s="1" t="str">
        <f t="shared" si="78"/>
        <v>3-3000</v>
      </c>
      <c r="V215" s="1" t="str">
        <f t="shared" si="79"/>
        <v>4-1EAT</v>
      </c>
      <c r="W215" s="1" t="str">
        <f t="shared" si="80"/>
        <v>4-2EBT</v>
      </c>
      <c r="X215" s="1" t="str">
        <f t="shared" si="81"/>
        <v>4-3OPF</v>
      </c>
      <c r="Y215" s="1" t="str">
        <f t="shared" si="82"/>
        <v>4-4GPF</v>
      </c>
      <c r="Z215" s="1" t="str">
        <f t="shared" si="83"/>
        <v>5-0000</v>
      </c>
      <c r="AA215" s="1" t="str">
        <f t="shared" si="84"/>
        <v>5-3000</v>
      </c>
      <c r="AB215" s="1" t="str">
        <f t="shared" si="85"/>
        <v>5-3510</v>
      </c>
      <c r="AD215" s="1" t="str">
        <f t="shared" si="66"/>
        <v/>
      </c>
      <c r="AE215" s="1" t="str">
        <f t="shared" si="67"/>
        <v/>
      </c>
      <c r="AF215" s="1" t="str">
        <f t="shared" si="68"/>
        <v/>
      </c>
      <c r="AG215" s="1" t="str">
        <f t="shared" si="69"/>
        <v/>
      </c>
      <c r="AH215" s="1" t="str">
        <f t="shared" si="70"/>
        <v/>
      </c>
      <c r="AI215" s="1" t="str">
        <f t="shared" si="71"/>
        <v/>
      </c>
      <c r="AJ215" s="1" t="str">
        <f t="shared" si="72"/>
        <v/>
      </c>
      <c r="AK215" s="1" t="str">
        <f t="shared" si="73"/>
        <v/>
      </c>
      <c r="AL215" s="1" t="str">
        <f t="shared" si="74"/>
        <v xml:space="preserve">PERFORM * FROM "SchData-OLTP-Accounting"."Func_TblChartOfAccount_SET"(varSystemLoginSession, null, null, null, varInstitutionBranchID, null, '5-3510', 'Hire of Motor Vehicle', 62000000000001::bigint, '2016-01-01 00:00:00'::timestamp, null::timestamp); </v>
      </c>
      <c r="AM215" s="1" t="str">
        <f t="shared" si="75"/>
        <v/>
      </c>
      <c r="AO215" s="8" t="str">
        <f t="shared" si="87"/>
        <v xml:space="preserve">PERFORM * FROM "SchData-OLTP-Accounting"."Func_TblChartOfAccount_SET"(varSystemLoginSession, null, null, null, varInstitutionBranchID, null, '5-3510', 'Hire of Motor Vehicle', 62000000000001::bigint, '2016-01-01 00:00:00'::timestamp, null::timestamp); </v>
      </c>
    </row>
    <row r="216" spans="2:41" x14ac:dyDescent="0.25">
      <c r="B216" s="1">
        <v>3</v>
      </c>
      <c r="C216" s="2" t="s">
        <v>436</v>
      </c>
      <c r="D216" s="1" t="s">
        <v>437</v>
      </c>
      <c r="O216" s="2" t="s">
        <v>436</v>
      </c>
      <c r="Q216" s="23" t="str">
        <f t="shared" si="86"/>
        <v>MV-Fuel &amp; Oil</v>
      </c>
      <c r="S216" s="1" t="str">
        <f t="shared" si="76"/>
        <v>2-PASV</v>
      </c>
      <c r="T216" s="1" t="str">
        <f t="shared" si="77"/>
        <v>3-0000</v>
      </c>
      <c r="U216" s="1" t="str">
        <f t="shared" si="78"/>
        <v>3-3000</v>
      </c>
      <c r="V216" s="1" t="str">
        <f t="shared" si="79"/>
        <v>4-1EAT</v>
      </c>
      <c r="W216" s="1" t="str">
        <f t="shared" si="80"/>
        <v>4-2EBT</v>
      </c>
      <c r="X216" s="1" t="str">
        <f t="shared" si="81"/>
        <v>4-3OPF</v>
      </c>
      <c r="Y216" s="1" t="str">
        <f t="shared" si="82"/>
        <v>4-4GPF</v>
      </c>
      <c r="Z216" s="1" t="str">
        <f t="shared" si="83"/>
        <v>5-0000</v>
      </c>
      <c r="AA216" s="1" t="str">
        <f t="shared" si="84"/>
        <v>5-3000</v>
      </c>
      <c r="AB216" s="1" t="str">
        <f t="shared" si="85"/>
        <v>5-3520</v>
      </c>
      <c r="AD216" s="1" t="str">
        <f t="shared" si="66"/>
        <v/>
      </c>
      <c r="AE216" s="1" t="str">
        <f t="shared" si="67"/>
        <v/>
      </c>
      <c r="AF216" s="1" t="str">
        <f t="shared" si="68"/>
        <v/>
      </c>
      <c r="AG216" s="1" t="str">
        <f t="shared" si="69"/>
        <v/>
      </c>
      <c r="AH216" s="1" t="str">
        <f t="shared" si="70"/>
        <v/>
      </c>
      <c r="AI216" s="1" t="str">
        <f t="shared" si="71"/>
        <v/>
      </c>
      <c r="AJ216" s="1" t="str">
        <f t="shared" si="72"/>
        <v/>
      </c>
      <c r="AK216" s="1" t="str">
        <f t="shared" si="73"/>
        <v/>
      </c>
      <c r="AL216" s="1" t="str">
        <f t="shared" si="74"/>
        <v xml:space="preserve">PERFORM * FROM "SchData-OLTP-Accounting"."Func_TblChartOfAccount_SET"(varSystemLoginSession, null, null, null, varInstitutionBranchID, null, '5-3520', 'MV-Fuel &amp; Oil', 62000000000001::bigint, '2016-01-01 00:00:00'::timestamp, null::timestamp); </v>
      </c>
      <c r="AM216" s="1" t="str">
        <f t="shared" si="75"/>
        <v/>
      </c>
      <c r="AO216" s="8" t="str">
        <f t="shared" si="87"/>
        <v xml:space="preserve">PERFORM * FROM "SchData-OLTP-Accounting"."Func_TblChartOfAccount_SET"(varSystemLoginSession, null, null, null, varInstitutionBranchID, null, '5-3520', 'MV-Fuel &amp; Oil', 62000000000001::bigint, '2016-01-01 00:00:00'::timestamp, null::timestamp); </v>
      </c>
    </row>
    <row r="217" spans="2:41" x14ac:dyDescent="0.25">
      <c r="B217" s="1">
        <v>3</v>
      </c>
      <c r="C217" s="2" t="s">
        <v>438</v>
      </c>
      <c r="D217" s="1" t="s">
        <v>439</v>
      </c>
      <c r="O217" s="2" t="s">
        <v>438</v>
      </c>
      <c r="Q217" s="23" t="str">
        <f t="shared" si="86"/>
        <v>MV-Repair &amp; Maintenance</v>
      </c>
      <c r="S217" s="1" t="str">
        <f t="shared" si="76"/>
        <v>2-PASV</v>
      </c>
      <c r="T217" s="1" t="str">
        <f t="shared" si="77"/>
        <v>3-0000</v>
      </c>
      <c r="U217" s="1" t="str">
        <f t="shared" si="78"/>
        <v>3-3000</v>
      </c>
      <c r="V217" s="1" t="str">
        <f t="shared" si="79"/>
        <v>4-1EAT</v>
      </c>
      <c r="W217" s="1" t="str">
        <f t="shared" si="80"/>
        <v>4-2EBT</v>
      </c>
      <c r="X217" s="1" t="str">
        <f t="shared" si="81"/>
        <v>4-3OPF</v>
      </c>
      <c r="Y217" s="1" t="str">
        <f t="shared" si="82"/>
        <v>4-4GPF</v>
      </c>
      <c r="Z217" s="1" t="str">
        <f t="shared" si="83"/>
        <v>5-0000</v>
      </c>
      <c r="AA217" s="1" t="str">
        <f t="shared" si="84"/>
        <v>5-3000</v>
      </c>
      <c r="AB217" s="1" t="str">
        <f t="shared" si="85"/>
        <v>5-3530</v>
      </c>
      <c r="AD217" s="1" t="str">
        <f t="shared" si="66"/>
        <v/>
      </c>
      <c r="AE217" s="1" t="str">
        <f t="shared" si="67"/>
        <v/>
      </c>
      <c r="AF217" s="1" t="str">
        <f t="shared" si="68"/>
        <v/>
      </c>
      <c r="AG217" s="1" t="str">
        <f t="shared" si="69"/>
        <v/>
      </c>
      <c r="AH217" s="1" t="str">
        <f t="shared" si="70"/>
        <v/>
      </c>
      <c r="AI217" s="1" t="str">
        <f t="shared" si="71"/>
        <v/>
      </c>
      <c r="AJ217" s="1" t="str">
        <f t="shared" si="72"/>
        <v/>
      </c>
      <c r="AK217" s="1" t="str">
        <f t="shared" si="73"/>
        <v/>
      </c>
      <c r="AL217" s="1" t="str">
        <f t="shared" si="74"/>
        <v xml:space="preserve">PERFORM * FROM "SchData-OLTP-Accounting"."Func_TblChartOfAccount_SET"(varSystemLoginSession, null, null, null, varInstitutionBranchID, null, '5-3530', 'MV-Repair &amp; Maintenance', 62000000000001::bigint, '2016-01-01 00:00:00'::timestamp, null::timestamp); </v>
      </c>
      <c r="AM217" s="1" t="str">
        <f t="shared" si="75"/>
        <v/>
      </c>
      <c r="AO217" s="8" t="str">
        <f t="shared" si="87"/>
        <v xml:space="preserve">PERFORM * FROM "SchData-OLTP-Accounting"."Func_TblChartOfAccount_SET"(varSystemLoginSession, null, null, null, varInstitutionBranchID, null, '5-3530', 'MV-Repair &amp; Maintenance', 62000000000001::bigint, '2016-01-01 00:00:00'::timestamp, null::timestamp); </v>
      </c>
    </row>
    <row r="218" spans="2:41" x14ac:dyDescent="0.25">
      <c r="B218" s="1">
        <v>3</v>
      </c>
      <c r="C218" s="2" t="s">
        <v>440</v>
      </c>
      <c r="D218" s="1" t="s">
        <v>441</v>
      </c>
      <c r="O218" s="2" t="s">
        <v>440</v>
      </c>
      <c r="Q218" s="23" t="str">
        <f t="shared" si="86"/>
        <v>MV-Tyres, Tubes</v>
      </c>
      <c r="S218" s="1" t="str">
        <f t="shared" si="76"/>
        <v>2-PASV</v>
      </c>
      <c r="T218" s="1" t="str">
        <f t="shared" si="77"/>
        <v>3-0000</v>
      </c>
      <c r="U218" s="1" t="str">
        <f t="shared" si="78"/>
        <v>3-3000</v>
      </c>
      <c r="V218" s="1" t="str">
        <f t="shared" si="79"/>
        <v>4-1EAT</v>
      </c>
      <c r="W218" s="1" t="str">
        <f t="shared" si="80"/>
        <v>4-2EBT</v>
      </c>
      <c r="X218" s="1" t="str">
        <f t="shared" si="81"/>
        <v>4-3OPF</v>
      </c>
      <c r="Y218" s="1" t="str">
        <f t="shared" si="82"/>
        <v>4-4GPF</v>
      </c>
      <c r="Z218" s="1" t="str">
        <f t="shared" si="83"/>
        <v>5-0000</v>
      </c>
      <c r="AA218" s="1" t="str">
        <f t="shared" si="84"/>
        <v>5-3000</v>
      </c>
      <c r="AB218" s="1" t="str">
        <f t="shared" si="85"/>
        <v>5-3540</v>
      </c>
      <c r="AD218" s="1" t="str">
        <f t="shared" si="66"/>
        <v/>
      </c>
      <c r="AE218" s="1" t="str">
        <f t="shared" si="67"/>
        <v/>
      </c>
      <c r="AF218" s="1" t="str">
        <f t="shared" si="68"/>
        <v/>
      </c>
      <c r="AG218" s="1" t="str">
        <f t="shared" si="69"/>
        <v/>
      </c>
      <c r="AH218" s="1" t="str">
        <f t="shared" si="70"/>
        <v/>
      </c>
      <c r="AI218" s="1" t="str">
        <f t="shared" si="71"/>
        <v/>
      </c>
      <c r="AJ218" s="1" t="str">
        <f t="shared" si="72"/>
        <v/>
      </c>
      <c r="AK218" s="1" t="str">
        <f t="shared" si="73"/>
        <v/>
      </c>
      <c r="AL218" s="1" t="str">
        <f t="shared" si="74"/>
        <v xml:space="preserve">PERFORM * FROM "SchData-OLTP-Accounting"."Func_TblChartOfAccount_SET"(varSystemLoginSession, null, null, null, varInstitutionBranchID, null, '5-3540', 'MV-Tyres, Tubes', 62000000000001::bigint, '2016-01-01 00:00:00'::timestamp, null::timestamp); </v>
      </c>
      <c r="AM218" s="1" t="str">
        <f t="shared" si="75"/>
        <v/>
      </c>
      <c r="AO218" s="8" t="str">
        <f t="shared" si="87"/>
        <v xml:space="preserve">PERFORM * FROM "SchData-OLTP-Accounting"."Func_TblChartOfAccount_SET"(varSystemLoginSession, null, null, null, varInstitutionBranchID, null, '5-3540', 'MV-Tyres, Tubes', 62000000000001::bigint, '2016-01-01 00:00:00'::timestamp, null::timestamp); </v>
      </c>
    </row>
    <row r="219" spans="2:41" x14ac:dyDescent="0.25">
      <c r="B219" s="1">
        <v>3</v>
      </c>
      <c r="C219" s="2" t="s">
        <v>442</v>
      </c>
      <c r="D219" s="1" t="s">
        <v>443</v>
      </c>
      <c r="O219" s="2" t="s">
        <v>442</v>
      </c>
      <c r="Q219" s="23" t="str">
        <f t="shared" si="86"/>
        <v>MV-Spare Parts</v>
      </c>
      <c r="S219" s="1" t="str">
        <f t="shared" si="76"/>
        <v>2-PASV</v>
      </c>
      <c r="T219" s="1" t="str">
        <f t="shared" si="77"/>
        <v>3-0000</v>
      </c>
      <c r="U219" s="1" t="str">
        <f t="shared" si="78"/>
        <v>3-3000</v>
      </c>
      <c r="V219" s="1" t="str">
        <f t="shared" si="79"/>
        <v>4-1EAT</v>
      </c>
      <c r="W219" s="1" t="str">
        <f t="shared" si="80"/>
        <v>4-2EBT</v>
      </c>
      <c r="X219" s="1" t="str">
        <f t="shared" si="81"/>
        <v>4-3OPF</v>
      </c>
      <c r="Y219" s="1" t="str">
        <f t="shared" si="82"/>
        <v>4-4GPF</v>
      </c>
      <c r="Z219" s="1" t="str">
        <f t="shared" si="83"/>
        <v>5-0000</v>
      </c>
      <c r="AA219" s="1" t="str">
        <f t="shared" si="84"/>
        <v>5-3000</v>
      </c>
      <c r="AB219" s="1" t="str">
        <f t="shared" si="85"/>
        <v>5-3550</v>
      </c>
      <c r="AD219" s="1" t="str">
        <f t="shared" si="66"/>
        <v/>
      </c>
      <c r="AE219" s="1" t="str">
        <f t="shared" si="67"/>
        <v/>
      </c>
      <c r="AF219" s="1" t="str">
        <f t="shared" si="68"/>
        <v/>
      </c>
      <c r="AG219" s="1" t="str">
        <f t="shared" si="69"/>
        <v/>
      </c>
      <c r="AH219" s="1" t="str">
        <f t="shared" si="70"/>
        <v/>
      </c>
      <c r="AI219" s="1" t="str">
        <f t="shared" si="71"/>
        <v/>
      </c>
      <c r="AJ219" s="1" t="str">
        <f t="shared" si="72"/>
        <v/>
      </c>
      <c r="AK219" s="1" t="str">
        <f t="shared" si="73"/>
        <v/>
      </c>
      <c r="AL219" s="1" t="str">
        <f t="shared" si="74"/>
        <v xml:space="preserve">PERFORM * FROM "SchData-OLTP-Accounting"."Func_TblChartOfAccount_SET"(varSystemLoginSession, null, null, null, varInstitutionBranchID, null, '5-3550', 'MV-Spare Parts', 62000000000001::bigint, '2016-01-01 00:00:00'::timestamp, null::timestamp); </v>
      </c>
      <c r="AM219" s="1" t="str">
        <f t="shared" si="75"/>
        <v/>
      </c>
      <c r="AO219" s="8" t="str">
        <f t="shared" si="87"/>
        <v xml:space="preserve">PERFORM * FROM "SchData-OLTP-Accounting"."Func_TblChartOfAccount_SET"(varSystemLoginSession, null, null, null, varInstitutionBranchID, null, '5-3550', 'MV-Spare Parts', 62000000000001::bigint, '2016-01-01 00:00:00'::timestamp, null::timestamp); </v>
      </c>
    </row>
    <row r="220" spans="2:41" x14ac:dyDescent="0.25">
      <c r="B220" s="1">
        <v>3</v>
      </c>
      <c r="C220" s="2" t="s">
        <v>444</v>
      </c>
      <c r="D220" s="1" t="s">
        <v>445</v>
      </c>
      <c r="O220" s="2" t="s">
        <v>444</v>
      </c>
      <c r="Q220" s="23" t="str">
        <f t="shared" si="86"/>
        <v>MV-Accessories</v>
      </c>
      <c r="S220" s="1" t="str">
        <f t="shared" si="76"/>
        <v>2-PASV</v>
      </c>
      <c r="T220" s="1" t="str">
        <f t="shared" si="77"/>
        <v>3-0000</v>
      </c>
      <c r="U220" s="1" t="str">
        <f t="shared" si="78"/>
        <v>3-3000</v>
      </c>
      <c r="V220" s="1" t="str">
        <f t="shared" si="79"/>
        <v>4-1EAT</v>
      </c>
      <c r="W220" s="1" t="str">
        <f t="shared" si="80"/>
        <v>4-2EBT</v>
      </c>
      <c r="X220" s="1" t="str">
        <f t="shared" si="81"/>
        <v>4-3OPF</v>
      </c>
      <c r="Y220" s="1" t="str">
        <f t="shared" si="82"/>
        <v>4-4GPF</v>
      </c>
      <c r="Z220" s="1" t="str">
        <f t="shared" si="83"/>
        <v>5-0000</v>
      </c>
      <c r="AA220" s="1" t="str">
        <f t="shared" si="84"/>
        <v>5-3000</v>
      </c>
      <c r="AB220" s="1" t="str">
        <f t="shared" si="85"/>
        <v>5-3560</v>
      </c>
      <c r="AD220" s="1" t="str">
        <f t="shared" si="66"/>
        <v/>
      </c>
      <c r="AE220" s="1" t="str">
        <f t="shared" si="67"/>
        <v/>
      </c>
      <c r="AF220" s="1" t="str">
        <f t="shared" si="68"/>
        <v/>
      </c>
      <c r="AG220" s="1" t="str">
        <f t="shared" si="69"/>
        <v/>
      </c>
      <c r="AH220" s="1" t="str">
        <f t="shared" si="70"/>
        <v/>
      </c>
      <c r="AI220" s="1" t="str">
        <f t="shared" si="71"/>
        <v/>
      </c>
      <c r="AJ220" s="1" t="str">
        <f t="shared" si="72"/>
        <v/>
      </c>
      <c r="AK220" s="1" t="str">
        <f t="shared" si="73"/>
        <v/>
      </c>
      <c r="AL220" s="1" t="str">
        <f t="shared" si="74"/>
        <v xml:space="preserve">PERFORM * FROM "SchData-OLTP-Accounting"."Func_TblChartOfAccount_SET"(varSystemLoginSession, null, null, null, varInstitutionBranchID, null, '5-3560', 'MV-Accessories', 62000000000001::bigint, '2016-01-01 00:00:00'::timestamp, null::timestamp); </v>
      </c>
      <c r="AM220" s="1" t="str">
        <f t="shared" si="75"/>
        <v/>
      </c>
      <c r="AO220" s="8" t="str">
        <f t="shared" si="87"/>
        <v xml:space="preserve">PERFORM * FROM "SchData-OLTP-Accounting"."Func_TblChartOfAccount_SET"(varSystemLoginSession, null, null, null, varInstitutionBranchID, null, '5-3560', 'MV-Accessories', 62000000000001::bigint, '2016-01-01 00:00:00'::timestamp, null::timestamp); </v>
      </c>
    </row>
    <row r="221" spans="2:41" x14ac:dyDescent="0.25">
      <c r="B221" s="1">
        <v>3</v>
      </c>
      <c r="C221" s="2" t="s">
        <v>446</v>
      </c>
      <c r="D221" s="1" t="s">
        <v>447</v>
      </c>
      <c r="O221" s="2" t="s">
        <v>446</v>
      </c>
      <c r="Q221" s="23" t="str">
        <f t="shared" si="86"/>
        <v>MV Other</v>
      </c>
      <c r="S221" s="1" t="str">
        <f t="shared" si="76"/>
        <v>2-PASV</v>
      </c>
      <c r="T221" s="1" t="str">
        <f t="shared" si="77"/>
        <v>3-0000</v>
      </c>
      <c r="U221" s="1" t="str">
        <f t="shared" si="78"/>
        <v>3-3000</v>
      </c>
      <c r="V221" s="1" t="str">
        <f t="shared" si="79"/>
        <v>4-1EAT</v>
      </c>
      <c r="W221" s="1" t="str">
        <f t="shared" si="80"/>
        <v>4-2EBT</v>
      </c>
      <c r="X221" s="1" t="str">
        <f t="shared" si="81"/>
        <v>4-3OPF</v>
      </c>
      <c r="Y221" s="1" t="str">
        <f t="shared" si="82"/>
        <v>4-4GPF</v>
      </c>
      <c r="Z221" s="1" t="str">
        <f t="shared" si="83"/>
        <v>5-0000</v>
      </c>
      <c r="AA221" s="1" t="str">
        <f t="shared" si="84"/>
        <v>5-3000</v>
      </c>
      <c r="AB221" s="1" t="str">
        <f t="shared" si="85"/>
        <v>5-3570</v>
      </c>
      <c r="AD221" s="1" t="str">
        <f t="shared" si="66"/>
        <v/>
      </c>
      <c r="AE221" s="1" t="str">
        <f t="shared" si="67"/>
        <v/>
      </c>
      <c r="AF221" s="1" t="str">
        <f t="shared" si="68"/>
        <v/>
      </c>
      <c r="AG221" s="1" t="str">
        <f t="shared" si="69"/>
        <v/>
      </c>
      <c r="AH221" s="1" t="str">
        <f t="shared" si="70"/>
        <v/>
      </c>
      <c r="AI221" s="1" t="str">
        <f t="shared" si="71"/>
        <v/>
      </c>
      <c r="AJ221" s="1" t="str">
        <f t="shared" si="72"/>
        <v/>
      </c>
      <c r="AK221" s="1" t="str">
        <f t="shared" si="73"/>
        <v/>
      </c>
      <c r="AL221" s="1" t="str">
        <f t="shared" si="74"/>
        <v xml:space="preserve">PERFORM * FROM "SchData-OLTP-Accounting"."Func_TblChartOfAccount_SET"(varSystemLoginSession, null, null, null, varInstitutionBranchID, null, '5-3570', 'MV Other', 62000000000001::bigint, '2016-01-01 00:00:00'::timestamp, null::timestamp); </v>
      </c>
      <c r="AM221" s="1" t="str">
        <f t="shared" si="75"/>
        <v/>
      </c>
      <c r="AO221" s="8" t="str">
        <f t="shared" si="87"/>
        <v xml:space="preserve">PERFORM * FROM "SchData-OLTP-Accounting"."Func_TblChartOfAccount_SET"(varSystemLoginSession, null, null, null, varInstitutionBranchID, null, '5-3570', 'MV Other', 62000000000001::bigint, '2016-01-01 00:00:00'::timestamp, null::timestamp); </v>
      </c>
    </row>
    <row r="222" spans="2:41" x14ac:dyDescent="0.25">
      <c r="B222" s="1">
        <v>3</v>
      </c>
      <c r="C222" s="2" t="s">
        <v>448</v>
      </c>
      <c r="D222" s="1" t="s">
        <v>449</v>
      </c>
      <c r="O222" s="2" t="s">
        <v>448</v>
      </c>
      <c r="Q222" s="23" t="str">
        <f t="shared" si="86"/>
        <v>Local Transport</v>
      </c>
      <c r="S222" s="1" t="str">
        <f t="shared" si="76"/>
        <v>2-PASV</v>
      </c>
      <c r="T222" s="1" t="str">
        <f t="shared" si="77"/>
        <v>3-0000</v>
      </c>
      <c r="U222" s="1" t="str">
        <f t="shared" si="78"/>
        <v>3-3000</v>
      </c>
      <c r="V222" s="1" t="str">
        <f t="shared" si="79"/>
        <v>4-1EAT</v>
      </c>
      <c r="W222" s="1" t="str">
        <f t="shared" si="80"/>
        <v>4-2EBT</v>
      </c>
      <c r="X222" s="1" t="str">
        <f t="shared" si="81"/>
        <v>4-3OPF</v>
      </c>
      <c r="Y222" s="1" t="str">
        <f t="shared" si="82"/>
        <v>4-4GPF</v>
      </c>
      <c r="Z222" s="1" t="str">
        <f t="shared" si="83"/>
        <v>5-0000</v>
      </c>
      <c r="AA222" s="1" t="str">
        <f t="shared" si="84"/>
        <v>5-3000</v>
      </c>
      <c r="AB222" s="1" t="str">
        <f t="shared" si="85"/>
        <v>5-3610</v>
      </c>
      <c r="AD222" s="1" t="str">
        <f t="shared" si="66"/>
        <v/>
      </c>
      <c r="AE222" s="1" t="str">
        <f t="shared" si="67"/>
        <v/>
      </c>
      <c r="AF222" s="1" t="str">
        <f t="shared" si="68"/>
        <v/>
      </c>
      <c r="AG222" s="1" t="str">
        <f t="shared" si="69"/>
        <v/>
      </c>
      <c r="AH222" s="1" t="str">
        <f t="shared" si="70"/>
        <v/>
      </c>
      <c r="AI222" s="1" t="str">
        <f t="shared" si="71"/>
        <v/>
      </c>
      <c r="AJ222" s="1" t="str">
        <f t="shared" si="72"/>
        <v/>
      </c>
      <c r="AK222" s="1" t="str">
        <f t="shared" si="73"/>
        <v/>
      </c>
      <c r="AL222" s="1" t="str">
        <f t="shared" si="74"/>
        <v xml:space="preserve">PERFORM * FROM "SchData-OLTP-Accounting"."Func_TblChartOfAccount_SET"(varSystemLoginSession, null, null, null, varInstitutionBranchID, null, '5-3610', 'Local Transport', 62000000000001::bigint, '2016-01-01 00:00:00'::timestamp, null::timestamp); </v>
      </c>
      <c r="AM222" s="1" t="str">
        <f t="shared" si="75"/>
        <v/>
      </c>
      <c r="AO222" s="8" t="str">
        <f t="shared" si="87"/>
        <v xml:space="preserve">PERFORM * FROM "SchData-OLTP-Accounting"."Func_TblChartOfAccount_SET"(varSystemLoginSession, null, null, null, varInstitutionBranchID, null, '5-3610', 'Local Transport', 62000000000001::bigint, '2016-01-01 00:00:00'::timestamp, null::timestamp); </v>
      </c>
    </row>
    <row r="223" spans="2:41" x14ac:dyDescent="0.25">
      <c r="B223" s="1">
        <v>3</v>
      </c>
      <c r="C223" s="2" t="s">
        <v>450</v>
      </c>
      <c r="D223" s="1" t="s">
        <v>451</v>
      </c>
      <c r="O223" s="2" t="s">
        <v>450</v>
      </c>
      <c r="Q223" s="23" t="str">
        <f t="shared" si="86"/>
        <v>Business Travelling</v>
      </c>
      <c r="S223" s="1" t="str">
        <f t="shared" si="76"/>
        <v>2-PASV</v>
      </c>
      <c r="T223" s="1" t="str">
        <f t="shared" si="77"/>
        <v>3-0000</v>
      </c>
      <c r="U223" s="1" t="str">
        <f t="shared" si="78"/>
        <v>3-3000</v>
      </c>
      <c r="V223" s="1" t="str">
        <f t="shared" si="79"/>
        <v>4-1EAT</v>
      </c>
      <c r="W223" s="1" t="str">
        <f t="shared" si="80"/>
        <v>4-2EBT</v>
      </c>
      <c r="X223" s="1" t="str">
        <f t="shared" si="81"/>
        <v>4-3OPF</v>
      </c>
      <c r="Y223" s="1" t="str">
        <f t="shared" si="82"/>
        <v>4-4GPF</v>
      </c>
      <c r="Z223" s="1" t="str">
        <f t="shared" si="83"/>
        <v>5-0000</v>
      </c>
      <c r="AA223" s="1" t="str">
        <f t="shared" si="84"/>
        <v>5-3000</v>
      </c>
      <c r="AB223" s="1" t="str">
        <f t="shared" si="85"/>
        <v>5-3620</v>
      </c>
      <c r="AD223" s="1" t="str">
        <f t="shared" si="66"/>
        <v/>
      </c>
      <c r="AE223" s="1" t="str">
        <f t="shared" si="67"/>
        <v/>
      </c>
      <c r="AF223" s="1" t="str">
        <f t="shared" si="68"/>
        <v/>
      </c>
      <c r="AG223" s="1" t="str">
        <f t="shared" si="69"/>
        <v/>
      </c>
      <c r="AH223" s="1" t="str">
        <f t="shared" si="70"/>
        <v/>
      </c>
      <c r="AI223" s="1" t="str">
        <f t="shared" si="71"/>
        <v/>
      </c>
      <c r="AJ223" s="1" t="str">
        <f t="shared" si="72"/>
        <v/>
      </c>
      <c r="AK223" s="1" t="str">
        <f t="shared" si="73"/>
        <v/>
      </c>
      <c r="AL223" s="1" t="str">
        <f t="shared" si="74"/>
        <v xml:space="preserve">PERFORM * FROM "SchData-OLTP-Accounting"."Func_TblChartOfAccount_SET"(varSystemLoginSession, null, null, null, varInstitutionBranchID, null, '5-3620', 'Business Travelling', 62000000000001::bigint, '2016-01-01 00:00:00'::timestamp, null::timestamp); </v>
      </c>
      <c r="AM223" s="1" t="str">
        <f t="shared" si="75"/>
        <v/>
      </c>
      <c r="AO223" s="8" t="str">
        <f t="shared" si="87"/>
        <v xml:space="preserve">PERFORM * FROM "SchData-OLTP-Accounting"."Func_TblChartOfAccount_SET"(varSystemLoginSession, null, null, null, varInstitutionBranchID, null, '5-3620', 'Business Travelling', 62000000000001::bigint, '2016-01-01 00:00:00'::timestamp, null::timestamp); </v>
      </c>
    </row>
    <row r="224" spans="2:41" x14ac:dyDescent="0.25">
      <c r="B224" s="1">
        <v>3</v>
      </c>
      <c r="C224" s="2" t="s">
        <v>452</v>
      </c>
      <c r="D224" s="1" t="s">
        <v>453</v>
      </c>
      <c r="O224" s="2" t="s">
        <v>452</v>
      </c>
      <c r="Q224" s="23" t="str">
        <f t="shared" si="86"/>
        <v>Travel &amp; Fares</v>
      </c>
      <c r="S224" s="1" t="str">
        <f t="shared" si="76"/>
        <v>2-PASV</v>
      </c>
      <c r="T224" s="1" t="str">
        <f t="shared" si="77"/>
        <v>3-0000</v>
      </c>
      <c r="U224" s="1" t="str">
        <f t="shared" si="78"/>
        <v>3-3000</v>
      </c>
      <c r="V224" s="1" t="str">
        <f t="shared" si="79"/>
        <v>4-1EAT</v>
      </c>
      <c r="W224" s="1" t="str">
        <f t="shared" si="80"/>
        <v>4-2EBT</v>
      </c>
      <c r="X224" s="1" t="str">
        <f t="shared" si="81"/>
        <v>4-3OPF</v>
      </c>
      <c r="Y224" s="1" t="str">
        <f t="shared" si="82"/>
        <v>4-4GPF</v>
      </c>
      <c r="Z224" s="1" t="str">
        <f t="shared" si="83"/>
        <v>5-0000</v>
      </c>
      <c r="AA224" s="1" t="str">
        <f t="shared" si="84"/>
        <v>5-3000</v>
      </c>
      <c r="AB224" s="1" t="str">
        <f t="shared" si="85"/>
        <v>5-3630</v>
      </c>
      <c r="AD224" s="1" t="str">
        <f t="shared" si="66"/>
        <v/>
      </c>
      <c r="AE224" s="1" t="str">
        <f t="shared" si="67"/>
        <v/>
      </c>
      <c r="AF224" s="1" t="str">
        <f t="shared" si="68"/>
        <v/>
      </c>
      <c r="AG224" s="1" t="str">
        <f t="shared" si="69"/>
        <v/>
      </c>
      <c r="AH224" s="1" t="str">
        <f t="shared" si="70"/>
        <v/>
      </c>
      <c r="AI224" s="1" t="str">
        <f t="shared" si="71"/>
        <v/>
      </c>
      <c r="AJ224" s="1" t="str">
        <f t="shared" si="72"/>
        <v/>
      </c>
      <c r="AK224" s="1" t="str">
        <f t="shared" si="73"/>
        <v/>
      </c>
      <c r="AL224" s="1" t="str">
        <f t="shared" si="74"/>
        <v xml:space="preserve">PERFORM * FROM "SchData-OLTP-Accounting"."Func_TblChartOfAccount_SET"(varSystemLoginSession, null, null, null, varInstitutionBranchID, null, '5-3630', 'Travel &amp; Fares', 62000000000001::bigint, '2016-01-01 00:00:00'::timestamp, null::timestamp); </v>
      </c>
      <c r="AM224" s="1" t="str">
        <f t="shared" si="75"/>
        <v/>
      </c>
      <c r="AO224" s="8" t="str">
        <f t="shared" si="87"/>
        <v xml:space="preserve">PERFORM * FROM "SchData-OLTP-Accounting"."Func_TblChartOfAccount_SET"(varSystemLoginSession, null, null, null, varInstitutionBranchID, null, '5-3630', 'Travel &amp; Fares', 62000000000001::bigint, '2016-01-01 00:00:00'::timestamp, null::timestamp); </v>
      </c>
    </row>
    <row r="225" spans="2:41" x14ac:dyDescent="0.25">
      <c r="B225" s="1">
        <v>3</v>
      </c>
      <c r="C225" s="2" t="s">
        <v>454</v>
      </c>
      <c r="D225" s="1" t="s">
        <v>455</v>
      </c>
      <c r="O225" s="2" t="s">
        <v>454</v>
      </c>
      <c r="Q225" s="23" t="str">
        <f t="shared" si="86"/>
        <v>Freight Expenses</v>
      </c>
      <c r="S225" s="1" t="str">
        <f t="shared" si="76"/>
        <v>2-PASV</v>
      </c>
      <c r="T225" s="1" t="str">
        <f t="shared" si="77"/>
        <v>3-0000</v>
      </c>
      <c r="U225" s="1" t="str">
        <f t="shared" si="78"/>
        <v>3-3000</v>
      </c>
      <c r="V225" s="1" t="str">
        <f t="shared" si="79"/>
        <v>4-1EAT</v>
      </c>
      <c r="W225" s="1" t="str">
        <f t="shared" si="80"/>
        <v>4-2EBT</v>
      </c>
      <c r="X225" s="1" t="str">
        <f t="shared" si="81"/>
        <v>4-3OPF</v>
      </c>
      <c r="Y225" s="1" t="str">
        <f t="shared" si="82"/>
        <v>4-4GPF</v>
      </c>
      <c r="Z225" s="1" t="str">
        <f t="shared" si="83"/>
        <v>5-0000</v>
      </c>
      <c r="AA225" s="1" t="str">
        <f t="shared" si="84"/>
        <v>5-3000</v>
      </c>
      <c r="AB225" s="1" t="str">
        <f t="shared" si="85"/>
        <v>5-3640</v>
      </c>
      <c r="AD225" s="1" t="str">
        <f t="shared" si="66"/>
        <v/>
      </c>
      <c r="AE225" s="1" t="str">
        <f t="shared" si="67"/>
        <v/>
      </c>
      <c r="AF225" s="1" t="str">
        <f t="shared" si="68"/>
        <v/>
      </c>
      <c r="AG225" s="1" t="str">
        <f t="shared" si="69"/>
        <v/>
      </c>
      <c r="AH225" s="1" t="str">
        <f t="shared" si="70"/>
        <v/>
      </c>
      <c r="AI225" s="1" t="str">
        <f t="shared" si="71"/>
        <v/>
      </c>
      <c r="AJ225" s="1" t="str">
        <f t="shared" si="72"/>
        <v/>
      </c>
      <c r="AK225" s="1" t="str">
        <f t="shared" si="73"/>
        <v/>
      </c>
      <c r="AL225" s="1" t="str">
        <f t="shared" si="74"/>
        <v xml:space="preserve">PERFORM * FROM "SchData-OLTP-Accounting"."Func_TblChartOfAccount_SET"(varSystemLoginSession, null, null, null, varInstitutionBranchID, null, '5-3640', 'Freight Expenses', 62000000000001::bigint, '2016-01-01 00:00:00'::timestamp, null::timestamp); </v>
      </c>
      <c r="AM225" s="1" t="str">
        <f t="shared" si="75"/>
        <v/>
      </c>
      <c r="AO225" s="8" t="str">
        <f t="shared" si="87"/>
        <v xml:space="preserve">PERFORM * FROM "SchData-OLTP-Accounting"."Func_TblChartOfAccount_SET"(varSystemLoginSession, null, null, null, varInstitutionBranchID, null, '5-3640', 'Freight Expenses', 62000000000001::bigint, '2016-01-01 00:00:00'::timestamp, null::timestamp); </v>
      </c>
    </row>
    <row r="226" spans="2:41" x14ac:dyDescent="0.25">
      <c r="B226" s="1">
        <v>3</v>
      </c>
      <c r="C226" s="2" t="s">
        <v>456</v>
      </c>
      <c r="D226" s="1" t="s">
        <v>457</v>
      </c>
      <c r="O226" s="2" t="s">
        <v>456</v>
      </c>
      <c r="Q226" s="23" t="str">
        <f t="shared" si="86"/>
        <v>Custom Clearance</v>
      </c>
      <c r="S226" s="1" t="str">
        <f t="shared" si="76"/>
        <v>2-PASV</v>
      </c>
      <c r="T226" s="1" t="str">
        <f t="shared" si="77"/>
        <v>3-0000</v>
      </c>
      <c r="U226" s="1" t="str">
        <f t="shared" si="78"/>
        <v>3-3000</v>
      </c>
      <c r="V226" s="1" t="str">
        <f t="shared" si="79"/>
        <v>4-1EAT</v>
      </c>
      <c r="W226" s="1" t="str">
        <f t="shared" si="80"/>
        <v>4-2EBT</v>
      </c>
      <c r="X226" s="1" t="str">
        <f t="shared" si="81"/>
        <v>4-3OPF</v>
      </c>
      <c r="Y226" s="1" t="str">
        <f t="shared" si="82"/>
        <v>4-4GPF</v>
      </c>
      <c r="Z226" s="1" t="str">
        <f t="shared" si="83"/>
        <v>5-0000</v>
      </c>
      <c r="AA226" s="1" t="str">
        <f t="shared" si="84"/>
        <v>5-3000</v>
      </c>
      <c r="AB226" s="1" t="str">
        <f t="shared" si="85"/>
        <v>5-3650</v>
      </c>
      <c r="AD226" s="1" t="str">
        <f t="shared" si="66"/>
        <v/>
      </c>
      <c r="AE226" s="1" t="str">
        <f t="shared" si="67"/>
        <v/>
      </c>
      <c r="AF226" s="1" t="str">
        <f t="shared" si="68"/>
        <v/>
      </c>
      <c r="AG226" s="1" t="str">
        <f t="shared" si="69"/>
        <v/>
      </c>
      <c r="AH226" s="1" t="str">
        <f t="shared" si="70"/>
        <v/>
      </c>
      <c r="AI226" s="1" t="str">
        <f t="shared" si="71"/>
        <v/>
      </c>
      <c r="AJ226" s="1" t="str">
        <f t="shared" si="72"/>
        <v/>
      </c>
      <c r="AK226" s="1" t="str">
        <f t="shared" si="73"/>
        <v/>
      </c>
      <c r="AL226" s="1" t="str">
        <f t="shared" si="74"/>
        <v xml:space="preserve">PERFORM * FROM "SchData-OLTP-Accounting"."Func_TblChartOfAccount_SET"(varSystemLoginSession, null, null, null, varInstitutionBranchID, null, '5-3650', 'Custom Clearance', 62000000000001::bigint, '2016-01-01 00:00:00'::timestamp, null::timestamp); </v>
      </c>
      <c r="AM226" s="1" t="str">
        <f t="shared" si="75"/>
        <v/>
      </c>
      <c r="AO226" s="8" t="str">
        <f t="shared" si="87"/>
        <v xml:space="preserve">PERFORM * FROM "SchData-OLTP-Accounting"."Func_TblChartOfAccount_SET"(varSystemLoginSession, null, null, null, varInstitutionBranchID, null, '5-3650', 'Custom Clearance', 62000000000001::bigint, '2016-01-01 00:00:00'::timestamp, null::timestamp); </v>
      </c>
    </row>
    <row r="227" spans="2:41" x14ac:dyDescent="0.25">
      <c r="B227" s="1">
        <v>3</v>
      </c>
      <c r="C227" s="2" t="s">
        <v>458</v>
      </c>
      <c r="D227" s="1" t="s">
        <v>459</v>
      </c>
      <c r="O227" s="2" t="s">
        <v>458</v>
      </c>
      <c r="Q227" s="23" t="str">
        <f t="shared" si="86"/>
        <v>Infrastructure</v>
      </c>
      <c r="S227" s="1" t="str">
        <f t="shared" si="76"/>
        <v>2-PASV</v>
      </c>
      <c r="T227" s="1" t="str">
        <f t="shared" si="77"/>
        <v>3-0000</v>
      </c>
      <c r="U227" s="1" t="str">
        <f t="shared" si="78"/>
        <v>3-3000</v>
      </c>
      <c r="V227" s="1" t="str">
        <f t="shared" si="79"/>
        <v>4-1EAT</v>
      </c>
      <c r="W227" s="1" t="str">
        <f t="shared" si="80"/>
        <v>4-2EBT</v>
      </c>
      <c r="X227" s="1" t="str">
        <f t="shared" si="81"/>
        <v>4-3OPF</v>
      </c>
      <c r="Y227" s="1" t="str">
        <f t="shared" si="82"/>
        <v>4-4GPF</v>
      </c>
      <c r="Z227" s="1" t="str">
        <f t="shared" si="83"/>
        <v>5-0000</v>
      </c>
      <c r="AA227" s="1" t="str">
        <f t="shared" si="84"/>
        <v>5-3000</v>
      </c>
      <c r="AB227" s="1" t="str">
        <f t="shared" si="85"/>
        <v>5-3710</v>
      </c>
      <c r="AD227" s="1" t="str">
        <f t="shared" si="66"/>
        <v/>
      </c>
      <c r="AE227" s="1" t="str">
        <f t="shared" si="67"/>
        <v/>
      </c>
      <c r="AF227" s="1" t="str">
        <f t="shared" si="68"/>
        <v/>
      </c>
      <c r="AG227" s="1" t="str">
        <f t="shared" si="69"/>
        <v/>
      </c>
      <c r="AH227" s="1" t="str">
        <f t="shared" si="70"/>
        <v/>
      </c>
      <c r="AI227" s="1" t="str">
        <f t="shared" si="71"/>
        <v/>
      </c>
      <c r="AJ227" s="1" t="str">
        <f t="shared" si="72"/>
        <v/>
      </c>
      <c r="AK227" s="1" t="str">
        <f t="shared" si="73"/>
        <v/>
      </c>
      <c r="AL227" s="1" t="str">
        <f t="shared" si="74"/>
        <v xml:space="preserve">PERFORM * FROM "SchData-OLTP-Accounting"."Func_TblChartOfAccount_SET"(varSystemLoginSession, null, null, null, varInstitutionBranchID, null, '5-3710', 'Infrastructure', 62000000000001::bigint, '2016-01-01 00:00:00'::timestamp, null::timestamp); </v>
      </c>
      <c r="AM227" s="1" t="str">
        <f t="shared" si="75"/>
        <v/>
      </c>
      <c r="AO227" s="8" t="str">
        <f t="shared" si="87"/>
        <v xml:space="preserve">PERFORM * FROM "SchData-OLTP-Accounting"."Func_TblChartOfAccount_SET"(varSystemLoginSession, null, null, null, varInstitutionBranchID, null, '5-3710', 'Infrastructure', 62000000000001::bigint, '2016-01-01 00:00:00'::timestamp, null::timestamp); </v>
      </c>
    </row>
    <row r="228" spans="2:41" x14ac:dyDescent="0.25">
      <c r="B228" s="1">
        <v>3</v>
      </c>
      <c r="C228" s="2" t="s">
        <v>460</v>
      </c>
      <c r="D228" s="1" t="s">
        <v>461</v>
      </c>
      <c r="O228" s="2" t="s">
        <v>460</v>
      </c>
      <c r="Q228" s="23" t="str">
        <f t="shared" si="86"/>
        <v>Tender Cost</v>
      </c>
      <c r="S228" s="1" t="str">
        <f t="shared" si="76"/>
        <v>2-PASV</v>
      </c>
      <c r="T228" s="1" t="str">
        <f t="shared" si="77"/>
        <v>3-0000</v>
      </c>
      <c r="U228" s="1" t="str">
        <f t="shared" si="78"/>
        <v>3-3000</v>
      </c>
      <c r="V228" s="1" t="str">
        <f t="shared" si="79"/>
        <v>4-1EAT</v>
      </c>
      <c r="W228" s="1" t="str">
        <f t="shared" si="80"/>
        <v>4-2EBT</v>
      </c>
      <c r="X228" s="1" t="str">
        <f t="shared" si="81"/>
        <v>4-3OPF</v>
      </c>
      <c r="Y228" s="1" t="str">
        <f t="shared" si="82"/>
        <v>4-4GPF</v>
      </c>
      <c r="Z228" s="1" t="str">
        <f t="shared" si="83"/>
        <v>5-0000</v>
      </c>
      <c r="AA228" s="1" t="str">
        <f t="shared" si="84"/>
        <v>5-3000</v>
      </c>
      <c r="AB228" s="1" t="str">
        <f t="shared" si="85"/>
        <v>5-3720</v>
      </c>
      <c r="AD228" s="1" t="str">
        <f t="shared" si="66"/>
        <v/>
      </c>
      <c r="AE228" s="1" t="str">
        <f t="shared" si="67"/>
        <v/>
      </c>
      <c r="AF228" s="1" t="str">
        <f t="shared" si="68"/>
        <v/>
      </c>
      <c r="AG228" s="1" t="str">
        <f t="shared" si="69"/>
        <v/>
      </c>
      <c r="AH228" s="1" t="str">
        <f t="shared" si="70"/>
        <v/>
      </c>
      <c r="AI228" s="1" t="str">
        <f t="shared" si="71"/>
        <v/>
      </c>
      <c r="AJ228" s="1" t="str">
        <f t="shared" si="72"/>
        <v/>
      </c>
      <c r="AK228" s="1" t="str">
        <f t="shared" si="73"/>
        <v/>
      </c>
      <c r="AL228" s="1" t="str">
        <f t="shared" si="74"/>
        <v xml:space="preserve">PERFORM * FROM "SchData-OLTP-Accounting"."Func_TblChartOfAccount_SET"(varSystemLoginSession, null, null, null, varInstitutionBranchID, null, '5-3720', 'Tender Cost', 62000000000001::bigint, '2016-01-01 00:00:00'::timestamp, null::timestamp); </v>
      </c>
      <c r="AM228" s="1" t="str">
        <f t="shared" si="75"/>
        <v/>
      </c>
      <c r="AO228" s="8" t="str">
        <f t="shared" si="87"/>
        <v xml:space="preserve">PERFORM * FROM "SchData-OLTP-Accounting"."Func_TblChartOfAccount_SET"(varSystemLoginSession, null, null, null, varInstitutionBranchID, null, '5-3720', 'Tender Cost', 62000000000001::bigint, '2016-01-01 00:00:00'::timestamp, null::timestamp); </v>
      </c>
    </row>
    <row r="229" spans="2:41" x14ac:dyDescent="0.25">
      <c r="B229" s="1">
        <v>3</v>
      </c>
      <c r="C229" s="2" t="s">
        <v>462</v>
      </c>
      <c r="D229" s="1" t="s">
        <v>463</v>
      </c>
      <c r="O229" s="2" t="s">
        <v>462</v>
      </c>
      <c r="Q229" s="23" t="str">
        <f t="shared" si="86"/>
        <v>Sitac Expenses</v>
      </c>
      <c r="S229" s="1" t="str">
        <f t="shared" si="76"/>
        <v>2-PASV</v>
      </c>
      <c r="T229" s="1" t="str">
        <f t="shared" si="77"/>
        <v>3-0000</v>
      </c>
      <c r="U229" s="1" t="str">
        <f t="shared" si="78"/>
        <v>3-3000</v>
      </c>
      <c r="V229" s="1" t="str">
        <f t="shared" si="79"/>
        <v>4-1EAT</v>
      </c>
      <c r="W229" s="1" t="str">
        <f t="shared" si="80"/>
        <v>4-2EBT</v>
      </c>
      <c r="X229" s="1" t="str">
        <f t="shared" si="81"/>
        <v>4-3OPF</v>
      </c>
      <c r="Y229" s="1" t="str">
        <f t="shared" si="82"/>
        <v>4-4GPF</v>
      </c>
      <c r="Z229" s="1" t="str">
        <f t="shared" si="83"/>
        <v>5-0000</v>
      </c>
      <c r="AA229" s="1" t="str">
        <f t="shared" si="84"/>
        <v>5-3000</v>
      </c>
      <c r="AB229" s="1" t="str">
        <f t="shared" si="85"/>
        <v>5-3730</v>
      </c>
      <c r="AD229" s="1" t="str">
        <f t="shared" si="66"/>
        <v/>
      </c>
      <c r="AE229" s="1" t="str">
        <f t="shared" si="67"/>
        <v/>
      </c>
      <c r="AF229" s="1" t="str">
        <f t="shared" si="68"/>
        <v/>
      </c>
      <c r="AG229" s="1" t="str">
        <f t="shared" si="69"/>
        <v/>
      </c>
      <c r="AH229" s="1" t="str">
        <f t="shared" si="70"/>
        <v/>
      </c>
      <c r="AI229" s="1" t="str">
        <f t="shared" si="71"/>
        <v/>
      </c>
      <c r="AJ229" s="1" t="str">
        <f t="shared" si="72"/>
        <v/>
      </c>
      <c r="AK229" s="1" t="str">
        <f t="shared" si="73"/>
        <v/>
      </c>
      <c r="AL229" s="1" t="str">
        <f t="shared" si="74"/>
        <v xml:space="preserve">PERFORM * FROM "SchData-OLTP-Accounting"."Func_TblChartOfAccount_SET"(varSystemLoginSession, null, null, null, varInstitutionBranchID, null, '5-3730', 'Sitac Expenses', 62000000000001::bigint, '2016-01-01 00:00:00'::timestamp, null::timestamp); </v>
      </c>
      <c r="AM229" s="1" t="str">
        <f t="shared" si="75"/>
        <v/>
      </c>
      <c r="AO229" s="8" t="str">
        <f t="shared" si="87"/>
        <v xml:space="preserve">PERFORM * FROM "SchData-OLTP-Accounting"."Func_TblChartOfAccount_SET"(varSystemLoginSession, null, null, null, varInstitutionBranchID, null, '5-3730', 'Sitac Expenses', 62000000000001::bigint, '2016-01-01 00:00:00'::timestamp, null::timestamp); </v>
      </c>
    </row>
    <row r="230" spans="2:41" x14ac:dyDescent="0.25">
      <c r="B230" s="1">
        <v>3</v>
      </c>
      <c r="C230" s="2" t="s">
        <v>464</v>
      </c>
      <c r="D230" s="1" t="s">
        <v>465</v>
      </c>
      <c r="O230" s="2" t="s">
        <v>464</v>
      </c>
      <c r="Q230" s="23" t="str">
        <f t="shared" si="86"/>
        <v>Loss, Damage &amp; Pinalty</v>
      </c>
      <c r="S230" s="1" t="str">
        <f t="shared" si="76"/>
        <v>2-PASV</v>
      </c>
      <c r="T230" s="1" t="str">
        <f t="shared" si="77"/>
        <v>3-0000</v>
      </c>
      <c r="U230" s="1" t="str">
        <f t="shared" si="78"/>
        <v>3-3000</v>
      </c>
      <c r="V230" s="1" t="str">
        <f t="shared" si="79"/>
        <v>4-1EAT</v>
      </c>
      <c r="W230" s="1" t="str">
        <f t="shared" si="80"/>
        <v>4-2EBT</v>
      </c>
      <c r="X230" s="1" t="str">
        <f t="shared" si="81"/>
        <v>4-3OPF</v>
      </c>
      <c r="Y230" s="1" t="str">
        <f t="shared" si="82"/>
        <v>4-4GPF</v>
      </c>
      <c r="Z230" s="1" t="str">
        <f t="shared" si="83"/>
        <v>5-0000</v>
      </c>
      <c r="AA230" s="1" t="str">
        <f t="shared" si="84"/>
        <v>5-3000</v>
      </c>
      <c r="AB230" s="1" t="str">
        <f t="shared" si="85"/>
        <v>5-3740</v>
      </c>
      <c r="AD230" s="1" t="str">
        <f t="shared" si="66"/>
        <v/>
      </c>
      <c r="AE230" s="1" t="str">
        <f t="shared" si="67"/>
        <v/>
      </c>
      <c r="AF230" s="1" t="str">
        <f t="shared" si="68"/>
        <v/>
      </c>
      <c r="AG230" s="1" t="str">
        <f t="shared" si="69"/>
        <v/>
      </c>
      <c r="AH230" s="1" t="str">
        <f t="shared" si="70"/>
        <v/>
      </c>
      <c r="AI230" s="1" t="str">
        <f t="shared" si="71"/>
        <v/>
      </c>
      <c r="AJ230" s="1" t="str">
        <f t="shared" si="72"/>
        <v/>
      </c>
      <c r="AK230" s="1" t="str">
        <f t="shared" si="73"/>
        <v/>
      </c>
      <c r="AL230" s="1" t="str">
        <f t="shared" si="74"/>
        <v xml:space="preserve">PERFORM * FROM "SchData-OLTP-Accounting"."Func_TblChartOfAccount_SET"(varSystemLoginSession, null, null, null, varInstitutionBranchID, null, '5-3740', 'Loss, Damage &amp; Pinalty', 62000000000001::bigint, '2016-01-01 00:00:00'::timestamp, null::timestamp); </v>
      </c>
      <c r="AM230" s="1" t="str">
        <f t="shared" si="75"/>
        <v/>
      </c>
      <c r="AO230" s="8" t="str">
        <f t="shared" si="87"/>
        <v xml:space="preserve">PERFORM * FROM "SchData-OLTP-Accounting"."Func_TblChartOfAccount_SET"(varSystemLoginSession, null, null, null, varInstitutionBranchID, null, '5-3740', 'Loss, Damage &amp; Pinalty', 62000000000001::bigint, '2016-01-01 00:00:00'::timestamp, null::timestamp); </v>
      </c>
    </row>
    <row r="231" spans="2:41" x14ac:dyDescent="0.25">
      <c r="B231" s="1">
        <v>3</v>
      </c>
      <c r="C231" s="2" t="s">
        <v>466</v>
      </c>
      <c r="D231" s="1" t="s">
        <v>467</v>
      </c>
      <c r="O231" s="2" t="s">
        <v>466</v>
      </c>
      <c r="Q231" s="23" t="str">
        <f t="shared" si="86"/>
        <v>Supervision Expenses</v>
      </c>
      <c r="S231" s="1" t="str">
        <f t="shared" si="76"/>
        <v>2-PASV</v>
      </c>
      <c r="T231" s="1" t="str">
        <f t="shared" si="77"/>
        <v>3-0000</v>
      </c>
      <c r="U231" s="1" t="str">
        <f t="shared" si="78"/>
        <v>3-3000</v>
      </c>
      <c r="V231" s="1" t="str">
        <f t="shared" si="79"/>
        <v>4-1EAT</v>
      </c>
      <c r="W231" s="1" t="str">
        <f t="shared" si="80"/>
        <v>4-2EBT</v>
      </c>
      <c r="X231" s="1" t="str">
        <f t="shared" si="81"/>
        <v>4-3OPF</v>
      </c>
      <c r="Y231" s="1" t="str">
        <f t="shared" si="82"/>
        <v>4-4GPF</v>
      </c>
      <c r="Z231" s="1" t="str">
        <f t="shared" si="83"/>
        <v>5-0000</v>
      </c>
      <c r="AA231" s="1" t="str">
        <f t="shared" si="84"/>
        <v>5-3000</v>
      </c>
      <c r="AB231" s="1" t="str">
        <f t="shared" si="85"/>
        <v>5-3750</v>
      </c>
      <c r="AD231" s="1" t="str">
        <f t="shared" si="66"/>
        <v/>
      </c>
      <c r="AE231" s="1" t="str">
        <f t="shared" si="67"/>
        <v/>
      </c>
      <c r="AF231" s="1" t="str">
        <f t="shared" si="68"/>
        <v/>
      </c>
      <c r="AG231" s="1" t="str">
        <f t="shared" si="69"/>
        <v/>
      </c>
      <c r="AH231" s="1" t="str">
        <f t="shared" si="70"/>
        <v/>
      </c>
      <c r="AI231" s="1" t="str">
        <f t="shared" si="71"/>
        <v/>
      </c>
      <c r="AJ231" s="1" t="str">
        <f t="shared" si="72"/>
        <v/>
      </c>
      <c r="AK231" s="1" t="str">
        <f t="shared" si="73"/>
        <v/>
      </c>
      <c r="AL231" s="1" t="str">
        <f t="shared" si="74"/>
        <v xml:space="preserve">PERFORM * FROM "SchData-OLTP-Accounting"."Func_TblChartOfAccount_SET"(varSystemLoginSession, null, null, null, varInstitutionBranchID, null, '5-3750', 'Supervision Expenses', 62000000000001::bigint, '2016-01-01 00:00:00'::timestamp, null::timestamp); </v>
      </c>
      <c r="AM231" s="1" t="str">
        <f t="shared" si="75"/>
        <v/>
      </c>
      <c r="AO231" s="8" t="str">
        <f t="shared" si="87"/>
        <v xml:space="preserve">PERFORM * FROM "SchData-OLTP-Accounting"."Func_TblChartOfAccount_SET"(varSystemLoginSession, null, null, null, varInstitutionBranchID, null, '5-3750', 'Supervision Expenses', 62000000000001::bigint, '2016-01-01 00:00:00'::timestamp, null::timestamp); </v>
      </c>
    </row>
    <row r="232" spans="2:41" x14ac:dyDescent="0.25">
      <c r="B232" s="1">
        <v>3</v>
      </c>
      <c r="C232" s="2" t="s">
        <v>468</v>
      </c>
      <c r="D232" s="1" t="s">
        <v>469</v>
      </c>
      <c r="O232" s="2" t="s">
        <v>468</v>
      </c>
      <c r="Q232" s="23" t="str">
        <f t="shared" si="86"/>
        <v>Power Supply</v>
      </c>
      <c r="S232" s="1" t="str">
        <f t="shared" si="76"/>
        <v>2-PASV</v>
      </c>
      <c r="T232" s="1" t="str">
        <f t="shared" si="77"/>
        <v>3-0000</v>
      </c>
      <c r="U232" s="1" t="str">
        <f t="shared" si="78"/>
        <v>3-3000</v>
      </c>
      <c r="V232" s="1" t="str">
        <f t="shared" si="79"/>
        <v>4-1EAT</v>
      </c>
      <c r="W232" s="1" t="str">
        <f t="shared" si="80"/>
        <v>4-2EBT</v>
      </c>
      <c r="X232" s="1" t="str">
        <f t="shared" si="81"/>
        <v>4-3OPF</v>
      </c>
      <c r="Y232" s="1" t="str">
        <f t="shared" si="82"/>
        <v>4-4GPF</v>
      </c>
      <c r="Z232" s="1" t="str">
        <f t="shared" si="83"/>
        <v>5-0000</v>
      </c>
      <c r="AA232" s="1" t="str">
        <f t="shared" si="84"/>
        <v>5-3000</v>
      </c>
      <c r="AB232" s="1" t="str">
        <f t="shared" si="85"/>
        <v>5-3760</v>
      </c>
      <c r="AD232" s="1" t="str">
        <f t="shared" si="66"/>
        <v/>
      </c>
      <c r="AE232" s="1" t="str">
        <f t="shared" si="67"/>
        <v/>
      </c>
      <c r="AF232" s="1" t="str">
        <f t="shared" si="68"/>
        <v/>
      </c>
      <c r="AG232" s="1" t="str">
        <f t="shared" si="69"/>
        <v/>
      </c>
      <c r="AH232" s="1" t="str">
        <f t="shared" si="70"/>
        <v/>
      </c>
      <c r="AI232" s="1" t="str">
        <f t="shared" si="71"/>
        <v/>
      </c>
      <c r="AJ232" s="1" t="str">
        <f t="shared" si="72"/>
        <v/>
      </c>
      <c r="AK232" s="1" t="str">
        <f t="shared" si="73"/>
        <v/>
      </c>
      <c r="AL232" s="1" t="str">
        <f t="shared" si="74"/>
        <v xml:space="preserve">PERFORM * FROM "SchData-OLTP-Accounting"."Func_TblChartOfAccount_SET"(varSystemLoginSession, null, null, null, varInstitutionBranchID, null, '5-3760', 'Power Supply', 62000000000001::bigint, '2016-01-01 00:00:00'::timestamp, null::timestamp); </v>
      </c>
      <c r="AM232" s="1" t="str">
        <f t="shared" si="75"/>
        <v/>
      </c>
      <c r="AO232" s="8" t="str">
        <f t="shared" si="87"/>
        <v xml:space="preserve">PERFORM * FROM "SchData-OLTP-Accounting"."Func_TblChartOfAccount_SET"(varSystemLoginSession, null, null, null, varInstitutionBranchID, null, '5-3760', 'Power Supply', 62000000000001::bigint, '2016-01-01 00:00:00'::timestamp, null::timestamp); </v>
      </c>
    </row>
    <row r="233" spans="2:41" x14ac:dyDescent="0.25">
      <c r="B233" s="1">
        <v>3</v>
      </c>
      <c r="C233" s="2" t="s">
        <v>470</v>
      </c>
      <c r="D233" s="1" t="s">
        <v>471</v>
      </c>
      <c r="O233" s="2" t="s">
        <v>470</v>
      </c>
      <c r="Q233" s="23" t="str">
        <f t="shared" si="86"/>
        <v>Civil  Work</v>
      </c>
      <c r="S233" s="1" t="str">
        <f t="shared" si="76"/>
        <v>2-PASV</v>
      </c>
      <c r="T233" s="1" t="str">
        <f t="shared" si="77"/>
        <v>3-0000</v>
      </c>
      <c r="U233" s="1" t="str">
        <f t="shared" si="78"/>
        <v>3-3000</v>
      </c>
      <c r="V233" s="1" t="str">
        <f t="shared" si="79"/>
        <v>4-1EAT</v>
      </c>
      <c r="W233" s="1" t="str">
        <f t="shared" si="80"/>
        <v>4-2EBT</v>
      </c>
      <c r="X233" s="1" t="str">
        <f t="shared" si="81"/>
        <v>4-3OPF</v>
      </c>
      <c r="Y233" s="1" t="str">
        <f t="shared" si="82"/>
        <v>4-4GPF</v>
      </c>
      <c r="Z233" s="1" t="str">
        <f t="shared" si="83"/>
        <v>5-0000</v>
      </c>
      <c r="AA233" s="1" t="str">
        <f t="shared" si="84"/>
        <v>5-3000</v>
      </c>
      <c r="AB233" s="1" t="str">
        <f t="shared" si="85"/>
        <v>5-3770</v>
      </c>
      <c r="AD233" s="1" t="str">
        <f t="shared" si="66"/>
        <v/>
      </c>
      <c r="AE233" s="1" t="str">
        <f t="shared" si="67"/>
        <v/>
      </c>
      <c r="AF233" s="1" t="str">
        <f t="shared" si="68"/>
        <v/>
      </c>
      <c r="AG233" s="1" t="str">
        <f t="shared" si="69"/>
        <v/>
      </c>
      <c r="AH233" s="1" t="str">
        <f t="shared" si="70"/>
        <v/>
      </c>
      <c r="AI233" s="1" t="str">
        <f t="shared" si="71"/>
        <v/>
      </c>
      <c r="AJ233" s="1" t="str">
        <f t="shared" si="72"/>
        <v/>
      </c>
      <c r="AK233" s="1" t="str">
        <f t="shared" si="73"/>
        <v/>
      </c>
      <c r="AL233" s="1" t="str">
        <f t="shared" si="74"/>
        <v xml:space="preserve">PERFORM * FROM "SchData-OLTP-Accounting"."Func_TblChartOfAccount_SET"(varSystemLoginSession, null, null, null, varInstitutionBranchID, null, '5-3770', 'Civil  Work', 62000000000001::bigint, '2016-01-01 00:00:00'::timestamp, null::timestamp); </v>
      </c>
      <c r="AM233" s="1" t="str">
        <f t="shared" si="75"/>
        <v/>
      </c>
      <c r="AO233" s="8" t="str">
        <f t="shared" si="87"/>
        <v xml:space="preserve">PERFORM * FROM "SchData-OLTP-Accounting"."Func_TblChartOfAccount_SET"(varSystemLoginSession, null, null, null, varInstitutionBranchID, null, '5-3770', 'Civil  Work', 62000000000001::bigint, '2016-01-01 00:00:00'::timestamp, null::timestamp); </v>
      </c>
    </row>
    <row r="234" spans="2:41" x14ac:dyDescent="0.25">
      <c r="B234" s="1">
        <v>3</v>
      </c>
      <c r="C234" s="2" t="s">
        <v>472</v>
      </c>
      <c r="D234" s="1" t="s">
        <v>473</v>
      </c>
      <c r="O234" s="2" t="s">
        <v>472</v>
      </c>
      <c r="Q234" s="23" t="str">
        <f t="shared" si="86"/>
        <v>Moblilization &amp; demobilization</v>
      </c>
      <c r="S234" s="1" t="str">
        <f t="shared" si="76"/>
        <v>2-PASV</v>
      </c>
      <c r="T234" s="1" t="str">
        <f t="shared" si="77"/>
        <v>3-0000</v>
      </c>
      <c r="U234" s="1" t="str">
        <f t="shared" si="78"/>
        <v>3-3000</v>
      </c>
      <c r="V234" s="1" t="str">
        <f t="shared" si="79"/>
        <v>4-1EAT</v>
      </c>
      <c r="W234" s="1" t="str">
        <f t="shared" si="80"/>
        <v>4-2EBT</v>
      </c>
      <c r="X234" s="1" t="str">
        <f t="shared" si="81"/>
        <v>4-3OPF</v>
      </c>
      <c r="Y234" s="1" t="str">
        <f t="shared" si="82"/>
        <v>4-4GPF</v>
      </c>
      <c r="Z234" s="1" t="str">
        <f t="shared" si="83"/>
        <v>5-0000</v>
      </c>
      <c r="AA234" s="1" t="str">
        <f t="shared" si="84"/>
        <v>5-3000</v>
      </c>
      <c r="AB234" s="1" t="str">
        <f t="shared" si="85"/>
        <v>5-3780</v>
      </c>
      <c r="AD234" s="1" t="str">
        <f t="shared" si="66"/>
        <v/>
      </c>
      <c r="AE234" s="1" t="str">
        <f t="shared" si="67"/>
        <v/>
      </c>
      <c r="AF234" s="1" t="str">
        <f t="shared" si="68"/>
        <v/>
      </c>
      <c r="AG234" s="1" t="str">
        <f t="shared" si="69"/>
        <v/>
      </c>
      <c r="AH234" s="1" t="str">
        <f t="shared" si="70"/>
        <v/>
      </c>
      <c r="AI234" s="1" t="str">
        <f t="shared" si="71"/>
        <v/>
      </c>
      <c r="AJ234" s="1" t="str">
        <f t="shared" si="72"/>
        <v/>
      </c>
      <c r="AK234" s="1" t="str">
        <f t="shared" si="73"/>
        <v/>
      </c>
      <c r="AL234" s="1" t="str">
        <f t="shared" si="74"/>
        <v xml:space="preserve">PERFORM * FROM "SchData-OLTP-Accounting"."Func_TblChartOfAccount_SET"(varSystemLoginSession, null, null, null, varInstitutionBranchID, null, '5-3780', 'Moblilization &amp; demobilization', 62000000000001::bigint, '2016-01-01 00:00:00'::timestamp, null::timestamp); </v>
      </c>
      <c r="AM234" s="1" t="str">
        <f t="shared" si="75"/>
        <v/>
      </c>
      <c r="AO234" s="8" t="str">
        <f t="shared" si="87"/>
        <v xml:space="preserve">PERFORM * FROM "SchData-OLTP-Accounting"."Func_TblChartOfAccount_SET"(varSystemLoginSession, null, null, null, varInstitutionBranchID, null, '5-3780', 'Moblilization &amp; demobilization', 62000000000001::bigint, '2016-01-01 00:00:00'::timestamp, null::timestamp); </v>
      </c>
    </row>
    <row r="235" spans="2:41" x14ac:dyDescent="0.25">
      <c r="B235" s="1">
        <v>3</v>
      </c>
      <c r="C235" s="2" t="s">
        <v>474</v>
      </c>
      <c r="D235" s="1" t="s">
        <v>475</v>
      </c>
      <c r="O235" s="2" t="s">
        <v>474</v>
      </c>
      <c r="Q235" s="23" t="str">
        <f t="shared" si="86"/>
        <v>Entertainment-Deductable</v>
      </c>
      <c r="S235" s="1" t="str">
        <f t="shared" si="76"/>
        <v>2-PASV</v>
      </c>
      <c r="T235" s="1" t="str">
        <f t="shared" si="77"/>
        <v>3-0000</v>
      </c>
      <c r="U235" s="1" t="str">
        <f t="shared" si="78"/>
        <v>3-3000</v>
      </c>
      <c r="V235" s="1" t="str">
        <f t="shared" si="79"/>
        <v>4-1EAT</v>
      </c>
      <c r="W235" s="1" t="str">
        <f t="shared" si="80"/>
        <v>4-2EBT</v>
      </c>
      <c r="X235" s="1" t="str">
        <f t="shared" si="81"/>
        <v>4-3OPF</v>
      </c>
      <c r="Y235" s="1" t="str">
        <f t="shared" si="82"/>
        <v>4-4GPF</v>
      </c>
      <c r="Z235" s="1" t="str">
        <f t="shared" si="83"/>
        <v>5-0000</v>
      </c>
      <c r="AA235" s="1" t="str">
        <f t="shared" si="84"/>
        <v>5-3000</v>
      </c>
      <c r="AB235" s="1" t="str">
        <f t="shared" si="85"/>
        <v>5-4100</v>
      </c>
      <c r="AD235" s="1" t="str">
        <f t="shared" si="66"/>
        <v/>
      </c>
      <c r="AE235" s="1" t="str">
        <f t="shared" si="67"/>
        <v/>
      </c>
      <c r="AF235" s="1" t="str">
        <f t="shared" si="68"/>
        <v/>
      </c>
      <c r="AG235" s="1" t="str">
        <f t="shared" si="69"/>
        <v/>
      </c>
      <c r="AH235" s="1" t="str">
        <f t="shared" si="70"/>
        <v/>
      </c>
      <c r="AI235" s="1" t="str">
        <f t="shared" si="71"/>
        <v/>
      </c>
      <c r="AJ235" s="1" t="str">
        <f t="shared" si="72"/>
        <v/>
      </c>
      <c r="AK235" s="1" t="str">
        <f t="shared" si="73"/>
        <v/>
      </c>
      <c r="AL235" s="1" t="str">
        <f t="shared" si="74"/>
        <v xml:space="preserve">PERFORM * FROM "SchData-OLTP-Accounting"."Func_TblChartOfAccount_SET"(varSystemLoginSession, null, null, null, varInstitutionBranchID, null, '5-4100', 'Entertainment-Deductable', 62000000000001::bigint, '2016-01-01 00:00:00'::timestamp, null::timestamp); </v>
      </c>
      <c r="AM235" s="1" t="str">
        <f t="shared" si="75"/>
        <v/>
      </c>
      <c r="AO235" s="8" t="str">
        <f t="shared" si="87"/>
        <v xml:space="preserve">PERFORM * FROM "SchData-OLTP-Accounting"."Func_TblChartOfAccount_SET"(varSystemLoginSession, null, null, null, varInstitutionBranchID, null, '5-4100', 'Entertainment-Deductable', 62000000000001::bigint, '2016-01-01 00:00:00'::timestamp, null::timestamp); </v>
      </c>
    </row>
    <row r="236" spans="2:41" x14ac:dyDescent="0.25">
      <c r="B236" s="1">
        <v>3</v>
      </c>
      <c r="C236" s="2" t="s">
        <v>476</v>
      </c>
      <c r="D236" s="1" t="s">
        <v>477</v>
      </c>
      <c r="O236" s="2" t="s">
        <v>476</v>
      </c>
      <c r="Q236" s="23" t="str">
        <f t="shared" si="86"/>
        <v>Entertainment-Undeductable</v>
      </c>
      <c r="S236" s="1" t="str">
        <f t="shared" si="76"/>
        <v>2-PASV</v>
      </c>
      <c r="T236" s="1" t="str">
        <f t="shared" si="77"/>
        <v>3-0000</v>
      </c>
      <c r="U236" s="1" t="str">
        <f t="shared" si="78"/>
        <v>3-3000</v>
      </c>
      <c r="V236" s="1" t="str">
        <f t="shared" si="79"/>
        <v>4-1EAT</v>
      </c>
      <c r="W236" s="1" t="str">
        <f t="shared" si="80"/>
        <v>4-2EBT</v>
      </c>
      <c r="X236" s="1" t="str">
        <f t="shared" si="81"/>
        <v>4-3OPF</v>
      </c>
      <c r="Y236" s="1" t="str">
        <f t="shared" si="82"/>
        <v>4-4GPF</v>
      </c>
      <c r="Z236" s="1" t="str">
        <f t="shared" si="83"/>
        <v>5-0000</v>
      </c>
      <c r="AA236" s="1" t="str">
        <f t="shared" si="84"/>
        <v>5-3000</v>
      </c>
      <c r="AB236" s="1" t="str">
        <f t="shared" si="85"/>
        <v>5-4200</v>
      </c>
      <c r="AD236" s="1" t="str">
        <f t="shared" si="66"/>
        <v/>
      </c>
      <c r="AE236" s="1" t="str">
        <f t="shared" si="67"/>
        <v/>
      </c>
      <c r="AF236" s="1" t="str">
        <f t="shared" si="68"/>
        <v/>
      </c>
      <c r="AG236" s="1" t="str">
        <f t="shared" si="69"/>
        <v/>
      </c>
      <c r="AH236" s="1" t="str">
        <f t="shared" si="70"/>
        <v/>
      </c>
      <c r="AI236" s="1" t="str">
        <f t="shared" si="71"/>
        <v/>
      </c>
      <c r="AJ236" s="1" t="str">
        <f t="shared" si="72"/>
        <v/>
      </c>
      <c r="AK236" s="1" t="str">
        <f t="shared" si="73"/>
        <v/>
      </c>
      <c r="AL236" s="1" t="str">
        <f t="shared" si="74"/>
        <v xml:space="preserve">PERFORM * FROM "SchData-OLTP-Accounting"."Func_TblChartOfAccount_SET"(varSystemLoginSession, null, null, null, varInstitutionBranchID, null, '5-4200', 'Entertainment-Undeductable', 62000000000001::bigint, '2016-01-01 00:00:00'::timestamp, null::timestamp); </v>
      </c>
      <c r="AM236" s="1" t="str">
        <f t="shared" si="75"/>
        <v/>
      </c>
      <c r="AO236" s="8" t="str">
        <f t="shared" si="87"/>
        <v xml:space="preserve">PERFORM * FROM "SchData-OLTP-Accounting"."Func_TblChartOfAccount_SET"(varSystemLoginSession, null, null, null, varInstitutionBranchID, null, '5-4200', 'Entertainment-Undeductable', 62000000000001::bigint, '2016-01-01 00:00:00'::timestamp, null::timestamp); </v>
      </c>
    </row>
    <row r="237" spans="2:41" x14ac:dyDescent="0.25">
      <c r="B237" s="1">
        <v>3</v>
      </c>
      <c r="C237" s="2" t="s">
        <v>478</v>
      </c>
      <c r="D237" s="1" t="s">
        <v>479</v>
      </c>
      <c r="O237" s="2" t="s">
        <v>478</v>
      </c>
      <c r="Q237" s="23" t="str">
        <f t="shared" si="86"/>
        <v>Non Meal Entertaint-Ded.</v>
      </c>
      <c r="S237" s="1" t="str">
        <f t="shared" si="76"/>
        <v>2-PASV</v>
      </c>
      <c r="T237" s="1" t="str">
        <f t="shared" si="77"/>
        <v>3-0000</v>
      </c>
      <c r="U237" s="1" t="str">
        <f t="shared" si="78"/>
        <v>3-3000</v>
      </c>
      <c r="V237" s="1" t="str">
        <f t="shared" si="79"/>
        <v>4-1EAT</v>
      </c>
      <c r="W237" s="1" t="str">
        <f t="shared" si="80"/>
        <v>4-2EBT</v>
      </c>
      <c r="X237" s="1" t="str">
        <f t="shared" si="81"/>
        <v>4-3OPF</v>
      </c>
      <c r="Y237" s="1" t="str">
        <f t="shared" si="82"/>
        <v>4-4GPF</v>
      </c>
      <c r="Z237" s="1" t="str">
        <f t="shared" si="83"/>
        <v>5-0000</v>
      </c>
      <c r="AA237" s="1" t="str">
        <f t="shared" si="84"/>
        <v>5-3000</v>
      </c>
      <c r="AB237" s="1" t="str">
        <f t="shared" si="85"/>
        <v>5-4300</v>
      </c>
      <c r="AD237" s="1" t="str">
        <f t="shared" si="66"/>
        <v/>
      </c>
      <c r="AE237" s="1" t="str">
        <f t="shared" si="67"/>
        <v/>
      </c>
      <c r="AF237" s="1" t="str">
        <f t="shared" si="68"/>
        <v/>
      </c>
      <c r="AG237" s="1" t="str">
        <f t="shared" si="69"/>
        <v/>
      </c>
      <c r="AH237" s="1" t="str">
        <f t="shared" si="70"/>
        <v/>
      </c>
      <c r="AI237" s="1" t="str">
        <f t="shared" si="71"/>
        <v/>
      </c>
      <c r="AJ237" s="1" t="str">
        <f t="shared" si="72"/>
        <v/>
      </c>
      <c r="AK237" s="1" t="str">
        <f t="shared" si="73"/>
        <v/>
      </c>
      <c r="AL237" s="1" t="str">
        <f t="shared" si="74"/>
        <v xml:space="preserve">PERFORM * FROM "SchData-OLTP-Accounting"."Func_TblChartOfAccount_SET"(varSystemLoginSession, null, null, null, varInstitutionBranchID, null, '5-4300', 'Non Meal Entertaint-Ded.', 62000000000001::bigint, '2016-01-01 00:00:00'::timestamp, null::timestamp); </v>
      </c>
      <c r="AM237" s="1" t="str">
        <f t="shared" si="75"/>
        <v/>
      </c>
      <c r="AO237" s="8" t="str">
        <f t="shared" si="87"/>
        <v xml:space="preserve">PERFORM * FROM "SchData-OLTP-Accounting"."Func_TblChartOfAccount_SET"(varSystemLoginSession, null, null, null, varInstitutionBranchID, null, '5-4300', 'Non Meal Entertaint-Ded.', 62000000000001::bigint, '2016-01-01 00:00:00'::timestamp, null::timestamp); </v>
      </c>
    </row>
    <row r="238" spans="2:41" x14ac:dyDescent="0.25">
      <c r="B238" s="1">
        <v>3</v>
      </c>
      <c r="C238" s="2" t="s">
        <v>480</v>
      </c>
      <c r="D238" s="1" t="s">
        <v>481</v>
      </c>
      <c r="O238" s="2" t="s">
        <v>480</v>
      </c>
      <c r="Q238" s="23" t="str">
        <f t="shared" si="86"/>
        <v>Non Meal Entertaint-Unded.</v>
      </c>
      <c r="S238" s="1" t="str">
        <f t="shared" si="76"/>
        <v>2-PASV</v>
      </c>
      <c r="T238" s="1" t="str">
        <f t="shared" si="77"/>
        <v>3-0000</v>
      </c>
      <c r="U238" s="1" t="str">
        <f t="shared" si="78"/>
        <v>3-3000</v>
      </c>
      <c r="V238" s="1" t="str">
        <f t="shared" si="79"/>
        <v>4-1EAT</v>
      </c>
      <c r="W238" s="1" t="str">
        <f t="shared" si="80"/>
        <v>4-2EBT</v>
      </c>
      <c r="X238" s="1" t="str">
        <f t="shared" si="81"/>
        <v>4-3OPF</v>
      </c>
      <c r="Y238" s="1" t="str">
        <f t="shared" si="82"/>
        <v>4-4GPF</v>
      </c>
      <c r="Z238" s="1" t="str">
        <f t="shared" si="83"/>
        <v>5-0000</v>
      </c>
      <c r="AA238" s="1" t="str">
        <f t="shared" si="84"/>
        <v>5-3000</v>
      </c>
      <c r="AB238" s="1" t="str">
        <f t="shared" si="85"/>
        <v>5-4400</v>
      </c>
      <c r="AD238" s="1" t="str">
        <f t="shared" si="66"/>
        <v/>
      </c>
      <c r="AE238" s="1" t="str">
        <f t="shared" si="67"/>
        <v/>
      </c>
      <c r="AF238" s="1" t="str">
        <f t="shared" si="68"/>
        <v/>
      </c>
      <c r="AG238" s="1" t="str">
        <f t="shared" si="69"/>
        <v/>
      </c>
      <c r="AH238" s="1" t="str">
        <f t="shared" si="70"/>
        <v/>
      </c>
      <c r="AI238" s="1" t="str">
        <f t="shared" si="71"/>
        <v/>
      </c>
      <c r="AJ238" s="1" t="str">
        <f t="shared" si="72"/>
        <v/>
      </c>
      <c r="AK238" s="1" t="str">
        <f t="shared" si="73"/>
        <v/>
      </c>
      <c r="AL238" s="1" t="str">
        <f t="shared" si="74"/>
        <v xml:space="preserve">PERFORM * FROM "SchData-OLTP-Accounting"."Func_TblChartOfAccount_SET"(varSystemLoginSession, null, null, null, varInstitutionBranchID, null, '5-4400', 'Non Meal Entertaint-Unded.', 62000000000001::bigint, '2016-01-01 00:00:00'::timestamp, null::timestamp); </v>
      </c>
      <c r="AM238" s="1" t="str">
        <f t="shared" si="75"/>
        <v/>
      </c>
      <c r="AO238" s="8" t="str">
        <f t="shared" si="87"/>
        <v xml:space="preserve">PERFORM * FROM "SchData-OLTP-Accounting"."Func_TblChartOfAccount_SET"(varSystemLoginSession, null, null, null, varInstitutionBranchID, null, '5-4400', 'Non Meal Entertaint-Unded.', 62000000000001::bigint, '2016-01-01 00:00:00'::timestamp, null::timestamp); </v>
      </c>
    </row>
    <row r="239" spans="2:41" x14ac:dyDescent="0.25">
      <c r="B239" s="1">
        <v>3</v>
      </c>
      <c r="C239" s="2" t="s">
        <v>482</v>
      </c>
      <c r="D239" s="1" t="s">
        <v>483</v>
      </c>
      <c r="O239" s="2" t="s">
        <v>482</v>
      </c>
      <c r="Q239" s="23" t="str">
        <f t="shared" si="86"/>
        <v>Donation</v>
      </c>
      <c r="S239" s="1" t="str">
        <f t="shared" si="76"/>
        <v>2-PASV</v>
      </c>
      <c r="T239" s="1" t="str">
        <f t="shared" si="77"/>
        <v>3-0000</v>
      </c>
      <c r="U239" s="1" t="str">
        <f t="shared" si="78"/>
        <v>3-3000</v>
      </c>
      <c r="V239" s="1" t="str">
        <f t="shared" si="79"/>
        <v>4-1EAT</v>
      </c>
      <c r="W239" s="1" t="str">
        <f t="shared" si="80"/>
        <v>4-2EBT</v>
      </c>
      <c r="X239" s="1" t="str">
        <f t="shared" si="81"/>
        <v>4-3OPF</v>
      </c>
      <c r="Y239" s="1" t="str">
        <f t="shared" si="82"/>
        <v>4-4GPF</v>
      </c>
      <c r="Z239" s="1" t="str">
        <f t="shared" si="83"/>
        <v>5-0000</v>
      </c>
      <c r="AA239" s="1" t="str">
        <f t="shared" si="84"/>
        <v>5-3000</v>
      </c>
      <c r="AB239" s="1" t="str">
        <f t="shared" si="85"/>
        <v>5-4500</v>
      </c>
      <c r="AD239" s="1" t="str">
        <f t="shared" si="66"/>
        <v/>
      </c>
      <c r="AE239" s="1" t="str">
        <f t="shared" si="67"/>
        <v/>
      </c>
      <c r="AF239" s="1" t="str">
        <f t="shared" si="68"/>
        <v/>
      </c>
      <c r="AG239" s="1" t="str">
        <f t="shared" si="69"/>
        <v/>
      </c>
      <c r="AH239" s="1" t="str">
        <f t="shared" si="70"/>
        <v/>
      </c>
      <c r="AI239" s="1" t="str">
        <f t="shared" si="71"/>
        <v/>
      </c>
      <c r="AJ239" s="1" t="str">
        <f t="shared" si="72"/>
        <v/>
      </c>
      <c r="AK239" s="1" t="str">
        <f t="shared" si="73"/>
        <v/>
      </c>
      <c r="AL239" s="1" t="str">
        <f t="shared" si="74"/>
        <v xml:space="preserve">PERFORM * FROM "SchData-OLTP-Accounting"."Func_TblChartOfAccount_SET"(varSystemLoginSession, null, null, null, varInstitutionBranchID, null, '5-4500', 'Donation', 62000000000001::bigint, '2016-01-01 00:00:00'::timestamp, null::timestamp); </v>
      </c>
      <c r="AM239" s="1" t="str">
        <f t="shared" si="75"/>
        <v/>
      </c>
      <c r="AO239" s="8" t="str">
        <f t="shared" si="87"/>
        <v xml:space="preserve">PERFORM * FROM "SchData-OLTP-Accounting"."Func_TblChartOfAccount_SET"(varSystemLoginSession, null, null, null, varInstitutionBranchID, null, '5-4500', 'Donation', 62000000000001::bigint, '2016-01-01 00:00:00'::timestamp, null::timestamp); </v>
      </c>
    </row>
    <row r="240" spans="2:41" x14ac:dyDescent="0.25">
      <c r="B240" s="1">
        <v>3</v>
      </c>
      <c r="C240" s="2" t="s">
        <v>484</v>
      </c>
      <c r="D240" s="1" t="s">
        <v>485</v>
      </c>
      <c r="O240" s="2" t="s">
        <v>484</v>
      </c>
      <c r="Q240" s="23" t="str">
        <f t="shared" si="86"/>
        <v>Depre - Building Improvement</v>
      </c>
      <c r="S240" s="1" t="str">
        <f t="shared" si="76"/>
        <v>2-PASV</v>
      </c>
      <c r="T240" s="1" t="str">
        <f t="shared" si="77"/>
        <v>3-0000</v>
      </c>
      <c r="U240" s="1" t="str">
        <f t="shared" si="78"/>
        <v>3-3000</v>
      </c>
      <c r="V240" s="1" t="str">
        <f t="shared" si="79"/>
        <v>4-1EAT</v>
      </c>
      <c r="W240" s="1" t="str">
        <f t="shared" si="80"/>
        <v>4-2EBT</v>
      </c>
      <c r="X240" s="1" t="str">
        <f t="shared" si="81"/>
        <v>4-3OPF</v>
      </c>
      <c r="Y240" s="1" t="str">
        <f t="shared" si="82"/>
        <v>4-4GPF</v>
      </c>
      <c r="Z240" s="1" t="str">
        <f t="shared" si="83"/>
        <v>5-0000</v>
      </c>
      <c r="AA240" s="1" t="str">
        <f t="shared" si="84"/>
        <v>5-3000</v>
      </c>
      <c r="AB240" s="1" t="str">
        <f t="shared" si="85"/>
        <v>5-5100</v>
      </c>
      <c r="AD240" s="1" t="str">
        <f t="shared" si="66"/>
        <v/>
      </c>
      <c r="AE240" s="1" t="str">
        <f t="shared" si="67"/>
        <v/>
      </c>
      <c r="AF240" s="1" t="str">
        <f t="shared" si="68"/>
        <v/>
      </c>
      <c r="AG240" s="1" t="str">
        <f t="shared" si="69"/>
        <v/>
      </c>
      <c r="AH240" s="1" t="str">
        <f t="shared" si="70"/>
        <v/>
      </c>
      <c r="AI240" s="1" t="str">
        <f t="shared" si="71"/>
        <v/>
      </c>
      <c r="AJ240" s="1" t="str">
        <f t="shared" si="72"/>
        <v/>
      </c>
      <c r="AK240" s="1" t="str">
        <f t="shared" si="73"/>
        <v/>
      </c>
      <c r="AL240" s="1" t="str">
        <f t="shared" si="74"/>
        <v xml:space="preserve">PERFORM * FROM "SchData-OLTP-Accounting"."Func_TblChartOfAccount_SET"(varSystemLoginSession, null, null, null, varInstitutionBranchID, null, '5-5100', 'Depre - Building Improvement', 62000000000001::bigint, '2016-01-01 00:00:00'::timestamp, null::timestamp); </v>
      </c>
      <c r="AM240" s="1" t="str">
        <f t="shared" si="75"/>
        <v/>
      </c>
      <c r="AO240" s="8" t="str">
        <f t="shared" si="87"/>
        <v xml:space="preserve">PERFORM * FROM "SchData-OLTP-Accounting"."Func_TblChartOfAccount_SET"(varSystemLoginSession, null, null, null, varInstitutionBranchID, null, '5-5100', 'Depre - Building Improvement', 62000000000001::bigint, '2016-01-01 00:00:00'::timestamp, null::timestamp); </v>
      </c>
    </row>
    <row r="241" spans="2:41" x14ac:dyDescent="0.25">
      <c r="B241" s="1">
        <v>3</v>
      </c>
      <c r="C241" s="2" t="s">
        <v>486</v>
      </c>
      <c r="D241" s="1" t="s">
        <v>487</v>
      </c>
      <c r="O241" s="2" t="s">
        <v>486</v>
      </c>
      <c r="Q241" s="23" t="str">
        <f t="shared" si="86"/>
        <v>Depre - IT Equipment</v>
      </c>
      <c r="S241" s="1" t="str">
        <f t="shared" si="76"/>
        <v>2-PASV</v>
      </c>
      <c r="T241" s="1" t="str">
        <f t="shared" si="77"/>
        <v>3-0000</v>
      </c>
      <c r="U241" s="1" t="str">
        <f t="shared" si="78"/>
        <v>3-3000</v>
      </c>
      <c r="V241" s="1" t="str">
        <f t="shared" si="79"/>
        <v>4-1EAT</v>
      </c>
      <c r="W241" s="1" t="str">
        <f t="shared" si="80"/>
        <v>4-2EBT</v>
      </c>
      <c r="X241" s="1" t="str">
        <f t="shared" si="81"/>
        <v>4-3OPF</v>
      </c>
      <c r="Y241" s="1" t="str">
        <f t="shared" si="82"/>
        <v>4-4GPF</v>
      </c>
      <c r="Z241" s="1" t="str">
        <f t="shared" si="83"/>
        <v>5-0000</v>
      </c>
      <c r="AA241" s="1" t="str">
        <f t="shared" si="84"/>
        <v>5-3000</v>
      </c>
      <c r="AB241" s="1" t="str">
        <f t="shared" si="85"/>
        <v>5-5200</v>
      </c>
      <c r="AD241" s="1" t="str">
        <f t="shared" si="66"/>
        <v/>
      </c>
      <c r="AE241" s="1" t="str">
        <f t="shared" si="67"/>
        <v/>
      </c>
      <c r="AF241" s="1" t="str">
        <f t="shared" si="68"/>
        <v/>
      </c>
      <c r="AG241" s="1" t="str">
        <f t="shared" si="69"/>
        <v/>
      </c>
      <c r="AH241" s="1" t="str">
        <f t="shared" si="70"/>
        <v/>
      </c>
      <c r="AI241" s="1" t="str">
        <f t="shared" si="71"/>
        <v/>
      </c>
      <c r="AJ241" s="1" t="str">
        <f t="shared" si="72"/>
        <v/>
      </c>
      <c r="AK241" s="1" t="str">
        <f t="shared" si="73"/>
        <v/>
      </c>
      <c r="AL241" s="1" t="str">
        <f t="shared" si="74"/>
        <v xml:space="preserve">PERFORM * FROM "SchData-OLTP-Accounting"."Func_TblChartOfAccount_SET"(varSystemLoginSession, null, null, null, varInstitutionBranchID, null, '5-5200', 'Depre - IT Equipment', 62000000000001::bigint, '2016-01-01 00:00:00'::timestamp, null::timestamp); </v>
      </c>
      <c r="AM241" s="1" t="str">
        <f t="shared" si="75"/>
        <v/>
      </c>
      <c r="AO241" s="8" t="str">
        <f t="shared" si="87"/>
        <v xml:space="preserve">PERFORM * FROM "SchData-OLTP-Accounting"."Func_TblChartOfAccount_SET"(varSystemLoginSession, null, null, null, varInstitutionBranchID, null, '5-5200', 'Depre - IT Equipment', 62000000000001::bigint, '2016-01-01 00:00:00'::timestamp, null::timestamp); </v>
      </c>
    </row>
    <row r="242" spans="2:41" x14ac:dyDescent="0.25">
      <c r="B242" s="1">
        <v>3</v>
      </c>
      <c r="C242" s="2" t="s">
        <v>488</v>
      </c>
      <c r="D242" s="1" t="s">
        <v>489</v>
      </c>
      <c r="O242" s="2" t="s">
        <v>488</v>
      </c>
      <c r="Q242" s="23" t="str">
        <f t="shared" si="86"/>
        <v>Depre - Office Machine &amp; Equip</v>
      </c>
      <c r="S242" s="1" t="str">
        <f t="shared" si="76"/>
        <v>2-PASV</v>
      </c>
      <c r="T242" s="1" t="str">
        <f t="shared" si="77"/>
        <v>3-0000</v>
      </c>
      <c r="U242" s="1" t="str">
        <f t="shared" si="78"/>
        <v>3-3000</v>
      </c>
      <c r="V242" s="1" t="str">
        <f t="shared" si="79"/>
        <v>4-1EAT</v>
      </c>
      <c r="W242" s="1" t="str">
        <f t="shared" si="80"/>
        <v>4-2EBT</v>
      </c>
      <c r="X242" s="1" t="str">
        <f t="shared" si="81"/>
        <v>4-3OPF</v>
      </c>
      <c r="Y242" s="1" t="str">
        <f t="shared" si="82"/>
        <v>4-4GPF</v>
      </c>
      <c r="Z242" s="1" t="str">
        <f t="shared" si="83"/>
        <v>5-0000</v>
      </c>
      <c r="AA242" s="1" t="str">
        <f t="shared" si="84"/>
        <v>5-3000</v>
      </c>
      <c r="AB242" s="1" t="str">
        <f t="shared" si="85"/>
        <v>5-5300</v>
      </c>
      <c r="AD242" s="1" t="str">
        <f t="shared" si="66"/>
        <v/>
      </c>
      <c r="AE242" s="1" t="str">
        <f t="shared" si="67"/>
        <v/>
      </c>
      <c r="AF242" s="1" t="str">
        <f t="shared" si="68"/>
        <v/>
      </c>
      <c r="AG242" s="1" t="str">
        <f t="shared" si="69"/>
        <v/>
      </c>
      <c r="AH242" s="1" t="str">
        <f t="shared" si="70"/>
        <v/>
      </c>
      <c r="AI242" s="1" t="str">
        <f t="shared" si="71"/>
        <v/>
      </c>
      <c r="AJ242" s="1" t="str">
        <f t="shared" si="72"/>
        <v/>
      </c>
      <c r="AK242" s="1" t="str">
        <f t="shared" si="73"/>
        <v/>
      </c>
      <c r="AL242" s="1" t="str">
        <f t="shared" si="74"/>
        <v xml:space="preserve">PERFORM * FROM "SchData-OLTP-Accounting"."Func_TblChartOfAccount_SET"(varSystemLoginSession, null, null, null, varInstitutionBranchID, null, '5-5300', 'Depre - Office Machine &amp; Equip', 62000000000001::bigint, '2016-01-01 00:00:00'::timestamp, null::timestamp); </v>
      </c>
      <c r="AM242" s="1" t="str">
        <f t="shared" si="75"/>
        <v/>
      </c>
      <c r="AO242" s="8" t="str">
        <f t="shared" si="87"/>
        <v xml:space="preserve">PERFORM * FROM "SchData-OLTP-Accounting"."Func_TblChartOfAccount_SET"(varSystemLoginSession, null, null, null, varInstitutionBranchID, null, '5-5300', 'Depre - Office Machine &amp; Equip', 62000000000001::bigint, '2016-01-01 00:00:00'::timestamp, null::timestamp); </v>
      </c>
    </row>
    <row r="243" spans="2:41" x14ac:dyDescent="0.25">
      <c r="B243" s="1">
        <v>3</v>
      </c>
      <c r="C243" s="2" t="s">
        <v>490</v>
      </c>
      <c r="D243" s="1" t="s">
        <v>491</v>
      </c>
      <c r="O243" s="2" t="s">
        <v>490</v>
      </c>
      <c r="Q243" s="23" t="str">
        <f t="shared" si="86"/>
        <v>Depre - Sundry Plant &amp; Equipt</v>
      </c>
      <c r="S243" s="1" t="str">
        <f t="shared" si="76"/>
        <v>2-PASV</v>
      </c>
      <c r="T243" s="1" t="str">
        <f t="shared" si="77"/>
        <v>3-0000</v>
      </c>
      <c r="U243" s="1" t="str">
        <f t="shared" si="78"/>
        <v>3-3000</v>
      </c>
      <c r="V243" s="1" t="str">
        <f t="shared" si="79"/>
        <v>4-1EAT</v>
      </c>
      <c r="W243" s="1" t="str">
        <f t="shared" si="80"/>
        <v>4-2EBT</v>
      </c>
      <c r="X243" s="1" t="str">
        <f t="shared" si="81"/>
        <v>4-3OPF</v>
      </c>
      <c r="Y243" s="1" t="str">
        <f t="shared" si="82"/>
        <v>4-4GPF</v>
      </c>
      <c r="Z243" s="1" t="str">
        <f t="shared" si="83"/>
        <v>5-0000</v>
      </c>
      <c r="AA243" s="1" t="str">
        <f t="shared" si="84"/>
        <v>5-3000</v>
      </c>
      <c r="AB243" s="1" t="str">
        <f t="shared" si="85"/>
        <v>5-5400</v>
      </c>
      <c r="AD243" s="1" t="str">
        <f t="shared" si="66"/>
        <v/>
      </c>
      <c r="AE243" s="1" t="str">
        <f t="shared" si="67"/>
        <v/>
      </c>
      <c r="AF243" s="1" t="str">
        <f t="shared" si="68"/>
        <v/>
      </c>
      <c r="AG243" s="1" t="str">
        <f t="shared" si="69"/>
        <v/>
      </c>
      <c r="AH243" s="1" t="str">
        <f t="shared" si="70"/>
        <v/>
      </c>
      <c r="AI243" s="1" t="str">
        <f t="shared" si="71"/>
        <v/>
      </c>
      <c r="AJ243" s="1" t="str">
        <f t="shared" si="72"/>
        <v/>
      </c>
      <c r="AK243" s="1" t="str">
        <f t="shared" si="73"/>
        <v/>
      </c>
      <c r="AL243" s="1" t="str">
        <f t="shared" si="74"/>
        <v xml:space="preserve">PERFORM * FROM "SchData-OLTP-Accounting"."Func_TblChartOfAccount_SET"(varSystemLoginSession, null, null, null, varInstitutionBranchID, null, '5-5400', 'Depre - Sundry Plant &amp; Equipt', 62000000000001::bigint, '2016-01-01 00:00:00'::timestamp, null::timestamp); </v>
      </c>
      <c r="AM243" s="1" t="str">
        <f t="shared" si="75"/>
        <v/>
      </c>
      <c r="AO243" s="8" t="str">
        <f t="shared" si="87"/>
        <v xml:space="preserve">PERFORM * FROM "SchData-OLTP-Accounting"."Func_TblChartOfAccount_SET"(varSystemLoginSession, null, null, null, varInstitutionBranchID, null, '5-5400', 'Depre - Sundry Plant &amp; Equipt', 62000000000001::bigint, '2016-01-01 00:00:00'::timestamp, null::timestamp); </v>
      </c>
    </row>
    <row r="244" spans="2:41" x14ac:dyDescent="0.25">
      <c r="B244" s="1">
        <v>3</v>
      </c>
      <c r="C244" s="2" t="s">
        <v>492</v>
      </c>
      <c r="D244" s="1" t="s">
        <v>493</v>
      </c>
      <c r="O244" s="2" t="s">
        <v>492</v>
      </c>
      <c r="Q244" s="23" t="str">
        <f t="shared" si="86"/>
        <v>Depre - Test Equipment</v>
      </c>
      <c r="S244" s="1" t="str">
        <f t="shared" si="76"/>
        <v>2-PASV</v>
      </c>
      <c r="T244" s="1" t="str">
        <f t="shared" si="77"/>
        <v>3-0000</v>
      </c>
      <c r="U244" s="1" t="str">
        <f t="shared" si="78"/>
        <v>3-3000</v>
      </c>
      <c r="V244" s="1" t="str">
        <f t="shared" si="79"/>
        <v>4-1EAT</v>
      </c>
      <c r="W244" s="1" t="str">
        <f t="shared" si="80"/>
        <v>4-2EBT</v>
      </c>
      <c r="X244" s="1" t="str">
        <f t="shared" si="81"/>
        <v>4-3OPF</v>
      </c>
      <c r="Y244" s="1" t="str">
        <f t="shared" si="82"/>
        <v>4-4GPF</v>
      </c>
      <c r="Z244" s="1" t="str">
        <f t="shared" si="83"/>
        <v>5-0000</v>
      </c>
      <c r="AA244" s="1" t="str">
        <f t="shared" si="84"/>
        <v>5-3000</v>
      </c>
      <c r="AB244" s="1" t="str">
        <f t="shared" si="85"/>
        <v>5-5500</v>
      </c>
      <c r="AD244" s="1" t="str">
        <f t="shared" si="66"/>
        <v/>
      </c>
      <c r="AE244" s="1" t="str">
        <f t="shared" si="67"/>
        <v/>
      </c>
      <c r="AF244" s="1" t="str">
        <f t="shared" si="68"/>
        <v/>
      </c>
      <c r="AG244" s="1" t="str">
        <f t="shared" si="69"/>
        <v/>
      </c>
      <c r="AH244" s="1" t="str">
        <f t="shared" si="70"/>
        <v/>
      </c>
      <c r="AI244" s="1" t="str">
        <f t="shared" si="71"/>
        <v/>
      </c>
      <c r="AJ244" s="1" t="str">
        <f t="shared" si="72"/>
        <v/>
      </c>
      <c r="AK244" s="1" t="str">
        <f t="shared" si="73"/>
        <v/>
      </c>
      <c r="AL244" s="1" t="str">
        <f t="shared" si="74"/>
        <v xml:space="preserve">PERFORM * FROM "SchData-OLTP-Accounting"."Func_TblChartOfAccount_SET"(varSystemLoginSession, null, null, null, varInstitutionBranchID, null, '5-5500', 'Depre - Test Equipment', 62000000000001::bigint, '2016-01-01 00:00:00'::timestamp, null::timestamp); </v>
      </c>
      <c r="AM244" s="1" t="str">
        <f t="shared" si="75"/>
        <v/>
      </c>
      <c r="AO244" s="8" t="str">
        <f t="shared" si="87"/>
        <v xml:space="preserve">PERFORM * FROM "SchData-OLTP-Accounting"."Func_TblChartOfAccount_SET"(varSystemLoginSession, null, null, null, varInstitutionBranchID, null, '5-5500', 'Depre - Test Equipment', 62000000000001::bigint, '2016-01-01 00:00:00'::timestamp, null::timestamp); </v>
      </c>
    </row>
    <row r="245" spans="2:41" x14ac:dyDescent="0.25">
      <c r="B245" s="1">
        <v>3</v>
      </c>
      <c r="C245" s="2" t="s">
        <v>494</v>
      </c>
      <c r="D245" s="1" t="s">
        <v>495</v>
      </c>
      <c r="O245" s="2" t="s">
        <v>494</v>
      </c>
      <c r="Q245" s="23" t="str">
        <f t="shared" si="86"/>
        <v>Depre - Motor Vehicle</v>
      </c>
      <c r="S245" s="1" t="str">
        <f t="shared" si="76"/>
        <v>2-PASV</v>
      </c>
      <c r="T245" s="1" t="str">
        <f t="shared" si="77"/>
        <v>3-0000</v>
      </c>
      <c r="U245" s="1" t="str">
        <f t="shared" si="78"/>
        <v>3-3000</v>
      </c>
      <c r="V245" s="1" t="str">
        <f t="shared" si="79"/>
        <v>4-1EAT</v>
      </c>
      <c r="W245" s="1" t="str">
        <f t="shared" si="80"/>
        <v>4-2EBT</v>
      </c>
      <c r="X245" s="1" t="str">
        <f t="shared" si="81"/>
        <v>4-3OPF</v>
      </c>
      <c r="Y245" s="1" t="str">
        <f t="shared" si="82"/>
        <v>4-4GPF</v>
      </c>
      <c r="Z245" s="1" t="str">
        <f t="shared" si="83"/>
        <v>5-0000</v>
      </c>
      <c r="AA245" s="1" t="str">
        <f t="shared" si="84"/>
        <v>5-3000</v>
      </c>
      <c r="AB245" s="1" t="str">
        <f t="shared" si="85"/>
        <v>5-5600</v>
      </c>
      <c r="AD245" s="1" t="str">
        <f t="shared" si="66"/>
        <v/>
      </c>
      <c r="AE245" s="1" t="str">
        <f t="shared" si="67"/>
        <v/>
      </c>
      <c r="AF245" s="1" t="str">
        <f t="shared" si="68"/>
        <v/>
      </c>
      <c r="AG245" s="1" t="str">
        <f t="shared" si="69"/>
        <v/>
      </c>
      <c r="AH245" s="1" t="str">
        <f t="shared" si="70"/>
        <v/>
      </c>
      <c r="AI245" s="1" t="str">
        <f t="shared" si="71"/>
        <v/>
      </c>
      <c r="AJ245" s="1" t="str">
        <f t="shared" si="72"/>
        <v/>
      </c>
      <c r="AK245" s="1" t="str">
        <f t="shared" si="73"/>
        <v/>
      </c>
      <c r="AL245" s="1" t="str">
        <f t="shared" si="74"/>
        <v xml:space="preserve">PERFORM * FROM "SchData-OLTP-Accounting"."Func_TblChartOfAccount_SET"(varSystemLoginSession, null, null, null, varInstitutionBranchID, null, '5-5600', 'Depre - Motor Vehicle', 62000000000001::bigint, '2016-01-01 00:00:00'::timestamp, null::timestamp); </v>
      </c>
      <c r="AM245" s="1" t="str">
        <f t="shared" si="75"/>
        <v/>
      </c>
      <c r="AO245" s="8" t="str">
        <f t="shared" si="87"/>
        <v xml:space="preserve">PERFORM * FROM "SchData-OLTP-Accounting"."Func_TblChartOfAccount_SET"(varSystemLoginSession, null, null, null, varInstitutionBranchID, null, '5-5600', 'Depre - Motor Vehicle', 62000000000001::bigint, '2016-01-01 00:00:00'::timestamp, null::timestamp); </v>
      </c>
    </row>
    <row r="246" spans="2:41" x14ac:dyDescent="0.25">
      <c r="B246" s="1">
        <v>3</v>
      </c>
      <c r="C246" s="2" t="s">
        <v>496</v>
      </c>
      <c r="D246" s="1" t="s">
        <v>497</v>
      </c>
      <c r="O246" s="2" t="s">
        <v>496</v>
      </c>
      <c r="Q246" s="23" t="str">
        <f t="shared" si="86"/>
        <v>Depre - Tools</v>
      </c>
      <c r="S246" s="1" t="str">
        <f t="shared" si="76"/>
        <v>2-PASV</v>
      </c>
      <c r="T246" s="1" t="str">
        <f t="shared" si="77"/>
        <v>3-0000</v>
      </c>
      <c r="U246" s="1" t="str">
        <f t="shared" si="78"/>
        <v>3-3000</v>
      </c>
      <c r="V246" s="1" t="str">
        <f t="shared" si="79"/>
        <v>4-1EAT</v>
      </c>
      <c r="W246" s="1" t="str">
        <f t="shared" si="80"/>
        <v>4-2EBT</v>
      </c>
      <c r="X246" s="1" t="str">
        <f t="shared" si="81"/>
        <v>4-3OPF</v>
      </c>
      <c r="Y246" s="1" t="str">
        <f t="shared" si="82"/>
        <v>4-4GPF</v>
      </c>
      <c r="Z246" s="1" t="str">
        <f t="shared" si="83"/>
        <v>5-0000</v>
      </c>
      <c r="AA246" s="1" t="str">
        <f t="shared" si="84"/>
        <v>5-3000</v>
      </c>
      <c r="AB246" s="1" t="str">
        <f t="shared" si="85"/>
        <v>5-5700</v>
      </c>
      <c r="AD246" s="1" t="str">
        <f t="shared" si="66"/>
        <v/>
      </c>
      <c r="AE246" s="1" t="str">
        <f t="shared" si="67"/>
        <v/>
      </c>
      <c r="AF246" s="1" t="str">
        <f t="shared" si="68"/>
        <v/>
      </c>
      <c r="AG246" s="1" t="str">
        <f t="shared" si="69"/>
        <v/>
      </c>
      <c r="AH246" s="1" t="str">
        <f t="shared" si="70"/>
        <v/>
      </c>
      <c r="AI246" s="1" t="str">
        <f t="shared" si="71"/>
        <v/>
      </c>
      <c r="AJ246" s="1" t="str">
        <f t="shared" si="72"/>
        <v/>
      </c>
      <c r="AK246" s="1" t="str">
        <f t="shared" si="73"/>
        <v/>
      </c>
      <c r="AL246" s="1" t="str">
        <f t="shared" si="74"/>
        <v xml:space="preserve">PERFORM * FROM "SchData-OLTP-Accounting"."Func_TblChartOfAccount_SET"(varSystemLoginSession, null, null, null, varInstitutionBranchID, null, '5-5700', 'Depre - Tools', 62000000000001::bigint, '2016-01-01 00:00:00'::timestamp, null::timestamp); </v>
      </c>
      <c r="AM246" s="1" t="str">
        <f t="shared" si="75"/>
        <v/>
      </c>
      <c r="AO246" s="8" t="str">
        <f t="shared" si="87"/>
        <v xml:space="preserve">PERFORM * FROM "SchData-OLTP-Accounting"."Func_TblChartOfAccount_SET"(varSystemLoginSession, null, null, null, varInstitutionBranchID, null, '5-5700', 'Depre - Tools', 62000000000001::bigint, '2016-01-01 00:00:00'::timestamp, null::timestamp); </v>
      </c>
    </row>
    <row r="247" spans="2:41" x14ac:dyDescent="0.25">
      <c r="B247" s="1">
        <v>3</v>
      </c>
      <c r="C247" s="2" t="s">
        <v>498</v>
      </c>
      <c r="D247" s="1" t="s">
        <v>499</v>
      </c>
      <c r="O247" s="2" t="s">
        <v>498</v>
      </c>
      <c r="Q247" s="23" t="str">
        <f t="shared" si="86"/>
        <v>Depre - Furniture Fitting</v>
      </c>
      <c r="S247" s="1" t="str">
        <f t="shared" si="76"/>
        <v>2-PASV</v>
      </c>
      <c r="T247" s="1" t="str">
        <f t="shared" si="77"/>
        <v>3-0000</v>
      </c>
      <c r="U247" s="1" t="str">
        <f t="shared" si="78"/>
        <v>3-3000</v>
      </c>
      <c r="V247" s="1" t="str">
        <f t="shared" si="79"/>
        <v>4-1EAT</v>
      </c>
      <c r="W247" s="1" t="str">
        <f t="shared" si="80"/>
        <v>4-2EBT</v>
      </c>
      <c r="X247" s="1" t="str">
        <f t="shared" si="81"/>
        <v>4-3OPF</v>
      </c>
      <c r="Y247" s="1" t="str">
        <f t="shared" si="82"/>
        <v>4-4GPF</v>
      </c>
      <c r="Z247" s="1" t="str">
        <f t="shared" si="83"/>
        <v>5-0000</v>
      </c>
      <c r="AA247" s="1" t="str">
        <f t="shared" si="84"/>
        <v>5-3000</v>
      </c>
      <c r="AB247" s="1" t="str">
        <f t="shared" si="85"/>
        <v>5-5800</v>
      </c>
      <c r="AD247" s="1" t="str">
        <f t="shared" si="66"/>
        <v/>
      </c>
      <c r="AE247" s="1" t="str">
        <f t="shared" si="67"/>
        <v/>
      </c>
      <c r="AF247" s="1" t="str">
        <f t="shared" si="68"/>
        <v/>
      </c>
      <c r="AG247" s="1" t="str">
        <f t="shared" si="69"/>
        <v/>
      </c>
      <c r="AH247" s="1" t="str">
        <f t="shared" si="70"/>
        <v/>
      </c>
      <c r="AI247" s="1" t="str">
        <f t="shared" si="71"/>
        <v/>
      </c>
      <c r="AJ247" s="1" t="str">
        <f t="shared" si="72"/>
        <v/>
      </c>
      <c r="AK247" s="1" t="str">
        <f t="shared" si="73"/>
        <v/>
      </c>
      <c r="AL247" s="1" t="str">
        <f t="shared" si="74"/>
        <v xml:space="preserve">PERFORM * FROM "SchData-OLTP-Accounting"."Func_TblChartOfAccount_SET"(varSystemLoginSession, null, null, null, varInstitutionBranchID, null, '5-5800', 'Depre - Furniture Fitting', 62000000000001::bigint, '2016-01-01 00:00:00'::timestamp, null::timestamp); </v>
      </c>
      <c r="AM247" s="1" t="str">
        <f t="shared" si="75"/>
        <v/>
      </c>
      <c r="AO247" s="8" t="str">
        <f t="shared" si="87"/>
        <v xml:space="preserve">PERFORM * FROM "SchData-OLTP-Accounting"."Func_TblChartOfAccount_SET"(varSystemLoginSession, null, null, null, varInstitutionBranchID, null, '5-5800', 'Depre - Furniture Fitting', 62000000000001::bigint, '2016-01-01 00:00:00'::timestamp, null::timestamp); </v>
      </c>
    </row>
    <row r="248" spans="2:41" x14ac:dyDescent="0.25">
      <c r="B248" s="1">
        <v>3</v>
      </c>
      <c r="C248" s="2" t="s">
        <v>500</v>
      </c>
      <c r="D248" s="1" t="s">
        <v>501</v>
      </c>
      <c r="O248" s="2" t="s">
        <v>500</v>
      </c>
      <c r="Q248" s="23" t="str">
        <f t="shared" si="86"/>
        <v>Depre - Mobile Phone</v>
      </c>
      <c r="S248" s="1" t="str">
        <f t="shared" si="76"/>
        <v>2-PASV</v>
      </c>
      <c r="T248" s="1" t="str">
        <f t="shared" si="77"/>
        <v>3-0000</v>
      </c>
      <c r="U248" s="1" t="str">
        <f t="shared" si="78"/>
        <v>3-3000</v>
      </c>
      <c r="V248" s="1" t="str">
        <f t="shared" si="79"/>
        <v>4-1EAT</v>
      </c>
      <c r="W248" s="1" t="str">
        <f t="shared" si="80"/>
        <v>4-2EBT</v>
      </c>
      <c r="X248" s="1" t="str">
        <f t="shared" si="81"/>
        <v>4-3OPF</v>
      </c>
      <c r="Y248" s="1" t="str">
        <f t="shared" si="82"/>
        <v>4-4GPF</v>
      </c>
      <c r="Z248" s="1" t="str">
        <f t="shared" si="83"/>
        <v>5-0000</v>
      </c>
      <c r="AA248" s="1" t="str">
        <f t="shared" si="84"/>
        <v>5-3000</v>
      </c>
      <c r="AB248" s="1" t="str">
        <f t="shared" si="85"/>
        <v>5-5900</v>
      </c>
      <c r="AD248" s="1" t="str">
        <f t="shared" si="66"/>
        <v/>
      </c>
      <c r="AE248" s="1" t="str">
        <f t="shared" si="67"/>
        <v/>
      </c>
      <c r="AF248" s="1" t="str">
        <f t="shared" si="68"/>
        <v/>
      </c>
      <c r="AG248" s="1" t="str">
        <f t="shared" si="69"/>
        <v/>
      </c>
      <c r="AH248" s="1" t="str">
        <f t="shared" si="70"/>
        <v/>
      </c>
      <c r="AI248" s="1" t="str">
        <f t="shared" si="71"/>
        <v/>
      </c>
      <c r="AJ248" s="1" t="str">
        <f t="shared" si="72"/>
        <v/>
      </c>
      <c r="AK248" s="1" t="str">
        <f t="shared" si="73"/>
        <v/>
      </c>
      <c r="AL248" s="1" t="str">
        <f t="shared" si="74"/>
        <v xml:space="preserve">PERFORM * FROM "SchData-OLTP-Accounting"."Func_TblChartOfAccount_SET"(varSystemLoginSession, null, null, null, varInstitutionBranchID, null, '5-5900', 'Depre - Mobile Phone', 62000000000001::bigint, '2016-01-01 00:00:00'::timestamp, null::timestamp); </v>
      </c>
      <c r="AM248" s="1" t="str">
        <f t="shared" si="75"/>
        <v/>
      </c>
      <c r="AO248" s="8" t="str">
        <f t="shared" si="87"/>
        <v xml:space="preserve">PERFORM * FROM "SchData-OLTP-Accounting"."Func_TblChartOfAccount_SET"(varSystemLoginSession, null, null, null, varInstitutionBranchID, null, '5-5900', 'Depre - Mobile Phone', 62000000000001::bigint, '2016-01-01 00:00:00'::timestamp, null::timestamp); </v>
      </c>
    </row>
    <row r="249" spans="2:41" x14ac:dyDescent="0.25">
      <c r="B249" s="1">
        <v>3</v>
      </c>
      <c r="C249" s="2" t="s">
        <v>502</v>
      </c>
      <c r="D249" s="1" t="s">
        <v>503</v>
      </c>
      <c r="O249" s="2" t="s">
        <v>502</v>
      </c>
      <c r="Q249" s="23" t="str">
        <f t="shared" si="86"/>
        <v>Customer Claims</v>
      </c>
      <c r="S249" s="1" t="str">
        <f t="shared" si="76"/>
        <v>2-PASV</v>
      </c>
      <c r="T249" s="1" t="str">
        <f t="shared" si="77"/>
        <v>3-0000</v>
      </c>
      <c r="U249" s="1" t="str">
        <f t="shared" si="78"/>
        <v>3-3000</v>
      </c>
      <c r="V249" s="1" t="str">
        <f t="shared" si="79"/>
        <v>4-1EAT</v>
      </c>
      <c r="W249" s="1" t="str">
        <f t="shared" si="80"/>
        <v>4-2EBT</v>
      </c>
      <c r="X249" s="1" t="str">
        <f t="shared" si="81"/>
        <v>4-3OPF</v>
      </c>
      <c r="Y249" s="1" t="str">
        <f t="shared" si="82"/>
        <v>4-4GPF</v>
      </c>
      <c r="Z249" s="1" t="str">
        <f t="shared" si="83"/>
        <v>5-0000</v>
      </c>
      <c r="AA249" s="1" t="str">
        <f t="shared" si="84"/>
        <v>5-3000</v>
      </c>
      <c r="AB249" s="1" t="str">
        <f t="shared" si="85"/>
        <v>5-5950</v>
      </c>
      <c r="AD249" s="1" t="str">
        <f t="shared" si="66"/>
        <v/>
      </c>
      <c r="AE249" s="1" t="str">
        <f t="shared" si="67"/>
        <v/>
      </c>
      <c r="AF249" s="1" t="str">
        <f t="shared" si="68"/>
        <v/>
      </c>
      <c r="AG249" s="1" t="str">
        <f t="shared" si="69"/>
        <v/>
      </c>
      <c r="AH249" s="1" t="str">
        <f t="shared" si="70"/>
        <v/>
      </c>
      <c r="AI249" s="1" t="str">
        <f t="shared" si="71"/>
        <v/>
      </c>
      <c r="AJ249" s="1" t="str">
        <f t="shared" si="72"/>
        <v/>
      </c>
      <c r="AK249" s="1" t="str">
        <f t="shared" si="73"/>
        <v/>
      </c>
      <c r="AL249" s="1" t="str">
        <f t="shared" si="74"/>
        <v xml:space="preserve">PERFORM * FROM "SchData-OLTP-Accounting"."Func_TblChartOfAccount_SET"(varSystemLoginSession, null, null, null, varInstitutionBranchID, null, '5-5950', 'Customer Claims', 62000000000001::bigint, '2016-01-01 00:00:00'::timestamp, null::timestamp); </v>
      </c>
      <c r="AM249" s="1" t="str">
        <f t="shared" si="75"/>
        <v/>
      </c>
      <c r="AO249" s="8" t="str">
        <f t="shared" si="87"/>
        <v xml:space="preserve">PERFORM * FROM "SchData-OLTP-Accounting"."Func_TblChartOfAccount_SET"(varSystemLoginSession, null, null, null, varInstitutionBranchID, null, '5-5950', 'Customer Claims', 62000000000001::bigint, '2016-01-01 00:00:00'::timestamp, null::timestamp); </v>
      </c>
    </row>
    <row r="250" spans="2:41" x14ac:dyDescent="0.25">
      <c r="B250" s="1">
        <v>3</v>
      </c>
      <c r="C250" s="2" t="s">
        <v>504</v>
      </c>
      <c r="D250" s="1" t="s">
        <v>505</v>
      </c>
      <c r="O250" s="2" t="s">
        <v>504</v>
      </c>
      <c r="Q250" s="23" t="str">
        <f t="shared" si="86"/>
        <v>Other Overhead</v>
      </c>
      <c r="S250" s="1" t="str">
        <f t="shared" si="76"/>
        <v>2-PASV</v>
      </c>
      <c r="T250" s="1" t="str">
        <f t="shared" si="77"/>
        <v>3-0000</v>
      </c>
      <c r="U250" s="1" t="str">
        <f t="shared" si="78"/>
        <v>3-3000</v>
      </c>
      <c r="V250" s="1" t="str">
        <f t="shared" si="79"/>
        <v>4-1EAT</v>
      </c>
      <c r="W250" s="1" t="str">
        <f t="shared" si="80"/>
        <v>4-2EBT</v>
      </c>
      <c r="X250" s="1" t="str">
        <f t="shared" si="81"/>
        <v>4-3OPF</v>
      </c>
      <c r="Y250" s="1" t="str">
        <f t="shared" si="82"/>
        <v>4-4GPF</v>
      </c>
      <c r="Z250" s="1" t="str">
        <f t="shared" si="83"/>
        <v>5-0000</v>
      </c>
      <c r="AA250" s="1" t="str">
        <f t="shared" si="84"/>
        <v>5-3000</v>
      </c>
      <c r="AB250" s="1" t="str">
        <f t="shared" si="85"/>
        <v>5-9000</v>
      </c>
      <c r="AD250" s="1" t="str">
        <f t="shared" si="66"/>
        <v/>
      </c>
      <c r="AE250" s="1" t="str">
        <f t="shared" si="67"/>
        <v/>
      </c>
      <c r="AF250" s="1" t="str">
        <f t="shared" si="68"/>
        <v/>
      </c>
      <c r="AG250" s="1" t="str">
        <f t="shared" si="69"/>
        <v/>
      </c>
      <c r="AH250" s="1" t="str">
        <f t="shared" si="70"/>
        <v/>
      </c>
      <c r="AI250" s="1" t="str">
        <f t="shared" si="71"/>
        <v/>
      </c>
      <c r="AJ250" s="1" t="str">
        <f t="shared" si="72"/>
        <v/>
      </c>
      <c r="AK250" s="1" t="str">
        <f t="shared" si="73"/>
        <v/>
      </c>
      <c r="AL250" s="1" t="str">
        <f t="shared" si="74"/>
        <v xml:space="preserve">PERFORM * FROM "SchData-OLTP-Accounting"."Func_TblChartOfAccount_SET"(varSystemLoginSession, null, null, null, varInstitutionBranchID, null, '5-9000', 'Other Overhead', 62000000000001::bigint, '2016-01-01 00:00:00'::timestamp, null::timestamp); </v>
      </c>
      <c r="AM250" s="1" t="str">
        <f t="shared" si="75"/>
        <v/>
      </c>
      <c r="AO250" s="8" t="str">
        <f t="shared" si="87"/>
        <v xml:space="preserve">PERFORM * FROM "SchData-OLTP-Accounting"."Func_TblChartOfAccount_SET"(varSystemLoginSession, null, null, null, varInstitutionBranchID, null, '5-9000', 'Other Overhead', 62000000000001::bigint, '2016-01-01 00:00:00'::timestamp, null::timestamp); </v>
      </c>
    </row>
    <row r="251" spans="2:41" x14ac:dyDescent="0.25">
      <c r="B251" s="1">
        <v>1</v>
      </c>
      <c r="C251" s="2" t="s">
        <v>506</v>
      </c>
      <c r="D251" s="1" t="s">
        <v>507</v>
      </c>
      <c r="L251" s="2" t="s">
        <v>506</v>
      </c>
      <c r="Q251" s="1" t="str">
        <f t="shared" si="86"/>
        <v>General &amp; Adm Expenses</v>
      </c>
      <c r="S251" s="1" t="str">
        <f t="shared" si="76"/>
        <v>2-PASV</v>
      </c>
      <c r="T251" s="1" t="str">
        <f t="shared" si="77"/>
        <v>3-0000</v>
      </c>
      <c r="U251" s="1" t="str">
        <f t="shared" si="78"/>
        <v>3-3000</v>
      </c>
      <c r="V251" s="1" t="str">
        <f t="shared" si="79"/>
        <v>4-1EAT</v>
      </c>
      <c r="W251" s="1" t="str">
        <f t="shared" si="80"/>
        <v>4-2EBT</v>
      </c>
      <c r="X251" s="1" t="str">
        <f t="shared" si="81"/>
        <v>4-3OPF</v>
      </c>
      <c r="Y251" s="1" t="str">
        <f t="shared" si="82"/>
        <v>6-0000</v>
      </c>
      <c r="Z251" s="1" t="str">
        <f t="shared" si="83"/>
        <v>5-0000</v>
      </c>
      <c r="AA251" s="1" t="str">
        <f t="shared" si="84"/>
        <v>5-3000</v>
      </c>
      <c r="AB251" s="1" t="str">
        <f t="shared" si="85"/>
        <v>5-9000</v>
      </c>
      <c r="AD251" s="1" t="str">
        <f t="shared" si="66"/>
        <v/>
      </c>
      <c r="AE251" s="1" t="str">
        <f t="shared" si="67"/>
        <v/>
      </c>
      <c r="AF251" s="1" t="str">
        <f t="shared" si="68"/>
        <v/>
      </c>
      <c r="AG251" s="1" t="str">
        <f t="shared" si="69"/>
        <v/>
      </c>
      <c r="AH251" s="1" t="str">
        <f t="shared" si="70"/>
        <v/>
      </c>
      <c r="AI251" s="1" t="str">
        <f t="shared" si="71"/>
        <v xml:space="preserve">PERFORM * FROM "SchData-OLTP-Accounting"."Func_TblChartOfAccount_SET"(varSystemLoginSession, null, null, null, varInstitutionBranchID, null, '6-0000', 'General &amp; Adm Expenses', 62000000000001::bigint, '2016-01-01 00:00:00'::timestamp, null::timestamp); </v>
      </c>
      <c r="AJ251" s="1" t="str">
        <f t="shared" si="72"/>
        <v/>
      </c>
      <c r="AK251" s="1" t="str">
        <f t="shared" si="73"/>
        <v/>
      </c>
      <c r="AL251" s="1" t="str">
        <f t="shared" si="74"/>
        <v/>
      </c>
      <c r="AM251" s="1" t="str">
        <f t="shared" si="75"/>
        <v/>
      </c>
      <c r="AO251" s="8" t="str">
        <f t="shared" si="87"/>
        <v xml:space="preserve">PERFORM * FROM "SchData-OLTP-Accounting"."Func_TblChartOfAccount_SET"(varSystemLoginSession, null, null, null, varInstitutionBranchID, null, '6-0000', 'General &amp; Adm Expenses', 62000000000001::bigint, '2016-01-01 00:00:00'::timestamp, null::timestamp); </v>
      </c>
    </row>
    <row r="252" spans="2:41" x14ac:dyDescent="0.25">
      <c r="B252" s="1">
        <v>2</v>
      </c>
      <c r="C252" s="2" t="s">
        <v>508</v>
      </c>
      <c r="D252" s="1" t="s">
        <v>509</v>
      </c>
      <c r="M252" s="2" t="s">
        <v>508</v>
      </c>
      <c r="Q252" s="1" t="str">
        <f t="shared" si="86"/>
        <v>Salary</v>
      </c>
      <c r="S252" s="1" t="str">
        <f t="shared" si="76"/>
        <v>2-PASV</v>
      </c>
      <c r="T252" s="1" t="str">
        <f t="shared" si="77"/>
        <v>3-0000</v>
      </c>
      <c r="U252" s="1" t="str">
        <f t="shared" si="78"/>
        <v>3-3000</v>
      </c>
      <c r="V252" s="1" t="str">
        <f t="shared" si="79"/>
        <v>4-1EAT</v>
      </c>
      <c r="W252" s="1" t="str">
        <f t="shared" si="80"/>
        <v>4-2EBT</v>
      </c>
      <c r="X252" s="1" t="str">
        <f t="shared" si="81"/>
        <v>4-3OPF</v>
      </c>
      <c r="Y252" s="1" t="str">
        <f t="shared" si="82"/>
        <v>6-0000</v>
      </c>
      <c r="Z252" s="1" t="str">
        <f t="shared" si="83"/>
        <v>6-1010</v>
      </c>
      <c r="AA252" s="1" t="str">
        <f t="shared" si="84"/>
        <v>5-3000</v>
      </c>
      <c r="AB252" s="1" t="str">
        <f t="shared" si="85"/>
        <v>5-9000</v>
      </c>
      <c r="AD252" s="1" t="str">
        <f t="shared" si="66"/>
        <v/>
      </c>
      <c r="AE252" s="1" t="str">
        <f t="shared" si="67"/>
        <v/>
      </c>
      <c r="AF252" s="1" t="str">
        <f t="shared" si="68"/>
        <v/>
      </c>
      <c r="AG252" s="1" t="str">
        <f t="shared" si="69"/>
        <v/>
      </c>
      <c r="AH252" s="1" t="str">
        <f t="shared" si="70"/>
        <v/>
      </c>
      <c r="AI252" s="1" t="str">
        <f t="shared" si="71"/>
        <v/>
      </c>
      <c r="AJ252" s="1" t="str">
        <f t="shared" si="72"/>
        <v xml:space="preserve">PERFORM * FROM "SchData-OLTP-Accounting"."Func_TblChartOfAccount_SET"(varSystemLoginSession, null, null, null, varInstitutionBranchID, null, '6-1010', 'Salary', 62000000000001::bigint, '2016-01-01 00:00:00'::timestamp, null::timestamp); </v>
      </c>
      <c r="AK252" s="1" t="str">
        <f t="shared" si="73"/>
        <v/>
      </c>
      <c r="AL252" s="1" t="str">
        <f t="shared" si="74"/>
        <v/>
      </c>
      <c r="AM252" s="1" t="str">
        <f t="shared" si="75"/>
        <v/>
      </c>
      <c r="AO252" s="8" t="str">
        <f t="shared" si="87"/>
        <v xml:space="preserve">PERFORM * FROM "SchData-OLTP-Accounting"."Func_TblChartOfAccount_SET"(varSystemLoginSession, null, null, null, varInstitutionBranchID, null, '6-1010', 'Salary', 62000000000001::bigint, '2016-01-01 00:00:00'::timestamp, null::timestamp); </v>
      </c>
    </row>
    <row r="253" spans="2:41" x14ac:dyDescent="0.25">
      <c r="B253" s="1">
        <v>2</v>
      </c>
      <c r="C253" s="2" t="s">
        <v>510</v>
      </c>
      <c r="D253" s="1" t="s">
        <v>511</v>
      </c>
      <c r="M253" s="2" t="s">
        <v>510</v>
      </c>
      <c r="Q253" s="1" t="str">
        <f t="shared" si="86"/>
        <v>Overtime</v>
      </c>
      <c r="S253" s="1" t="str">
        <f t="shared" si="76"/>
        <v>2-PASV</v>
      </c>
      <c r="T253" s="1" t="str">
        <f t="shared" si="77"/>
        <v>3-0000</v>
      </c>
      <c r="U253" s="1" t="str">
        <f t="shared" si="78"/>
        <v>3-3000</v>
      </c>
      <c r="V253" s="1" t="str">
        <f t="shared" si="79"/>
        <v>4-1EAT</v>
      </c>
      <c r="W253" s="1" t="str">
        <f t="shared" si="80"/>
        <v>4-2EBT</v>
      </c>
      <c r="X253" s="1" t="str">
        <f t="shared" si="81"/>
        <v>4-3OPF</v>
      </c>
      <c r="Y253" s="1" t="str">
        <f t="shared" si="82"/>
        <v>6-0000</v>
      </c>
      <c r="Z253" s="1" t="str">
        <f t="shared" si="83"/>
        <v>6-1020</v>
      </c>
      <c r="AA253" s="1" t="str">
        <f t="shared" si="84"/>
        <v>5-3000</v>
      </c>
      <c r="AB253" s="1" t="str">
        <f t="shared" si="85"/>
        <v>5-9000</v>
      </c>
      <c r="AD253" s="1" t="str">
        <f t="shared" si="66"/>
        <v/>
      </c>
      <c r="AE253" s="1" t="str">
        <f t="shared" si="67"/>
        <v/>
      </c>
      <c r="AF253" s="1" t="str">
        <f t="shared" si="68"/>
        <v/>
      </c>
      <c r="AG253" s="1" t="str">
        <f t="shared" si="69"/>
        <v/>
      </c>
      <c r="AH253" s="1" t="str">
        <f t="shared" si="70"/>
        <v/>
      </c>
      <c r="AI253" s="1" t="str">
        <f t="shared" si="71"/>
        <v/>
      </c>
      <c r="AJ253" s="1" t="str">
        <f t="shared" si="72"/>
        <v xml:space="preserve">PERFORM * FROM "SchData-OLTP-Accounting"."Func_TblChartOfAccount_SET"(varSystemLoginSession, null, null, null, varInstitutionBranchID, null, '6-1020', 'Overtime', 62000000000001::bigint, '2016-01-01 00:00:00'::timestamp, null::timestamp); </v>
      </c>
      <c r="AK253" s="1" t="str">
        <f t="shared" si="73"/>
        <v/>
      </c>
      <c r="AL253" s="1" t="str">
        <f t="shared" si="74"/>
        <v/>
      </c>
      <c r="AM253" s="1" t="str">
        <f t="shared" si="75"/>
        <v/>
      </c>
      <c r="AO253" s="8" t="str">
        <f t="shared" si="87"/>
        <v xml:space="preserve">PERFORM * FROM "SchData-OLTP-Accounting"."Func_TblChartOfAccount_SET"(varSystemLoginSession, null, null, null, varInstitutionBranchID, null, '6-1020', 'Overtime', 62000000000001::bigint, '2016-01-01 00:00:00'::timestamp, null::timestamp); </v>
      </c>
    </row>
    <row r="254" spans="2:41" x14ac:dyDescent="0.25">
      <c r="B254" s="1">
        <v>2</v>
      </c>
      <c r="C254" s="2" t="s">
        <v>512</v>
      </c>
      <c r="D254" s="1" t="s">
        <v>513</v>
      </c>
      <c r="M254" s="2" t="s">
        <v>512</v>
      </c>
      <c r="Q254" s="1" t="str">
        <f t="shared" si="86"/>
        <v>Bonus, THR</v>
      </c>
      <c r="S254" s="1" t="str">
        <f t="shared" si="76"/>
        <v>2-PASV</v>
      </c>
      <c r="T254" s="1" t="str">
        <f t="shared" si="77"/>
        <v>3-0000</v>
      </c>
      <c r="U254" s="1" t="str">
        <f t="shared" si="78"/>
        <v>3-3000</v>
      </c>
      <c r="V254" s="1" t="str">
        <f t="shared" si="79"/>
        <v>4-1EAT</v>
      </c>
      <c r="W254" s="1" t="str">
        <f t="shared" si="80"/>
        <v>4-2EBT</v>
      </c>
      <c r="X254" s="1" t="str">
        <f t="shared" si="81"/>
        <v>4-3OPF</v>
      </c>
      <c r="Y254" s="1" t="str">
        <f t="shared" si="82"/>
        <v>6-0000</v>
      </c>
      <c r="Z254" s="1" t="str">
        <f t="shared" si="83"/>
        <v>6-1030</v>
      </c>
      <c r="AA254" s="1" t="str">
        <f t="shared" si="84"/>
        <v>5-3000</v>
      </c>
      <c r="AB254" s="1" t="str">
        <f t="shared" si="85"/>
        <v>5-9000</v>
      </c>
      <c r="AD254" s="1" t="str">
        <f t="shared" si="66"/>
        <v/>
      </c>
      <c r="AE254" s="1" t="str">
        <f t="shared" si="67"/>
        <v/>
      </c>
      <c r="AF254" s="1" t="str">
        <f t="shared" si="68"/>
        <v/>
      </c>
      <c r="AG254" s="1" t="str">
        <f t="shared" si="69"/>
        <v/>
      </c>
      <c r="AH254" s="1" t="str">
        <f t="shared" si="70"/>
        <v/>
      </c>
      <c r="AI254" s="1" t="str">
        <f t="shared" si="71"/>
        <v/>
      </c>
      <c r="AJ254" s="1" t="str">
        <f t="shared" si="72"/>
        <v xml:space="preserve">PERFORM * FROM "SchData-OLTP-Accounting"."Func_TblChartOfAccount_SET"(varSystemLoginSession, null, null, null, varInstitutionBranchID, null, '6-1030', 'Bonus, THR', 62000000000001::bigint, '2016-01-01 00:00:00'::timestamp, null::timestamp); </v>
      </c>
      <c r="AK254" s="1" t="str">
        <f t="shared" si="73"/>
        <v/>
      </c>
      <c r="AL254" s="1" t="str">
        <f t="shared" si="74"/>
        <v/>
      </c>
      <c r="AM254" s="1" t="str">
        <f t="shared" si="75"/>
        <v/>
      </c>
      <c r="AO254" s="8" t="str">
        <f t="shared" si="87"/>
        <v xml:space="preserve">PERFORM * FROM "SchData-OLTP-Accounting"."Func_TblChartOfAccount_SET"(varSystemLoginSession, null, null, null, varInstitutionBranchID, null, '6-1030', 'Bonus, THR', 62000000000001::bigint, '2016-01-01 00:00:00'::timestamp, null::timestamp); </v>
      </c>
    </row>
    <row r="255" spans="2:41" x14ac:dyDescent="0.25">
      <c r="B255" s="1">
        <v>2</v>
      </c>
      <c r="C255" s="2" t="s">
        <v>514</v>
      </c>
      <c r="D255" s="1" t="s">
        <v>515</v>
      </c>
      <c r="M255" s="2" t="s">
        <v>514</v>
      </c>
      <c r="Q255" s="1" t="str">
        <f t="shared" si="86"/>
        <v>Performance Bonus</v>
      </c>
      <c r="S255" s="1" t="str">
        <f t="shared" si="76"/>
        <v>2-PASV</v>
      </c>
      <c r="T255" s="1" t="str">
        <f t="shared" si="77"/>
        <v>3-0000</v>
      </c>
      <c r="U255" s="1" t="str">
        <f t="shared" si="78"/>
        <v>3-3000</v>
      </c>
      <c r="V255" s="1" t="str">
        <f t="shared" si="79"/>
        <v>4-1EAT</v>
      </c>
      <c r="W255" s="1" t="str">
        <f t="shared" si="80"/>
        <v>4-2EBT</v>
      </c>
      <c r="X255" s="1" t="str">
        <f t="shared" si="81"/>
        <v>4-3OPF</v>
      </c>
      <c r="Y255" s="1" t="str">
        <f t="shared" si="82"/>
        <v>6-0000</v>
      </c>
      <c r="Z255" s="1" t="str">
        <f t="shared" si="83"/>
        <v>6-1035</v>
      </c>
      <c r="AA255" s="1" t="str">
        <f t="shared" si="84"/>
        <v>5-3000</v>
      </c>
      <c r="AB255" s="1" t="str">
        <f t="shared" si="85"/>
        <v>5-9000</v>
      </c>
      <c r="AD255" s="1" t="str">
        <f t="shared" si="66"/>
        <v/>
      </c>
      <c r="AE255" s="1" t="str">
        <f t="shared" si="67"/>
        <v/>
      </c>
      <c r="AF255" s="1" t="str">
        <f t="shared" si="68"/>
        <v/>
      </c>
      <c r="AG255" s="1" t="str">
        <f t="shared" si="69"/>
        <v/>
      </c>
      <c r="AH255" s="1" t="str">
        <f t="shared" si="70"/>
        <v/>
      </c>
      <c r="AI255" s="1" t="str">
        <f t="shared" si="71"/>
        <v/>
      </c>
      <c r="AJ255" s="1" t="str">
        <f t="shared" si="72"/>
        <v xml:space="preserve">PERFORM * FROM "SchData-OLTP-Accounting"."Func_TblChartOfAccount_SET"(varSystemLoginSession, null, null, null, varInstitutionBranchID, null, '6-1035', 'Performance Bonus', 62000000000001::bigint, '2016-01-01 00:00:00'::timestamp, null::timestamp); </v>
      </c>
      <c r="AK255" s="1" t="str">
        <f t="shared" si="73"/>
        <v/>
      </c>
      <c r="AL255" s="1" t="str">
        <f t="shared" si="74"/>
        <v/>
      </c>
      <c r="AM255" s="1" t="str">
        <f t="shared" si="75"/>
        <v/>
      </c>
      <c r="AO255" s="8" t="str">
        <f t="shared" si="87"/>
        <v xml:space="preserve">PERFORM * FROM "SchData-OLTP-Accounting"."Func_TblChartOfAccount_SET"(varSystemLoginSession, null, null, null, varInstitutionBranchID, null, '6-1035', 'Performance Bonus', 62000000000001::bigint, '2016-01-01 00:00:00'::timestamp, null::timestamp); </v>
      </c>
    </row>
    <row r="256" spans="2:41" x14ac:dyDescent="0.25">
      <c r="B256" s="1">
        <v>2</v>
      </c>
      <c r="C256" s="2" t="s">
        <v>516</v>
      </c>
      <c r="D256" s="1" t="s">
        <v>517</v>
      </c>
      <c r="M256" s="2" t="s">
        <v>516</v>
      </c>
      <c r="Q256" s="1" t="str">
        <f t="shared" si="86"/>
        <v>Jamsostek</v>
      </c>
      <c r="S256" s="1" t="str">
        <f t="shared" si="76"/>
        <v>2-PASV</v>
      </c>
      <c r="T256" s="1" t="str">
        <f t="shared" si="77"/>
        <v>3-0000</v>
      </c>
      <c r="U256" s="1" t="str">
        <f t="shared" si="78"/>
        <v>3-3000</v>
      </c>
      <c r="V256" s="1" t="str">
        <f t="shared" si="79"/>
        <v>4-1EAT</v>
      </c>
      <c r="W256" s="1" t="str">
        <f t="shared" si="80"/>
        <v>4-2EBT</v>
      </c>
      <c r="X256" s="1" t="str">
        <f t="shared" si="81"/>
        <v>4-3OPF</v>
      </c>
      <c r="Y256" s="1" t="str">
        <f t="shared" si="82"/>
        <v>6-0000</v>
      </c>
      <c r="Z256" s="1" t="str">
        <f t="shared" si="83"/>
        <v>6-1040</v>
      </c>
      <c r="AA256" s="1" t="str">
        <f t="shared" si="84"/>
        <v>5-3000</v>
      </c>
      <c r="AB256" s="1" t="str">
        <f t="shared" si="85"/>
        <v>5-9000</v>
      </c>
      <c r="AD256" s="1" t="str">
        <f t="shared" si="66"/>
        <v/>
      </c>
      <c r="AE256" s="1" t="str">
        <f t="shared" si="67"/>
        <v/>
      </c>
      <c r="AF256" s="1" t="str">
        <f t="shared" si="68"/>
        <v/>
      </c>
      <c r="AG256" s="1" t="str">
        <f t="shared" si="69"/>
        <v/>
      </c>
      <c r="AH256" s="1" t="str">
        <f t="shared" si="70"/>
        <v/>
      </c>
      <c r="AI256" s="1" t="str">
        <f t="shared" si="71"/>
        <v/>
      </c>
      <c r="AJ256" s="1" t="str">
        <f t="shared" si="72"/>
        <v xml:space="preserve">PERFORM * FROM "SchData-OLTP-Accounting"."Func_TblChartOfAccount_SET"(varSystemLoginSession, null, null, null, varInstitutionBranchID, null, '6-1040', 'Jamsostek', 62000000000001::bigint, '2016-01-01 00:00:00'::timestamp, null::timestamp); </v>
      </c>
      <c r="AK256" s="1" t="str">
        <f t="shared" si="73"/>
        <v/>
      </c>
      <c r="AL256" s="1" t="str">
        <f t="shared" si="74"/>
        <v/>
      </c>
      <c r="AM256" s="1" t="str">
        <f t="shared" si="75"/>
        <v/>
      </c>
      <c r="AO256" s="8" t="str">
        <f t="shared" si="87"/>
        <v xml:space="preserve">PERFORM * FROM "SchData-OLTP-Accounting"."Func_TblChartOfAccount_SET"(varSystemLoginSession, null, null, null, varInstitutionBranchID, null, '6-1040', 'Jamsostek', 62000000000001::bigint, '2016-01-01 00:00:00'::timestamp, null::timestamp); </v>
      </c>
    </row>
    <row r="257" spans="2:41" x14ac:dyDescent="0.25">
      <c r="B257" s="1">
        <v>2</v>
      </c>
      <c r="C257" s="2" t="s">
        <v>518</v>
      </c>
      <c r="D257" s="1" t="s">
        <v>519</v>
      </c>
      <c r="M257" s="2" t="s">
        <v>518</v>
      </c>
      <c r="Q257" s="1" t="str">
        <f t="shared" si="86"/>
        <v>Personal Income Tax</v>
      </c>
      <c r="S257" s="1" t="str">
        <f t="shared" si="76"/>
        <v>2-PASV</v>
      </c>
      <c r="T257" s="1" t="str">
        <f t="shared" si="77"/>
        <v>3-0000</v>
      </c>
      <c r="U257" s="1" t="str">
        <f t="shared" si="78"/>
        <v>3-3000</v>
      </c>
      <c r="V257" s="1" t="str">
        <f t="shared" si="79"/>
        <v>4-1EAT</v>
      </c>
      <c r="W257" s="1" t="str">
        <f t="shared" si="80"/>
        <v>4-2EBT</v>
      </c>
      <c r="X257" s="1" t="str">
        <f t="shared" si="81"/>
        <v>4-3OPF</v>
      </c>
      <c r="Y257" s="1" t="str">
        <f t="shared" si="82"/>
        <v>6-0000</v>
      </c>
      <c r="Z257" s="1" t="str">
        <f t="shared" si="83"/>
        <v>6-1050</v>
      </c>
      <c r="AA257" s="1" t="str">
        <f t="shared" si="84"/>
        <v>5-3000</v>
      </c>
      <c r="AB257" s="1" t="str">
        <f t="shared" si="85"/>
        <v>5-9000</v>
      </c>
      <c r="AD257" s="1" t="str">
        <f t="shared" si="66"/>
        <v/>
      </c>
      <c r="AE257" s="1" t="str">
        <f t="shared" si="67"/>
        <v/>
      </c>
      <c r="AF257" s="1" t="str">
        <f t="shared" si="68"/>
        <v/>
      </c>
      <c r="AG257" s="1" t="str">
        <f t="shared" si="69"/>
        <v/>
      </c>
      <c r="AH257" s="1" t="str">
        <f t="shared" si="70"/>
        <v/>
      </c>
      <c r="AI257" s="1" t="str">
        <f t="shared" si="71"/>
        <v/>
      </c>
      <c r="AJ257" s="1" t="str">
        <f t="shared" si="72"/>
        <v xml:space="preserve">PERFORM * FROM "SchData-OLTP-Accounting"."Func_TblChartOfAccount_SET"(varSystemLoginSession, null, null, null, varInstitutionBranchID, null, '6-1050', 'Personal Income Tax', 62000000000001::bigint, '2016-01-01 00:00:00'::timestamp, null::timestamp); </v>
      </c>
      <c r="AK257" s="1" t="str">
        <f t="shared" si="73"/>
        <v/>
      </c>
      <c r="AL257" s="1" t="str">
        <f t="shared" si="74"/>
        <v/>
      </c>
      <c r="AM257" s="1" t="str">
        <f t="shared" si="75"/>
        <v/>
      </c>
      <c r="AO257" s="8" t="str">
        <f t="shared" si="87"/>
        <v xml:space="preserve">PERFORM * FROM "SchData-OLTP-Accounting"."Func_TblChartOfAccount_SET"(varSystemLoginSession, null, null, null, varInstitutionBranchID, null, '6-1050', 'Personal Income Tax', 62000000000001::bigint, '2016-01-01 00:00:00'::timestamp, null::timestamp); </v>
      </c>
    </row>
    <row r="258" spans="2:41" x14ac:dyDescent="0.25">
      <c r="B258" s="1">
        <v>2</v>
      </c>
      <c r="C258" s="2" t="s">
        <v>520</v>
      </c>
      <c r="D258" s="1" t="s">
        <v>521</v>
      </c>
      <c r="M258" s="2" t="s">
        <v>520</v>
      </c>
      <c r="Q258" s="1" t="str">
        <f t="shared" si="86"/>
        <v>Post Employee benefit Expense</v>
      </c>
      <c r="S258" s="1" t="str">
        <f t="shared" si="76"/>
        <v>2-PASV</v>
      </c>
      <c r="T258" s="1" t="str">
        <f t="shared" si="77"/>
        <v>3-0000</v>
      </c>
      <c r="U258" s="1" t="str">
        <f t="shared" si="78"/>
        <v>3-3000</v>
      </c>
      <c r="V258" s="1" t="str">
        <f t="shared" si="79"/>
        <v>4-1EAT</v>
      </c>
      <c r="W258" s="1" t="str">
        <f t="shared" si="80"/>
        <v>4-2EBT</v>
      </c>
      <c r="X258" s="1" t="str">
        <f t="shared" si="81"/>
        <v>4-3OPF</v>
      </c>
      <c r="Y258" s="1" t="str">
        <f t="shared" si="82"/>
        <v>6-0000</v>
      </c>
      <c r="Z258" s="1" t="str">
        <f t="shared" si="83"/>
        <v>6-1055</v>
      </c>
      <c r="AA258" s="1" t="str">
        <f t="shared" si="84"/>
        <v>5-3000</v>
      </c>
      <c r="AB258" s="1" t="str">
        <f t="shared" si="85"/>
        <v>5-9000</v>
      </c>
      <c r="AD258" s="1" t="str">
        <f t="shared" si="66"/>
        <v/>
      </c>
      <c r="AE258" s="1" t="str">
        <f t="shared" si="67"/>
        <v/>
      </c>
      <c r="AF258" s="1" t="str">
        <f t="shared" si="68"/>
        <v/>
      </c>
      <c r="AG258" s="1" t="str">
        <f t="shared" si="69"/>
        <v/>
      </c>
      <c r="AH258" s="1" t="str">
        <f t="shared" si="70"/>
        <v/>
      </c>
      <c r="AI258" s="1" t="str">
        <f t="shared" si="71"/>
        <v/>
      </c>
      <c r="AJ258" s="1" t="str">
        <f t="shared" si="72"/>
        <v xml:space="preserve">PERFORM * FROM "SchData-OLTP-Accounting"."Func_TblChartOfAccount_SET"(varSystemLoginSession, null, null, null, varInstitutionBranchID, null, '6-1055', 'Post Employee benefit Expense', 62000000000001::bigint, '2016-01-01 00:00:00'::timestamp, null::timestamp); </v>
      </c>
      <c r="AK258" s="1" t="str">
        <f t="shared" si="73"/>
        <v/>
      </c>
      <c r="AL258" s="1" t="str">
        <f t="shared" si="74"/>
        <v/>
      </c>
      <c r="AM258" s="1" t="str">
        <f t="shared" si="75"/>
        <v/>
      </c>
      <c r="AO258" s="8" t="str">
        <f t="shared" si="87"/>
        <v xml:space="preserve">PERFORM * FROM "SchData-OLTP-Accounting"."Func_TblChartOfAccount_SET"(varSystemLoginSession, null, null, null, varInstitutionBranchID, null, '6-1055', 'Post Employee benefit Expense', 62000000000001::bigint, '2016-01-01 00:00:00'::timestamp, null::timestamp); </v>
      </c>
    </row>
    <row r="259" spans="2:41" x14ac:dyDescent="0.25">
      <c r="B259" s="1">
        <v>2</v>
      </c>
      <c r="C259" s="2" t="s">
        <v>522</v>
      </c>
      <c r="D259" s="1" t="s">
        <v>523</v>
      </c>
      <c r="M259" s="2" t="s">
        <v>522</v>
      </c>
      <c r="Q259" s="1" t="str">
        <f t="shared" si="86"/>
        <v>Medical Expense</v>
      </c>
      <c r="S259" s="1" t="str">
        <f t="shared" si="76"/>
        <v>2-PASV</v>
      </c>
      <c r="T259" s="1" t="str">
        <f t="shared" si="77"/>
        <v>3-0000</v>
      </c>
      <c r="U259" s="1" t="str">
        <f t="shared" si="78"/>
        <v>3-3000</v>
      </c>
      <c r="V259" s="1" t="str">
        <f t="shared" si="79"/>
        <v>4-1EAT</v>
      </c>
      <c r="W259" s="1" t="str">
        <f t="shared" si="80"/>
        <v>4-2EBT</v>
      </c>
      <c r="X259" s="1" t="str">
        <f t="shared" si="81"/>
        <v>4-3OPF</v>
      </c>
      <c r="Y259" s="1" t="str">
        <f t="shared" si="82"/>
        <v>6-0000</v>
      </c>
      <c r="Z259" s="1" t="str">
        <f t="shared" si="83"/>
        <v>6-1060</v>
      </c>
      <c r="AA259" s="1" t="str">
        <f t="shared" si="84"/>
        <v>5-3000</v>
      </c>
      <c r="AB259" s="1" t="str">
        <f t="shared" si="85"/>
        <v>5-9000</v>
      </c>
      <c r="AD259" s="1" t="str">
        <f t="shared" si="66"/>
        <v/>
      </c>
      <c r="AE259" s="1" t="str">
        <f t="shared" si="67"/>
        <v/>
      </c>
      <c r="AF259" s="1" t="str">
        <f t="shared" si="68"/>
        <v/>
      </c>
      <c r="AG259" s="1" t="str">
        <f t="shared" si="69"/>
        <v/>
      </c>
      <c r="AH259" s="1" t="str">
        <f t="shared" si="70"/>
        <v/>
      </c>
      <c r="AI259" s="1" t="str">
        <f t="shared" si="71"/>
        <v/>
      </c>
      <c r="AJ259" s="1" t="str">
        <f t="shared" si="72"/>
        <v xml:space="preserve">PERFORM * FROM "SchData-OLTP-Accounting"."Func_TblChartOfAccount_SET"(varSystemLoginSession, null, null, null, varInstitutionBranchID, null, '6-1060', 'Medical Expense', 62000000000001::bigint, '2016-01-01 00:00:00'::timestamp, null::timestamp); </v>
      </c>
      <c r="AK259" s="1" t="str">
        <f t="shared" si="73"/>
        <v/>
      </c>
      <c r="AL259" s="1" t="str">
        <f t="shared" si="74"/>
        <v/>
      </c>
      <c r="AM259" s="1" t="str">
        <f t="shared" si="75"/>
        <v/>
      </c>
      <c r="AO259" s="8" t="str">
        <f t="shared" si="87"/>
        <v xml:space="preserve">PERFORM * FROM "SchData-OLTP-Accounting"."Func_TblChartOfAccount_SET"(varSystemLoginSession, null, null, null, varInstitutionBranchID, null, '6-1060', 'Medical Expense', 62000000000001::bigint, '2016-01-01 00:00:00'::timestamp, null::timestamp); </v>
      </c>
    </row>
    <row r="260" spans="2:41" x14ac:dyDescent="0.25">
      <c r="B260" s="1">
        <v>2</v>
      </c>
      <c r="C260" s="2" t="s">
        <v>524</v>
      </c>
      <c r="D260" s="1" t="s">
        <v>525</v>
      </c>
      <c r="M260" s="2" t="s">
        <v>524</v>
      </c>
      <c r="Q260" s="1" t="str">
        <f t="shared" si="86"/>
        <v>Accrual for Operation Staff</v>
      </c>
      <c r="S260" s="1" t="str">
        <f t="shared" si="76"/>
        <v>2-PASV</v>
      </c>
      <c r="T260" s="1" t="str">
        <f t="shared" si="77"/>
        <v>3-0000</v>
      </c>
      <c r="U260" s="1" t="str">
        <f t="shared" si="78"/>
        <v>3-3000</v>
      </c>
      <c r="V260" s="1" t="str">
        <f t="shared" si="79"/>
        <v>4-1EAT</v>
      </c>
      <c r="W260" s="1" t="str">
        <f t="shared" si="80"/>
        <v>4-2EBT</v>
      </c>
      <c r="X260" s="1" t="str">
        <f t="shared" si="81"/>
        <v>4-3OPF</v>
      </c>
      <c r="Y260" s="1" t="str">
        <f t="shared" si="82"/>
        <v>6-0000</v>
      </c>
      <c r="Z260" s="1" t="str">
        <f t="shared" si="83"/>
        <v>6-1065</v>
      </c>
      <c r="AA260" s="1" t="str">
        <f t="shared" si="84"/>
        <v>5-3000</v>
      </c>
      <c r="AB260" s="1" t="str">
        <f t="shared" si="85"/>
        <v>5-9000</v>
      </c>
      <c r="AD260" s="1" t="str">
        <f t="shared" si="66"/>
        <v/>
      </c>
      <c r="AE260" s="1" t="str">
        <f t="shared" si="67"/>
        <v/>
      </c>
      <c r="AF260" s="1" t="str">
        <f t="shared" si="68"/>
        <v/>
      </c>
      <c r="AG260" s="1" t="str">
        <f t="shared" si="69"/>
        <v/>
      </c>
      <c r="AH260" s="1" t="str">
        <f t="shared" si="70"/>
        <v/>
      </c>
      <c r="AI260" s="1" t="str">
        <f t="shared" si="71"/>
        <v/>
      </c>
      <c r="AJ260" s="1" t="str">
        <f t="shared" si="72"/>
        <v xml:space="preserve">PERFORM * FROM "SchData-OLTP-Accounting"."Func_TblChartOfAccount_SET"(varSystemLoginSession, null, null, null, varInstitutionBranchID, null, '6-1065', 'Accrual for Operation Staff', 62000000000001::bigint, '2016-01-01 00:00:00'::timestamp, null::timestamp); </v>
      </c>
      <c r="AK260" s="1" t="str">
        <f t="shared" si="73"/>
        <v/>
      </c>
      <c r="AL260" s="1" t="str">
        <f t="shared" si="74"/>
        <v/>
      </c>
      <c r="AM260" s="1" t="str">
        <f t="shared" si="75"/>
        <v/>
      </c>
      <c r="AO260" s="8" t="str">
        <f t="shared" si="87"/>
        <v xml:space="preserve">PERFORM * FROM "SchData-OLTP-Accounting"."Func_TblChartOfAccount_SET"(varSystemLoginSession, null, null, null, varInstitutionBranchID, null, '6-1065', 'Accrual for Operation Staff', 62000000000001::bigint, '2016-01-01 00:00:00'::timestamp, null::timestamp); </v>
      </c>
    </row>
    <row r="261" spans="2:41" x14ac:dyDescent="0.25">
      <c r="B261" s="1">
        <v>2</v>
      </c>
      <c r="C261" s="2" t="s">
        <v>526</v>
      </c>
      <c r="D261" s="1" t="s">
        <v>527</v>
      </c>
      <c r="M261" s="2" t="s">
        <v>526</v>
      </c>
      <c r="Q261" s="1" t="str">
        <f t="shared" si="86"/>
        <v>Meal Allowance</v>
      </c>
      <c r="S261" s="1" t="str">
        <f t="shared" si="76"/>
        <v>2-PASV</v>
      </c>
      <c r="T261" s="1" t="str">
        <f t="shared" si="77"/>
        <v>3-0000</v>
      </c>
      <c r="U261" s="1" t="str">
        <f t="shared" si="78"/>
        <v>3-3000</v>
      </c>
      <c r="V261" s="1" t="str">
        <f t="shared" si="79"/>
        <v>4-1EAT</v>
      </c>
      <c r="W261" s="1" t="str">
        <f t="shared" si="80"/>
        <v>4-2EBT</v>
      </c>
      <c r="X261" s="1" t="str">
        <f t="shared" si="81"/>
        <v>4-3OPF</v>
      </c>
      <c r="Y261" s="1" t="str">
        <f t="shared" si="82"/>
        <v>6-0000</v>
      </c>
      <c r="Z261" s="1" t="str">
        <f t="shared" si="83"/>
        <v>6-1070</v>
      </c>
      <c r="AA261" s="1" t="str">
        <f t="shared" si="84"/>
        <v>5-3000</v>
      </c>
      <c r="AB261" s="1" t="str">
        <f t="shared" si="85"/>
        <v>5-9000</v>
      </c>
      <c r="AD261" s="1" t="str">
        <f t="shared" ref="AD261:AD324" si="88">IF(EXACT(T261, T260), "", CONCATENATE("PERFORM * FROM ""SchData-OLTP-Accounting"".""Func_TblChartOfAccount_SET""(varSystemLoginSession, null, null, null, varInstitutionBranchID, null, '", T261, "', '", $Q261, "', 62000000000001::bigint, '2016-01-01 00:00:00'::timestamp, null::timestamp); "))</f>
        <v/>
      </c>
      <c r="AE261" s="1" t="str">
        <f t="shared" ref="AE261:AE324" si="89">IF(EXACT(U261, U260), "", CONCATENATE("PERFORM * FROM ""SchData-OLTP-Accounting"".""Func_TblChartOfAccount_SET""(varSystemLoginSession, null, null, null, varInstitutionBranchID, null, '", U261, "', '", $Q261, "', 62000000000001::bigint, '2016-01-01 00:00:00'::timestamp, null::timestamp); "))</f>
        <v/>
      </c>
      <c r="AF261" s="1" t="str">
        <f t="shared" ref="AF261:AF324" si="90">IF(EXACT(V261, V260), "", CONCATENATE("PERFORM * FROM ""SchData-OLTP-Accounting"".""Func_TblChartOfAccount_SET""(varSystemLoginSession, null, null, null, varInstitutionBranchID, null, '", V261, "', '", $Q261, "', 62000000000001::bigint, '2016-01-01 00:00:00'::timestamp, null::timestamp); "))</f>
        <v/>
      </c>
      <c r="AG261" s="1" t="str">
        <f t="shared" ref="AG261:AG324" si="91">IF(EXACT(W261, W260), "", CONCATENATE("PERFORM * FROM ""SchData-OLTP-Accounting"".""Func_TblChartOfAccount_SET""(varSystemLoginSession, null, null, null, varInstitutionBranchID, null, '", W261, "', '", $Q261, "', 62000000000001::bigint, '2016-01-01 00:00:00'::timestamp, null::timestamp); "))</f>
        <v/>
      </c>
      <c r="AH261" s="1" t="str">
        <f t="shared" ref="AH261:AH324" si="92">IF(EXACT(X261, X260), "", CONCATENATE("PERFORM * FROM ""SchData-OLTP-Accounting"".""Func_TblChartOfAccount_SET""(varSystemLoginSession, null, null, null, varInstitutionBranchID, null, '", X261, "', '", $Q261, "', 62000000000001::bigint, '2016-01-01 00:00:00'::timestamp, null::timestamp); "))</f>
        <v/>
      </c>
      <c r="AI261" s="1" t="str">
        <f t="shared" ref="AI261:AI324" si="93">IF(EXACT(Y261, Y260), "", CONCATENATE("PERFORM * FROM ""SchData-OLTP-Accounting"".""Func_TblChartOfAccount_SET""(varSystemLoginSession, null, null, null, varInstitutionBranchID, null, '", Y261, "', '", $Q261, "', 62000000000001::bigint, '2016-01-01 00:00:00'::timestamp, null::timestamp); "))</f>
        <v/>
      </c>
      <c r="AJ261" s="1" t="str">
        <f t="shared" ref="AJ261:AJ324" si="94">IF(EXACT(Z261, Z260), "", CONCATENATE("PERFORM * FROM ""SchData-OLTP-Accounting"".""Func_TblChartOfAccount_SET""(varSystemLoginSession, null, null, null, varInstitutionBranchID, null, '", Z261, "', '", $Q261, "', 62000000000001::bigint, '2016-01-01 00:00:00'::timestamp, null::timestamp); "))</f>
        <v xml:space="preserve">PERFORM * FROM "SchData-OLTP-Accounting"."Func_TblChartOfAccount_SET"(varSystemLoginSession, null, null, null, varInstitutionBranchID, null, '6-1070', 'Meal Allowance', 62000000000001::bigint, '2016-01-01 00:00:00'::timestamp, null::timestamp); </v>
      </c>
      <c r="AK261" s="1" t="str">
        <f t="shared" ref="AK261:AK324" si="95">IF(EXACT(AA261, AA260), "", CONCATENATE("PERFORM * FROM ""SchData-OLTP-Accounting"".""Func_TblChartOfAccount_SET""(varSystemLoginSession, null, null, null, varInstitutionBranchID, null, '", AA261, "', '", $Q261, "', 62000000000001::bigint, '2016-01-01 00:00:00'::timestamp, null::timestamp); "))</f>
        <v/>
      </c>
      <c r="AL261" s="1" t="str">
        <f t="shared" ref="AL261:AL324" si="96">IF(EXACT(AB261, AB260), "", CONCATENATE("PERFORM * FROM ""SchData-OLTP-Accounting"".""Func_TblChartOfAccount_SET""(varSystemLoginSession, null, null, null, varInstitutionBranchID, null, '", AB261, "', '", $Q261, "', 62000000000001::bigint, '2016-01-01 00:00:00'::timestamp, null::timestamp); "))</f>
        <v/>
      </c>
      <c r="AM261" s="1" t="str">
        <f t="shared" ref="AM261:AM324" si="97">IF(EXACT(AC261, AC260), "", CONCATENATE("PERFORM * FROM ""SchData-OLTP-Accounting"".""Func_TblChartOfAccount_SET""(varSystemLoginSession, null, null, null, varInstitutionBranchID, null, '", AC261, "', '", $Q261, "', 62000000000001::bigint, '2016-01-01 00:00:00'::timestamp, null::timestamp); "))</f>
        <v/>
      </c>
      <c r="AO261" s="8" t="str">
        <f t="shared" si="87"/>
        <v xml:space="preserve">PERFORM * FROM "SchData-OLTP-Accounting"."Func_TblChartOfAccount_SET"(varSystemLoginSession, null, null, null, varInstitutionBranchID, null, '6-1070', 'Meal Allowance', 62000000000001::bigint, '2016-01-01 00:00:00'::timestamp, null::timestamp); </v>
      </c>
    </row>
    <row r="262" spans="2:41" x14ac:dyDescent="0.25">
      <c r="B262" s="1">
        <v>2</v>
      </c>
      <c r="C262" s="2" t="s">
        <v>528</v>
      </c>
      <c r="D262" s="1" t="s">
        <v>529</v>
      </c>
      <c r="M262" s="2" t="s">
        <v>528</v>
      </c>
      <c r="Q262" s="1" t="str">
        <f t="shared" si="86"/>
        <v>Staff Welfare</v>
      </c>
      <c r="S262" s="1" t="str">
        <f t="shared" ref="S262:S325" si="98">IF(EXACT($F262, ""), IF(EXACT($S261, ""), "", $S261), $F262)</f>
        <v>2-PASV</v>
      </c>
      <c r="T262" s="1" t="str">
        <f t="shared" ref="T262:T325" si="99">IF(EXACT($G262, ""), IF(EXACT($T261, ""), "", $T261), $G262)</f>
        <v>3-0000</v>
      </c>
      <c r="U262" s="1" t="str">
        <f t="shared" ref="U262:U325" si="100">IF(EXACT($H262, ""), IF(EXACT($U261, ""), "", $U261), $H262)</f>
        <v>3-3000</v>
      </c>
      <c r="V262" s="1" t="str">
        <f t="shared" ref="V262:V325" si="101">IF(EXACT($I262, ""), IF(EXACT($V261, ""), "", $V261), $I262)</f>
        <v>4-1EAT</v>
      </c>
      <c r="W262" s="1" t="str">
        <f t="shared" ref="W262:W325" si="102">IF(EXACT($J262, ""), IF(EXACT($W261, ""), "", $W261), $J262)</f>
        <v>4-2EBT</v>
      </c>
      <c r="X262" s="1" t="str">
        <f t="shared" ref="X262:X325" si="103">IF(EXACT($K262, ""), IF(EXACT($X261, ""), "", $X261), $K262)</f>
        <v>4-3OPF</v>
      </c>
      <c r="Y262" s="1" t="str">
        <f t="shared" ref="Y262:Y325" si="104">IF(EXACT($L262, ""), IF(EXACT($Y261, ""), "", $Y261), $L262)</f>
        <v>6-0000</v>
      </c>
      <c r="Z262" s="1" t="str">
        <f t="shared" ref="Z262:Z325" si="105">IF(EXACT($M262, ""), IF(EXACT($Z261, ""), "", $Z261), $M262)</f>
        <v>6-1080</v>
      </c>
      <c r="AA262" s="1" t="str">
        <f t="shared" ref="AA262:AA325" si="106">IF(EXACT($N262, ""), IF(EXACT($AA261, ""), "", $AA261), $N262)</f>
        <v>5-3000</v>
      </c>
      <c r="AB262" s="1" t="str">
        <f t="shared" ref="AB262:AB325" si="107">IF(EXACT($O262, ""), IF(EXACT($AB261, ""), "", $AB261), $O262)</f>
        <v>5-9000</v>
      </c>
      <c r="AD262" s="1" t="str">
        <f t="shared" si="88"/>
        <v/>
      </c>
      <c r="AE262" s="1" t="str">
        <f t="shared" si="89"/>
        <v/>
      </c>
      <c r="AF262" s="1" t="str">
        <f t="shared" si="90"/>
        <v/>
      </c>
      <c r="AG262" s="1" t="str">
        <f t="shared" si="91"/>
        <v/>
      </c>
      <c r="AH262" s="1" t="str">
        <f t="shared" si="92"/>
        <v/>
      </c>
      <c r="AI262" s="1" t="str">
        <f t="shared" si="93"/>
        <v/>
      </c>
      <c r="AJ262" s="1" t="str">
        <f t="shared" si="94"/>
        <v xml:space="preserve">PERFORM * FROM "SchData-OLTP-Accounting"."Func_TblChartOfAccount_SET"(varSystemLoginSession, null, null, null, varInstitutionBranchID, null, '6-1080', 'Staff Welfare', 62000000000001::bigint, '2016-01-01 00:00:00'::timestamp, null::timestamp); </v>
      </c>
      <c r="AK262" s="1" t="str">
        <f t="shared" si="95"/>
        <v/>
      </c>
      <c r="AL262" s="1" t="str">
        <f t="shared" si="96"/>
        <v/>
      </c>
      <c r="AM262" s="1" t="str">
        <f t="shared" si="97"/>
        <v/>
      </c>
      <c r="AO262" s="8" t="str">
        <f t="shared" si="87"/>
        <v xml:space="preserve">PERFORM * FROM "SchData-OLTP-Accounting"."Func_TblChartOfAccount_SET"(varSystemLoginSession, null, null, null, varInstitutionBranchID, null, '6-1080', 'Staff Welfare', 62000000000001::bigint, '2016-01-01 00:00:00'::timestamp, null::timestamp); </v>
      </c>
    </row>
    <row r="263" spans="2:41" x14ac:dyDescent="0.25">
      <c r="B263" s="1">
        <v>2</v>
      </c>
      <c r="C263" s="2" t="s">
        <v>530</v>
      </c>
      <c r="D263" s="1" t="s">
        <v>531</v>
      </c>
      <c r="M263" s="2" t="s">
        <v>530</v>
      </c>
      <c r="Q263" s="1" t="str">
        <f t="shared" ref="Q263:Q326" si="108">D263</f>
        <v>Housing Allowance</v>
      </c>
      <c r="S263" s="1" t="str">
        <f t="shared" si="98"/>
        <v>2-PASV</v>
      </c>
      <c r="T263" s="1" t="str">
        <f t="shared" si="99"/>
        <v>3-0000</v>
      </c>
      <c r="U263" s="1" t="str">
        <f t="shared" si="100"/>
        <v>3-3000</v>
      </c>
      <c r="V263" s="1" t="str">
        <f t="shared" si="101"/>
        <v>4-1EAT</v>
      </c>
      <c r="W263" s="1" t="str">
        <f t="shared" si="102"/>
        <v>4-2EBT</v>
      </c>
      <c r="X263" s="1" t="str">
        <f t="shared" si="103"/>
        <v>4-3OPF</v>
      </c>
      <c r="Y263" s="1" t="str">
        <f t="shared" si="104"/>
        <v>6-0000</v>
      </c>
      <c r="Z263" s="1" t="str">
        <f t="shared" si="105"/>
        <v>6-1085</v>
      </c>
      <c r="AA263" s="1" t="str">
        <f t="shared" si="106"/>
        <v>5-3000</v>
      </c>
      <c r="AB263" s="1" t="str">
        <f t="shared" si="107"/>
        <v>5-9000</v>
      </c>
      <c r="AD263" s="1" t="str">
        <f t="shared" si="88"/>
        <v/>
      </c>
      <c r="AE263" s="1" t="str">
        <f t="shared" si="89"/>
        <v/>
      </c>
      <c r="AF263" s="1" t="str">
        <f t="shared" si="90"/>
        <v/>
      </c>
      <c r="AG263" s="1" t="str">
        <f t="shared" si="91"/>
        <v/>
      </c>
      <c r="AH263" s="1" t="str">
        <f t="shared" si="92"/>
        <v/>
      </c>
      <c r="AI263" s="1" t="str">
        <f t="shared" si="93"/>
        <v/>
      </c>
      <c r="AJ263" s="1" t="str">
        <f t="shared" si="94"/>
        <v xml:space="preserve">PERFORM * FROM "SchData-OLTP-Accounting"."Func_TblChartOfAccount_SET"(varSystemLoginSession, null, null, null, varInstitutionBranchID, null, '6-1085', 'Housing Allowance', 62000000000001::bigint, '2016-01-01 00:00:00'::timestamp, null::timestamp); </v>
      </c>
      <c r="AK263" s="1" t="str">
        <f t="shared" si="95"/>
        <v/>
      </c>
      <c r="AL263" s="1" t="str">
        <f t="shared" si="96"/>
        <v/>
      </c>
      <c r="AM263" s="1" t="str">
        <f t="shared" si="97"/>
        <v/>
      </c>
      <c r="AO263" s="8" t="str">
        <f t="shared" ref="AO263:AO326" si="109">IF(NOT(EXACT(AD263, "")), AD263, IF(NOT(EXACT(AE263, "")), AE263, IF(NOT(EXACT(AF263, "")), AF263, IF(NOT(EXACT(AG263, "")), AG263, IF(NOT(EXACT(AH263, "")), AH263, IF(NOT(EXACT(AI263, "")), AI263, IF(NOT(EXACT(AJ263, "")), AJ263, IF(NOT(EXACT(AK263, "")), AK263, IF(NOT(EXACT(AL263, "")), AL263, IF(NOT(EXACT(AM263, "")), AM263, ""))))))))))</f>
        <v xml:space="preserve">PERFORM * FROM "SchData-OLTP-Accounting"."Func_TblChartOfAccount_SET"(varSystemLoginSession, null, null, null, varInstitutionBranchID, null, '6-1085', 'Housing Allowance', 62000000000001::bigint, '2016-01-01 00:00:00'::timestamp, null::timestamp); </v>
      </c>
    </row>
    <row r="264" spans="2:41" x14ac:dyDescent="0.25">
      <c r="B264" s="1">
        <v>2</v>
      </c>
      <c r="C264" s="2" t="s">
        <v>532</v>
      </c>
      <c r="D264" s="1" t="s">
        <v>533</v>
      </c>
      <c r="M264" s="2" t="s">
        <v>532</v>
      </c>
      <c r="Q264" s="1" t="str">
        <f t="shared" si="108"/>
        <v>Uniform</v>
      </c>
      <c r="S264" s="1" t="str">
        <f t="shared" si="98"/>
        <v>2-PASV</v>
      </c>
      <c r="T264" s="1" t="str">
        <f t="shared" si="99"/>
        <v>3-0000</v>
      </c>
      <c r="U264" s="1" t="str">
        <f t="shared" si="100"/>
        <v>3-3000</v>
      </c>
      <c r="V264" s="1" t="str">
        <f t="shared" si="101"/>
        <v>4-1EAT</v>
      </c>
      <c r="W264" s="1" t="str">
        <f t="shared" si="102"/>
        <v>4-2EBT</v>
      </c>
      <c r="X264" s="1" t="str">
        <f t="shared" si="103"/>
        <v>4-3OPF</v>
      </c>
      <c r="Y264" s="1" t="str">
        <f t="shared" si="104"/>
        <v>6-0000</v>
      </c>
      <c r="Z264" s="1" t="str">
        <f t="shared" si="105"/>
        <v>6-1090</v>
      </c>
      <c r="AA264" s="1" t="str">
        <f t="shared" si="106"/>
        <v>5-3000</v>
      </c>
      <c r="AB264" s="1" t="str">
        <f t="shared" si="107"/>
        <v>5-9000</v>
      </c>
      <c r="AD264" s="1" t="str">
        <f t="shared" si="88"/>
        <v/>
      </c>
      <c r="AE264" s="1" t="str">
        <f t="shared" si="89"/>
        <v/>
      </c>
      <c r="AF264" s="1" t="str">
        <f t="shared" si="90"/>
        <v/>
      </c>
      <c r="AG264" s="1" t="str">
        <f t="shared" si="91"/>
        <v/>
      </c>
      <c r="AH264" s="1" t="str">
        <f t="shared" si="92"/>
        <v/>
      </c>
      <c r="AI264" s="1" t="str">
        <f t="shared" si="93"/>
        <v/>
      </c>
      <c r="AJ264" s="1" t="str">
        <f t="shared" si="94"/>
        <v xml:space="preserve">PERFORM * FROM "SchData-OLTP-Accounting"."Func_TblChartOfAccount_SET"(varSystemLoginSession, null, null, null, varInstitutionBranchID, null, '6-1090', 'Uniform', 62000000000001::bigint, '2016-01-01 00:00:00'::timestamp, null::timestamp); </v>
      </c>
      <c r="AK264" s="1" t="str">
        <f t="shared" si="95"/>
        <v/>
      </c>
      <c r="AL264" s="1" t="str">
        <f t="shared" si="96"/>
        <v/>
      </c>
      <c r="AM264" s="1" t="str">
        <f t="shared" si="97"/>
        <v/>
      </c>
      <c r="AO264" s="8" t="str">
        <f t="shared" si="109"/>
        <v xml:space="preserve">PERFORM * FROM "SchData-OLTP-Accounting"."Func_TblChartOfAccount_SET"(varSystemLoginSession, null, null, null, varInstitutionBranchID, null, '6-1090', 'Uniform', 62000000000001::bigint, '2016-01-01 00:00:00'::timestamp, null::timestamp); </v>
      </c>
    </row>
    <row r="265" spans="2:41" x14ac:dyDescent="0.25">
      <c r="B265" s="1">
        <v>2</v>
      </c>
      <c r="C265" s="2" t="s">
        <v>534</v>
      </c>
      <c r="D265" s="1" t="s">
        <v>535</v>
      </c>
      <c r="M265" s="2" t="s">
        <v>534</v>
      </c>
      <c r="Q265" s="1" t="str">
        <f t="shared" si="108"/>
        <v>Recruitment expense</v>
      </c>
      <c r="S265" s="1" t="str">
        <f t="shared" si="98"/>
        <v>2-PASV</v>
      </c>
      <c r="T265" s="1" t="str">
        <f t="shared" si="99"/>
        <v>3-0000</v>
      </c>
      <c r="U265" s="1" t="str">
        <f t="shared" si="100"/>
        <v>3-3000</v>
      </c>
      <c r="V265" s="1" t="str">
        <f t="shared" si="101"/>
        <v>4-1EAT</v>
      </c>
      <c r="W265" s="1" t="str">
        <f t="shared" si="102"/>
        <v>4-2EBT</v>
      </c>
      <c r="X265" s="1" t="str">
        <f t="shared" si="103"/>
        <v>4-3OPF</v>
      </c>
      <c r="Y265" s="1" t="str">
        <f t="shared" si="104"/>
        <v>6-0000</v>
      </c>
      <c r="Z265" s="1" t="str">
        <f t="shared" si="105"/>
        <v>6-1100</v>
      </c>
      <c r="AA265" s="1" t="str">
        <f t="shared" si="106"/>
        <v>5-3000</v>
      </c>
      <c r="AB265" s="1" t="str">
        <f t="shared" si="107"/>
        <v>5-9000</v>
      </c>
      <c r="AD265" s="1" t="str">
        <f t="shared" si="88"/>
        <v/>
      </c>
      <c r="AE265" s="1" t="str">
        <f t="shared" si="89"/>
        <v/>
      </c>
      <c r="AF265" s="1" t="str">
        <f t="shared" si="90"/>
        <v/>
      </c>
      <c r="AG265" s="1" t="str">
        <f t="shared" si="91"/>
        <v/>
      </c>
      <c r="AH265" s="1" t="str">
        <f t="shared" si="92"/>
        <v/>
      </c>
      <c r="AI265" s="1" t="str">
        <f t="shared" si="93"/>
        <v/>
      </c>
      <c r="AJ265" s="1" t="str">
        <f t="shared" si="94"/>
        <v xml:space="preserve">PERFORM * FROM "SchData-OLTP-Accounting"."Func_TblChartOfAccount_SET"(varSystemLoginSession, null, null, null, varInstitutionBranchID, null, '6-1100', 'Recruitment expense', 62000000000001::bigint, '2016-01-01 00:00:00'::timestamp, null::timestamp); </v>
      </c>
      <c r="AK265" s="1" t="str">
        <f t="shared" si="95"/>
        <v/>
      </c>
      <c r="AL265" s="1" t="str">
        <f t="shared" si="96"/>
        <v/>
      </c>
      <c r="AM265" s="1" t="str">
        <f t="shared" si="97"/>
        <v/>
      </c>
      <c r="AO265" s="8" t="str">
        <f t="shared" si="109"/>
        <v xml:space="preserve">PERFORM * FROM "SchData-OLTP-Accounting"."Func_TblChartOfAccount_SET"(varSystemLoginSession, null, null, null, varInstitutionBranchID, null, '6-1100', 'Recruitment expense', 62000000000001::bigint, '2016-01-01 00:00:00'::timestamp, null::timestamp); </v>
      </c>
    </row>
    <row r="266" spans="2:41" x14ac:dyDescent="0.25">
      <c r="B266" s="1">
        <v>2</v>
      </c>
      <c r="C266" s="2" t="s">
        <v>536</v>
      </c>
      <c r="D266" s="1" t="s">
        <v>537</v>
      </c>
      <c r="M266" s="2" t="s">
        <v>536</v>
      </c>
      <c r="Q266" s="1" t="str">
        <f t="shared" si="108"/>
        <v>Seminar, Confrences, Meeting</v>
      </c>
      <c r="S266" s="1" t="str">
        <f t="shared" si="98"/>
        <v>2-PASV</v>
      </c>
      <c r="T266" s="1" t="str">
        <f t="shared" si="99"/>
        <v>3-0000</v>
      </c>
      <c r="U266" s="1" t="str">
        <f t="shared" si="100"/>
        <v>3-3000</v>
      </c>
      <c r="V266" s="1" t="str">
        <f t="shared" si="101"/>
        <v>4-1EAT</v>
      </c>
      <c r="W266" s="1" t="str">
        <f t="shared" si="102"/>
        <v>4-2EBT</v>
      </c>
      <c r="X266" s="1" t="str">
        <f t="shared" si="103"/>
        <v>4-3OPF</v>
      </c>
      <c r="Y266" s="1" t="str">
        <f t="shared" si="104"/>
        <v>6-0000</v>
      </c>
      <c r="Z266" s="1" t="str">
        <f t="shared" si="105"/>
        <v>6-1110</v>
      </c>
      <c r="AA266" s="1" t="str">
        <f t="shared" si="106"/>
        <v>5-3000</v>
      </c>
      <c r="AB266" s="1" t="str">
        <f t="shared" si="107"/>
        <v>5-9000</v>
      </c>
      <c r="AD266" s="1" t="str">
        <f t="shared" si="88"/>
        <v/>
      </c>
      <c r="AE266" s="1" t="str">
        <f t="shared" si="89"/>
        <v/>
      </c>
      <c r="AF266" s="1" t="str">
        <f t="shared" si="90"/>
        <v/>
      </c>
      <c r="AG266" s="1" t="str">
        <f t="shared" si="91"/>
        <v/>
      </c>
      <c r="AH266" s="1" t="str">
        <f t="shared" si="92"/>
        <v/>
      </c>
      <c r="AI266" s="1" t="str">
        <f t="shared" si="93"/>
        <v/>
      </c>
      <c r="AJ266" s="1" t="str">
        <f t="shared" si="94"/>
        <v xml:space="preserve">PERFORM * FROM "SchData-OLTP-Accounting"."Func_TblChartOfAccount_SET"(varSystemLoginSession, null, null, null, varInstitutionBranchID, null, '6-1110', 'Seminar, Confrences, Meeting', 62000000000001::bigint, '2016-01-01 00:00:00'::timestamp, null::timestamp); </v>
      </c>
      <c r="AK266" s="1" t="str">
        <f t="shared" si="95"/>
        <v/>
      </c>
      <c r="AL266" s="1" t="str">
        <f t="shared" si="96"/>
        <v/>
      </c>
      <c r="AM266" s="1" t="str">
        <f t="shared" si="97"/>
        <v/>
      </c>
      <c r="AO266" s="8" t="str">
        <f t="shared" si="109"/>
        <v xml:space="preserve">PERFORM * FROM "SchData-OLTP-Accounting"."Func_TblChartOfAccount_SET"(varSystemLoginSession, null, null, null, varInstitutionBranchID, null, '6-1110', 'Seminar, Confrences, Meeting', 62000000000001::bigint, '2016-01-01 00:00:00'::timestamp, null::timestamp); </v>
      </c>
    </row>
    <row r="267" spans="2:41" x14ac:dyDescent="0.25">
      <c r="B267" s="1">
        <v>2</v>
      </c>
      <c r="C267" s="2" t="s">
        <v>538</v>
      </c>
      <c r="D267" s="1" t="s">
        <v>539</v>
      </c>
      <c r="M267" s="2" t="s">
        <v>538</v>
      </c>
      <c r="Q267" s="1" t="str">
        <f t="shared" si="108"/>
        <v>Skill Development Expense</v>
      </c>
      <c r="S267" s="1" t="str">
        <f t="shared" si="98"/>
        <v>2-PASV</v>
      </c>
      <c r="T267" s="1" t="str">
        <f t="shared" si="99"/>
        <v>3-0000</v>
      </c>
      <c r="U267" s="1" t="str">
        <f t="shared" si="100"/>
        <v>3-3000</v>
      </c>
      <c r="V267" s="1" t="str">
        <f t="shared" si="101"/>
        <v>4-1EAT</v>
      </c>
      <c r="W267" s="1" t="str">
        <f t="shared" si="102"/>
        <v>4-2EBT</v>
      </c>
      <c r="X267" s="1" t="str">
        <f t="shared" si="103"/>
        <v>4-3OPF</v>
      </c>
      <c r="Y267" s="1" t="str">
        <f t="shared" si="104"/>
        <v>6-0000</v>
      </c>
      <c r="Z267" s="1" t="str">
        <f t="shared" si="105"/>
        <v>6-1120</v>
      </c>
      <c r="AA267" s="1" t="str">
        <f t="shared" si="106"/>
        <v>5-3000</v>
      </c>
      <c r="AB267" s="1" t="str">
        <f t="shared" si="107"/>
        <v>5-9000</v>
      </c>
      <c r="AD267" s="1" t="str">
        <f t="shared" si="88"/>
        <v/>
      </c>
      <c r="AE267" s="1" t="str">
        <f t="shared" si="89"/>
        <v/>
      </c>
      <c r="AF267" s="1" t="str">
        <f t="shared" si="90"/>
        <v/>
      </c>
      <c r="AG267" s="1" t="str">
        <f t="shared" si="91"/>
        <v/>
      </c>
      <c r="AH267" s="1" t="str">
        <f t="shared" si="92"/>
        <v/>
      </c>
      <c r="AI267" s="1" t="str">
        <f t="shared" si="93"/>
        <v/>
      </c>
      <c r="AJ267" s="1" t="str">
        <f t="shared" si="94"/>
        <v xml:space="preserve">PERFORM * FROM "SchData-OLTP-Accounting"."Func_TblChartOfAccount_SET"(varSystemLoginSession, null, null, null, varInstitutionBranchID, null, '6-1120', 'Skill Development Expense', 62000000000001::bigint, '2016-01-01 00:00:00'::timestamp, null::timestamp); </v>
      </c>
      <c r="AK267" s="1" t="str">
        <f t="shared" si="95"/>
        <v/>
      </c>
      <c r="AL267" s="1" t="str">
        <f t="shared" si="96"/>
        <v/>
      </c>
      <c r="AM267" s="1" t="str">
        <f t="shared" si="97"/>
        <v/>
      </c>
      <c r="AO267" s="8" t="str">
        <f t="shared" si="109"/>
        <v xml:space="preserve">PERFORM * FROM "SchData-OLTP-Accounting"."Func_TblChartOfAccount_SET"(varSystemLoginSession, null, null, null, varInstitutionBranchID, null, '6-1120', 'Skill Development Expense', 62000000000001::bigint, '2016-01-01 00:00:00'::timestamp, null::timestamp); </v>
      </c>
    </row>
    <row r="268" spans="2:41" x14ac:dyDescent="0.25">
      <c r="B268" s="1">
        <v>2</v>
      </c>
      <c r="C268" s="2" t="s">
        <v>540</v>
      </c>
      <c r="D268" s="1" t="s">
        <v>541</v>
      </c>
      <c r="M268" s="2" t="s">
        <v>540</v>
      </c>
      <c r="Q268" s="1" t="str">
        <f t="shared" si="108"/>
        <v>Severance Pay - Admin</v>
      </c>
      <c r="S268" s="1" t="str">
        <f t="shared" si="98"/>
        <v>2-PASV</v>
      </c>
      <c r="T268" s="1" t="str">
        <f t="shared" si="99"/>
        <v>3-0000</v>
      </c>
      <c r="U268" s="1" t="str">
        <f t="shared" si="100"/>
        <v>3-3000</v>
      </c>
      <c r="V268" s="1" t="str">
        <f t="shared" si="101"/>
        <v>4-1EAT</v>
      </c>
      <c r="W268" s="1" t="str">
        <f t="shared" si="102"/>
        <v>4-2EBT</v>
      </c>
      <c r="X268" s="1" t="str">
        <f t="shared" si="103"/>
        <v>4-3OPF</v>
      </c>
      <c r="Y268" s="1" t="str">
        <f t="shared" si="104"/>
        <v>6-0000</v>
      </c>
      <c r="Z268" s="1" t="str">
        <f t="shared" si="105"/>
        <v>6-1130</v>
      </c>
      <c r="AA268" s="1" t="str">
        <f t="shared" si="106"/>
        <v>5-3000</v>
      </c>
      <c r="AB268" s="1" t="str">
        <f t="shared" si="107"/>
        <v>5-9000</v>
      </c>
      <c r="AD268" s="1" t="str">
        <f t="shared" si="88"/>
        <v/>
      </c>
      <c r="AE268" s="1" t="str">
        <f t="shared" si="89"/>
        <v/>
      </c>
      <c r="AF268" s="1" t="str">
        <f t="shared" si="90"/>
        <v/>
      </c>
      <c r="AG268" s="1" t="str">
        <f t="shared" si="91"/>
        <v/>
      </c>
      <c r="AH268" s="1" t="str">
        <f t="shared" si="92"/>
        <v/>
      </c>
      <c r="AI268" s="1" t="str">
        <f t="shared" si="93"/>
        <v/>
      </c>
      <c r="AJ268" s="1" t="str">
        <f t="shared" si="94"/>
        <v xml:space="preserve">PERFORM * FROM "SchData-OLTP-Accounting"."Func_TblChartOfAccount_SET"(varSystemLoginSession, null, null, null, varInstitutionBranchID, null, '6-1130', 'Severance Pay - Admin', 62000000000001::bigint, '2016-01-01 00:00:00'::timestamp, null::timestamp); </v>
      </c>
      <c r="AK268" s="1" t="str">
        <f t="shared" si="95"/>
        <v/>
      </c>
      <c r="AL268" s="1" t="str">
        <f t="shared" si="96"/>
        <v/>
      </c>
      <c r="AM268" s="1" t="str">
        <f t="shared" si="97"/>
        <v/>
      </c>
      <c r="AO268" s="8" t="str">
        <f t="shared" si="109"/>
        <v xml:space="preserve">PERFORM * FROM "SchData-OLTP-Accounting"."Func_TblChartOfAccount_SET"(varSystemLoginSession, null, null, null, varInstitutionBranchID, null, '6-1130', 'Severance Pay - Admin', 62000000000001::bigint, '2016-01-01 00:00:00'::timestamp, null::timestamp); </v>
      </c>
    </row>
    <row r="269" spans="2:41" x14ac:dyDescent="0.25">
      <c r="B269" s="1">
        <v>2</v>
      </c>
      <c r="C269" s="2" t="s">
        <v>542</v>
      </c>
      <c r="D269" s="1" t="s">
        <v>418</v>
      </c>
      <c r="M269" s="2" t="s">
        <v>542</v>
      </c>
      <c r="Q269" s="1" t="str">
        <f t="shared" si="108"/>
        <v>Stationery &amp; Printing</v>
      </c>
      <c r="S269" s="1" t="str">
        <f t="shared" si="98"/>
        <v>2-PASV</v>
      </c>
      <c r="T269" s="1" t="str">
        <f t="shared" si="99"/>
        <v>3-0000</v>
      </c>
      <c r="U269" s="1" t="str">
        <f t="shared" si="100"/>
        <v>3-3000</v>
      </c>
      <c r="V269" s="1" t="str">
        <f t="shared" si="101"/>
        <v>4-1EAT</v>
      </c>
      <c r="W269" s="1" t="str">
        <f t="shared" si="102"/>
        <v>4-2EBT</v>
      </c>
      <c r="X269" s="1" t="str">
        <f t="shared" si="103"/>
        <v>4-3OPF</v>
      </c>
      <c r="Y269" s="1" t="str">
        <f t="shared" si="104"/>
        <v>6-0000</v>
      </c>
      <c r="Z269" s="1" t="str">
        <f t="shared" si="105"/>
        <v>6-1150</v>
      </c>
      <c r="AA269" s="1" t="str">
        <f t="shared" si="106"/>
        <v>5-3000</v>
      </c>
      <c r="AB269" s="1" t="str">
        <f t="shared" si="107"/>
        <v>5-9000</v>
      </c>
      <c r="AD269" s="1" t="str">
        <f t="shared" si="88"/>
        <v/>
      </c>
      <c r="AE269" s="1" t="str">
        <f t="shared" si="89"/>
        <v/>
      </c>
      <c r="AF269" s="1" t="str">
        <f t="shared" si="90"/>
        <v/>
      </c>
      <c r="AG269" s="1" t="str">
        <f t="shared" si="91"/>
        <v/>
      </c>
      <c r="AH269" s="1" t="str">
        <f t="shared" si="92"/>
        <v/>
      </c>
      <c r="AI269" s="1" t="str">
        <f t="shared" si="93"/>
        <v/>
      </c>
      <c r="AJ269" s="1" t="str">
        <f t="shared" si="94"/>
        <v xml:space="preserve">PERFORM * FROM "SchData-OLTP-Accounting"."Func_TblChartOfAccount_SET"(varSystemLoginSession, null, null, null, varInstitutionBranchID, null, '6-1150', 'Stationery &amp; Printing', 62000000000001::bigint, '2016-01-01 00:00:00'::timestamp, null::timestamp); </v>
      </c>
      <c r="AK269" s="1" t="str">
        <f t="shared" si="95"/>
        <v/>
      </c>
      <c r="AL269" s="1" t="str">
        <f t="shared" si="96"/>
        <v/>
      </c>
      <c r="AM269" s="1" t="str">
        <f t="shared" si="97"/>
        <v/>
      </c>
      <c r="AO269" s="8" t="str">
        <f t="shared" si="109"/>
        <v xml:space="preserve">PERFORM * FROM "SchData-OLTP-Accounting"."Func_TblChartOfAccount_SET"(varSystemLoginSession, null, null, null, varInstitutionBranchID, null, '6-1150', 'Stationery &amp; Printing', 62000000000001::bigint, '2016-01-01 00:00:00'::timestamp, null::timestamp); </v>
      </c>
    </row>
    <row r="270" spans="2:41" x14ac:dyDescent="0.25">
      <c r="B270" s="1">
        <v>2</v>
      </c>
      <c r="C270" s="2" t="s">
        <v>543</v>
      </c>
      <c r="D270" s="1" t="s">
        <v>544</v>
      </c>
      <c r="M270" s="2" t="s">
        <v>543</v>
      </c>
      <c r="Q270" s="1" t="str">
        <f t="shared" si="108"/>
        <v>Stamp Duty</v>
      </c>
      <c r="S270" s="1" t="str">
        <f t="shared" si="98"/>
        <v>2-PASV</v>
      </c>
      <c r="T270" s="1" t="str">
        <f t="shared" si="99"/>
        <v>3-0000</v>
      </c>
      <c r="U270" s="1" t="str">
        <f t="shared" si="100"/>
        <v>3-3000</v>
      </c>
      <c r="V270" s="1" t="str">
        <f t="shared" si="101"/>
        <v>4-1EAT</v>
      </c>
      <c r="W270" s="1" t="str">
        <f t="shared" si="102"/>
        <v>4-2EBT</v>
      </c>
      <c r="X270" s="1" t="str">
        <f t="shared" si="103"/>
        <v>4-3OPF</v>
      </c>
      <c r="Y270" s="1" t="str">
        <f t="shared" si="104"/>
        <v>6-0000</v>
      </c>
      <c r="Z270" s="1" t="str">
        <f t="shared" si="105"/>
        <v>6-1200</v>
      </c>
      <c r="AA270" s="1" t="str">
        <f t="shared" si="106"/>
        <v>5-3000</v>
      </c>
      <c r="AB270" s="1" t="str">
        <f t="shared" si="107"/>
        <v>5-9000</v>
      </c>
      <c r="AD270" s="1" t="str">
        <f t="shared" si="88"/>
        <v/>
      </c>
      <c r="AE270" s="1" t="str">
        <f t="shared" si="89"/>
        <v/>
      </c>
      <c r="AF270" s="1" t="str">
        <f t="shared" si="90"/>
        <v/>
      </c>
      <c r="AG270" s="1" t="str">
        <f t="shared" si="91"/>
        <v/>
      </c>
      <c r="AH270" s="1" t="str">
        <f t="shared" si="92"/>
        <v/>
      </c>
      <c r="AI270" s="1" t="str">
        <f t="shared" si="93"/>
        <v/>
      </c>
      <c r="AJ270" s="1" t="str">
        <f t="shared" si="94"/>
        <v xml:space="preserve">PERFORM * FROM "SchData-OLTP-Accounting"."Func_TblChartOfAccount_SET"(varSystemLoginSession, null, null, null, varInstitutionBranchID, null, '6-1200', 'Stamp Duty', 62000000000001::bigint, '2016-01-01 00:00:00'::timestamp, null::timestamp); </v>
      </c>
      <c r="AK270" s="1" t="str">
        <f t="shared" si="95"/>
        <v/>
      </c>
      <c r="AL270" s="1" t="str">
        <f t="shared" si="96"/>
        <v/>
      </c>
      <c r="AM270" s="1" t="str">
        <f t="shared" si="97"/>
        <v/>
      </c>
      <c r="AO270" s="8" t="str">
        <f t="shared" si="109"/>
        <v xml:space="preserve">PERFORM * FROM "SchData-OLTP-Accounting"."Func_TblChartOfAccount_SET"(varSystemLoginSession, null, null, null, varInstitutionBranchID, null, '6-1200', 'Stamp Duty', 62000000000001::bigint, '2016-01-01 00:00:00'::timestamp, null::timestamp); </v>
      </c>
    </row>
    <row r="271" spans="2:41" x14ac:dyDescent="0.25">
      <c r="B271" s="1">
        <v>2</v>
      </c>
      <c r="C271" s="2" t="s">
        <v>545</v>
      </c>
      <c r="D271" s="1" t="s">
        <v>546</v>
      </c>
      <c r="M271" s="2" t="s">
        <v>545</v>
      </c>
      <c r="Q271" s="1" t="str">
        <f t="shared" si="108"/>
        <v>Postage &amp; Courier</v>
      </c>
      <c r="S271" s="1" t="str">
        <f t="shared" si="98"/>
        <v>2-PASV</v>
      </c>
      <c r="T271" s="1" t="str">
        <f t="shared" si="99"/>
        <v>3-0000</v>
      </c>
      <c r="U271" s="1" t="str">
        <f t="shared" si="100"/>
        <v>3-3000</v>
      </c>
      <c r="V271" s="1" t="str">
        <f t="shared" si="101"/>
        <v>4-1EAT</v>
      </c>
      <c r="W271" s="1" t="str">
        <f t="shared" si="102"/>
        <v>4-2EBT</v>
      </c>
      <c r="X271" s="1" t="str">
        <f t="shared" si="103"/>
        <v>4-3OPF</v>
      </c>
      <c r="Y271" s="1" t="str">
        <f t="shared" si="104"/>
        <v>6-0000</v>
      </c>
      <c r="Z271" s="1" t="str">
        <f t="shared" si="105"/>
        <v>6-1300</v>
      </c>
      <c r="AA271" s="1" t="str">
        <f t="shared" si="106"/>
        <v>5-3000</v>
      </c>
      <c r="AB271" s="1" t="str">
        <f t="shared" si="107"/>
        <v>5-9000</v>
      </c>
      <c r="AD271" s="1" t="str">
        <f t="shared" si="88"/>
        <v/>
      </c>
      <c r="AE271" s="1" t="str">
        <f t="shared" si="89"/>
        <v/>
      </c>
      <c r="AF271" s="1" t="str">
        <f t="shared" si="90"/>
        <v/>
      </c>
      <c r="AG271" s="1" t="str">
        <f t="shared" si="91"/>
        <v/>
      </c>
      <c r="AH271" s="1" t="str">
        <f t="shared" si="92"/>
        <v/>
      </c>
      <c r="AI271" s="1" t="str">
        <f t="shared" si="93"/>
        <v/>
      </c>
      <c r="AJ271" s="1" t="str">
        <f t="shared" si="94"/>
        <v xml:space="preserve">PERFORM * FROM "SchData-OLTP-Accounting"."Func_TblChartOfAccount_SET"(varSystemLoginSession, null, null, null, varInstitutionBranchID, null, '6-1300', 'Postage &amp; Courier', 62000000000001::bigint, '2016-01-01 00:00:00'::timestamp, null::timestamp); </v>
      </c>
      <c r="AK271" s="1" t="str">
        <f t="shared" si="95"/>
        <v/>
      </c>
      <c r="AL271" s="1" t="str">
        <f t="shared" si="96"/>
        <v/>
      </c>
      <c r="AM271" s="1" t="str">
        <f t="shared" si="97"/>
        <v/>
      </c>
      <c r="AO271" s="8" t="str">
        <f t="shared" si="109"/>
        <v xml:space="preserve">PERFORM * FROM "SchData-OLTP-Accounting"."Func_TblChartOfAccount_SET"(varSystemLoginSession, null, null, null, varInstitutionBranchID, null, '6-1300', 'Postage &amp; Courier', 62000000000001::bigint, '2016-01-01 00:00:00'::timestamp, null::timestamp); </v>
      </c>
    </row>
    <row r="272" spans="2:41" x14ac:dyDescent="0.25">
      <c r="B272" s="1">
        <v>2</v>
      </c>
      <c r="C272" s="2" t="s">
        <v>547</v>
      </c>
      <c r="D272" s="1" t="s">
        <v>548</v>
      </c>
      <c r="M272" s="2" t="s">
        <v>547</v>
      </c>
      <c r="Q272" s="1" t="str">
        <f t="shared" si="108"/>
        <v>Other Admin Expenses</v>
      </c>
      <c r="S272" s="1" t="str">
        <f t="shared" si="98"/>
        <v>2-PASV</v>
      </c>
      <c r="T272" s="1" t="str">
        <f t="shared" si="99"/>
        <v>3-0000</v>
      </c>
      <c r="U272" s="1" t="str">
        <f t="shared" si="100"/>
        <v>3-3000</v>
      </c>
      <c r="V272" s="1" t="str">
        <f t="shared" si="101"/>
        <v>4-1EAT</v>
      </c>
      <c r="W272" s="1" t="str">
        <f t="shared" si="102"/>
        <v>4-2EBT</v>
      </c>
      <c r="X272" s="1" t="str">
        <f t="shared" si="103"/>
        <v>4-3OPF</v>
      </c>
      <c r="Y272" s="1" t="str">
        <f t="shared" si="104"/>
        <v>6-0000</v>
      </c>
      <c r="Z272" s="1" t="str">
        <f t="shared" si="105"/>
        <v>6-1900</v>
      </c>
      <c r="AA272" s="1" t="str">
        <f t="shared" si="106"/>
        <v>5-3000</v>
      </c>
      <c r="AB272" s="1" t="str">
        <f t="shared" si="107"/>
        <v>5-9000</v>
      </c>
      <c r="AD272" s="1" t="str">
        <f t="shared" si="88"/>
        <v/>
      </c>
      <c r="AE272" s="1" t="str">
        <f t="shared" si="89"/>
        <v/>
      </c>
      <c r="AF272" s="1" t="str">
        <f t="shared" si="90"/>
        <v/>
      </c>
      <c r="AG272" s="1" t="str">
        <f t="shared" si="91"/>
        <v/>
      </c>
      <c r="AH272" s="1" t="str">
        <f t="shared" si="92"/>
        <v/>
      </c>
      <c r="AI272" s="1" t="str">
        <f t="shared" si="93"/>
        <v/>
      </c>
      <c r="AJ272" s="1" t="str">
        <f t="shared" si="94"/>
        <v xml:space="preserve">PERFORM * FROM "SchData-OLTP-Accounting"."Func_TblChartOfAccount_SET"(varSystemLoginSession, null, null, null, varInstitutionBranchID, null, '6-1900', 'Other Admin Expenses', 62000000000001::bigint, '2016-01-01 00:00:00'::timestamp, null::timestamp); </v>
      </c>
      <c r="AK272" s="1" t="str">
        <f t="shared" si="95"/>
        <v/>
      </c>
      <c r="AL272" s="1" t="str">
        <f t="shared" si="96"/>
        <v/>
      </c>
      <c r="AM272" s="1" t="str">
        <f t="shared" si="97"/>
        <v/>
      </c>
      <c r="AO272" s="8" t="str">
        <f t="shared" si="109"/>
        <v xml:space="preserve">PERFORM * FROM "SchData-OLTP-Accounting"."Func_TblChartOfAccount_SET"(varSystemLoginSession, null, null, null, varInstitutionBranchID, null, '6-1900', 'Other Admin Expenses', 62000000000001::bigint, '2016-01-01 00:00:00'::timestamp, null::timestamp); </v>
      </c>
    </row>
    <row r="273" spans="2:41" x14ac:dyDescent="0.25">
      <c r="B273" s="1">
        <v>2</v>
      </c>
      <c r="C273" s="2" t="s">
        <v>549</v>
      </c>
      <c r="D273" s="1" t="s">
        <v>550</v>
      </c>
      <c r="M273" s="2" t="s">
        <v>549</v>
      </c>
      <c r="Q273" s="1" t="str">
        <f t="shared" si="108"/>
        <v>Office Supplies</v>
      </c>
      <c r="S273" s="1" t="str">
        <f t="shared" si="98"/>
        <v>2-PASV</v>
      </c>
      <c r="T273" s="1" t="str">
        <f t="shared" si="99"/>
        <v>3-0000</v>
      </c>
      <c r="U273" s="1" t="str">
        <f t="shared" si="100"/>
        <v>3-3000</v>
      </c>
      <c r="V273" s="1" t="str">
        <f t="shared" si="101"/>
        <v>4-1EAT</v>
      </c>
      <c r="W273" s="1" t="str">
        <f t="shared" si="102"/>
        <v>4-2EBT</v>
      </c>
      <c r="X273" s="1" t="str">
        <f t="shared" si="103"/>
        <v>4-3OPF</v>
      </c>
      <c r="Y273" s="1" t="str">
        <f t="shared" si="104"/>
        <v>6-0000</v>
      </c>
      <c r="Z273" s="1" t="str">
        <f t="shared" si="105"/>
        <v>6-2100</v>
      </c>
      <c r="AA273" s="1" t="str">
        <f t="shared" si="106"/>
        <v>5-3000</v>
      </c>
      <c r="AB273" s="1" t="str">
        <f t="shared" si="107"/>
        <v>5-9000</v>
      </c>
      <c r="AD273" s="1" t="str">
        <f t="shared" si="88"/>
        <v/>
      </c>
      <c r="AE273" s="1" t="str">
        <f t="shared" si="89"/>
        <v/>
      </c>
      <c r="AF273" s="1" t="str">
        <f t="shared" si="90"/>
        <v/>
      </c>
      <c r="AG273" s="1" t="str">
        <f t="shared" si="91"/>
        <v/>
      </c>
      <c r="AH273" s="1" t="str">
        <f t="shared" si="92"/>
        <v/>
      </c>
      <c r="AI273" s="1" t="str">
        <f t="shared" si="93"/>
        <v/>
      </c>
      <c r="AJ273" s="1" t="str">
        <f t="shared" si="94"/>
        <v xml:space="preserve">PERFORM * FROM "SchData-OLTP-Accounting"."Func_TblChartOfAccount_SET"(varSystemLoginSession, null, null, null, varInstitutionBranchID, null, '6-2100', 'Office Supplies', 62000000000001::bigint, '2016-01-01 00:00:00'::timestamp, null::timestamp); </v>
      </c>
      <c r="AK273" s="1" t="str">
        <f t="shared" si="95"/>
        <v/>
      </c>
      <c r="AL273" s="1" t="str">
        <f t="shared" si="96"/>
        <v/>
      </c>
      <c r="AM273" s="1" t="str">
        <f t="shared" si="97"/>
        <v/>
      </c>
      <c r="AO273" s="8" t="str">
        <f t="shared" si="109"/>
        <v xml:space="preserve">PERFORM * FROM "SchData-OLTP-Accounting"."Func_TblChartOfAccount_SET"(varSystemLoginSession, null, null, null, varInstitutionBranchID, null, '6-2100', 'Office Supplies', 62000000000001::bigint, '2016-01-01 00:00:00'::timestamp, null::timestamp); </v>
      </c>
    </row>
    <row r="274" spans="2:41" x14ac:dyDescent="0.25">
      <c r="B274" s="1">
        <v>2</v>
      </c>
      <c r="C274" s="2" t="s">
        <v>551</v>
      </c>
      <c r="D274" s="1" t="s">
        <v>552</v>
      </c>
      <c r="M274" s="2" t="s">
        <v>551</v>
      </c>
      <c r="Q274" s="1" t="str">
        <f t="shared" si="108"/>
        <v>Office Equipment &lt; $500</v>
      </c>
      <c r="S274" s="1" t="str">
        <f t="shared" si="98"/>
        <v>2-PASV</v>
      </c>
      <c r="T274" s="1" t="str">
        <f t="shared" si="99"/>
        <v>3-0000</v>
      </c>
      <c r="U274" s="1" t="str">
        <f t="shared" si="100"/>
        <v>3-3000</v>
      </c>
      <c r="V274" s="1" t="str">
        <f t="shared" si="101"/>
        <v>4-1EAT</v>
      </c>
      <c r="W274" s="1" t="str">
        <f t="shared" si="102"/>
        <v>4-2EBT</v>
      </c>
      <c r="X274" s="1" t="str">
        <f t="shared" si="103"/>
        <v>4-3OPF</v>
      </c>
      <c r="Y274" s="1" t="str">
        <f t="shared" si="104"/>
        <v>6-0000</v>
      </c>
      <c r="Z274" s="1" t="str">
        <f t="shared" si="105"/>
        <v>6-2200</v>
      </c>
      <c r="AA274" s="1" t="str">
        <f t="shared" si="106"/>
        <v>5-3000</v>
      </c>
      <c r="AB274" s="1" t="str">
        <f t="shared" si="107"/>
        <v>5-9000</v>
      </c>
      <c r="AD274" s="1" t="str">
        <f t="shared" si="88"/>
        <v/>
      </c>
      <c r="AE274" s="1" t="str">
        <f t="shared" si="89"/>
        <v/>
      </c>
      <c r="AF274" s="1" t="str">
        <f t="shared" si="90"/>
        <v/>
      </c>
      <c r="AG274" s="1" t="str">
        <f t="shared" si="91"/>
        <v/>
      </c>
      <c r="AH274" s="1" t="str">
        <f t="shared" si="92"/>
        <v/>
      </c>
      <c r="AI274" s="1" t="str">
        <f t="shared" si="93"/>
        <v/>
      </c>
      <c r="AJ274" s="1" t="str">
        <f t="shared" si="94"/>
        <v xml:space="preserve">PERFORM * FROM "SchData-OLTP-Accounting"."Func_TblChartOfAccount_SET"(varSystemLoginSession, null, null, null, varInstitutionBranchID, null, '6-2200', 'Office Equipment &lt; $500', 62000000000001::bigint, '2016-01-01 00:00:00'::timestamp, null::timestamp); </v>
      </c>
      <c r="AK274" s="1" t="str">
        <f t="shared" si="95"/>
        <v/>
      </c>
      <c r="AL274" s="1" t="str">
        <f t="shared" si="96"/>
        <v/>
      </c>
      <c r="AM274" s="1" t="str">
        <f t="shared" si="97"/>
        <v/>
      </c>
      <c r="AO274" s="8" t="str">
        <f t="shared" si="109"/>
        <v xml:space="preserve">PERFORM * FROM "SchData-OLTP-Accounting"."Func_TblChartOfAccount_SET"(varSystemLoginSession, null, null, null, varInstitutionBranchID, null, '6-2200', 'Office Equipment &lt; $500', 62000000000001::bigint, '2016-01-01 00:00:00'::timestamp, null::timestamp); </v>
      </c>
    </row>
    <row r="275" spans="2:41" x14ac:dyDescent="0.25">
      <c r="B275" s="1">
        <v>2</v>
      </c>
      <c r="C275" s="2" t="s">
        <v>553</v>
      </c>
      <c r="D275" s="1" t="s">
        <v>554</v>
      </c>
      <c r="M275" s="2" t="s">
        <v>553</v>
      </c>
      <c r="Q275" s="1" t="str">
        <f t="shared" si="108"/>
        <v>Furniture &amp; Fitting &lt; $500</v>
      </c>
      <c r="S275" s="1" t="str">
        <f t="shared" si="98"/>
        <v>2-PASV</v>
      </c>
      <c r="T275" s="1" t="str">
        <f t="shared" si="99"/>
        <v>3-0000</v>
      </c>
      <c r="U275" s="1" t="str">
        <f t="shared" si="100"/>
        <v>3-3000</v>
      </c>
      <c r="V275" s="1" t="str">
        <f t="shared" si="101"/>
        <v>4-1EAT</v>
      </c>
      <c r="W275" s="1" t="str">
        <f t="shared" si="102"/>
        <v>4-2EBT</v>
      </c>
      <c r="X275" s="1" t="str">
        <f t="shared" si="103"/>
        <v>4-3OPF</v>
      </c>
      <c r="Y275" s="1" t="str">
        <f t="shared" si="104"/>
        <v>6-0000</v>
      </c>
      <c r="Z275" s="1" t="str">
        <f t="shared" si="105"/>
        <v>6-2300</v>
      </c>
      <c r="AA275" s="1" t="str">
        <f t="shared" si="106"/>
        <v>5-3000</v>
      </c>
      <c r="AB275" s="1" t="str">
        <f t="shared" si="107"/>
        <v>5-9000</v>
      </c>
      <c r="AD275" s="1" t="str">
        <f t="shared" si="88"/>
        <v/>
      </c>
      <c r="AE275" s="1" t="str">
        <f t="shared" si="89"/>
        <v/>
      </c>
      <c r="AF275" s="1" t="str">
        <f t="shared" si="90"/>
        <v/>
      </c>
      <c r="AG275" s="1" t="str">
        <f t="shared" si="91"/>
        <v/>
      </c>
      <c r="AH275" s="1" t="str">
        <f t="shared" si="92"/>
        <v/>
      </c>
      <c r="AI275" s="1" t="str">
        <f t="shared" si="93"/>
        <v/>
      </c>
      <c r="AJ275" s="1" t="str">
        <f t="shared" si="94"/>
        <v xml:space="preserve">PERFORM * FROM "SchData-OLTP-Accounting"."Func_TblChartOfAccount_SET"(varSystemLoginSession, null, null, null, varInstitutionBranchID, null, '6-2300', 'Furniture &amp; Fitting &lt; $500', 62000000000001::bigint, '2016-01-01 00:00:00'::timestamp, null::timestamp); </v>
      </c>
      <c r="AK275" s="1" t="str">
        <f t="shared" si="95"/>
        <v/>
      </c>
      <c r="AL275" s="1" t="str">
        <f t="shared" si="96"/>
        <v/>
      </c>
      <c r="AM275" s="1" t="str">
        <f t="shared" si="97"/>
        <v/>
      </c>
      <c r="AO275" s="8" t="str">
        <f t="shared" si="109"/>
        <v xml:space="preserve">PERFORM * FROM "SchData-OLTP-Accounting"."Func_TblChartOfAccount_SET"(varSystemLoginSession, null, null, null, varInstitutionBranchID, null, '6-2300', 'Furniture &amp; Fitting &lt; $500', 62000000000001::bigint, '2016-01-01 00:00:00'::timestamp, null::timestamp); </v>
      </c>
    </row>
    <row r="276" spans="2:41" x14ac:dyDescent="0.25">
      <c r="B276" s="1">
        <v>2</v>
      </c>
      <c r="C276" s="2" t="s">
        <v>555</v>
      </c>
      <c r="D276" s="1" t="s">
        <v>556</v>
      </c>
      <c r="M276" s="2" t="s">
        <v>555</v>
      </c>
      <c r="Q276" s="1" t="str">
        <f t="shared" si="108"/>
        <v>Light &amp; Power Equipment</v>
      </c>
      <c r="S276" s="1" t="str">
        <f t="shared" si="98"/>
        <v>2-PASV</v>
      </c>
      <c r="T276" s="1" t="str">
        <f t="shared" si="99"/>
        <v>3-0000</v>
      </c>
      <c r="U276" s="1" t="str">
        <f t="shared" si="100"/>
        <v>3-3000</v>
      </c>
      <c r="V276" s="1" t="str">
        <f t="shared" si="101"/>
        <v>4-1EAT</v>
      </c>
      <c r="W276" s="1" t="str">
        <f t="shared" si="102"/>
        <v>4-2EBT</v>
      </c>
      <c r="X276" s="1" t="str">
        <f t="shared" si="103"/>
        <v>4-3OPF</v>
      </c>
      <c r="Y276" s="1" t="str">
        <f t="shared" si="104"/>
        <v>6-0000</v>
      </c>
      <c r="Z276" s="1" t="str">
        <f t="shared" si="105"/>
        <v>6-2400</v>
      </c>
      <c r="AA276" s="1" t="str">
        <f t="shared" si="106"/>
        <v>5-3000</v>
      </c>
      <c r="AB276" s="1" t="str">
        <f t="shared" si="107"/>
        <v>5-9000</v>
      </c>
      <c r="AD276" s="1" t="str">
        <f t="shared" si="88"/>
        <v/>
      </c>
      <c r="AE276" s="1" t="str">
        <f t="shared" si="89"/>
        <v/>
      </c>
      <c r="AF276" s="1" t="str">
        <f t="shared" si="90"/>
        <v/>
      </c>
      <c r="AG276" s="1" t="str">
        <f t="shared" si="91"/>
        <v/>
      </c>
      <c r="AH276" s="1" t="str">
        <f t="shared" si="92"/>
        <v/>
      </c>
      <c r="AI276" s="1" t="str">
        <f t="shared" si="93"/>
        <v/>
      </c>
      <c r="AJ276" s="1" t="str">
        <f t="shared" si="94"/>
        <v xml:space="preserve">PERFORM * FROM "SchData-OLTP-Accounting"."Func_TblChartOfAccount_SET"(varSystemLoginSession, null, null, null, varInstitutionBranchID, null, '6-2400', 'Light &amp; Power Equipment', 62000000000001::bigint, '2016-01-01 00:00:00'::timestamp, null::timestamp); </v>
      </c>
      <c r="AK276" s="1" t="str">
        <f t="shared" si="95"/>
        <v/>
      </c>
      <c r="AL276" s="1" t="str">
        <f t="shared" si="96"/>
        <v/>
      </c>
      <c r="AM276" s="1" t="str">
        <f t="shared" si="97"/>
        <v/>
      </c>
      <c r="AO276" s="8" t="str">
        <f t="shared" si="109"/>
        <v xml:space="preserve">PERFORM * FROM "SchData-OLTP-Accounting"."Func_TblChartOfAccount_SET"(varSystemLoginSession, null, null, null, varInstitutionBranchID, null, '6-2400', 'Light &amp; Power Equipment', 62000000000001::bigint, '2016-01-01 00:00:00'::timestamp, null::timestamp); </v>
      </c>
    </row>
    <row r="277" spans="2:41" x14ac:dyDescent="0.25">
      <c r="B277" s="1">
        <v>2</v>
      </c>
      <c r="C277" s="2" t="s">
        <v>557</v>
      </c>
      <c r="D277" s="1" t="s">
        <v>416</v>
      </c>
      <c r="M277" s="2" t="s">
        <v>557</v>
      </c>
      <c r="Q277" s="1" t="str">
        <f t="shared" si="108"/>
        <v>Utilities</v>
      </c>
      <c r="S277" s="1" t="str">
        <f t="shared" si="98"/>
        <v>2-PASV</v>
      </c>
      <c r="T277" s="1" t="str">
        <f t="shared" si="99"/>
        <v>3-0000</v>
      </c>
      <c r="U277" s="1" t="str">
        <f t="shared" si="100"/>
        <v>3-3000</v>
      </c>
      <c r="V277" s="1" t="str">
        <f t="shared" si="101"/>
        <v>4-1EAT</v>
      </c>
      <c r="W277" s="1" t="str">
        <f t="shared" si="102"/>
        <v>4-2EBT</v>
      </c>
      <c r="X277" s="1" t="str">
        <f t="shared" si="103"/>
        <v>4-3OPF</v>
      </c>
      <c r="Y277" s="1" t="str">
        <f t="shared" si="104"/>
        <v>6-0000</v>
      </c>
      <c r="Z277" s="1" t="str">
        <f t="shared" si="105"/>
        <v>6-2500</v>
      </c>
      <c r="AA277" s="1" t="str">
        <f t="shared" si="106"/>
        <v>5-3000</v>
      </c>
      <c r="AB277" s="1" t="str">
        <f t="shared" si="107"/>
        <v>5-9000</v>
      </c>
      <c r="AD277" s="1" t="str">
        <f t="shared" si="88"/>
        <v/>
      </c>
      <c r="AE277" s="1" t="str">
        <f t="shared" si="89"/>
        <v/>
      </c>
      <c r="AF277" s="1" t="str">
        <f t="shared" si="90"/>
        <v/>
      </c>
      <c r="AG277" s="1" t="str">
        <f t="shared" si="91"/>
        <v/>
      </c>
      <c r="AH277" s="1" t="str">
        <f t="shared" si="92"/>
        <v/>
      </c>
      <c r="AI277" s="1" t="str">
        <f t="shared" si="93"/>
        <v/>
      </c>
      <c r="AJ277" s="1" t="str">
        <f t="shared" si="94"/>
        <v xml:space="preserve">PERFORM * FROM "SchData-OLTP-Accounting"."Func_TblChartOfAccount_SET"(varSystemLoginSession, null, null, null, varInstitutionBranchID, null, '6-2500', 'Utilities', 62000000000001::bigint, '2016-01-01 00:00:00'::timestamp, null::timestamp); </v>
      </c>
      <c r="AK277" s="1" t="str">
        <f t="shared" si="95"/>
        <v/>
      </c>
      <c r="AL277" s="1" t="str">
        <f t="shared" si="96"/>
        <v/>
      </c>
      <c r="AM277" s="1" t="str">
        <f t="shared" si="97"/>
        <v/>
      </c>
      <c r="AO277" s="8" t="str">
        <f t="shared" si="109"/>
        <v xml:space="preserve">PERFORM * FROM "SchData-OLTP-Accounting"."Func_TblChartOfAccount_SET"(varSystemLoginSession, null, null, null, varInstitutionBranchID, null, '6-2500', 'Utilities', 62000000000001::bigint, '2016-01-01 00:00:00'::timestamp, null::timestamp); </v>
      </c>
    </row>
    <row r="278" spans="2:41" x14ac:dyDescent="0.25">
      <c r="B278" s="1">
        <v>2</v>
      </c>
      <c r="C278" s="2" t="s">
        <v>558</v>
      </c>
      <c r="D278" s="1" t="s">
        <v>559</v>
      </c>
      <c r="M278" s="2" t="s">
        <v>558</v>
      </c>
      <c r="Q278" s="1" t="str">
        <f t="shared" si="108"/>
        <v>Telephone, Telex, Fax</v>
      </c>
      <c r="S278" s="1" t="str">
        <f t="shared" si="98"/>
        <v>2-PASV</v>
      </c>
      <c r="T278" s="1" t="str">
        <f t="shared" si="99"/>
        <v>3-0000</v>
      </c>
      <c r="U278" s="1" t="str">
        <f t="shared" si="100"/>
        <v>3-3000</v>
      </c>
      <c r="V278" s="1" t="str">
        <f t="shared" si="101"/>
        <v>4-1EAT</v>
      </c>
      <c r="W278" s="1" t="str">
        <f t="shared" si="102"/>
        <v>4-2EBT</v>
      </c>
      <c r="X278" s="1" t="str">
        <f t="shared" si="103"/>
        <v>4-3OPF</v>
      </c>
      <c r="Y278" s="1" t="str">
        <f t="shared" si="104"/>
        <v>6-0000</v>
      </c>
      <c r="Z278" s="1" t="str">
        <f t="shared" si="105"/>
        <v>6-3100</v>
      </c>
      <c r="AA278" s="1" t="str">
        <f t="shared" si="106"/>
        <v>5-3000</v>
      </c>
      <c r="AB278" s="1" t="str">
        <f t="shared" si="107"/>
        <v>5-9000</v>
      </c>
      <c r="AD278" s="1" t="str">
        <f t="shared" si="88"/>
        <v/>
      </c>
      <c r="AE278" s="1" t="str">
        <f t="shared" si="89"/>
        <v/>
      </c>
      <c r="AF278" s="1" t="str">
        <f t="shared" si="90"/>
        <v/>
      </c>
      <c r="AG278" s="1" t="str">
        <f t="shared" si="91"/>
        <v/>
      </c>
      <c r="AH278" s="1" t="str">
        <f t="shared" si="92"/>
        <v/>
      </c>
      <c r="AI278" s="1" t="str">
        <f t="shared" si="93"/>
        <v/>
      </c>
      <c r="AJ278" s="1" t="str">
        <f t="shared" si="94"/>
        <v xml:space="preserve">PERFORM * FROM "SchData-OLTP-Accounting"."Func_TblChartOfAccount_SET"(varSystemLoginSession, null, null, null, varInstitutionBranchID, null, '6-3100', 'Telephone, Telex, Fax', 62000000000001::bigint, '2016-01-01 00:00:00'::timestamp, null::timestamp); </v>
      </c>
      <c r="AK278" s="1" t="str">
        <f t="shared" si="95"/>
        <v/>
      </c>
      <c r="AL278" s="1" t="str">
        <f t="shared" si="96"/>
        <v/>
      </c>
      <c r="AM278" s="1" t="str">
        <f t="shared" si="97"/>
        <v/>
      </c>
      <c r="AO278" s="8" t="str">
        <f t="shared" si="109"/>
        <v xml:space="preserve">PERFORM * FROM "SchData-OLTP-Accounting"."Func_TblChartOfAccount_SET"(varSystemLoginSession, null, null, null, varInstitutionBranchID, null, '6-3100', 'Telephone, Telex, Fax', 62000000000001::bigint, '2016-01-01 00:00:00'::timestamp, null::timestamp); </v>
      </c>
    </row>
    <row r="279" spans="2:41" x14ac:dyDescent="0.25">
      <c r="B279" s="1">
        <v>2</v>
      </c>
      <c r="C279" s="2" t="s">
        <v>560</v>
      </c>
      <c r="D279" s="1" t="s">
        <v>561</v>
      </c>
      <c r="M279" s="2" t="s">
        <v>560</v>
      </c>
      <c r="Q279" s="1" t="str">
        <f t="shared" si="108"/>
        <v>Telephone - Sales</v>
      </c>
      <c r="S279" s="1" t="str">
        <f t="shared" si="98"/>
        <v>2-PASV</v>
      </c>
      <c r="T279" s="1" t="str">
        <f t="shared" si="99"/>
        <v>3-0000</v>
      </c>
      <c r="U279" s="1" t="str">
        <f t="shared" si="100"/>
        <v>3-3000</v>
      </c>
      <c r="V279" s="1" t="str">
        <f t="shared" si="101"/>
        <v>4-1EAT</v>
      </c>
      <c r="W279" s="1" t="str">
        <f t="shared" si="102"/>
        <v>4-2EBT</v>
      </c>
      <c r="X279" s="1" t="str">
        <f t="shared" si="103"/>
        <v>4-3OPF</v>
      </c>
      <c r="Y279" s="1" t="str">
        <f t="shared" si="104"/>
        <v>6-0000</v>
      </c>
      <c r="Z279" s="1" t="str">
        <f t="shared" si="105"/>
        <v>6-3110</v>
      </c>
      <c r="AA279" s="1" t="str">
        <f t="shared" si="106"/>
        <v>5-3000</v>
      </c>
      <c r="AB279" s="1" t="str">
        <f t="shared" si="107"/>
        <v>5-9000</v>
      </c>
      <c r="AD279" s="1" t="str">
        <f t="shared" si="88"/>
        <v/>
      </c>
      <c r="AE279" s="1" t="str">
        <f t="shared" si="89"/>
        <v/>
      </c>
      <c r="AF279" s="1" t="str">
        <f t="shared" si="90"/>
        <v/>
      </c>
      <c r="AG279" s="1" t="str">
        <f t="shared" si="91"/>
        <v/>
      </c>
      <c r="AH279" s="1" t="str">
        <f t="shared" si="92"/>
        <v/>
      </c>
      <c r="AI279" s="1" t="str">
        <f t="shared" si="93"/>
        <v/>
      </c>
      <c r="AJ279" s="1" t="str">
        <f t="shared" si="94"/>
        <v xml:space="preserve">PERFORM * FROM "SchData-OLTP-Accounting"."Func_TblChartOfAccount_SET"(varSystemLoginSession, null, null, null, varInstitutionBranchID, null, '6-3110', 'Telephone - Sales', 62000000000001::bigint, '2016-01-01 00:00:00'::timestamp, null::timestamp); </v>
      </c>
      <c r="AK279" s="1" t="str">
        <f t="shared" si="95"/>
        <v/>
      </c>
      <c r="AL279" s="1" t="str">
        <f t="shared" si="96"/>
        <v/>
      </c>
      <c r="AM279" s="1" t="str">
        <f t="shared" si="97"/>
        <v/>
      </c>
      <c r="AO279" s="8" t="str">
        <f t="shared" si="109"/>
        <v xml:space="preserve">PERFORM * FROM "SchData-OLTP-Accounting"."Func_TblChartOfAccount_SET"(varSystemLoginSession, null, null, null, varInstitutionBranchID, null, '6-3110', 'Telephone - Sales', 62000000000001::bigint, '2016-01-01 00:00:00'::timestamp, null::timestamp); </v>
      </c>
    </row>
    <row r="280" spans="2:41" x14ac:dyDescent="0.25">
      <c r="B280" s="1">
        <v>2</v>
      </c>
      <c r="C280" s="2" t="s">
        <v>562</v>
      </c>
      <c r="D280" s="1" t="s">
        <v>563</v>
      </c>
      <c r="M280" s="2" t="s">
        <v>562</v>
      </c>
      <c r="Q280" s="1" t="str">
        <f t="shared" si="108"/>
        <v>Mobile Phones &lt; $500</v>
      </c>
      <c r="S280" s="1" t="str">
        <f t="shared" si="98"/>
        <v>2-PASV</v>
      </c>
      <c r="T280" s="1" t="str">
        <f t="shared" si="99"/>
        <v>3-0000</v>
      </c>
      <c r="U280" s="1" t="str">
        <f t="shared" si="100"/>
        <v>3-3000</v>
      </c>
      <c r="V280" s="1" t="str">
        <f t="shared" si="101"/>
        <v>4-1EAT</v>
      </c>
      <c r="W280" s="1" t="str">
        <f t="shared" si="102"/>
        <v>4-2EBT</v>
      </c>
      <c r="X280" s="1" t="str">
        <f t="shared" si="103"/>
        <v>4-3OPF</v>
      </c>
      <c r="Y280" s="1" t="str">
        <f t="shared" si="104"/>
        <v>6-0000</v>
      </c>
      <c r="Z280" s="1" t="str">
        <f t="shared" si="105"/>
        <v>6-3200</v>
      </c>
      <c r="AA280" s="1" t="str">
        <f t="shared" si="106"/>
        <v>5-3000</v>
      </c>
      <c r="AB280" s="1" t="str">
        <f t="shared" si="107"/>
        <v>5-9000</v>
      </c>
      <c r="AD280" s="1" t="str">
        <f t="shared" si="88"/>
        <v/>
      </c>
      <c r="AE280" s="1" t="str">
        <f t="shared" si="89"/>
        <v/>
      </c>
      <c r="AF280" s="1" t="str">
        <f t="shared" si="90"/>
        <v/>
      </c>
      <c r="AG280" s="1" t="str">
        <f t="shared" si="91"/>
        <v/>
      </c>
      <c r="AH280" s="1" t="str">
        <f t="shared" si="92"/>
        <v/>
      </c>
      <c r="AI280" s="1" t="str">
        <f t="shared" si="93"/>
        <v/>
      </c>
      <c r="AJ280" s="1" t="str">
        <f t="shared" si="94"/>
        <v xml:space="preserve">PERFORM * FROM "SchData-OLTP-Accounting"."Func_TblChartOfAccount_SET"(varSystemLoginSession, null, null, null, varInstitutionBranchID, null, '6-3200', 'Mobile Phones &lt; $500', 62000000000001::bigint, '2016-01-01 00:00:00'::timestamp, null::timestamp); </v>
      </c>
      <c r="AK280" s="1" t="str">
        <f t="shared" si="95"/>
        <v/>
      </c>
      <c r="AL280" s="1" t="str">
        <f t="shared" si="96"/>
        <v/>
      </c>
      <c r="AM280" s="1" t="str">
        <f t="shared" si="97"/>
        <v/>
      </c>
      <c r="AO280" s="8" t="str">
        <f t="shared" si="109"/>
        <v xml:space="preserve">PERFORM * FROM "SchData-OLTP-Accounting"."Func_TblChartOfAccount_SET"(varSystemLoginSession, null, null, null, varInstitutionBranchID, null, '6-3200', 'Mobile Phones &lt; $500', 62000000000001::bigint, '2016-01-01 00:00:00'::timestamp, null::timestamp); </v>
      </c>
    </row>
    <row r="281" spans="2:41" x14ac:dyDescent="0.25">
      <c r="B281" s="1">
        <v>2</v>
      </c>
      <c r="C281" s="2" t="s">
        <v>564</v>
      </c>
      <c r="D281" s="1" t="s">
        <v>433</v>
      </c>
      <c r="M281" s="2" t="s">
        <v>564</v>
      </c>
      <c r="Q281" s="1" t="str">
        <f t="shared" si="108"/>
        <v>IT Expenses</v>
      </c>
      <c r="S281" s="1" t="str">
        <f t="shared" si="98"/>
        <v>2-PASV</v>
      </c>
      <c r="T281" s="1" t="str">
        <f t="shared" si="99"/>
        <v>3-0000</v>
      </c>
      <c r="U281" s="1" t="str">
        <f t="shared" si="100"/>
        <v>3-3000</v>
      </c>
      <c r="V281" s="1" t="str">
        <f t="shared" si="101"/>
        <v>4-1EAT</v>
      </c>
      <c r="W281" s="1" t="str">
        <f t="shared" si="102"/>
        <v>4-2EBT</v>
      </c>
      <c r="X281" s="1" t="str">
        <f t="shared" si="103"/>
        <v>4-3OPF</v>
      </c>
      <c r="Y281" s="1" t="str">
        <f t="shared" si="104"/>
        <v>6-0000</v>
      </c>
      <c r="Z281" s="1" t="str">
        <f t="shared" si="105"/>
        <v>6-3300</v>
      </c>
      <c r="AA281" s="1" t="str">
        <f t="shared" si="106"/>
        <v>5-3000</v>
      </c>
      <c r="AB281" s="1" t="str">
        <f t="shared" si="107"/>
        <v>5-9000</v>
      </c>
      <c r="AD281" s="1" t="str">
        <f t="shared" si="88"/>
        <v/>
      </c>
      <c r="AE281" s="1" t="str">
        <f t="shared" si="89"/>
        <v/>
      </c>
      <c r="AF281" s="1" t="str">
        <f t="shared" si="90"/>
        <v/>
      </c>
      <c r="AG281" s="1" t="str">
        <f t="shared" si="91"/>
        <v/>
      </c>
      <c r="AH281" s="1" t="str">
        <f t="shared" si="92"/>
        <v/>
      </c>
      <c r="AI281" s="1" t="str">
        <f t="shared" si="93"/>
        <v/>
      </c>
      <c r="AJ281" s="1" t="str">
        <f t="shared" si="94"/>
        <v xml:space="preserve">PERFORM * FROM "SchData-OLTP-Accounting"."Func_TblChartOfAccount_SET"(varSystemLoginSession, null, null, null, varInstitutionBranchID, null, '6-3300', 'IT Expenses', 62000000000001::bigint, '2016-01-01 00:00:00'::timestamp, null::timestamp); </v>
      </c>
      <c r="AK281" s="1" t="str">
        <f t="shared" si="95"/>
        <v/>
      </c>
      <c r="AL281" s="1" t="str">
        <f t="shared" si="96"/>
        <v/>
      </c>
      <c r="AM281" s="1" t="str">
        <f t="shared" si="97"/>
        <v/>
      </c>
      <c r="AO281" s="8" t="str">
        <f t="shared" si="109"/>
        <v xml:space="preserve">PERFORM * FROM "SchData-OLTP-Accounting"."Func_TblChartOfAccount_SET"(varSystemLoginSession, null, null, null, varInstitutionBranchID, null, '6-3300', 'IT Expenses', 62000000000001::bigint, '2016-01-01 00:00:00'::timestamp, null::timestamp); </v>
      </c>
    </row>
    <row r="282" spans="2:41" x14ac:dyDescent="0.25">
      <c r="B282" s="1">
        <v>2</v>
      </c>
      <c r="C282" s="2" t="s">
        <v>565</v>
      </c>
      <c r="D282" s="1" t="s">
        <v>566</v>
      </c>
      <c r="M282" s="2" t="s">
        <v>565</v>
      </c>
      <c r="Q282" s="1" t="str">
        <f t="shared" si="108"/>
        <v>Local Transportation</v>
      </c>
      <c r="S282" s="1" t="str">
        <f t="shared" si="98"/>
        <v>2-PASV</v>
      </c>
      <c r="T282" s="1" t="str">
        <f t="shared" si="99"/>
        <v>3-0000</v>
      </c>
      <c r="U282" s="1" t="str">
        <f t="shared" si="100"/>
        <v>3-3000</v>
      </c>
      <c r="V282" s="1" t="str">
        <f t="shared" si="101"/>
        <v>4-1EAT</v>
      </c>
      <c r="W282" s="1" t="str">
        <f t="shared" si="102"/>
        <v>4-2EBT</v>
      </c>
      <c r="X282" s="1" t="str">
        <f t="shared" si="103"/>
        <v>4-3OPF</v>
      </c>
      <c r="Y282" s="1" t="str">
        <f t="shared" si="104"/>
        <v>6-0000</v>
      </c>
      <c r="Z282" s="1" t="str">
        <f t="shared" si="105"/>
        <v>6-4100</v>
      </c>
      <c r="AA282" s="1" t="str">
        <f t="shared" si="106"/>
        <v>5-3000</v>
      </c>
      <c r="AB282" s="1" t="str">
        <f t="shared" si="107"/>
        <v>5-9000</v>
      </c>
      <c r="AD282" s="1" t="str">
        <f t="shared" si="88"/>
        <v/>
      </c>
      <c r="AE282" s="1" t="str">
        <f t="shared" si="89"/>
        <v/>
      </c>
      <c r="AF282" s="1" t="str">
        <f t="shared" si="90"/>
        <v/>
      </c>
      <c r="AG282" s="1" t="str">
        <f t="shared" si="91"/>
        <v/>
      </c>
      <c r="AH282" s="1" t="str">
        <f t="shared" si="92"/>
        <v/>
      </c>
      <c r="AI282" s="1" t="str">
        <f t="shared" si="93"/>
        <v/>
      </c>
      <c r="AJ282" s="1" t="str">
        <f t="shared" si="94"/>
        <v xml:space="preserve">PERFORM * FROM "SchData-OLTP-Accounting"."Func_TblChartOfAccount_SET"(varSystemLoginSession, null, null, null, varInstitutionBranchID, null, '6-4100', 'Local Transportation', 62000000000001::bigint, '2016-01-01 00:00:00'::timestamp, null::timestamp); </v>
      </c>
      <c r="AK282" s="1" t="str">
        <f t="shared" si="95"/>
        <v/>
      </c>
      <c r="AL282" s="1" t="str">
        <f t="shared" si="96"/>
        <v/>
      </c>
      <c r="AM282" s="1" t="str">
        <f t="shared" si="97"/>
        <v/>
      </c>
      <c r="AO282" s="8" t="str">
        <f t="shared" si="109"/>
        <v xml:space="preserve">PERFORM * FROM "SchData-OLTP-Accounting"."Func_TblChartOfAccount_SET"(varSystemLoginSession, null, null, null, varInstitutionBranchID, null, '6-4100', 'Local Transportation', 62000000000001::bigint, '2016-01-01 00:00:00'::timestamp, null::timestamp); </v>
      </c>
    </row>
    <row r="283" spans="2:41" x14ac:dyDescent="0.25">
      <c r="B283" s="1">
        <v>2</v>
      </c>
      <c r="C283" s="2" t="s">
        <v>567</v>
      </c>
      <c r="D283" s="1" t="s">
        <v>435</v>
      </c>
      <c r="M283" s="2" t="s">
        <v>567</v>
      </c>
      <c r="Q283" s="1" t="str">
        <f t="shared" si="108"/>
        <v>Hire of Motor Vehicle</v>
      </c>
      <c r="S283" s="1" t="str">
        <f t="shared" si="98"/>
        <v>2-PASV</v>
      </c>
      <c r="T283" s="1" t="str">
        <f t="shared" si="99"/>
        <v>3-0000</v>
      </c>
      <c r="U283" s="1" t="str">
        <f t="shared" si="100"/>
        <v>3-3000</v>
      </c>
      <c r="V283" s="1" t="str">
        <f t="shared" si="101"/>
        <v>4-1EAT</v>
      </c>
      <c r="W283" s="1" t="str">
        <f t="shared" si="102"/>
        <v>4-2EBT</v>
      </c>
      <c r="X283" s="1" t="str">
        <f t="shared" si="103"/>
        <v>4-3OPF</v>
      </c>
      <c r="Y283" s="1" t="str">
        <f t="shared" si="104"/>
        <v>6-0000</v>
      </c>
      <c r="Z283" s="1" t="str">
        <f t="shared" si="105"/>
        <v>6-4200</v>
      </c>
      <c r="AA283" s="1" t="str">
        <f t="shared" si="106"/>
        <v>5-3000</v>
      </c>
      <c r="AB283" s="1" t="str">
        <f t="shared" si="107"/>
        <v>5-9000</v>
      </c>
      <c r="AD283" s="1" t="str">
        <f t="shared" si="88"/>
        <v/>
      </c>
      <c r="AE283" s="1" t="str">
        <f t="shared" si="89"/>
        <v/>
      </c>
      <c r="AF283" s="1" t="str">
        <f t="shared" si="90"/>
        <v/>
      </c>
      <c r="AG283" s="1" t="str">
        <f t="shared" si="91"/>
        <v/>
      </c>
      <c r="AH283" s="1" t="str">
        <f t="shared" si="92"/>
        <v/>
      </c>
      <c r="AI283" s="1" t="str">
        <f t="shared" si="93"/>
        <v/>
      </c>
      <c r="AJ283" s="1" t="str">
        <f t="shared" si="94"/>
        <v xml:space="preserve">PERFORM * FROM "SchData-OLTP-Accounting"."Func_TblChartOfAccount_SET"(varSystemLoginSession, null, null, null, varInstitutionBranchID, null, '6-4200', 'Hire of Motor Vehicle', 62000000000001::bigint, '2016-01-01 00:00:00'::timestamp, null::timestamp); </v>
      </c>
      <c r="AK283" s="1" t="str">
        <f t="shared" si="95"/>
        <v/>
      </c>
      <c r="AL283" s="1" t="str">
        <f t="shared" si="96"/>
        <v/>
      </c>
      <c r="AM283" s="1" t="str">
        <f t="shared" si="97"/>
        <v/>
      </c>
      <c r="AO283" s="8" t="str">
        <f t="shared" si="109"/>
        <v xml:space="preserve">PERFORM * FROM "SchData-OLTP-Accounting"."Func_TblChartOfAccount_SET"(varSystemLoginSession, null, null, null, varInstitutionBranchID, null, '6-4200', 'Hire of Motor Vehicle', 62000000000001::bigint, '2016-01-01 00:00:00'::timestamp, null::timestamp); </v>
      </c>
    </row>
    <row r="284" spans="2:41" x14ac:dyDescent="0.25">
      <c r="B284" s="1">
        <v>2</v>
      </c>
      <c r="C284" s="2" t="s">
        <v>568</v>
      </c>
      <c r="D284" s="1" t="s">
        <v>451</v>
      </c>
      <c r="M284" s="2" t="s">
        <v>568</v>
      </c>
      <c r="Q284" s="1" t="str">
        <f t="shared" si="108"/>
        <v>Business Travelling</v>
      </c>
      <c r="S284" s="1" t="str">
        <f t="shared" si="98"/>
        <v>2-PASV</v>
      </c>
      <c r="T284" s="1" t="str">
        <f t="shared" si="99"/>
        <v>3-0000</v>
      </c>
      <c r="U284" s="1" t="str">
        <f t="shared" si="100"/>
        <v>3-3000</v>
      </c>
      <c r="V284" s="1" t="str">
        <f t="shared" si="101"/>
        <v>4-1EAT</v>
      </c>
      <c r="W284" s="1" t="str">
        <f t="shared" si="102"/>
        <v>4-2EBT</v>
      </c>
      <c r="X284" s="1" t="str">
        <f t="shared" si="103"/>
        <v>4-3OPF</v>
      </c>
      <c r="Y284" s="1" t="str">
        <f t="shared" si="104"/>
        <v>6-0000</v>
      </c>
      <c r="Z284" s="1" t="str">
        <f t="shared" si="105"/>
        <v>6-4300</v>
      </c>
      <c r="AA284" s="1" t="str">
        <f t="shared" si="106"/>
        <v>5-3000</v>
      </c>
      <c r="AB284" s="1" t="str">
        <f t="shared" si="107"/>
        <v>5-9000</v>
      </c>
      <c r="AD284" s="1" t="str">
        <f t="shared" si="88"/>
        <v/>
      </c>
      <c r="AE284" s="1" t="str">
        <f t="shared" si="89"/>
        <v/>
      </c>
      <c r="AF284" s="1" t="str">
        <f t="shared" si="90"/>
        <v/>
      </c>
      <c r="AG284" s="1" t="str">
        <f t="shared" si="91"/>
        <v/>
      </c>
      <c r="AH284" s="1" t="str">
        <f t="shared" si="92"/>
        <v/>
      </c>
      <c r="AI284" s="1" t="str">
        <f t="shared" si="93"/>
        <v/>
      </c>
      <c r="AJ284" s="1" t="str">
        <f t="shared" si="94"/>
        <v xml:space="preserve">PERFORM * FROM "SchData-OLTP-Accounting"."Func_TblChartOfAccount_SET"(varSystemLoginSession, null, null, null, varInstitutionBranchID, null, '6-4300', 'Business Travelling', 62000000000001::bigint, '2016-01-01 00:00:00'::timestamp, null::timestamp); </v>
      </c>
      <c r="AK284" s="1" t="str">
        <f t="shared" si="95"/>
        <v/>
      </c>
      <c r="AL284" s="1" t="str">
        <f t="shared" si="96"/>
        <v/>
      </c>
      <c r="AM284" s="1" t="str">
        <f t="shared" si="97"/>
        <v/>
      </c>
      <c r="AO284" s="8" t="str">
        <f t="shared" si="109"/>
        <v xml:space="preserve">PERFORM * FROM "SchData-OLTP-Accounting"."Func_TblChartOfAccount_SET"(varSystemLoginSession, null, null, null, varInstitutionBranchID, null, '6-4300', 'Business Travelling', 62000000000001::bigint, '2016-01-01 00:00:00'::timestamp, null::timestamp); </v>
      </c>
    </row>
    <row r="285" spans="2:41" x14ac:dyDescent="0.25">
      <c r="B285" s="1">
        <v>2</v>
      </c>
      <c r="C285" s="2" t="s">
        <v>569</v>
      </c>
      <c r="D285" s="1" t="s">
        <v>570</v>
      </c>
      <c r="M285" s="2" t="s">
        <v>569</v>
      </c>
      <c r="Q285" s="1" t="str">
        <f t="shared" si="108"/>
        <v>MV - Fuel &amp; Oil</v>
      </c>
      <c r="S285" s="1" t="str">
        <f t="shared" si="98"/>
        <v>2-PASV</v>
      </c>
      <c r="T285" s="1" t="str">
        <f t="shared" si="99"/>
        <v>3-0000</v>
      </c>
      <c r="U285" s="1" t="str">
        <f t="shared" si="100"/>
        <v>3-3000</v>
      </c>
      <c r="V285" s="1" t="str">
        <f t="shared" si="101"/>
        <v>4-1EAT</v>
      </c>
      <c r="W285" s="1" t="str">
        <f t="shared" si="102"/>
        <v>4-2EBT</v>
      </c>
      <c r="X285" s="1" t="str">
        <f t="shared" si="103"/>
        <v>4-3OPF</v>
      </c>
      <c r="Y285" s="1" t="str">
        <f t="shared" si="104"/>
        <v>6-0000</v>
      </c>
      <c r="Z285" s="1" t="str">
        <f t="shared" si="105"/>
        <v>6-4310</v>
      </c>
      <c r="AA285" s="1" t="str">
        <f t="shared" si="106"/>
        <v>5-3000</v>
      </c>
      <c r="AB285" s="1" t="str">
        <f t="shared" si="107"/>
        <v>5-9000</v>
      </c>
      <c r="AD285" s="1" t="str">
        <f t="shared" si="88"/>
        <v/>
      </c>
      <c r="AE285" s="1" t="str">
        <f t="shared" si="89"/>
        <v/>
      </c>
      <c r="AF285" s="1" t="str">
        <f t="shared" si="90"/>
        <v/>
      </c>
      <c r="AG285" s="1" t="str">
        <f t="shared" si="91"/>
        <v/>
      </c>
      <c r="AH285" s="1" t="str">
        <f t="shared" si="92"/>
        <v/>
      </c>
      <c r="AI285" s="1" t="str">
        <f t="shared" si="93"/>
        <v/>
      </c>
      <c r="AJ285" s="1" t="str">
        <f t="shared" si="94"/>
        <v xml:space="preserve">PERFORM * FROM "SchData-OLTP-Accounting"."Func_TblChartOfAccount_SET"(varSystemLoginSession, null, null, null, varInstitutionBranchID, null, '6-4310', 'MV - Fuel &amp; Oil', 62000000000001::bigint, '2016-01-01 00:00:00'::timestamp, null::timestamp); </v>
      </c>
      <c r="AK285" s="1" t="str">
        <f t="shared" si="95"/>
        <v/>
      </c>
      <c r="AL285" s="1" t="str">
        <f t="shared" si="96"/>
        <v/>
      </c>
      <c r="AM285" s="1" t="str">
        <f t="shared" si="97"/>
        <v/>
      </c>
      <c r="AO285" s="8" t="str">
        <f t="shared" si="109"/>
        <v xml:space="preserve">PERFORM * FROM "SchData-OLTP-Accounting"."Func_TblChartOfAccount_SET"(varSystemLoginSession, null, null, null, varInstitutionBranchID, null, '6-4310', 'MV - Fuel &amp; Oil', 62000000000001::bigint, '2016-01-01 00:00:00'::timestamp, null::timestamp); </v>
      </c>
    </row>
    <row r="286" spans="2:41" x14ac:dyDescent="0.25">
      <c r="B286" s="1">
        <v>2</v>
      </c>
      <c r="C286" s="2" t="s">
        <v>571</v>
      </c>
      <c r="D286" s="1" t="s">
        <v>572</v>
      </c>
      <c r="M286" s="2" t="s">
        <v>571</v>
      </c>
      <c r="Q286" s="1" t="str">
        <f t="shared" si="108"/>
        <v>MV - Repair &amp; Maintenance</v>
      </c>
      <c r="S286" s="1" t="str">
        <f t="shared" si="98"/>
        <v>2-PASV</v>
      </c>
      <c r="T286" s="1" t="str">
        <f t="shared" si="99"/>
        <v>3-0000</v>
      </c>
      <c r="U286" s="1" t="str">
        <f t="shared" si="100"/>
        <v>3-3000</v>
      </c>
      <c r="V286" s="1" t="str">
        <f t="shared" si="101"/>
        <v>4-1EAT</v>
      </c>
      <c r="W286" s="1" t="str">
        <f t="shared" si="102"/>
        <v>4-2EBT</v>
      </c>
      <c r="X286" s="1" t="str">
        <f t="shared" si="103"/>
        <v>4-3OPF</v>
      </c>
      <c r="Y286" s="1" t="str">
        <f t="shared" si="104"/>
        <v>6-0000</v>
      </c>
      <c r="Z286" s="1" t="str">
        <f t="shared" si="105"/>
        <v>6-4320</v>
      </c>
      <c r="AA286" s="1" t="str">
        <f t="shared" si="106"/>
        <v>5-3000</v>
      </c>
      <c r="AB286" s="1" t="str">
        <f t="shared" si="107"/>
        <v>5-9000</v>
      </c>
      <c r="AD286" s="1" t="str">
        <f t="shared" si="88"/>
        <v/>
      </c>
      <c r="AE286" s="1" t="str">
        <f t="shared" si="89"/>
        <v/>
      </c>
      <c r="AF286" s="1" t="str">
        <f t="shared" si="90"/>
        <v/>
      </c>
      <c r="AG286" s="1" t="str">
        <f t="shared" si="91"/>
        <v/>
      </c>
      <c r="AH286" s="1" t="str">
        <f t="shared" si="92"/>
        <v/>
      </c>
      <c r="AI286" s="1" t="str">
        <f t="shared" si="93"/>
        <v/>
      </c>
      <c r="AJ286" s="1" t="str">
        <f t="shared" si="94"/>
        <v xml:space="preserve">PERFORM * FROM "SchData-OLTP-Accounting"."Func_TblChartOfAccount_SET"(varSystemLoginSession, null, null, null, varInstitutionBranchID, null, '6-4320', 'MV - Repair &amp; Maintenance', 62000000000001::bigint, '2016-01-01 00:00:00'::timestamp, null::timestamp); </v>
      </c>
      <c r="AK286" s="1" t="str">
        <f t="shared" si="95"/>
        <v/>
      </c>
      <c r="AL286" s="1" t="str">
        <f t="shared" si="96"/>
        <v/>
      </c>
      <c r="AM286" s="1" t="str">
        <f t="shared" si="97"/>
        <v/>
      </c>
      <c r="AO286" s="8" t="str">
        <f t="shared" si="109"/>
        <v xml:space="preserve">PERFORM * FROM "SchData-OLTP-Accounting"."Func_TblChartOfAccount_SET"(varSystemLoginSession, null, null, null, varInstitutionBranchID, null, '6-4320', 'MV - Repair &amp; Maintenance', 62000000000001::bigint, '2016-01-01 00:00:00'::timestamp, null::timestamp); </v>
      </c>
    </row>
    <row r="287" spans="2:41" x14ac:dyDescent="0.25">
      <c r="B287" s="1">
        <v>2</v>
      </c>
      <c r="C287" s="2" t="s">
        <v>573</v>
      </c>
      <c r="D287" s="1" t="s">
        <v>574</v>
      </c>
      <c r="M287" s="2" t="s">
        <v>573</v>
      </c>
      <c r="Q287" s="1" t="str">
        <f t="shared" si="108"/>
        <v>MV - Tyres, Tubes</v>
      </c>
      <c r="S287" s="1" t="str">
        <f t="shared" si="98"/>
        <v>2-PASV</v>
      </c>
      <c r="T287" s="1" t="str">
        <f t="shared" si="99"/>
        <v>3-0000</v>
      </c>
      <c r="U287" s="1" t="str">
        <f t="shared" si="100"/>
        <v>3-3000</v>
      </c>
      <c r="V287" s="1" t="str">
        <f t="shared" si="101"/>
        <v>4-1EAT</v>
      </c>
      <c r="W287" s="1" t="str">
        <f t="shared" si="102"/>
        <v>4-2EBT</v>
      </c>
      <c r="X287" s="1" t="str">
        <f t="shared" si="103"/>
        <v>4-3OPF</v>
      </c>
      <c r="Y287" s="1" t="str">
        <f t="shared" si="104"/>
        <v>6-0000</v>
      </c>
      <c r="Z287" s="1" t="str">
        <f t="shared" si="105"/>
        <v>6-4330</v>
      </c>
      <c r="AA287" s="1" t="str">
        <f t="shared" si="106"/>
        <v>5-3000</v>
      </c>
      <c r="AB287" s="1" t="str">
        <f t="shared" si="107"/>
        <v>5-9000</v>
      </c>
      <c r="AD287" s="1" t="str">
        <f t="shared" si="88"/>
        <v/>
      </c>
      <c r="AE287" s="1" t="str">
        <f t="shared" si="89"/>
        <v/>
      </c>
      <c r="AF287" s="1" t="str">
        <f t="shared" si="90"/>
        <v/>
      </c>
      <c r="AG287" s="1" t="str">
        <f t="shared" si="91"/>
        <v/>
      </c>
      <c r="AH287" s="1" t="str">
        <f t="shared" si="92"/>
        <v/>
      </c>
      <c r="AI287" s="1" t="str">
        <f t="shared" si="93"/>
        <v/>
      </c>
      <c r="AJ287" s="1" t="str">
        <f t="shared" si="94"/>
        <v xml:space="preserve">PERFORM * FROM "SchData-OLTP-Accounting"."Func_TblChartOfAccount_SET"(varSystemLoginSession, null, null, null, varInstitutionBranchID, null, '6-4330', 'MV - Tyres, Tubes', 62000000000001::bigint, '2016-01-01 00:00:00'::timestamp, null::timestamp); </v>
      </c>
      <c r="AK287" s="1" t="str">
        <f t="shared" si="95"/>
        <v/>
      </c>
      <c r="AL287" s="1" t="str">
        <f t="shared" si="96"/>
        <v/>
      </c>
      <c r="AM287" s="1" t="str">
        <f t="shared" si="97"/>
        <v/>
      </c>
      <c r="AO287" s="8" t="str">
        <f t="shared" si="109"/>
        <v xml:space="preserve">PERFORM * FROM "SchData-OLTP-Accounting"."Func_TblChartOfAccount_SET"(varSystemLoginSession, null, null, null, varInstitutionBranchID, null, '6-4330', 'MV - Tyres, Tubes', 62000000000001::bigint, '2016-01-01 00:00:00'::timestamp, null::timestamp); </v>
      </c>
    </row>
    <row r="288" spans="2:41" x14ac:dyDescent="0.25">
      <c r="B288" s="1">
        <v>2</v>
      </c>
      <c r="C288" s="2" t="s">
        <v>575</v>
      </c>
      <c r="D288" s="1" t="s">
        <v>576</v>
      </c>
      <c r="M288" s="2" t="s">
        <v>575</v>
      </c>
      <c r="Q288" s="1" t="str">
        <f t="shared" si="108"/>
        <v>MV - Spare Parts</v>
      </c>
      <c r="S288" s="1" t="str">
        <f t="shared" si="98"/>
        <v>2-PASV</v>
      </c>
      <c r="T288" s="1" t="str">
        <f t="shared" si="99"/>
        <v>3-0000</v>
      </c>
      <c r="U288" s="1" t="str">
        <f t="shared" si="100"/>
        <v>3-3000</v>
      </c>
      <c r="V288" s="1" t="str">
        <f t="shared" si="101"/>
        <v>4-1EAT</v>
      </c>
      <c r="W288" s="1" t="str">
        <f t="shared" si="102"/>
        <v>4-2EBT</v>
      </c>
      <c r="X288" s="1" t="str">
        <f t="shared" si="103"/>
        <v>4-3OPF</v>
      </c>
      <c r="Y288" s="1" t="str">
        <f t="shared" si="104"/>
        <v>6-0000</v>
      </c>
      <c r="Z288" s="1" t="str">
        <f t="shared" si="105"/>
        <v>6-4340</v>
      </c>
      <c r="AA288" s="1" t="str">
        <f t="shared" si="106"/>
        <v>5-3000</v>
      </c>
      <c r="AB288" s="1" t="str">
        <f t="shared" si="107"/>
        <v>5-9000</v>
      </c>
      <c r="AD288" s="1" t="str">
        <f t="shared" si="88"/>
        <v/>
      </c>
      <c r="AE288" s="1" t="str">
        <f t="shared" si="89"/>
        <v/>
      </c>
      <c r="AF288" s="1" t="str">
        <f t="shared" si="90"/>
        <v/>
      </c>
      <c r="AG288" s="1" t="str">
        <f t="shared" si="91"/>
        <v/>
      </c>
      <c r="AH288" s="1" t="str">
        <f t="shared" si="92"/>
        <v/>
      </c>
      <c r="AI288" s="1" t="str">
        <f t="shared" si="93"/>
        <v/>
      </c>
      <c r="AJ288" s="1" t="str">
        <f t="shared" si="94"/>
        <v xml:space="preserve">PERFORM * FROM "SchData-OLTP-Accounting"."Func_TblChartOfAccount_SET"(varSystemLoginSession, null, null, null, varInstitutionBranchID, null, '6-4340', 'MV - Spare Parts', 62000000000001::bigint, '2016-01-01 00:00:00'::timestamp, null::timestamp); </v>
      </c>
      <c r="AK288" s="1" t="str">
        <f t="shared" si="95"/>
        <v/>
      </c>
      <c r="AL288" s="1" t="str">
        <f t="shared" si="96"/>
        <v/>
      </c>
      <c r="AM288" s="1" t="str">
        <f t="shared" si="97"/>
        <v/>
      </c>
      <c r="AO288" s="8" t="str">
        <f t="shared" si="109"/>
        <v xml:space="preserve">PERFORM * FROM "SchData-OLTP-Accounting"."Func_TblChartOfAccount_SET"(varSystemLoginSession, null, null, null, varInstitutionBranchID, null, '6-4340', 'MV - Spare Parts', 62000000000001::bigint, '2016-01-01 00:00:00'::timestamp, null::timestamp); </v>
      </c>
    </row>
    <row r="289" spans="2:41" x14ac:dyDescent="0.25">
      <c r="B289" s="1">
        <v>2</v>
      </c>
      <c r="C289" s="2" t="s">
        <v>577</v>
      </c>
      <c r="D289" s="1" t="s">
        <v>578</v>
      </c>
      <c r="M289" s="2" t="s">
        <v>577</v>
      </c>
      <c r="Q289" s="1" t="str">
        <f t="shared" si="108"/>
        <v>MV - Accessories</v>
      </c>
      <c r="S289" s="1" t="str">
        <f t="shared" si="98"/>
        <v>2-PASV</v>
      </c>
      <c r="T289" s="1" t="str">
        <f t="shared" si="99"/>
        <v>3-0000</v>
      </c>
      <c r="U289" s="1" t="str">
        <f t="shared" si="100"/>
        <v>3-3000</v>
      </c>
      <c r="V289" s="1" t="str">
        <f t="shared" si="101"/>
        <v>4-1EAT</v>
      </c>
      <c r="W289" s="1" t="str">
        <f t="shared" si="102"/>
        <v>4-2EBT</v>
      </c>
      <c r="X289" s="1" t="str">
        <f t="shared" si="103"/>
        <v>4-3OPF</v>
      </c>
      <c r="Y289" s="1" t="str">
        <f t="shared" si="104"/>
        <v>6-0000</v>
      </c>
      <c r="Z289" s="1" t="str">
        <f t="shared" si="105"/>
        <v>6-4350</v>
      </c>
      <c r="AA289" s="1" t="str">
        <f t="shared" si="106"/>
        <v>5-3000</v>
      </c>
      <c r="AB289" s="1" t="str">
        <f t="shared" si="107"/>
        <v>5-9000</v>
      </c>
      <c r="AD289" s="1" t="str">
        <f t="shared" si="88"/>
        <v/>
      </c>
      <c r="AE289" s="1" t="str">
        <f t="shared" si="89"/>
        <v/>
      </c>
      <c r="AF289" s="1" t="str">
        <f t="shared" si="90"/>
        <v/>
      </c>
      <c r="AG289" s="1" t="str">
        <f t="shared" si="91"/>
        <v/>
      </c>
      <c r="AH289" s="1" t="str">
        <f t="shared" si="92"/>
        <v/>
      </c>
      <c r="AI289" s="1" t="str">
        <f t="shared" si="93"/>
        <v/>
      </c>
      <c r="AJ289" s="1" t="str">
        <f t="shared" si="94"/>
        <v xml:space="preserve">PERFORM * FROM "SchData-OLTP-Accounting"."Func_TblChartOfAccount_SET"(varSystemLoginSession, null, null, null, varInstitutionBranchID, null, '6-4350', 'MV - Accessories', 62000000000001::bigint, '2016-01-01 00:00:00'::timestamp, null::timestamp); </v>
      </c>
      <c r="AK289" s="1" t="str">
        <f t="shared" si="95"/>
        <v/>
      </c>
      <c r="AL289" s="1" t="str">
        <f t="shared" si="96"/>
        <v/>
      </c>
      <c r="AM289" s="1" t="str">
        <f t="shared" si="97"/>
        <v/>
      </c>
      <c r="AO289" s="8" t="str">
        <f t="shared" si="109"/>
        <v xml:space="preserve">PERFORM * FROM "SchData-OLTP-Accounting"."Func_TblChartOfAccount_SET"(varSystemLoginSession, null, null, null, varInstitutionBranchID, null, '6-4350', 'MV - Accessories', 62000000000001::bigint, '2016-01-01 00:00:00'::timestamp, null::timestamp); </v>
      </c>
    </row>
    <row r="290" spans="2:41" x14ac:dyDescent="0.25">
      <c r="B290" s="1">
        <v>2</v>
      </c>
      <c r="C290" s="2" t="s">
        <v>579</v>
      </c>
      <c r="D290" s="1" t="s">
        <v>580</v>
      </c>
      <c r="M290" s="2" t="s">
        <v>579</v>
      </c>
      <c r="Q290" s="1" t="str">
        <f t="shared" si="108"/>
        <v>MV - Other</v>
      </c>
      <c r="S290" s="1" t="str">
        <f t="shared" si="98"/>
        <v>2-PASV</v>
      </c>
      <c r="T290" s="1" t="str">
        <f t="shared" si="99"/>
        <v>3-0000</v>
      </c>
      <c r="U290" s="1" t="str">
        <f t="shared" si="100"/>
        <v>3-3000</v>
      </c>
      <c r="V290" s="1" t="str">
        <f t="shared" si="101"/>
        <v>4-1EAT</v>
      </c>
      <c r="W290" s="1" t="str">
        <f t="shared" si="102"/>
        <v>4-2EBT</v>
      </c>
      <c r="X290" s="1" t="str">
        <f t="shared" si="103"/>
        <v>4-3OPF</v>
      </c>
      <c r="Y290" s="1" t="str">
        <f t="shared" si="104"/>
        <v>6-0000</v>
      </c>
      <c r="Z290" s="1" t="str">
        <f t="shared" si="105"/>
        <v>6-4360</v>
      </c>
      <c r="AA290" s="1" t="str">
        <f t="shared" si="106"/>
        <v>5-3000</v>
      </c>
      <c r="AB290" s="1" t="str">
        <f t="shared" si="107"/>
        <v>5-9000</v>
      </c>
      <c r="AD290" s="1" t="str">
        <f t="shared" si="88"/>
        <v/>
      </c>
      <c r="AE290" s="1" t="str">
        <f t="shared" si="89"/>
        <v/>
      </c>
      <c r="AF290" s="1" t="str">
        <f t="shared" si="90"/>
        <v/>
      </c>
      <c r="AG290" s="1" t="str">
        <f t="shared" si="91"/>
        <v/>
      </c>
      <c r="AH290" s="1" t="str">
        <f t="shared" si="92"/>
        <v/>
      </c>
      <c r="AI290" s="1" t="str">
        <f t="shared" si="93"/>
        <v/>
      </c>
      <c r="AJ290" s="1" t="str">
        <f t="shared" si="94"/>
        <v xml:space="preserve">PERFORM * FROM "SchData-OLTP-Accounting"."Func_TblChartOfAccount_SET"(varSystemLoginSession, null, null, null, varInstitutionBranchID, null, '6-4360', 'MV - Other', 62000000000001::bigint, '2016-01-01 00:00:00'::timestamp, null::timestamp); </v>
      </c>
      <c r="AK290" s="1" t="str">
        <f t="shared" si="95"/>
        <v/>
      </c>
      <c r="AL290" s="1" t="str">
        <f t="shared" si="96"/>
        <v/>
      </c>
      <c r="AM290" s="1" t="str">
        <f t="shared" si="97"/>
        <v/>
      </c>
      <c r="AO290" s="8" t="str">
        <f t="shared" si="109"/>
        <v xml:space="preserve">PERFORM * FROM "SchData-OLTP-Accounting"."Func_TblChartOfAccount_SET"(varSystemLoginSession, null, null, null, varInstitutionBranchID, null, '6-4360', 'MV - Other', 62000000000001::bigint, '2016-01-01 00:00:00'::timestamp, null::timestamp); </v>
      </c>
    </row>
    <row r="291" spans="2:41" x14ac:dyDescent="0.25">
      <c r="B291" s="1">
        <v>2</v>
      </c>
      <c r="C291" s="2" t="s">
        <v>581</v>
      </c>
      <c r="D291" s="1" t="s">
        <v>453</v>
      </c>
      <c r="M291" s="2" t="s">
        <v>581</v>
      </c>
      <c r="Q291" s="1" t="str">
        <f t="shared" si="108"/>
        <v>Travel &amp; Fares</v>
      </c>
      <c r="S291" s="1" t="str">
        <f t="shared" si="98"/>
        <v>2-PASV</v>
      </c>
      <c r="T291" s="1" t="str">
        <f t="shared" si="99"/>
        <v>3-0000</v>
      </c>
      <c r="U291" s="1" t="str">
        <f t="shared" si="100"/>
        <v>3-3000</v>
      </c>
      <c r="V291" s="1" t="str">
        <f t="shared" si="101"/>
        <v>4-1EAT</v>
      </c>
      <c r="W291" s="1" t="str">
        <f t="shared" si="102"/>
        <v>4-2EBT</v>
      </c>
      <c r="X291" s="1" t="str">
        <f t="shared" si="103"/>
        <v>4-3OPF</v>
      </c>
      <c r="Y291" s="1" t="str">
        <f t="shared" si="104"/>
        <v>6-0000</v>
      </c>
      <c r="Z291" s="1" t="str">
        <f t="shared" si="105"/>
        <v>6-4400</v>
      </c>
      <c r="AA291" s="1" t="str">
        <f t="shared" si="106"/>
        <v>5-3000</v>
      </c>
      <c r="AB291" s="1" t="str">
        <f t="shared" si="107"/>
        <v>5-9000</v>
      </c>
      <c r="AD291" s="1" t="str">
        <f t="shared" si="88"/>
        <v/>
      </c>
      <c r="AE291" s="1" t="str">
        <f t="shared" si="89"/>
        <v/>
      </c>
      <c r="AF291" s="1" t="str">
        <f t="shared" si="90"/>
        <v/>
      </c>
      <c r="AG291" s="1" t="str">
        <f t="shared" si="91"/>
        <v/>
      </c>
      <c r="AH291" s="1" t="str">
        <f t="shared" si="92"/>
        <v/>
      </c>
      <c r="AI291" s="1" t="str">
        <f t="shared" si="93"/>
        <v/>
      </c>
      <c r="AJ291" s="1" t="str">
        <f t="shared" si="94"/>
        <v xml:space="preserve">PERFORM * FROM "SchData-OLTP-Accounting"."Func_TblChartOfAccount_SET"(varSystemLoginSession, null, null, null, varInstitutionBranchID, null, '6-4400', 'Travel &amp; Fares', 62000000000001::bigint, '2016-01-01 00:00:00'::timestamp, null::timestamp); </v>
      </c>
      <c r="AK291" s="1" t="str">
        <f t="shared" si="95"/>
        <v/>
      </c>
      <c r="AL291" s="1" t="str">
        <f t="shared" si="96"/>
        <v/>
      </c>
      <c r="AM291" s="1" t="str">
        <f t="shared" si="97"/>
        <v/>
      </c>
      <c r="AO291" s="8" t="str">
        <f t="shared" si="109"/>
        <v xml:space="preserve">PERFORM * FROM "SchData-OLTP-Accounting"."Func_TblChartOfAccount_SET"(varSystemLoginSession, null, null, null, varInstitutionBranchID, null, '6-4400', 'Travel &amp; Fares', 62000000000001::bigint, '2016-01-01 00:00:00'::timestamp, null::timestamp); </v>
      </c>
    </row>
    <row r="292" spans="2:41" x14ac:dyDescent="0.25">
      <c r="B292" s="1">
        <v>2</v>
      </c>
      <c r="C292" s="2" t="s">
        <v>582</v>
      </c>
      <c r="D292" s="1" t="s">
        <v>583</v>
      </c>
      <c r="M292" s="2" t="s">
        <v>582</v>
      </c>
      <c r="Q292" s="1" t="str">
        <f t="shared" si="108"/>
        <v>Travel&amp;Fares - Sales</v>
      </c>
      <c r="S292" s="1" t="str">
        <f t="shared" si="98"/>
        <v>2-PASV</v>
      </c>
      <c r="T292" s="1" t="str">
        <f t="shared" si="99"/>
        <v>3-0000</v>
      </c>
      <c r="U292" s="1" t="str">
        <f t="shared" si="100"/>
        <v>3-3000</v>
      </c>
      <c r="V292" s="1" t="str">
        <f t="shared" si="101"/>
        <v>4-1EAT</v>
      </c>
      <c r="W292" s="1" t="str">
        <f t="shared" si="102"/>
        <v>4-2EBT</v>
      </c>
      <c r="X292" s="1" t="str">
        <f t="shared" si="103"/>
        <v>4-3OPF</v>
      </c>
      <c r="Y292" s="1" t="str">
        <f t="shared" si="104"/>
        <v>6-0000</v>
      </c>
      <c r="Z292" s="1" t="str">
        <f t="shared" si="105"/>
        <v>6-4450</v>
      </c>
      <c r="AA292" s="1" t="str">
        <f t="shared" si="106"/>
        <v>5-3000</v>
      </c>
      <c r="AB292" s="1" t="str">
        <f t="shared" si="107"/>
        <v>5-9000</v>
      </c>
      <c r="AD292" s="1" t="str">
        <f t="shared" si="88"/>
        <v/>
      </c>
      <c r="AE292" s="1" t="str">
        <f t="shared" si="89"/>
        <v/>
      </c>
      <c r="AF292" s="1" t="str">
        <f t="shared" si="90"/>
        <v/>
      </c>
      <c r="AG292" s="1" t="str">
        <f t="shared" si="91"/>
        <v/>
      </c>
      <c r="AH292" s="1" t="str">
        <f t="shared" si="92"/>
        <v/>
      </c>
      <c r="AI292" s="1" t="str">
        <f t="shared" si="93"/>
        <v/>
      </c>
      <c r="AJ292" s="1" t="str">
        <f t="shared" si="94"/>
        <v xml:space="preserve">PERFORM * FROM "SchData-OLTP-Accounting"."Func_TblChartOfAccount_SET"(varSystemLoginSession, null, null, null, varInstitutionBranchID, null, '6-4450', 'Travel&amp;Fares - Sales', 62000000000001::bigint, '2016-01-01 00:00:00'::timestamp, null::timestamp); </v>
      </c>
      <c r="AK292" s="1" t="str">
        <f t="shared" si="95"/>
        <v/>
      </c>
      <c r="AL292" s="1" t="str">
        <f t="shared" si="96"/>
        <v/>
      </c>
      <c r="AM292" s="1" t="str">
        <f t="shared" si="97"/>
        <v/>
      </c>
      <c r="AO292" s="8" t="str">
        <f t="shared" si="109"/>
        <v xml:space="preserve">PERFORM * FROM "SchData-OLTP-Accounting"."Func_TblChartOfAccount_SET"(varSystemLoginSession, null, null, null, varInstitutionBranchID, null, '6-4450', 'Travel&amp;Fares - Sales', 62000000000001::bigint, '2016-01-01 00:00:00'::timestamp, null::timestamp); </v>
      </c>
    </row>
    <row r="293" spans="2:41" x14ac:dyDescent="0.25">
      <c r="B293" s="1">
        <v>2</v>
      </c>
      <c r="C293" s="2" t="s">
        <v>584</v>
      </c>
      <c r="D293" s="1" t="s">
        <v>427</v>
      </c>
      <c r="M293" s="2" t="s">
        <v>584</v>
      </c>
      <c r="Q293" s="1" t="str">
        <f t="shared" si="108"/>
        <v>Property Rental/Lease</v>
      </c>
      <c r="S293" s="1" t="str">
        <f t="shared" si="98"/>
        <v>2-PASV</v>
      </c>
      <c r="T293" s="1" t="str">
        <f t="shared" si="99"/>
        <v>3-0000</v>
      </c>
      <c r="U293" s="1" t="str">
        <f t="shared" si="100"/>
        <v>3-3000</v>
      </c>
      <c r="V293" s="1" t="str">
        <f t="shared" si="101"/>
        <v>4-1EAT</v>
      </c>
      <c r="W293" s="1" t="str">
        <f t="shared" si="102"/>
        <v>4-2EBT</v>
      </c>
      <c r="X293" s="1" t="str">
        <f t="shared" si="103"/>
        <v>4-3OPF</v>
      </c>
      <c r="Y293" s="1" t="str">
        <f t="shared" si="104"/>
        <v>6-0000</v>
      </c>
      <c r="Z293" s="1" t="str">
        <f t="shared" si="105"/>
        <v>6-5100</v>
      </c>
      <c r="AA293" s="1" t="str">
        <f t="shared" si="106"/>
        <v>5-3000</v>
      </c>
      <c r="AB293" s="1" t="str">
        <f t="shared" si="107"/>
        <v>5-9000</v>
      </c>
      <c r="AD293" s="1" t="str">
        <f t="shared" si="88"/>
        <v/>
      </c>
      <c r="AE293" s="1" t="str">
        <f t="shared" si="89"/>
        <v/>
      </c>
      <c r="AF293" s="1" t="str">
        <f t="shared" si="90"/>
        <v/>
      </c>
      <c r="AG293" s="1" t="str">
        <f t="shared" si="91"/>
        <v/>
      </c>
      <c r="AH293" s="1" t="str">
        <f t="shared" si="92"/>
        <v/>
      </c>
      <c r="AI293" s="1" t="str">
        <f t="shared" si="93"/>
        <v/>
      </c>
      <c r="AJ293" s="1" t="str">
        <f t="shared" si="94"/>
        <v xml:space="preserve">PERFORM * FROM "SchData-OLTP-Accounting"."Func_TblChartOfAccount_SET"(varSystemLoginSession, null, null, null, varInstitutionBranchID, null, '6-5100', 'Property Rental/Lease', 62000000000001::bigint, '2016-01-01 00:00:00'::timestamp, null::timestamp); </v>
      </c>
      <c r="AK293" s="1" t="str">
        <f t="shared" si="95"/>
        <v/>
      </c>
      <c r="AL293" s="1" t="str">
        <f t="shared" si="96"/>
        <v/>
      </c>
      <c r="AM293" s="1" t="str">
        <f t="shared" si="97"/>
        <v/>
      </c>
      <c r="AO293" s="8" t="str">
        <f t="shared" si="109"/>
        <v xml:space="preserve">PERFORM * FROM "SchData-OLTP-Accounting"."Func_TblChartOfAccount_SET"(varSystemLoginSession, null, null, null, varInstitutionBranchID, null, '6-5100', 'Property Rental/Lease', 62000000000001::bigint, '2016-01-01 00:00:00'::timestamp, null::timestamp); </v>
      </c>
    </row>
    <row r="294" spans="2:41" x14ac:dyDescent="0.25">
      <c r="B294" s="1">
        <v>2</v>
      </c>
      <c r="C294" s="2" t="s">
        <v>585</v>
      </c>
      <c r="D294" s="1" t="s">
        <v>429</v>
      </c>
      <c r="M294" s="2" t="s">
        <v>585</v>
      </c>
      <c r="Q294" s="1" t="str">
        <f t="shared" si="108"/>
        <v>Hire of Other Plant &amp; Equipt</v>
      </c>
      <c r="S294" s="1" t="str">
        <f t="shared" si="98"/>
        <v>2-PASV</v>
      </c>
      <c r="T294" s="1" t="str">
        <f t="shared" si="99"/>
        <v>3-0000</v>
      </c>
      <c r="U294" s="1" t="str">
        <f t="shared" si="100"/>
        <v>3-3000</v>
      </c>
      <c r="V294" s="1" t="str">
        <f t="shared" si="101"/>
        <v>4-1EAT</v>
      </c>
      <c r="W294" s="1" t="str">
        <f t="shared" si="102"/>
        <v>4-2EBT</v>
      </c>
      <c r="X294" s="1" t="str">
        <f t="shared" si="103"/>
        <v>4-3OPF</v>
      </c>
      <c r="Y294" s="1" t="str">
        <f t="shared" si="104"/>
        <v>6-0000</v>
      </c>
      <c r="Z294" s="1" t="str">
        <f t="shared" si="105"/>
        <v>6-5200</v>
      </c>
      <c r="AA294" s="1" t="str">
        <f t="shared" si="106"/>
        <v>5-3000</v>
      </c>
      <c r="AB294" s="1" t="str">
        <f t="shared" si="107"/>
        <v>5-9000</v>
      </c>
      <c r="AD294" s="1" t="str">
        <f t="shared" si="88"/>
        <v/>
      </c>
      <c r="AE294" s="1" t="str">
        <f t="shared" si="89"/>
        <v/>
      </c>
      <c r="AF294" s="1" t="str">
        <f t="shared" si="90"/>
        <v/>
      </c>
      <c r="AG294" s="1" t="str">
        <f t="shared" si="91"/>
        <v/>
      </c>
      <c r="AH294" s="1" t="str">
        <f t="shared" si="92"/>
        <v/>
      </c>
      <c r="AI294" s="1" t="str">
        <f t="shared" si="93"/>
        <v/>
      </c>
      <c r="AJ294" s="1" t="str">
        <f t="shared" si="94"/>
        <v xml:space="preserve">PERFORM * FROM "SchData-OLTP-Accounting"."Func_TblChartOfAccount_SET"(varSystemLoginSession, null, null, null, varInstitutionBranchID, null, '6-5200', 'Hire of Other Plant &amp; Equipt', 62000000000001::bigint, '2016-01-01 00:00:00'::timestamp, null::timestamp); </v>
      </c>
      <c r="AK294" s="1" t="str">
        <f t="shared" si="95"/>
        <v/>
      </c>
      <c r="AL294" s="1" t="str">
        <f t="shared" si="96"/>
        <v/>
      </c>
      <c r="AM294" s="1" t="str">
        <f t="shared" si="97"/>
        <v/>
      </c>
      <c r="AO294" s="8" t="str">
        <f t="shared" si="109"/>
        <v xml:space="preserve">PERFORM * FROM "SchData-OLTP-Accounting"."Func_TblChartOfAccount_SET"(varSystemLoginSession, null, null, null, varInstitutionBranchID, null, '6-5200', 'Hire of Other Plant &amp; Equipt', 62000000000001::bigint, '2016-01-01 00:00:00'::timestamp, null::timestamp); </v>
      </c>
    </row>
    <row r="295" spans="2:41" x14ac:dyDescent="0.25">
      <c r="B295" s="1">
        <v>2</v>
      </c>
      <c r="C295" s="2" t="s">
        <v>586</v>
      </c>
      <c r="D295" s="1" t="s">
        <v>431</v>
      </c>
      <c r="M295" s="2" t="s">
        <v>586</v>
      </c>
      <c r="Q295" s="1" t="str">
        <f t="shared" si="108"/>
        <v>Property Repair &amp; Maintenance</v>
      </c>
      <c r="S295" s="1" t="str">
        <f t="shared" si="98"/>
        <v>2-PASV</v>
      </c>
      <c r="T295" s="1" t="str">
        <f t="shared" si="99"/>
        <v>3-0000</v>
      </c>
      <c r="U295" s="1" t="str">
        <f t="shared" si="100"/>
        <v>3-3000</v>
      </c>
      <c r="V295" s="1" t="str">
        <f t="shared" si="101"/>
        <v>4-1EAT</v>
      </c>
      <c r="W295" s="1" t="str">
        <f t="shared" si="102"/>
        <v>4-2EBT</v>
      </c>
      <c r="X295" s="1" t="str">
        <f t="shared" si="103"/>
        <v>4-3OPF</v>
      </c>
      <c r="Y295" s="1" t="str">
        <f t="shared" si="104"/>
        <v>6-0000</v>
      </c>
      <c r="Z295" s="1" t="str">
        <f t="shared" si="105"/>
        <v>6-5300</v>
      </c>
      <c r="AA295" s="1" t="str">
        <f t="shared" si="106"/>
        <v>5-3000</v>
      </c>
      <c r="AB295" s="1" t="str">
        <f t="shared" si="107"/>
        <v>5-9000</v>
      </c>
      <c r="AD295" s="1" t="str">
        <f t="shared" si="88"/>
        <v/>
      </c>
      <c r="AE295" s="1" t="str">
        <f t="shared" si="89"/>
        <v/>
      </c>
      <c r="AF295" s="1" t="str">
        <f t="shared" si="90"/>
        <v/>
      </c>
      <c r="AG295" s="1" t="str">
        <f t="shared" si="91"/>
        <v/>
      </c>
      <c r="AH295" s="1" t="str">
        <f t="shared" si="92"/>
        <v/>
      </c>
      <c r="AI295" s="1" t="str">
        <f t="shared" si="93"/>
        <v/>
      </c>
      <c r="AJ295" s="1" t="str">
        <f t="shared" si="94"/>
        <v xml:space="preserve">PERFORM * FROM "SchData-OLTP-Accounting"."Func_TblChartOfAccount_SET"(varSystemLoginSession, null, null, null, varInstitutionBranchID, null, '6-5300', 'Property Repair &amp; Maintenance', 62000000000001::bigint, '2016-01-01 00:00:00'::timestamp, null::timestamp); </v>
      </c>
      <c r="AK295" s="1" t="str">
        <f t="shared" si="95"/>
        <v/>
      </c>
      <c r="AL295" s="1" t="str">
        <f t="shared" si="96"/>
        <v/>
      </c>
      <c r="AM295" s="1" t="str">
        <f t="shared" si="97"/>
        <v/>
      </c>
      <c r="AO295" s="8" t="str">
        <f t="shared" si="109"/>
        <v xml:space="preserve">PERFORM * FROM "SchData-OLTP-Accounting"."Func_TblChartOfAccount_SET"(varSystemLoginSession, null, null, null, varInstitutionBranchID, null, '6-5300', 'Property Repair &amp; Maintenance', 62000000000001::bigint, '2016-01-01 00:00:00'::timestamp, null::timestamp); </v>
      </c>
    </row>
    <row r="296" spans="2:41" x14ac:dyDescent="0.25">
      <c r="B296" s="1">
        <v>2</v>
      </c>
      <c r="C296" s="2" t="s">
        <v>587</v>
      </c>
      <c r="D296" s="1" t="s">
        <v>475</v>
      </c>
      <c r="M296" s="2" t="s">
        <v>587</v>
      </c>
      <c r="Q296" s="1" t="str">
        <f t="shared" si="108"/>
        <v>Entertainment-Deductable</v>
      </c>
      <c r="S296" s="1" t="str">
        <f t="shared" si="98"/>
        <v>2-PASV</v>
      </c>
      <c r="T296" s="1" t="str">
        <f t="shared" si="99"/>
        <v>3-0000</v>
      </c>
      <c r="U296" s="1" t="str">
        <f t="shared" si="100"/>
        <v>3-3000</v>
      </c>
      <c r="V296" s="1" t="str">
        <f t="shared" si="101"/>
        <v>4-1EAT</v>
      </c>
      <c r="W296" s="1" t="str">
        <f t="shared" si="102"/>
        <v>4-2EBT</v>
      </c>
      <c r="X296" s="1" t="str">
        <f t="shared" si="103"/>
        <v>4-3OPF</v>
      </c>
      <c r="Y296" s="1" t="str">
        <f t="shared" si="104"/>
        <v>6-0000</v>
      </c>
      <c r="Z296" s="1" t="str">
        <f t="shared" si="105"/>
        <v>6-6100</v>
      </c>
      <c r="AA296" s="1" t="str">
        <f t="shared" si="106"/>
        <v>5-3000</v>
      </c>
      <c r="AB296" s="1" t="str">
        <f t="shared" si="107"/>
        <v>5-9000</v>
      </c>
      <c r="AD296" s="1" t="str">
        <f t="shared" si="88"/>
        <v/>
      </c>
      <c r="AE296" s="1" t="str">
        <f t="shared" si="89"/>
        <v/>
      </c>
      <c r="AF296" s="1" t="str">
        <f t="shared" si="90"/>
        <v/>
      </c>
      <c r="AG296" s="1" t="str">
        <f t="shared" si="91"/>
        <v/>
      </c>
      <c r="AH296" s="1" t="str">
        <f t="shared" si="92"/>
        <v/>
      </c>
      <c r="AI296" s="1" t="str">
        <f t="shared" si="93"/>
        <v/>
      </c>
      <c r="AJ296" s="1" t="str">
        <f t="shared" si="94"/>
        <v xml:space="preserve">PERFORM * FROM "SchData-OLTP-Accounting"."Func_TblChartOfAccount_SET"(varSystemLoginSession, null, null, null, varInstitutionBranchID, null, '6-6100', 'Entertainment-Deductable', 62000000000001::bigint, '2016-01-01 00:00:00'::timestamp, null::timestamp); </v>
      </c>
      <c r="AK296" s="1" t="str">
        <f t="shared" si="95"/>
        <v/>
      </c>
      <c r="AL296" s="1" t="str">
        <f t="shared" si="96"/>
        <v/>
      </c>
      <c r="AM296" s="1" t="str">
        <f t="shared" si="97"/>
        <v/>
      </c>
      <c r="AO296" s="8" t="str">
        <f t="shared" si="109"/>
        <v xml:space="preserve">PERFORM * FROM "SchData-OLTP-Accounting"."Func_TblChartOfAccount_SET"(varSystemLoginSession, null, null, null, varInstitutionBranchID, null, '6-6100', 'Entertainment-Deductable', 62000000000001::bigint, '2016-01-01 00:00:00'::timestamp, null::timestamp); </v>
      </c>
    </row>
    <row r="297" spans="2:41" x14ac:dyDescent="0.25">
      <c r="B297" s="1">
        <v>2</v>
      </c>
      <c r="C297" s="2" t="s">
        <v>588</v>
      </c>
      <c r="D297" s="1" t="s">
        <v>477</v>
      </c>
      <c r="M297" s="2" t="s">
        <v>588</v>
      </c>
      <c r="Q297" s="1" t="str">
        <f t="shared" si="108"/>
        <v>Entertainment-Undeductable</v>
      </c>
      <c r="S297" s="1" t="str">
        <f t="shared" si="98"/>
        <v>2-PASV</v>
      </c>
      <c r="T297" s="1" t="str">
        <f t="shared" si="99"/>
        <v>3-0000</v>
      </c>
      <c r="U297" s="1" t="str">
        <f t="shared" si="100"/>
        <v>3-3000</v>
      </c>
      <c r="V297" s="1" t="str">
        <f t="shared" si="101"/>
        <v>4-1EAT</v>
      </c>
      <c r="W297" s="1" t="str">
        <f t="shared" si="102"/>
        <v>4-2EBT</v>
      </c>
      <c r="X297" s="1" t="str">
        <f t="shared" si="103"/>
        <v>4-3OPF</v>
      </c>
      <c r="Y297" s="1" t="str">
        <f t="shared" si="104"/>
        <v>6-0000</v>
      </c>
      <c r="Z297" s="1" t="str">
        <f t="shared" si="105"/>
        <v>6-6200</v>
      </c>
      <c r="AA297" s="1" t="str">
        <f t="shared" si="106"/>
        <v>5-3000</v>
      </c>
      <c r="AB297" s="1" t="str">
        <f t="shared" si="107"/>
        <v>5-9000</v>
      </c>
      <c r="AD297" s="1" t="str">
        <f t="shared" si="88"/>
        <v/>
      </c>
      <c r="AE297" s="1" t="str">
        <f t="shared" si="89"/>
        <v/>
      </c>
      <c r="AF297" s="1" t="str">
        <f t="shared" si="90"/>
        <v/>
      </c>
      <c r="AG297" s="1" t="str">
        <f t="shared" si="91"/>
        <v/>
      </c>
      <c r="AH297" s="1" t="str">
        <f t="shared" si="92"/>
        <v/>
      </c>
      <c r="AI297" s="1" t="str">
        <f t="shared" si="93"/>
        <v/>
      </c>
      <c r="AJ297" s="1" t="str">
        <f t="shared" si="94"/>
        <v xml:space="preserve">PERFORM * FROM "SchData-OLTP-Accounting"."Func_TblChartOfAccount_SET"(varSystemLoginSession, null, null, null, varInstitutionBranchID, null, '6-6200', 'Entertainment-Undeductable', 62000000000001::bigint, '2016-01-01 00:00:00'::timestamp, null::timestamp); </v>
      </c>
      <c r="AK297" s="1" t="str">
        <f t="shared" si="95"/>
        <v/>
      </c>
      <c r="AL297" s="1" t="str">
        <f t="shared" si="96"/>
        <v/>
      </c>
      <c r="AM297" s="1" t="str">
        <f t="shared" si="97"/>
        <v/>
      </c>
      <c r="AO297" s="8" t="str">
        <f t="shared" si="109"/>
        <v xml:space="preserve">PERFORM * FROM "SchData-OLTP-Accounting"."Func_TblChartOfAccount_SET"(varSystemLoginSession, null, null, null, varInstitutionBranchID, null, '6-6200', 'Entertainment-Undeductable', 62000000000001::bigint, '2016-01-01 00:00:00'::timestamp, null::timestamp); </v>
      </c>
    </row>
    <row r="298" spans="2:41" x14ac:dyDescent="0.25">
      <c r="B298" s="1">
        <v>2</v>
      </c>
      <c r="C298" s="2" t="s">
        <v>589</v>
      </c>
      <c r="D298" s="1" t="s">
        <v>590</v>
      </c>
      <c r="M298" s="2" t="s">
        <v>589</v>
      </c>
      <c r="Q298" s="1" t="str">
        <f t="shared" si="108"/>
        <v>Non Meal Entertainment-Ded.</v>
      </c>
      <c r="S298" s="1" t="str">
        <f t="shared" si="98"/>
        <v>2-PASV</v>
      </c>
      <c r="T298" s="1" t="str">
        <f t="shared" si="99"/>
        <v>3-0000</v>
      </c>
      <c r="U298" s="1" t="str">
        <f t="shared" si="100"/>
        <v>3-3000</v>
      </c>
      <c r="V298" s="1" t="str">
        <f t="shared" si="101"/>
        <v>4-1EAT</v>
      </c>
      <c r="W298" s="1" t="str">
        <f t="shared" si="102"/>
        <v>4-2EBT</v>
      </c>
      <c r="X298" s="1" t="str">
        <f t="shared" si="103"/>
        <v>4-3OPF</v>
      </c>
      <c r="Y298" s="1" t="str">
        <f t="shared" si="104"/>
        <v>6-0000</v>
      </c>
      <c r="Z298" s="1" t="str">
        <f t="shared" si="105"/>
        <v>6-6300</v>
      </c>
      <c r="AA298" s="1" t="str">
        <f t="shared" si="106"/>
        <v>5-3000</v>
      </c>
      <c r="AB298" s="1" t="str">
        <f t="shared" si="107"/>
        <v>5-9000</v>
      </c>
      <c r="AD298" s="1" t="str">
        <f t="shared" si="88"/>
        <v/>
      </c>
      <c r="AE298" s="1" t="str">
        <f t="shared" si="89"/>
        <v/>
      </c>
      <c r="AF298" s="1" t="str">
        <f t="shared" si="90"/>
        <v/>
      </c>
      <c r="AG298" s="1" t="str">
        <f t="shared" si="91"/>
        <v/>
      </c>
      <c r="AH298" s="1" t="str">
        <f t="shared" si="92"/>
        <v/>
      </c>
      <c r="AI298" s="1" t="str">
        <f t="shared" si="93"/>
        <v/>
      </c>
      <c r="AJ298" s="1" t="str">
        <f t="shared" si="94"/>
        <v xml:space="preserve">PERFORM * FROM "SchData-OLTP-Accounting"."Func_TblChartOfAccount_SET"(varSystemLoginSession, null, null, null, varInstitutionBranchID, null, '6-6300', 'Non Meal Entertainment-Ded.', 62000000000001::bigint, '2016-01-01 00:00:00'::timestamp, null::timestamp); </v>
      </c>
      <c r="AK298" s="1" t="str">
        <f t="shared" si="95"/>
        <v/>
      </c>
      <c r="AL298" s="1" t="str">
        <f t="shared" si="96"/>
        <v/>
      </c>
      <c r="AM298" s="1" t="str">
        <f t="shared" si="97"/>
        <v/>
      </c>
      <c r="AO298" s="8" t="str">
        <f t="shared" si="109"/>
        <v xml:space="preserve">PERFORM * FROM "SchData-OLTP-Accounting"."Func_TblChartOfAccount_SET"(varSystemLoginSession, null, null, null, varInstitutionBranchID, null, '6-6300', 'Non Meal Entertainment-Ded.', 62000000000001::bigint, '2016-01-01 00:00:00'::timestamp, null::timestamp); </v>
      </c>
    </row>
    <row r="299" spans="2:41" x14ac:dyDescent="0.25">
      <c r="B299" s="1">
        <v>2</v>
      </c>
      <c r="C299" s="2" t="s">
        <v>591</v>
      </c>
      <c r="D299" s="1" t="s">
        <v>481</v>
      </c>
      <c r="M299" s="2" t="s">
        <v>591</v>
      </c>
      <c r="Q299" s="1" t="str">
        <f t="shared" si="108"/>
        <v>Non Meal Entertaint-Unded.</v>
      </c>
      <c r="S299" s="1" t="str">
        <f t="shared" si="98"/>
        <v>2-PASV</v>
      </c>
      <c r="T299" s="1" t="str">
        <f t="shared" si="99"/>
        <v>3-0000</v>
      </c>
      <c r="U299" s="1" t="str">
        <f t="shared" si="100"/>
        <v>3-3000</v>
      </c>
      <c r="V299" s="1" t="str">
        <f t="shared" si="101"/>
        <v>4-1EAT</v>
      </c>
      <c r="W299" s="1" t="str">
        <f t="shared" si="102"/>
        <v>4-2EBT</v>
      </c>
      <c r="X299" s="1" t="str">
        <f t="shared" si="103"/>
        <v>4-3OPF</v>
      </c>
      <c r="Y299" s="1" t="str">
        <f t="shared" si="104"/>
        <v>6-0000</v>
      </c>
      <c r="Z299" s="1" t="str">
        <f t="shared" si="105"/>
        <v>6-6400</v>
      </c>
      <c r="AA299" s="1" t="str">
        <f t="shared" si="106"/>
        <v>5-3000</v>
      </c>
      <c r="AB299" s="1" t="str">
        <f t="shared" si="107"/>
        <v>5-9000</v>
      </c>
      <c r="AD299" s="1" t="str">
        <f t="shared" si="88"/>
        <v/>
      </c>
      <c r="AE299" s="1" t="str">
        <f t="shared" si="89"/>
        <v/>
      </c>
      <c r="AF299" s="1" t="str">
        <f t="shared" si="90"/>
        <v/>
      </c>
      <c r="AG299" s="1" t="str">
        <f t="shared" si="91"/>
        <v/>
      </c>
      <c r="AH299" s="1" t="str">
        <f t="shared" si="92"/>
        <v/>
      </c>
      <c r="AI299" s="1" t="str">
        <f t="shared" si="93"/>
        <v/>
      </c>
      <c r="AJ299" s="1" t="str">
        <f t="shared" si="94"/>
        <v xml:space="preserve">PERFORM * FROM "SchData-OLTP-Accounting"."Func_TblChartOfAccount_SET"(varSystemLoginSession, null, null, null, varInstitutionBranchID, null, '6-6400', 'Non Meal Entertaint-Unded.', 62000000000001::bigint, '2016-01-01 00:00:00'::timestamp, null::timestamp); </v>
      </c>
      <c r="AK299" s="1" t="str">
        <f t="shared" si="95"/>
        <v/>
      </c>
      <c r="AL299" s="1" t="str">
        <f t="shared" si="96"/>
        <v/>
      </c>
      <c r="AM299" s="1" t="str">
        <f t="shared" si="97"/>
        <v/>
      </c>
      <c r="AO299" s="8" t="str">
        <f t="shared" si="109"/>
        <v xml:space="preserve">PERFORM * FROM "SchData-OLTP-Accounting"."Func_TblChartOfAccount_SET"(varSystemLoginSession, null, null, null, varInstitutionBranchID, null, '6-6400', 'Non Meal Entertaint-Unded.', 62000000000001::bigint, '2016-01-01 00:00:00'::timestamp, null::timestamp); </v>
      </c>
    </row>
    <row r="300" spans="2:41" x14ac:dyDescent="0.25">
      <c r="B300" s="1">
        <v>2</v>
      </c>
      <c r="C300" s="2" t="s">
        <v>592</v>
      </c>
      <c r="D300" s="1" t="s">
        <v>593</v>
      </c>
      <c r="M300" s="2" t="s">
        <v>592</v>
      </c>
      <c r="Q300" s="1" t="str">
        <f t="shared" si="108"/>
        <v>Marketing Expense</v>
      </c>
      <c r="S300" s="1" t="str">
        <f t="shared" si="98"/>
        <v>2-PASV</v>
      </c>
      <c r="T300" s="1" t="str">
        <f t="shared" si="99"/>
        <v>3-0000</v>
      </c>
      <c r="U300" s="1" t="str">
        <f t="shared" si="100"/>
        <v>3-3000</v>
      </c>
      <c r="V300" s="1" t="str">
        <f t="shared" si="101"/>
        <v>4-1EAT</v>
      </c>
      <c r="W300" s="1" t="str">
        <f t="shared" si="102"/>
        <v>4-2EBT</v>
      </c>
      <c r="X300" s="1" t="str">
        <f t="shared" si="103"/>
        <v>4-3OPF</v>
      </c>
      <c r="Y300" s="1" t="str">
        <f t="shared" si="104"/>
        <v>6-0000</v>
      </c>
      <c r="Z300" s="1" t="str">
        <f t="shared" si="105"/>
        <v>6-6500</v>
      </c>
      <c r="AA300" s="1" t="str">
        <f t="shared" si="106"/>
        <v>5-3000</v>
      </c>
      <c r="AB300" s="1" t="str">
        <f t="shared" si="107"/>
        <v>5-9000</v>
      </c>
      <c r="AD300" s="1" t="str">
        <f t="shared" si="88"/>
        <v/>
      </c>
      <c r="AE300" s="1" t="str">
        <f t="shared" si="89"/>
        <v/>
      </c>
      <c r="AF300" s="1" t="str">
        <f t="shared" si="90"/>
        <v/>
      </c>
      <c r="AG300" s="1" t="str">
        <f t="shared" si="91"/>
        <v/>
      </c>
      <c r="AH300" s="1" t="str">
        <f t="shared" si="92"/>
        <v/>
      </c>
      <c r="AI300" s="1" t="str">
        <f t="shared" si="93"/>
        <v/>
      </c>
      <c r="AJ300" s="1" t="str">
        <f t="shared" si="94"/>
        <v xml:space="preserve">PERFORM * FROM "SchData-OLTP-Accounting"."Func_TblChartOfAccount_SET"(varSystemLoginSession, null, null, null, varInstitutionBranchID, null, '6-6500', 'Marketing Expense', 62000000000001::bigint, '2016-01-01 00:00:00'::timestamp, null::timestamp); </v>
      </c>
      <c r="AK300" s="1" t="str">
        <f t="shared" si="95"/>
        <v/>
      </c>
      <c r="AL300" s="1" t="str">
        <f t="shared" si="96"/>
        <v/>
      </c>
      <c r="AM300" s="1" t="str">
        <f t="shared" si="97"/>
        <v/>
      </c>
      <c r="AO300" s="8" t="str">
        <f t="shared" si="109"/>
        <v xml:space="preserve">PERFORM * FROM "SchData-OLTP-Accounting"."Func_TblChartOfAccount_SET"(varSystemLoginSession, null, null, null, varInstitutionBranchID, null, '6-6500', 'Marketing Expense', 62000000000001::bigint, '2016-01-01 00:00:00'::timestamp, null::timestamp); </v>
      </c>
    </row>
    <row r="301" spans="2:41" x14ac:dyDescent="0.25">
      <c r="B301" s="1">
        <v>2</v>
      </c>
      <c r="C301" s="2" t="s">
        <v>594</v>
      </c>
      <c r="D301" s="1" t="s">
        <v>595</v>
      </c>
      <c r="M301" s="2" t="s">
        <v>594</v>
      </c>
      <c r="Q301" s="1" t="str">
        <f t="shared" si="108"/>
        <v>Sales Call Expense</v>
      </c>
      <c r="S301" s="1" t="str">
        <f t="shared" si="98"/>
        <v>2-PASV</v>
      </c>
      <c r="T301" s="1" t="str">
        <f t="shared" si="99"/>
        <v>3-0000</v>
      </c>
      <c r="U301" s="1" t="str">
        <f t="shared" si="100"/>
        <v>3-3000</v>
      </c>
      <c r="V301" s="1" t="str">
        <f t="shared" si="101"/>
        <v>4-1EAT</v>
      </c>
      <c r="W301" s="1" t="str">
        <f t="shared" si="102"/>
        <v>4-2EBT</v>
      </c>
      <c r="X301" s="1" t="str">
        <f t="shared" si="103"/>
        <v>4-3OPF</v>
      </c>
      <c r="Y301" s="1" t="str">
        <f t="shared" si="104"/>
        <v>6-0000</v>
      </c>
      <c r="Z301" s="1" t="str">
        <f t="shared" si="105"/>
        <v>6-6600</v>
      </c>
      <c r="AA301" s="1" t="str">
        <f t="shared" si="106"/>
        <v>5-3000</v>
      </c>
      <c r="AB301" s="1" t="str">
        <f t="shared" si="107"/>
        <v>5-9000</v>
      </c>
      <c r="AD301" s="1" t="str">
        <f t="shared" si="88"/>
        <v/>
      </c>
      <c r="AE301" s="1" t="str">
        <f t="shared" si="89"/>
        <v/>
      </c>
      <c r="AF301" s="1" t="str">
        <f t="shared" si="90"/>
        <v/>
      </c>
      <c r="AG301" s="1" t="str">
        <f t="shared" si="91"/>
        <v/>
      </c>
      <c r="AH301" s="1" t="str">
        <f t="shared" si="92"/>
        <v/>
      </c>
      <c r="AI301" s="1" t="str">
        <f t="shared" si="93"/>
        <v/>
      </c>
      <c r="AJ301" s="1" t="str">
        <f t="shared" si="94"/>
        <v xml:space="preserve">PERFORM * FROM "SchData-OLTP-Accounting"."Func_TblChartOfAccount_SET"(varSystemLoginSession, null, null, null, varInstitutionBranchID, null, '6-6600', 'Sales Call Expense', 62000000000001::bigint, '2016-01-01 00:00:00'::timestamp, null::timestamp); </v>
      </c>
      <c r="AK301" s="1" t="str">
        <f t="shared" si="95"/>
        <v/>
      </c>
      <c r="AL301" s="1" t="str">
        <f t="shared" si="96"/>
        <v/>
      </c>
      <c r="AM301" s="1" t="str">
        <f t="shared" si="97"/>
        <v/>
      </c>
      <c r="AO301" s="8" t="str">
        <f t="shared" si="109"/>
        <v xml:space="preserve">PERFORM * FROM "SchData-OLTP-Accounting"."Func_TblChartOfAccount_SET"(varSystemLoginSession, null, null, null, varInstitutionBranchID, null, '6-6600', 'Sales Call Expense', 62000000000001::bigint, '2016-01-01 00:00:00'::timestamp, null::timestamp); </v>
      </c>
    </row>
    <row r="302" spans="2:41" x14ac:dyDescent="0.25">
      <c r="B302" s="1">
        <v>2</v>
      </c>
      <c r="C302" s="2" t="s">
        <v>596</v>
      </c>
      <c r="D302" s="1" t="s">
        <v>597</v>
      </c>
      <c r="M302" s="2" t="s">
        <v>596</v>
      </c>
      <c r="Q302" s="1" t="str">
        <f t="shared" si="108"/>
        <v>Profesional Fee</v>
      </c>
      <c r="S302" s="1" t="str">
        <f t="shared" si="98"/>
        <v>2-PASV</v>
      </c>
      <c r="T302" s="1" t="str">
        <f t="shared" si="99"/>
        <v>3-0000</v>
      </c>
      <c r="U302" s="1" t="str">
        <f t="shared" si="100"/>
        <v>3-3000</v>
      </c>
      <c r="V302" s="1" t="str">
        <f t="shared" si="101"/>
        <v>4-1EAT</v>
      </c>
      <c r="W302" s="1" t="str">
        <f t="shared" si="102"/>
        <v>4-2EBT</v>
      </c>
      <c r="X302" s="1" t="str">
        <f t="shared" si="103"/>
        <v>4-3OPF</v>
      </c>
      <c r="Y302" s="1" t="str">
        <f t="shared" si="104"/>
        <v>6-0000</v>
      </c>
      <c r="Z302" s="1" t="str">
        <f t="shared" si="105"/>
        <v>6-7100</v>
      </c>
      <c r="AA302" s="1" t="str">
        <f t="shared" si="106"/>
        <v>5-3000</v>
      </c>
      <c r="AB302" s="1" t="str">
        <f t="shared" si="107"/>
        <v>5-9000</v>
      </c>
      <c r="AD302" s="1" t="str">
        <f t="shared" si="88"/>
        <v/>
      </c>
      <c r="AE302" s="1" t="str">
        <f t="shared" si="89"/>
        <v/>
      </c>
      <c r="AF302" s="1" t="str">
        <f t="shared" si="90"/>
        <v/>
      </c>
      <c r="AG302" s="1" t="str">
        <f t="shared" si="91"/>
        <v/>
      </c>
      <c r="AH302" s="1" t="str">
        <f t="shared" si="92"/>
        <v/>
      </c>
      <c r="AI302" s="1" t="str">
        <f t="shared" si="93"/>
        <v/>
      </c>
      <c r="AJ302" s="1" t="str">
        <f t="shared" si="94"/>
        <v xml:space="preserve">PERFORM * FROM "SchData-OLTP-Accounting"."Func_TblChartOfAccount_SET"(varSystemLoginSession, null, null, null, varInstitutionBranchID, null, '6-7100', 'Profesional Fee', 62000000000001::bigint, '2016-01-01 00:00:00'::timestamp, null::timestamp); </v>
      </c>
      <c r="AK302" s="1" t="str">
        <f t="shared" si="95"/>
        <v/>
      </c>
      <c r="AL302" s="1" t="str">
        <f t="shared" si="96"/>
        <v/>
      </c>
      <c r="AM302" s="1" t="str">
        <f t="shared" si="97"/>
        <v/>
      </c>
      <c r="AO302" s="8" t="str">
        <f t="shared" si="109"/>
        <v xml:space="preserve">PERFORM * FROM "SchData-OLTP-Accounting"."Func_TblChartOfAccount_SET"(varSystemLoginSession, null, null, null, varInstitutionBranchID, null, '6-7100', 'Profesional Fee', 62000000000001::bigint, '2016-01-01 00:00:00'::timestamp, null::timestamp); </v>
      </c>
    </row>
    <row r="303" spans="2:41" x14ac:dyDescent="0.25">
      <c r="B303" s="1">
        <v>2</v>
      </c>
      <c r="C303" s="2" t="s">
        <v>598</v>
      </c>
      <c r="D303" s="1" t="s">
        <v>599</v>
      </c>
      <c r="M303" s="2" t="s">
        <v>598</v>
      </c>
      <c r="Q303" s="1" t="str">
        <f t="shared" si="108"/>
        <v>Legal Fee</v>
      </c>
      <c r="S303" s="1" t="str">
        <f t="shared" si="98"/>
        <v>2-PASV</v>
      </c>
      <c r="T303" s="1" t="str">
        <f t="shared" si="99"/>
        <v>3-0000</v>
      </c>
      <c r="U303" s="1" t="str">
        <f t="shared" si="100"/>
        <v>3-3000</v>
      </c>
      <c r="V303" s="1" t="str">
        <f t="shared" si="101"/>
        <v>4-1EAT</v>
      </c>
      <c r="W303" s="1" t="str">
        <f t="shared" si="102"/>
        <v>4-2EBT</v>
      </c>
      <c r="X303" s="1" t="str">
        <f t="shared" si="103"/>
        <v>4-3OPF</v>
      </c>
      <c r="Y303" s="1" t="str">
        <f t="shared" si="104"/>
        <v>6-0000</v>
      </c>
      <c r="Z303" s="1" t="str">
        <f t="shared" si="105"/>
        <v>6-7200</v>
      </c>
      <c r="AA303" s="1" t="str">
        <f t="shared" si="106"/>
        <v>5-3000</v>
      </c>
      <c r="AB303" s="1" t="str">
        <f t="shared" si="107"/>
        <v>5-9000</v>
      </c>
      <c r="AD303" s="1" t="str">
        <f t="shared" si="88"/>
        <v/>
      </c>
      <c r="AE303" s="1" t="str">
        <f t="shared" si="89"/>
        <v/>
      </c>
      <c r="AF303" s="1" t="str">
        <f t="shared" si="90"/>
        <v/>
      </c>
      <c r="AG303" s="1" t="str">
        <f t="shared" si="91"/>
        <v/>
      </c>
      <c r="AH303" s="1" t="str">
        <f t="shared" si="92"/>
        <v/>
      </c>
      <c r="AI303" s="1" t="str">
        <f t="shared" si="93"/>
        <v/>
      </c>
      <c r="AJ303" s="1" t="str">
        <f t="shared" si="94"/>
        <v xml:space="preserve">PERFORM * FROM "SchData-OLTP-Accounting"."Func_TblChartOfAccount_SET"(varSystemLoginSession, null, null, null, varInstitutionBranchID, null, '6-7200', 'Legal Fee', 62000000000001::bigint, '2016-01-01 00:00:00'::timestamp, null::timestamp); </v>
      </c>
      <c r="AK303" s="1" t="str">
        <f t="shared" si="95"/>
        <v/>
      </c>
      <c r="AL303" s="1" t="str">
        <f t="shared" si="96"/>
        <v/>
      </c>
      <c r="AM303" s="1" t="str">
        <f t="shared" si="97"/>
        <v/>
      </c>
      <c r="AO303" s="8" t="str">
        <f t="shared" si="109"/>
        <v xml:space="preserve">PERFORM * FROM "SchData-OLTP-Accounting"."Func_TblChartOfAccount_SET"(varSystemLoginSession, null, null, null, varInstitutionBranchID, null, '6-7200', 'Legal Fee', 62000000000001::bigint, '2016-01-01 00:00:00'::timestamp, null::timestamp); </v>
      </c>
    </row>
    <row r="304" spans="2:41" x14ac:dyDescent="0.25">
      <c r="B304" s="1">
        <v>2</v>
      </c>
      <c r="C304" s="2" t="s">
        <v>600</v>
      </c>
      <c r="D304" s="1" t="s">
        <v>601</v>
      </c>
      <c r="M304" s="2" t="s">
        <v>600</v>
      </c>
      <c r="Q304" s="1" t="str">
        <f t="shared" si="108"/>
        <v>Audit Fee</v>
      </c>
      <c r="S304" s="1" t="str">
        <f t="shared" si="98"/>
        <v>2-PASV</v>
      </c>
      <c r="T304" s="1" t="str">
        <f t="shared" si="99"/>
        <v>3-0000</v>
      </c>
      <c r="U304" s="1" t="str">
        <f t="shared" si="100"/>
        <v>3-3000</v>
      </c>
      <c r="V304" s="1" t="str">
        <f t="shared" si="101"/>
        <v>4-1EAT</v>
      </c>
      <c r="W304" s="1" t="str">
        <f t="shared" si="102"/>
        <v>4-2EBT</v>
      </c>
      <c r="X304" s="1" t="str">
        <f t="shared" si="103"/>
        <v>4-3OPF</v>
      </c>
      <c r="Y304" s="1" t="str">
        <f t="shared" si="104"/>
        <v>6-0000</v>
      </c>
      <c r="Z304" s="1" t="str">
        <f t="shared" si="105"/>
        <v>6-7300</v>
      </c>
      <c r="AA304" s="1" t="str">
        <f t="shared" si="106"/>
        <v>5-3000</v>
      </c>
      <c r="AB304" s="1" t="str">
        <f t="shared" si="107"/>
        <v>5-9000</v>
      </c>
      <c r="AD304" s="1" t="str">
        <f t="shared" si="88"/>
        <v/>
      </c>
      <c r="AE304" s="1" t="str">
        <f t="shared" si="89"/>
        <v/>
      </c>
      <c r="AF304" s="1" t="str">
        <f t="shared" si="90"/>
        <v/>
      </c>
      <c r="AG304" s="1" t="str">
        <f t="shared" si="91"/>
        <v/>
      </c>
      <c r="AH304" s="1" t="str">
        <f t="shared" si="92"/>
        <v/>
      </c>
      <c r="AI304" s="1" t="str">
        <f t="shared" si="93"/>
        <v/>
      </c>
      <c r="AJ304" s="1" t="str">
        <f t="shared" si="94"/>
        <v xml:space="preserve">PERFORM * FROM "SchData-OLTP-Accounting"."Func_TblChartOfAccount_SET"(varSystemLoginSession, null, null, null, varInstitutionBranchID, null, '6-7300', 'Audit Fee', 62000000000001::bigint, '2016-01-01 00:00:00'::timestamp, null::timestamp); </v>
      </c>
      <c r="AK304" s="1" t="str">
        <f t="shared" si="95"/>
        <v/>
      </c>
      <c r="AL304" s="1" t="str">
        <f t="shared" si="96"/>
        <v/>
      </c>
      <c r="AM304" s="1" t="str">
        <f t="shared" si="97"/>
        <v/>
      </c>
      <c r="AO304" s="8" t="str">
        <f t="shared" si="109"/>
        <v xml:space="preserve">PERFORM * FROM "SchData-OLTP-Accounting"."Func_TblChartOfAccount_SET"(varSystemLoginSession, null, null, null, varInstitutionBranchID, null, '6-7300', 'Audit Fee', 62000000000001::bigint, '2016-01-01 00:00:00'::timestamp, null::timestamp); </v>
      </c>
    </row>
    <row r="305" spans="2:41" x14ac:dyDescent="0.25">
      <c r="B305" s="1">
        <v>2</v>
      </c>
      <c r="C305" s="2" t="s">
        <v>602</v>
      </c>
      <c r="D305" s="1" t="s">
        <v>603</v>
      </c>
      <c r="M305" s="2" t="s">
        <v>602</v>
      </c>
      <c r="Q305" s="1" t="str">
        <f t="shared" si="108"/>
        <v>Advertising &amp; Promotion</v>
      </c>
      <c r="S305" s="1" t="str">
        <f t="shared" si="98"/>
        <v>2-PASV</v>
      </c>
      <c r="T305" s="1" t="str">
        <f t="shared" si="99"/>
        <v>3-0000</v>
      </c>
      <c r="U305" s="1" t="str">
        <f t="shared" si="100"/>
        <v>3-3000</v>
      </c>
      <c r="V305" s="1" t="str">
        <f t="shared" si="101"/>
        <v>4-1EAT</v>
      </c>
      <c r="W305" s="1" t="str">
        <f t="shared" si="102"/>
        <v>4-2EBT</v>
      </c>
      <c r="X305" s="1" t="str">
        <f t="shared" si="103"/>
        <v>4-3OPF</v>
      </c>
      <c r="Y305" s="1" t="str">
        <f t="shared" si="104"/>
        <v>6-0000</v>
      </c>
      <c r="Z305" s="1" t="str">
        <f t="shared" si="105"/>
        <v>6-7600</v>
      </c>
      <c r="AA305" s="1" t="str">
        <f t="shared" si="106"/>
        <v>5-3000</v>
      </c>
      <c r="AB305" s="1" t="str">
        <f t="shared" si="107"/>
        <v>5-9000</v>
      </c>
      <c r="AD305" s="1" t="str">
        <f t="shared" si="88"/>
        <v/>
      </c>
      <c r="AE305" s="1" t="str">
        <f t="shared" si="89"/>
        <v/>
      </c>
      <c r="AF305" s="1" t="str">
        <f t="shared" si="90"/>
        <v/>
      </c>
      <c r="AG305" s="1" t="str">
        <f t="shared" si="91"/>
        <v/>
      </c>
      <c r="AH305" s="1" t="str">
        <f t="shared" si="92"/>
        <v/>
      </c>
      <c r="AI305" s="1" t="str">
        <f t="shared" si="93"/>
        <v/>
      </c>
      <c r="AJ305" s="1" t="str">
        <f t="shared" si="94"/>
        <v xml:space="preserve">PERFORM * FROM "SchData-OLTP-Accounting"."Func_TblChartOfAccount_SET"(varSystemLoginSession, null, null, null, varInstitutionBranchID, null, '6-7600', 'Advertising &amp; Promotion', 62000000000001::bigint, '2016-01-01 00:00:00'::timestamp, null::timestamp); </v>
      </c>
      <c r="AK305" s="1" t="str">
        <f t="shared" si="95"/>
        <v/>
      </c>
      <c r="AL305" s="1" t="str">
        <f t="shared" si="96"/>
        <v/>
      </c>
      <c r="AM305" s="1" t="str">
        <f t="shared" si="97"/>
        <v/>
      </c>
      <c r="AO305" s="8" t="str">
        <f t="shared" si="109"/>
        <v xml:space="preserve">PERFORM * FROM "SchData-OLTP-Accounting"."Func_TblChartOfAccount_SET"(varSystemLoginSession, null, null, null, varInstitutionBranchID, null, '6-7600', 'Advertising &amp; Promotion', 62000000000001::bigint, '2016-01-01 00:00:00'::timestamp, null::timestamp); </v>
      </c>
    </row>
    <row r="306" spans="2:41" x14ac:dyDescent="0.25">
      <c r="B306" s="1">
        <v>2</v>
      </c>
      <c r="C306" s="2" t="s">
        <v>604</v>
      </c>
      <c r="D306" s="1" t="s">
        <v>605</v>
      </c>
      <c r="M306" s="2" t="s">
        <v>604</v>
      </c>
      <c r="Q306" s="1" t="str">
        <f t="shared" si="108"/>
        <v>Bad debt expense</v>
      </c>
      <c r="S306" s="1" t="str">
        <f t="shared" si="98"/>
        <v>2-PASV</v>
      </c>
      <c r="T306" s="1" t="str">
        <f t="shared" si="99"/>
        <v>3-0000</v>
      </c>
      <c r="U306" s="1" t="str">
        <f t="shared" si="100"/>
        <v>3-3000</v>
      </c>
      <c r="V306" s="1" t="str">
        <f t="shared" si="101"/>
        <v>4-1EAT</v>
      </c>
      <c r="W306" s="1" t="str">
        <f t="shared" si="102"/>
        <v>4-2EBT</v>
      </c>
      <c r="X306" s="1" t="str">
        <f t="shared" si="103"/>
        <v>4-3OPF</v>
      </c>
      <c r="Y306" s="1" t="str">
        <f t="shared" si="104"/>
        <v>6-0000</v>
      </c>
      <c r="Z306" s="1" t="str">
        <f t="shared" si="105"/>
        <v>6-7700</v>
      </c>
      <c r="AA306" s="1" t="str">
        <f t="shared" si="106"/>
        <v>5-3000</v>
      </c>
      <c r="AB306" s="1" t="str">
        <f t="shared" si="107"/>
        <v>5-9000</v>
      </c>
      <c r="AD306" s="1" t="str">
        <f t="shared" si="88"/>
        <v/>
      </c>
      <c r="AE306" s="1" t="str">
        <f t="shared" si="89"/>
        <v/>
      </c>
      <c r="AF306" s="1" t="str">
        <f t="shared" si="90"/>
        <v/>
      </c>
      <c r="AG306" s="1" t="str">
        <f t="shared" si="91"/>
        <v/>
      </c>
      <c r="AH306" s="1" t="str">
        <f t="shared" si="92"/>
        <v/>
      </c>
      <c r="AI306" s="1" t="str">
        <f t="shared" si="93"/>
        <v/>
      </c>
      <c r="AJ306" s="1" t="str">
        <f t="shared" si="94"/>
        <v xml:space="preserve">PERFORM * FROM "SchData-OLTP-Accounting"."Func_TblChartOfAccount_SET"(varSystemLoginSession, null, null, null, varInstitutionBranchID, null, '6-7700', 'Bad debt expense', 62000000000001::bigint, '2016-01-01 00:00:00'::timestamp, null::timestamp); </v>
      </c>
      <c r="AK306" s="1" t="str">
        <f t="shared" si="95"/>
        <v/>
      </c>
      <c r="AL306" s="1" t="str">
        <f t="shared" si="96"/>
        <v/>
      </c>
      <c r="AM306" s="1" t="str">
        <f t="shared" si="97"/>
        <v/>
      </c>
      <c r="AO306" s="8" t="str">
        <f t="shared" si="109"/>
        <v xml:space="preserve">PERFORM * FROM "SchData-OLTP-Accounting"."Func_TblChartOfAccount_SET"(varSystemLoginSession, null, null, null, varInstitutionBranchID, null, '6-7700', 'Bad debt expense', 62000000000001::bigint, '2016-01-01 00:00:00'::timestamp, null::timestamp); </v>
      </c>
    </row>
    <row r="307" spans="2:41" x14ac:dyDescent="0.25">
      <c r="B307" s="1">
        <v>2</v>
      </c>
      <c r="C307" s="2" t="s">
        <v>606</v>
      </c>
      <c r="D307" s="1" t="s">
        <v>607</v>
      </c>
      <c r="M307" s="2" t="s">
        <v>606</v>
      </c>
      <c r="Q307" s="1" t="str">
        <f t="shared" si="108"/>
        <v>Project Costs (closed CFS)</v>
      </c>
      <c r="S307" s="1" t="str">
        <f t="shared" si="98"/>
        <v>2-PASV</v>
      </c>
      <c r="T307" s="1" t="str">
        <f t="shared" si="99"/>
        <v>3-0000</v>
      </c>
      <c r="U307" s="1" t="str">
        <f t="shared" si="100"/>
        <v>3-3000</v>
      </c>
      <c r="V307" s="1" t="str">
        <f t="shared" si="101"/>
        <v>4-1EAT</v>
      </c>
      <c r="W307" s="1" t="str">
        <f t="shared" si="102"/>
        <v>4-2EBT</v>
      </c>
      <c r="X307" s="1" t="str">
        <f t="shared" si="103"/>
        <v>4-3OPF</v>
      </c>
      <c r="Y307" s="1" t="str">
        <f t="shared" si="104"/>
        <v>6-0000</v>
      </c>
      <c r="Z307" s="1" t="str">
        <f t="shared" si="105"/>
        <v>6-7800</v>
      </c>
      <c r="AA307" s="1" t="str">
        <f t="shared" si="106"/>
        <v>5-3000</v>
      </c>
      <c r="AB307" s="1" t="str">
        <f t="shared" si="107"/>
        <v>5-9000</v>
      </c>
      <c r="AD307" s="1" t="str">
        <f t="shared" si="88"/>
        <v/>
      </c>
      <c r="AE307" s="1" t="str">
        <f t="shared" si="89"/>
        <v/>
      </c>
      <c r="AF307" s="1" t="str">
        <f t="shared" si="90"/>
        <v/>
      </c>
      <c r="AG307" s="1" t="str">
        <f t="shared" si="91"/>
        <v/>
      </c>
      <c r="AH307" s="1" t="str">
        <f t="shared" si="92"/>
        <v/>
      </c>
      <c r="AI307" s="1" t="str">
        <f t="shared" si="93"/>
        <v/>
      </c>
      <c r="AJ307" s="1" t="str">
        <f t="shared" si="94"/>
        <v xml:space="preserve">PERFORM * FROM "SchData-OLTP-Accounting"."Func_TblChartOfAccount_SET"(varSystemLoginSession, null, null, null, varInstitutionBranchID, null, '6-7800', 'Project Costs (closed CFS)', 62000000000001::bigint, '2016-01-01 00:00:00'::timestamp, null::timestamp); </v>
      </c>
      <c r="AK307" s="1" t="str">
        <f t="shared" si="95"/>
        <v/>
      </c>
      <c r="AL307" s="1" t="str">
        <f t="shared" si="96"/>
        <v/>
      </c>
      <c r="AM307" s="1" t="str">
        <f t="shared" si="97"/>
        <v/>
      </c>
      <c r="AO307" s="8" t="str">
        <f t="shared" si="109"/>
        <v xml:space="preserve">PERFORM * FROM "SchData-OLTP-Accounting"."Func_TblChartOfAccount_SET"(varSystemLoginSession, null, null, null, varInstitutionBranchID, null, '6-7800', 'Project Costs (closed CFS)', 62000000000001::bigint, '2016-01-01 00:00:00'::timestamp, null::timestamp); </v>
      </c>
    </row>
    <row r="308" spans="2:41" x14ac:dyDescent="0.25">
      <c r="B308" s="1">
        <v>2</v>
      </c>
      <c r="C308" s="2" t="s">
        <v>608</v>
      </c>
      <c r="D308" s="1" t="s">
        <v>485</v>
      </c>
      <c r="M308" s="2" t="s">
        <v>608</v>
      </c>
      <c r="Q308" s="1" t="str">
        <f t="shared" si="108"/>
        <v>Depre - Building Improvement</v>
      </c>
      <c r="S308" s="1" t="str">
        <f t="shared" si="98"/>
        <v>2-PASV</v>
      </c>
      <c r="T308" s="1" t="str">
        <f t="shared" si="99"/>
        <v>3-0000</v>
      </c>
      <c r="U308" s="1" t="str">
        <f t="shared" si="100"/>
        <v>3-3000</v>
      </c>
      <c r="V308" s="1" t="str">
        <f t="shared" si="101"/>
        <v>4-1EAT</v>
      </c>
      <c r="W308" s="1" t="str">
        <f t="shared" si="102"/>
        <v>4-2EBT</v>
      </c>
      <c r="X308" s="1" t="str">
        <f t="shared" si="103"/>
        <v>4-3OPF</v>
      </c>
      <c r="Y308" s="1" t="str">
        <f t="shared" si="104"/>
        <v>6-0000</v>
      </c>
      <c r="Z308" s="1" t="str">
        <f t="shared" si="105"/>
        <v>6-8100</v>
      </c>
      <c r="AA308" s="1" t="str">
        <f t="shared" si="106"/>
        <v>5-3000</v>
      </c>
      <c r="AB308" s="1" t="str">
        <f t="shared" si="107"/>
        <v>5-9000</v>
      </c>
      <c r="AD308" s="1" t="str">
        <f t="shared" si="88"/>
        <v/>
      </c>
      <c r="AE308" s="1" t="str">
        <f t="shared" si="89"/>
        <v/>
      </c>
      <c r="AF308" s="1" t="str">
        <f t="shared" si="90"/>
        <v/>
      </c>
      <c r="AG308" s="1" t="str">
        <f t="shared" si="91"/>
        <v/>
      </c>
      <c r="AH308" s="1" t="str">
        <f t="shared" si="92"/>
        <v/>
      </c>
      <c r="AI308" s="1" t="str">
        <f t="shared" si="93"/>
        <v/>
      </c>
      <c r="AJ308" s="1" t="str">
        <f t="shared" si="94"/>
        <v xml:space="preserve">PERFORM * FROM "SchData-OLTP-Accounting"."Func_TblChartOfAccount_SET"(varSystemLoginSession, null, null, null, varInstitutionBranchID, null, '6-8100', 'Depre - Building Improvement', 62000000000001::bigint, '2016-01-01 00:00:00'::timestamp, null::timestamp); </v>
      </c>
      <c r="AK308" s="1" t="str">
        <f t="shared" si="95"/>
        <v/>
      </c>
      <c r="AL308" s="1" t="str">
        <f t="shared" si="96"/>
        <v/>
      </c>
      <c r="AM308" s="1" t="str">
        <f t="shared" si="97"/>
        <v/>
      </c>
      <c r="AO308" s="8" t="str">
        <f t="shared" si="109"/>
        <v xml:space="preserve">PERFORM * FROM "SchData-OLTP-Accounting"."Func_TblChartOfAccount_SET"(varSystemLoginSession, null, null, null, varInstitutionBranchID, null, '6-8100', 'Depre - Building Improvement', 62000000000001::bigint, '2016-01-01 00:00:00'::timestamp, null::timestamp); </v>
      </c>
    </row>
    <row r="309" spans="2:41" x14ac:dyDescent="0.25">
      <c r="B309" s="1">
        <v>2</v>
      </c>
      <c r="C309" s="2" t="s">
        <v>609</v>
      </c>
      <c r="D309" s="1" t="s">
        <v>610</v>
      </c>
      <c r="M309" s="2" t="s">
        <v>609</v>
      </c>
      <c r="Q309" s="1" t="str">
        <f t="shared" si="108"/>
        <v>Depre - Building Office</v>
      </c>
      <c r="S309" s="1" t="str">
        <f t="shared" si="98"/>
        <v>2-PASV</v>
      </c>
      <c r="T309" s="1" t="str">
        <f t="shared" si="99"/>
        <v>3-0000</v>
      </c>
      <c r="U309" s="1" t="str">
        <f t="shared" si="100"/>
        <v>3-3000</v>
      </c>
      <c r="V309" s="1" t="str">
        <f t="shared" si="101"/>
        <v>4-1EAT</v>
      </c>
      <c r="W309" s="1" t="str">
        <f t="shared" si="102"/>
        <v>4-2EBT</v>
      </c>
      <c r="X309" s="1" t="str">
        <f t="shared" si="103"/>
        <v>4-3OPF</v>
      </c>
      <c r="Y309" s="1" t="str">
        <f t="shared" si="104"/>
        <v>6-0000</v>
      </c>
      <c r="Z309" s="1" t="str">
        <f t="shared" si="105"/>
        <v>6-8110</v>
      </c>
      <c r="AA309" s="1" t="str">
        <f t="shared" si="106"/>
        <v>5-3000</v>
      </c>
      <c r="AB309" s="1" t="str">
        <f t="shared" si="107"/>
        <v>5-9000</v>
      </c>
      <c r="AD309" s="1" t="str">
        <f t="shared" si="88"/>
        <v/>
      </c>
      <c r="AE309" s="1" t="str">
        <f t="shared" si="89"/>
        <v/>
      </c>
      <c r="AF309" s="1" t="str">
        <f t="shared" si="90"/>
        <v/>
      </c>
      <c r="AG309" s="1" t="str">
        <f t="shared" si="91"/>
        <v/>
      </c>
      <c r="AH309" s="1" t="str">
        <f t="shared" si="92"/>
        <v/>
      </c>
      <c r="AI309" s="1" t="str">
        <f t="shared" si="93"/>
        <v/>
      </c>
      <c r="AJ309" s="1" t="str">
        <f t="shared" si="94"/>
        <v xml:space="preserve">PERFORM * FROM "SchData-OLTP-Accounting"."Func_TblChartOfAccount_SET"(varSystemLoginSession, null, null, null, varInstitutionBranchID, null, '6-8110', 'Depre - Building Office', 62000000000001::bigint, '2016-01-01 00:00:00'::timestamp, null::timestamp); </v>
      </c>
      <c r="AK309" s="1" t="str">
        <f t="shared" si="95"/>
        <v/>
      </c>
      <c r="AL309" s="1" t="str">
        <f t="shared" si="96"/>
        <v/>
      </c>
      <c r="AM309" s="1" t="str">
        <f t="shared" si="97"/>
        <v/>
      </c>
      <c r="AO309" s="8" t="str">
        <f t="shared" si="109"/>
        <v xml:space="preserve">PERFORM * FROM "SchData-OLTP-Accounting"."Func_TblChartOfAccount_SET"(varSystemLoginSession, null, null, null, varInstitutionBranchID, null, '6-8110', 'Depre - Building Office', 62000000000001::bigint, '2016-01-01 00:00:00'::timestamp, null::timestamp); </v>
      </c>
    </row>
    <row r="310" spans="2:41" x14ac:dyDescent="0.25">
      <c r="B310" s="1">
        <v>2</v>
      </c>
      <c r="C310" s="2" t="s">
        <v>611</v>
      </c>
      <c r="D310" s="1" t="s">
        <v>612</v>
      </c>
      <c r="M310" s="2" t="s">
        <v>611</v>
      </c>
      <c r="Q310" s="1" t="str">
        <f t="shared" si="108"/>
        <v>Depre -  IT-Equipment</v>
      </c>
      <c r="S310" s="1" t="str">
        <f t="shared" si="98"/>
        <v>2-PASV</v>
      </c>
      <c r="T310" s="1" t="str">
        <f t="shared" si="99"/>
        <v>3-0000</v>
      </c>
      <c r="U310" s="1" t="str">
        <f t="shared" si="100"/>
        <v>3-3000</v>
      </c>
      <c r="V310" s="1" t="str">
        <f t="shared" si="101"/>
        <v>4-1EAT</v>
      </c>
      <c r="W310" s="1" t="str">
        <f t="shared" si="102"/>
        <v>4-2EBT</v>
      </c>
      <c r="X310" s="1" t="str">
        <f t="shared" si="103"/>
        <v>4-3OPF</v>
      </c>
      <c r="Y310" s="1" t="str">
        <f t="shared" si="104"/>
        <v>6-0000</v>
      </c>
      <c r="Z310" s="1" t="str">
        <f t="shared" si="105"/>
        <v>6-8200</v>
      </c>
      <c r="AA310" s="1" t="str">
        <f t="shared" si="106"/>
        <v>5-3000</v>
      </c>
      <c r="AB310" s="1" t="str">
        <f t="shared" si="107"/>
        <v>5-9000</v>
      </c>
      <c r="AD310" s="1" t="str">
        <f t="shared" si="88"/>
        <v/>
      </c>
      <c r="AE310" s="1" t="str">
        <f t="shared" si="89"/>
        <v/>
      </c>
      <c r="AF310" s="1" t="str">
        <f t="shared" si="90"/>
        <v/>
      </c>
      <c r="AG310" s="1" t="str">
        <f t="shared" si="91"/>
        <v/>
      </c>
      <c r="AH310" s="1" t="str">
        <f t="shared" si="92"/>
        <v/>
      </c>
      <c r="AI310" s="1" t="str">
        <f t="shared" si="93"/>
        <v/>
      </c>
      <c r="AJ310" s="1" t="str">
        <f t="shared" si="94"/>
        <v xml:space="preserve">PERFORM * FROM "SchData-OLTP-Accounting"."Func_TblChartOfAccount_SET"(varSystemLoginSession, null, null, null, varInstitutionBranchID, null, '6-8200', 'Depre -  IT-Equipment', 62000000000001::bigint, '2016-01-01 00:00:00'::timestamp, null::timestamp); </v>
      </c>
      <c r="AK310" s="1" t="str">
        <f t="shared" si="95"/>
        <v/>
      </c>
      <c r="AL310" s="1" t="str">
        <f t="shared" si="96"/>
        <v/>
      </c>
      <c r="AM310" s="1" t="str">
        <f t="shared" si="97"/>
        <v/>
      </c>
      <c r="AO310" s="8" t="str">
        <f t="shared" si="109"/>
        <v xml:space="preserve">PERFORM * FROM "SchData-OLTP-Accounting"."Func_TblChartOfAccount_SET"(varSystemLoginSession, null, null, null, varInstitutionBranchID, null, '6-8200', 'Depre -  IT-Equipment', 62000000000001::bigint, '2016-01-01 00:00:00'::timestamp, null::timestamp); </v>
      </c>
    </row>
    <row r="311" spans="2:41" x14ac:dyDescent="0.25">
      <c r="B311" s="1">
        <v>2</v>
      </c>
      <c r="C311" s="2" t="s">
        <v>613</v>
      </c>
      <c r="D311" s="1" t="s">
        <v>489</v>
      </c>
      <c r="M311" s="2" t="s">
        <v>613</v>
      </c>
      <c r="Q311" s="1" t="str">
        <f t="shared" si="108"/>
        <v>Depre - Office Machine &amp; Equip</v>
      </c>
      <c r="S311" s="1" t="str">
        <f t="shared" si="98"/>
        <v>2-PASV</v>
      </c>
      <c r="T311" s="1" t="str">
        <f t="shared" si="99"/>
        <v>3-0000</v>
      </c>
      <c r="U311" s="1" t="str">
        <f t="shared" si="100"/>
        <v>3-3000</v>
      </c>
      <c r="V311" s="1" t="str">
        <f t="shared" si="101"/>
        <v>4-1EAT</v>
      </c>
      <c r="W311" s="1" t="str">
        <f t="shared" si="102"/>
        <v>4-2EBT</v>
      </c>
      <c r="X311" s="1" t="str">
        <f t="shared" si="103"/>
        <v>4-3OPF</v>
      </c>
      <c r="Y311" s="1" t="str">
        <f t="shared" si="104"/>
        <v>6-0000</v>
      </c>
      <c r="Z311" s="1" t="str">
        <f t="shared" si="105"/>
        <v>6-8300</v>
      </c>
      <c r="AA311" s="1" t="str">
        <f t="shared" si="106"/>
        <v>5-3000</v>
      </c>
      <c r="AB311" s="1" t="str">
        <f t="shared" si="107"/>
        <v>5-9000</v>
      </c>
      <c r="AD311" s="1" t="str">
        <f t="shared" si="88"/>
        <v/>
      </c>
      <c r="AE311" s="1" t="str">
        <f t="shared" si="89"/>
        <v/>
      </c>
      <c r="AF311" s="1" t="str">
        <f t="shared" si="90"/>
        <v/>
      </c>
      <c r="AG311" s="1" t="str">
        <f t="shared" si="91"/>
        <v/>
      </c>
      <c r="AH311" s="1" t="str">
        <f t="shared" si="92"/>
        <v/>
      </c>
      <c r="AI311" s="1" t="str">
        <f t="shared" si="93"/>
        <v/>
      </c>
      <c r="AJ311" s="1" t="str">
        <f t="shared" si="94"/>
        <v xml:space="preserve">PERFORM * FROM "SchData-OLTP-Accounting"."Func_TblChartOfAccount_SET"(varSystemLoginSession, null, null, null, varInstitutionBranchID, null, '6-8300', 'Depre - Office Machine &amp; Equip', 62000000000001::bigint, '2016-01-01 00:00:00'::timestamp, null::timestamp); </v>
      </c>
      <c r="AK311" s="1" t="str">
        <f t="shared" si="95"/>
        <v/>
      </c>
      <c r="AL311" s="1" t="str">
        <f t="shared" si="96"/>
        <v/>
      </c>
      <c r="AM311" s="1" t="str">
        <f t="shared" si="97"/>
        <v/>
      </c>
      <c r="AO311" s="8" t="str">
        <f t="shared" si="109"/>
        <v xml:space="preserve">PERFORM * FROM "SchData-OLTP-Accounting"."Func_TblChartOfAccount_SET"(varSystemLoginSession, null, null, null, varInstitutionBranchID, null, '6-8300', 'Depre - Office Machine &amp; Equip', 62000000000001::bigint, '2016-01-01 00:00:00'::timestamp, null::timestamp); </v>
      </c>
    </row>
    <row r="312" spans="2:41" x14ac:dyDescent="0.25">
      <c r="B312" s="1">
        <v>2</v>
      </c>
      <c r="C312" s="2" t="s">
        <v>614</v>
      </c>
      <c r="D312" s="1" t="s">
        <v>615</v>
      </c>
      <c r="M312" s="2" t="s">
        <v>614</v>
      </c>
      <c r="Q312" s="1" t="str">
        <f t="shared" si="108"/>
        <v>Depre - Sundry Plant &amp; Equip</v>
      </c>
      <c r="S312" s="1" t="str">
        <f t="shared" si="98"/>
        <v>2-PASV</v>
      </c>
      <c r="T312" s="1" t="str">
        <f t="shared" si="99"/>
        <v>3-0000</v>
      </c>
      <c r="U312" s="1" t="str">
        <f t="shared" si="100"/>
        <v>3-3000</v>
      </c>
      <c r="V312" s="1" t="str">
        <f t="shared" si="101"/>
        <v>4-1EAT</v>
      </c>
      <c r="W312" s="1" t="str">
        <f t="shared" si="102"/>
        <v>4-2EBT</v>
      </c>
      <c r="X312" s="1" t="str">
        <f t="shared" si="103"/>
        <v>4-3OPF</v>
      </c>
      <c r="Y312" s="1" t="str">
        <f t="shared" si="104"/>
        <v>6-0000</v>
      </c>
      <c r="Z312" s="1" t="str">
        <f t="shared" si="105"/>
        <v>6-8400</v>
      </c>
      <c r="AA312" s="1" t="str">
        <f t="shared" si="106"/>
        <v>5-3000</v>
      </c>
      <c r="AB312" s="1" t="str">
        <f t="shared" si="107"/>
        <v>5-9000</v>
      </c>
      <c r="AD312" s="1" t="str">
        <f t="shared" si="88"/>
        <v/>
      </c>
      <c r="AE312" s="1" t="str">
        <f t="shared" si="89"/>
        <v/>
      </c>
      <c r="AF312" s="1" t="str">
        <f t="shared" si="90"/>
        <v/>
      </c>
      <c r="AG312" s="1" t="str">
        <f t="shared" si="91"/>
        <v/>
      </c>
      <c r="AH312" s="1" t="str">
        <f t="shared" si="92"/>
        <v/>
      </c>
      <c r="AI312" s="1" t="str">
        <f t="shared" si="93"/>
        <v/>
      </c>
      <c r="AJ312" s="1" t="str">
        <f t="shared" si="94"/>
        <v xml:space="preserve">PERFORM * FROM "SchData-OLTP-Accounting"."Func_TblChartOfAccount_SET"(varSystemLoginSession, null, null, null, varInstitutionBranchID, null, '6-8400', 'Depre - Sundry Plant &amp; Equip', 62000000000001::bigint, '2016-01-01 00:00:00'::timestamp, null::timestamp); </v>
      </c>
      <c r="AK312" s="1" t="str">
        <f t="shared" si="95"/>
        <v/>
      </c>
      <c r="AL312" s="1" t="str">
        <f t="shared" si="96"/>
        <v/>
      </c>
      <c r="AM312" s="1" t="str">
        <f t="shared" si="97"/>
        <v/>
      </c>
      <c r="AO312" s="8" t="str">
        <f t="shared" si="109"/>
        <v xml:space="preserve">PERFORM * FROM "SchData-OLTP-Accounting"."Func_TblChartOfAccount_SET"(varSystemLoginSession, null, null, null, varInstitutionBranchID, null, '6-8400', 'Depre - Sundry Plant &amp; Equip', 62000000000001::bigint, '2016-01-01 00:00:00'::timestamp, null::timestamp); </v>
      </c>
    </row>
    <row r="313" spans="2:41" x14ac:dyDescent="0.25">
      <c r="B313" s="1">
        <v>2</v>
      </c>
      <c r="C313" s="2" t="s">
        <v>616</v>
      </c>
      <c r="D313" s="1" t="s">
        <v>493</v>
      </c>
      <c r="M313" s="2" t="s">
        <v>616</v>
      </c>
      <c r="Q313" s="1" t="str">
        <f t="shared" si="108"/>
        <v>Depre - Test Equipment</v>
      </c>
      <c r="S313" s="1" t="str">
        <f t="shared" si="98"/>
        <v>2-PASV</v>
      </c>
      <c r="T313" s="1" t="str">
        <f t="shared" si="99"/>
        <v>3-0000</v>
      </c>
      <c r="U313" s="1" t="str">
        <f t="shared" si="100"/>
        <v>3-3000</v>
      </c>
      <c r="V313" s="1" t="str">
        <f t="shared" si="101"/>
        <v>4-1EAT</v>
      </c>
      <c r="W313" s="1" t="str">
        <f t="shared" si="102"/>
        <v>4-2EBT</v>
      </c>
      <c r="X313" s="1" t="str">
        <f t="shared" si="103"/>
        <v>4-3OPF</v>
      </c>
      <c r="Y313" s="1" t="str">
        <f t="shared" si="104"/>
        <v>6-0000</v>
      </c>
      <c r="Z313" s="1" t="str">
        <f t="shared" si="105"/>
        <v>6-8500</v>
      </c>
      <c r="AA313" s="1" t="str">
        <f t="shared" si="106"/>
        <v>5-3000</v>
      </c>
      <c r="AB313" s="1" t="str">
        <f t="shared" si="107"/>
        <v>5-9000</v>
      </c>
      <c r="AD313" s="1" t="str">
        <f t="shared" si="88"/>
        <v/>
      </c>
      <c r="AE313" s="1" t="str">
        <f t="shared" si="89"/>
        <v/>
      </c>
      <c r="AF313" s="1" t="str">
        <f t="shared" si="90"/>
        <v/>
      </c>
      <c r="AG313" s="1" t="str">
        <f t="shared" si="91"/>
        <v/>
      </c>
      <c r="AH313" s="1" t="str">
        <f t="shared" si="92"/>
        <v/>
      </c>
      <c r="AI313" s="1" t="str">
        <f t="shared" si="93"/>
        <v/>
      </c>
      <c r="AJ313" s="1" t="str">
        <f t="shared" si="94"/>
        <v xml:space="preserve">PERFORM * FROM "SchData-OLTP-Accounting"."Func_TblChartOfAccount_SET"(varSystemLoginSession, null, null, null, varInstitutionBranchID, null, '6-8500', 'Depre - Test Equipment', 62000000000001::bigint, '2016-01-01 00:00:00'::timestamp, null::timestamp); </v>
      </c>
      <c r="AK313" s="1" t="str">
        <f t="shared" si="95"/>
        <v/>
      </c>
      <c r="AL313" s="1" t="str">
        <f t="shared" si="96"/>
        <v/>
      </c>
      <c r="AM313" s="1" t="str">
        <f t="shared" si="97"/>
        <v/>
      </c>
      <c r="AO313" s="8" t="str">
        <f t="shared" si="109"/>
        <v xml:space="preserve">PERFORM * FROM "SchData-OLTP-Accounting"."Func_TblChartOfAccount_SET"(varSystemLoginSession, null, null, null, varInstitutionBranchID, null, '6-8500', 'Depre - Test Equipment', 62000000000001::bigint, '2016-01-01 00:00:00'::timestamp, null::timestamp); </v>
      </c>
    </row>
    <row r="314" spans="2:41" x14ac:dyDescent="0.25">
      <c r="B314" s="1">
        <v>2</v>
      </c>
      <c r="C314" s="2" t="s">
        <v>617</v>
      </c>
      <c r="D314" s="1" t="s">
        <v>495</v>
      </c>
      <c r="M314" s="2" t="s">
        <v>617</v>
      </c>
      <c r="Q314" s="1" t="str">
        <f t="shared" si="108"/>
        <v>Depre - Motor Vehicle</v>
      </c>
      <c r="S314" s="1" t="str">
        <f t="shared" si="98"/>
        <v>2-PASV</v>
      </c>
      <c r="T314" s="1" t="str">
        <f t="shared" si="99"/>
        <v>3-0000</v>
      </c>
      <c r="U314" s="1" t="str">
        <f t="shared" si="100"/>
        <v>3-3000</v>
      </c>
      <c r="V314" s="1" t="str">
        <f t="shared" si="101"/>
        <v>4-1EAT</v>
      </c>
      <c r="W314" s="1" t="str">
        <f t="shared" si="102"/>
        <v>4-2EBT</v>
      </c>
      <c r="X314" s="1" t="str">
        <f t="shared" si="103"/>
        <v>4-3OPF</v>
      </c>
      <c r="Y314" s="1" t="str">
        <f t="shared" si="104"/>
        <v>6-0000</v>
      </c>
      <c r="Z314" s="1" t="str">
        <f t="shared" si="105"/>
        <v>6-8600</v>
      </c>
      <c r="AA314" s="1" t="str">
        <f t="shared" si="106"/>
        <v>5-3000</v>
      </c>
      <c r="AB314" s="1" t="str">
        <f t="shared" si="107"/>
        <v>5-9000</v>
      </c>
      <c r="AD314" s="1" t="str">
        <f t="shared" si="88"/>
        <v/>
      </c>
      <c r="AE314" s="1" t="str">
        <f t="shared" si="89"/>
        <v/>
      </c>
      <c r="AF314" s="1" t="str">
        <f t="shared" si="90"/>
        <v/>
      </c>
      <c r="AG314" s="1" t="str">
        <f t="shared" si="91"/>
        <v/>
      </c>
      <c r="AH314" s="1" t="str">
        <f t="shared" si="92"/>
        <v/>
      </c>
      <c r="AI314" s="1" t="str">
        <f t="shared" si="93"/>
        <v/>
      </c>
      <c r="AJ314" s="1" t="str">
        <f t="shared" si="94"/>
        <v xml:space="preserve">PERFORM * FROM "SchData-OLTP-Accounting"."Func_TblChartOfAccount_SET"(varSystemLoginSession, null, null, null, varInstitutionBranchID, null, '6-8600', 'Depre - Motor Vehicle', 62000000000001::bigint, '2016-01-01 00:00:00'::timestamp, null::timestamp); </v>
      </c>
      <c r="AK314" s="1" t="str">
        <f t="shared" si="95"/>
        <v/>
      </c>
      <c r="AL314" s="1" t="str">
        <f t="shared" si="96"/>
        <v/>
      </c>
      <c r="AM314" s="1" t="str">
        <f t="shared" si="97"/>
        <v/>
      </c>
      <c r="AO314" s="8" t="str">
        <f t="shared" si="109"/>
        <v xml:space="preserve">PERFORM * FROM "SchData-OLTP-Accounting"."Func_TblChartOfAccount_SET"(varSystemLoginSession, null, null, null, varInstitutionBranchID, null, '6-8600', 'Depre - Motor Vehicle', 62000000000001::bigint, '2016-01-01 00:00:00'::timestamp, null::timestamp); </v>
      </c>
    </row>
    <row r="315" spans="2:41" x14ac:dyDescent="0.25">
      <c r="B315" s="1">
        <v>2</v>
      </c>
      <c r="C315" s="2" t="s">
        <v>618</v>
      </c>
      <c r="D315" s="1" t="s">
        <v>497</v>
      </c>
      <c r="M315" s="2" t="s">
        <v>618</v>
      </c>
      <c r="Q315" s="1" t="str">
        <f t="shared" si="108"/>
        <v>Depre - Tools</v>
      </c>
      <c r="S315" s="1" t="str">
        <f t="shared" si="98"/>
        <v>2-PASV</v>
      </c>
      <c r="T315" s="1" t="str">
        <f t="shared" si="99"/>
        <v>3-0000</v>
      </c>
      <c r="U315" s="1" t="str">
        <f t="shared" si="100"/>
        <v>3-3000</v>
      </c>
      <c r="V315" s="1" t="str">
        <f t="shared" si="101"/>
        <v>4-1EAT</v>
      </c>
      <c r="W315" s="1" t="str">
        <f t="shared" si="102"/>
        <v>4-2EBT</v>
      </c>
      <c r="X315" s="1" t="str">
        <f t="shared" si="103"/>
        <v>4-3OPF</v>
      </c>
      <c r="Y315" s="1" t="str">
        <f t="shared" si="104"/>
        <v>6-0000</v>
      </c>
      <c r="Z315" s="1" t="str">
        <f t="shared" si="105"/>
        <v>6-8700</v>
      </c>
      <c r="AA315" s="1" t="str">
        <f t="shared" si="106"/>
        <v>5-3000</v>
      </c>
      <c r="AB315" s="1" t="str">
        <f t="shared" si="107"/>
        <v>5-9000</v>
      </c>
      <c r="AD315" s="1" t="str">
        <f t="shared" si="88"/>
        <v/>
      </c>
      <c r="AE315" s="1" t="str">
        <f t="shared" si="89"/>
        <v/>
      </c>
      <c r="AF315" s="1" t="str">
        <f t="shared" si="90"/>
        <v/>
      </c>
      <c r="AG315" s="1" t="str">
        <f t="shared" si="91"/>
        <v/>
      </c>
      <c r="AH315" s="1" t="str">
        <f t="shared" si="92"/>
        <v/>
      </c>
      <c r="AI315" s="1" t="str">
        <f t="shared" si="93"/>
        <v/>
      </c>
      <c r="AJ315" s="1" t="str">
        <f t="shared" si="94"/>
        <v xml:space="preserve">PERFORM * FROM "SchData-OLTP-Accounting"."Func_TblChartOfAccount_SET"(varSystemLoginSession, null, null, null, varInstitutionBranchID, null, '6-8700', 'Depre - Tools', 62000000000001::bigint, '2016-01-01 00:00:00'::timestamp, null::timestamp); </v>
      </c>
      <c r="AK315" s="1" t="str">
        <f t="shared" si="95"/>
        <v/>
      </c>
      <c r="AL315" s="1" t="str">
        <f t="shared" si="96"/>
        <v/>
      </c>
      <c r="AM315" s="1" t="str">
        <f t="shared" si="97"/>
        <v/>
      </c>
      <c r="AO315" s="8" t="str">
        <f t="shared" si="109"/>
        <v xml:space="preserve">PERFORM * FROM "SchData-OLTP-Accounting"."Func_TblChartOfAccount_SET"(varSystemLoginSession, null, null, null, varInstitutionBranchID, null, '6-8700', 'Depre - Tools', 62000000000001::bigint, '2016-01-01 00:00:00'::timestamp, null::timestamp); </v>
      </c>
    </row>
    <row r="316" spans="2:41" x14ac:dyDescent="0.25">
      <c r="B316" s="1">
        <v>2</v>
      </c>
      <c r="C316" s="2" t="s">
        <v>619</v>
      </c>
      <c r="D316" s="1" t="s">
        <v>499</v>
      </c>
      <c r="M316" s="2" t="s">
        <v>619</v>
      </c>
      <c r="Q316" s="1" t="str">
        <f t="shared" si="108"/>
        <v>Depre - Furniture Fitting</v>
      </c>
      <c r="S316" s="1" t="str">
        <f t="shared" si="98"/>
        <v>2-PASV</v>
      </c>
      <c r="T316" s="1" t="str">
        <f t="shared" si="99"/>
        <v>3-0000</v>
      </c>
      <c r="U316" s="1" t="str">
        <f t="shared" si="100"/>
        <v>3-3000</v>
      </c>
      <c r="V316" s="1" t="str">
        <f t="shared" si="101"/>
        <v>4-1EAT</v>
      </c>
      <c r="W316" s="1" t="str">
        <f t="shared" si="102"/>
        <v>4-2EBT</v>
      </c>
      <c r="X316" s="1" t="str">
        <f t="shared" si="103"/>
        <v>4-3OPF</v>
      </c>
      <c r="Y316" s="1" t="str">
        <f t="shared" si="104"/>
        <v>6-0000</v>
      </c>
      <c r="Z316" s="1" t="str">
        <f t="shared" si="105"/>
        <v>6-8800</v>
      </c>
      <c r="AA316" s="1" t="str">
        <f t="shared" si="106"/>
        <v>5-3000</v>
      </c>
      <c r="AB316" s="1" t="str">
        <f t="shared" si="107"/>
        <v>5-9000</v>
      </c>
      <c r="AD316" s="1" t="str">
        <f t="shared" si="88"/>
        <v/>
      </c>
      <c r="AE316" s="1" t="str">
        <f t="shared" si="89"/>
        <v/>
      </c>
      <c r="AF316" s="1" t="str">
        <f t="shared" si="90"/>
        <v/>
      </c>
      <c r="AG316" s="1" t="str">
        <f t="shared" si="91"/>
        <v/>
      </c>
      <c r="AH316" s="1" t="str">
        <f t="shared" si="92"/>
        <v/>
      </c>
      <c r="AI316" s="1" t="str">
        <f t="shared" si="93"/>
        <v/>
      </c>
      <c r="AJ316" s="1" t="str">
        <f t="shared" si="94"/>
        <v xml:space="preserve">PERFORM * FROM "SchData-OLTP-Accounting"."Func_TblChartOfAccount_SET"(varSystemLoginSession, null, null, null, varInstitutionBranchID, null, '6-8800', 'Depre - Furniture Fitting', 62000000000001::bigint, '2016-01-01 00:00:00'::timestamp, null::timestamp); </v>
      </c>
      <c r="AK316" s="1" t="str">
        <f t="shared" si="95"/>
        <v/>
      </c>
      <c r="AL316" s="1" t="str">
        <f t="shared" si="96"/>
        <v/>
      </c>
      <c r="AM316" s="1" t="str">
        <f t="shared" si="97"/>
        <v/>
      </c>
      <c r="AO316" s="8" t="str">
        <f t="shared" si="109"/>
        <v xml:space="preserve">PERFORM * FROM "SchData-OLTP-Accounting"."Func_TblChartOfAccount_SET"(varSystemLoginSession, null, null, null, varInstitutionBranchID, null, '6-8800', 'Depre - Furniture Fitting', 62000000000001::bigint, '2016-01-01 00:00:00'::timestamp, null::timestamp); </v>
      </c>
    </row>
    <row r="317" spans="2:41" x14ac:dyDescent="0.25">
      <c r="B317" s="1">
        <v>2</v>
      </c>
      <c r="C317" s="2" t="s">
        <v>620</v>
      </c>
      <c r="D317" s="1" t="s">
        <v>501</v>
      </c>
      <c r="M317" s="2" t="s">
        <v>620</v>
      </c>
      <c r="Q317" s="1" t="str">
        <f t="shared" si="108"/>
        <v>Depre - Mobile Phone</v>
      </c>
      <c r="S317" s="1" t="str">
        <f t="shared" si="98"/>
        <v>2-PASV</v>
      </c>
      <c r="T317" s="1" t="str">
        <f t="shared" si="99"/>
        <v>3-0000</v>
      </c>
      <c r="U317" s="1" t="str">
        <f t="shared" si="100"/>
        <v>3-3000</v>
      </c>
      <c r="V317" s="1" t="str">
        <f t="shared" si="101"/>
        <v>4-1EAT</v>
      </c>
      <c r="W317" s="1" t="str">
        <f t="shared" si="102"/>
        <v>4-2EBT</v>
      </c>
      <c r="X317" s="1" t="str">
        <f t="shared" si="103"/>
        <v>4-3OPF</v>
      </c>
      <c r="Y317" s="1" t="str">
        <f t="shared" si="104"/>
        <v>6-0000</v>
      </c>
      <c r="Z317" s="1" t="str">
        <f t="shared" si="105"/>
        <v>6-8900</v>
      </c>
      <c r="AA317" s="1" t="str">
        <f t="shared" si="106"/>
        <v>5-3000</v>
      </c>
      <c r="AB317" s="1" t="str">
        <f t="shared" si="107"/>
        <v>5-9000</v>
      </c>
      <c r="AD317" s="1" t="str">
        <f t="shared" si="88"/>
        <v/>
      </c>
      <c r="AE317" s="1" t="str">
        <f t="shared" si="89"/>
        <v/>
      </c>
      <c r="AF317" s="1" t="str">
        <f t="shared" si="90"/>
        <v/>
      </c>
      <c r="AG317" s="1" t="str">
        <f t="shared" si="91"/>
        <v/>
      </c>
      <c r="AH317" s="1" t="str">
        <f t="shared" si="92"/>
        <v/>
      </c>
      <c r="AI317" s="1" t="str">
        <f t="shared" si="93"/>
        <v/>
      </c>
      <c r="AJ317" s="1" t="str">
        <f t="shared" si="94"/>
        <v xml:space="preserve">PERFORM * FROM "SchData-OLTP-Accounting"."Func_TblChartOfAccount_SET"(varSystemLoginSession, null, null, null, varInstitutionBranchID, null, '6-8900', 'Depre - Mobile Phone', 62000000000001::bigint, '2016-01-01 00:00:00'::timestamp, null::timestamp); </v>
      </c>
      <c r="AK317" s="1" t="str">
        <f t="shared" si="95"/>
        <v/>
      </c>
      <c r="AL317" s="1" t="str">
        <f t="shared" si="96"/>
        <v/>
      </c>
      <c r="AM317" s="1" t="str">
        <f t="shared" si="97"/>
        <v/>
      </c>
      <c r="AO317" s="8" t="str">
        <f t="shared" si="109"/>
        <v xml:space="preserve">PERFORM * FROM "SchData-OLTP-Accounting"."Func_TblChartOfAccount_SET"(varSystemLoginSession, null, null, null, varInstitutionBranchID, null, '6-8900', 'Depre - Mobile Phone', 62000000000001::bigint, '2016-01-01 00:00:00'::timestamp, null::timestamp); </v>
      </c>
    </row>
    <row r="318" spans="2:41" x14ac:dyDescent="0.25">
      <c r="B318" s="1">
        <v>2</v>
      </c>
      <c r="C318" s="2" t="s">
        <v>621</v>
      </c>
      <c r="D318" s="1" t="s">
        <v>425</v>
      </c>
      <c r="M318" s="2" t="s">
        <v>621</v>
      </c>
      <c r="Q318" s="1" t="str">
        <f t="shared" si="108"/>
        <v>Insurance Expenses</v>
      </c>
      <c r="S318" s="1" t="str">
        <f t="shared" si="98"/>
        <v>2-PASV</v>
      </c>
      <c r="T318" s="1" t="str">
        <f t="shared" si="99"/>
        <v>3-0000</v>
      </c>
      <c r="U318" s="1" t="str">
        <f t="shared" si="100"/>
        <v>3-3000</v>
      </c>
      <c r="V318" s="1" t="str">
        <f t="shared" si="101"/>
        <v>4-1EAT</v>
      </c>
      <c r="W318" s="1" t="str">
        <f t="shared" si="102"/>
        <v>4-2EBT</v>
      </c>
      <c r="X318" s="1" t="str">
        <f t="shared" si="103"/>
        <v>4-3OPF</v>
      </c>
      <c r="Y318" s="1" t="str">
        <f t="shared" si="104"/>
        <v>6-0000</v>
      </c>
      <c r="Z318" s="1" t="str">
        <f t="shared" si="105"/>
        <v>6-9900</v>
      </c>
      <c r="AA318" s="1" t="str">
        <f t="shared" si="106"/>
        <v>5-3000</v>
      </c>
      <c r="AB318" s="1" t="str">
        <f t="shared" si="107"/>
        <v>5-9000</v>
      </c>
      <c r="AD318" s="1" t="str">
        <f t="shared" si="88"/>
        <v/>
      </c>
      <c r="AE318" s="1" t="str">
        <f t="shared" si="89"/>
        <v/>
      </c>
      <c r="AF318" s="1" t="str">
        <f t="shared" si="90"/>
        <v/>
      </c>
      <c r="AG318" s="1" t="str">
        <f t="shared" si="91"/>
        <v/>
      </c>
      <c r="AH318" s="1" t="str">
        <f t="shared" si="92"/>
        <v/>
      </c>
      <c r="AI318" s="1" t="str">
        <f t="shared" si="93"/>
        <v/>
      </c>
      <c r="AJ318" s="1" t="str">
        <f t="shared" si="94"/>
        <v xml:space="preserve">PERFORM * FROM "SchData-OLTP-Accounting"."Func_TblChartOfAccount_SET"(varSystemLoginSession, null, null, null, varInstitutionBranchID, null, '6-9900', 'Insurance Expenses', 62000000000001::bigint, '2016-01-01 00:00:00'::timestamp, null::timestamp); </v>
      </c>
      <c r="AK318" s="1" t="str">
        <f t="shared" si="95"/>
        <v/>
      </c>
      <c r="AL318" s="1" t="str">
        <f t="shared" si="96"/>
        <v/>
      </c>
      <c r="AM318" s="1" t="str">
        <f t="shared" si="97"/>
        <v/>
      </c>
      <c r="AO318" s="8" t="str">
        <f t="shared" si="109"/>
        <v xml:space="preserve">PERFORM * FROM "SchData-OLTP-Accounting"."Func_TblChartOfAccount_SET"(varSystemLoginSession, null, null, null, varInstitutionBranchID, null, '6-9900', 'Insurance Expenses', 62000000000001::bigint, '2016-01-01 00:00:00'::timestamp, null::timestamp); </v>
      </c>
    </row>
    <row r="319" spans="2:41" x14ac:dyDescent="0.25">
      <c r="B319" s="1">
        <v>2</v>
      </c>
      <c r="C319" s="2" t="s">
        <v>622</v>
      </c>
      <c r="D319" s="1" t="s">
        <v>623</v>
      </c>
      <c r="M319" s="2" t="s">
        <v>622</v>
      </c>
      <c r="Q319" s="1" t="str">
        <f t="shared" si="108"/>
        <v>Bank Charge (Excl. Interest)</v>
      </c>
      <c r="S319" s="1" t="str">
        <f t="shared" si="98"/>
        <v>2-PASV</v>
      </c>
      <c r="T319" s="1" t="str">
        <f t="shared" si="99"/>
        <v>3-0000</v>
      </c>
      <c r="U319" s="1" t="str">
        <f t="shared" si="100"/>
        <v>3-3000</v>
      </c>
      <c r="V319" s="1" t="str">
        <f t="shared" si="101"/>
        <v>4-1EAT</v>
      </c>
      <c r="W319" s="1" t="str">
        <f t="shared" si="102"/>
        <v>4-2EBT</v>
      </c>
      <c r="X319" s="1" t="str">
        <f t="shared" si="103"/>
        <v>4-3OPF</v>
      </c>
      <c r="Y319" s="1" t="str">
        <f t="shared" si="104"/>
        <v>6-0000</v>
      </c>
      <c r="Z319" s="1" t="str">
        <f t="shared" si="105"/>
        <v>6-9901</v>
      </c>
      <c r="AA319" s="1" t="str">
        <f t="shared" si="106"/>
        <v>5-3000</v>
      </c>
      <c r="AB319" s="1" t="str">
        <f t="shared" si="107"/>
        <v>5-9000</v>
      </c>
      <c r="AD319" s="1" t="str">
        <f t="shared" si="88"/>
        <v/>
      </c>
      <c r="AE319" s="1" t="str">
        <f t="shared" si="89"/>
        <v/>
      </c>
      <c r="AF319" s="1" t="str">
        <f t="shared" si="90"/>
        <v/>
      </c>
      <c r="AG319" s="1" t="str">
        <f t="shared" si="91"/>
        <v/>
      </c>
      <c r="AH319" s="1" t="str">
        <f t="shared" si="92"/>
        <v/>
      </c>
      <c r="AI319" s="1" t="str">
        <f t="shared" si="93"/>
        <v/>
      </c>
      <c r="AJ319" s="1" t="str">
        <f t="shared" si="94"/>
        <v xml:space="preserve">PERFORM * FROM "SchData-OLTP-Accounting"."Func_TblChartOfAccount_SET"(varSystemLoginSession, null, null, null, varInstitutionBranchID, null, '6-9901', 'Bank Charge (Excl. Interest)', 62000000000001::bigint, '2016-01-01 00:00:00'::timestamp, null::timestamp); </v>
      </c>
      <c r="AK319" s="1" t="str">
        <f t="shared" si="95"/>
        <v/>
      </c>
      <c r="AL319" s="1" t="str">
        <f t="shared" si="96"/>
        <v/>
      </c>
      <c r="AM319" s="1" t="str">
        <f t="shared" si="97"/>
        <v/>
      </c>
      <c r="AO319" s="8" t="str">
        <f t="shared" si="109"/>
        <v xml:space="preserve">PERFORM * FROM "SchData-OLTP-Accounting"."Func_TblChartOfAccount_SET"(varSystemLoginSession, null, null, null, varInstitutionBranchID, null, '6-9901', 'Bank Charge (Excl. Interest)', 62000000000001::bigint, '2016-01-01 00:00:00'::timestamp, null::timestamp); </v>
      </c>
    </row>
    <row r="320" spans="2:41" x14ac:dyDescent="0.25">
      <c r="B320" s="1">
        <v>1</v>
      </c>
      <c r="C320" s="2" t="s">
        <v>624</v>
      </c>
      <c r="D320" s="1" t="s">
        <v>625</v>
      </c>
      <c r="K320" s="2" t="s">
        <v>624</v>
      </c>
      <c r="Q320" s="1" t="str">
        <f t="shared" si="108"/>
        <v>Other Income/Expense</v>
      </c>
      <c r="S320" s="1" t="str">
        <f t="shared" si="98"/>
        <v>2-PASV</v>
      </c>
      <c r="T320" s="1" t="str">
        <f t="shared" si="99"/>
        <v>3-0000</v>
      </c>
      <c r="U320" s="1" t="str">
        <f t="shared" si="100"/>
        <v>3-3000</v>
      </c>
      <c r="V320" s="1" t="str">
        <f t="shared" si="101"/>
        <v>4-1EAT</v>
      </c>
      <c r="W320" s="1" t="str">
        <f t="shared" si="102"/>
        <v>4-2EBT</v>
      </c>
      <c r="X320" s="1" t="str">
        <f t="shared" si="103"/>
        <v>8-0000</v>
      </c>
      <c r="Y320" s="1" t="str">
        <f t="shared" si="104"/>
        <v>6-0000</v>
      </c>
      <c r="Z320" s="1" t="str">
        <f t="shared" si="105"/>
        <v>6-9901</v>
      </c>
      <c r="AA320" s="1" t="str">
        <f t="shared" si="106"/>
        <v>5-3000</v>
      </c>
      <c r="AB320" s="1" t="str">
        <f t="shared" si="107"/>
        <v>5-9000</v>
      </c>
      <c r="AD320" s="1" t="str">
        <f t="shared" si="88"/>
        <v/>
      </c>
      <c r="AE320" s="1" t="str">
        <f t="shared" si="89"/>
        <v/>
      </c>
      <c r="AF320" s="1" t="str">
        <f t="shared" si="90"/>
        <v/>
      </c>
      <c r="AG320" s="1" t="str">
        <f t="shared" si="91"/>
        <v/>
      </c>
      <c r="AH320" s="1" t="str">
        <f t="shared" si="92"/>
        <v xml:space="preserve">PERFORM * FROM "SchData-OLTP-Accounting"."Func_TblChartOfAccount_SET"(varSystemLoginSession, null, null, null, varInstitutionBranchID, null, '8-0000', 'Other Income/Expense', 62000000000001::bigint, '2016-01-01 00:00:00'::timestamp, null::timestamp); </v>
      </c>
      <c r="AI320" s="1" t="str">
        <f t="shared" si="93"/>
        <v/>
      </c>
      <c r="AJ320" s="1" t="str">
        <f t="shared" si="94"/>
        <v/>
      </c>
      <c r="AK320" s="1" t="str">
        <f t="shared" si="95"/>
        <v/>
      </c>
      <c r="AL320" s="1" t="str">
        <f t="shared" si="96"/>
        <v/>
      </c>
      <c r="AM320" s="1" t="str">
        <f t="shared" si="97"/>
        <v/>
      </c>
      <c r="AO320" s="8" t="str">
        <f t="shared" si="109"/>
        <v xml:space="preserve">PERFORM * FROM "SchData-OLTP-Accounting"."Func_TblChartOfAccount_SET"(varSystemLoginSession, null, null, null, varInstitutionBranchID, null, '8-0000', 'Other Income/Expense', 62000000000001::bigint, '2016-01-01 00:00:00'::timestamp, null::timestamp); </v>
      </c>
    </row>
    <row r="321" spans="2:41" x14ac:dyDescent="0.25">
      <c r="B321" s="1">
        <v>2</v>
      </c>
      <c r="C321" s="2" t="s">
        <v>626</v>
      </c>
      <c r="D321" s="1" t="s">
        <v>627</v>
      </c>
      <c r="L321" s="2" t="s">
        <v>626</v>
      </c>
      <c r="Q321" s="1" t="str">
        <f t="shared" si="108"/>
        <v>Interest Received - Current Ac</v>
      </c>
      <c r="S321" s="1" t="str">
        <f t="shared" si="98"/>
        <v>2-PASV</v>
      </c>
      <c r="T321" s="1" t="str">
        <f t="shared" si="99"/>
        <v>3-0000</v>
      </c>
      <c r="U321" s="1" t="str">
        <f t="shared" si="100"/>
        <v>3-3000</v>
      </c>
      <c r="V321" s="1" t="str">
        <f t="shared" si="101"/>
        <v>4-1EAT</v>
      </c>
      <c r="W321" s="1" t="str">
        <f t="shared" si="102"/>
        <v>4-2EBT</v>
      </c>
      <c r="X321" s="1" t="str">
        <f t="shared" si="103"/>
        <v>8-0000</v>
      </c>
      <c r="Y321" s="1" t="str">
        <f t="shared" si="104"/>
        <v>8-1010</v>
      </c>
      <c r="Z321" s="1" t="str">
        <f t="shared" si="105"/>
        <v>6-9901</v>
      </c>
      <c r="AA321" s="1" t="str">
        <f t="shared" si="106"/>
        <v>5-3000</v>
      </c>
      <c r="AB321" s="1" t="str">
        <f t="shared" si="107"/>
        <v>5-9000</v>
      </c>
      <c r="AD321" s="1" t="str">
        <f t="shared" si="88"/>
        <v/>
      </c>
      <c r="AE321" s="1" t="str">
        <f t="shared" si="89"/>
        <v/>
      </c>
      <c r="AF321" s="1" t="str">
        <f t="shared" si="90"/>
        <v/>
      </c>
      <c r="AG321" s="1" t="str">
        <f t="shared" si="91"/>
        <v/>
      </c>
      <c r="AH321" s="1" t="str">
        <f t="shared" si="92"/>
        <v/>
      </c>
      <c r="AI321" s="1" t="str">
        <f t="shared" si="93"/>
        <v xml:space="preserve">PERFORM * FROM "SchData-OLTP-Accounting"."Func_TblChartOfAccount_SET"(varSystemLoginSession, null, null, null, varInstitutionBranchID, null, '8-1010', 'Interest Received - Current Ac', 62000000000001::bigint, '2016-01-01 00:00:00'::timestamp, null::timestamp); </v>
      </c>
      <c r="AJ321" s="1" t="str">
        <f t="shared" si="94"/>
        <v/>
      </c>
      <c r="AK321" s="1" t="str">
        <f t="shared" si="95"/>
        <v/>
      </c>
      <c r="AL321" s="1" t="str">
        <f t="shared" si="96"/>
        <v/>
      </c>
      <c r="AM321" s="1" t="str">
        <f t="shared" si="97"/>
        <v/>
      </c>
      <c r="AO321" s="8" t="str">
        <f t="shared" si="109"/>
        <v xml:space="preserve">PERFORM * FROM "SchData-OLTP-Accounting"."Func_TblChartOfAccount_SET"(varSystemLoginSession, null, null, null, varInstitutionBranchID, null, '8-1010', 'Interest Received - Current Ac', 62000000000001::bigint, '2016-01-01 00:00:00'::timestamp, null::timestamp); </v>
      </c>
    </row>
    <row r="322" spans="2:41" x14ac:dyDescent="0.25">
      <c r="B322" s="1">
        <v>2</v>
      </c>
      <c r="C322" s="2" t="s">
        <v>628</v>
      </c>
      <c r="D322" s="1" t="s">
        <v>629</v>
      </c>
      <c r="L322" s="2" t="s">
        <v>628</v>
      </c>
      <c r="Q322" s="1" t="str">
        <f t="shared" si="108"/>
        <v>Interest Received - Bank</v>
      </c>
      <c r="S322" s="1" t="str">
        <f t="shared" si="98"/>
        <v>2-PASV</v>
      </c>
      <c r="T322" s="1" t="str">
        <f t="shared" si="99"/>
        <v>3-0000</v>
      </c>
      <c r="U322" s="1" t="str">
        <f t="shared" si="100"/>
        <v>3-3000</v>
      </c>
      <c r="V322" s="1" t="str">
        <f t="shared" si="101"/>
        <v>4-1EAT</v>
      </c>
      <c r="W322" s="1" t="str">
        <f t="shared" si="102"/>
        <v>4-2EBT</v>
      </c>
      <c r="X322" s="1" t="str">
        <f t="shared" si="103"/>
        <v>8-0000</v>
      </c>
      <c r="Y322" s="1" t="str">
        <f t="shared" si="104"/>
        <v>8-1020</v>
      </c>
      <c r="Z322" s="1" t="str">
        <f t="shared" si="105"/>
        <v>6-9901</v>
      </c>
      <c r="AA322" s="1" t="str">
        <f t="shared" si="106"/>
        <v>5-3000</v>
      </c>
      <c r="AB322" s="1" t="str">
        <f t="shared" si="107"/>
        <v>5-9000</v>
      </c>
      <c r="AD322" s="1" t="str">
        <f t="shared" si="88"/>
        <v/>
      </c>
      <c r="AE322" s="1" t="str">
        <f t="shared" si="89"/>
        <v/>
      </c>
      <c r="AF322" s="1" t="str">
        <f t="shared" si="90"/>
        <v/>
      </c>
      <c r="AG322" s="1" t="str">
        <f t="shared" si="91"/>
        <v/>
      </c>
      <c r="AH322" s="1" t="str">
        <f t="shared" si="92"/>
        <v/>
      </c>
      <c r="AI322" s="1" t="str">
        <f t="shared" si="93"/>
        <v xml:space="preserve">PERFORM * FROM "SchData-OLTP-Accounting"."Func_TblChartOfAccount_SET"(varSystemLoginSession, null, null, null, varInstitutionBranchID, null, '8-1020', 'Interest Received - Bank', 62000000000001::bigint, '2016-01-01 00:00:00'::timestamp, null::timestamp); </v>
      </c>
      <c r="AJ322" s="1" t="str">
        <f t="shared" si="94"/>
        <v/>
      </c>
      <c r="AK322" s="1" t="str">
        <f t="shared" si="95"/>
        <v/>
      </c>
      <c r="AL322" s="1" t="str">
        <f t="shared" si="96"/>
        <v/>
      </c>
      <c r="AM322" s="1" t="str">
        <f t="shared" si="97"/>
        <v/>
      </c>
      <c r="AO322" s="8" t="str">
        <f t="shared" si="109"/>
        <v xml:space="preserve">PERFORM * FROM "SchData-OLTP-Accounting"."Func_TblChartOfAccount_SET"(varSystemLoginSession, null, null, null, varInstitutionBranchID, null, '8-1020', 'Interest Received - Bank', 62000000000001::bigint, '2016-01-01 00:00:00'::timestamp, null::timestamp); </v>
      </c>
    </row>
    <row r="323" spans="2:41" x14ac:dyDescent="0.25">
      <c r="B323" s="1">
        <v>2</v>
      </c>
      <c r="C323" s="2" t="s">
        <v>630</v>
      </c>
      <c r="D323" s="1" t="s">
        <v>631</v>
      </c>
      <c r="L323" s="2" t="s">
        <v>630</v>
      </c>
      <c r="Q323" s="1" t="str">
        <f t="shared" si="108"/>
        <v>Interest Received - Other</v>
      </c>
      <c r="S323" s="1" t="str">
        <f t="shared" si="98"/>
        <v>2-PASV</v>
      </c>
      <c r="T323" s="1" t="str">
        <f t="shared" si="99"/>
        <v>3-0000</v>
      </c>
      <c r="U323" s="1" t="str">
        <f t="shared" si="100"/>
        <v>3-3000</v>
      </c>
      <c r="V323" s="1" t="str">
        <f t="shared" si="101"/>
        <v>4-1EAT</v>
      </c>
      <c r="W323" s="1" t="str">
        <f t="shared" si="102"/>
        <v>4-2EBT</v>
      </c>
      <c r="X323" s="1" t="str">
        <f t="shared" si="103"/>
        <v>8-0000</v>
      </c>
      <c r="Y323" s="1" t="str">
        <f t="shared" si="104"/>
        <v>8-1090</v>
      </c>
      <c r="Z323" s="1" t="str">
        <f t="shared" si="105"/>
        <v>6-9901</v>
      </c>
      <c r="AA323" s="1" t="str">
        <f t="shared" si="106"/>
        <v>5-3000</v>
      </c>
      <c r="AB323" s="1" t="str">
        <f t="shared" si="107"/>
        <v>5-9000</v>
      </c>
      <c r="AD323" s="1" t="str">
        <f t="shared" si="88"/>
        <v/>
      </c>
      <c r="AE323" s="1" t="str">
        <f t="shared" si="89"/>
        <v/>
      </c>
      <c r="AF323" s="1" t="str">
        <f t="shared" si="90"/>
        <v/>
      </c>
      <c r="AG323" s="1" t="str">
        <f t="shared" si="91"/>
        <v/>
      </c>
      <c r="AH323" s="1" t="str">
        <f t="shared" si="92"/>
        <v/>
      </c>
      <c r="AI323" s="1" t="str">
        <f t="shared" si="93"/>
        <v xml:space="preserve">PERFORM * FROM "SchData-OLTP-Accounting"."Func_TblChartOfAccount_SET"(varSystemLoginSession, null, null, null, varInstitutionBranchID, null, '8-1090', 'Interest Received - Other', 62000000000001::bigint, '2016-01-01 00:00:00'::timestamp, null::timestamp); </v>
      </c>
      <c r="AJ323" s="1" t="str">
        <f t="shared" si="94"/>
        <v/>
      </c>
      <c r="AK323" s="1" t="str">
        <f t="shared" si="95"/>
        <v/>
      </c>
      <c r="AL323" s="1" t="str">
        <f t="shared" si="96"/>
        <v/>
      </c>
      <c r="AM323" s="1" t="str">
        <f t="shared" si="97"/>
        <v/>
      </c>
      <c r="AO323" s="8" t="str">
        <f t="shared" si="109"/>
        <v xml:space="preserve">PERFORM * FROM "SchData-OLTP-Accounting"."Func_TblChartOfAccount_SET"(varSystemLoginSession, null, null, null, varInstitutionBranchID, null, '8-1090', 'Interest Received - Other', 62000000000001::bigint, '2016-01-01 00:00:00'::timestamp, null::timestamp); </v>
      </c>
    </row>
    <row r="324" spans="2:41" x14ac:dyDescent="0.25">
      <c r="B324" s="1">
        <v>2</v>
      </c>
      <c r="C324" s="2" t="s">
        <v>632</v>
      </c>
      <c r="D324" s="1" t="s">
        <v>633</v>
      </c>
      <c r="L324" s="2" t="s">
        <v>632</v>
      </c>
      <c r="Q324" s="1" t="str">
        <f t="shared" si="108"/>
        <v>Interest income promesory Note</v>
      </c>
      <c r="S324" s="1" t="str">
        <f t="shared" si="98"/>
        <v>2-PASV</v>
      </c>
      <c r="T324" s="1" t="str">
        <f t="shared" si="99"/>
        <v>3-0000</v>
      </c>
      <c r="U324" s="1" t="str">
        <f t="shared" si="100"/>
        <v>3-3000</v>
      </c>
      <c r="V324" s="1" t="str">
        <f t="shared" si="101"/>
        <v>4-1EAT</v>
      </c>
      <c r="W324" s="1" t="str">
        <f t="shared" si="102"/>
        <v>4-2EBT</v>
      </c>
      <c r="X324" s="1" t="str">
        <f t="shared" si="103"/>
        <v>8-0000</v>
      </c>
      <c r="Y324" s="1" t="str">
        <f t="shared" si="104"/>
        <v>8-1091</v>
      </c>
      <c r="Z324" s="1" t="str">
        <f t="shared" si="105"/>
        <v>6-9901</v>
      </c>
      <c r="AA324" s="1" t="str">
        <f t="shared" si="106"/>
        <v>5-3000</v>
      </c>
      <c r="AB324" s="1" t="str">
        <f t="shared" si="107"/>
        <v>5-9000</v>
      </c>
      <c r="AD324" s="1" t="str">
        <f t="shared" si="88"/>
        <v/>
      </c>
      <c r="AE324" s="1" t="str">
        <f t="shared" si="89"/>
        <v/>
      </c>
      <c r="AF324" s="1" t="str">
        <f t="shared" si="90"/>
        <v/>
      </c>
      <c r="AG324" s="1" t="str">
        <f t="shared" si="91"/>
        <v/>
      </c>
      <c r="AH324" s="1" t="str">
        <f t="shared" si="92"/>
        <v/>
      </c>
      <c r="AI324" s="1" t="str">
        <f t="shared" si="93"/>
        <v xml:space="preserve">PERFORM * FROM "SchData-OLTP-Accounting"."Func_TblChartOfAccount_SET"(varSystemLoginSession, null, null, null, varInstitutionBranchID, null, '8-1091', 'Interest income promesory Note', 62000000000001::bigint, '2016-01-01 00:00:00'::timestamp, null::timestamp); </v>
      </c>
      <c r="AJ324" s="1" t="str">
        <f t="shared" si="94"/>
        <v/>
      </c>
      <c r="AK324" s="1" t="str">
        <f t="shared" si="95"/>
        <v/>
      </c>
      <c r="AL324" s="1" t="str">
        <f t="shared" si="96"/>
        <v/>
      </c>
      <c r="AM324" s="1" t="str">
        <f t="shared" si="97"/>
        <v/>
      </c>
      <c r="AO324" s="8" t="str">
        <f t="shared" si="109"/>
        <v xml:space="preserve">PERFORM * FROM "SchData-OLTP-Accounting"."Func_TblChartOfAccount_SET"(varSystemLoginSession, null, null, null, varInstitutionBranchID, null, '8-1091', 'Interest income promesory Note', 62000000000001::bigint, '2016-01-01 00:00:00'::timestamp, null::timestamp); </v>
      </c>
    </row>
    <row r="325" spans="2:41" x14ac:dyDescent="0.25">
      <c r="B325" s="1">
        <v>2</v>
      </c>
      <c r="C325" s="2" t="s">
        <v>634</v>
      </c>
      <c r="D325" s="1" t="s">
        <v>635</v>
      </c>
      <c r="L325" s="2" t="s">
        <v>634</v>
      </c>
      <c r="Q325" s="1" t="str">
        <f t="shared" si="108"/>
        <v>Gain (Loss) Disposal of FA</v>
      </c>
      <c r="S325" s="1" t="str">
        <f t="shared" si="98"/>
        <v>2-PASV</v>
      </c>
      <c r="T325" s="1" t="str">
        <f t="shared" si="99"/>
        <v>3-0000</v>
      </c>
      <c r="U325" s="1" t="str">
        <f t="shared" si="100"/>
        <v>3-3000</v>
      </c>
      <c r="V325" s="1" t="str">
        <f t="shared" si="101"/>
        <v>4-1EAT</v>
      </c>
      <c r="W325" s="1" t="str">
        <f t="shared" si="102"/>
        <v>4-2EBT</v>
      </c>
      <c r="X325" s="1" t="str">
        <f t="shared" si="103"/>
        <v>8-0000</v>
      </c>
      <c r="Y325" s="1" t="str">
        <f t="shared" si="104"/>
        <v>8-1110</v>
      </c>
      <c r="Z325" s="1" t="str">
        <f t="shared" si="105"/>
        <v>6-9901</v>
      </c>
      <c r="AA325" s="1" t="str">
        <f t="shared" si="106"/>
        <v>5-3000</v>
      </c>
      <c r="AB325" s="1" t="str">
        <f t="shared" si="107"/>
        <v>5-9000</v>
      </c>
      <c r="AD325" s="1" t="str">
        <f t="shared" ref="AD325:AD343" si="110">IF(EXACT(T325, T324), "", CONCATENATE("PERFORM * FROM ""SchData-OLTP-Accounting"".""Func_TblChartOfAccount_SET""(varSystemLoginSession, null, null, null, varInstitutionBranchID, null, '", T325, "', '", $Q325, "', 62000000000001::bigint, '2016-01-01 00:00:00'::timestamp, null::timestamp); "))</f>
        <v/>
      </c>
      <c r="AE325" s="1" t="str">
        <f t="shared" ref="AE325:AE343" si="111">IF(EXACT(U325, U324), "", CONCATENATE("PERFORM * FROM ""SchData-OLTP-Accounting"".""Func_TblChartOfAccount_SET""(varSystemLoginSession, null, null, null, varInstitutionBranchID, null, '", U325, "', '", $Q325, "', 62000000000001::bigint, '2016-01-01 00:00:00'::timestamp, null::timestamp); "))</f>
        <v/>
      </c>
      <c r="AF325" s="1" t="str">
        <f t="shared" ref="AF325:AF343" si="112">IF(EXACT(V325, V324), "", CONCATENATE("PERFORM * FROM ""SchData-OLTP-Accounting"".""Func_TblChartOfAccount_SET""(varSystemLoginSession, null, null, null, varInstitutionBranchID, null, '", V325, "', '", $Q325, "', 62000000000001::bigint, '2016-01-01 00:00:00'::timestamp, null::timestamp); "))</f>
        <v/>
      </c>
      <c r="AG325" s="1" t="str">
        <f t="shared" ref="AG325:AG343" si="113">IF(EXACT(W325, W324), "", CONCATENATE("PERFORM * FROM ""SchData-OLTP-Accounting"".""Func_TblChartOfAccount_SET""(varSystemLoginSession, null, null, null, varInstitutionBranchID, null, '", W325, "', '", $Q325, "', 62000000000001::bigint, '2016-01-01 00:00:00'::timestamp, null::timestamp); "))</f>
        <v/>
      </c>
      <c r="AH325" s="1" t="str">
        <f t="shared" ref="AH325:AH343" si="114">IF(EXACT(X325, X324), "", CONCATENATE("PERFORM * FROM ""SchData-OLTP-Accounting"".""Func_TblChartOfAccount_SET""(varSystemLoginSession, null, null, null, varInstitutionBranchID, null, '", X325, "', '", $Q325, "', 62000000000001::bigint, '2016-01-01 00:00:00'::timestamp, null::timestamp); "))</f>
        <v/>
      </c>
      <c r="AI325" s="1" t="str">
        <f t="shared" ref="AI325:AI343" si="115">IF(EXACT(Y325, Y324), "", CONCATENATE("PERFORM * FROM ""SchData-OLTP-Accounting"".""Func_TblChartOfAccount_SET""(varSystemLoginSession, null, null, null, varInstitutionBranchID, null, '", Y325, "', '", $Q325, "', 62000000000001::bigint, '2016-01-01 00:00:00'::timestamp, null::timestamp); "))</f>
        <v xml:space="preserve">PERFORM * FROM "SchData-OLTP-Accounting"."Func_TblChartOfAccount_SET"(varSystemLoginSession, null, null, null, varInstitutionBranchID, null, '8-1110', 'Gain (Loss) Disposal of FA', 62000000000001::bigint, '2016-01-01 00:00:00'::timestamp, null::timestamp); </v>
      </c>
      <c r="AJ325" s="1" t="str">
        <f t="shared" ref="AJ325:AJ343" si="116">IF(EXACT(Z325, Z324), "", CONCATENATE("PERFORM * FROM ""SchData-OLTP-Accounting"".""Func_TblChartOfAccount_SET""(varSystemLoginSession, null, null, null, varInstitutionBranchID, null, '", Z325, "', '", $Q325, "', 62000000000001::bigint, '2016-01-01 00:00:00'::timestamp, null::timestamp); "))</f>
        <v/>
      </c>
      <c r="AK325" s="1" t="str">
        <f t="shared" ref="AK325:AK343" si="117">IF(EXACT(AA325, AA324), "", CONCATENATE("PERFORM * FROM ""SchData-OLTP-Accounting"".""Func_TblChartOfAccount_SET""(varSystemLoginSession, null, null, null, varInstitutionBranchID, null, '", AA325, "', '", $Q325, "', 62000000000001::bigint, '2016-01-01 00:00:00'::timestamp, null::timestamp); "))</f>
        <v/>
      </c>
      <c r="AL325" s="1" t="str">
        <f t="shared" ref="AL325:AL343" si="118">IF(EXACT(AB325, AB324), "", CONCATENATE("PERFORM * FROM ""SchData-OLTP-Accounting"".""Func_TblChartOfAccount_SET""(varSystemLoginSession, null, null, null, varInstitutionBranchID, null, '", AB325, "', '", $Q325, "', 62000000000001::bigint, '2016-01-01 00:00:00'::timestamp, null::timestamp); "))</f>
        <v/>
      </c>
      <c r="AM325" s="1" t="str">
        <f t="shared" ref="AM325:AM343" si="119">IF(EXACT(AC325, AC324), "", CONCATENATE("PERFORM * FROM ""SchData-OLTP-Accounting"".""Func_TblChartOfAccount_SET""(varSystemLoginSession, null, null, null, varInstitutionBranchID, null, '", AC325, "', '", $Q325, "', 62000000000001::bigint, '2016-01-01 00:00:00'::timestamp, null::timestamp); "))</f>
        <v/>
      </c>
      <c r="AO325" s="8" t="str">
        <f t="shared" si="109"/>
        <v xml:space="preserve">PERFORM * FROM "SchData-OLTP-Accounting"."Func_TblChartOfAccount_SET"(varSystemLoginSession, null, null, null, varInstitutionBranchID, null, '8-1110', 'Gain (Loss) Disposal of FA', 62000000000001::bigint, '2016-01-01 00:00:00'::timestamp, null::timestamp); </v>
      </c>
    </row>
    <row r="326" spans="2:41" x14ac:dyDescent="0.25">
      <c r="B326" s="1">
        <v>2</v>
      </c>
      <c r="C326" s="2" t="s">
        <v>636</v>
      </c>
      <c r="D326" s="1" t="s">
        <v>637</v>
      </c>
      <c r="L326" s="2" t="s">
        <v>636</v>
      </c>
      <c r="Q326" s="1" t="str">
        <f t="shared" si="108"/>
        <v>Gain (Loss) Exchange Rate Diff</v>
      </c>
      <c r="S326" s="1" t="str">
        <f t="shared" ref="S326:S343" si="120">IF(EXACT($F326, ""), IF(EXACT($S325, ""), "", $S325), $F326)</f>
        <v>2-PASV</v>
      </c>
      <c r="T326" s="1" t="str">
        <f t="shared" ref="T326:T343" si="121">IF(EXACT($G326, ""), IF(EXACT($T325, ""), "", $T325), $G326)</f>
        <v>3-0000</v>
      </c>
      <c r="U326" s="1" t="str">
        <f t="shared" ref="U326:U343" si="122">IF(EXACT($H326, ""), IF(EXACT($U325, ""), "", $U325), $H326)</f>
        <v>3-3000</v>
      </c>
      <c r="V326" s="1" t="str">
        <f t="shared" ref="V326:V343" si="123">IF(EXACT($I326, ""), IF(EXACT($V325, ""), "", $V325), $I326)</f>
        <v>4-1EAT</v>
      </c>
      <c r="W326" s="1" t="str">
        <f t="shared" ref="W326:W343" si="124">IF(EXACT($J326, ""), IF(EXACT($W325, ""), "", $W325), $J326)</f>
        <v>4-2EBT</v>
      </c>
      <c r="X326" s="1" t="str">
        <f t="shared" ref="X326:X343" si="125">IF(EXACT($K326, ""), IF(EXACT($X325, ""), "", $X325), $K326)</f>
        <v>8-0000</v>
      </c>
      <c r="Y326" s="1" t="str">
        <f t="shared" ref="Y326:Y343" si="126">IF(EXACT($L326, ""), IF(EXACT($Y325, ""), "", $Y325), $L326)</f>
        <v>8-1210</v>
      </c>
      <c r="Z326" s="1" t="str">
        <f t="shared" ref="Z326:Z343" si="127">IF(EXACT($M326, ""), IF(EXACT($Z325, ""), "", $Z325), $M326)</f>
        <v>6-9901</v>
      </c>
      <c r="AA326" s="1" t="str">
        <f t="shared" ref="AA326:AA343" si="128">IF(EXACT($N326, ""), IF(EXACT($AA325, ""), "", $AA325), $N326)</f>
        <v>5-3000</v>
      </c>
      <c r="AB326" s="1" t="str">
        <f t="shared" ref="AB326:AB343" si="129">IF(EXACT($O326, ""), IF(EXACT($AB325, ""), "", $AB325), $O326)</f>
        <v>5-9000</v>
      </c>
      <c r="AD326" s="1" t="str">
        <f t="shared" si="110"/>
        <v/>
      </c>
      <c r="AE326" s="1" t="str">
        <f t="shared" si="111"/>
        <v/>
      </c>
      <c r="AF326" s="1" t="str">
        <f t="shared" si="112"/>
        <v/>
      </c>
      <c r="AG326" s="1" t="str">
        <f t="shared" si="113"/>
        <v/>
      </c>
      <c r="AH326" s="1" t="str">
        <f t="shared" si="114"/>
        <v/>
      </c>
      <c r="AI326" s="1" t="str">
        <f t="shared" si="115"/>
        <v xml:space="preserve">PERFORM * FROM "SchData-OLTP-Accounting"."Func_TblChartOfAccount_SET"(varSystemLoginSession, null, null, null, varInstitutionBranchID, null, '8-1210', 'Gain (Loss) Exchange Rate Diff', 62000000000001::bigint, '2016-01-01 00:00:00'::timestamp, null::timestamp); </v>
      </c>
      <c r="AJ326" s="1" t="str">
        <f t="shared" si="116"/>
        <v/>
      </c>
      <c r="AK326" s="1" t="str">
        <f t="shared" si="117"/>
        <v/>
      </c>
      <c r="AL326" s="1" t="str">
        <f t="shared" si="118"/>
        <v/>
      </c>
      <c r="AM326" s="1" t="str">
        <f t="shared" si="119"/>
        <v/>
      </c>
      <c r="AO326" s="8" t="str">
        <f t="shared" si="109"/>
        <v xml:space="preserve">PERFORM * FROM "SchData-OLTP-Accounting"."Func_TblChartOfAccount_SET"(varSystemLoginSession, null, null, null, varInstitutionBranchID, null, '8-1210', 'Gain (Loss) Exchange Rate Diff', 62000000000001::bigint, '2016-01-01 00:00:00'::timestamp, null::timestamp); </v>
      </c>
    </row>
    <row r="327" spans="2:41" x14ac:dyDescent="0.25">
      <c r="B327" s="1">
        <v>2</v>
      </c>
      <c r="C327" s="2" t="s">
        <v>638</v>
      </c>
      <c r="D327" s="1" t="s">
        <v>639</v>
      </c>
      <c r="L327" s="2" t="s">
        <v>638</v>
      </c>
      <c r="Q327" s="1" t="str">
        <f t="shared" ref="Q327:Q342" si="130">D327</f>
        <v>Gain/Loss)Diff Exc Rate Downer</v>
      </c>
      <c r="S327" s="1" t="str">
        <f t="shared" si="120"/>
        <v>2-PASV</v>
      </c>
      <c r="T327" s="1" t="str">
        <f t="shared" si="121"/>
        <v>3-0000</v>
      </c>
      <c r="U327" s="1" t="str">
        <f t="shared" si="122"/>
        <v>3-3000</v>
      </c>
      <c r="V327" s="1" t="str">
        <f t="shared" si="123"/>
        <v>4-1EAT</v>
      </c>
      <c r="W327" s="1" t="str">
        <f t="shared" si="124"/>
        <v>4-2EBT</v>
      </c>
      <c r="X327" s="1" t="str">
        <f t="shared" si="125"/>
        <v>8-0000</v>
      </c>
      <c r="Y327" s="1" t="str">
        <f t="shared" si="126"/>
        <v>8-1220</v>
      </c>
      <c r="Z327" s="1" t="str">
        <f t="shared" si="127"/>
        <v>6-9901</v>
      </c>
      <c r="AA327" s="1" t="str">
        <f t="shared" si="128"/>
        <v>5-3000</v>
      </c>
      <c r="AB327" s="1" t="str">
        <f t="shared" si="129"/>
        <v>5-9000</v>
      </c>
      <c r="AD327" s="1" t="str">
        <f t="shared" si="110"/>
        <v/>
      </c>
      <c r="AE327" s="1" t="str">
        <f t="shared" si="111"/>
        <v/>
      </c>
      <c r="AF327" s="1" t="str">
        <f t="shared" si="112"/>
        <v/>
      </c>
      <c r="AG327" s="1" t="str">
        <f t="shared" si="113"/>
        <v/>
      </c>
      <c r="AH327" s="1" t="str">
        <f t="shared" si="114"/>
        <v/>
      </c>
      <c r="AI327" s="1" t="str">
        <f t="shared" si="115"/>
        <v xml:space="preserve">PERFORM * FROM "SchData-OLTP-Accounting"."Func_TblChartOfAccount_SET"(varSystemLoginSession, null, null, null, varInstitutionBranchID, null, '8-1220', 'Gain/Loss)Diff Exc Rate Downer', 62000000000001::bigint, '2016-01-01 00:00:00'::timestamp, null::timestamp); </v>
      </c>
      <c r="AJ327" s="1" t="str">
        <f t="shared" si="116"/>
        <v/>
      </c>
      <c r="AK327" s="1" t="str">
        <f t="shared" si="117"/>
        <v/>
      </c>
      <c r="AL327" s="1" t="str">
        <f t="shared" si="118"/>
        <v/>
      </c>
      <c r="AM327" s="1" t="str">
        <f t="shared" si="119"/>
        <v/>
      </c>
      <c r="AO327" s="8" t="str">
        <f t="shared" ref="AO327:AO343" si="131">IF(NOT(EXACT(AD327, "")), AD327, IF(NOT(EXACT(AE327, "")), AE327, IF(NOT(EXACT(AF327, "")), AF327, IF(NOT(EXACT(AG327, "")), AG327, IF(NOT(EXACT(AH327, "")), AH327, IF(NOT(EXACT(AI327, "")), AI327, IF(NOT(EXACT(AJ327, "")), AJ327, IF(NOT(EXACT(AK327, "")), AK327, IF(NOT(EXACT(AL327, "")), AL327, IF(NOT(EXACT(AM327, "")), AM327, ""))))))))))</f>
        <v xml:space="preserve">PERFORM * FROM "SchData-OLTP-Accounting"."Func_TblChartOfAccount_SET"(varSystemLoginSession, null, null, null, varInstitutionBranchID, null, '8-1220', 'Gain/Loss)Diff Exc Rate Downer', 62000000000001::bigint, '2016-01-01 00:00:00'::timestamp, null::timestamp); </v>
      </c>
    </row>
    <row r="328" spans="2:41" x14ac:dyDescent="0.25">
      <c r="B328" s="1">
        <v>2</v>
      </c>
      <c r="C328" s="2" t="s">
        <v>640</v>
      </c>
      <c r="D328" s="1" t="s">
        <v>641</v>
      </c>
      <c r="L328" s="2" t="s">
        <v>640</v>
      </c>
      <c r="Q328" s="1" t="str">
        <f t="shared" si="130"/>
        <v>Other Revenue</v>
      </c>
      <c r="S328" s="1" t="str">
        <f t="shared" si="120"/>
        <v>2-PASV</v>
      </c>
      <c r="T328" s="1" t="str">
        <f t="shared" si="121"/>
        <v>3-0000</v>
      </c>
      <c r="U328" s="1" t="str">
        <f t="shared" si="122"/>
        <v>3-3000</v>
      </c>
      <c r="V328" s="1" t="str">
        <f t="shared" si="123"/>
        <v>4-1EAT</v>
      </c>
      <c r="W328" s="1" t="str">
        <f t="shared" si="124"/>
        <v>4-2EBT</v>
      </c>
      <c r="X328" s="1" t="str">
        <f t="shared" si="125"/>
        <v>8-0000</v>
      </c>
      <c r="Y328" s="1" t="str">
        <f t="shared" si="126"/>
        <v>8-1910</v>
      </c>
      <c r="Z328" s="1" t="str">
        <f t="shared" si="127"/>
        <v>6-9901</v>
      </c>
      <c r="AA328" s="1" t="str">
        <f t="shared" si="128"/>
        <v>5-3000</v>
      </c>
      <c r="AB328" s="1" t="str">
        <f t="shared" si="129"/>
        <v>5-9000</v>
      </c>
      <c r="AD328" s="1" t="str">
        <f t="shared" si="110"/>
        <v/>
      </c>
      <c r="AE328" s="1" t="str">
        <f t="shared" si="111"/>
        <v/>
      </c>
      <c r="AF328" s="1" t="str">
        <f t="shared" si="112"/>
        <v/>
      </c>
      <c r="AG328" s="1" t="str">
        <f t="shared" si="113"/>
        <v/>
      </c>
      <c r="AH328" s="1" t="str">
        <f t="shared" si="114"/>
        <v/>
      </c>
      <c r="AI328" s="1" t="str">
        <f t="shared" si="115"/>
        <v xml:space="preserve">PERFORM * FROM "SchData-OLTP-Accounting"."Func_TblChartOfAccount_SET"(varSystemLoginSession, null, null, null, varInstitutionBranchID, null, '8-1910', 'Other Revenue', 62000000000001::bigint, '2016-01-01 00:00:00'::timestamp, null::timestamp); </v>
      </c>
      <c r="AJ328" s="1" t="str">
        <f t="shared" si="116"/>
        <v/>
      </c>
      <c r="AK328" s="1" t="str">
        <f t="shared" si="117"/>
        <v/>
      </c>
      <c r="AL328" s="1" t="str">
        <f t="shared" si="118"/>
        <v/>
      </c>
      <c r="AM328" s="1" t="str">
        <f t="shared" si="119"/>
        <v/>
      </c>
      <c r="AO328" s="8" t="str">
        <f t="shared" si="131"/>
        <v xml:space="preserve">PERFORM * FROM "SchData-OLTP-Accounting"."Func_TblChartOfAccount_SET"(varSystemLoginSession, null, null, null, varInstitutionBranchID, null, '8-1910', 'Other Revenue', 62000000000001::bigint, '2016-01-01 00:00:00'::timestamp, null::timestamp); </v>
      </c>
    </row>
    <row r="329" spans="2:41" x14ac:dyDescent="0.25">
      <c r="B329" s="1">
        <v>2</v>
      </c>
      <c r="C329" s="2" t="s">
        <v>642</v>
      </c>
      <c r="D329" s="1" t="s">
        <v>643</v>
      </c>
      <c r="M329" s="2" t="s">
        <v>642</v>
      </c>
      <c r="Q329" s="1" t="str">
        <f t="shared" si="130"/>
        <v>Income(loss) Subsidiary DHD</v>
      </c>
      <c r="S329" s="1" t="str">
        <f t="shared" si="120"/>
        <v>2-PASV</v>
      </c>
      <c r="T329" s="1" t="str">
        <f t="shared" si="121"/>
        <v>3-0000</v>
      </c>
      <c r="U329" s="1" t="str">
        <f t="shared" si="122"/>
        <v>3-3000</v>
      </c>
      <c r="V329" s="1" t="str">
        <f t="shared" si="123"/>
        <v>4-1EAT</v>
      </c>
      <c r="W329" s="1" t="str">
        <f t="shared" si="124"/>
        <v>4-2EBT</v>
      </c>
      <c r="X329" s="1" t="str">
        <f t="shared" si="125"/>
        <v>8-0000</v>
      </c>
      <c r="Y329" s="1" t="str">
        <f t="shared" si="126"/>
        <v>8-1910</v>
      </c>
      <c r="Z329" s="1" t="str">
        <f t="shared" si="127"/>
        <v>8-1911</v>
      </c>
      <c r="AA329" s="1" t="str">
        <f t="shared" si="128"/>
        <v>5-3000</v>
      </c>
      <c r="AB329" s="1" t="str">
        <f t="shared" si="129"/>
        <v>5-9000</v>
      </c>
      <c r="AD329" s="1" t="str">
        <f t="shared" si="110"/>
        <v/>
      </c>
      <c r="AE329" s="1" t="str">
        <f t="shared" si="111"/>
        <v/>
      </c>
      <c r="AF329" s="1" t="str">
        <f t="shared" si="112"/>
        <v/>
      </c>
      <c r="AG329" s="1" t="str">
        <f t="shared" si="113"/>
        <v/>
      </c>
      <c r="AH329" s="1" t="str">
        <f t="shared" si="114"/>
        <v/>
      </c>
      <c r="AI329" s="1" t="str">
        <f t="shared" si="115"/>
        <v/>
      </c>
      <c r="AJ329" s="1" t="str">
        <f t="shared" si="116"/>
        <v xml:space="preserve">PERFORM * FROM "SchData-OLTP-Accounting"."Func_TblChartOfAccount_SET"(varSystemLoginSession, null, null, null, varInstitutionBranchID, null, '8-1911', 'Income(loss) Subsidiary DHD', 62000000000001::bigint, '2016-01-01 00:00:00'::timestamp, null::timestamp); </v>
      </c>
      <c r="AK329" s="1" t="str">
        <f t="shared" si="117"/>
        <v/>
      </c>
      <c r="AL329" s="1" t="str">
        <f t="shared" si="118"/>
        <v/>
      </c>
      <c r="AM329" s="1" t="str">
        <f t="shared" si="119"/>
        <v/>
      </c>
      <c r="AO329" s="8" t="str">
        <f t="shared" si="131"/>
        <v xml:space="preserve">PERFORM * FROM "SchData-OLTP-Accounting"."Func_TblChartOfAccount_SET"(varSystemLoginSession, null, null, null, varInstitutionBranchID, null, '8-1911', 'Income(loss) Subsidiary DHD', 62000000000001::bigint, '2016-01-01 00:00:00'::timestamp, null::timestamp); </v>
      </c>
    </row>
    <row r="330" spans="2:41" x14ac:dyDescent="0.25">
      <c r="B330" s="1">
        <v>2</v>
      </c>
      <c r="C330" s="2" t="s">
        <v>644</v>
      </c>
      <c r="D330" s="1" t="s">
        <v>645</v>
      </c>
      <c r="M330" s="2" t="s">
        <v>644</v>
      </c>
      <c r="Q330" s="1" t="str">
        <f t="shared" si="130"/>
        <v>Income(Loss) subsidiary KHA</v>
      </c>
      <c r="S330" s="1" t="str">
        <f t="shared" si="120"/>
        <v>2-PASV</v>
      </c>
      <c r="T330" s="1" t="str">
        <f t="shared" si="121"/>
        <v>3-0000</v>
      </c>
      <c r="U330" s="1" t="str">
        <f t="shared" si="122"/>
        <v>3-3000</v>
      </c>
      <c r="V330" s="1" t="str">
        <f t="shared" si="123"/>
        <v>4-1EAT</v>
      </c>
      <c r="W330" s="1" t="str">
        <f t="shared" si="124"/>
        <v>4-2EBT</v>
      </c>
      <c r="X330" s="1" t="str">
        <f t="shared" si="125"/>
        <v>8-0000</v>
      </c>
      <c r="Y330" s="1" t="str">
        <f t="shared" si="126"/>
        <v>8-1910</v>
      </c>
      <c r="Z330" s="1" t="str">
        <f t="shared" si="127"/>
        <v>8-1912</v>
      </c>
      <c r="AA330" s="1" t="str">
        <f t="shared" si="128"/>
        <v>5-3000</v>
      </c>
      <c r="AB330" s="1" t="str">
        <f t="shared" si="129"/>
        <v>5-9000</v>
      </c>
      <c r="AD330" s="1" t="str">
        <f t="shared" si="110"/>
        <v/>
      </c>
      <c r="AE330" s="1" t="str">
        <f t="shared" si="111"/>
        <v/>
      </c>
      <c r="AF330" s="1" t="str">
        <f t="shared" si="112"/>
        <v/>
      </c>
      <c r="AG330" s="1" t="str">
        <f t="shared" si="113"/>
        <v/>
      </c>
      <c r="AH330" s="1" t="str">
        <f t="shared" si="114"/>
        <v/>
      </c>
      <c r="AI330" s="1" t="str">
        <f t="shared" si="115"/>
        <v/>
      </c>
      <c r="AJ330" s="1" t="str">
        <f t="shared" si="116"/>
        <v xml:space="preserve">PERFORM * FROM "SchData-OLTP-Accounting"."Func_TblChartOfAccount_SET"(varSystemLoginSession, null, null, null, varInstitutionBranchID, null, '8-1912', 'Income(Loss) subsidiary KHA', 62000000000001::bigint, '2016-01-01 00:00:00'::timestamp, null::timestamp); </v>
      </c>
      <c r="AK330" s="1" t="str">
        <f t="shared" si="117"/>
        <v/>
      </c>
      <c r="AL330" s="1" t="str">
        <f t="shared" si="118"/>
        <v/>
      </c>
      <c r="AM330" s="1" t="str">
        <f t="shared" si="119"/>
        <v/>
      </c>
      <c r="AO330" s="8" t="str">
        <f t="shared" si="131"/>
        <v xml:space="preserve">PERFORM * FROM "SchData-OLTP-Accounting"."Func_TblChartOfAccount_SET"(varSystemLoginSession, null, null, null, varInstitutionBranchID, null, '8-1912', 'Income(Loss) subsidiary KHA', 62000000000001::bigint, '2016-01-01 00:00:00'::timestamp, null::timestamp); </v>
      </c>
    </row>
    <row r="331" spans="2:41" x14ac:dyDescent="0.25">
      <c r="B331" s="1">
        <v>2</v>
      </c>
      <c r="C331" s="2" t="s">
        <v>646</v>
      </c>
      <c r="D331" s="1" t="s">
        <v>647</v>
      </c>
      <c r="L331" s="2" t="s">
        <v>646</v>
      </c>
      <c r="Q331" s="1" t="str">
        <f t="shared" si="130"/>
        <v>Other Expense</v>
      </c>
      <c r="S331" s="1" t="str">
        <f t="shared" si="120"/>
        <v>2-PASV</v>
      </c>
      <c r="T331" s="1" t="str">
        <f t="shared" si="121"/>
        <v>3-0000</v>
      </c>
      <c r="U331" s="1" t="str">
        <f t="shared" si="122"/>
        <v>3-3000</v>
      </c>
      <c r="V331" s="1" t="str">
        <f t="shared" si="123"/>
        <v>4-1EAT</v>
      </c>
      <c r="W331" s="1" t="str">
        <f t="shared" si="124"/>
        <v>4-2EBT</v>
      </c>
      <c r="X331" s="1" t="str">
        <f t="shared" si="125"/>
        <v>8-0000</v>
      </c>
      <c r="Y331" s="1" t="str">
        <f t="shared" si="126"/>
        <v>8-1920</v>
      </c>
      <c r="Z331" s="1" t="str">
        <f t="shared" si="127"/>
        <v>8-1912</v>
      </c>
      <c r="AA331" s="1" t="str">
        <f t="shared" si="128"/>
        <v>5-3000</v>
      </c>
      <c r="AB331" s="1" t="str">
        <f t="shared" si="129"/>
        <v>5-9000</v>
      </c>
      <c r="AD331" s="1" t="str">
        <f t="shared" si="110"/>
        <v/>
      </c>
      <c r="AE331" s="1" t="str">
        <f t="shared" si="111"/>
        <v/>
      </c>
      <c r="AF331" s="1" t="str">
        <f t="shared" si="112"/>
        <v/>
      </c>
      <c r="AG331" s="1" t="str">
        <f t="shared" si="113"/>
        <v/>
      </c>
      <c r="AH331" s="1" t="str">
        <f t="shared" si="114"/>
        <v/>
      </c>
      <c r="AI331" s="1" t="str">
        <f t="shared" si="115"/>
        <v xml:space="preserve">PERFORM * FROM "SchData-OLTP-Accounting"."Func_TblChartOfAccount_SET"(varSystemLoginSession, null, null, null, varInstitutionBranchID, null, '8-1920', 'Other Expense', 62000000000001::bigint, '2016-01-01 00:00:00'::timestamp, null::timestamp); </v>
      </c>
      <c r="AJ331" s="1" t="str">
        <f t="shared" si="116"/>
        <v/>
      </c>
      <c r="AK331" s="1" t="str">
        <f t="shared" si="117"/>
        <v/>
      </c>
      <c r="AL331" s="1" t="str">
        <f t="shared" si="118"/>
        <v/>
      </c>
      <c r="AM331" s="1" t="str">
        <f t="shared" si="119"/>
        <v/>
      </c>
      <c r="AO331" s="8" t="str">
        <f t="shared" si="131"/>
        <v xml:space="preserve">PERFORM * FROM "SchData-OLTP-Accounting"."Func_TblChartOfAccount_SET"(varSystemLoginSession, null, null, null, varInstitutionBranchID, null, '8-1920', 'Other Expense', 62000000000001::bigint, '2016-01-01 00:00:00'::timestamp, null::timestamp); </v>
      </c>
    </row>
    <row r="332" spans="2:41" x14ac:dyDescent="0.25">
      <c r="B332" s="1">
        <v>2</v>
      </c>
      <c r="C332" s="2" t="s">
        <v>648</v>
      </c>
      <c r="D332" s="1" t="s">
        <v>649</v>
      </c>
      <c r="M332" s="2" t="s">
        <v>648</v>
      </c>
      <c r="Q332" s="1" t="str">
        <f t="shared" si="130"/>
        <v>Interest Expenses</v>
      </c>
      <c r="S332" s="1" t="str">
        <f t="shared" si="120"/>
        <v>2-PASV</v>
      </c>
      <c r="T332" s="1" t="str">
        <f t="shared" si="121"/>
        <v>3-0000</v>
      </c>
      <c r="U332" s="1" t="str">
        <f t="shared" si="122"/>
        <v>3-3000</v>
      </c>
      <c r="V332" s="1" t="str">
        <f t="shared" si="123"/>
        <v>4-1EAT</v>
      </c>
      <c r="W332" s="1" t="str">
        <f t="shared" si="124"/>
        <v>4-2EBT</v>
      </c>
      <c r="X332" s="1" t="str">
        <f t="shared" si="125"/>
        <v>8-0000</v>
      </c>
      <c r="Y332" s="1" t="str">
        <f t="shared" si="126"/>
        <v>8-1920</v>
      </c>
      <c r="Z332" s="1" t="str">
        <f t="shared" si="127"/>
        <v>8-2200</v>
      </c>
      <c r="AA332" s="1" t="str">
        <f t="shared" si="128"/>
        <v>5-3000</v>
      </c>
      <c r="AB332" s="1" t="str">
        <f t="shared" si="129"/>
        <v>5-9000</v>
      </c>
      <c r="AD332" s="1" t="str">
        <f t="shared" si="110"/>
        <v/>
      </c>
      <c r="AE332" s="1" t="str">
        <f t="shared" si="111"/>
        <v/>
      </c>
      <c r="AF332" s="1" t="str">
        <f t="shared" si="112"/>
        <v/>
      </c>
      <c r="AG332" s="1" t="str">
        <f t="shared" si="113"/>
        <v/>
      </c>
      <c r="AH332" s="1" t="str">
        <f t="shared" si="114"/>
        <v/>
      </c>
      <c r="AI332" s="1" t="str">
        <f t="shared" si="115"/>
        <v/>
      </c>
      <c r="AJ332" s="1" t="str">
        <f t="shared" si="116"/>
        <v xml:space="preserve">PERFORM * FROM "SchData-OLTP-Accounting"."Func_TblChartOfAccount_SET"(varSystemLoginSession, null, null, null, varInstitutionBranchID, null, '8-2200', 'Interest Expenses', 62000000000001::bigint, '2016-01-01 00:00:00'::timestamp, null::timestamp); </v>
      </c>
      <c r="AK332" s="1" t="str">
        <f t="shared" si="117"/>
        <v/>
      </c>
      <c r="AL332" s="1" t="str">
        <f t="shared" si="118"/>
        <v/>
      </c>
      <c r="AM332" s="1" t="str">
        <f t="shared" si="119"/>
        <v/>
      </c>
      <c r="AO332" s="8" t="str">
        <f t="shared" si="131"/>
        <v xml:space="preserve">PERFORM * FROM "SchData-OLTP-Accounting"."Func_TblChartOfAccount_SET"(varSystemLoginSession, null, null, null, varInstitutionBranchID, null, '8-2200', 'Interest Expenses', 62000000000001::bigint, '2016-01-01 00:00:00'::timestamp, null::timestamp); </v>
      </c>
    </row>
    <row r="333" spans="2:41" x14ac:dyDescent="0.25">
      <c r="B333" s="1">
        <v>2</v>
      </c>
      <c r="C333" s="2" t="s">
        <v>650</v>
      </c>
      <c r="D333" s="1" t="s">
        <v>651</v>
      </c>
      <c r="N333" s="2" t="s">
        <v>650</v>
      </c>
      <c r="Q333" s="1" t="str">
        <f t="shared" si="130"/>
        <v>Interest Expense Downer</v>
      </c>
      <c r="S333" s="1" t="str">
        <f t="shared" si="120"/>
        <v>2-PASV</v>
      </c>
      <c r="T333" s="1" t="str">
        <f t="shared" si="121"/>
        <v>3-0000</v>
      </c>
      <c r="U333" s="1" t="str">
        <f t="shared" si="122"/>
        <v>3-3000</v>
      </c>
      <c r="V333" s="1" t="str">
        <f t="shared" si="123"/>
        <v>4-1EAT</v>
      </c>
      <c r="W333" s="1" t="str">
        <f t="shared" si="124"/>
        <v>4-2EBT</v>
      </c>
      <c r="X333" s="1" t="str">
        <f t="shared" si="125"/>
        <v>8-0000</v>
      </c>
      <c r="Y333" s="1" t="str">
        <f t="shared" si="126"/>
        <v>8-1920</v>
      </c>
      <c r="Z333" s="1" t="str">
        <f t="shared" si="127"/>
        <v>8-2200</v>
      </c>
      <c r="AA333" s="1" t="str">
        <f t="shared" si="128"/>
        <v>8-2300</v>
      </c>
      <c r="AB333" s="1" t="str">
        <f t="shared" si="129"/>
        <v>5-9000</v>
      </c>
      <c r="AD333" s="1" t="str">
        <f t="shared" si="110"/>
        <v/>
      </c>
      <c r="AE333" s="1" t="str">
        <f t="shared" si="111"/>
        <v/>
      </c>
      <c r="AF333" s="1" t="str">
        <f t="shared" si="112"/>
        <v/>
      </c>
      <c r="AG333" s="1" t="str">
        <f t="shared" si="113"/>
        <v/>
      </c>
      <c r="AH333" s="1" t="str">
        <f t="shared" si="114"/>
        <v/>
      </c>
      <c r="AI333" s="1" t="str">
        <f t="shared" si="115"/>
        <v/>
      </c>
      <c r="AJ333" s="1" t="str">
        <f t="shared" si="116"/>
        <v/>
      </c>
      <c r="AK333" s="1" t="str">
        <f t="shared" si="117"/>
        <v xml:space="preserve">PERFORM * FROM "SchData-OLTP-Accounting"."Func_TblChartOfAccount_SET"(varSystemLoginSession, null, null, null, varInstitutionBranchID, null, '8-2300', 'Interest Expense Downer', 62000000000001::bigint, '2016-01-01 00:00:00'::timestamp, null::timestamp); </v>
      </c>
      <c r="AL333" s="1" t="str">
        <f t="shared" si="118"/>
        <v/>
      </c>
      <c r="AM333" s="1" t="str">
        <f t="shared" si="119"/>
        <v/>
      </c>
      <c r="AO333" s="8" t="str">
        <f t="shared" si="131"/>
        <v xml:space="preserve">PERFORM * FROM "SchData-OLTP-Accounting"."Func_TblChartOfAccount_SET"(varSystemLoginSession, null, null, null, varInstitutionBranchID, null, '8-2300', 'Interest Expense Downer', 62000000000001::bigint, '2016-01-01 00:00:00'::timestamp, null::timestamp); </v>
      </c>
    </row>
    <row r="334" spans="2:41" x14ac:dyDescent="0.25">
      <c r="B334" s="1">
        <v>2</v>
      </c>
      <c r="C334" s="2" t="s">
        <v>652</v>
      </c>
      <c r="D334" s="1" t="s">
        <v>653</v>
      </c>
      <c r="N334" s="2" t="s">
        <v>652</v>
      </c>
      <c r="Q334" s="1" t="str">
        <f t="shared" si="130"/>
        <v>Interest Expense Redi</v>
      </c>
      <c r="S334" s="1" t="str">
        <f t="shared" si="120"/>
        <v>2-PASV</v>
      </c>
      <c r="T334" s="1" t="str">
        <f t="shared" si="121"/>
        <v>3-0000</v>
      </c>
      <c r="U334" s="1" t="str">
        <f t="shared" si="122"/>
        <v>3-3000</v>
      </c>
      <c r="V334" s="1" t="str">
        <f t="shared" si="123"/>
        <v>4-1EAT</v>
      </c>
      <c r="W334" s="1" t="str">
        <f t="shared" si="124"/>
        <v>4-2EBT</v>
      </c>
      <c r="X334" s="1" t="str">
        <f t="shared" si="125"/>
        <v>8-0000</v>
      </c>
      <c r="Y334" s="1" t="str">
        <f t="shared" si="126"/>
        <v>8-1920</v>
      </c>
      <c r="Z334" s="1" t="str">
        <f t="shared" si="127"/>
        <v>8-2200</v>
      </c>
      <c r="AA334" s="1" t="str">
        <f t="shared" si="128"/>
        <v>8-2400</v>
      </c>
      <c r="AB334" s="1" t="str">
        <f t="shared" si="129"/>
        <v>5-9000</v>
      </c>
      <c r="AD334" s="1" t="str">
        <f t="shared" si="110"/>
        <v/>
      </c>
      <c r="AE334" s="1" t="str">
        <f t="shared" si="111"/>
        <v/>
      </c>
      <c r="AF334" s="1" t="str">
        <f t="shared" si="112"/>
        <v/>
      </c>
      <c r="AG334" s="1" t="str">
        <f t="shared" si="113"/>
        <v/>
      </c>
      <c r="AH334" s="1" t="str">
        <f t="shared" si="114"/>
        <v/>
      </c>
      <c r="AI334" s="1" t="str">
        <f t="shared" si="115"/>
        <v/>
      </c>
      <c r="AJ334" s="1" t="str">
        <f t="shared" si="116"/>
        <v/>
      </c>
      <c r="AK334" s="1" t="str">
        <f t="shared" si="117"/>
        <v xml:space="preserve">PERFORM * FROM "SchData-OLTP-Accounting"."Func_TblChartOfAccount_SET"(varSystemLoginSession, null, null, null, varInstitutionBranchID, null, '8-2400', 'Interest Expense Redi', 62000000000001::bigint, '2016-01-01 00:00:00'::timestamp, null::timestamp); </v>
      </c>
      <c r="AL334" s="1" t="str">
        <f t="shared" si="118"/>
        <v/>
      </c>
      <c r="AM334" s="1" t="str">
        <f t="shared" si="119"/>
        <v/>
      </c>
      <c r="AO334" s="8" t="str">
        <f t="shared" si="131"/>
        <v xml:space="preserve">PERFORM * FROM "SchData-OLTP-Accounting"."Func_TblChartOfAccount_SET"(varSystemLoginSession, null, null, null, varInstitutionBranchID, null, '8-2400', 'Interest Expense Redi', 62000000000001::bigint, '2016-01-01 00:00:00'::timestamp, null::timestamp); </v>
      </c>
    </row>
    <row r="335" spans="2:41" x14ac:dyDescent="0.25">
      <c r="B335" s="1">
        <v>2</v>
      </c>
      <c r="C335" s="2" t="s">
        <v>654</v>
      </c>
      <c r="D335" s="1" t="s">
        <v>655</v>
      </c>
      <c r="M335" s="2" t="s">
        <v>654</v>
      </c>
      <c r="Q335" s="1" t="str">
        <f t="shared" si="130"/>
        <v>Late Charges for Downer</v>
      </c>
      <c r="S335" s="1" t="str">
        <f t="shared" si="120"/>
        <v>2-PASV</v>
      </c>
      <c r="T335" s="1" t="str">
        <f t="shared" si="121"/>
        <v>3-0000</v>
      </c>
      <c r="U335" s="1" t="str">
        <f t="shared" si="122"/>
        <v>3-3000</v>
      </c>
      <c r="V335" s="1" t="str">
        <f t="shared" si="123"/>
        <v>4-1EAT</v>
      </c>
      <c r="W335" s="1" t="str">
        <f t="shared" si="124"/>
        <v>4-2EBT</v>
      </c>
      <c r="X335" s="1" t="str">
        <f t="shared" si="125"/>
        <v>8-0000</v>
      </c>
      <c r="Y335" s="1" t="str">
        <f t="shared" si="126"/>
        <v>8-1920</v>
      </c>
      <c r="Z335" s="1" t="str">
        <f t="shared" si="127"/>
        <v>8-3100</v>
      </c>
      <c r="AA335" s="1" t="str">
        <f t="shared" si="128"/>
        <v>8-2400</v>
      </c>
      <c r="AB335" s="1" t="str">
        <f t="shared" si="129"/>
        <v>5-9000</v>
      </c>
      <c r="AD335" s="1" t="str">
        <f t="shared" si="110"/>
        <v/>
      </c>
      <c r="AE335" s="1" t="str">
        <f t="shared" si="111"/>
        <v/>
      </c>
      <c r="AF335" s="1" t="str">
        <f t="shared" si="112"/>
        <v/>
      </c>
      <c r="AG335" s="1" t="str">
        <f t="shared" si="113"/>
        <v/>
      </c>
      <c r="AH335" s="1" t="str">
        <f t="shared" si="114"/>
        <v/>
      </c>
      <c r="AI335" s="1" t="str">
        <f t="shared" si="115"/>
        <v/>
      </c>
      <c r="AJ335" s="1" t="str">
        <f t="shared" si="116"/>
        <v xml:space="preserve">PERFORM * FROM "SchData-OLTP-Accounting"."Func_TblChartOfAccount_SET"(varSystemLoginSession, null, null, null, varInstitutionBranchID, null, '8-3100', 'Late Charges for Downer', 62000000000001::bigint, '2016-01-01 00:00:00'::timestamp, null::timestamp); </v>
      </c>
      <c r="AK335" s="1" t="str">
        <f t="shared" si="117"/>
        <v/>
      </c>
      <c r="AL335" s="1" t="str">
        <f t="shared" si="118"/>
        <v/>
      </c>
      <c r="AM335" s="1" t="str">
        <f t="shared" si="119"/>
        <v/>
      </c>
      <c r="AO335" s="8" t="str">
        <f t="shared" si="131"/>
        <v xml:space="preserve">PERFORM * FROM "SchData-OLTP-Accounting"."Func_TblChartOfAccount_SET"(varSystemLoginSession, null, null, null, varInstitutionBranchID, null, '8-3100', 'Late Charges for Downer', 62000000000001::bigint, '2016-01-01 00:00:00'::timestamp, null::timestamp); </v>
      </c>
    </row>
    <row r="336" spans="2:41" x14ac:dyDescent="0.25">
      <c r="B336" s="1">
        <v>2</v>
      </c>
      <c r="C336" s="2" t="s">
        <v>656</v>
      </c>
      <c r="D336" s="1" t="s">
        <v>657</v>
      </c>
      <c r="M336" s="2" t="s">
        <v>656</v>
      </c>
      <c r="Q336" s="1" t="str">
        <f t="shared" si="130"/>
        <v>Late Charges for Redi</v>
      </c>
      <c r="S336" s="1" t="str">
        <f t="shared" si="120"/>
        <v>2-PASV</v>
      </c>
      <c r="T336" s="1" t="str">
        <f t="shared" si="121"/>
        <v>3-0000</v>
      </c>
      <c r="U336" s="1" t="str">
        <f t="shared" si="122"/>
        <v>3-3000</v>
      </c>
      <c r="V336" s="1" t="str">
        <f t="shared" si="123"/>
        <v>4-1EAT</v>
      </c>
      <c r="W336" s="1" t="str">
        <f t="shared" si="124"/>
        <v>4-2EBT</v>
      </c>
      <c r="X336" s="1" t="str">
        <f t="shared" si="125"/>
        <v>8-0000</v>
      </c>
      <c r="Y336" s="1" t="str">
        <f t="shared" si="126"/>
        <v>8-1920</v>
      </c>
      <c r="Z336" s="1" t="str">
        <f t="shared" si="127"/>
        <v>8-3200</v>
      </c>
      <c r="AA336" s="1" t="str">
        <f t="shared" si="128"/>
        <v>8-2400</v>
      </c>
      <c r="AB336" s="1" t="str">
        <f t="shared" si="129"/>
        <v>5-9000</v>
      </c>
      <c r="AD336" s="1" t="str">
        <f t="shared" si="110"/>
        <v/>
      </c>
      <c r="AE336" s="1" t="str">
        <f t="shared" si="111"/>
        <v/>
      </c>
      <c r="AF336" s="1" t="str">
        <f t="shared" si="112"/>
        <v/>
      </c>
      <c r="AG336" s="1" t="str">
        <f t="shared" si="113"/>
        <v/>
      </c>
      <c r="AH336" s="1" t="str">
        <f t="shared" si="114"/>
        <v/>
      </c>
      <c r="AI336" s="1" t="str">
        <f t="shared" si="115"/>
        <v/>
      </c>
      <c r="AJ336" s="1" t="str">
        <f t="shared" si="116"/>
        <v xml:space="preserve">PERFORM * FROM "SchData-OLTP-Accounting"."Func_TblChartOfAccount_SET"(varSystemLoginSession, null, null, null, varInstitutionBranchID, null, '8-3200', 'Late Charges for Redi', 62000000000001::bigint, '2016-01-01 00:00:00'::timestamp, null::timestamp); </v>
      </c>
      <c r="AK336" s="1" t="str">
        <f t="shared" si="117"/>
        <v/>
      </c>
      <c r="AL336" s="1" t="str">
        <f t="shared" si="118"/>
        <v/>
      </c>
      <c r="AM336" s="1" t="str">
        <f t="shared" si="119"/>
        <v/>
      </c>
      <c r="AO336" s="8" t="str">
        <f t="shared" si="131"/>
        <v xml:space="preserve">PERFORM * FROM "SchData-OLTP-Accounting"."Func_TblChartOfAccount_SET"(varSystemLoginSession, null, null, null, varInstitutionBranchID, null, '8-3200', 'Late Charges for Redi', 62000000000001::bigint, '2016-01-01 00:00:00'::timestamp, null::timestamp); </v>
      </c>
    </row>
    <row r="337" spans="2:41" x14ac:dyDescent="0.25">
      <c r="B337" s="1">
        <v>2</v>
      </c>
      <c r="C337" s="2" t="s">
        <v>658</v>
      </c>
      <c r="D337" s="1" t="s">
        <v>659</v>
      </c>
      <c r="M337" s="2" t="s">
        <v>658</v>
      </c>
      <c r="Q337" s="1" t="str">
        <f t="shared" si="130"/>
        <v>Other Expenses - Other</v>
      </c>
      <c r="S337" s="1" t="str">
        <f t="shared" si="120"/>
        <v>2-PASV</v>
      </c>
      <c r="T337" s="1" t="str">
        <f t="shared" si="121"/>
        <v>3-0000</v>
      </c>
      <c r="U337" s="1" t="str">
        <f t="shared" si="122"/>
        <v>3-3000</v>
      </c>
      <c r="V337" s="1" t="str">
        <f t="shared" si="123"/>
        <v>4-1EAT</v>
      </c>
      <c r="W337" s="1" t="str">
        <f t="shared" si="124"/>
        <v>4-2EBT</v>
      </c>
      <c r="X337" s="1" t="str">
        <f t="shared" si="125"/>
        <v>8-0000</v>
      </c>
      <c r="Y337" s="1" t="str">
        <f t="shared" si="126"/>
        <v>8-1920</v>
      </c>
      <c r="Z337" s="1" t="str">
        <f t="shared" si="127"/>
        <v>8-9100</v>
      </c>
      <c r="AA337" s="1" t="str">
        <f t="shared" si="128"/>
        <v>8-2400</v>
      </c>
      <c r="AB337" s="1" t="str">
        <f t="shared" si="129"/>
        <v>5-9000</v>
      </c>
      <c r="AD337" s="1" t="str">
        <f t="shared" si="110"/>
        <v/>
      </c>
      <c r="AE337" s="1" t="str">
        <f t="shared" si="111"/>
        <v/>
      </c>
      <c r="AF337" s="1" t="str">
        <f t="shared" si="112"/>
        <v/>
      </c>
      <c r="AG337" s="1" t="str">
        <f t="shared" si="113"/>
        <v/>
      </c>
      <c r="AH337" s="1" t="str">
        <f t="shared" si="114"/>
        <v/>
      </c>
      <c r="AI337" s="1" t="str">
        <f t="shared" si="115"/>
        <v/>
      </c>
      <c r="AJ337" s="1" t="str">
        <f t="shared" si="116"/>
        <v xml:space="preserve">PERFORM * FROM "SchData-OLTP-Accounting"."Func_TblChartOfAccount_SET"(varSystemLoginSession, null, null, null, varInstitutionBranchID, null, '8-9100', 'Other Expenses - Other', 62000000000001::bigint, '2016-01-01 00:00:00'::timestamp, null::timestamp); </v>
      </c>
      <c r="AK337" s="1" t="str">
        <f t="shared" si="117"/>
        <v/>
      </c>
      <c r="AL337" s="1" t="str">
        <f t="shared" si="118"/>
        <v/>
      </c>
      <c r="AM337" s="1" t="str">
        <f t="shared" si="119"/>
        <v/>
      </c>
      <c r="AO337" s="8" t="str">
        <f t="shared" si="131"/>
        <v xml:space="preserve">PERFORM * FROM "SchData-OLTP-Accounting"."Func_TblChartOfAccount_SET"(varSystemLoginSession, null, null, null, varInstitutionBranchID, null, '8-9100', 'Other Expenses - Other', 62000000000001::bigint, '2016-01-01 00:00:00'::timestamp, null::timestamp); </v>
      </c>
    </row>
    <row r="338" spans="2:41" x14ac:dyDescent="0.25">
      <c r="B338" s="1">
        <v>1</v>
      </c>
      <c r="C338" s="2" t="s">
        <v>660</v>
      </c>
      <c r="D338" s="1" t="s">
        <v>661</v>
      </c>
      <c r="J338" s="2" t="s">
        <v>660</v>
      </c>
      <c r="Q338" s="1" t="str">
        <f t="shared" si="130"/>
        <v>Tax Income/Expense</v>
      </c>
      <c r="S338" s="1" t="str">
        <f t="shared" si="120"/>
        <v>2-PASV</v>
      </c>
      <c r="T338" s="1" t="str">
        <f t="shared" si="121"/>
        <v>3-0000</v>
      </c>
      <c r="U338" s="1" t="str">
        <f t="shared" si="122"/>
        <v>3-3000</v>
      </c>
      <c r="V338" s="1" t="str">
        <f t="shared" si="123"/>
        <v>4-1EAT</v>
      </c>
      <c r="W338" s="1" t="str">
        <f t="shared" si="124"/>
        <v>9-0000</v>
      </c>
      <c r="X338" s="1" t="str">
        <f t="shared" si="125"/>
        <v>8-0000</v>
      </c>
      <c r="Y338" s="1" t="str">
        <f t="shared" si="126"/>
        <v>8-1920</v>
      </c>
      <c r="Z338" s="1" t="str">
        <f t="shared" si="127"/>
        <v>8-9100</v>
      </c>
      <c r="AA338" s="1" t="str">
        <f t="shared" si="128"/>
        <v>8-2400</v>
      </c>
      <c r="AB338" s="1" t="str">
        <f t="shared" si="129"/>
        <v>5-9000</v>
      </c>
      <c r="AD338" s="1" t="str">
        <f t="shared" si="110"/>
        <v/>
      </c>
      <c r="AE338" s="1" t="str">
        <f t="shared" si="111"/>
        <v/>
      </c>
      <c r="AF338" s="1" t="str">
        <f t="shared" si="112"/>
        <v/>
      </c>
      <c r="AG338" s="1" t="str">
        <f t="shared" si="113"/>
        <v xml:space="preserve">PERFORM * FROM "SchData-OLTP-Accounting"."Func_TblChartOfAccount_SET"(varSystemLoginSession, null, null, null, varInstitutionBranchID, null, '9-0000', 'Tax Income/Expense', 62000000000001::bigint, '2016-01-01 00:00:00'::timestamp, null::timestamp); </v>
      </c>
      <c r="AH338" s="1" t="str">
        <f t="shared" si="114"/>
        <v/>
      </c>
      <c r="AI338" s="1" t="str">
        <f t="shared" si="115"/>
        <v/>
      </c>
      <c r="AJ338" s="1" t="str">
        <f t="shared" si="116"/>
        <v/>
      </c>
      <c r="AK338" s="1" t="str">
        <f t="shared" si="117"/>
        <v/>
      </c>
      <c r="AL338" s="1" t="str">
        <f t="shared" si="118"/>
        <v/>
      </c>
      <c r="AM338" s="1" t="str">
        <f t="shared" si="119"/>
        <v/>
      </c>
      <c r="AO338" s="8" t="str">
        <f t="shared" si="131"/>
        <v xml:space="preserve">PERFORM * FROM "SchData-OLTP-Accounting"."Func_TblChartOfAccount_SET"(varSystemLoginSession, null, null, null, varInstitutionBranchID, null, '9-0000', 'Tax Income/Expense', 62000000000001::bigint, '2016-01-01 00:00:00'::timestamp, null::timestamp); </v>
      </c>
    </row>
    <row r="339" spans="2:41" x14ac:dyDescent="0.25">
      <c r="B339" s="1">
        <v>2</v>
      </c>
      <c r="C339" s="2" t="s">
        <v>662</v>
      </c>
      <c r="D339" s="1" t="s">
        <v>663</v>
      </c>
      <c r="K339" s="2" t="s">
        <v>662</v>
      </c>
      <c r="Q339" s="1" t="str">
        <f t="shared" si="130"/>
        <v>Income Tax Expenses</v>
      </c>
      <c r="S339" s="1" t="str">
        <f t="shared" si="120"/>
        <v>2-PASV</v>
      </c>
      <c r="T339" s="1" t="str">
        <f t="shared" si="121"/>
        <v>3-0000</v>
      </c>
      <c r="U339" s="1" t="str">
        <f t="shared" si="122"/>
        <v>3-3000</v>
      </c>
      <c r="V339" s="1" t="str">
        <f t="shared" si="123"/>
        <v>4-1EAT</v>
      </c>
      <c r="W339" s="1" t="str">
        <f t="shared" si="124"/>
        <v>9-0000</v>
      </c>
      <c r="X339" s="1" t="str">
        <f t="shared" si="125"/>
        <v>9-9100</v>
      </c>
      <c r="Y339" s="1" t="str">
        <f t="shared" si="126"/>
        <v>8-1920</v>
      </c>
      <c r="Z339" s="1" t="str">
        <f t="shared" si="127"/>
        <v>8-9100</v>
      </c>
      <c r="AA339" s="1" t="str">
        <f t="shared" si="128"/>
        <v>8-2400</v>
      </c>
      <c r="AB339" s="1" t="str">
        <f t="shared" si="129"/>
        <v>5-9000</v>
      </c>
      <c r="AD339" s="1" t="str">
        <f t="shared" si="110"/>
        <v/>
      </c>
      <c r="AE339" s="1" t="str">
        <f t="shared" si="111"/>
        <v/>
      </c>
      <c r="AF339" s="1" t="str">
        <f t="shared" si="112"/>
        <v/>
      </c>
      <c r="AG339" s="1" t="str">
        <f t="shared" si="113"/>
        <v/>
      </c>
      <c r="AH339" s="1" t="str">
        <f t="shared" si="114"/>
        <v xml:space="preserve">PERFORM * FROM "SchData-OLTP-Accounting"."Func_TblChartOfAccount_SET"(varSystemLoginSession, null, null, null, varInstitutionBranchID, null, '9-9100', 'Income Tax Expenses', 62000000000001::bigint, '2016-01-01 00:00:00'::timestamp, null::timestamp); </v>
      </c>
      <c r="AI339" s="1" t="str">
        <f t="shared" si="115"/>
        <v/>
      </c>
      <c r="AJ339" s="1" t="str">
        <f t="shared" si="116"/>
        <v/>
      </c>
      <c r="AK339" s="1" t="str">
        <f t="shared" si="117"/>
        <v/>
      </c>
      <c r="AL339" s="1" t="str">
        <f t="shared" si="118"/>
        <v/>
      </c>
      <c r="AM339" s="1" t="str">
        <f t="shared" si="119"/>
        <v/>
      </c>
      <c r="AO339" s="8" t="str">
        <f t="shared" si="131"/>
        <v xml:space="preserve">PERFORM * FROM "SchData-OLTP-Accounting"."Func_TblChartOfAccount_SET"(varSystemLoginSession, null, null, null, varInstitutionBranchID, null, '9-9100', 'Income Tax Expenses', 62000000000001::bigint, '2016-01-01 00:00:00'::timestamp, null::timestamp); </v>
      </c>
    </row>
    <row r="340" spans="2:41" x14ac:dyDescent="0.25">
      <c r="B340" s="1">
        <v>2</v>
      </c>
      <c r="C340" s="2" t="s">
        <v>664</v>
      </c>
      <c r="D340" s="1" t="s">
        <v>665</v>
      </c>
      <c r="K340" s="2" t="s">
        <v>664</v>
      </c>
      <c r="Q340" s="1" t="str">
        <f t="shared" si="130"/>
        <v>Fiscal</v>
      </c>
      <c r="S340" s="1" t="str">
        <f t="shared" si="120"/>
        <v>2-PASV</v>
      </c>
      <c r="T340" s="1" t="str">
        <f t="shared" si="121"/>
        <v>3-0000</v>
      </c>
      <c r="U340" s="1" t="str">
        <f t="shared" si="122"/>
        <v>3-3000</v>
      </c>
      <c r="V340" s="1" t="str">
        <f t="shared" si="123"/>
        <v>4-1EAT</v>
      </c>
      <c r="W340" s="1" t="str">
        <f t="shared" si="124"/>
        <v>9-0000</v>
      </c>
      <c r="X340" s="1" t="str">
        <f t="shared" si="125"/>
        <v>9-9200</v>
      </c>
      <c r="Y340" s="1" t="str">
        <f t="shared" si="126"/>
        <v>8-1920</v>
      </c>
      <c r="Z340" s="1" t="str">
        <f t="shared" si="127"/>
        <v>8-9100</v>
      </c>
      <c r="AA340" s="1" t="str">
        <f t="shared" si="128"/>
        <v>8-2400</v>
      </c>
      <c r="AB340" s="1" t="str">
        <f t="shared" si="129"/>
        <v>5-9000</v>
      </c>
      <c r="AD340" s="1" t="str">
        <f t="shared" si="110"/>
        <v/>
      </c>
      <c r="AE340" s="1" t="str">
        <f t="shared" si="111"/>
        <v/>
      </c>
      <c r="AF340" s="1" t="str">
        <f t="shared" si="112"/>
        <v/>
      </c>
      <c r="AG340" s="1" t="str">
        <f t="shared" si="113"/>
        <v/>
      </c>
      <c r="AH340" s="1" t="str">
        <f t="shared" si="114"/>
        <v xml:space="preserve">PERFORM * FROM "SchData-OLTP-Accounting"."Func_TblChartOfAccount_SET"(varSystemLoginSession, null, null, null, varInstitutionBranchID, null, '9-9200', 'Fiscal', 62000000000001::bigint, '2016-01-01 00:00:00'::timestamp, null::timestamp); </v>
      </c>
      <c r="AI340" s="1" t="str">
        <f t="shared" si="115"/>
        <v/>
      </c>
      <c r="AJ340" s="1" t="str">
        <f t="shared" si="116"/>
        <v/>
      </c>
      <c r="AK340" s="1" t="str">
        <f t="shared" si="117"/>
        <v/>
      </c>
      <c r="AL340" s="1" t="str">
        <f t="shared" si="118"/>
        <v/>
      </c>
      <c r="AM340" s="1" t="str">
        <f t="shared" si="119"/>
        <v/>
      </c>
      <c r="AO340" s="8" t="str">
        <f t="shared" si="131"/>
        <v xml:space="preserve">PERFORM * FROM "SchData-OLTP-Accounting"."Func_TblChartOfAccount_SET"(varSystemLoginSession, null, null, null, varInstitutionBranchID, null, '9-9200', 'Fiscal', 62000000000001::bigint, '2016-01-01 00:00:00'::timestamp, null::timestamp); </v>
      </c>
    </row>
    <row r="341" spans="2:41" x14ac:dyDescent="0.25">
      <c r="B341" s="1">
        <v>2</v>
      </c>
      <c r="C341" s="2" t="s">
        <v>666</v>
      </c>
      <c r="D341" s="1" t="s">
        <v>667</v>
      </c>
      <c r="K341" s="2" t="s">
        <v>666</v>
      </c>
      <c r="Q341" s="1" t="str">
        <f t="shared" si="130"/>
        <v>Deferred Tax Expense/Income</v>
      </c>
      <c r="S341" s="1" t="str">
        <f t="shared" si="120"/>
        <v>2-PASV</v>
      </c>
      <c r="T341" s="1" t="str">
        <f t="shared" si="121"/>
        <v>3-0000</v>
      </c>
      <c r="U341" s="1" t="str">
        <f t="shared" si="122"/>
        <v>3-3000</v>
      </c>
      <c r="V341" s="1" t="str">
        <f t="shared" si="123"/>
        <v>4-1EAT</v>
      </c>
      <c r="W341" s="1" t="str">
        <f t="shared" si="124"/>
        <v>9-0000</v>
      </c>
      <c r="X341" s="1" t="str">
        <f t="shared" si="125"/>
        <v>9-9300</v>
      </c>
      <c r="Y341" s="1" t="str">
        <f t="shared" si="126"/>
        <v>8-1920</v>
      </c>
      <c r="Z341" s="1" t="str">
        <f t="shared" si="127"/>
        <v>8-9100</v>
      </c>
      <c r="AA341" s="1" t="str">
        <f t="shared" si="128"/>
        <v>8-2400</v>
      </c>
      <c r="AB341" s="1" t="str">
        <f t="shared" si="129"/>
        <v>5-9000</v>
      </c>
      <c r="AD341" s="1" t="str">
        <f t="shared" si="110"/>
        <v/>
      </c>
      <c r="AE341" s="1" t="str">
        <f t="shared" si="111"/>
        <v/>
      </c>
      <c r="AF341" s="1" t="str">
        <f t="shared" si="112"/>
        <v/>
      </c>
      <c r="AG341" s="1" t="str">
        <f t="shared" si="113"/>
        <v/>
      </c>
      <c r="AH341" s="1" t="str">
        <f t="shared" si="114"/>
        <v xml:space="preserve">PERFORM * FROM "SchData-OLTP-Accounting"."Func_TblChartOfAccount_SET"(varSystemLoginSession, null, null, null, varInstitutionBranchID, null, '9-9300', 'Deferred Tax Expense/Income', 62000000000001::bigint, '2016-01-01 00:00:00'::timestamp, null::timestamp); </v>
      </c>
      <c r="AI341" s="1" t="str">
        <f t="shared" si="115"/>
        <v/>
      </c>
      <c r="AJ341" s="1" t="str">
        <f t="shared" si="116"/>
        <v/>
      </c>
      <c r="AK341" s="1" t="str">
        <f t="shared" si="117"/>
        <v/>
      </c>
      <c r="AL341" s="1" t="str">
        <f t="shared" si="118"/>
        <v/>
      </c>
      <c r="AM341" s="1" t="str">
        <f t="shared" si="119"/>
        <v/>
      </c>
      <c r="AO341" s="8" t="str">
        <f t="shared" si="131"/>
        <v xml:space="preserve">PERFORM * FROM "SchData-OLTP-Accounting"."Func_TblChartOfAccount_SET"(varSystemLoginSession, null, null, null, varInstitutionBranchID, null, '9-9300', 'Deferred Tax Expense/Income', 62000000000001::bigint, '2016-01-01 00:00:00'::timestamp, null::timestamp); </v>
      </c>
    </row>
    <row r="342" spans="2:41" x14ac:dyDescent="0.25">
      <c r="B342" s="1">
        <v>2</v>
      </c>
      <c r="C342" s="2" t="s">
        <v>668</v>
      </c>
      <c r="D342" s="1" t="s">
        <v>669</v>
      </c>
      <c r="K342" s="2" t="s">
        <v>668</v>
      </c>
      <c r="Q342" s="1" t="str">
        <f t="shared" si="130"/>
        <v>Tax  Dues</v>
      </c>
      <c r="S342" s="1" t="str">
        <f t="shared" si="120"/>
        <v>2-PASV</v>
      </c>
      <c r="T342" s="1" t="str">
        <f t="shared" si="121"/>
        <v>3-0000</v>
      </c>
      <c r="U342" s="1" t="str">
        <f t="shared" si="122"/>
        <v>3-3000</v>
      </c>
      <c r="V342" s="1" t="str">
        <f t="shared" si="123"/>
        <v>4-1EAT</v>
      </c>
      <c r="W342" s="1" t="str">
        <f t="shared" si="124"/>
        <v>9-0000</v>
      </c>
      <c r="X342" s="1" t="str">
        <f t="shared" si="125"/>
        <v>9-9400</v>
      </c>
      <c r="Y342" s="1" t="str">
        <f t="shared" si="126"/>
        <v>8-1920</v>
      </c>
      <c r="Z342" s="1" t="str">
        <f t="shared" si="127"/>
        <v>8-9100</v>
      </c>
      <c r="AA342" s="1" t="str">
        <f t="shared" si="128"/>
        <v>8-2400</v>
      </c>
      <c r="AB342" s="1" t="str">
        <f t="shared" si="129"/>
        <v>5-9000</v>
      </c>
      <c r="AD342" s="1" t="str">
        <f t="shared" si="110"/>
        <v/>
      </c>
      <c r="AE342" s="1" t="str">
        <f t="shared" si="111"/>
        <v/>
      </c>
      <c r="AF342" s="1" t="str">
        <f t="shared" si="112"/>
        <v/>
      </c>
      <c r="AG342" s="1" t="str">
        <f t="shared" si="113"/>
        <v/>
      </c>
      <c r="AH342" s="1" t="str">
        <f t="shared" si="114"/>
        <v xml:space="preserve">PERFORM * FROM "SchData-OLTP-Accounting"."Func_TblChartOfAccount_SET"(varSystemLoginSession, null, null, null, varInstitutionBranchID, null, '9-9400', 'Tax  Dues', 62000000000001::bigint, '2016-01-01 00:00:00'::timestamp, null::timestamp); </v>
      </c>
      <c r="AI342" s="1" t="str">
        <f t="shared" si="115"/>
        <v/>
      </c>
      <c r="AJ342" s="1" t="str">
        <f t="shared" si="116"/>
        <v/>
      </c>
      <c r="AK342" s="1" t="str">
        <f t="shared" si="117"/>
        <v/>
      </c>
      <c r="AL342" s="1" t="str">
        <f t="shared" si="118"/>
        <v/>
      </c>
      <c r="AM342" s="1" t="str">
        <f t="shared" si="119"/>
        <v/>
      </c>
      <c r="AO342" s="8" t="str">
        <f t="shared" si="131"/>
        <v xml:space="preserve">PERFORM * FROM "SchData-OLTP-Accounting"."Func_TblChartOfAccount_SET"(varSystemLoginSession, null, null, null, varInstitutionBranchID, null, '9-9400', 'Tax  Dues', 62000000000001::bigint, '2016-01-01 00:00:00'::timestamp, null::timestamp); </v>
      </c>
    </row>
    <row r="343" spans="2:41" x14ac:dyDescent="0.25">
      <c r="B343" s="1">
        <v>2</v>
      </c>
      <c r="C343" s="2" t="s">
        <v>670</v>
      </c>
      <c r="D343" s="1" t="s">
        <v>671</v>
      </c>
      <c r="H343" s="2" t="s">
        <v>670</v>
      </c>
      <c r="Q343" s="1" t="str">
        <f>D343</f>
        <v>Historical Balancing</v>
      </c>
      <c r="S343" s="1" t="str">
        <f t="shared" si="120"/>
        <v>2-PASV</v>
      </c>
      <c r="T343" s="1" t="str">
        <f t="shared" si="121"/>
        <v>3-0000</v>
      </c>
      <c r="U343" s="1" t="str">
        <f t="shared" si="122"/>
        <v>3-9999</v>
      </c>
      <c r="V343" s="1" t="str">
        <f t="shared" si="123"/>
        <v>4-1EAT</v>
      </c>
      <c r="W343" s="1" t="str">
        <f t="shared" si="124"/>
        <v>9-0000</v>
      </c>
      <c r="X343" s="1" t="str">
        <f t="shared" si="125"/>
        <v>9-9400</v>
      </c>
      <c r="Y343" s="1" t="str">
        <f t="shared" si="126"/>
        <v>8-1920</v>
      </c>
      <c r="Z343" s="1" t="str">
        <f t="shared" si="127"/>
        <v>8-9100</v>
      </c>
      <c r="AA343" s="1" t="str">
        <f t="shared" si="128"/>
        <v>8-2400</v>
      </c>
      <c r="AB343" s="1" t="str">
        <f t="shared" si="129"/>
        <v>5-9000</v>
      </c>
      <c r="AD343" s="1" t="str">
        <f t="shared" si="110"/>
        <v/>
      </c>
      <c r="AE343" s="1" t="str">
        <f t="shared" si="111"/>
        <v xml:space="preserve">PERFORM * FROM "SchData-OLTP-Accounting"."Func_TblChartOfAccount_SET"(varSystemLoginSession, null, null, null, varInstitutionBranchID, null, '3-9999', 'Historical Balancing', 62000000000001::bigint, '2016-01-01 00:00:00'::timestamp, null::timestamp); </v>
      </c>
      <c r="AF343" s="1" t="str">
        <f t="shared" si="112"/>
        <v/>
      </c>
      <c r="AG343" s="1" t="str">
        <f t="shared" si="113"/>
        <v/>
      </c>
      <c r="AH343" s="1" t="str">
        <f t="shared" si="114"/>
        <v/>
      </c>
      <c r="AI343" s="1" t="str">
        <f t="shared" si="115"/>
        <v/>
      </c>
      <c r="AJ343" s="1" t="str">
        <f t="shared" si="116"/>
        <v/>
      </c>
      <c r="AK343" s="1" t="str">
        <f t="shared" si="117"/>
        <v/>
      </c>
      <c r="AL343" s="1" t="str">
        <f t="shared" si="118"/>
        <v/>
      </c>
      <c r="AM343" s="1" t="str">
        <f t="shared" si="119"/>
        <v/>
      </c>
      <c r="AO343" s="8" t="str">
        <f t="shared" si="131"/>
        <v xml:space="preserve">PERFORM * FROM "SchData-OLTP-Accounting"."Func_TblChartOfAccount_SET"(varSystemLoginSession, null, null, null, varInstitutionBranchID, null, '3-9999', 'Historical Balancing', 62000000000001::bigint, '2016-01-01 00:00:00'::timestamp, null::timestamp); </v>
      </c>
    </row>
    <row r="344" spans="2:41" s="3" customFormat="1" x14ac:dyDescent="0.25">
      <c r="B344" s="11"/>
      <c r="C344" s="13"/>
      <c r="D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Q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O344" s="12"/>
    </row>
  </sheetData>
  <mergeCells count="5">
    <mergeCell ref="B3:D3"/>
    <mergeCell ref="F3:O3"/>
    <mergeCell ref="S3:AB3"/>
    <mergeCell ref="AD3:AM3"/>
    <mergeCell ref="A2:D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8"/>
  <sheetViews>
    <sheetView workbookViewId="0">
      <selection activeCell="C17" sqref="C17"/>
    </sheetView>
  </sheetViews>
  <sheetFormatPr defaultRowHeight="15" x14ac:dyDescent="0.25"/>
  <cols>
    <col min="2" max="2" width="28.28515625" bestFit="1" customWidth="1"/>
    <col min="3" max="3" width="24" bestFit="1" customWidth="1"/>
  </cols>
  <sheetData>
    <row r="2" spans="2:3" x14ac:dyDescent="0.25">
      <c r="B2" t="s">
        <v>675</v>
      </c>
      <c r="C2" t="s">
        <v>674</v>
      </c>
    </row>
    <row r="3" spans="2:3" x14ac:dyDescent="0.25">
      <c r="B3" t="s">
        <v>677</v>
      </c>
      <c r="C3" t="s">
        <v>678</v>
      </c>
    </row>
    <row r="4" spans="2:3" x14ac:dyDescent="0.25">
      <c r="B4" t="s">
        <v>679</v>
      </c>
      <c r="C4" t="s">
        <v>680</v>
      </c>
    </row>
    <row r="6" spans="2:3" x14ac:dyDescent="0.25">
      <c r="B6" t="s">
        <v>681</v>
      </c>
      <c r="C6" t="s">
        <v>692</v>
      </c>
    </row>
    <row r="7" spans="2:3" x14ac:dyDescent="0.25">
      <c r="C7" t="s">
        <v>702</v>
      </c>
    </row>
    <row r="10" spans="2:3" x14ac:dyDescent="0.25">
      <c r="B10" t="s">
        <v>701</v>
      </c>
      <c r="C10" t="s">
        <v>695</v>
      </c>
    </row>
    <row r="11" spans="2:3" x14ac:dyDescent="0.25">
      <c r="C11" t="s">
        <v>700</v>
      </c>
    </row>
    <row r="12" spans="2:3" x14ac:dyDescent="0.25">
      <c r="C12" t="s">
        <v>705</v>
      </c>
    </row>
    <row r="14" spans="2:3" x14ac:dyDescent="0.25">
      <c r="B14" t="s">
        <v>704</v>
      </c>
      <c r="C14" t="s">
        <v>154</v>
      </c>
    </row>
    <row r="15" spans="2:3" x14ac:dyDescent="0.25">
      <c r="C15" t="s">
        <v>1758</v>
      </c>
    </row>
    <row r="16" spans="2:3" x14ac:dyDescent="0.25">
      <c r="C16" t="s">
        <v>1759</v>
      </c>
    </row>
    <row r="17" spans="3:3" x14ac:dyDescent="0.25">
      <c r="C17" t="s">
        <v>509</v>
      </c>
    </row>
    <row r="18" spans="3:3" x14ac:dyDescent="0.25">
      <c r="C18" t="s">
        <v>706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7"/>
  <sheetViews>
    <sheetView workbookViewId="0">
      <selection activeCell="E3" sqref="E3"/>
    </sheetView>
  </sheetViews>
  <sheetFormatPr defaultRowHeight="15" x14ac:dyDescent="0.25"/>
  <cols>
    <col min="3" max="3" width="10.28515625" bestFit="1" customWidth="1"/>
    <col min="4" max="4" width="13.7109375" bestFit="1" customWidth="1"/>
  </cols>
  <sheetData>
    <row r="2" spans="2:5" x14ac:dyDescent="0.25">
      <c r="B2" t="s">
        <v>691</v>
      </c>
      <c r="C2" t="s">
        <v>12</v>
      </c>
      <c r="D2" t="s">
        <v>703</v>
      </c>
    </row>
    <row r="3" spans="2:5" x14ac:dyDescent="0.25">
      <c r="C3" t="s">
        <v>676</v>
      </c>
      <c r="D3" t="s">
        <v>682</v>
      </c>
      <c r="E3" t="s">
        <v>689</v>
      </c>
    </row>
    <row r="4" spans="2:5" x14ac:dyDescent="0.25">
      <c r="E4" t="s">
        <v>684</v>
      </c>
    </row>
    <row r="5" spans="2:5" x14ac:dyDescent="0.25">
      <c r="D5" t="s">
        <v>683</v>
      </c>
      <c r="E5" t="s">
        <v>690</v>
      </c>
    </row>
    <row r="6" spans="2:5" x14ac:dyDescent="0.25">
      <c r="E6" t="s">
        <v>685</v>
      </c>
    </row>
    <row r="7" spans="2:5" x14ac:dyDescent="0.25">
      <c r="E7" t="s">
        <v>686</v>
      </c>
    </row>
    <row r="8" spans="2:5" x14ac:dyDescent="0.25">
      <c r="D8" t="s">
        <v>687</v>
      </c>
      <c r="E8" t="s">
        <v>688</v>
      </c>
    </row>
    <row r="10" spans="2:5" x14ac:dyDescent="0.25">
      <c r="B10" t="s">
        <v>692</v>
      </c>
      <c r="D10" t="s">
        <v>693</v>
      </c>
    </row>
    <row r="11" spans="2:5" x14ac:dyDescent="0.25">
      <c r="D11" t="s">
        <v>694</v>
      </c>
    </row>
    <row r="13" spans="2:5" x14ac:dyDescent="0.25">
      <c r="B13" t="s">
        <v>695</v>
      </c>
      <c r="D13" t="s">
        <v>696</v>
      </c>
    </row>
    <row r="14" spans="2:5" x14ac:dyDescent="0.25">
      <c r="D14" t="s">
        <v>697</v>
      </c>
    </row>
    <row r="16" spans="2:5" x14ac:dyDescent="0.25">
      <c r="B16" t="s">
        <v>245</v>
      </c>
      <c r="D16" t="s">
        <v>698</v>
      </c>
    </row>
    <row r="17" spans="4:4" x14ac:dyDescent="0.25">
      <c r="D17" t="s">
        <v>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SEED</vt:lpstr>
      <vt:lpstr>DataLookUp</vt:lpstr>
      <vt:lpstr>COA Baru</vt:lpstr>
      <vt:lpstr>QDC COA</vt:lpstr>
      <vt:lpstr>Auto Link</vt:lpstr>
      <vt:lpstr>Refer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2026-07-31T10:31:14Z</dcterms:modified>
</cp:coreProperties>
</file>